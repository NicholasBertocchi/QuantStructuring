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105" windowWidth="19080" windowHeight="11850" firstSheet="1" activeTab="1"/>
  </bookViews>
  <sheets>
    <sheet name="dvCurveBootstrapperOptions" sheetId="10" state="hidden" r:id="rId1"/>
    <sheet name="UNICA_EUR" sheetId="17" r:id="rId2"/>
    <sheet name="Sensitivities" sheetId="19" r:id="rId3"/>
    <sheet name="DeprecatedCurves" sheetId="18" r:id="rId4"/>
  </sheets>
  <functionGroups builtInGroupCount="17"/>
  <definedNames>
    <definedName name="BizDayConv" localSheetId="1">UNICA_EUR!$C$12</definedName>
    <definedName name="Calendar" localSheetId="1">UNICA_EUR!$C$4</definedName>
    <definedName name="Currency" localSheetId="1">UNICA_EUR!$C$13</definedName>
    <definedName name="dvBool">dvCurveBootstrapperOptions!$H$3:$H$4</definedName>
    <definedName name="dvCurveBootstrapperCompounding">dvCurveBootstrapperOptions!$E$15:$E$17</definedName>
    <definedName name="dvCurveBootstrapperDayCount">dvCurveBootstrapperOptions!$B$3:$C$12</definedName>
    <definedName name="dvCurveBootstrapperFraFutAdjust">dvCurveBootstrapperOptions!$B$15:$C$18</definedName>
    <definedName name="dvCurveBootstrapperFutCons">dvCurveBootstrapperOptions!$E$20:$E$22</definedName>
    <definedName name="dvCurveBootstrapperFutEndDate">dvCurveBootstrapperOptions!$E$29:$E$30</definedName>
    <definedName name="dvCurveBootstrapperInterpOn">dvCurveBootstrapperOptions!$E$10:$E$12</definedName>
    <definedName name="dvCurveBootstrapperInterpType">dvCurveBootstrapperOptions!$E$3:$E$7</definedName>
    <definedName name="dvCurveBootstrapperMatCons">dvCurveBootstrapperOptions!$E$25:$E$26</definedName>
    <definedName name="dvCurveBootstrapperOutputType">dvCurveBootstrapperOptions!$B$26:$C$27</definedName>
    <definedName name="dvCurveBootstrapperSwapMatType">dvCurveBootstrapperOptions!$B$21:$C$23</definedName>
    <definedName name="Enabled" localSheetId="1">UNICA_EUR!$E$3:$E$17</definedName>
    <definedName name="EntityName" localSheetId="1">UNICA_EUR!$C$14</definedName>
    <definedName name="EvaluationDate" localSheetId="1">UNICA_EUR!$C$3</definedName>
    <definedName name="FloatingFlag" localSheetId="1">UNICA_EUR!$C$17</definedName>
    <definedName name="IborIndex" localSheetId="1">UNICA_EUR!$C$8</definedName>
    <definedName name="ImplCDS" localSheetId="1">UNICA_EUR!$Q$3:$Q$17</definedName>
    <definedName name="ImplPrices" localSheetId="1">UNICA_EUR!$N$3:$N$17</definedName>
    <definedName name="IsOK" localSheetId="1">UNICA_EUR!$R$1</definedName>
    <definedName name="ManualTrigger" localSheetId="1">UNICA_EUR!$A$1</definedName>
    <definedName name="Maties" localSheetId="1">UNICA_EUR!$O$3:$O$17</definedName>
    <definedName name="Notional" localSheetId="1">UNICA_EUR!$C$15</definedName>
    <definedName name="npData" localSheetId="2">Sensitivities!$D$7:$D$21</definedName>
    <definedName name="npPrices" localSheetId="2">Sensitivities!$C$25:$C$39</definedName>
    <definedName name="ObjectOverwrite">UNICA_EUR!$AG$3</definedName>
    <definedName name="ObjectsTrigger" localSheetId="1">UNICA_EUR!$C$20</definedName>
    <definedName name="pdgDiscCurve" localSheetId="1">UNICA_EUR!$C$10</definedName>
    <definedName name="Permanent">UNICA_EUR!$AF$3</definedName>
    <definedName name="qlDiscCurve">UNICA_EUR!$C$9</definedName>
    <definedName name="Recovery" localSheetId="1">UNICA_EUR!$C$16</definedName>
    <definedName name="RtTrigger" localSheetId="1">UNICA_EUR!$C$19</definedName>
    <definedName name="sensyCDS" localSheetId="2">Sensitivities!$F$7:$T$21</definedName>
    <definedName name="sensyZC" localSheetId="2">Sensitivities!$F$25:$T$39</definedName>
    <definedName name="SettlementDate" localSheetId="1">UNICA_EUR!$C$6</definedName>
    <definedName name="SettlementDays" localSheetId="1">UNICA_EUR!$C$5</definedName>
    <definedName name="shift" localSheetId="2">Sensitivities!$G$2</definedName>
    <definedName name="Spread" localSheetId="2">UNICA_EUR!$I$3:$I$17</definedName>
    <definedName name="Spread" localSheetId="1">UNICA_EUR!$I$3:$I$17</definedName>
    <definedName name="Times" localSheetId="2">Sensitivities!$B$25:$B$39</definedName>
  </definedNames>
  <calcPr calcId="145621"/>
</workbook>
</file>

<file path=xl/calcChain.xml><?xml version="1.0" encoding="utf-8"?>
<calcChain xmlns="http://schemas.openxmlformats.org/spreadsheetml/2006/main">
  <c r="AU55" i="17" l="1"/>
  <c r="AZ55" i="17" s="1"/>
  <c r="C62" i="17"/>
  <c r="C52" i="17"/>
  <c r="Z11" i="17"/>
  <c r="AA12" i="17"/>
  <c r="AA7" i="17"/>
  <c r="AA14" i="17"/>
  <c r="Z6" i="17"/>
  <c r="Z10" i="17"/>
  <c r="Z7" i="17"/>
  <c r="Z17" i="17"/>
  <c r="Z5" i="17"/>
  <c r="AA8" i="17"/>
  <c r="AA10" i="17"/>
  <c r="Z14" i="17"/>
  <c r="Z4" i="17"/>
  <c r="AA11" i="17"/>
  <c r="Z16" i="17"/>
  <c r="AA17" i="17"/>
  <c r="AA4" i="17"/>
  <c r="Z9" i="17"/>
  <c r="AA15" i="17"/>
  <c r="Z15" i="17"/>
  <c r="AA5" i="17"/>
  <c r="AA6" i="17"/>
  <c r="Z13" i="17"/>
  <c r="Z8" i="17"/>
  <c r="AA9" i="17"/>
  <c r="AA16" i="17"/>
  <c r="Z12" i="17"/>
  <c r="AA3" i="17"/>
  <c r="Z3" i="17"/>
  <c r="AA13" i="17"/>
  <c r="AU56" i="17"/>
  <c r="AU57" i="17"/>
  <c r="G3" i="17" l="1"/>
  <c r="G12" i="17"/>
  <c r="G8" i="17"/>
  <c r="G13" i="17"/>
  <c r="G15" i="17"/>
  <c r="G9" i="17"/>
  <c r="G16" i="17"/>
  <c r="G4" i="17"/>
  <c r="G14" i="17"/>
  <c r="BB60" i="17"/>
  <c r="BB57" i="17"/>
  <c r="BB61" i="17"/>
  <c r="BB62" i="17"/>
  <c r="G5" i="17"/>
  <c r="BB59" i="17"/>
  <c r="BB63" i="17"/>
  <c r="BB58" i="17"/>
  <c r="BB56" i="17"/>
  <c r="G17" i="17"/>
  <c r="G7" i="17"/>
  <c r="G10" i="17"/>
  <c r="G6" i="17"/>
  <c r="G11" i="17"/>
  <c r="AU62" i="17"/>
  <c r="AU61" i="17"/>
  <c r="AZ56" i="17"/>
  <c r="D39" i="19"/>
  <c r="D38" i="19"/>
  <c r="D37" i="19"/>
  <c r="D36" i="19"/>
  <c r="D35" i="19"/>
  <c r="D34" i="19"/>
  <c r="D33" i="19"/>
  <c r="D32" i="19"/>
  <c r="D31" i="19"/>
  <c r="D30" i="19"/>
  <c r="D29" i="19"/>
  <c r="D28" i="19"/>
  <c r="D27" i="19"/>
  <c r="D26" i="19"/>
  <c r="D25" i="19"/>
  <c r="AH4" i="17"/>
  <c r="AH6" i="17"/>
  <c r="AH5" i="17"/>
  <c r="AH3" i="17"/>
  <c r="Z40" i="17"/>
  <c r="BA56" i="17"/>
  <c r="AA43" i="17"/>
  <c r="BD56" i="17"/>
  <c r="Z41" i="17"/>
  <c r="AZ57" i="17"/>
  <c r="AA31" i="17"/>
  <c r="AV57" i="17"/>
  <c r="Z30" i="17"/>
  <c r="AA39" i="17"/>
  <c r="BD57" i="17"/>
  <c r="AA36" i="17"/>
  <c r="Z35" i="17"/>
  <c r="AA34" i="17"/>
  <c r="AV56" i="17"/>
  <c r="Z39" i="17"/>
  <c r="AA42" i="17"/>
  <c r="Z33" i="17"/>
  <c r="Z43" i="17"/>
  <c r="Z31" i="17"/>
  <c r="Z42" i="17"/>
  <c r="AA40" i="17"/>
  <c r="AA35" i="17"/>
  <c r="AA30" i="17"/>
  <c r="Z34" i="17"/>
  <c r="C19" i="17"/>
  <c r="Z37" i="17"/>
  <c r="AA38" i="17"/>
  <c r="Z38" i="17"/>
  <c r="Z36" i="17"/>
  <c r="AY57" i="17"/>
  <c r="AY56" i="17"/>
  <c r="Z32" i="17"/>
  <c r="AA37" i="17"/>
  <c r="AA32" i="17"/>
  <c r="AA33" i="17"/>
  <c r="AZ58" i="17"/>
  <c r="AA41" i="17"/>
  <c r="AY58" i="17"/>
  <c r="AZ59" i="17"/>
  <c r="BA58" i="17"/>
  <c r="AY59" i="17"/>
  <c r="BA59" i="17"/>
  <c r="AZ60" i="17"/>
  <c r="AZ61" i="17"/>
  <c r="AY60" i="17"/>
  <c r="BA60" i="17"/>
  <c r="BA61" i="17"/>
  <c r="AZ62" i="17"/>
  <c r="AY61" i="17"/>
  <c r="BA62" i="17"/>
  <c r="AZ63" i="17"/>
  <c r="AY62" i="17"/>
  <c r="AZ64" i="17"/>
  <c r="AY63" i="17"/>
  <c r="BA63" i="17"/>
  <c r="BC63" i="17" l="1"/>
  <c r="BC62" i="17"/>
  <c r="BC61" i="17"/>
  <c r="BC60" i="17"/>
  <c r="BC59" i="17"/>
  <c r="BC58" i="17"/>
  <c r="BC57" i="17"/>
  <c r="BC56" i="17"/>
  <c r="C14" i="17"/>
  <c r="BA57" i="17"/>
  <c r="BD63" i="17"/>
  <c r="BD58" i="17"/>
  <c r="BD59" i="17"/>
  <c r="BD62" i="17"/>
  <c r="BD61" i="17"/>
  <c r="BD60" i="17"/>
  <c r="C2" i="18" l="1"/>
  <c r="J17" i="18" s="1"/>
  <c r="J4" i="18" l="1"/>
  <c r="H6" i="18"/>
  <c r="I6" i="18"/>
  <c r="H4" i="18"/>
  <c r="H11" i="18"/>
  <c r="J3" i="18"/>
  <c r="H12" i="18"/>
  <c r="J10" i="18"/>
  <c r="I11" i="18"/>
  <c r="J11" i="18"/>
  <c r="H7" i="18"/>
  <c r="I14" i="18"/>
  <c r="J7" i="18"/>
  <c r="H15" i="18"/>
  <c r="J6" i="18"/>
  <c r="I7" i="18"/>
  <c r="G13" i="18"/>
  <c r="H8" i="18"/>
  <c r="I15" i="18"/>
  <c r="H3" i="18"/>
  <c r="H10" i="18"/>
  <c r="J15" i="18"/>
  <c r="H14" i="18"/>
  <c r="J14" i="18"/>
  <c r="I3" i="18"/>
  <c r="I10" i="18"/>
  <c r="H16" i="18"/>
  <c r="I4" i="18"/>
  <c r="I8" i="18"/>
  <c r="I12" i="18"/>
  <c r="I16" i="18"/>
  <c r="J8" i="18"/>
  <c r="J12" i="18"/>
  <c r="J16" i="18"/>
  <c r="H5" i="18"/>
  <c r="H9" i="18"/>
  <c r="H13" i="18"/>
  <c r="H17" i="18"/>
  <c r="I5" i="18"/>
  <c r="I9" i="18"/>
  <c r="I13" i="18"/>
  <c r="I17" i="18"/>
  <c r="J5" i="18"/>
  <c r="J9" i="18"/>
  <c r="J13" i="18"/>
  <c r="G15" i="18"/>
  <c r="G14" i="18"/>
  <c r="G12" i="18"/>
  <c r="G11" i="18"/>
  <c r="G9" i="18"/>
  <c r="G3" i="18"/>
  <c r="G7" i="18"/>
  <c r="G4" i="18"/>
  <c r="G6" i="18"/>
  <c r="G10" i="18"/>
  <c r="G8" i="18"/>
  <c r="G17" i="18"/>
  <c r="G5" i="18"/>
  <c r="G16" i="18"/>
  <c r="AN48" i="17"/>
  <c r="AN47" i="17"/>
  <c r="AN46" i="17"/>
  <c r="C5" i="17"/>
  <c r="C4" i="17"/>
  <c r="C3" i="17"/>
  <c r="F17" i="17" l="1"/>
  <c r="F16" i="17"/>
  <c r="F15" i="17"/>
  <c r="F14" i="17"/>
  <c r="F13" i="17"/>
  <c r="E17" i="19" s="1"/>
  <c r="E35" i="19" s="1"/>
  <c r="F12" i="17"/>
  <c r="F11" i="17"/>
  <c r="F10" i="17"/>
  <c r="F9" i="17"/>
  <c r="F8" i="17"/>
  <c r="E12" i="19" s="1"/>
  <c r="E30" i="19" s="1"/>
  <c r="F7" i="17"/>
  <c r="F6" i="17"/>
  <c r="E10" i="19" s="1"/>
  <c r="E28" i="19" s="1"/>
  <c r="F5" i="17"/>
  <c r="F4" i="17"/>
  <c r="F3" i="17"/>
  <c r="C20" i="17"/>
  <c r="C34" i="17"/>
  <c r="C1" i="17"/>
  <c r="BE57" i="17" l="1"/>
  <c r="BE58" i="17"/>
  <c r="BE59" i="17"/>
  <c r="BE60" i="17"/>
  <c r="BE61" i="17"/>
  <c r="BE62" i="17"/>
  <c r="BE63" i="17"/>
  <c r="BE56" i="17"/>
  <c r="E10" i="18"/>
  <c r="E14" i="19"/>
  <c r="E32" i="19" s="1"/>
  <c r="E3" i="18"/>
  <c r="E7" i="19"/>
  <c r="E11" i="18"/>
  <c r="E15" i="19"/>
  <c r="E33" i="19" s="1"/>
  <c r="E4" i="18"/>
  <c r="E8" i="19"/>
  <c r="E26" i="19" s="1"/>
  <c r="E12" i="18"/>
  <c r="E16" i="19"/>
  <c r="E34" i="19" s="1"/>
  <c r="E5" i="18"/>
  <c r="E9" i="19"/>
  <c r="E27" i="19" s="1"/>
  <c r="E14" i="18"/>
  <c r="E18" i="19"/>
  <c r="E36" i="19" s="1"/>
  <c r="E7" i="18"/>
  <c r="E11" i="19"/>
  <c r="E29" i="19" s="1"/>
  <c r="E15" i="18"/>
  <c r="E19" i="19"/>
  <c r="E37" i="19" s="1"/>
  <c r="E16" i="18"/>
  <c r="E20" i="19"/>
  <c r="E38" i="19" s="1"/>
  <c r="E9" i="18"/>
  <c r="E13" i="19"/>
  <c r="E31" i="19" s="1"/>
  <c r="E17" i="18"/>
  <c r="E21" i="19"/>
  <c r="E39" i="19" s="1"/>
  <c r="AJ39" i="17"/>
  <c r="E8" i="18"/>
  <c r="AJ40" i="17"/>
  <c r="E13" i="18"/>
  <c r="AJ38" i="17"/>
  <c r="E6" i="18"/>
  <c r="J15" i="17"/>
  <c r="J16" i="17"/>
  <c r="J17" i="17"/>
  <c r="C44" i="17"/>
  <c r="C6" i="17"/>
  <c r="K6" i="17"/>
  <c r="K14" i="17"/>
  <c r="K9" i="17"/>
  <c r="K10" i="17"/>
  <c r="K7" i="17"/>
  <c r="K15" i="17"/>
  <c r="K16" i="17"/>
  <c r="K11" i="17"/>
  <c r="C22" i="17"/>
  <c r="K3" i="17"/>
  <c r="K17" i="17"/>
  <c r="K12" i="17"/>
  <c r="K8" i="17"/>
  <c r="K13" i="17"/>
  <c r="K5" i="17"/>
  <c r="K4" i="17"/>
  <c r="AW69" i="17" l="1"/>
  <c r="F6" i="19" a="1"/>
  <c r="E25" i="19"/>
  <c r="C24" i="17"/>
  <c r="O7" i="17"/>
  <c r="O3" i="17"/>
  <c r="L15" i="17"/>
  <c r="O17" i="17"/>
  <c r="O15" i="17"/>
  <c r="L14" i="17"/>
  <c r="O6" i="17"/>
  <c r="O9" i="17"/>
  <c r="L12" i="17"/>
  <c r="O14" i="17"/>
  <c r="L9" i="17"/>
  <c r="L6" i="17"/>
  <c r="L17" i="17"/>
  <c r="L3" i="17"/>
  <c r="O12" i="17"/>
  <c r="O5" i="17"/>
  <c r="L5" i="17"/>
  <c r="L7" i="17"/>
  <c r="O4" i="17"/>
  <c r="L11" i="17"/>
  <c r="L13" i="17"/>
  <c r="L10" i="17"/>
  <c r="L4" i="17"/>
  <c r="O13" i="17"/>
  <c r="O8" i="17"/>
  <c r="O10" i="17"/>
  <c r="L8" i="17"/>
  <c r="L16" i="17"/>
  <c r="O11" i="17"/>
  <c r="O16" i="17"/>
  <c r="M15" i="17"/>
  <c r="M16" i="17"/>
  <c r="M17" i="17"/>
  <c r="C25" i="17" l="1"/>
  <c r="H6" i="19"/>
  <c r="H24" i="19" s="1"/>
  <c r="M6" i="19"/>
  <c r="M24" i="19" s="1"/>
  <c r="G6" i="19"/>
  <c r="G24" i="19" s="1"/>
  <c r="N6" i="19"/>
  <c r="N24" i="19" s="1"/>
  <c r="I6" i="19"/>
  <c r="I24" i="19" s="1"/>
  <c r="O6" i="19"/>
  <c r="O24" i="19" s="1"/>
  <c r="S6" i="19"/>
  <c r="S24" i="19" s="1"/>
  <c r="P6" i="19"/>
  <c r="P24" i="19" s="1"/>
  <c r="J6" i="19"/>
  <c r="J24" i="19" s="1"/>
  <c r="Q6" i="19"/>
  <c r="Q24" i="19" s="1"/>
  <c r="K6" i="19"/>
  <c r="K24" i="19" s="1"/>
  <c r="F6" i="19"/>
  <c r="F24" i="19" s="1"/>
  <c r="L6" i="19"/>
  <c r="L24" i="19" s="1"/>
  <c r="R6" i="19"/>
  <c r="R24" i="19" s="1"/>
  <c r="T6" i="19"/>
  <c r="T24" i="19" s="1"/>
  <c r="I24" i="17" a="1"/>
  <c r="N17" i="17"/>
  <c r="N15" i="17"/>
  <c r="N16" i="17"/>
  <c r="I24" i="17" l="1"/>
  <c r="P26" i="17" s="1"/>
  <c r="I88" i="17"/>
  <c r="I57" i="17"/>
  <c r="I26" i="17"/>
  <c r="P28" i="17" s="1"/>
  <c r="I90" i="17"/>
  <c r="I67" i="17"/>
  <c r="I44" i="17"/>
  <c r="P46" i="17" s="1"/>
  <c r="I108" i="17"/>
  <c r="I85" i="17"/>
  <c r="I62" i="17"/>
  <c r="I39" i="17"/>
  <c r="P41" i="17" s="1"/>
  <c r="I111" i="17"/>
  <c r="I48" i="17"/>
  <c r="P50" i="17" s="1"/>
  <c r="I81" i="17"/>
  <c r="I91" i="17"/>
  <c r="I109" i="17"/>
  <c r="I56" i="17"/>
  <c r="P58" i="17" s="1"/>
  <c r="I35" i="17"/>
  <c r="P37" i="17" s="1"/>
  <c r="I53" i="17"/>
  <c r="P55" i="17" s="1"/>
  <c r="I94" i="17"/>
  <c r="I33" i="17"/>
  <c r="P35" i="17" s="1"/>
  <c r="I66" i="17"/>
  <c r="I84" i="17"/>
  <c r="I72" i="17"/>
  <c r="I74" i="17"/>
  <c r="I92" i="17"/>
  <c r="I110" i="17"/>
  <c r="I113" i="17"/>
  <c r="I100" i="17"/>
  <c r="I31" i="17"/>
  <c r="P33" i="17" s="1"/>
  <c r="I32" i="17"/>
  <c r="P34" i="17" s="1"/>
  <c r="I96" i="17"/>
  <c r="I65" i="17"/>
  <c r="I34" i="17"/>
  <c r="P36" i="17" s="1"/>
  <c r="I98" i="17"/>
  <c r="I75" i="17"/>
  <c r="I52" i="17"/>
  <c r="P54" i="17" s="1"/>
  <c r="I29" i="17"/>
  <c r="P31" i="17" s="1"/>
  <c r="I93" i="17"/>
  <c r="I70" i="17"/>
  <c r="I47" i="17"/>
  <c r="P49" i="17" s="1"/>
  <c r="I103" i="17"/>
  <c r="I112" i="17"/>
  <c r="I27" i="17"/>
  <c r="P29" i="17" s="1"/>
  <c r="I45" i="17"/>
  <c r="P47" i="17" s="1"/>
  <c r="I63" i="17"/>
  <c r="I89" i="17"/>
  <c r="I99" i="17"/>
  <c r="I30" i="17"/>
  <c r="P32" i="17" s="1"/>
  <c r="I64" i="17"/>
  <c r="I43" i="17"/>
  <c r="P45" i="17" s="1"/>
  <c r="I38" i="17"/>
  <c r="P40" i="17" s="1"/>
  <c r="I41" i="17"/>
  <c r="P43" i="17" s="1"/>
  <c r="I51" i="17"/>
  <c r="P53" i="17" s="1"/>
  <c r="I46" i="17"/>
  <c r="P48" i="17" s="1"/>
  <c r="I80" i="17"/>
  <c r="I82" i="17"/>
  <c r="I54" i="17"/>
  <c r="P56" i="17" s="1"/>
  <c r="I40" i="17"/>
  <c r="P42" i="17" s="1"/>
  <c r="I104" i="17"/>
  <c r="I73" i="17"/>
  <c r="I42" i="17"/>
  <c r="P44" i="17" s="1"/>
  <c r="I106" i="17"/>
  <c r="I83" i="17"/>
  <c r="I60" i="17"/>
  <c r="I37" i="17"/>
  <c r="P39" i="17" s="1"/>
  <c r="I101" i="17"/>
  <c r="I78" i="17"/>
  <c r="I55" i="17"/>
  <c r="P57" i="17" s="1"/>
  <c r="I50" i="17"/>
  <c r="P52" i="17" s="1"/>
  <c r="I68" i="17"/>
  <c r="I86" i="17"/>
  <c r="I25" i="17"/>
  <c r="P27" i="17" s="1"/>
  <c r="I58" i="17"/>
  <c r="I76" i="17"/>
  <c r="I97" i="17"/>
  <c r="I107" i="17"/>
  <c r="I61" i="17"/>
  <c r="I79" i="17"/>
  <c r="I105" i="17"/>
  <c r="I28" i="17"/>
  <c r="P30" i="17" s="1"/>
  <c r="I69" i="17"/>
  <c r="I87" i="17"/>
  <c r="I49" i="17"/>
  <c r="P51" i="17" s="1"/>
  <c r="I59" i="17"/>
  <c r="I77" i="17"/>
  <c r="I95" i="17"/>
  <c r="I71" i="17"/>
  <c r="I102" i="17"/>
  <c r="I36" i="17"/>
  <c r="P38" i="17" s="1"/>
  <c r="G24" i="17" a="1"/>
  <c r="E24" i="17" a="1"/>
  <c r="K24" i="17" a="1"/>
  <c r="J69" i="17"/>
  <c r="J99" i="17"/>
  <c r="J109" i="17"/>
  <c r="J38" i="17"/>
  <c r="J96" i="17"/>
  <c r="J80" i="17"/>
  <c r="J88" i="17"/>
  <c r="J63" i="17"/>
  <c r="J30" i="17"/>
  <c r="J92" i="17"/>
  <c r="J76" i="17"/>
  <c r="J59" i="17"/>
  <c r="J102" i="17"/>
  <c r="J84" i="17"/>
  <c r="J83" i="17"/>
  <c r="J82" i="17"/>
  <c r="J112" i="17"/>
  <c r="J55" i="17"/>
  <c r="J41" i="17"/>
  <c r="J35" i="17"/>
  <c r="J86" i="17"/>
  <c r="J78" i="17"/>
  <c r="J105" i="17"/>
  <c r="J60" i="17"/>
  <c r="J67" i="17"/>
  <c r="J57" i="17"/>
  <c r="J89" i="17"/>
  <c r="J48" i="17"/>
  <c r="J42" i="17"/>
  <c r="J73" i="17"/>
  <c r="J26" i="17"/>
  <c r="J85" i="17"/>
  <c r="J34" i="17"/>
  <c r="J77" i="17"/>
  <c r="J68" i="17"/>
  <c r="J64" i="17"/>
  <c r="J32" i="17"/>
  <c r="J52" i="17"/>
  <c r="J43" i="17"/>
  <c r="J74" i="17"/>
  <c r="J104" i="17"/>
  <c r="J75" i="17"/>
  <c r="J95" i="17"/>
  <c r="J113" i="17"/>
  <c r="J111" i="17"/>
  <c r="J40" i="17"/>
  <c r="J72" i="17"/>
  <c r="J46" i="17"/>
  <c r="J97" i="17"/>
  <c r="J70" i="17"/>
  <c r="J87" i="17"/>
  <c r="J91" i="17"/>
  <c r="J107" i="17"/>
  <c r="J28" i="17"/>
  <c r="J29" i="17"/>
  <c r="J62" i="17"/>
  <c r="J90" i="17"/>
  <c r="J101" i="17"/>
  <c r="J37" i="17"/>
  <c r="J98" i="17"/>
  <c r="J44" i="17"/>
  <c r="J50" i="17"/>
  <c r="J24" i="17"/>
  <c r="J106" i="17"/>
  <c r="J33" i="17"/>
  <c r="J110" i="17"/>
  <c r="J45" i="17"/>
  <c r="J100" i="17"/>
  <c r="J94" i="17"/>
  <c r="J61" i="17"/>
  <c r="J27" i="17"/>
  <c r="J71" i="17"/>
  <c r="J56" i="17"/>
  <c r="J47" i="17"/>
  <c r="J31" i="17"/>
  <c r="J66" i="17"/>
  <c r="J49" i="17"/>
  <c r="J53" i="17"/>
  <c r="J58" i="17"/>
  <c r="J54" i="17"/>
  <c r="J81" i="17"/>
  <c r="J103" i="17"/>
  <c r="J93" i="17"/>
  <c r="J51" i="17"/>
  <c r="J108" i="17"/>
  <c r="J25" i="17"/>
  <c r="J65" i="17"/>
  <c r="J36" i="17"/>
  <c r="J79" i="17"/>
  <c r="J39" i="17"/>
  <c r="K83" i="17" l="1"/>
  <c r="K81" i="17"/>
  <c r="K87" i="17"/>
  <c r="K53" i="17"/>
  <c r="K66" i="17"/>
  <c r="K103" i="17"/>
  <c r="K69" i="17"/>
  <c r="K82" i="17"/>
  <c r="K88" i="17"/>
  <c r="K62" i="17"/>
  <c r="K52" i="17"/>
  <c r="K60" i="17"/>
  <c r="K50" i="17"/>
  <c r="K56" i="17"/>
  <c r="K30" i="17"/>
  <c r="K43" i="17"/>
  <c r="K72" i="17"/>
  <c r="K46" i="17"/>
  <c r="K59" i="17"/>
  <c r="K57" i="17"/>
  <c r="K63" i="17"/>
  <c r="K29" i="17"/>
  <c r="K71" i="17"/>
  <c r="K37" i="17"/>
  <c r="K27" i="17"/>
  <c r="K25" i="17"/>
  <c r="K94" i="17"/>
  <c r="K107" i="17"/>
  <c r="K41" i="17"/>
  <c r="K110" i="17"/>
  <c r="K36" i="17"/>
  <c r="K26" i="17"/>
  <c r="K32" i="17"/>
  <c r="K93" i="17"/>
  <c r="K40" i="17"/>
  <c r="K101" i="17"/>
  <c r="K91" i="17"/>
  <c r="K89" i="17"/>
  <c r="K31" i="17"/>
  <c r="K84" i="17"/>
  <c r="K105" i="17"/>
  <c r="K47" i="17"/>
  <c r="K100" i="17"/>
  <c r="K90" i="17"/>
  <c r="K96" i="17"/>
  <c r="K70" i="17"/>
  <c r="K104" i="17"/>
  <c r="K68" i="17"/>
  <c r="K95" i="17"/>
  <c r="K74" i="17"/>
  <c r="K77" i="17"/>
  <c r="K65" i="17"/>
  <c r="K73" i="17"/>
  <c r="K45" i="17"/>
  <c r="K64" i="17"/>
  <c r="K51" i="17"/>
  <c r="K54" i="17"/>
  <c r="K34" i="17"/>
  <c r="K42" i="17"/>
  <c r="K109" i="17"/>
  <c r="K33" i="17"/>
  <c r="K28" i="17"/>
  <c r="K55" i="17"/>
  <c r="K98" i="17"/>
  <c r="K106" i="17"/>
  <c r="K86" i="17"/>
  <c r="K97" i="17"/>
  <c r="K92" i="17"/>
  <c r="K24" i="17"/>
  <c r="K75" i="17"/>
  <c r="K78" i="17"/>
  <c r="K58" i="17"/>
  <c r="K61" i="17"/>
  <c r="K111" i="17"/>
  <c r="K67" i="17"/>
  <c r="K79" i="17"/>
  <c r="K35" i="17"/>
  <c r="K38" i="17"/>
  <c r="K80" i="17"/>
  <c r="K44" i="17"/>
  <c r="K48" i="17"/>
  <c r="K99" i="17"/>
  <c r="K102" i="17"/>
  <c r="K49" i="17"/>
  <c r="K108" i="17"/>
  <c r="K112" i="17"/>
  <c r="K76" i="17"/>
  <c r="K39" i="17"/>
  <c r="K113" i="17"/>
  <c r="K85" i="17"/>
  <c r="G64" i="17"/>
  <c r="G38" i="17"/>
  <c r="G57" i="17"/>
  <c r="G52" i="17"/>
  <c r="G48" i="17"/>
  <c r="G35" i="17"/>
  <c r="G74" i="17"/>
  <c r="G80" i="17"/>
  <c r="G67" i="17"/>
  <c r="G40" i="17"/>
  <c r="G68" i="17"/>
  <c r="G33" i="17"/>
  <c r="G102" i="17"/>
  <c r="G90" i="17"/>
  <c r="G93" i="17"/>
  <c r="G81" i="17"/>
  <c r="G76" i="17"/>
  <c r="G51" i="17"/>
  <c r="G49" i="17"/>
  <c r="G85" i="17"/>
  <c r="G73" i="17"/>
  <c r="G109" i="17"/>
  <c r="G97" i="17"/>
  <c r="G111" i="17"/>
  <c r="G44" i="17"/>
  <c r="G71" i="17"/>
  <c r="G50" i="17"/>
  <c r="G30" i="17"/>
  <c r="G28" i="17"/>
  <c r="G82" i="17"/>
  <c r="G62" i="17"/>
  <c r="G106" i="17"/>
  <c r="G87" i="17"/>
  <c r="G66" i="17"/>
  <c r="G113" i="17"/>
  <c r="G108" i="17"/>
  <c r="G104" i="17"/>
  <c r="G43" i="17"/>
  <c r="G63" i="17"/>
  <c r="G91" i="17"/>
  <c r="G41" i="17"/>
  <c r="G54" i="17"/>
  <c r="G70" i="17"/>
  <c r="G99" i="17"/>
  <c r="G107" i="17"/>
  <c r="G96" i="17"/>
  <c r="G45" i="17"/>
  <c r="G105" i="17"/>
  <c r="G55" i="17"/>
  <c r="G60" i="17"/>
  <c r="G53" i="17"/>
  <c r="G84" i="17"/>
  <c r="G34" i="17"/>
  <c r="G86" i="17"/>
  <c r="G92" i="17"/>
  <c r="G88" i="17"/>
  <c r="G101" i="17"/>
  <c r="G94" i="17"/>
  <c r="G61" i="17"/>
  <c r="G75" i="17"/>
  <c r="G56" i="17"/>
  <c r="G69" i="17"/>
  <c r="G26" i="17"/>
  <c r="G79" i="17"/>
  <c r="G59" i="17"/>
  <c r="G42" i="17"/>
  <c r="G89" i="17"/>
  <c r="G46" i="17"/>
  <c r="G32" i="17"/>
  <c r="G112" i="17"/>
  <c r="G100" i="17"/>
  <c r="G83" i="17"/>
  <c r="G39" i="17"/>
  <c r="G110" i="17"/>
  <c r="G65" i="17"/>
  <c r="G27" i="17"/>
  <c r="G31" i="17"/>
  <c r="G77" i="17"/>
  <c r="G37" i="17"/>
  <c r="G103" i="17"/>
  <c r="G47" i="17"/>
  <c r="G98" i="17"/>
  <c r="G25" i="17"/>
  <c r="G95" i="17"/>
  <c r="G24" i="17"/>
  <c r="G78" i="17"/>
  <c r="G72" i="17"/>
  <c r="G36" i="17"/>
  <c r="G29" i="17"/>
  <c r="G58" i="17"/>
  <c r="C51" i="17"/>
  <c r="E82" i="17"/>
  <c r="E81" i="17"/>
  <c r="E86" i="17"/>
  <c r="E70" i="17"/>
  <c r="E46" i="17"/>
  <c r="E89" i="17"/>
  <c r="E41" i="17"/>
  <c r="E84" i="17"/>
  <c r="E34" i="17"/>
  <c r="E24" i="17"/>
  <c r="E33" i="17"/>
  <c r="E69" i="17"/>
  <c r="E94" i="17"/>
  <c r="E79" i="17"/>
  <c r="E73" i="17"/>
  <c r="E67" i="17"/>
  <c r="E100" i="17"/>
  <c r="E27" i="17"/>
  <c r="E61" i="17"/>
  <c r="E59" i="17"/>
  <c r="E28" i="17"/>
  <c r="E26" i="17"/>
  <c r="E96" i="17"/>
  <c r="E80" i="17"/>
  <c r="E57" i="17"/>
  <c r="E75" i="17"/>
  <c r="E87" i="17"/>
  <c r="E109" i="17"/>
  <c r="E97" i="17"/>
  <c r="E90" i="17"/>
  <c r="E31" i="17"/>
  <c r="E105" i="17"/>
  <c r="E58" i="17"/>
  <c r="E98" i="17"/>
  <c r="E44" i="17"/>
  <c r="E112" i="17"/>
  <c r="E42" i="17"/>
  <c r="E43" i="17"/>
  <c r="E29" i="17"/>
  <c r="E39" i="17"/>
  <c r="E65" i="17"/>
  <c r="E110" i="17"/>
  <c r="E55" i="17"/>
  <c r="E76" i="17"/>
  <c r="E63" i="17"/>
  <c r="E104" i="17"/>
  <c r="E47" i="17"/>
  <c r="E36" i="17"/>
  <c r="E91" i="17"/>
  <c r="E62" i="17"/>
  <c r="E111" i="17"/>
  <c r="E103" i="17"/>
  <c r="E37" i="17"/>
  <c r="E60" i="17"/>
  <c r="E85" i="17"/>
  <c r="E93" i="17"/>
  <c r="E71" i="17"/>
  <c r="E99" i="17"/>
  <c r="E35" i="17"/>
  <c r="E66" i="17"/>
  <c r="E101" i="17"/>
  <c r="E53" i="17"/>
  <c r="E88" i="17"/>
  <c r="E78" i="17"/>
  <c r="E48" i="17"/>
  <c r="E52" i="17"/>
  <c r="E77" i="17"/>
  <c r="E113" i="17"/>
  <c r="E83" i="17"/>
  <c r="E92" i="17"/>
  <c r="E30" i="17"/>
  <c r="E74" i="17"/>
  <c r="E49" i="17"/>
  <c r="E32" i="17"/>
  <c r="E72" i="17"/>
  <c r="E38" i="17"/>
  <c r="E106" i="17"/>
  <c r="E107" i="17"/>
  <c r="E56" i="17"/>
  <c r="E40" i="17"/>
  <c r="E108" i="17"/>
  <c r="E102" i="17"/>
  <c r="E25" i="17"/>
  <c r="N25" i="17" s="1"/>
  <c r="P25" i="17" s="1"/>
  <c r="E68" i="17"/>
  <c r="E45" i="17"/>
  <c r="E54" i="17"/>
  <c r="E95" i="17"/>
  <c r="E51" i="17"/>
  <c r="E50" i="17"/>
  <c r="E64" i="17"/>
  <c r="L83" i="17"/>
  <c r="L88" i="17"/>
  <c r="L72" i="17"/>
  <c r="L27" i="17"/>
  <c r="L32" i="17"/>
  <c r="L105" i="17"/>
  <c r="L95" i="17"/>
  <c r="L54" i="17"/>
  <c r="L106" i="17"/>
  <c r="L61" i="17"/>
  <c r="L48" i="17"/>
  <c r="L113" i="17"/>
  <c r="H74" i="17"/>
  <c r="H93" i="17"/>
  <c r="H97" i="17"/>
  <c r="H62" i="17"/>
  <c r="H63" i="17"/>
  <c r="H45" i="17"/>
  <c r="H92" i="17"/>
  <c r="H26" i="17"/>
  <c r="H100" i="17"/>
  <c r="H37" i="17"/>
  <c r="H72" i="17"/>
  <c r="Z48" i="17"/>
  <c r="Y46" i="17"/>
  <c r="Z46" i="17"/>
  <c r="L81" i="17"/>
  <c r="L62" i="17"/>
  <c r="L46" i="17"/>
  <c r="L25" i="17"/>
  <c r="L93" i="17"/>
  <c r="L47" i="17"/>
  <c r="L74" i="17"/>
  <c r="L34" i="17"/>
  <c r="L86" i="17"/>
  <c r="L111" i="17"/>
  <c r="L99" i="17"/>
  <c r="L85" i="17"/>
  <c r="H80" i="17"/>
  <c r="H81" i="17"/>
  <c r="H111" i="17"/>
  <c r="H106" i="17"/>
  <c r="H91" i="17"/>
  <c r="H105" i="17"/>
  <c r="H88" i="17"/>
  <c r="H79" i="17"/>
  <c r="H83" i="17"/>
  <c r="H103" i="17"/>
  <c r="H36" i="17"/>
  <c r="Y57" i="17"/>
  <c r="Z47" i="17"/>
  <c r="Y51" i="17"/>
  <c r="Y47" i="17"/>
  <c r="L87" i="17"/>
  <c r="L52" i="17"/>
  <c r="L59" i="17"/>
  <c r="L94" i="17"/>
  <c r="L40" i="17"/>
  <c r="L100" i="17"/>
  <c r="L77" i="17"/>
  <c r="L42" i="17"/>
  <c r="L97" i="17"/>
  <c r="L67" i="17"/>
  <c r="L102" i="17"/>
  <c r="H64" i="17"/>
  <c r="H67" i="17"/>
  <c r="H76" i="17"/>
  <c r="H44" i="17"/>
  <c r="H87" i="17"/>
  <c r="H41" i="17"/>
  <c r="H55" i="17"/>
  <c r="H101" i="17"/>
  <c r="H59" i="17"/>
  <c r="H39" i="17"/>
  <c r="H47" i="17"/>
  <c r="H29" i="17"/>
  <c r="Y48" i="17"/>
  <c r="Z49" i="17"/>
  <c r="Z58" i="17"/>
  <c r="Y55" i="17"/>
  <c r="L53" i="17"/>
  <c r="L60" i="17"/>
  <c r="L57" i="17"/>
  <c r="L107" i="17"/>
  <c r="L101" i="17"/>
  <c r="L90" i="17"/>
  <c r="L65" i="17"/>
  <c r="L109" i="17"/>
  <c r="L92" i="17"/>
  <c r="L79" i="17"/>
  <c r="L49" i="17"/>
  <c r="H38" i="17"/>
  <c r="H40" i="17"/>
  <c r="H51" i="17"/>
  <c r="H71" i="17"/>
  <c r="H66" i="17"/>
  <c r="H54" i="17"/>
  <c r="H60" i="17"/>
  <c r="H94" i="17"/>
  <c r="H42" i="17"/>
  <c r="H110" i="17"/>
  <c r="H98" i="17"/>
  <c r="H58" i="17"/>
  <c r="Y56" i="17"/>
  <c r="Y59" i="17"/>
  <c r="Z51" i="17"/>
  <c r="Y54" i="17"/>
  <c r="L66" i="17"/>
  <c r="L50" i="17"/>
  <c r="L63" i="17"/>
  <c r="L41" i="17"/>
  <c r="L91" i="17"/>
  <c r="L96" i="17"/>
  <c r="L73" i="17"/>
  <c r="L33" i="17"/>
  <c r="L24" i="17"/>
  <c r="L35" i="17"/>
  <c r="L108" i="17"/>
  <c r="H57" i="17"/>
  <c r="H68" i="17"/>
  <c r="H49" i="17"/>
  <c r="H50" i="17"/>
  <c r="H113" i="17"/>
  <c r="H70" i="17"/>
  <c r="H53" i="17"/>
  <c r="H61" i="17"/>
  <c r="H89" i="17"/>
  <c r="H65" i="17"/>
  <c r="H25" i="17"/>
  <c r="Y49" i="17"/>
  <c r="Z53" i="17"/>
  <c r="Y53" i="17"/>
  <c r="H85" i="17"/>
  <c r="H84" i="17"/>
  <c r="H46" i="17"/>
  <c r="H27" i="17"/>
  <c r="Z55" i="17"/>
  <c r="Z52" i="17"/>
  <c r="L30" i="17"/>
  <c r="L71" i="17"/>
  <c r="L31" i="17"/>
  <c r="L104" i="17"/>
  <c r="L55" i="17"/>
  <c r="L80" i="17"/>
  <c r="H48" i="17"/>
  <c r="H102" i="17"/>
  <c r="H28" i="17"/>
  <c r="H34" i="17"/>
  <c r="H31" i="17"/>
  <c r="Z54" i="17"/>
  <c r="L43" i="17"/>
  <c r="L26" i="17"/>
  <c r="L68" i="17"/>
  <c r="L98" i="17"/>
  <c r="L58" i="17"/>
  <c r="L39" i="17"/>
  <c r="H109" i="17"/>
  <c r="H96" i="17"/>
  <c r="H69" i="17"/>
  <c r="H77" i="17"/>
  <c r="Z56" i="17"/>
  <c r="Y58" i="17"/>
  <c r="H108" i="17"/>
  <c r="H95" i="17"/>
  <c r="Z57" i="17"/>
  <c r="L69" i="17"/>
  <c r="L36" i="17"/>
  <c r="L64" i="17"/>
  <c r="L78" i="17"/>
  <c r="L76" i="17"/>
  <c r="H73" i="17"/>
  <c r="H104" i="17"/>
  <c r="H107" i="17"/>
  <c r="H56" i="17"/>
  <c r="H32" i="17"/>
  <c r="H24" i="17"/>
  <c r="Z50" i="17"/>
  <c r="L37" i="17"/>
  <c r="L84" i="17"/>
  <c r="L51" i="17"/>
  <c r="L44" i="17"/>
  <c r="H90" i="17"/>
  <c r="H82" i="17"/>
  <c r="H43" i="17"/>
  <c r="H86" i="17"/>
  <c r="H112" i="17"/>
  <c r="H78" i="17"/>
  <c r="Z59" i="17"/>
  <c r="L82" i="17"/>
  <c r="Y50" i="17"/>
  <c r="L103" i="17"/>
  <c r="L56" i="17"/>
  <c r="L29" i="17"/>
  <c r="L110" i="17"/>
  <c r="L89" i="17"/>
  <c r="L70" i="17"/>
  <c r="L45" i="17"/>
  <c r="L28" i="17"/>
  <c r="L75" i="17"/>
  <c r="L38" i="17"/>
  <c r="L112" i="17"/>
  <c r="H52" i="17"/>
  <c r="H33" i="17"/>
  <c r="H30" i="17"/>
  <c r="H99" i="17"/>
  <c r="H75" i="17"/>
  <c r="Y52" i="17"/>
  <c r="H35" i="17"/>
  <c r="N37" i="17" l="1"/>
  <c r="N32" i="17"/>
  <c r="N35" i="17"/>
  <c r="N54" i="17"/>
  <c r="N45" i="17"/>
  <c r="N26" i="17"/>
  <c r="N34" i="17"/>
  <c r="N58" i="17"/>
  <c r="N33" i="17"/>
  <c r="N36" i="17"/>
  <c r="N30" i="17"/>
  <c r="N50" i="17"/>
  <c r="N29" i="17"/>
  <c r="N48" i="17"/>
  <c r="C61" i="17"/>
  <c r="N27" i="17"/>
  <c r="N55" i="17"/>
  <c r="N52" i="17"/>
  <c r="N51" i="17"/>
  <c r="N59" i="17"/>
  <c r="N60" i="17"/>
  <c r="N44" i="17"/>
  <c r="N62" i="17"/>
  <c r="N56" i="17"/>
  <c r="N53" i="17"/>
  <c r="N42" i="17"/>
  <c r="N40" i="17"/>
  <c r="N31" i="17"/>
  <c r="N49" i="17"/>
  <c r="N41" i="17"/>
  <c r="N61" i="17"/>
  <c r="N57" i="17"/>
  <c r="N43" i="17"/>
  <c r="N46" i="17"/>
  <c r="N38" i="17"/>
  <c r="C41" i="17"/>
  <c r="N39" i="17"/>
  <c r="N28" i="17"/>
  <c r="N47" i="17"/>
  <c r="AA53" i="17"/>
  <c r="AA54" i="17"/>
  <c r="AA55" i="17"/>
  <c r="AA47" i="17"/>
  <c r="AA52" i="17"/>
  <c r="AA51" i="17"/>
  <c r="AA46" i="17"/>
  <c r="AA50" i="17"/>
  <c r="AA58" i="17"/>
  <c r="AA59" i="17"/>
  <c r="AA49" i="17"/>
  <c r="AA56" i="17"/>
  <c r="AA48" i="17"/>
  <c r="AA57" i="17"/>
  <c r="J4" i="17"/>
  <c r="J12" i="17"/>
  <c r="J5" i="17"/>
  <c r="J13" i="17"/>
  <c r="J6" i="17"/>
  <c r="J14" i="17"/>
  <c r="J7" i="17"/>
  <c r="J8" i="17"/>
  <c r="J9" i="17"/>
  <c r="J10" i="17"/>
  <c r="J11" i="17"/>
  <c r="N24" i="17"/>
  <c r="P24" i="17" s="1"/>
  <c r="C31" i="17"/>
  <c r="F87" i="17"/>
  <c r="F38" i="17"/>
  <c r="F79" i="17"/>
  <c r="F104" i="17"/>
  <c r="F42" i="17"/>
  <c r="F46" i="17"/>
  <c r="F53" i="17"/>
  <c r="M5" i="17"/>
  <c r="F108" i="17"/>
  <c r="F74" i="17"/>
  <c r="F112" i="17"/>
  <c r="F100" i="17"/>
  <c r="F90" i="17"/>
  <c r="F56" i="17"/>
  <c r="F34" i="17"/>
  <c r="F41" i="17"/>
  <c r="F84" i="17"/>
  <c r="F61" i="17"/>
  <c r="F82" i="17"/>
  <c r="F55" i="17"/>
  <c r="F72" i="17"/>
  <c r="F102" i="17"/>
  <c r="F35" i="17"/>
  <c r="F63" i="17"/>
  <c r="F71" i="17"/>
  <c r="F88" i="17"/>
  <c r="F58" i="17"/>
  <c r="F113" i="17"/>
  <c r="F78" i="17"/>
  <c r="F28" i="17"/>
  <c r="F62" i="17"/>
  <c r="F47" i="17"/>
  <c r="F32" i="17"/>
  <c r="F43" i="17"/>
  <c r="F68" i="17"/>
  <c r="F80" i="17"/>
  <c r="F111" i="17"/>
  <c r="F37" i="17"/>
  <c r="F97" i="17"/>
  <c r="F64" i="17"/>
  <c r="F95" i="17"/>
  <c r="F107" i="17"/>
  <c r="F86" i="17"/>
  <c r="F106" i="17"/>
  <c r="F31" i="17"/>
  <c r="F77" i="17"/>
  <c r="M6" i="17"/>
  <c r="F101" i="17"/>
  <c r="F30" i="17"/>
  <c r="F57" i="17"/>
  <c r="F52" i="17"/>
  <c r="F83" i="17"/>
  <c r="M11" i="17"/>
  <c r="F50" i="17"/>
  <c r="F48" i="17"/>
  <c r="F27" i="17"/>
  <c r="F85" i="17"/>
  <c r="F54" i="17"/>
  <c r="F59" i="17"/>
  <c r="M13" i="17"/>
  <c r="F49" i="17"/>
  <c r="F110" i="17"/>
  <c r="F45" i="17"/>
  <c r="F51" i="17"/>
  <c r="F25" i="17"/>
  <c r="F40" i="17"/>
  <c r="F26" i="17"/>
  <c r="F67" i="17"/>
  <c r="F76" i="17"/>
  <c r="F44" i="17"/>
  <c r="F65" i="17"/>
  <c r="M14" i="17"/>
  <c r="F70" i="17"/>
  <c r="F89" i="17"/>
  <c r="F29" i="17"/>
  <c r="F75" i="17"/>
  <c r="F93" i="17"/>
  <c r="F105" i="17"/>
  <c r="F92" i="17"/>
  <c r="F33" i="17"/>
  <c r="F109" i="17"/>
  <c r="F103" i="17"/>
  <c r="F24" i="17"/>
  <c r="F94" i="17"/>
  <c r="M7" i="17"/>
  <c r="F81" i="17"/>
  <c r="M12" i="17"/>
  <c r="F99" i="17"/>
  <c r="F66" i="17"/>
  <c r="F98" i="17"/>
  <c r="F91" i="17"/>
  <c r="F39" i="17"/>
  <c r="F69" i="17"/>
  <c r="F73" i="17"/>
  <c r="F60" i="17"/>
  <c r="F96" i="17"/>
  <c r="M8" i="17"/>
  <c r="F36" i="17"/>
  <c r="C32" i="17" s="1"/>
  <c r="M4" i="17"/>
  <c r="M9" i="17"/>
  <c r="M10" i="17"/>
  <c r="AK40" i="17" l="1"/>
  <c r="AK39" i="17"/>
  <c r="AK38" i="17"/>
  <c r="Q25" i="17"/>
  <c r="Q24" i="17"/>
  <c r="O25" i="17"/>
  <c r="N14" i="17"/>
  <c r="N7" i="17"/>
  <c r="N9" i="17"/>
  <c r="N13" i="17"/>
  <c r="N4" i="17"/>
  <c r="N8" i="17"/>
  <c r="N12" i="17"/>
  <c r="N10" i="17"/>
  <c r="N11" i="17"/>
  <c r="N5" i="17"/>
  <c r="N6" i="17"/>
  <c r="AM39" i="17" l="1"/>
  <c r="AP39" i="17" s="1"/>
  <c r="AM40" i="17"/>
  <c r="AP40" i="17" s="1"/>
  <c r="AM38" i="17"/>
  <c r="AP38" i="17" s="1"/>
  <c r="Q26" i="17"/>
  <c r="Q48" i="17"/>
  <c r="Q57" i="17"/>
  <c r="Q29" i="17"/>
  <c r="Q56" i="17"/>
  <c r="Q34" i="17"/>
  <c r="Q43" i="17"/>
  <c r="Q28" i="17"/>
  <c r="Q36" i="17"/>
  <c r="Q46" i="17"/>
  <c r="Q47" i="17"/>
  <c r="Q42" i="17"/>
  <c r="Q37" i="17"/>
  <c r="Q52" i="17"/>
  <c r="Q54" i="17"/>
  <c r="Q45" i="17"/>
  <c r="Q30" i="17"/>
  <c r="Q44" i="17"/>
  <c r="Q35" i="17"/>
  <c r="Q55" i="17"/>
  <c r="Q27" i="17"/>
  <c r="Q53" i="17"/>
  <c r="Q50" i="17"/>
  <c r="Q41" i="17"/>
  <c r="Q32" i="17"/>
  <c r="Q31" i="17"/>
  <c r="Q51" i="17"/>
  <c r="Q38" i="17"/>
  <c r="Q49" i="17"/>
  <c r="Q33" i="17"/>
  <c r="Q40" i="17"/>
  <c r="Q39" i="17"/>
  <c r="Q58" i="17"/>
  <c r="O26" i="17"/>
  <c r="O51" i="17"/>
  <c r="O39" i="17"/>
  <c r="O55" i="17"/>
  <c r="O46" i="17"/>
  <c r="O49" i="17"/>
  <c r="O32" i="17"/>
  <c r="O38" i="17"/>
  <c r="O33" i="17"/>
  <c r="O41" i="17"/>
  <c r="O29" i="17"/>
  <c r="O59" i="17"/>
  <c r="O56" i="17"/>
  <c r="O27" i="17"/>
  <c r="O48" i="17"/>
  <c r="O44" i="17"/>
  <c r="O54" i="17"/>
  <c r="O58" i="17"/>
  <c r="O43" i="17"/>
  <c r="O42" i="17"/>
  <c r="O31" i="17"/>
  <c r="O50" i="17"/>
  <c r="O62" i="17"/>
  <c r="O37" i="17"/>
  <c r="O60" i="17"/>
  <c r="O53" i="17"/>
  <c r="O52" i="17"/>
  <c r="O61" i="17"/>
  <c r="O45" i="17"/>
  <c r="O34" i="17"/>
  <c r="O47" i="17"/>
  <c r="O30" i="17"/>
  <c r="O28" i="17"/>
  <c r="O36" i="17"/>
  <c r="O35" i="17"/>
  <c r="O40" i="17"/>
  <c r="O57" i="17"/>
  <c r="C42" i="17"/>
  <c r="P16" i="17"/>
  <c r="P14" i="17"/>
  <c r="P6" i="17"/>
  <c r="P17" i="17"/>
  <c r="P4" i="17"/>
  <c r="P7" i="17"/>
  <c r="P12" i="17"/>
  <c r="P15" i="17"/>
  <c r="P5" i="17"/>
  <c r="P8" i="17"/>
  <c r="P13" i="17"/>
  <c r="P3" i="17"/>
  <c r="P9" i="17"/>
  <c r="P10" i="17"/>
  <c r="P11" i="17"/>
  <c r="J3" i="17" l="1"/>
  <c r="M3" i="17"/>
  <c r="N3" i="17" l="1"/>
  <c r="Q3" i="17" a="1"/>
  <c r="Q17" i="17" l="1"/>
  <c r="Q9" i="17"/>
  <c r="R9" i="17" s="1"/>
  <c r="Q5" i="17"/>
  <c r="R5" i="17" s="1"/>
  <c r="Q10" i="17"/>
  <c r="R10" i="17" s="1"/>
  <c r="Q6" i="17"/>
  <c r="R6" i="17" s="1"/>
  <c r="Q11" i="17"/>
  <c r="R11" i="17" s="1"/>
  <c r="Q8" i="17"/>
  <c r="R8" i="17" s="1"/>
  <c r="Q13" i="17"/>
  <c r="R13" i="17" s="1"/>
  <c r="Q4" i="17"/>
  <c r="R4" i="17" s="1"/>
  <c r="Q3" i="17"/>
  <c r="Q16" i="17"/>
  <c r="Q15" i="17"/>
  <c r="Q7" i="17"/>
  <c r="R7" i="17" s="1"/>
  <c r="Q14" i="17"/>
  <c r="R14" i="17" s="1"/>
  <c r="Q12" i="17"/>
  <c r="R12" i="17" s="1"/>
  <c r="AJ52" i="17"/>
  <c r="BB42" i="17" l="1"/>
  <c r="AS40" i="17"/>
  <c r="F5" i="18"/>
  <c r="AS48" i="17"/>
  <c r="BB50" i="17"/>
  <c r="F13" i="18"/>
  <c r="AS43" i="17"/>
  <c r="BB45" i="17"/>
  <c r="F8" i="18"/>
  <c r="F11" i="18"/>
  <c r="AS46" i="17"/>
  <c r="BB48" i="17"/>
  <c r="F6" i="18"/>
  <c r="BB43" i="17"/>
  <c r="AS41" i="17"/>
  <c r="AS44" i="17"/>
  <c r="F9" i="18"/>
  <c r="BB46" i="17"/>
  <c r="F12" i="18"/>
  <c r="AS47" i="17"/>
  <c r="BB49" i="17"/>
  <c r="BB51" i="17"/>
  <c r="R15" i="17"/>
  <c r="F14" i="18"/>
  <c r="AS49" i="17"/>
  <c r="BB44" i="17"/>
  <c r="AS42" i="17"/>
  <c r="F7" i="18"/>
  <c r="AS45" i="17"/>
  <c r="BB47" i="17"/>
  <c r="F10" i="18"/>
  <c r="R3" i="17"/>
  <c r="BB41" i="17"/>
  <c r="F4" i="18"/>
  <c r="AS39" i="17"/>
  <c r="BC42" i="17"/>
  <c r="AK43" i="17" a="1"/>
  <c r="BC46" i="17"/>
  <c r="BC44" i="17"/>
  <c r="BC41" i="17"/>
  <c r="BC48" i="17"/>
  <c r="BC50" i="17"/>
  <c r="BC49" i="17"/>
  <c r="BC43" i="17"/>
  <c r="BC47" i="17"/>
  <c r="BC51" i="17"/>
  <c r="BC45" i="17"/>
  <c r="AK43" i="17" l="1"/>
  <c r="R16" i="17"/>
  <c r="F15" i="18"/>
  <c r="AS50" i="17"/>
  <c r="BB40" i="17"/>
  <c r="AS38" i="17"/>
  <c r="F3" i="18"/>
  <c r="AM43" i="17"/>
  <c r="AM42" i="17"/>
  <c r="AM44" i="17"/>
  <c r="BC40" i="17"/>
  <c r="AL44" i="17" l="1"/>
  <c r="AP44" i="17"/>
  <c r="AM48" i="17"/>
  <c r="AM46" i="17"/>
  <c r="AL42" i="17"/>
  <c r="AP42" i="17"/>
  <c r="AO42" i="17" s="1"/>
  <c r="AM47" i="17"/>
  <c r="AP43" i="17"/>
  <c r="AO43" i="17" s="1"/>
  <c r="AL43" i="17"/>
  <c r="AS51" i="17"/>
  <c r="R17" i="17"/>
  <c r="F16" i="18"/>
  <c r="AP47" i="17" l="1"/>
  <c r="AO47" i="17" s="1"/>
  <c r="AO39" i="17"/>
  <c r="AO38" i="17"/>
  <c r="AP46" i="17"/>
  <c r="AO46" i="17" s="1"/>
  <c r="R1" i="17"/>
  <c r="AS52" i="17"/>
  <c r="F17" i="18"/>
  <c r="AO40" i="17"/>
  <c r="AP48" i="17"/>
  <c r="AO48" i="17" s="1"/>
  <c r="AO44" i="17"/>
  <c r="S9" i="17" l="1"/>
  <c r="S12" i="17"/>
  <c r="S3" i="17"/>
  <c r="S10" i="17"/>
  <c r="S14" i="17"/>
  <c r="S4" i="17"/>
  <c r="S11" i="17"/>
  <c r="S16" i="17"/>
  <c r="S13" i="17"/>
  <c r="S15" i="17"/>
  <c r="S7" i="17"/>
  <c r="S17" i="17"/>
  <c r="S5" i="17"/>
  <c r="S6" i="17"/>
  <c r="S8" i="17"/>
  <c r="BC37" i="17" l="1"/>
  <c r="AW57" i="17"/>
  <c r="AW64" i="17"/>
  <c r="AW62" i="17"/>
  <c r="AW56" i="17"/>
  <c r="AW61" i="17"/>
  <c r="AW65" i="17" s="1"/>
  <c r="AW66" i="17" s="1"/>
  <c r="BA68" i="17" s="1"/>
</calcChain>
</file>

<file path=xl/sharedStrings.xml><?xml version="1.0" encoding="utf-8"?>
<sst xmlns="http://schemas.openxmlformats.org/spreadsheetml/2006/main" count="406" uniqueCount="279">
  <si>
    <t>Parameters</t>
  </si>
  <si>
    <t>Real Time</t>
  </si>
  <si>
    <t>Override</t>
  </si>
  <si>
    <t>Spread</t>
  </si>
  <si>
    <t>Used</t>
  </si>
  <si>
    <t>BID</t>
  </si>
  <si>
    <t>ASK</t>
  </si>
  <si>
    <t>on</t>
  </si>
  <si>
    <t>Source</t>
  </si>
  <si>
    <t>Prefix</t>
  </si>
  <si>
    <t>Suffix</t>
  </si>
  <si>
    <t>standard</t>
  </si>
  <si>
    <t>stub</t>
  </si>
  <si>
    <t>cont</t>
  </si>
  <si>
    <t>kruger</t>
  </si>
  <si>
    <t>rt</t>
  </si>
  <si>
    <t>linear</t>
  </si>
  <si>
    <t>r</t>
  </si>
  <si>
    <t>Today</t>
  </si>
  <si>
    <t>dvBool</t>
  </si>
  <si>
    <t>Enabled</t>
  </si>
  <si>
    <t>Currency</t>
  </si>
  <si>
    <t>Discounts</t>
  </si>
  <si>
    <t>Forward</t>
  </si>
  <si>
    <t>years</t>
  </si>
  <si>
    <t>30/360</t>
  </si>
  <si>
    <t>30E/360</t>
  </si>
  <si>
    <t>quadra</t>
  </si>
  <si>
    <t>const</t>
  </si>
  <si>
    <t>spline</t>
  </si>
  <si>
    <t>d</t>
  </si>
  <si>
    <t>annual</t>
  </si>
  <si>
    <t>simple</t>
  </si>
  <si>
    <t>Act/Act AFB</t>
  </si>
  <si>
    <t>360/360</t>
  </si>
  <si>
    <t>30E+360</t>
  </si>
  <si>
    <t>Act/360</t>
  </si>
  <si>
    <t>Act/365</t>
  </si>
  <si>
    <t>365/365</t>
  </si>
  <si>
    <t>Act/Act</t>
  </si>
  <si>
    <t>One/One</t>
  </si>
  <si>
    <t>dvDayCount</t>
  </si>
  <si>
    <t>dvInterpType</t>
  </si>
  <si>
    <t>dvInterpOn</t>
  </si>
  <si>
    <t>dvCompounding</t>
  </si>
  <si>
    <t>Zero Rates</t>
  </si>
  <si>
    <t>start</t>
  </si>
  <si>
    <t>end</t>
  </si>
  <si>
    <t>dvFutCons</t>
  </si>
  <si>
    <t>off</t>
  </si>
  <si>
    <t>adjusted</t>
  </si>
  <si>
    <t>dvMatCons</t>
  </si>
  <si>
    <t>dvFutEndDate</t>
  </si>
  <si>
    <t>NoAdjust</t>
  </si>
  <si>
    <t>Backward</t>
  </si>
  <si>
    <t>ModFollowing</t>
  </si>
  <si>
    <t>dvFraFutAdjust</t>
  </si>
  <si>
    <t>months</t>
  </si>
  <si>
    <t>dates</t>
  </si>
  <si>
    <t>dvSwapMatType</t>
  </si>
  <si>
    <t>dvOutputType</t>
  </si>
  <si>
    <t>TIT</t>
  </si>
  <si>
    <t>DTSIMI2</t>
  </si>
  <si>
    <t>M=</t>
  </si>
  <si>
    <t>Y=</t>
  </si>
  <si>
    <t>Calendar</t>
  </si>
  <si>
    <t>Settlement Days</t>
  </si>
  <si>
    <t>Settlement Date</t>
  </si>
  <si>
    <t>Zero</t>
  </si>
  <si>
    <t>Notional</t>
  </si>
  <si>
    <t>Loan Dates</t>
  </si>
  <si>
    <t>Impl CDS</t>
  </si>
  <si>
    <t>Recovery Rate</t>
  </si>
  <si>
    <t>Def Loans</t>
  </si>
  <si>
    <t>Contrib</t>
  </si>
  <si>
    <t>Schedule</t>
  </si>
  <si>
    <t>Leg</t>
  </si>
  <si>
    <t>mf</t>
  </si>
  <si>
    <t>Objects Trigger</t>
  </si>
  <si>
    <t>Atdefault</t>
  </si>
  <si>
    <t>RealTime Trigger</t>
  </si>
  <si>
    <t>Floating Flag</t>
  </si>
  <si>
    <t>Entity Name</t>
  </si>
  <si>
    <t>BizDay Convention</t>
  </si>
  <si>
    <t>RT Trigger Freq</t>
  </si>
  <si>
    <t>EURISPTITCDS</t>
  </si>
  <si>
    <t>Euribor3M</t>
  </si>
  <si>
    <t>EUR</t>
  </si>
  <si>
    <t>CERT_NO_ADDON6M=</t>
  </si>
  <si>
    <t>EURCFXC6M=</t>
  </si>
  <si>
    <t>EURCTCO6M=</t>
  </si>
  <si>
    <t>EURCTSE6M=</t>
  </si>
  <si>
    <t>CERT_NO_ADDON1Y=</t>
  </si>
  <si>
    <t>EURCFXC1Y=</t>
  </si>
  <si>
    <t>EURCTCO1Y=</t>
  </si>
  <si>
    <t>EURCTSE1Y=</t>
  </si>
  <si>
    <t>CERT_NO_ADDON2Y=</t>
  </si>
  <si>
    <t>EURCFXC2Y=</t>
  </si>
  <si>
    <t>EURCTCO2Y=</t>
  </si>
  <si>
    <t>EURCTSE2Y=</t>
  </si>
  <si>
    <t>CERT_NO_ADDON3Y=</t>
  </si>
  <si>
    <t>EURCFXC3Y=</t>
  </si>
  <si>
    <t>EURCTCO3Y=</t>
  </si>
  <si>
    <t>EURCTSE3Y=</t>
  </si>
  <si>
    <t>CERT_NO_ADDON4Y=</t>
  </si>
  <si>
    <t>EURCFXC4Y=</t>
  </si>
  <si>
    <t>EURCTCO4Y=</t>
  </si>
  <si>
    <t>EURCTSE4Y=</t>
  </si>
  <si>
    <t>CERT_NO_ADDON5Y=</t>
  </si>
  <si>
    <t>EURCFXC5Y=</t>
  </si>
  <si>
    <t>EURCTCO5Y=</t>
  </si>
  <si>
    <t>EURCTSE5Y=</t>
  </si>
  <si>
    <t>CERT_NO_ADDON6Y=</t>
  </si>
  <si>
    <t>EURCFXC6Y=</t>
  </si>
  <si>
    <t>EURCTCO6Y=</t>
  </si>
  <si>
    <t>EURCTSE6Y=</t>
  </si>
  <si>
    <t>CERT_NO_ADDON7Y=</t>
  </si>
  <si>
    <t>EURCFXC7Y=</t>
  </si>
  <si>
    <t>EURCTCO7Y=</t>
  </si>
  <si>
    <t>EURCTSE7Y=</t>
  </si>
  <si>
    <t>CERT_NO_ADDON8Y=</t>
  </si>
  <si>
    <t>EURCFXC8Y=</t>
  </si>
  <si>
    <t>EURCTCO8Y=</t>
  </si>
  <si>
    <t>EURCTSE8Y=</t>
  </si>
  <si>
    <t>CERT_NO_ADDON9Y=</t>
  </si>
  <si>
    <t>EURCFXC9Y=</t>
  </si>
  <si>
    <t>EURCTCO9Y=</t>
  </si>
  <si>
    <t>EURCTSE9Y=</t>
  </si>
  <si>
    <t>CERT_NO_ADDON10Y=</t>
  </si>
  <si>
    <t>EURCFXC10Y=</t>
  </si>
  <si>
    <t>EURCTCO10Y=</t>
  </si>
  <si>
    <t>EURCTSE10Y=</t>
  </si>
  <si>
    <t>CERT_NO_ADDON15Y=</t>
  </si>
  <si>
    <t>EURCFXC15Y=</t>
  </si>
  <si>
    <t>EURCTCO15Y=</t>
  </si>
  <si>
    <t>EURCTSE15Y=</t>
  </si>
  <si>
    <t>CERT_NO_ADDON20Y=</t>
  </si>
  <si>
    <t>EURCFXC20Y=</t>
  </si>
  <si>
    <t>EURCTCO20Y=</t>
  </si>
  <si>
    <t>EURCTSE20Y=</t>
  </si>
  <si>
    <t>CERT_NO_ADDON25Y=</t>
  </si>
  <si>
    <t>EURCFXC25Y=</t>
  </si>
  <si>
    <t>EURCTCO25Y=</t>
  </si>
  <si>
    <t>EURCTSE25Y=</t>
  </si>
  <si>
    <t>CERT_NO_ADDON30Y=</t>
  </si>
  <si>
    <t>EURCFXC30Y=</t>
  </si>
  <si>
    <t>EURCTCO30Y=</t>
  </si>
  <si>
    <t>EURCTSE30Y=</t>
  </si>
  <si>
    <t>CERT_NO_ADDON</t>
  </si>
  <si>
    <t>EURCFXC</t>
  </si>
  <si>
    <t>EURCTCO</t>
  </si>
  <si>
    <t>EURCTSE</t>
  </si>
  <si>
    <t>=</t>
  </si>
  <si>
    <t>UNICA</t>
  </si>
  <si>
    <t>ShmPush</t>
  </si>
  <si>
    <t>Count</t>
  </si>
  <si>
    <t>DayCount</t>
  </si>
  <si>
    <t>Comp</t>
  </si>
  <si>
    <t>InterpOn</t>
  </si>
  <si>
    <t>InterpType</t>
  </si>
  <si>
    <t>LiborName</t>
  </si>
  <si>
    <t>DateChooser</t>
  </si>
  <si>
    <t>QL Object Class</t>
  </si>
  <si>
    <t>QL Curve Handle</t>
  </si>
  <si>
    <t>Dates</t>
  </si>
  <si>
    <t>Maturities</t>
  </si>
  <si>
    <t>EURSTD</t>
  </si>
  <si>
    <t>Shift (b.p.)</t>
  </si>
  <si>
    <t>CERT UNICA (CDS Sensitivities)</t>
  </si>
  <si>
    <t>CERT EUR (ZC Sensitivities)</t>
  </si>
  <si>
    <t>Impl ZC</t>
  </si>
  <si>
    <t>T (act/365)</t>
  </si>
  <si>
    <t>Impl Pr</t>
  </si>
  <si>
    <t>Index Tenor</t>
  </si>
  <si>
    <t>3M</t>
  </si>
  <si>
    <t>Yield Curve</t>
  </si>
  <si>
    <t>EUR1M</t>
  </si>
  <si>
    <t>EUR6M</t>
  </si>
  <si>
    <t>Permanent</t>
  </si>
  <si>
    <t>ObjectOverwrite</t>
  </si>
  <si>
    <t>Indexes</t>
  </si>
  <si>
    <t>EUR1Y</t>
  </si>
  <si>
    <t>X</t>
  </si>
  <si>
    <t>Y</t>
  </si>
  <si>
    <t>Z</t>
  </si>
  <si>
    <t>B</t>
  </si>
  <si>
    <t>Mismatch</t>
  </si>
  <si>
    <t>Mrm</t>
  </si>
  <si>
    <t>STD</t>
  </si>
  <si>
    <t>1,2M su 100M</t>
  </si>
  <si>
    <t>1M</t>
  </si>
  <si>
    <t>6000euro su 100M</t>
  </si>
  <si>
    <t>550K su 100M</t>
  </si>
  <si>
    <t>-</t>
  </si>
  <si>
    <t>Trascurabile</t>
  </si>
  <si>
    <t>33euro su 100M</t>
  </si>
  <si>
    <t xml:space="preserve">To be </t>
  </si>
  <si>
    <t>Best 1</t>
  </si>
  <si>
    <t>Best 2</t>
  </si>
  <si>
    <t>1M-3M (OIS)</t>
  </si>
  <si>
    <t>Treasury</t>
  </si>
  <si>
    <t>Driver</t>
  </si>
  <si>
    <t>Wrong forwarding (STD versus 1M)</t>
  </si>
  <si>
    <t>Small mismatch in quarterly versus monthly TIT leg + 1M-3M basis OIS versus STD</t>
  </si>
  <si>
    <t>Huge mismatch because 1M leg and 3M leg single curve are equal and do not require basis 1M-3M</t>
  </si>
  <si>
    <t xml:space="preserve">Small mismatch in quarterly versus monthly TIT leg </t>
  </si>
  <si>
    <t>1M-3M (true)</t>
  </si>
  <si>
    <t>Applying the true basis to the Treasury case the 6000eur will be close to zero</t>
  </si>
  <si>
    <t>EUR3M_CERTUNICA</t>
  </si>
  <si>
    <t>QL Curve Name</t>
  </si>
  <si>
    <t>EUR3M</t>
  </si>
  <si>
    <t>EuriborSTD_Cu</t>
  </si>
  <si>
    <t>Euribor1M_Cu</t>
  </si>
  <si>
    <t>Euribor6M_Cu</t>
  </si>
  <si>
    <t>Euribor1Y_Cu</t>
  </si>
  <si>
    <t>EURSTD_CERTUNICA</t>
  </si>
  <si>
    <t>EUR1M_CERTUNICA</t>
  </si>
  <si>
    <t>EUR3M_T0</t>
  </si>
  <si>
    <t>EUR1M_T0</t>
  </si>
  <si>
    <t>EUR3M_T2</t>
  </si>
  <si>
    <t>EUR1M_T2</t>
  </si>
  <si>
    <t>Leg_Discounting</t>
  </si>
  <si>
    <t>Def_Loans_Discounting</t>
  </si>
  <si>
    <t>Leg_Forwarding</t>
  </si>
  <si>
    <t>ParSwap1M</t>
  </si>
  <si>
    <t>ParSwap3M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</si>
  <si>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</si>
  <si>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</si>
  <si>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</si>
  <si>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</si>
  <si>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</si>
  <si>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</si>
  <si>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</si>
  <si>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</si>
  <si>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</si>
  <si>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</si>
  <si>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</si>
  <si>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25Y</t>
  </si>
  <si>
    <t>30Y</t>
  </si>
  <si>
    <t>ReutersMode</t>
  </si>
  <si>
    <t>FRQ:1S</t>
  </si>
  <si>
    <t>=ICAP</t>
  </si>
  <si>
    <t>EURAB1E</t>
  </si>
  <si>
    <t>EURAB3E</t>
  </si>
  <si>
    <t>1Y</t>
  </si>
  <si>
    <t>Basis_3M1M</t>
  </si>
  <si>
    <t>FixedAnnuity</t>
  </si>
  <si>
    <t>FloatingAnnuity</t>
  </si>
  <si>
    <t>6M</t>
  </si>
  <si>
    <t>D(3M)</t>
  </si>
  <si>
    <t>Surv(3M)</t>
  </si>
  <si>
    <t>FWD(3M)</t>
  </si>
  <si>
    <t>Tau</t>
  </si>
  <si>
    <t>DISC(3M)</t>
  </si>
  <si>
    <t>TIT_2Y</t>
  </si>
  <si>
    <t>a</t>
  </si>
  <si>
    <t>b</t>
  </si>
  <si>
    <t>c</t>
  </si>
  <si>
    <t>(a+b)*c*d</t>
  </si>
  <si>
    <t>End Dates</t>
  </si>
  <si>
    <t>Fix Dates</t>
  </si>
  <si>
    <t>Risky Loan ZC</t>
  </si>
  <si>
    <t>Flows</t>
  </si>
  <si>
    <t>NPV</t>
  </si>
  <si>
    <t>Recovery</t>
  </si>
  <si>
    <t>Cedole Cert_Flat</t>
  </si>
  <si>
    <t>N</t>
  </si>
  <si>
    <t>DEAL MISMATCH</t>
  </si>
  <si>
    <t>Mat</t>
  </si>
  <si>
    <t>Cds Spread</t>
  </si>
  <si>
    <t>Cds Helpers</t>
  </si>
  <si>
    <t>Recovery Leg</t>
  </si>
  <si>
    <t>Survival Leg</t>
  </si>
  <si>
    <t>Default Prob Curve</t>
  </si>
  <si>
    <t>EURSTD_T0</t>
  </si>
  <si>
    <t>_EURON</t>
  </si>
  <si>
    <t>EURON</t>
  </si>
  <si>
    <t>EURON_T0</t>
  </si>
  <si>
    <t>EURON_CERTUNICA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</si>
</sst>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0.000%"/>
    <numFmt numFmtId="165" formatCode="dd\ mmm\ yy"/>
    <numFmt numFmtId="166" formatCode="0.000"/>
    <numFmt numFmtId="167" formatCode="d\ mmm\ yyyy"/>
    <numFmt numFmtId="168" formatCode="ddd\,\ mmmm\ d\,\ yyyy"/>
    <numFmt numFmtId="169" formatCode="0.0000"/>
    <numFmt numFmtId="170" formatCode="#,##0.00000000"/>
    <numFmt numFmtId="171" formatCode="d\ mmm\ yy"/>
    <numFmt numFmtId="172" formatCode="#,##0.000"/>
    <numFmt numFmtId="173" formatCode="0.00000000"/>
    <numFmt numFmtId="174" formatCode="0.0000000000"/>
    <numFmt numFmtId="175" formatCode="0.0000%"/>
    <numFmt numFmtId="176" formatCode="0.00000"/>
    <numFmt numFmtId="177" formatCode="0.000000"/>
    <numFmt numFmtId="178" formatCode="&quot;$&quot;#,##0.00"/>
  </numFmts>
  <fonts count="23" x14ac:knownFonts="1">
    <font>
      <sz val="8"/>
      <color theme="1"/>
      <name val="Arial"/>
      <family val="2"/>
    </font>
    <font>
      <sz val="8"/>
      <name val="Arial"/>
      <family val="2"/>
    </font>
    <font>
      <b/>
      <sz val="8"/>
      <color indexed="9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i/>
      <sz val="8"/>
      <name val="Arial"/>
      <family val="2"/>
    </font>
    <font>
      <sz val="8"/>
      <color indexed="23"/>
      <name val="Arial"/>
      <family val="2"/>
    </font>
    <font>
      <i/>
      <sz val="8"/>
      <color rgb="FF002060"/>
      <name val="Arial"/>
      <family val="2"/>
    </font>
    <font>
      <sz val="8"/>
      <color rgb="FF3F3F76"/>
      <name val="Arial"/>
      <family val="2"/>
    </font>
    <font>
      <b/>
      <sz val="8"/>
      <color rgb="FF3F3F3F"/>
      <name val="Arial"/>
      <family val="2"/>
    </font>
    <font>
      <b/>
      <i/>
      <sz val="8"/>
      <color theme="1"/>
      <name val="Arial"/>
      <family val="2"/>
    </font>
    <font>
      <b/>
      <sz val="8"/>
      <color theme="1"/>
      <name val="Arial"/>
      <family val="2"/>
    </font>
    <font>
      <sz val="8"/>
      <color rgb="FF000000"/>
      <name val="Arial"/>
      <family val="2"/>
    </font>
    <font>
      <b/>
      <sz val="10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b/>
      <sz val="12"/>
      <color rgb="FFFF0000"/>
      <name val="Arial"/>
      <family val="2"/>
    </font>
    <font>
      <i/>
      <sz val="11"/>
      <color theme="1"/>
      <name val="Arial"/>
      <family val="2"/>
    </font>
    <font>
      <b/>
      <sz val="11"/>
      <color theme="1"/>
      <name val="Arial"/>
      <family val="2"/>
    </font>
    <font>
      <b/>
      <sz val="9"/>
      <name val="Arial"/>
      <family val="2"/>
    </font>
    <font>
      <sz val="8"/>
      <color theme="1"/>
      <name val="Arial"/>
      <family val="2"/>
    </font>
    <font>
      <b/>
      <sz val="10"/>
      <color rgb="FFFF000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575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lightGray"/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</borders>
  <cellStyleXfs count="4">
    <xf numFmtId="0" fontId="0" fillId="0" borderId="0"/>
    <xf numFmtId="0" fontId="9" fillId="13" borderId="17" applyNumberFormat="0" applyAlignment="0" applyProtection="0"/>
    <xf numFmtId="0" fontId="10" fillId="12" borderId="18" applyNumberFormat="0" applyAlignment="0" applyProtection="0"/>
    <xf numFmtId="9" fontId="21" fillId="0" borderId="0" applyFont="0" applyFill="0" applyBorder="0" applyAlignment="0" applyProtection="0"/>
  </cellStyleXfs>
  <cellXfs count="305">
    <xf numFmtId="0" fontId="0" fillId="0" borderId="0" xfId="0"/>
    <xf numFmtId="0" fontId="1" fillId="8" borderId="16" xfId="0" applyFont="1" applyFill="1" applyBorder="1" applyAlignment="1" applyProtection="1">
      <alignment horizontal="center"/>
      <protection locked="0"/>
    </xf>
    <xf numFmtId="0" fontId="1" fillId="6" borderId="16" xfId="0" applyFont="1" applyFill="1" applyBorder="1" applyProtection="1"/>
    <xf numFmtId="168" fontId="5" fillId="9" borderId="9" xfId="0" applyNumberFormat="1" applyFont="1" applyFill="1" applyBorder="1" applyAlignment="1" applyProtection="1">
      <alignment horizontal="center"/>
    </xf>
    <xf numFmtId="0" fontId="1" fillId="4" borderId="11" xfId="0" applyFont="1" applyFill="1" applyBorder="1" applyProtection="1"/>
    <xf numFmtId="168" fontId="5" fillId="9" borderId="8" xfId="0" applyNumberFormat="1" applyFont="1" applyFill="1" applyBorder="1" applyAlignment="1" applyProtection="1">
      <alignment horizontal="center"/>
    </xf>
    <xf numFmtId="0" fontId="0" fillId="0" borderId="8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Protection="1"/>
    <xf numFmtId="0" fontId="0" fillId="0" borderId="0" xfId="0" applyBorder="1" applyProtection="1"/>
    <xf numFmtId="0" fontId="4" fillId="0" borderId="1" xfId="0" applyFont="1" applyBorder="1" applyAlignment="1" applyProtection="1">
      <alignment horizontal="center"/>
    </xf>
    <xf numFmtId="0" fontId="3" fillId="0" borderId="2" xfId="0" applyFont="1" applyBorder="1" applyAlignment="1" applyProtection="1">
      <alignment horizontal="center"/>
    </xf>
    <xf numFmtId="0" fontId="3" fillId="0" borderId="3" xfId="0" applyFont="1" applyBorder="1" applyAlignment="1" applyProtection="1">
      <alignment horizontal="center"/>
    </xf>
    <xf numFmtId="0" fontId="0" fillId="0" borderId="2" xfId="0" applyBorder="1" applyProtection="1"/>
    <xf numFmtId="0" fontId="0" fillId="0" borderId="4" xfId="0" applyBorder="1" applyProtection="1"/>
    <xf numFmtId="0" fontId="0" fillId="0" borderId="6" xfId="0" applyBorder="1" applyProtection="1"/>
    <xf numFmtId="0" fontId="0" fillId="0" borderId="11" xfId="0" applyBorder="1" applyAlignment="1" applyProtection="1">
      <alignment horizontal="center"/>
    </xf>
    <xf numFmtId="0" fontId="0" fillId="0" borderId="9" xfId="0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165" fontId="0" fillId="0" borderId="0" xfId="0" applyNumberFormat="1" applyBorder="1" applyProtection="1"/>
    <xf numFmtId="0" fontId="6" fillId="0" borderId="8" xfId="0" applyFont="1" applyBorder="1" applyAlignment="1">
      <alignment horizontal="center"/>
    </xf>
    <xf numFmtId="11" fontId="0" fillId="0" borderId="11" xfId="0" applyNumberFormat="1" applyBorder="1" applyAlignment="1">
      <alignment horizontal="center"/>
    </xf>
    <xf numFmtId="14" fontId="5" fillId="4" borderId="8" xfId="0" applyNumberFormat="1" applyFont="1" applyFill="1" applyBorder="1" applyProtection="1"/>
    <xf numFmtId="164" fontId="2" fillId="5" borderId="1" xfId="0" applyNumberFormat="1" applyFont="1" applyFill="1" applyBorder="1" applyAlignment="1" applyProtection="1">
      <alignment horizontal="center"/>
    </xf>
    <xf numFmtId="0" fontId="0" fillId="0" borderId="0" xfId="0" applyBorder="1" applyAlignment="1">
      <alignment horizontal="center"/>
    </xf>
    <xf numFmtId="2" fontId="0" fillId="0" borderId="10" xfId="0" applyNumberFormat="1" applyBorder="1" applyAlignment="1" applyProtection="1">
      <alignment horizontal="center"/>
    </xf>
    <xf numFmtId="2" fontId="0" fillId="0" borderId="12" xfId="0" applyNumberFormat="1" applyBorder="1" applyAlignment="1" applyProtection="1">
      <alignment horizontal="center"/>
    </xf>
    <xf numFmtId="2" fontId="0" fillId="0" borderId="4" xfId="0" applyNumberFormat="1" applyBorder="1" applyAlignment="1" applyProtection="1">
      <alignment horizontal="center"/>
    </xf>
    <xf numFmtId="2" fontId="0" fillId="0" borderId="5" xfId="0" applyNumberFormat="1" applyBorder="1" applyAlignment="1" applyProtection="1">
      <alignment horizontal="center"/>
    </xf>
    <xf numFmtId="2" fontId="0" fillId="0" borderId="6" xfId="0" applyNumberFormat="1" applyBorder="1" applyAlignment="1" applyProtection="1">
      <alignment horizontal="center"/>
    </xf>
    <xf numFmtId="2" fontId="0" fillId="0" borderId="7" xfId="0" applyNumberFormat="1" applyBorder="1" applyAlignment="1" applyProtection="1">
      <alignment horizontal="center"/>
    </xf>
    <xf numFmtId="14" fontId="1" fillId="4" borderId="11" xfId="0" applyNumberFormat="1" applyFont="1" applyFill="1" applyBorder="1" applyProtection="1"/>
    <xf numFmtId="0" fontId="1" fillId="4" borderId="9" xfId="0" applyFont="1" applyFill="1" applyBorder="1" applyProtection="1"/>
    <xf numFmtId="0" fontId="1" fillId="7" borderId="11" xfId="0" applyFont="1" applyFill="1" applyBorder="1" applyProtection="1"/>
    <xf numFmtId="167" fontId="0" fillId="0" borderId="11" xfId="0" applyNumberFormat="1" applyFill="1" applyBorder="1" applyAlignment="1" applyProtection="1">
      <alignment horizontal="center"/>
    </xf>
    <xf numFmtId="167" fontId="0" fillId="0" borderId="9" xfId="0" applyNumberFormat="1" applyFill="1" applyBorder="1" applyAlignment="1" applyProtection="1">
      <alignment horizontal="center"/>
    </xf>
    <xf numFmtId="0" fontId="1" fillId="7" borderId="9" xfId="0" applyFont="1" applyFill="1" applyBorder="1" applyProtection="1"/>
    <xf numFmtId="164" fontId="0" fillId="0" borderId="11" xfId="0" applyNumberFormat="1" applyFill="1" applyBorder="1" applyAlignment="1" applyProtection="1"/>
    <xf numFmtId="164" fontId="0" fillId="0" borderId="9" xfId="0" applyNumberFormat="1" applyFill="1" applyBorder="1" applyAlignment="1" applyProtection="1"/>
    <xf numFmtId="0" fontId="0" fillId="0" borderId="11" xfId="0" applyNumberFormat="1" applyFill="1" applyBorder="1" applyAlignment="1" applyProtection="1">
      <alignment horizontal="center"/>
    </xf>
    <xf numFmtId="0" fontId="0" fillId="0" borderId="9" xfId="0" applyNumberFormat="1" applyFill="1" applyBorder="1" applyAlignment="1" applyProtection="1">
      <alignment horizontal="center"/>
    </xf>
    <xf numFmtId="2" fontId="2" fillId="5" borderId="1" xfId="0" applyNumberFormat="1" applyFont="1" applyFill="1" applyBorder="1" applyAlignment="1" applyProtection="1">
      <alignment horizontal="center"/>
    </xf>
    <xf numFmtId="2" fontId="0" fillId="0" borderId="11" xfId="0" applyNumberFormat="1" applyFill="1" applyBorder="1" applyAlignment="1" applyProtection="1">
      <alignment horizontal="center"/>
    </xf>
    <xf numFmtId="2" fontId="0" fillId="0" borderId="9" xfId="0" applyNumberFormat="1" applyFill="1" applyBorder="1" applyAlignment="1" applyProtection="1">
      <alignment horizontal="center"/>
    </xf>
    <xf numFmtId="0" fontId="0" fillId="9" borderId="11" xfId="0" applyNumberFormat="1" applyFill="1" applyBorder="1" applyAlignment="1" applyProtection="1">
      <alignment horizontal="center"/>
    </xf>
    <xf numFmtId="0" fontId="0" fillId="9" borderId="9" xfId="0" applyNumberFormat="1" applyFill="1" applyBorder="1" applyAlignment="1" applyProtection="1">
      <alignment horizontal="center"/>
    </xf>
    <xf numFmtId="167" fontId="0" fillId="0" borderId="13" xfId="0" applyNumberFormat="1" applyFill="1" applyBorder="1" applyAlignment="1" applyProtection="1">
      <alignment horizontal="center"/>
    </xf>
    <xf numFmtId="0" fontId="0" fillId="0" borderId="13" xfId="0" applyNumberFormat="1" applyFill="1" applyBorder="1" applyAlignment="1" applyProtection="1">
      <alignment horizontal="center"/>
    </xf>
    <xf numFmtId="164" fontId="0" fillId="0" borderId="13" xfId="0" applyNumberFormat="1" applyFill="1" applyBorder="1" applyAlignment="1" applyProtection="1"/>
    <xf numFmtId="2" fontId="0" fillId="0" borderId="13" xfId="0" applyNumberFormat="1" applyFill="1" applyBorder="1" applyAlignment="1" applyProtection="1">
      <alignment horizontal="center"/>
    </xf>
    <xf numFmtId="0" fontId="0" fillId="9" borderId="13" xfId="0" applyNumberFormat="1" applyFill="1" applyBorder="1" applyAlignment="1" applyProtection="1">
      <alignment horizontal="center"/>
    </xf>
    <xf numFmtId="164" fontId="2" fillId="5" borderId="14" xfId="0" applyNumberFormat="1" applyFont="1" applyFill="1" applyBorder="1" applyAlignment="1" applyProtection="1">
      <alignment horizontal="center"/>
    </xf>
    <xf numFmtId="167" fontId="0" fillId="0" borderId="14" xfId="0" applyNumberFormat="1" applyFill="1" applyBorder="1" applyAlignment="1" applyProtection="1">
      <alignment horizontal="center"/>
    </xf>
    <xf numFmtId="0" fontId="0" fillId="8" borderId="11" xfId="0" applyFill="1" applyBorder="1" applyAlignment="1" applyProtection="1">
      <alignment horizontal="center"/>
      <protection locked="0"/>
    </xf>
    <xf numFmtId="0" fontId="1" fillId="8" borderId="16" xfId="0" applyNumberFormat="1" applyFont="1" applyFill="1" applyBorder="1" applyAlignment="1" applyProtection="1">
      <alignment horizontal="center"/>
      <protection locked="0"/>
    </xf>
    <xf numFmtId="9" fontId="0" fillId="8" borderId="11" xfId="0" applyNumberFormat="1" applyFill="1" applyBorder="1" applyAlignment="1" applyProtection="1">
      <alignment horizontal="center"/>
      <protection locked="0"/>
    </xf>
    <xf numFmtId="0" fontId="0" fillId="11" borderId="13" xfId="0" applyFill="1" applyBorder="1" applyProtection="1">
      <protection locked="0"/>
    </xf>
    <xf numFmtId="0" fontId="0" fillId="11" borderId="11" xfId="0" applyFill="1" applyBorder="1" applyProtection="1">
      <protection locked="0"/>
    </xf>
    <xf numFmtId="0" fontId="0" fillId="11" borderId="9" xfId="0" applyFill="1" applyBorder="1" applyProtection="1">
      <protection locked="0"/>
    </xf>
    <xf numFmtId="0" fontId="5" fillId="8" borderId="3" xfId="0" applyFont="1" applyFill="1" applyBorder="1" applyAlignment="1" applyProtection="1">
      <alignment horizontal="center"/>
      <protection locked="0"/>
    </xf>
    <xf numFmtId="0" fontId="1" fillId="7" borderId="16" xfId="0" applyFont="1" applyFill="1" applyBorder="1" applyProtection="1"/>
    <xf numFmtId="0" fontId="0" fillId="16" borderId="15" xfId="0" applyFill="1" applyBorder="1" applyProtection="1">
      <protection locked="0"/>
    </xf>
    <xf numFmtId="169" fontId="0" fillId="0" borderId="16" xfId="0" applyNumberFormat="1" applyFill="1" applyBorder="1" applyAlignment="1" applyProtection="1">
      <alignment horizontal="center"/>
    </xf>
    <xf numFmtId="169" fontId="0" fillId="0" borderId="11" xfId="0" applyNumberFormat="1" applyFill="1" applyBorder="1" applyAlignment="1" applyProtection="1">
      <alignment horizontal="center"/>
    </xf>
    <xf numFmtId="169" fontId="0" fillId="0" borderId="9" xfId="0" applyNumberFormat="1" applyFill="1" applyBorder="1" applyAlignment="1" applyProtection="1">
      <alignment horizontal="center"/>
    </xf>
    <xf numFmtId="0" fontId="8" fillId="11" borderId="0" xfId="0" applyNumberFormat="1" applyFont="1" applyFill="1" applyProtection="1"/>
    <xf numFmtId="15" fontId="1" fillId="9" borderId="11" xfId="0" applyNumberFormat="1" applyFont="1" applyFill="1" applyBorder="1" applyAlignment="1" applyProtection="1">
      <alignment horizontal="center"/>
    </xf>
    <xf numFmtId="0" fontId="1" fillId="9" borderId="11" xfId="0" applyFont="1" applyFill="1" applyBorder="1" applyAlignment="1" applyProtection="1">
      <alignment horizontal="center"/>
    </xf>
    <xf numFmtId="0" fontId="1" fillId="9" borderId="9" xfId="0" applyFont="1" applyFill="1" applyBorder="1" applyAlignment="1" applyProtection="1">
      <alignment horizontal="center"/>
    </xf>
    <xf numFmtId="0" fontId="1" fillId="10" borderId="16" xfId="0" applyFont="1" applyFill="1" applyBorder="1" applyProtection="1"/>
    <xf numFmtId="0" fontId="1" fillId="10" borderId="11" xfId="0" applyFont="1" applyFill="1" applyBorder="1" applyProtection="1"/>
    <xf numFmtId="0" fontId="1" fillId="10" borderId="9" xfId="0" applyFont="1" applyFill="1" applyBorder="1" applyProtection="1"/>
    <xf numFmtId="21" fontId="1" fillId="17" borderId="5" xfId="0" applyNumberFormat="1" applyFont="1" applyFill="1" applyBorder="1" applyAlignment="1" applyProtection="1">
      <alignment horizontal="center"/>
    </xf>
    <xf numFmtId="0" fontId="0" fillId="17" borderId="7" xfId="0" applyFill="1" applyBorder="1" applyAlignment="1" applyProtection="1">
      <alignment horizontal="center"/>
    </xf>
    <xf numFmtId="0" fontId="0" fillId="0" borderId="2" xfId="0" applyBorder="1" applyAlignment="1" applyProtection="1">
      <alignment horizontal="center"/>
    </xf>
    <xf numFmtId="0" fontId="0" fillId="0" borderId="3" xfId="0" applyBorder="1" applyAlignment="1" applyProtection="1">
      <alignment horizontal="center"/>
    </xf>
    <xf numFmtId="0" fontId="0" fillId="0" borderId="19" xfId="0" applyBorder="1" applyProtection="1"/>
    <xf numFmtId="4" fontId="0" fillId="0" borderId="19" xfId="0" applyNumberFormat="1" applyBorder="1" applyProtection="1"/>
    <xf numFmtId="4" fontId="0" fillId="14" borderId="19" xfId="0" applyNumberFormat="1" applyFill="1" applyBorder="1" applyProtection="1"/>
    <xf numFmtId="166" fontId="0" fillId="0" borderId="19" xfId="0" applyNumberFormat="1" applyBorder="1" applyProtection="1"/>
    <xf numFmtId="0" fontId="0" fillId="0" borderId="4" xfId="0" applyBorder="1" applyAlignment="1" applyProtection="1">
      <alignment horizontal="center"/>
    </xf>
    <xf numFmtId="0" fontId="0" fillId="0" borderId="5" xfId="0" applyBorder="1" applyAlignment="1" applyProtection="1">
      <alignment horizontal="center"/>
    </xf>
    <xf numFmtId="4" fontId="0" fillId="0" borderId="0" xfId="0" applyNumberFormat="1" applyBorder="1" applyProtection="1"/>
    <xf numFmtId="4" fontId="0" fillId="14" borderId="0" xfId="0" applyNumberFormat="1" applyFill="1" applyBorder="1" applyProtection="1"/>
    <xf numFmtId="166" fontId="0" fillId="0" borderId="0" xfId="0" applyNumberFormat="1" applyBorder="1" applyProtection="1"/>
    <xf numFmtId="0" fontId="0" fillId="0" borderId="6" xfId="0" applyBorder="1" applyAlignment="1" applyProtection="1">
      <alignment horizontal="center"/>
    </xf>
    <xf numFmtId="0" fontId="0" fillId="0" borderId="7" xfId="0" applyBorder="1" applyAlignment="1" applyProtection="1">
      <alignment horizontal="center"/>
    </xf>
    <xf numFmtId="0" fontId="0" fillId="0" borderId="3" xfId="0" applyNumberFormat="1" applyBorder="1" applyProtection="1"/>
    <xf numFmtId="0" fontId="0" fillId="0" borderId="5" xfId="0" applyNumberFormat="1" applyBorder="1" applyProtection="1"/>
    <xf numFmtId="0" fontId="0" fillId="0" borderId="7" xfId="0" applyNumberFormat="1" applyBorder="1" applyProtection="1"/>
    <xf numFmtId="0" fontId="0" fillId="15" borderId="6" xfId="0" applyFill="1" applyBorder="1" applyProtection="1"/>
    <xf numFmtId="0" fontId="0" fillId="0" borderId="20" xfId="0" applyBorder="1" applyProtection="1"/>
    <xf numFmtId="0" fontId="1" fillId="0" borderId="3" xfId="0" applyFont="1" applyBorder="1" applyProtection="1">
      <protection locked="0"/>
    </xf>
    <xf numFmtId="0" fontId="1" fillId="0" borderId="5" xfId="0" applyFont="1" applyBorder="1" applyProtection="1">
      <protection locked="0"/>
    </xf>
    <xf numFmtId="49" fontId="1" fillId="0" borderId="5" xfId="0" applyNumberFormat="1" applyFont="1" applyBorder="1" applyProtection="1">
      <protection locked="0"/>
    </xf>
    <xf numFmtId="49" fontId="1" fillId="0" borderId="7" xfId="0" applyNumberFormat="1" applyFont="1" applyBorder="1" applyProtection="1">
      <protection locked="0"/>
    </xf>
    <xf numFmtId="0" fontId="0" fillId="0" borderId="15" xfId="0" applyBorder="1" applyProtection="1"/>
    <xf numFmtId="0" fontId="0" fillId="0" borderId="15" xfId="0" applyBorder="1"/>
    <xf numFmtId="0" fontId="0" fillId="15" borderId="15" xfId="0" applyFill="1" applyBorder="1" applyProtection="1">
      <protection locked="0"/>
    </xf>
    <xf numFmtId="170" fontId="0" fillId="0" borderId="9" xfId="0" applyNumberFormat="1" applyBorder="1"/>
    <xf numFmtId="171" fontId="0" fillId="0" borderId="9" xfId="0" applyNumberFormat="1" applyBorder="1"/>
    <xf numFmtId="170" fontId="0" fillId="0" borderId="11" xfId="0" applyNumberFormat="1" applyBorder="1"/>
    <xf numFmtId="171" fontId="0" fillId="0" borderId="11" xfId="0" applyNumberFormat="1" applyBorder="1"/>
    <xf numFmtId="21" fontId="0" fillId="0" borderId="9" xfId="0" applyNumberFormat="1" applyBorder="1" applyAlignment="1">
      <alignment horizontal="center"/>
    </xf>
    <xf numFmtId="0" fontId="11" fillId="0" borderId="9" xfId="0" applyFont="1" applyBorder="1" applyAlignment="1">
      <alignment horizontal="right"/>
    </xf>
    <xf numFmtId="0" fontId="0" fillId="0" borderId="16" xfId="0" applyNumberFormat="1" applyBorder="1" applyAlignment="1">
      <alignment horizontal="center"/>
    </xf>
    <xf numFmtId="0" fontId="11" fillId="0" borderId="11" xfId="0" applyFont="1" applyBorder="1" applyAlignment="1">
      <alignment horizontal="right"/>
    </xf>
    <xf numFmtId="0" fontId="11" fillId="0" borderId="16" xfId="0" applyFont="1" applyBorder="1" applyAlignment="1">
      <alignment horizontal="right"/>
    </xf>
    <xf numFmtId="170" fontId="0" fillId="0" borderId="16" xfId="0" applyNumberFormat="1" applyBorder="1"/>
    <xf numFmtId="171" fontId="0" fillId="0" borderId="16" xfId="0" applyNumberFormat="1" applyBorder="1"/>
    <xf numFmtId="0" fontId="11" fillId="0" borderId="15" xfId="0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18" borderId="16" xfId="0" applyFill="1" applyBorder="1" applyAlignment="1">
      <alignment horizontal="center"/>
    </xf>
    <xf numFmtId="0" fontId="0" fillId="18" borderId="11" xfId="0" applyFill="1" applyBorder="1" applyAlignment="1">
      <alignment horizontal="center"/>
    </xf>
    <xf numFmtId="0" fontId="0" fillId="18" borderId="9" xfId="0" applyFill="1" applyBorder="1" applyAlignment="1">
      <alignment horizontal="center"/>
    </xf>
    <xf numFmtId="0" fontId="11" fillId="0" borderId="0" xfId="0" applyFont="1" applyAlignment="1">
      <alignment horizontal="right"/>
    </xf>
    <xf numFmtId="0" fontId="0" fillId="3" borderId="15" xfId="0" applyFill="1" applyBorder="1" applyAlignment="1">
      <alignment horizontal="center"/>
    </xf>
    <xf numFmtId="0" fontId="12" fillId="0" borderId="16" xfId="0" applyFont="1" applyBorder="1" applyAlignment="1">
      <alignment horizontal="center"/>
    </xf>
    <xf numFmtId="0" fontId="12" fillId="0" borderId="11" xfId="0" applyFont="1" applyBorder="1" applyAlignment="1">
      <alignment horizontal="center"/>
    </xf>
    <xf numFmtId="0" fontId="12" fillId="0" borderId="9" xfId="0" applyFont="1" applyBorder="1" applyAlignment="1">
      <alignment horizontal="center"/>
    </xf>
    <xf numFmtId="164" fontId="0" fillId="0" borderId="16" xfId="0" applyNumberFormat="1" applyBorder="1"/>
    <xf numFmtId="164" fontId="0" fillId="0" borderId="11" xfId="0" applyNumberFormat="1" applyBorder="1"/>
    <xf numFmtId="164" fontId="0" fillId="0" borderId="9" xfId="0" applyNumberFormat="1" applyBorder="1"/>
    <xf numFmtId="0" fontId="12" fillId="0" borderId="22" xfId="0" applyFont="1" applyBorder="1" applyAlignment="1">
      <alignment horizontal="center"/>
    </xf>
    <xf numFmtId="0" fontId="12" fillId="0" borderId="23" xfId="0" applyFont="1" applyBorder="1" applyAlignment="1">
      <alignment horizontal="center"/>
    </xf>
    <xf numFmtId="0" fontId="12" fillId="0" borderId="24" xfId="0" applyFont="1" applyBorder="1" applyAlignment="1">
      <alignment horizontal="center"/>
    </xf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172" fontId="0" fillId="0" borderId="13" xfId="0" applyNumberFormat="1" applyFill="1" applyBorder="1" applyAlignment="1" applyProtection="1"/>
    <xf numFmtId="172" fontId="0" fillId="0" borderId="11" xfId="0" applyNumberFormat="1" applyFill="1" applyBorder="1" applyAlignment="1" applyProtection="1"/>
    <xf numFmtId="172" fontId="0" fillId="0" borderId="9" xfId="0" applyNumberFormat="1" applyFill="1" applyBorder="1" applyAlignment="1" applyProtection="1"/>
    <xf numFmtId="172" fontId="0" fillId="2" borderId="13" xfId="0" applyNumberFormat="1" applyFill="1" applyBorder="1" applyAlignment="1" applyProtection="1">
      <alignment horizontal="center"/>
    </xf>
    <xf numFmtId="172" fontId="0" fillId="0" borderId="13" xfId="0" applyNumberFormat="1" applyFill="1" applyBorder="1" applyAlignment="1" applyProtection="1">
      <alignment horizontal="center"/>
      <protection locked="0"/>
    </xf>
    <xf numFmtId="172" fontId="0" fillId="3" borderId="13" xfId="0" applyNumberFormat="1" applyFill="1" applyBorder="1" applyAlignment="1" applyProtection="1">
      <alignment horizontal="center"/>
      <protection locked="0"/>
    </xf>
    <xf numFmtId="172" fontId="0" fillId="0" borderId="13" xfId="0" applyNumberFormat="1" applyFill="1" applyBorder="1" applyAlignment="1" applyProtection="1">
      <alignment horizontal="center"/>
    </xf>
    <xf numFmtId="172" fontId="0" fillId="2" borderId="11" xfId="0" applyNumberFormat="1" applyFill="1" applyBorder="1" applyAlignment="1" applyProtection="1">
      <alignment horizontal="center"/>
    </xf>
    <xf numFmtId="172" fontId="0" fillId="0" borderId="11" xfId="0" applyNumberFormat="1" applyFill="1" applyBorder="1" applyAlignment="1" applyProtection="1">
      <alignment horizontal="center"/>
      <protection locked="0"/>
    </xf>
    <xf numFmtId="172" fontId="0" fillId="3" borderId="11" xfId="0" applyNumberFormat="1" applyFill="1" applyBorder="1" applyAlignment="1" applyProtection="1">
      <alignment horizontal="center"/>
      <protection locked="0"/>
    </xf>
    <xf numFmtId="172" fontId="0" fillId="0" borderId="11" xfId="0" applyNumberFormat="1" applyFill="1" applyBorder="1" applyAlignment="1" applyProtection="1">
      <alignment horizontal="center"/>
    </xf>
    <xf numFmtId="172" fontId="0" fillId="2" borderId="9" xfId="0" applyNumberFormat="1" applyFill="1" applyBorder="1" applyAlignment="1" applyProtection="1">
      <alignment horizontal="center"/>
    </xf>
    <xf numFmtId="172" fontId="0" fillId="0" borderId="9" xfId="0" applyNumberFormat="1" applyFill="1" applyBorder="1" applyAlignment="1" applyProtection="1">
      <alignment horizontal="center"/>
      <protection locked="0"/>
    </xf>
    <xf numFmtId="172" fontId="7" fillId="3" borderId="9" xfId="0" applyNumberFormat="1" applyFont="1" applyFill="1" applyBorder="1" applyAlignment="1" applyProtection="1">
      <alignment horizontal="center"/>
      <protection locked="0"/>
    </xf>
    <xf numFmtId="172" fontId="0" fillId="0" borderId="9" xfId="0" applyNumberFormat="1" applyFill="1" applyBorder="1" applyAlignment="1" applyProtection="1">
      <alignment horizontal="center"/>
    </xf>
    <xf numFmtId="172" fontId="0" fillId="0" borderId="16" xfId="0" applyNumberFormat="1" applyBorder="1"/>
    <xf numFmtId="172" fontId="0" fillId="0" borderId="11" xfId="0" applyNumberFormat="1" applyBorder="1"/>
    <xf numFmtId="172" fontId="0" fillId="0" borderId="9" xfId="0" applyNumberFormat="1" applyBorder="1"/>
    <xf numFmtId="166" fontId="0" fillId="0" borderId="16" xfId="0" applyNumberFormat="1" applyBorder="1"/>
    <xf numFmtId="166" fontId="0" fillId="0" borderId="11" xfId="0" applyNumberFormat="1" applyBorder="1"/>
    <xf numFmtId="166" fontId="0" fillId="0" borderId="9" xfId="0" applyNumberFormat="1" applyBorder="1"/>
    <xf numFmtId="0" fontId="11" fillId="0" borderId="15" xfId="0" applyFont="1" applyBorder="1" applyAlignment="1">
      <alignment horizontal="right"/>
    </xf>
    <xf numFmtId="0" fontId="14" fillId="0" borderId="0" xfId="0" applyFont="1" applyBorder="1" applyAlignment="1" applyProtection="1">
      <alignment vertical="center"/>
    </xf>
    <xf numFmtId="0" fontId="11" fillId="0" borderId="21" xfId="0" applyFont="1" applyBorder="1" applyAlignment="1">
      <alignment horizontal="right"/>
    </xf>
    <xf numFmtId="0" fontId="0" fillId="0" borderId="10" xfId="0" applyBorder="1" applyAlignment="1" applyProtection="1">
      <alignment horizontal="center"/>
    </xf>
    <xf numFmtId="0" fontId="0" fillId="0" borderId="0" xfId="0" applyBorder="1" applyAlignment="1" applyProtection="1"/>
    <xf numFmtId="0" fontId="14" fillId="0" borderId="19" xfId="0" applyFont="1" applyBorder="1" applyAlignment="1" applyProtection="1">
      <alignment vertical="center"/>
    </xf>
    <xf numFmtId="0" fontId="14" fillId="0" borderId="20" xfId="0" applyFont="1" applyBorder="1" applyAlignment="1" applyProtection="1">
      <alignment vertical="center"/>
    </xf>
    <xf numFmtId="0" fontId="11" fillId="0" borderId="4" xfId="0" applyFont="1" applyBorder="1" applyAlignment="1">
      <alignment horizontal="right"/>
    </xf>
    <xf numFmtId="0" fontId="11" fillId="0" borderId="6" xfId="0" applyFont="1" applyBorder="1" applyAlignment="1">
      <alignment horizontal="right"/>
    </xf>
    <xf numFmtId="0" fontId="11" fillId="0" borderId="2" xfId="0" applyFont="1" applyBorder="1" applyAlignment="1">
      <alignment horizontal="right"/>
    </xf>
    <xf numFmtId="171" fontId="0" fillId="0" borderId="2" xfId="0" applyNumberFormat="1" applyBorder="1"/>
    <xf numFmtId="171" fontId="0" fillId="0" borderId="4" xfId="0" applyNumberFormat="1" applyBorder="1"/>
    <xf numFmtId="171" fontId="0" fillId="0" borderId="6" xfId="0" applyNumberFormat="1" applyBorder="1"/>
    <xf numFmtId="0" fontId="11" fillId="0" borderId="16" xfId="0" applyFont="1" applyBorder="1" applyAlignment="1">
      <alignment horizontal="center"/>
    </xf>
    <xf numFmtId="0" fontId="20" fillId="6" borderId="34" xfId="0" applyFont="1" applyFill="1" applyBorder="1" applyAlignment="1" applyProtection="1">
      <alignment horizontal="center"/>
    </xf>
    <xf numFmtId="0" fontId="20" fillId="8" borderId="35" xfId="0" applyFont="1" applyFill="1" applyBorder="1" applyAlignment="1" applyProtection="1">
      <alignment horizontal="center"/>
      <protection locked="0"/>
    </xf>
    <xf numFmtId="0" fontId="20" fillId="6" borderId="36" xfId="0" applyFont="1" applyFill="1" applyBorder="1" applyAlignment="1" applyProtection="1">
      <alignment horizontal="center"/>
    </xf>
    <xf numFmtId="0" fontId="20" fillId="8" borderId="37" xfId="0" applyFont="1" applyFill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</xf>
    <xf numFmtId="0" fontId="11" fillId="0" borderId="9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11" fillId="0" borderId="12" xfId="0" applyFont="1" applyBorder="1" applyAlignment="1">
      <alignment horizontal="center"/>
    </xf>
    <xf numFmtId="171" fontId="0" fillId="0" borderId="11" xfId="0" applyNumberFormat="1" applyBorder="1" applyProtection="1"/>
    <xf numFmtId="171" fontId="0" fillId="0" borderId="9" xfId="0" applyNumberFormat="1" applyBorder="1" applyProtection="1"/>
    <xf numFmtId="174" fontId="0" fillId="0" borderId="0" xfId="0" applyNumberFormat="1" applyBorder="1" applyProtection="1"/>
    <xf numFmtId="174" fontId="0" fillId="0" borderId="5" xfId="0" applyNumberFormat="1" applyBorder="1" applyProtection="1"/>
    <xf numFmtId="174" fontId="0" fillId="0" borderId="20" xfId="0" applyNumberFormat="1" applyBorder="1" applyProtection="1"/>
    <xf numFmtId="171" fontId="0" fillId="22" borderId="11" xfId="0" applyNumberFormat="1" applyFill="1" applyBorder="1" applyProtection="1"/>
    <xf numFmtId="0" fontId="0" fillId="22" borderId="5" xfId="0" applyFill="1" applyBorder="1" applyProtection="1"/>
    <xf numFmtId="171" fontId="0" fillId="22" borderId="9" xfId="0" applyNumberFormat="1" applyFill="1" applyBorder="1" applyProtection="1"/>
    <xf numFmtId="0" fontId="0" fillId="22" borderId="7" xfId="0" applyFill="1" applyBorder="1" applyProtection="1"/>
    <xf numFmtId="0" fontId="20" fillId="6" borderId="38" xfId="0" applyFont="1" applyFill="1" applyBorder="1" applyAlignment="1" applyProtection="1">
      <alignment horizontal="center"/>
    </xf>
    <xf numFmtId="0" fontId="20" fillId="8" borderId="39" xfId="0" applyFont="1" applyFill="1" applyBorder="1" applyAlignment="1" applyProtection="1">
      <alignment horizontal="center"/>
      <protection locked="0"/>
    </xf>
    <xf numFmtId="0" fontId="0" fillId="0" borderId="16" xfId="0" applyBorder="1" applyAlignment="1" applyProtection="1">
      <alignment horizontal="center"/>
    </xf>
    <xf numFmtId="0" fontId="3" fillId="0" borderId="15" xfId="0" applyFont="1" applyBorder="1" applyAlignment="1" applyProtection="1">
      <alignment horizontal="center"/>
    </xf>
    <xf numFmtId="0" fontId="3" fillId="0" borderId="16" xfId="0" applyFont="1" applyBorder="1" applyAlignment="1" applyProtection="1">
      <alignment horizontal="center"/>
    </xf>
    <xf numFmtId="175" fontId="0" fillId="0" borderId="11" xfId="3" applyNumberFormat="1" applyFont="1" applyBorder="1" applyProtection="1"/>
    <xf numFmtId="175" fontId="0" fillId="0" borderId="9" xfId="3" applyNumberFormat="1" applyFont="1" applyBorder="1" applyProtection="1"/>
    <xf numFmtId="0" fontId="0" fillId="0" borderId="16" xfId="0" applyBorder="1" applyAlignment="1" applyProtection="1">
      <alignment horizontal="right"/>
    </xf>
    <xf numFmtId="0" fontId="0" fillId="0" borderId="11" xfId="0" applyBorder="1" applyAlignment="1" applyProtection="1">
      <alignment horizontal="right"/>
    </xf>
    <xf numFmtId="0" fontId="0" fillId="0" borderId="9" xfId="0" applyBorder="1" applyAlignment="1" applyProtection="1">
      <alignment horizontal="right"/>
    </xf>
    <xf numFmtId="173" fontId="0" fillId="0" borderId="16" xfId="0" applyNumberFormat="1" applyBorder="1" applyProtection="1"/>
    <xf numFmtId="173" fontId="0" fillId="0" borderId="11" xfId="0" applyNumberFormat="1" applyBorder="1" applyProtection="1"/>
    <xf numFmtId="173" fontId="0" fillId="0" borderId="9" xfId="0" applyNumberFormat="1" applyBorder="1" applyProtection="1"/>
    <xf numFmtId="14" fontId="0" fillId="0" borderId="0" xfId="0" applyNumberFormat="1" applyProtection="1"/>
    <xf numFmtId="176" fontId="0" fillId="0" borderId="0" xfId="0" applyNumberFormat="1" applyProtection="1"/>
    <xf numFmtId="0" fontId="0" fillId="0" borderId="19" xfId="0" applyBorder="1" applyAlignment="1" applyProtection="1">
      <alignment horizontal="center"/>
    </xf>
    <xf numFmtId="0" fontId="0" fillId="0" borderId="3" xfId="0" applyBorder="1" applyProtection="1"/>
    <xf numFmtId="0" fontId="0" fillId="0" borderId="5" xfId="0" applyBorder="1" applyProtection="1"/>
    <xf numFmtId="176" fontId="0" fillId="0" borderId="0" xfId="0" applyNumberFormat="1" applyBorder="1" applyProtection="1"/>
    <xf numFmtId="0" fontId="0" fillId="15" borderId="7" xfId="0" applyFill="1" applyBorder="1" applyProtection="1"/>
    <xf numFmtId="176" fontId="0" fillId="0" borderId="20" xfId="0" applyNumberFormat="1" applyBorder="1" applyProtection="1"/>
    <xf numFmtId="0" fontId="0" fillId="0" borderId="7" xfId="0" applyBorder="1" applyProtection="1"/>
    <xf numFmtId="0" fontId="0" fillId="0" borderId="16" xfId="0" applyBorder="1" applyProtection="1"/>
    <xf numFmtId="0" fontId="0" fillId="0" borderId="0" xfId="0" applyFill="1" applyBorder="1" applyAlignment="1" applyProtection="1">
      <alignment horizontal="center"/>
    </xf>
    <xf numFmtId="0" fontId="0" fillId="0" borderId="19" xfId="0" applyFill="1" applyBorder="1" applyAlignment="1" applyProtection="1">
      <alignment horizontal="center"/>
    </xf>
    <xf numFmtId="171" fontId="0" fillId="0" borderId="4" xfId="0" applyNumberFormat="1" applyBorder="1" applyProtection="1"/>
    <xf numFmtId="175" fontId="0" fillId="0" borderId="0" xfId="3" applyNumberFormat="1" applyFont="1" applyBorder="1" applyProtection="1"/>
    <xf numFmtId="10" fontId="0" fillId="0" borderId="0" xfId="3" applyNumberFormat="1" applyFont="1" applyBorder="1" applyProtection="1"/>
    <xf numFmtId="169" fontId="0" fillId="0" borderId="0" xfId="0" applyNumberFormat="1" applyBorder="1" applyProtection="1"/>
    <xf numFmtId="0" fontId="0" fillId="0" borderId="11" xfId="0" applyBorder="1" applyProtection="1"/>
    <xf numFmtId="0" fontId="0" fillId="22" borderId="0" xfId="0" applyFill="1" applyBorder="1" applyProtection="1"/>
    <xf numFmtId="0" fontId="0" fillId="22" borderId="20" xfId="0" applyFill="1" applyBorder="1" applyProtection="1"/>
    <xf numFmtId="3" fontId="0" fillId="0" borderId="0" xfId="0" applyNumberFormat="1" applyProtection="1"/>
    <xf numFmtId="0" fontId="0" fillId="0" borderId="4" xfId="0" applyBorder="1" applyAlignment="1" applyProtection="1">
      <alignment horizontal="right"/>
    </xf>
    <xf numFmtId="0" fontId="0" fillId="0" borderId="6" xfId="0" applyBorder="1" applyAlignment="1" applyProtection="1">
      <alignment horizontal="right"/>
    </xf>
    <xf numFmtId="171" fontId="0" fillId="0" borderId="0" xfId="0" applyNumberFormat="1" applyBorder="1" applyProtection="1"/>
    <xf numFmtId="177" fontId="0" fillId="0" borderId="0" xfId="0" applyNumberFormat="1" applyBorder="1" applyProtection="1"/>
    <xf numFmtId="0" fontId="0" fillId="0" borderId="2" xfId="0" applyFill="1" applyBorder="1" applyProtection="1"/>
    <xf numFmtId="171" fontId="0" fillId="22" borderId="4" xfId="0" applyNumberFormat="1" applyFill="1" applyBorder="1" applyProtection="1"/>
    <xf numFmtId="0" fontId="0" fillId="22" borderId="6" xfId="0" applyFill="1" applyBorder="1" applyProtection="1"/>
    <xf numFmtId="171" fontId="0" fillId="0" borderId="20" xfId="0" applyNumberFormat="1" applyBorder="1" applyProtection="1"/>
    <xf numFmtId="175" fontId="0" fillId="22" borderId="20" xfId="3" applyNumberFormat="1" applyFont="1" applyFill="1" applyBorder="1" applyProtection="1"/>
    <xf numFmtId="176" fontId="0" fillId="22" borderId="0" xfId="0" applyNumberFormat="1" applyFill="1" applyBorder="1" applyProtection="1"/>
    <xf numFmtId="0" fontId="0" fillId="0" borderId="5" xfId="0" applyFill="1" applyBorder="1" applyAlignment="1" applyProtection="1">
      <alignment horizontal="center"/>
    </xf>
    <xf numFmtId="164" fontId="0" fillId="0" borderId="0" xfId="3" applyNumberFormat="1" applyFont="1" applyBorder="1" applyAlignment="1" applyProtection="1">
      <alignment horizontal="center"/>
    </xf>
    <xf numFmtId="164" fontId="0" fillId="0" borderId="20" xfId="3" applyNumberFormat="1" applyFont="1" applyBorder="1" applyAlignment="1" applyProtection="1">
      <alignment horizontal="center"/>
    </xf>
    <xf numFmtId="0" fontId="1" fillId="0" borderId="5" xfId="0" applyFont="1" applyFill="1" applyBorder="1" applyProtection="1"/>
    <xf numFmtId="0" fontId="1" fillId="15" borderId="7" xfId="0" applyFont="1" applyFill="1" applyBorder="1" applyProtection="1"/>
    <xf numFmtId="0" fontId="0" fillId="0" borderId="2" xfId="0" applyBorder="1" applyAlignment="1" applyProtection="1">
      <alignment horizontal="right"/>
    </xf>
    <xf numFmtId="2" fontId="0" fillId="0" borderId="3" xfId="3" applyNumberFormat="1" applyFont="1" applyBorder="1" applyProtection="1"/>
    <xf numFmtId="2" fontId="0" fillId="0" borderId="5" xfId="3" applyNumberFormat="1" applyFont="1" applyBorder="1" applyProtection="1"/>
    <xf numFmtId="2" fontId="0" fillId="0" borderId="7" xfId="3" applyNumberFormat="1" applyFont="1" applyBorder="1" applyProtection="1"/>
    <xf numFmtId="0" fontId="0" fillId="0" borderId="11" xfId="0" applyFill="1" applyBorder="1" applyProtection="1"/>
    <xf numFmtId="0" fontId="0" fillId="0" borderId="9" xfId="0" applyFill="1" applyBorder="1" applyProtection="1"/>
    <xf numFmtId="0" fontId="6" fillId="0" borderId="10" xfId="0" applyFont="1" applyBorder="1" applyAlignment="1">
      <alignment horizontal="center"/>
    </xf>
    <xf numFmtId="0" fontId="0" fillId="0" borderId="12" xfId="0" applyBorder="1" applyAlignment="1"/>
    <xf numFmtId="0" fontId="0" fillId="0" borderId="10" xfId="0" applyBorder="1" applyAlignment="1" applyProtection="1">
      <alignment horizontal="center"/>
    </xf>
    <xf numFmtId="0" fontId="0" fillId="0" borderId="12" xfId="0" applyBorder="1" applyAlignment="1" applyProtection="1">
      <alignment horizontal="center"/>
    </xf>
    <xf numFmtId="178" fontId="0" fillId="0" borderId="10" xfId="0" applyNumberFormat="1" applyBorder="1" applyAlignment="1" applyProtection="1">
      <alignment horizontal="center"/>
    </xf>
    <xf numFmtId="178" fontId="0" fillId="0" borderId="12" xfId="0" applyNumberFormat="1" applyBorder="1" applyAlignment="1" applyProtection="1">
      <alignment horizontal="center"/>
    </xf>
    <xf numFmtId="0" fontId="14" fillId="0" borderId="2" xfId="0" applyFont="1" applyBorder="1" applyAlignment="1" applyProtection="1">
      <alignment horizontal="center" vertical="center"/>
    </xf>
    <xf numFmtId="0" fontId="14" fillId="0" borderId="3" xfId="0" applyFont="1" applyBorder="1" applyAlignment="1" applyProtection="1">
      <alignment horizontal="center" vertical="center"/>
    </xf>
    <xf numFmtId="0" fontId="14" fillId="0" borderId="6" xfId="0" applyFont="1" applyBorder="1" applyAlignment="1" applyProtection="1">
      <alignment horizontal="center" vertical="center"/>
    </xf>
    <xf numFmtId="0" fontId="14" fillId="0" borderId="7" xfId="0" applyFont="1" applyBorder="1" applyAlignment="1" applyProtection="1">
      <alignment horizontal="center" vertical="center"/>
    </xf>
    <xf numFmtId="178" fontId="22" fillId="0" borderId="2" xfId="0" applyNumberFormat="1" applyFont="1" applyBorder="1" applyAlignment="1" applyProtection="1">
      <alignment horizontal="center" vertical="center"/>
    </xf>
    <xf numFmtId="178" fontId="22" fillId="0" borderId="3" xfId="0" applyNumberFormat="1" applyFont="1" applyBorder="1" applyAlignment="1" applyProtection="1">
      <alignment horizontal="center" vertical="center"/>
    </xf>
    <xf numFmtId="178" fontId="22" fillId="0" borderId="6" xfId="0" applyNumberFormat="1" applyFont="1" applyBorder="1" applyAlignment="1" applyProtection="1">
      <alignment horizontal="center" vertical="center"/>
    </xf>
    <xf numFmtId="178" fontId="22" fillId="0" borderId="7" xfId="0" applyNumberFormat="1" applyFont="1" applyBorder="1" applyAlignment="1" applyProtection="1">
      <alignment horizontal="center" vertical="center"/>
    </xf>
    <xf numFmtId="0" fontId="11" fillId="0" borderId="10" xfId="0" applyFont="1" applyBorder="1" applyAlignment="1">
      <alignment horizontal="center"/>
    </xf>
    <xf numFmtId="0" fontId="11" fillId="0" borderId="12" xfId="0" applyFont="1" applyBorder="1" applyAlignment="1">
      <alignment horizontal="center"/>
    </xf>
    <xf numFmtId="0" fontId="0" fillId="0" borderId="21" xfId="0" applyBorder="1" applyAlignment="1" applyProtection="1">
      <alignment horizontal="center"/>
    </xf>
    <xf numFmtId="0" fontId="0" fillId="0" borderId="2" xfId="0" applyBorder="1" applyAlignment="1" applyProtection="1">
      <alignment horizontal="center"/>
    </xf>
    <xf numFmtId="0" fontId="0" fillId="0" borderId="19" xfId="0" applyBorder="1" applyAlignment="1" applyProtection="1">
      <alignment horizontal="center"/>
    </xf>
    <xf numFmtId="0" fontId="0" fillId="0" borderId="3" xfId="0" applyBorder="1" applyAlignment="1" applyProtection="1">
      <alignment horizontal="center"/>
    </xf>
    <xf numFmtId="0" fontId="16" fillId="0" borderId="15" xfId="0" applyFont="1" applyBorder="1" applyAlignment="1" applyProtection="1">
      <alignment horizontal="center" vertical="center"/>
    </xf>
    <xf numFmtId="0" fontId="16" fillId="0" borderId="16" xfId="0" applyFont="1" applyBorder="1" applyAlignment="1" applyProtection="1">
      <alignment horizontal="center" vertical="center"/>
    </xf>
    <xf numFmtId="0" fontId="15" fillId="19" borderId="15" xfId="0" applyFont="1" applyFill="1" applyBorder="1" applyAlignment="1" applyProtection="1">
      <alignment horizontal="center" vertical="center"/>
    </xf>
    <xf numFmtId="0" fontId="18" fillId="0" borderId="19" xfId="0" applyFont="1" applyBorder="1" applyAlignment="1" applyProtection="1">
      <alignment horizontal="center" vertical="center"/>
    </xf>
    <xf numFmtId="0" fontId="18" fillId="0" borderId="3" xfId="0" applyFont="1" applyBorder="1" applyAlignment="1" applyProtection="1">
      <alignment horizontal="center" vertical="center"/>
    </xf>
    <xf numFmtId="0" fontId="18" fillId="0" borderId="20" xfId="0" applyFont="1" applyBorder="1" applyAlignment="1" applyProtection="1">
      <alignment horizontal="center" vertical="center"/>
    </xf>
    <xf numFmtId="0" fontId="18" fillId="0" borderId="7" xfId="0" applyFont="1" applyBorder="1" applyAlignment="1" applyProtection="1">
      <alignment horizontal="center" vertical="center"/>
    </xf>
    <xf numFmtId="0" fontId="15" fillId="19" borderId="2" xfId="0" applyFont="1" applyFill="1" applyBorder="1" applyAlignment="1" applyProtection="1">
      <alignment horizontal="center" vertical="center"/>
    </xf>
    <xf numFmtId="0" fontId="15" fillId="19" borderId="3" xfId="0" applyFont="1" applyFill="1" applyBorder="1" applyAlignment="1" applyProtection="1">
      <alignment horizontal="center" vertical="center"/>
    </xf>
    <xf numFmtId="0" fontId="15" fillId="19" borderId="6" xfId="0" applyFont="1" applyFill="1" applyBorder="1" applyAlignment="1" applyProtection="1">
      <alignment horizontal="center" vertical="center"/>
    </xf>
    <xf numFmtId="0" fontId="15" fillId="19" borderId="7" xfId="0" applyFont="1" applyFill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/>
    </xf>
    <xf numFmtId="0" fontId="0" fillId="0" borderId="5" xfId="0" applyBorder="1" applyAlignment="1" applyProtection="1">
      <alignment horizontal="center"/>
    </xf>
    <xf numFmtId="0" fontId="0" fillId="0" borderId="20" xfId="0" applyBorder="1" applyAlignment="1" applyProtection="1">
      <alignment horizontal="center"/>
    </xf>
    <xf numFmtId="0" fontId="0" fillId="0" borderId="7" xfId="0" applyBorder="1" applyAlignment="1" applyProtection="1">
      <alignment horizontal="center"/>
    </xf>
    <xf numFmtId="0" fontId="16" fillId="0" borderId="7" xfId="0" applyFont="1" applyBorder="1" applyAlignment="1" applyProtection="1">
      <alignment horizontal="center" vertical="center"/>
    </xf>
    <xf numFmtId="0" fontId="16" fillId="0" borderId="9" xfId="0" applyFont="1" applyBorder="1" applyAlignment="1" applyProtection="1">
      <alignment horizontal="center" vertical="center"/>
    </xf>
    <xf numFmtId="0" fontId="16" fillId="0" borderId="12" xfId="0" applyFont="1" applyBorder="1" applyAlignment="1" applyProtection="1">
      <alignment horizontal="center" vertical="center"/>
    </xf>
    <xf numFmtId="0" fontId="15" fillId="0" borderId="2" xfId="0" applyFont="1" applyBorder="1" applyAlignment="1" applyProtection="1">
      <alignment horizontal="center" vertical="center"/>
    </xf>
    <xf numFmtId="0" fontId="15" fillId="0" borderId="19" xfId="0" applyFont="1" applyBorder="1" applyAlignment="1" applyProtection="1">
      <alignment horizontal="center" vertical="center"/>
    </xf>
    <xf numFmtId="0" fontId="15" fillId="0" borderId="4" xfId="0" applyFont="1" applyBorder="1" applyAlignment="1" applyProtection="1">
      <alignment horizontal="center" vertical="center"/>
    </xf>
    <xf numFmtId="0" fontId="15" fillId="0" borderId="0" xfId="0" applyFont="1" applyBorder="1" applyAlignment="1" applyProtection="1">
      <alignment horizontal="center" vertical="center"/>
    </xf>
    <xf numFmtId="0" fontId="18" fillId="0" borderId="12" xfId="0" applyFont="1" applyBorder="1" applyAlignment="1" applyProtection="1">
      <alignment horizontal="center" vertical="center"/>
    </xf>
    <xf numFmtId="0" fontId="18" fillId="0" borderId="15" xfId="0" applyFont="1" applyBorder="1" applyAlignment="1" applyProtection="1">
      <alignment horizontal="center" vertical="center"/>
    </xf>
    <xf numFmtId="164" fontId="2" fillId="5" borderId="10" xfId="0" applyNumberFormat="1" applyFont="1" applyFill="1" applyBorder="1" applyAlignment="1" applyProtection="1">
      <alignment horizontal="center"/>
    </xf>
    <xf numFmtId="164" fontId="2" fillId="5" borderId="12" xfId="0" applyNumberFormat="1" applyFont="1" applyFill="1" applyBorder="1" applyAlignment="1" applyProtection="1">
      <alignment horizontal="center"/>
    </xf>
    <xf numFmtId="0" fontId="15" fillId="21" borderId="15" xfId="0" applyFont="1" applyFill="1" applyBorder="1" applyAlignment="1" applyProtection="1">
      <alignment horizontal="center" vertical="center"/>
    </xf>
    <xf numFmtId="0" fontId="15" fillId="20" borderId="15" xfId="0" applyFont="1" applyFill="1" applyBorder="1" applyAlignment="1" applyProtection="1">
      <alignment horizontal="center" vertical="center"/>
    </xf>
    <xf numFmtId="0" fontId="16" fillId="0" borderId="2" xfId="0" applyFont="1" applyBorder="1" applyAlignment="1" applyProtection="1">
      <alignment horizontal="center" vertical="center"/>
    </xf>
    <xf numFmtId="0" fontId="16" fillId="0" borderId="19" xfId="0" applyFont="1" applyBorder="1" applyAlignment="1" applyProtection="1">
      <alignment horizontal="center" vertical="center"/>
    </xf>
    <xf numFmtId="0" fontId="16" fillId="0" borderId="4" xfId="0" applyFont="1" applyBorder="1" applyAlignment="1" applyProtection="1">
      <alignment horizontal="center" vertical="center"/>
    </xf>
    <xf numFmtId="0" fontId="16" fillId="0" borderId="0" xfId="0" applyFont="1" applyBorder="1" applyAlignment="1" applyProtection="1">
      <alignment horizontal="center" vertical="center"/>
    </xf>
    <xf numFmtId="0" fontId="15" fillId="0" borderId="6" xfId="0" applyFont="1" applyBorder="1" applyAlignment="1" applyProtection="1">
      <alignment horizontal="center" vertical="center"/>
    </xf>
    <xf numFmtId="0" fontId="15" fillId="0" borderId="20" xfId="0" applyFont="1" applyBorder="1" applyAlignment="1" applyProtection="1">
      <alignment horizontal="center" vertical="center"/>
    </xf>
    <xf numFmtId="0" fontId="19" fillId="0" borderId="4" xfId="0" applyFont="1" applyBorder="1" applyAlignment="1" applyProtection="1">
      <alignment horizontal="center" vertical="center"/>
    </xf>
    <xf numFmtId="0" fontId="19" fillId="0" borderId="0" xfId="0" applyFont="1" applyBorder="1" applyAlignment="1" applyProtection="1">
      <alignment horizontal="center" vertical="center"/>
    </xf>
    <xf numFmtId="0" fontId="19" fillId="0" borderId="6" xfId="0" applyFont="1" applyBorder="1" applyAlignment="1" applyProtection="1">
      <alignment horizontal="center" vertical="center"/>
    </xf>
    <xf numFmtId="0" fontId="19" fillId="0" borderId="20" xfId="0" applyFont="1" applyBorder="1" applyAlignment="1" applyProtection="1">
      <alignment horizontal="center" vertical="center"/>
    </xf>
    <xf numFmtId="0" fontId="17" fillId="0" borderId="4" xfId="0" applyFont="1" applyBorder="1" applyAlignment="1" applyProtection="1">
      <alignment horizontal="center" vertical="center"/>
    </xf>
    <xf numFmtId="0" fontId="16" fillId="0" borderId="3" xfId="0" applyFont="1" applyBorder="1" applyAlignment="1" applyProtection="1">
      <alignment horizontal="center" vertical="center"/>
    </xf>
    <xf numFmtId="164" fontId="2" fillId="5" borderId="21" xfId="0" applyNumberFormat="1" applyFont="1" applyFill="1" applyBorder="1" applyAlignment="1" applyProtection="1">
      <alignment horizontal="center"/>
    </xf>
    <xf numFmtId="164" fontId="2" fillId="5" borderId="4" xfId="0" applyNumberFormat="1" applyFont="1" applyFill="1" applyBorder="1" applyAlignment="1" applyProtection="1">
      <alignment horizontal="center"/>
    </xf>
    <xf numFmtId="164" fontId="2" fillId="5" borderId="0" xfId="0" applyNumberFormat="1" applyFont="1" applyFill="1" applyBorder="1" applyAlignment="1" applyProtection="1">
      <alignment horizontal="center"/>
    </xf>
  </cellXfs>
  <cellStyles count="4">
    <cellStyle name="Input" xfId="1" builtinId="20" customBuiltin="1"/>
    <cellStyle name="Normal" xfId="0" builtinId="0" customBuiltin="1"/>
    <cellStyle name="Output" xfId="2" builtinId="21" customBuiltin="1"/>
    <cellStyle name="Percent" xfId="3" builtinId="5"/>
  </cellStyles>
  <dxfs count="9"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b/>
        <i/>
        <color rgb="FFFF0000"/>
      </font>
      <fill>
        <patternFill>
          <bgColor rgb="FFCCFF66"/>
        </patternFill>
      </fill>
    </dxf>
    <dxf>
      <font>
        <b/>
        <i/>
        <color rgb="FFFFFF00"/>
      </font>
      <fill>
        <patternFill>
          <bgColor rgb="FFFF0000"/>
        </patternFill>
      </fill>
      <border>
        <left/>
        <right/>
        <top/>
        <bottom/>
        <vertical/>
        <horizontal/>
      </border>
    </dxf>
    <dxf>
      <font>
        <b val="0"/>
        <i/>
        <color auto="1"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FF5757"/>
      <color rgb="FFCCCCFF"/>
      <color rgb="FFCC99FF"/>
      <color rgb="FFFF66CC"/>
      <color rgb="FFFF00FF"/>
      <color rgb="FFFF66FF"/>
      <color rgb="FFCCECFF"/>
      <color rgb="FFCCFF66"/>
      <color rgb="FFCCFFCC"/>
      <color rgb="FFCC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tnowrtdserver">
      <tp>
        <v>0.58662037036992842</v>
        <stp/>
        <stp>C19</stp>
        <stp>20</stp>
        <tr r="C19" s="17"/>
      </tp>
    </main>
    <main first="pldatasource.rtgetrtdserver">
      <tp>
        <v>151</v>
        <stp/>
        <stp xml:space="preserve">	UNICA15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4" s="17"/>
      </tp>
      <tp>
        <v>134</v>
        <stp/>
        <stp xml:space="preserve">	UNICA10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3" s="17"/>
      </tp>
      <tp>
        <v>193</v>
        <stp/>
        <stp xml:space="preserve">	UNICA30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7" s="17"/>
      </tp>
      <tp>
        <v>181</v>
        <stp/>
        <stp xml:space="preserve">	UNICA25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6" s="17"/>
      </tp>
      <tp>
        <v>167</v>
        <stp/>
        <stp xml:space="preserve">	UNICA20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5" s="17"/>
      </tp>
    </main>
    <main first="pldatasource.rdatartdserver">
      <tp>
        <v>-0.188</v>
        <stp/>
        <stp>{02DD4553-0077-4A94-A723-87D899EA16E1}</stp>
        <tr r="Z32" s="17"/>
      </tp>
      <tp>
        <v>-0.11600000000000001</v>
        <stp/>
        <stp>{B7207C20-7182-45F4-8F03-67B7895FE5CC}</stp>
        <tr r="AA32" s="17"/>
      </tp>
      <tp>
        <v>0.152</v>
        <stp/>
        <stp>{7E22EF44-979F-4BFF-B120-7B46C7192135}</stp>
        <tr r="AA35" s="17"/>
      </tp>
      <tp>
        <v>-0.25800000000000001</v>
        <stp/>
        <stp>{147856CB-1632-44B2-8E02-8B2E45DD4F19}</stp>
        <tr r="Z32" s="17"/>
      </tp>
    </main>
    <main first="pldatasource.rtgetrtdserver">
      <tp>
        <v>151</v>
        <stp/>
        <stp xml:space="preserve">	UNICA15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4" s="17"/>
      </tp>
      <tp>
        <v>134</v>
        <stp/>
        <stp xml:space="preserve">	UNICA10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3" s="17"/>
      </tp>
      <tp>
        <v>193</v>
        <stp/>
        <stp xml:space="preserve">	UNICA30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7" s="17"/>
      </tp>
      <tp>
        <v>181</v>
        <stp/>
        <stp xml:space="preserve">	UNICA25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6" s="17"/>
      </tp>
      <tp>
        <v>167</v>
        <stp/>
        <stp xml:space="preserve">	UNICA20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5" s="17"/>
      </tp>
    </main>
    <main first="pldatasource.rdatartdserver">
      <tp>
        <v>3.5000000000000003E-2</v>
        <stp/>
        <stp>{670C6FA7-CC06-4F71-9823-BAD2E4B1D127}</stp>
        <tr r="AA34" s="17"/>
      </tp>
      <tp>
        <v>1.268</v>
        <stp/>
        <stp>{B0BC9654-87B6-43F1-AC06-4B3E5436C0C0}</stp>
        <tr r="Z42" s="17"/>
      </tp>
      <tp>
        <v>1.28</v>
        <stp/>
        <stp>{E8D7EF7B-ACD2-46CB-AEA9-C940BE069E85}</stp>
        <tr r="AA42" s="17"/>
      </tp>
      <tp>
        <v>-0.10300000000000001</v>
        <stp/>
        <stp>{EA358014-E153-4F7A-87D4-B3CFDE2916CD}</stp>
        <tr r="Z33" s="17"/>
      </tp>
    </main>
    <main first="pldatasource.rtgetrtdserver">
      <tp>
        <v>123</v>
        <stp/>
        <stp>_x0008_UNICA7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0" s="17"/>
      </tp>
      <tp>
        <v>114</v>
        <stp/>
        <stp>_x0008_UNICA6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9" s="17"/>
      </tp>
      <tp>
        <v>13</v>
        <stp/>
        <stp>_x0008_UNICA6M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" s="17"/>
      </tp>
      <tp>
        <v>105</v>
        <stp/>
        <stp>_x0008_UNICA5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8" s="17"/>
      </tp>
      <tp>
        <v>87</v>
        <stp/>
        <stp>_x0008_UNICA4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7" s="17"/>
      </tp>
      <tp>
        <v>76</v>
        <stp/>
        <stp>_x0008_UNICA3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6" s="17"/>
      </tp>
      <tp>
        <v>49</v>
        <stp/>
        <stp>_x0008_UNICA2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5" s="17"/>
      </tp>
      <tp>
        <v>30</v>
        <stp/>
        <stp>_x0008_UNICA1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4" s="17"/>
      </tp>
      <tp>
        <v>130</v>
        <stp/>
        <stp>_x0008_UNICA9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2" s="17"/>
      </tp>
      <tp>
        <v>127</v>
        <stp/>
        <stp>_x0008_UNICA8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1" s="17"/>
      </tp>
    </main>
    <main first="pldatasource.rdatartdserver">
      <tp>
        <v>-0.17300000000000001</v>
        <stp/>
        <stp>{93D38EAF-2301-45EF-A4AE-0DBB54648459}</stp>
        <tr r="Z33" s="17"/>
      </tp>
      <tp>
        <v>0.4</v>
        <stp/>
        <stp>{AF2D7F97-8F51-4A7D-B4BD-960424364A85}</stp>
        <tr r="AA37" s="17"/>
      </tp>
      <tp>
        <v>0.32700000000000001</v>
        <stp/>
        <stp>{3440A3FB-1374-4E3D-9C8B-4F2E97147C0A}</stp>
        <tr r="AA36" s="17"/>
      </tp>
      <tp>
        <v>-0.39</v>
        <stp/>
        <stp>{9A48CCAF-5C07-496C-A920-507FA715420C}</stp>
        <tr r="Z30" s="17"/>
      </tp>
      <tp>
        <v>3.9E-2</v>
        <stp/>
        <stp>{CFE81991-BEA3-4637-87C9-0F2803EF2BF9}</stp>
        <tr r="Z35" s="17"/>
      </tp>
      <tp>
        <v>-0.33400000000000002</v>
        <stp/>
        <stp>{0CCF38D3-5EF7-4BED-B1E6-5EBFE9DB51CE}</stp>
        <tr r="Z31" s="17"/>
      </tp>
      <tp>
        <v>0.59399999999999997</v>
        <stp/>
        <stp>{5A286080-4E01-4406-A4E7-14FBEF277B27}</stp>
        <tr r="Z39" s="17"/>
      </tp>
      <tp>
        <v>-7.5999999999999998E-2</v>
        <stp/>
        <stp>{1D128CD0-D8C1-4759-A4E8-A65F94F29883}</stp>
        <tr r="Z34" s="17"/>
      </tp>
      <tp>
        <v>0.57100000000000006</v>
        <stp/>
        <stp>{6836A73B-AADA-4891-916E-5CAF2B9E8AC6}</stp>
        <tr r="AA38" s="17"/>
      </tp>
      <tp>
        <v>0.27700000000000002</v>
        <stp/>
        <stp>{71D667DE-F80B-4E59-B591-81945E794084}</stp>
        <tr r="AA36" s="17"/>
      </tp>
      <tp>
        <v>0.93</v>
        <stp/>
        <stp>{ECFE7245-414D-4F59-9574-E66C048C22EA}</stp>
        <tr r="Z40" s="17"/>
      </tp>
      <tp>
        <v>1.2590000000000001</v>
        <stp/>
        <stp>{C82E84A3-D7A9-4AAB-9E38-8DBCBDCF23A8}</stp>
        <tr r="AA41" s="17"/>
      </tp>
      <tp>
        <v>1.361</v>
        <stp/>
        <stp>{AD4E70F3-B5E7-4EBA-A916-4C846272F6C8}</stp>
        <tr r="AA43" s="17"/>
      </tp>
      <tp>
        <v>0.16500000000000001</v>
        <stp/>
        <stp>{BD5F7FDA-83A1-4418-AB7F-0D8F875F454B}</stp>
        <tr r="Z36" s="17"/>
      </tp>
      <tp>
        <v>1.1890000000000001</v>
        <stp/>
        <stp>{21C7A249-C61F-4C9B-B53F-DD14D45E5F92}</stp>
        <tr r="Z41" s="17"/>
      </tp>
    </main>
    <main first="pldatasource.rtgetrtdserver">
      <tp>
        <v>87</v>
        <stp/>
        <stp>_x0008_UNICA4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" s="17"/>
      </tp>
      <tp>
        <v>105</v>
        <stp/>
        <stp>_x0008_UNICA5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" s="17"/>
      </tp>
      <tp>
        <v>13</v>
        <stp/>
        <stp>_x0008_UNICA6M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" s="17"/>
      </tp>
      <tp>
        <v>114</v>
        <stp/>
        <stp>_x0008_UNICA6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9" s="17"/>
      </tp>
      <tp>
        <v>123</v>
        <stp/>
        <stp>_x0008_UNICA7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0" s="17"/>
      </tp>
      <tp>
        <v>30</v>
        <stp/>
        <stp>_x0008_UNICA1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" s="17"/>
      </tp>
      <tp>
        <v>49</v>
        <stp/>
        <stp>_x0008_UNICA2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" s="17"/>
      </tp>
      <tp>
        <v>76</v>
        <stp/>
        <stp>_x0008_UNICA3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" s="17"/>
      </tp>
      <tp>
        <v>127</v>
        <stp/>
        <stp>_x0008_UNICA8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1" s="17"/>
      </tp>
      <tp>
        <v>130</v>
        <stp/>
        <stp>_x0008_UNICA9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2" s="17"/>
      </tp>
    </main>
    <main first="pldatasource.rdatartdserver">
      <tp>
        <v>0.52100000000000002</v>
        <stp/>
        <stp>{F4F63FDC-1947-46FA-B660-ECA08A47ACE8}</stp>
        <tr r="AA38" s="17"/>
      </tp>
      <tp>
        <v>1.33</v>
        <stp/>
        <stp>{7A807718-5590-4430-AD91-544BC2DB80FE}</stp>
        <tr r="AA42" s="17"/>
      </tp>
      <tp>
        <v>1.2090000000000001</v>
        <stp/>
        <stp>{A875F81A-74E5-4937-85F4-43E1C6B91195}</stp>
        <tr r="AA41" s="17"/>
      </tp>
      <tp>
        <v>-0.26400000000000001</v>
        <stp/>
        <stp>{34BE22D1-9CD7-4DD7-AAC7-AF04FCCCC19F}</stp>
        <tr r="Z31" s="17"/>
      </tp>
      <tp>
        <v>1.3109999999999999</v>
        <stp/>
        <stp>{CBF1EB3A-2D02-454B-B9DF-042FB4E3E88D}</stp>
        <tr r="AA43" s="17"/>
      </tp>
      <tp>
        <v>1.119</v>
        <stp/>
        <stp>{848232BA-D2DE-446E-885B-85BECEE5DC51}</stp>
        <tr r="Z41" s="17"/>
      </tp>
      <tp>
        <v>0.20200000000000001</v>
        <stp/>
        <stp>{5E912735-FF2F-492F-AB8C-3210D8E4ACC9}</stp>
        <tr r="AA35" s="17"/>
      </tp>
      <tp>
        <v>-0.20300000000000001</v>
        <stp/>
        <stp>{C03BC211-93C1-4DBA-B6CA-4B920DDFF74C}</stp>
        <tr r="AA31" s="17"/>
      </tp>
      <tp>
        <v>-0.27600000000000002</v>
        <stp/>
        <stp>{FA2D4E9F-B3B0-42F6-B055-3F2428328A5C}</stp>
        <tr r="AA30" s="17"/>
      </tp>
      <tp>
        <v>0.23500000000000001</v>
        <stp/>
        <stp>{58F6A384-46B8-4918-A2B6-5AB9E63DF962}</stp>
        <tr r="Z36" s="17"/>
      </tp>
      <tp>
        <v>0.45</v>
        <stp/>
        <stp>{6273C292-F9DA-4FDC-9D87-B1CB2EC90990}</stp>
        <tr r="AA37" s="17"/>
      </tp>
      <tp>
        <v>-0.32600000000000001</v>
        <stp/>
        <stp>{58C852FA-5621-45CF-9D25-6D68D30984FE}</stp>
        <tr r="AA30" s="17"/>
      </tp>
      <tp>
        <v>0.35899999999999999</v>
        <stp/>
        <stp>{514FB91A-D2DA-44A1-A407-B541C8CCE912}</stp>
        <tr r="Z37" s="17"/>
      </tp>
      <tp>
        <v>0.68300000000000005</v>
        <stp/>
        <stp>{2597A82B-761F-4E4A-8491-498AD37E51D8}</stp>
        <tr r="AA39" s="17"/>
      </tp>
      <tp>
        <v>1.3069999999999999</v>
        <stp/>
        <stp>{CA19C442-2B78-4CC7-A56A-9440D9D00723}</stp>
        <tr r="Z43" s="17"/>
      </tp>
      <tp>
        <v>-7.1000000000000008E-2</v>
        <stp/>
        <stp>{3964106A-612A-4F64-BD03-F1084EDC4E41}</stp>
        <tr r="AA33" s="17"/>
      </tp>
      <tp>
        <v>-0.253</v>
        <stp/>
        <stp>{41372BAB-8A57-41BE-9B2B-4C7F63BF6AF6}</stp>
        <tr r="AA31" s="17"/>
      </tp>
      <tp>
        <v>0.63300000000000001</v>
        <stp/>
        <stp>{29A27B61-DDF7-4449-A62C-58787946381F}</stp>
        <tr r="AA39" s="17"/>
      </tp>
      <tp>
        <v>0.41100000000000003</v>
        <stp/>
        <stp>{740AADF1-5DDB-416C-98D1-944BBB531FBE}</stp>
        <tr r="Z38" s="17"/>
      </tp>
      <tp>
        <v>1.2370000000000001</v>
        <stp/>
        <stp>{0E548E13-2747-4861-9813-DA70F100A0F1}</stp>
        <tr r="Z43" s="17"/>
      </tp>
      <tp>
        <v>1.198</v>
        <stp/>
        <stp>{E135EE0E-D8D6-4D04-A208-FFE1624FA738}</stp>
        <tr r="Z42" s="17"/>
      </tp>
      <tp>
        <v>1.08</v>
        <stp/>
        <stp>{46B28D3C-9E3F-4D62-AA58-3613746925DB}</stp>
        <tr r="AA40" s="17"/>
      </tp>
      <tp>
        <v>-6.0000000000000001E-3</v>
        <stp/>
        <stp>{7B6EE3A9-37A2-479B-A0D6-A0001C924F03}</stp>
        <tr r="Z34" s="17"/>
      </tp>
      <tp>
        <v>-0.32</v>
        <stp/>
        <stp>{ADC4D8BB-4AEA-47A5-A4F8-CCEBC3E0DC4F}</stp>
        <tr r="Z30" s="17"/>
      </tp>
      <tp>
        <v>1.03</v>
        <stp/>
        <stp>{D3837EA0-6433-4F2F-8FDE-F93D72AF790A}</stp>
        <tr r="AA40" s="17"/>
      </tp>
      <tp>
        <v>0.52400000000000002</v>
        <stp/>
        <stp>{AABCF972-723A-42D3-AE28-7A68A32E670B}</stp>
        <tr r="Z39" s="17"/>
      </tp>
      <tp>
        <v>-2.1000000000000001E-2</v>
        <stp/>
        <stp>{B87CDA1F-17FC-44A5-BB90-5EC2E3154789}</stp>
        <tr r="AA33" s="17"/>
      </tp>
      <tp>
        <v>8.5000000000000006E-2</v>
        <stp/>
        <stp>{EE20B5D2-E9F5-4A8E-9F1A-E2A373B86CFE}</stp>
        <tr r="AA34" s="17"/>
      </tp>
      <tp>
        <v>1</v>
        <stp/>
        <stp>{8EFAD4BB-C9C6-4E23-91CB-40706F95E397}</stp>
        <tr r="Z40" s="17"/>
      </tp>
      <tp>
        <v>0.28899999999999998</v>
        <stp/>
        <stp>{8E4A7021-F3CD-44D3-B29D-EBDD2ADEF39F}</stp>
        <tr r="Z37" s="17"/>
      </tp>
      <tp>
        <v>0.48099999999999998</v>
        <stp/>
        <stp>{2E48E198-97F5-4FBF-8E34-85AC56480A3A}</stp>
        <tr r="Z38" s="17"/>
      </tp>
      <tp>
        <v>-0.16600000000000001</v>
        <stp/>
        <stp>{393BA9C6-919C-4178-B1B2-1E11999C7531}</stp>
        <tr r="AA32" s="17"/>
      </tp>
      <tp>
        <v>0.109</v>
        <stp/>
        <stp>{C22F0466-F409-441D-8BEE-AB4E3B105498}</stp>
        <tr r="Z35" s="17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34</xdr:col>
      <xdr:colOff>400050</xdr:colOff>
      <xdr:row>1</xdr:row>
      <xdr:rowOff>104775</xdr:rowOff>
    </xdr:from>
    <xdr:ext cx="6772276" cy="6477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/>
            <xdr:cNvSpPr txBox="1"/>
          </xdr:nvSpPr>
          <xdr:spPr>
            <a:xfrm>
              <a:off x="15573375" y="247650"/>
              <a:ext cx="6772276" cy="6477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IE" sz="140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𝐶𝑒𝑟𝑡𝑈𝑛𝑖𝑐𝑎</m:t>
                    </m:r>
                    <m:r>
                      <a:rPr lang="en-IE" sz="140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=1−</m:t>
                    </m:r>
                    <m:nary>
                      <m:naryPr>
                        <m:chr m:val="∑"/>
                        <m:limLoc m:val="undOvr"/>
                        <m:supHide m:val="on"/>
                        <m:ctrlPr>
                          <a:rPr lang="en-IE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naryPr>
                      <m:sub>
                        <m:r>
                          <a:rPr lang="en-IE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3</m:t>
                        </m:r>
                        <m:r>
                          <a:rPr lang="en-IE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𝑀</m:t>
                        </m:r>
                      </m:sub>
                      <m:sup/>
                      <m:e>
                        <m:d>
                          <m:dPr>
                            <m:begChr m:val="{"/>
                            <m:endChr m:val="}"/>
                            <m:ctrlPr>
                              <a:rPr lang="en-IE" sz="140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IE" sz="140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𝐹𝑊𝐷</m:t>
                            </m:r>
                            <m:r>
                              <a:rPr lang="it-IT" sz="1400" b="0" i="1" baseline="-25000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3</m:t>
                            </m:r>
                            <m:r>
                              <a:rPr lang="it-IT" sz="1400" b="0" i="1" baseline="-25000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𝑀</m:t>
                            </m:r>
                            <m:d>
                              <m:dPr>
                                <m:ctrlPr>
                                  <a:rPr lang="en-IE" sz="14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sSub>
                                  <m:sSubPr>
                                    <m:ctrlPr>
                                      <a:rPr lang="en-IE" sz="14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IE" sz="14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𝑌</m:t>
                                    </m:r>
                                  </m:e>
                                  <m:sub>
                                    <m:r>
                                      <a:rPr lang="en-IE" sz="14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𝑖</m:t>
                                    </m:r>
                                  </m:sub>
                                </m:sSub>
                              </m:e>
                            </m:d>
                            <m:r>
                              <a:rPr lang="en-IE" sz="140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en-IE" sz="14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IE" sz="14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𝑇𝐼𝑇</m:t>
                                </m:r>
                              </m:e>
                              <m:sub>
                                <m:r>
                                  <a:rPr lang="it-IT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3</m:t>
                                </m:r>
                                <m:r>
                                  <a:rPr lang="it-IT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𝑀</m:t>
                                </m:r>
                              </m:sub>
                            </m:sSub>
                          </m:e>
                        </m:d>
                      </m:e>
                    </m:nary>
                    <m:r>
                      <a:rPr lang="en-IE" sz="140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∗ </m:t>
                    </m:r>
                    <m:sSub>
                      <m:sSubPr>
                        <m:ctrlPr>
                          <a:rPr lang="en-IE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IE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𝜏</m:t>
                        </m:r>
                      </m:e>
                      <m:sub>
                        <m:r>
                          <a:rPr lang="en-IE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  <m:r>
                      <a:rPr lang="en-IE" sz="140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∗ </m:t>
                    </m:r>
                    <m:sSub>
                      <m:sSubPr>
                        <m:ctrlPr>
                          <a:rPr lang="en-IE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IE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IE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𝑖</m:t>
                        </m:r>
                        <m:r>
                          <a:rPr lang="en-IE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 </m:t>
                        </m:r>
                      </m:sub>
                    </m:sSub>
                    <m:d>
                      <m:dPr>
                        <m:ctrlPr>
                          <a:rPr lang="en-IE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IE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𝑆𝑇𝐷</m:t>
                        </m:r>
                      </m:e>
                    </m:d>
                    <m:r>
                      <a:rPr lang="en-IE" sz="140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 </m:t>
                    </m:r>
                    <m:sSub>
                      <m:sSubPr>
                        <m:ctrlPr>
                          <a:rPr lang="en-IE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IE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IE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𝑇</m:t>
                        </m:r>
                      </m:sub>
                    </m:sSub>
                    <m:d>
                      <m:dPr>
                        <m:ctrlPr>
                          <a:rPr lang="en-IE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IE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𝑆𝑇𝐷</m:t>
                        </m:r>
                      </m:e>
                    </m:d>
                    <m:r>
                      <a:rPr lang="en-IE" sz="140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∗ </m:t>
                    </m:r>
                    <m:sSubSup>
                      <m:sSubSupPr>
                        <m:ctrlPr>
                          <a:rPr lang="en-IE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IE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𝑆𝑈𝑅𝑉</m:t>
                        </m:r>
                      </m:e>
                      <m:sub>
                        <m:r>
                          <a:rPr lang="en-IE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𝑇</m:t>
                        </m:r>
                      </m:sub>
                      <m:sup>
                        <m:r>
                          <a:rPr lang="en-IE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𝑌</m:t>
                        </m:r>
                        <m:r>
                          <a:rPr lang="it-IT" sz="14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,</m:t>
                        </m:r>
                        <m:r>
                          <a:rPr lang="it-IT" sz="14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𝑆𝑇𝐷</m:t>
                        </m:r>
                      </m:sup>
                    </m:sSubSup>
                  </m:oMath>
                </m:oMathPara>
              </a14:m>
              <a:endParaRPr lang="en-IE" sz="14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endParaRPr lang="en-IE" sz="14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15573375" y="247650"/>
              <a:ext cx="6772276" cy="6477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IE" sz="140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𝐶𝑒𝑟𝑡𝑈𝑛𝑖𝑐𝑎=1−∑1_3𝑀</a:t>
              </a:r>
              <a:r>
                <a:rPr lang="it-IT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▒</a:t>
              </a:r>
              <a:r>
                <a:rPr lang="en-IE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{</a:t>
              </a:r>
              <a:r>
                <a:rPr lang="en-IE" sz="140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𝐹𝑊𝐷</a:t>
              </a:r>
              <a:r>
                <a:rPr lang="it-IT" sz="1400" b="0" i="0" baseline="-2500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3𝑀</a:t>
              </a:r>
              <a:r>
                <a:rPr lang="en-IE" sz="1400" b="0" i="0" baseline="-2500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(</a:t>
              </a:r>
              <a:r>
                <a:rPr lang="en-IE" sz="140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𝑌_𝑖 )+〖𝑇𝐼𝑇〗_</a:t>
              </a:r>
              <a:r>
                <a:rPr lang="it-IT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3𝑀 } </a:t>
              </a:r>
              <a:r>
                <a:rPr lang="en-IE" sz="140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∗ 𝜏_𝑖∗ 𝐷_(𝑖 ) (𝑆𝑇𝐷)= 𝐷_𝑇 (𝑆𝑇𝐷)∗ 〖𝑆𝑈𝑅𝑉〗_𝑇^(𝑌</a:t>
              </a:r>
              <a:r>
                <a:rPr lang="it-IT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,𝑆𝑇𝐷</a:t>
              </a:r>
              <a:r>
                <a:rPr lang="en-IE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)</a:t>
              </a:r>
              <a:endParaRPr lang="en-IE" sz="14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endParaRPr lang="en-IE" sz="14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34</xdr:col>
      <xdr:colOff>95250</xdr:colOff>
      <xdr:row>5</xdr:row>
      <xdr:rowOff>123825</xdr:rowOff>
    </xdr:from>
    <xdr:ext cx="6334125" cy="61401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14058900" y="857250"/>
              <a:ext cx="6334125" cy="6140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IE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IE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IE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𝑇</m:t>
                        </m:r>
                      </m:sub>
                    </m:sSub>
                    <m:d>
                      <m:dPr>
                        <m:ctrlPr>
                          <a:rPr lang="en-IE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IE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𝑋</m:t>
                        </m:r>
                      </m:e>
                    </m:d>
                    <m:r>
                      <a:rPr lang="en-IE" sz="140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∗ </m:t>
                    </m:r>
                    <m:sSubSup>
                      <m:sSubSupPr>
                        <m:ctrlPr>
                          <a:rPr lang="en-IE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IE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𝑆𝑈𝑅𝑉</m:t>
                        </m:r>
                      </m:e>
                      <m:sub>
                        <m:r>
                          <a:rPr lang="en-IE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𝑇</m:t>
                        </m:r>
                      </m:sub>
                      <m:sup>
                        <m:r>
                          <a:rPr lang="en-IE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𝑌</m:t>
                        </m:r>
                        <m:r>
                          <a:rPr lang="it-IT" sz="14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,</m:t>
                        </m:r>
                        <m:r>
                          <a:rPr lang="it-IT" sz="14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𝑆𝑇𝐷</m:t>
                        </m:r>
                      </m:sup>
                    </m:sSubSup>
                    <m:r>
                      <a:rPr lang="en-IE" sz="140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 +</m:t>
                    </m:r>
                    <m:nary>
                      <m:naryPr>
                        <m:chr m:val="∑"/>
                        <m:limLoc m:val="undOvr"/>
                        <m:supHide m:val="on"/>
                        <m:ctrlPr>
                          <a:rPr lang="en-IE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naryPr>
                      <m:sub>
                        <m:r>
                          <a:rPr lang="en-IE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1</m:t>
                        </m:r>
                        <m:r>
                          <a:rPr lang="en-IE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𝑀</m:t>
                        </m:r>
                      </m:sub>
                      <m:sup/>
                      <m:e>
                        <m:d>
                          <m:dPr>
                            <m:begChr m:val="{"/>
                            <m:endChr m:val="}"/>
                            <m:ctrlPr>
                              <a:rPr lang="en-IE" sz="140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IE" sz="140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𝐹𝑊𝐷</m:t>
                            </m:r>
                            <m:r>
                              <a:rPr lang="it-IT" sz="1400" b="0" i="1" baseline="-25000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1</m:t>
                            </m:r>
                            <m:r>
                              <a:rPr lang="it-IT" sz="1400" b="0" i="1" baseline="-25000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𝑀</m:t>
                            </m:r>
                            <m:d>
                              <m:dPr>
                                <m:ctrlPr>
                                  <a:rPr lang="en-IE" sz="14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sSub>
                                  <m:sSubPr>
                                    <m:ctrlPr>
                                      <a:rPr lang="en-IE" sz="14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IE" sz="14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𝑍</m:t>
                                    </m:r>
                                  </m:e>
                                  <m:sub>
                                    <m:r>
                                      <a:rPr lang="en-IE" sz="14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𝑖</m:t>
                                    </m:r>
                                  </m:sub>
                                </m:sSub>
                              </m:e>
                            </m:d>
                            <m:r>
                              <a:rPr lang="it-IT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en-IE" sz="14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IE" sz="14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𝑇𝐼𝑇</m:t>
                                </m:r>
                              </m:e>
                              <m:sub>
                                <m:r>
                                  <a:rPr lang="it-IT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3</m:t>
                                </m:r>
                                <m:r>
                                  <a:rPr lang="it-IT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𝑀</m:t>
                                </m:r>
                              </m:sub>
                            </m:sSub>
                            <m:r>
                              <a:rPr lang="en-IE" sz="140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+</m:t>
                            </m:r>
                            <m:r>
                              <a:rPr lang="en-IE" sz="140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𝐵</m:t>
                            </m:r>
                          </m:e>
                        </m:d>
                        <m:r>
                          <a:rPr lang="en-IE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∗ </m:t>
                        </m:r>
                        <m:sSub>
                          <m:sSubPr>
                            <m:ctrlPr>
                              <a:rPr lang="en-IE" sz="140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IE" sz="140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𝜏</m:t>
                            </m:r>
                          </m:e>
                          <m:sub>
                            <m:r>
                              <a:rPr lang="en-IE" sz="140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</m:sSub>
                        <m:r>
                          <a:rPr lang="en-IE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∗ </m:t>
                        </m:r>
                        <m:sSub>
                          <m:sSubPr>
                            <m:ctrlPr>
                              <a:rPr lang="en-IE" sz="140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IE" sz="140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b>
                            <m:r>
                              <a:rPr lang="en-IE" sz="140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𝑖</m:t>
                            </m:r>
                            <m:r>
                              <a:rPr lang="en-IE" sz="140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 </m:t>
                            </m:r>
                          </m:sub>
                        </m:sSub>
                        <m:d>
                          <m:dPr>
                            <m:ctrlPr>
                              <a:rPr lang="en-IE" sz="140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it-IT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𝑋</m:t>
                            </m:r>
                          </m:e>
                        </m:d>
                      </m:e>
                    </m:nary>
                    <m:r>
                      <a:rPr lang="en-IE" sz="140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 1</m:t>
                    </m:r>
                  </m:oMath>
                </m:oMathPara>
              </a14:m>
              <a:endParaRPr lang="en-IE" sz="14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14058900" y="857250"/>
              <a:ext cx="6334125" cy="6140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IE" sz="140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𝐷_𝑇 (𝑋)∗ 〖𝑆𝑈𝑅𝑉〗_𝑇^(𝑌</a:t>
              </a:r>
              <a:r>
                <a:rPr lang="it-IT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,𝑆𝑇𝐷</a:t>
              </a:r>
              <a:r>
                <a:rPr lang="en-IE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) </a:t>
              </a:r>
              <a:r>
                <a:rPr lang="en-IE" sz="140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 +∑1_1𝑀▒〖{𝐹𝑊𝐷</a:t>
              </a:r>
              <a:r>
                <a:rPr lang="it-IT" sz="1400" b="0" i="0" baseline="-2500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1𝑀</a:t>
              </a:r>
              <a:r>
                <a:rPr lang="en-IE" sz="1400" b="0" i="0" baseline="-2500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(</a:t>
              </a:r>
              <a:r>
                <a:rPr lang="en-IE" sz="140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𝑍_𝑖 )</a:t>
              </a:r>
              <a:r>
                <a:rPr lang="it-IT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+</a:t>
              </a:r>
              <a:r>
                <a:rPr lang="en-IE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n-IE" sz="14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𝑇𝐼𝑇〗_</a:t>
              </a:r>
              <a:r>
                <a:rPr lang="it-IT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3𝑀</a:t>
              </a:r>
              <a:r>
                <a:rPr lang="en-IE" sz="140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+𝐵}</a:t>
              </a:r>
              <a:r>
                <a:rPr lang="en-IE" sz="14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∗ 𝜏_𝑖∗ 𝐷_(𝑖 ) (</a:t>
              </a:r>
              <a:r>
                <a:rPr lang="it-IT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𝑋</a:t>
              </a:r>
              <a:r>
                <a:rPr lang="en-IE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</a:t>
              </a:r>
              <a:r>
                <a:rPr lang="en-IE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 〗</a:t>
              </a:r>
              <a:r>
                <a:rPr lang="en-IE" sz="140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= 1</a:t>
              </a:r>
              <a:endParaRPr lang="en-IE" sz="14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42</xdr:col>
      <xdr:colOff>309560</xdr:colOff>
      <xdr:row>29</xdr:row>
      <xdr:rowOff>9525</xdr:rowOff>
    </xdr:from>
    <xdr:ext cx="6910389" cy="76219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17540285" y="4210050"/>
              <a:ext cx="6910389" cy="7621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IE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it-IT" sz="14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𝐵𝑎𝑠𝑒𝑇𝑟𝑢𝑒</m:t>
                        </m:r>
                      </m:e>
                      <m:sub>
                        <m:r>
                          <a:rPr lang="it-IT" sz="14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1</m:t>
                        </m:r>
                        <m:r>
                          <a:rPr lang="it-IT" sz="14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𝑀</m:t>
                        </m:r>
                        <m:r>
                          <a:rPr lang="it-IT" sz="14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−3</m:t>
                        </m:r>
                        <m:r>
                          <a:rPr lang="it-IT" sz="14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𝑀</m:t>
                        </m:r>
                      </m:sub>
                    </m:sSub>
                    <m:r>
                      <a:rPr lang="en-IE" sz="140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 = </m:t>
                    </m:r>
                    <m:f>
                      <m:fPr>
                        <m:ctrlPr>
                          <a:rPr lang="en-IE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fPr>
                      <m:num>
                        <m:nary>
                          <m:naryPr>
                            <m:chr m:val="∑"/>
                            <m:limLoc m:val="undOvr"/>
                            <m:supHide m:val="on"/>
                            <m:ctrlPr>
                              <a:rPr lang="en-IE" sz="140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</m:ctrlPr>
                          </m:naryPr>
                          <m:sub>
                            <m:r>
                              <a:rPr lang="en-IE" sz="140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3</m:t>
                            </m:r>
                            <m:r>
                              <a:rPr lang="en-IE" sz="140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𝑀</m:t>
                            </m:r>
                          </m:sub>
                          <m:sup/>
                          <m:e>
                            <m:sSubSup>
                              <m:sSubSupPr>
                                <m:ctrlPr>
                                  <a:rPr lang="en-IE" sz="14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n-IE" sz="14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𝐷</m:t>
                                </m:r>
                              </m:e>
                              <m:sub>
                                <m:r>
                                  <a:rPr lang="en-IE" sz="14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en-IE" sz="14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𝑆𝑇𝐷</m:t>
                                </m:r>
                              </m:sup>
                            </m:sSubSup>
                            <m:r>
                              <a:rPr lang="en-IE" sz="140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∗</m:t>
                            </m:r>
                            <m:sSubSup>
                              <m:sSubSupPr>
                                <m:ctrlPr>
                                  <a:rPr lang="en-IE" sz="14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n-IE" sz="14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𝐹𝑊𝐷</m:t>
                                </m:r>
                              </m:e>
                              <m:sub>
                                <m:r>
                                  <a:rPr lang="en-IE" sz="14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en-IE" sz="14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3</m:t>
                                </m:r>
                                <m:r>
                                  <a:rPr lang="en-IE" sz="14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𝑀</m:t>
                                </m:r>
                              </m:sup>
                            </m:sSubSup>
                            <m:r>
                              <a:rPr lang="it-IT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(</m:t>
                            </m:r>
                            <m:r>
                              <a:rPr lang="it-IT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𝑌</m:t>
                            </m:r>
                            <m:r>
                              <a:rPr lang="it-IT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)−</m:t>
                            </m:r>
                            <m:nary>
                              <m:naryPr>
                                <m:chr m:val="∑"/>
                                <m:limLoc m:val="undOvr"/>
                                <m:supHide m:val="on"/>
                                <m:ctrlPr>
                                  <a:rPr lang="en-IE" sz="14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naryPr>
                              <m:sub>
                                <m:r>
                                  <a:rPr lang="en-IE" sz="14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  <m:r>
                                  <a:rPr lang="en-IE" sz="14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𝑀</m:t>
                                </m:r>
                              </m:sub>
                              <m:sup/>
                              <m:e>
                                <m:sSubSup>
                                  <m:sSubSupPr>
                                    <m:ctrlPr>
                                      <a:rPr lang="en-IE" sz="14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</m:ctrlPr>
                                  </m:sSubSupPr>
                                  <m:e>
                                    <m:r>
                                      <a:rPr lang="en-IE" sz="14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𝐷</m:t>
                                    </m:r>
                                  </m:e>
                                  <m:sub>
                                    <m:r>
                                      <a:rPr lang="en-IE" sz="14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𝑖</m:t>
                                    </m:r>
                                  </m:sub>
                                  <m:sup>
                                    <m:r>
                                      <a:rPr lang="it-IT" sz="14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𝑋</m:t>
                                    </m:r>
                                  </m:sup>
                                </m:sSubSup>
                                <m:r>
                                  <a:rPr lang="en-IE" sz="14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∗</m:t>
                                </m:r>
                                <m:sSubSup>
                                  <m:sSubSupPr>
                                    <m:ctrlPr>
                                      <a:rPr lang="en-IE" sz="14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</m:ctrlPr>
                                  </m:sSubSupPr>
                                  <m:e>
                                    <m:r>
                                      <a:rPr lang="en-IE" sz="14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𝐹𝑊𝐷</m:t>
                                    </m:r>
                                  </m:e>
                                  <m:sub>
                                    <m:r>
                                      <a:rPr lang="en-IE" sz="14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𝑖</m:t>
                                    </m:r>
                                  </m:sub>
                                  <m:sup>
                                    <m:r>
                                      <a:rPr lang="en-IE" sz="14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  <m:r>
                                      <a:rPr lang="en-IE" sz="14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𝑀</m:t>
                                    </m:r>
                                  </m:sup>
                                </m:sSubSup>
                                <m:r>
                                  <a:rPr lang="it-IT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(</m:t>
                                </m:r>
                                <m:r>
                                  <a:rPr lang="it-IT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𝑍</m:t>
                                </m:r>
                                <m:r>
                                  <a:rPr lang="it-IT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)</m:t>
                                </m:r>
                              </m:e>
                            </m:nary>
                          </m:e>
                        </m:nary>
                      </m:num>
                      <m:den>
                        <m:sSubSup>
                          <m:sSubSupPr>
                            <m:ctrlPr>
                              <a:rPr lang="en-IE" sz="140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it-IT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𝐴𝑛𝑛𝑢𝑖𝑡𝑦</m:t>
                            </m:r>
                          </m:e>
                          <m:sub>
                            <m:r>
                              <a:rPr lang="it-IT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1</m:t>
                            </m:r>
                            <m:r>
                              <a:rPr lang="it-IT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𝑀</m:t>
                            </m:r>
                          </m:sub>
                          <m:sup>
                            <m:r>
                              <a:rPr lang="it-IT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𝑋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en-IE" sz="14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endParaRPr lang="en-IE" sz="11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17540285" y="4210050"/>
              <a:ext cx="6910389" cy="7621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IE" sz="140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〖</a:t>
              </a:r>
              <a:r>
                <a:rPr lang="it-IT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𝐵𝑎𝑠𝑒𝑇𝑟𝑢𝑒</a:t>
              </a:r>
              <a:r>
                <a:rPr lang="en-IE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〗_(</a:t>
              </a:r>
              <a:r>
                <a:rPr lang="it-IT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1𝑀−3𝑀</a:t>
              </a:r>
              <a:r>
                <a:rPr lang="en-IE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) </a:t>
              </a:r>
              <a:r>
                <a:rPr lang="en-IE" sz="140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 =  (∑1_3𝑀▒〖𝐷_𝑖^𝑆𝑇𝐷∗〖𝐹𝑊𝐷〗_𝑖^3𝑀</a:t>
              </a:r>
              <a:r>
                <a:rPr lang="it-IT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 (𝑌)</a:t>
              </a:r>
              <a:r>
                <a:rPr lang="en-IE" sz="140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−∑1_1𝑀▒〖𝐷_𝑖^</a:t>
              </a:r>
              <a:r>
                <a:rPr lang="it-IT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𝑋</a:t>
              </a:r>
              <a:r>
                <a:rPr lang="en-IE" sz="140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∗〖𝐹𝑊𝐷〗_𝑖^1𝑀</a:t>
              </a:r>
              <a:r>
                <a:rPr lang="it-IT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 (𝑍)</a:t>
              </a:r>
              <a:r>
                <a:rPr lang="en-IE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〗〗)/(</a:t>
              </a:r>
              <a:r>
                <a:rPr lang="en-IE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it-IT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𝐴𝑛𝑛𝑢𝑖𝑡𝑦</a:t>
              </a:r>
              <a:r>
                <a:rPr lang="en-IE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〗_</a:t>
              </a:r>
              <a:r>
                <a:rPr lang="it-IT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1𝑀</a:t>
              </a:r>
              <a:r>
                <a:rPr lang="en-IE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</a:t>
              </a:r>
              <a:r>
                <a:rPr lang="it-IT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𝑋</a:t>
              </a:r>
              <a:r>
                <a:rPr lang="en-IE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 )</a:t>
              </a:r>
              <a:endParaRPr lang="en-IE" sz="14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endParaRPr lang="en-IE" sz="1100"/>
            </a:p>
          </xdr:txBody>
        </xdr:sp>
      </mc:Fallback>
    </mc:AlternateContent>
    <xdr:clientData/>
  </xdr:oneCellAnchor>
  <xdr:twoCellAnchor>
    <xdr:from>
      <xdr:col>46</xdr:col>
      <xdr:colOff>0</xdr:colOff>
      <xdr:row>24</xdr:row>
      <xdr:rowOff>133350</xdr:rowOff>
    </xdr:from>
    <xdr:to>
      <xdr:col>46</xdr:col>
      <xdr:colOff>19050</xdr:colOff>
      <xdr:row>29</xdr:row>
      <xdr:rowOff>66675</xdr:rowOff>
    </xdr:to>
    <xdr:cxnSp macro="">
      <xdr:nvCxnSpPr>
        <xdr:cNvPr id="6" name="Straight Arrow Connector 5"/>
        <xdr:cNvCxnSpPr/>
      </xdr:nvCxnSpPr>
      <xdr:spPr>
        <a:xfrm flipH="1" flipV="1">
          <a:off x="18792825" y="3619500"/>
          <a:ext cx="19050" cy="6477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Sensitivities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"/>
  <dimension ref="B2:H30"/>
  <sheetViews>
    <sheetView workbookViewId="0"/>
  </sheetViews>
  <sheetFormatPr defaultRowHeight="11.25" x14ac:dyDescent="0.2"/>
  <cols>
    <col min="1" max="1" width="3.83203125" customWidth="1"/>
    <col min="2" max="2" width="12.83203125" customWidth="1"/>
    <col min="4" max="4" width="3.83203125" customWidth="1"/>
    <col min="5" max="5" width="15.83203125" customWidth="1"/>
    <col min="6" max="7" width="3.83203125" customWidth="1"/>
    <col min="9" max="9" width="3.83203125" customWidth="1"/>
  </cols>
  <sheetData>
    <row r="2" spans="2:8" x14ac:dyDescent="0.2">
      <c r="B2" s="242" t="s">
        <v>41</v>
      </c>
      <c r="C2" s="243"/>
      <c r="E2" s="21" t="s">
        <v>42</v>
      </c>
      <c r="H2" s="21" t="s">
        <v>19</v>
      </c>
    </row>
    <row r="3" spans="2:8" x14ac:dyDescent="0.2">
      <c r="B3" s="6" t="s">
        <v>33</v>
      </c>
      <c r="C3" s="6">
        <v>0</v>
      </c>
      <c r="E3" s="6" t="s">
        <v>16</v>
      </c>
      <c r="H3" s="6" t="b">
        <v>1</v>
      </c>
    </row>
    <row r="4" spans="2:8" x14ac:dyDescent="0.2">
      <c r="B4" s="7" t="s">
        <v>26</v>
      </c>
      <c r="C4" s="7">
        <v>1</v>
      </c>
      <c r="E4" s="7" t="s">
        <v>27</v>
      </c>
      <c r="H4" s="8" t="b">
        <v>0</v>
      </c>
    </row>
    <row r="5" spans="2:8" x14ac:dyDescent="0.2">
      <c r="B5" s="7" t="s">
        <v>34</v>
      </c>
      <c r="C5" s="7">
        <v>2</v>
      </c>
      <c r="E5" s="7" t="s">
        <v>14</v>
      </c>
    </row>
    <row r="6" spans="2:8" x14ac:dyDescent="0.2">
      <c r="B6" s="22" t="s">
        <v>35</v>
      </c>
      <c r="C6" s="7">
        <v>3</v>
      </c>
      <c r="E6" s="7" t="s">
        <v>28</v>
      </c>
    </row>
    <row r="7" spans="2:8" x14ac:dyDescent="0.2">
      <c r="B7" s="7" t="s">
        <v>36</v>
      </c>
      <c r="C7" s="7">
        <v>4</v>
      </c>
      <c r="E7" s="8" t="s">
        <v>29</v>
      </c>
    </row>
    <row r="8" spans="2:8" x14ac:dyDescent="0.2">
      <c r="B8" s="7" t="s">
        <v>37</v>
      </c>
      <c r="C8" s="7">
        <v>5</v>
      </c>
    </row>
    <row r="9" spans="2:8" x14ac:dyDescent="0.2">
      <c r="B9" s="7" t="s">
        <v>38</v>
      </c>
      <c r="C9" s="7">
        <v>6</v>
      </c>
      <c r="E9" s="21" t="s">
        <v>43</v>
      </c>
    </row>
    <row r="10" spans="2:8" x14ac:dyDescent="0.2">
      <c r="B10" s="7" t="s">
        <v>39</v>
      </c>
      <c r="C10" s="7">
        <v>7</v>
      </c>
      <c r="E10" s="6" t="s">
        <v>17</v>
      </c>
    </row>
    <row r="11" spans="2:8" x14ac:dyDescent="0.2">
      <c r="B11" s="7" t="s">
        <v>25</v>
      </c>
      <c r="C11" s="7">
        <v>8</v>
      </c>
      <c r="E11" s="7" t="s">
        <v>15</v>
      </c>
    </row>
    <row r="12" spans="2:8" x14ac:dyDescent="0.2">
      <c r="B12" s="8" t="s">
        <v>40</v>
      </c>
      <c r="C12" s="8">
        <v>9</v>
      </c>
      <c r="E12" s="8" t="s">
        <v>30</v>
      </c>
    </row>
    <row r="13" spans="2:8" x14ac:dyDescent="0.2">
      <c r="E13" s="25"/>
    </row>
    <row r="14" spans="2:8" x14ac:dyDescent="0.2">
      <c r="B14" s="242" t="s">
        <v>56</v>
      </c>
      <c r="C14" s="243"/>
      <c r="E14" s="21" t="s">
        <v>44</v>
      </c>
    </row>
    <row r="15" spans="2:8" x14ac:dyDescent="0.2">
      <c r="B15" s="6" t="s">
        <v>53</v>
      </c>
      <c r="C15" s="6">
        <v>0</v>
      </c>
      <c r="E15" s="6" t="s">
        <v>13</v>
      </c>
    </row>
    <row r="16" spans="2:8" x14ac:dyDescent="0.2">
      <c r="B16" s="7" t="s">
        <v>54</v>
      </c>
      <c r="C16" s="7">
        <v>1</v>
      </c>
      <c r="E16" s="7" t="s">
        <v>31</v>
      </c>
    </row>
    <row r="17" spans="2:5" x14ac:dyDescent="0.2">
      <c r="B17" s="7" t="s">
        <v>23</v>
      </c>
      <c r="C17" s="7">
        <v>2</v>
      </c>
      <c r="E17" s="8" t="s">
        <v>32</v>
      </c>
    </row>
    <row r="18" spans="2:5" x14ac:dyDescent="0.2">
      <c r="B18" s="8" t="s">
        <v>55</v>
      </c>
      <c r="C18" s="8">
        <v>3</v>
      </c>
      <c r="E18" s="25"/>
    </row>
    <row r="19" spans="2:5" x14ac:dyDescent="0.2">
      <c r="E19" s="21" t="s">
        <v>48</v>
      </c>
    </row>
    <row r="20" spans="2:5" x14ac:dyDescent="0.2">
      <c r="B20" s="242" t="s">
        <v>59</v>
      </c>
      <c r="C20" s="243"/>
      <c r="E20" s="6" t="s">
        <v>46</v>
      </c>
    </row>
    <row r="21" spans="2:5" x14ac:dyDescent="0.2">
      <c r="B21" s="6" t="s">
        <v>24</v>
      </c>
      <c r="C21" s="6">
        <v>0</v>
      </c>
      <c r="E21" s="7" t="s">
        <v>47</v>
      </c>
    </row>
    <row r="22" spans="2:5" x14ac:dyDescent="0.2">
      <c r="B22" s="7" t="s">
        <v>57</v>
      </c>
      <c r="C22" s="7">
        <v>1</v>
      </c>
      <c r="E22" s="8" t="s">
        <v>12</v>
      </c>
    </row>
    <row r="23" spans="2:5" x14ac:dyDescent="0.2">
      <c r="B23" s="8" t="s">
        <v>58</v>
      </c>
      <c r="C23" s="8">
        <v>2</v>
      </c>
    </row>
    <row r="24" spans="2:5" x14ac:dyDescent="0.2">
      <c r="E24" s="21" t="s">
        <v>51</v>
      </c>
    </row>
    <row r="25" spans="2:5" x14ac:dyDescent="0.2">
      <c r="B25" s="242" t="s">
        <v>60</v>
      </c>
      <c r="C25" s="243"/>
      <c r="E25" s="6" t="s">
        <v>7</v>
      </c>
    </row>
    <row r="26" spans="2:5" x14ac:dyDescent="0.2">
      <c r="B26" s="6" t="s">
        <v>22</v>
      </c>
      <c r="C26" s="6">
        <v>0</v>
      </c>
      <c r="E26" s="8" t="s">
        <v>49</v>
      </c>
    </row>
    <row r="27" spans="2:5" x14ac:dyDescent="0.2">
      <c r="B27" s="8" t="s">
        <v>45</v>
      </c>
      <c r="C27" s="8">
        <v>1</v>
      </c>
    </row>
    <row r="28" spans="2:5" x14ac:dyDescent="0.2">
      <c r="E28" s="21" t="s">
        <v>52</v>
      </c>
    </row>
    <row r="29" spans="2:5" x14ac:dyDescent="0.2">
      <c r="E29" s="6" t="s">
        <v>11</v>
      </c>
    </row>
    <row r="30" spans="2:5" x14ac:dyDescent="0.2">
      <c r="E30" s="8" t="s">
        <v>50</v>
      </c>
    </row>
  </sheetData>
  <mergeCells count="4">
    <mergeCell ref="B20:C20"/>
    <mergeCell ref="B25:C25"/>
    <mergeCell ref="B2:C2"/>
    <mergeCell ref="B14:C14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Right="0"/>
  </sheetPr>
  <dimension ref="A1:BH113"/>
  <sheetViews>
    <sheetView showGridLines="0" tabSelected="1" workbookViewId="0"/>
  </sheetViews>
  <sheetFormatPr defaultRowHeight="11.25" outlineLevelCol="1" x14ac:dyDescent="0.2"/>
  <cols>
    <col min="1" max="1" width="3.83203125" style="9" customWidth="1"/>
    <col min="2" max="2" width="23.83203125" style="9" customWidth="1"/>
    <col min="3" max="3" width="25.83203125" style="9" customWidth="1"/>
    <col min="4" max="4" width="2.83203125" style="9" customWidth="1"/>
    <col min="5" max="9" width="10.83203125" style="9" customWidth="1"/>
    <col min="10" max="10" width="10.83203125" style="9" customWidth="1" collapsed="1"/>
    <col min="11" max="11" width="12.83203125" style="9" hidden="1" customWidth="1" outlineLevel="1"/>
    <col min="12" max="13" width="14.83203125" style="9" hidden="1" customWidth="1" outlineLevel="1"/>
    <col min="14" max="14" width="12.5" style="9" hidden="1" customWidth="1" outlineLevel="1"/>
    <col min="15" max="15" width="14.1640625" style="9" hidden="1" customWidth="1" outlineLevel="1"/>
    <col min="16" max="16" width="14.83203125" style="9" hidden="1" customWidth="1" outlineLevel="1"/>
    <col min="17" max="17" width="12.6640625" style="9" hidden="1" customWidth="1" outlineLevel="1"/>
    <col min="18" max="18" width="9.33203125" style="9"/>
    <col min="19" max="19" width="55.83203125" style="9" customWidth="1"/>
    <col min="20" max="20" width="2.83203125" style="9" customWidth="1"/>
    <col min="21" max="21" width="9.33203125" style="9"/>
    <col min="22" max="22" width="13.83203125" style="9" customWidth="1"/>
    <col min="23" max="23" width="3.33203125" style="9" customWidth="1"/>
    <col min="24" max="24" width="4.1640625" style="9" customWidth="1"/>
    <col min="25" max="25" width="14" style="9" customWidth="1"/>
    <col min="26" max="26" width="15.5" style="9" bestFit="1" customWidth="1"/>
    <col min="27" max="27" width="12.83203125" style="9" customWidth="1"/>
    <col min="28" max="28" width="7.83203125" style="9" customWidth="1" collapsed="1"/>
    <col min="29" max="29" width="17.5" style="9" hidden="1" customWidth="1" outlineLevel="1"/>
    <col min="30" max="30" width="12.33203125" style="9" hidden="1" customWidth="1" outlineLevel="1"/>
    <col min="31" max="32" width="12.1640625" style="9" hidden="1" customWidth="1" outlineLevel="1"/>
    <col min="33" max="33" width="16.83203125" style="9" hidden="1" customWidth="1" outlineLevel="1"/>
    <col min="34" max="34" width="18.6640625" style="9" hidden="1" customWidth="1" outlineLevel="1"/>
    <col min="35" max="35" width="9.33203125" style="9"/>
    <col min="36" max="36" width="4.5" style="9" bestFit="1" customWidth="1"/>
    <col min="37" max="37" width="14.6640625" style="9" bestFit="1" customWidth="1"/>
    <col min="38" max="38" width="12.1640625" style="9" bestFit="1" customWidth="1"/>
    <col min="39" max="39" width="13.83203125" style="9" bestFit="1" customWidth="1"/>
    <col min="40" max="40" width="12.6640625" style="9" bestFit="1" customWidth="1"/>
    <col min="41" max="41" width="8.33203125" style="9" bestFit="1" customWidth="1"/>
    <col min="42" max="42" width="12.33203125" style="9" bestFit="1" customWidth="1"/>
    <col min="43" max="45" width="6.83203125" style="9" customWidth="1"/>
    <col min="46" max="46" width="8.83203125" style="9" customWidth="1"/>
    <col min="47" max="47" width="13.83203125" style="9" bestFit="1" customWidth="1"/>
    <col min="48" max="48" width="8" style="9" customWidth="1"/>
    <col min="49" max="49" width="11.5" style="9" customWidth="1"/>
    <col min="50" max="50" width="6.83203125" style="9" customWidth="1"/>
    <col min="51" max="51" width="10" style="9" customWidth="1"/>
    <col min="52" max="53" width="10.5" style="9" customWidth="1"/>
    <col min="54" max="54" width="10.1640625" style="9" customWidth="1"/>
    <col min="55" max="55" width="10.83203125" style="9" customWidth="1"/>
    <col min="56" max="16384" width="9.33203125" style="9"/>
  </cols>
  <sheetData>
    <row r="1" spans="1:60" x14ac:dyDescent="0.2">
      <c r="A1" s="62"/>
      <c r="C1" s="9" t="b">
        <f>_xll.pdgSettingsSetEvaluationDate(C3)</f>
        <v>1</v>
      </c>
      <c r="E1" s="20"/>
      <c r="F1" s="10"/>
      <c r="R1" s="66" t="b">
        <f>NOT(ISERROR(SUM(R3:R17)))</f>
        <v>1</v>
      </c>
      <c r="S1" s="99" t="b">
        <v>0</v>
      </c>
    </row>
    <row r="2" spans="1:60" ht="12.75" x14ac:dyDescent="0.2">
      <c r="B2" s="286" t="s">
        <v>0</v>
      </c>
      <c r="C2" s="287"/>
      <c r="E2" s="24" t="s">
        <v>20</v>
      </c>
      <c r="G2" s="24" t="s">
        <v>1</v>
      </c>
      <c r="H2" s="24" t="s">
        <v>2</v>
      </c>
      <c r="I2" s="24" t="s">
        <v>3</v>
      </c>
      <c r="J2" s="24" t="s">
        <v>4</v>
      </c>
      <c r="K2" s="24" t="s">
        <v>165</v>
      </c>
      <c r="L2" s="52" t="s">
        <v>75</v>
      </c>
      <c r="M2" s="52" t="s">
        <v>76</v>
      </c>
      <c r="N2" s="24" t="s">
        <v>68</v>
      </c>
      <c r="O2" s="24" t="s">
        <v>70</v>
      </c>
      <c r="P2" s="24" t="s">
        <v>73</v>
      </c>
      <c r="Q2" s="24" t="s">
        <v>71</v>
      </c>
      <c r="R2" s="42" t="s">
        <v>71</v>
      </c>
      <c r="S2" s="24" t="s">
        <v>74</v>
      </c>
      <c r="Y2" s="11" t="s">
        <v>61</v>
      </c>
      <c r="Z2" s="12" t="s">
        <v>5</v>
      </c>
      <c r="AA2" s="13" t="s">
        <v>6</v>
      </c>
      <c r="AC2" s="10"/>
      <c r="AD2" s="157" t="s">
        <v>173</v>
      </c>
      <c r="AE2" s="157" t="s">
        <v>175</v>
      </c>
      <c r="AF2" s="159" t="s">
        <v>178</v>
      </c>
      <c r="AG2" s="157" t="s">
        <v>179</v>
      </c>
      <c r="AH2" s="111" t="s">
        <v>180</v>
      </c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</row>
    <row r="3" spans="1:60" x14ac:dyDescent="0.2">
      <c r="B3" s="23" t="s">
        <v>18</v>
      </c>
      <c r="C3" s="5">
        <f>_xll.qlSettingsEvaluationDate(ManualTrigger)</f>
        <v>42825</v>
      </c>
      <c r="E3" s="57" t="b">
        <v>1</v>
      </c>
      <c r="F3" s="51" t="str">
        <f>Y3&amp;"M"</f>
        <v>6M</v>
      </c>
      <c r="G3" s="139">
        <f>AVERAGE(Z3:AA3)</f>
        <v>13</v>
      </c>
      <c r="H3" s="140"/>
      <c r="I3" s="141"/>
      <c r="J3" s="142">
        <f t="shared" ref="J3:J16" si="0">IF(ISNUMBER(H3),H3,G3)+I3</f>
        <v>13</v>
      </c>
      <c r="K3" s="47">
        <f>_xll.qlCalendarAdvance(Calendar,SettlementDate,F3,"Unadjusted",FALSE)</f>
        <v>43012</v>
      </c>
      <c r="L3" s="53" t="str">
        <f>_xll.qlSchedule(,SettlementDate,K3,_xll.qlInterestRateIndexTenor(IborIndex),_xll.qlIndexFixingCalendar(IborIndex),BizDayConv,"Unadjusted")</f>
        <v>obj_005c3#0001</v>
      </c>
      <c r="M3" s="53" t="str">
        <f>_xll.qlIborLeg(,,Notional,L3,,,_xll.qlInterestRateIndexDayCounter(IborIndex),,,IborIndex,J3/(10^4))</f>
        <v>obj_005e9#0004</v>
      </c>
      <c r="N3" s="136">
        <f>100-_xll.qlLegNPV(M3,qlDiscCurve,,SettlementDate,,RtTrigger)</f>
        <v>100.09744389968678</v>
      </c>
      <c r="O3" s="47">
        <f>_xll.qlCalendarAdvance(Calendar,K3,"0d",BizDayConv)</f>
        <v>43012</v>
      </c>
      <c r="P3" s="48" t="str">
        <f>_xll.pdgDefaultableLoan(,EvaluationDate,Currency,pdgDiscCurve,EntityName,O3,Notional,Notional*$C$16,,FloatingFlag)</f>
        <v>obj_005d7#0001</v>
      </c>
      <c r="Q3" s="49">
        <f t="array" ref="Q3:Q17">_xll.pdgLoanCalibration3(EvaluationDate,pdgDiscCurve,O3:O17,P3:P17,N3:N17,E3:E17,Currency,Recovery)</f>
        <v>1.3324471738084473E-3</v>
      </c>
      <c r="R3" s="50">
        <f>IF(E3,ROUND(Q3*(10^4),2),NA())</f>
        <v>13.32</v>
      </c>
      <c r="S3" s="48" t="str">
        <f>IF(AND($R$1,$S$1),_xll.RtContribute($V$3,$V$4&amp;F3&amp;$V$5,CHOOSE({1,2},"BID","ASK"),CHOOSE({1,2},R3,R3),"SCOPE:SERVER FTC:ALL"),"--")</f>
        <v>--</v>
      </c>
      <c r="U3" s="14" t="s">
        <v>8</v>
      </c>
      <c r="V3" s="93" t="s">
        <v>62</v>
      </c>
      <c r="Y3" s="19">
        <v>6</v>
      </c>
      <c r="Z3" s="26">
        <f>_xll.RtGet($AA$19,$AA$20&amp;$Y3&amp;$AA$21,Z$2)</f>
        <v>13</v>
      </c>
      <c r="AA3" s="27">
        <f>_xll.RtGet($AA$19,$AA$20&amp;$Y3&amp;$AA$21,AA$2)</f>
        <v>13</v>
      </c>
      <c r="AC3" s="108" t="s">
        <v>211</v>
      </c>
      <c r="AD3" s="76" t="s">
        <v>174</v>
      </c>
      <c r="AE3" s="17" t="s">
        <v>166</v>
      </c>
      <c r="AF3" s="160" t="b">
        <v>1</v>
      </c>
      <c r="AG3" s="160" t="b">
        <v>1</v>
      </c>
      <c r="AH3" s="190" t="str">
        <f>_xll.qlEuribor($AC3,$AD3,$AE3,Permanent,ManualTrigger,ObjectOverwrite)</f>
        <v>EuriborSTD_Cu#0001</v>
      </c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</row>
    <row r="4" spans="1:60" x14ac:dyDescent="0.2">
      <c r="B4" s="32" t="s">
        <v>65</v>
      </c>
      <c r="C4" s="67" t="str">
        <f>_xll.qlIndexFixingCalendar(IborIndex,ManualTrigger)</f>
        <v>TARGET</v>
      </c>
      <c r="E4" s="58" t="b">
        <v>1</v>
      </c>
      <c r="F4" s="45" t="str">
        <f>Y4&amp;"Y"</f>
        <v>1Y</v>
      </c>
      <c r="G4" s="143">
        <f t="shared" ref="G4:G17" si="1">AVERAGE(Z4:AA4)</f>
        <v>30</v>
      </c>
      <c r="H4" s="144"/>
      <c r="I4" s="145"/>
      <c r="J4" s="146">
        <f t="shared" si="0"/>
        <v>30</v>
      </c>
      <c r="K4" s="35">
        <f>_xll.qlCalendarAdvance(Calendar,SettlementDate,F4,"Unadjusted",FALSE)</f>
        <v>43194</v>
      </c>
      <c r="L4" s="35" t="str">
        <f>_xll.qlSchedule(,SettlementDate,K4,_xll.qlInterestRateIndexTenor(IborIndex),_xll.qlIndexFixingCalendar(IborIndex),BizDayConv,"Unadjusted")</f>
        <v>obj_005c9#0001</v>
      </c>
      <c r="M4" s="35" t="str">
        <f>_xll.qlIborLeg(,,Notional,L4,,,_xll.qlInterestRateIndexDayCounter(IborIndex),,,IborIndex,J4/(10^4))</f>
        <v>obj_005e6#0004</v>
      </c>
      <c r="N4" s="137">
        <f>100-_xll.qlLegNPV(M4,qlDiscCurve,,SettlementDate,,RtTrigger)</f>
        <v>99.997559953387736</v>
      </c>
      <c r="O4" s="35">
        <f>_xll.qlCalendarAdvance(Calendar,K4,"0d",BizDayConv)</f>
        <v>43194</v>
      </c>
      <c r="P4" s="40" t="str">
        <f>_xll.pdgDefaultableLoan(,EvaluationDate,Currency,pdgDiscCurve,EntityName,O4,Notional,Notional*$C$16,,FloatingFlag)</f>
        <v>obj_005d0#0001</v>
      </c>
      <c r="Q4" s="38">
        <v>3.0126495356932867E-3</v>
      </c>
      <c r="R4" s="43">
        <f t="shared" ref="R4:R17" si="2">IF(E4,ROUND(Q4*(10^4),2),R3)</f>
        <v>30.13</v>
      </c>
      <c r="S4" s="40" t="str">
        <f>IF(AND($R$1,$S$1),_xll.RtContribute($V$3,$V$4&amp;F4&amp;$V$6,CHOOSE({1,2},"BID","ASK"),CHOOSE({1,2},R4,R4),"SCOPE:SERVER FTC:ALL"),"--")</f>
        <v>--</v>
      </c>
      <c r="U4" s="15" t="s">
        <v>9</v>
      </c>
      <c r="V4" s="94" t="s">
        <v>85</v>
      </c>
      <c r="Y4" s="17">
        <v>1</v>
      </c>
      <c r="Z4" s="28">
        <f>_xll.RtGet($AA$19,$AA$20&amp;$Y4&amp;$AA$22,Z$2)</f>
        <v>30</v>
      </c>
      <c r="AA4" s="29">
        <f>_xll.RtGet($AA$19,$AA$20&amp;$Y4&amp;$AA$22,AA$2)</f>
        <v>30</v>
      </c>
      <c r="AC4" s="107" t="s">
        <v>212</v>
      </c>
      <c r="AD4" s="82" t="s">
        <v>174</v>
      </c>
      <c r="AE4" s="17" t="s">
        <v>176</v>
      </c>
      <c r="AF4" s="10"/>
      <c r="AG4" s="10"/>
      <c r="AH4" s="17" t="str">
        <f>_xll.qlEuribor($AC4,$AD4,$AE4,Permanent,ManualTrigger,ObjectOverwrite)</f>
        <v>Euribor1M_Cu#0001</v>
      </c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</row>
    <row r="5" spans="1:60" x14ac:dyDescent="0.2">
      <c r="B5" s="4" t="s">
        <v>66</v>
      </c>
      <c r="C5" s="68">
        <f>_xll.qlInterestRateIndexFixingDays(IborIndex,ManualTrigger)</f>
        <v>2</v>
      </c>
      <c r="E5" s="58" t="b">
        <v>1</v>
      </c>
      <c r="F5" s="45" t="str">
        <f t="shared" ref="F5:F17" si="3">Y5&amp;"Y"</f>
        <v>2Y</v>
      </c>
      <c r="G5" s="143">
        <f t="shared" si="1"/>
        <v>49</v>
      </c>
      <c r="H5" s="144"/>
      <c r="I5" s="145"/>
      <c r="J5" s="146">
        <f t="shared" si="0"/>
        <v>49</v>
      </c>
      <c r="K5" s="35">
        <f>_xll.qlCalendarAdvance(Calendar,SettlementDate,F5,"Unadjusted",FALSE)</f>
        <v>43559</v>
      </c>
      <c r="L5" s="35" t="str">
        <f>_xll.qlSchedule(,SettlementDate,K5,_xll.qlInterestRateIndexTenor(IborIndex),_xll.qlIndexFixingCalendar(IborIndex),BizDayConv,"Unadjusted")</f>
        <v>obj_005c4#0001</v>
      </c>
      <c r="M5" s="35" t="str">
        <f>_xll.qlIborLeg(,,Notional,L5,,,_xll.qlInterestRateIndexDayCounter(IborIndex),,,IborIndex,J5/(10^4))</f>
        <v>obj_005de#0004</v>
      </c>
      <c r="N5" s="137">
        <f>100-_xll.qlLegNPV(M5,qlDiscCurve,,SettlementDate,,RtTrigger)</f>
        <v>99.461232663295846</v>
      </c>
      <c r="O5" s="35">
        <f>_xll.qlCalendarAdvance(Calendar,K5,"0d",BizDayConv)</f>
        <v>43559</v>
      </c>
      <c r="P5" s="40" t="str">
        <f>_xll.pdgDefaultableLoan(,EvaluationDate,Currency,pdgDiscCurve,EntityName,O5,Notional,Notional*$C$16,,FloatingFlag)</f>
        <v>obj_005d4#0001</v>
      </c>
      <c r="Q5" s="38">
        <v>4.9249174384634782E-3</v>
      </c>
      <c r="R5" s="43">
        <f t="shared" si="2"/>
        <v>49.25</v>
      </c>
      <c r="S5" s="40" t="str">
        <f>IF(AND($R$1,$S$1),_xll.RtContribute($V$3,$V$4&amp;F5&amp;$V$6,CHOOSE({1,2},"BID","ASK"),CHOOSE({1,2},R5,R5),"SCOPE:SERVER FTC:ALL"),"--")</f>
        <v>--</v>
      </c>
      <c r="U5" s="15" t="s">
        <v>10</v>
      </c>
      <c r="V5" s="95"/>
      <c r="Y5" s="17">
        <v>2</v>
      </c>
      <c r="Z5" s="28">
        <f>_xll.RtGet($AA$19,$AA$20&amp;$Y5&amp;$AA$22,Z$2)</f>
        <v>49</v>
      </c>
      <c r="AA5" s="29">
        <f>_xll.RtGet($AA$19,$AA$20&amp;$Y5&amp;$AA$22,AA$2)</f>
        <v>49</v>
      </c>
      <c r="AC5" s="107" t="s">
        <v>213</v>
      </c>
      <c r="AD5" s="82" t="s">
        <v>174</v>
      </c>
      <c r="AE5" s="17" t="s">
        <v>177</v>
      </c>
      <c r="AF5" s="10"/>
      <c r="AG5" s="10"/>
      <c r="AH5" s="17" t="str">
        <f>_xll.qlEuribor($AC5,$AD5,$AE5,Permanent,ManualTrigger,ObjectOverwrite)</f>
        <v>Euribor6M_Cu#0001</v>
      </c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</row>
    <row r="6" spans="1:60" x14ac:dyDescent="0.2">
      <c r="B6" s="33" t="s">
        <v>67</v>
      </c>
      <c r="C6" s="3">
        <f>_xll.qlCalendarAdvance(Calendar,EvaluationDate,SettlementDays&amp;"d",,,ObjectsTrigger)</f>
        <v>42829</v>
      </c>
      <c r="E6" s="58" t="b">
        <v>1</v>
      </c>
      <c r="F6" s="45" t="str">
        <f t="shared" si="3"/>
        <v>3Y</v>
      </c>
      <c r="G6" s="143">
        <f t="shared" si="1"/>
        <v>76</v>
      </c>
      <c r="H6" s="144"/>
      <c r="I6" s="145"/>
      <c r="J6" s="146">
        <f t="shared" si="0"/>
        <v>76</v>
      </c>
      <c r="K6" s="35">
        <f>_xll.qlCalendarAdvance(Calendar,SettlementDate,F6,"Unadjusted",FALSE)</f>
        <v>43925</v>
      </c>
      <c r="L6" s="35" t="str">
        <f>_xll.qlSchedule(,SettlementDate,K6,_xll.qlInterestRateIndexTenor(IborIndex),_xll.qlIndexFixingCalendar(IborIndex),BizDayConv,"Unadjusted")</f>
        <v>obj_005c1#0001</v>
      </c>
      <c r="M6" s="35" t="str">
        <f>_xll.qlIborLeg(,,Notional,L6,,,_xll.qlInterestRateIndexDayCounter(IborIndex),,,IborIndex,J6/(10^4))</f>
        <v>obj_005df#0004</v>
      </c>
      <c r="N6" s="137">
        <f>100-_xll.qlLegNPV(M6,qlDiscCurve,,SettlementDate,,RtTrigger)</f>
        <v>98.104460637998031</v>
      </c>
      <c r="O6" s="35">
        <f>_xll.qlCalendarAdvance(Calendar,K6,"0d",BizDayConv)</f>
        <v>43927</v>
      </c>
      <c r="P6" s="40" t="str">
        <f>_xll.pdgDefaultableLoan(,EvaluationDate,Currency,pdgDiscCurve,EntityName,O6,Notional,Notional*$C$16,,FloatingFlag)</f>
        <v>obj_005ce#0001</v>
      </c>
      <c r="Q6" s="38">
        <v>7.6848978918238166E-3</v>
      </c>
      <c r="R6" s="43">
        <f t="shared" si="2"/>
        <v>76.849999999999994</v>
      </c>
      <c r="S6" s="40" t="str">
        <f>IF(AND($R$1,$S$1),_xll.RtContribute($V$3,$V$4&amp;F6&amp;$V$6,CHOOSE({1,2},"BID","ASK"),CHOOSE({1,2},R6,R6),"SCOPE:SERVER FTC:ALL"),"--")</f>
        <v>--</v>
      </c>
      <c r="U6" s="16" t="s">
        <v>10</v>
      </c>
      <c r="V6" s="96"/>
      <c r="Y6" s="17">
        <v>3</v>
      </c>
      <c r="Z6" s="28">
        <f>_xll.RtGet($AA$19,$AA$20&amp;$Y6&amp;$AA$22,Z$2)</f>
        <v>76</v>
      </c>
      <c r="AA6" s="29">
        <f>_xll.RtGet($AA$19,$AA$20&amp;$Y6&amp;$AA$22,AA$2)</f>
        <v>76</v>
      </c>
      <c r="AC6" s="105" t="s">
        <v>214</v>
      </c>
      <c r="AD6" s="87" t="s">
        <v>174</v>
      </c>
      <c r="AE6" s="18" t="s">
        <v>181</v>
      </c>
      <c r="AF6" s="10"/>
      <c r="AG6" s="10"/>
      <c r="AH6" s="17" t="str">
        <f>_xll.qlEuribor($AC6,$AD6,$AE6,Permanent,ManualTrigger,ObjectOverwrite)</f>
        <v>Euribor1Y_Cu#0001</v>
      </c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</row>
    <row r="7" spans="1:60" ht="12" thickBot="1" x14ac:dyDescent="0.25">
      <c r="A7" s="10"/>
      <c r="E7" s="58" t="b">
        <v>1</v>
      </c>
      <c r="F7" s="45" t="str">
        <f t="shared" si="3"/>
        <v>4Y</v>
      </c>
      <c r="G7" s="143">
        <f t="shared" si="1"/>
        <v>87</v>
      </c>
      <c r="H7" s="144"/>
      <c r="I7" s="145"/>
      <c r="J7" s="146">
        <f t="shared" si="0"/>
        <v>87</v>
      </c>
      <c r="K7" s="35">
        <f>_xll.qlCalendarAdvance(Calendar,SettlementDate,F7,"Unadjusted",FALSE)</f>
        <v>44290</v>
      </c>
      <c r="L7" s="35" t="str">
        <f>_xll.qlSchedule(,SettlementDate,K7,_xll.qlInterestRateIndexTenor(IborIndex),_xll.qlIndexFixingCalendar(IborIndex),BizDayConv,"Unadjusted")</f>
        <v>obj_005c5#0001</v>
      </c>
      <c r="M7" s="35" t="str">
        <f>_xll.qlIborLeg(,,Notional,L7,,,_xll.qlInterestRateIndexDayCounter(IborIndex),,,IborIndex,J7/(10^4))</f>
        <v>obj_005e3#0004</v>
      </c>
      <c r="N7" s="137">
        <f>100-_xll.qlLegNPV(M7,qlDiscCurve,,SettlementDate,,RtTrigger)</f>
        <v>96.644893150819982</v>
      </c>
      <c r="O7" s="35">
        <f>_xll.qlCalendarAdvance(Calendar,K7,"0d",BizDayConv)</f>
        <v>44292</v>
      </c>
      <c r="P7" s="40" t="str">
        <f>_xll.pdgDefaultableLoan(,EvaluationDate,Currency,pdgDiscCurve,EntityName,O7,Notional,Notional*$C$16,,FloatingFlag)</f>
        <v>obj_005d1#0001</v>
      </c>
      <c r="Q7" s="38">
        <v>8.9083044059749886E-3</v>
      </c>
      <c r="R7" s="43">
        <f t="shared" si="2"/>
        <v>89.08</v>
      </c>
      <c r="S7" s="40" t="str">
        <f>IF(AND($R$1,$S$1),_xll.RtContribute($V$3,$V$4&amp;F7&amp;$V$6,CHOOSE({1,2},"BID","ASK"),CHOOSE({1,2},R7,R7),"SCOPE:SERVER FTC:ALL"),"--")</f>
        <v>--</v>
      </c>
      <c r="Y7" s="17">
        <v>4</v>
      </c>
      <c r="Z7" s="28">
        <f>_xll.RtGet($AA$19,$AA$20&amp;$Y7&amp;$AA$22,Z$2)</f>
        <v>87</v>
      </c>
      <c r="AA7" s="29">
        <f>_xll.RtGet($AA$19,$AA$20&amp;$Y7&amp;$AA$22,AA$2)</f>
        <v>87</v>
      </c>
      <c r="AC7" s="10"/>
      <c r="AD7" s="10"/>
      <c r="AE7" s="10"/>
      <c r="AF7" s="10"/>
      <c r="AG7" s="10"/>
      <c r="AH7" s="18" t="s">
        <v>86</v>
      </c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</row>
    <row r="8" spans="1:60" ht="12" x14ac:dyDescent="0.2">
      <c r="A8" s="10"/>
      <c r="B8" s="171" t="s">
        <v>223</v>
      </c>
      <c r="C8" s="172" t="s">
        <v>86</v>
      </c>
      <c r="E8" s="58" t="b">
        <v>1</v>
      </c>
      <c r="F8" s="45" t="str">
        <f t="shared" si="3"/>
        <v>5Y</v>
      </c>
      <c r="G8" s="143">
        <f t="shared" si="1"/>
        <v>105</v>
      </c>
      <c r="H8" s="144"/>
      <c r="I8" s="145"/>
      <c r="J8" s="146">
        <f t="shared" si="0"/>
        <v>105</v>
      </c>
      <c r="K8" s="35">
        <f>_xll.qlCalendarAdvance(Calendar,SettlementDate,F8,"Unadjusted",FALSE)</f>
        <v>44655</v>
      </c>
      <c r="L8" s="35" t="str">
        <f>_xll.qlSchedule(,SettlementDate,K8,_xll.qlInterestRateIndexTenor(IborIndex),_xll.qlIndexFixingCalendar(IborIndex),BizDayConv,"Unadjusted")</f>
        <v>obj_005ca#0001</v>
      </c>
      <c r="M8" s="35" t="str">
        <f>_xll.qlIborLeg(,,Notional,L8,,,_xll.qlInterestRateIndexDayCounter(IborIndex),,,IborIndex,J8/(10^4))</f>
        <v>obj_005e5#0004</v>
      </c>
      <c r="N8" s="137">
        <f>100-_xll.qlLegNPV(M8,qlDiscCurve,,SettlementDate,,RtTrigger)</f>
        <v>94.362018194053533</v>
      </c>
      <c r="O8" s="35">
        <f>_xll.qlCalendarAdvance(Calendar,K8,"0d",BizDayConv)</f>
        <v>44655</v>
      </c>
      <c r="P8" s="40" t="str">
        <f>_xll.pdgDefaultableLoan(,EvaluationDate,Currency,pdgDiscCurve,EntityName,O8,Notional,Notional*$C$16,,FloatingFlag)</f>
        <v>obj_005d5#0001</v>
      </c>
      <c r="Q8" s="38">
        <v>1.0948655222409545E-2</v>
      </c>
      <c r="R8" s="43">
        <f t="shared" si="2"/>
        <v>109.49</v>
      </c>
      <c r="S8" s="40" t="str">
        <f>IF(AND($R$1,$S$1),_xll.RtContribute($V$3,$V$4&amp;F8&amp;$V$6,CHOOSE({1,2},"BID","ASK"),CHOOSE({1,2},R8,R8),"SCOPE:SERVER FTC:ALL"),"--")</f>
        <v>--</v>
      </c>
      <c r="Y8" s="17">
        <v>5</v>
      </c>
      <c r="Z8" s="28">
        <f>_xll.RtGet($AA$19,$AA$20&amp;$Y8&amp;$AA$22,Z$2)</f>
        <v>105</v>
      </c>
      <c r="AA8" s="29">
        <f>_xll.RtGet($AA$19,$AA$20&amp;$Y8&amp;$AA$22,AA$2)</f>
        <v>105</v>
      </c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</row>
    <row r="9" spans="1:60" ht="12" x14ac:dyDescent="0.2">
      <c r="A9" s="10"/>
      <c r="B9" s="188" t="s">
        <v>221</v>
      </c>
      <c r="C9" s="189" t="s">
        <v>210</v>
      </c>
      <c r="E9" s="58" t="b">
        <v>1</v>
      </c>
      <c r="F9" s="45" t="str">
        <f t="shared" si="3"/>
        <v>6Y</v>
      </c>
      <c r="G9" s="143">
        <f t="shared" si="1"/>
        <v>114</v>
      </c>
      <c r="H9" s="144"/>
      <c r="I9" s="145"/>
      <c r="J9" s="146">
        <f t="shared" si="0"/>
        <v>114</v>
      </c>
      <c r="K9" s="35">
        <f>_xll.qlCalendarAdvance(Calendar,SettlementDate,F9,"Unadjusted",FALSE)</f>
        <v>45020</v>
      </c>
      <c r="L9" s="35" t="str">
        <f>_xll.qlSchedule(,SettlementDate,K9,_xll.qlInterestRateIndexTenor(IborIndex),_xll.qlIndexFixingCalendar(IborIndex),BizDayConv,"Unadjusted")</f>
        <v>obj_005c0#0001</v>
      </c>
      <c r="M9" s="35" t="str">
        <f>_xll.qlIborLeg(,,Notional,L9,,,_xll.qlInterestRateIndexDayCounter(IborIndex),,,IborIndex,J9/(10^4))</f>
        <v>obj_005e7#0004</v>
      </c>
      <c r="N9" s="137">
        <f>100-_xll.qlLegNPV(M9,qlDiscCurve,,SettlementDate,,RtTrigger)</f>
        <v>91.997578361875313</v>
      </c>
      <c r="O9" s="35">
        <f>_xll.qlCalendarAdvance(Calendar,K9,"0d",BizDayConv)</f>
        <v>45020</v>
      </c>
      <c r="P9" s="40" t="str">
        <f>_xll.pdgDefaultableLoan(,EvaluationDate,Currency,pdgDiscCurve,EntityName,O9,Notional,Notional*$C$16,,FloatingFlag)</f>
        <v>obj_005d8#0001</v>
      </c>
      <c r="Q9" s="38">
        <v>1.2145089236256795E-2</v>
      </c>
      <c r="R9" s="43">
        <f t="shared" si="2"/>
        <v>121.45</v>
      </c>
      <c r="S9" s="40" t="str">
        <f>IF(AND($R$1,$S$1),_xll.RtContribute($V$3,$V$4&amp;F9&amp;$V$6,CHOOSE({1,2},"BID","ASK"),CHOOSE({1,2},R9,R9),"SCOPE:SERVER FTC:ALL"),"--")</f>
        <v>--</v>
      </c>
      <c r="Y9" s="17">
        <v>6</v>
      </c>
      <c r="Z9" s="28">
        <f>_xll.RtGet($AA$19,$AA$20&amp;$Y9&amp;$AA$22,Z$2)</f>
        <v>114</v>
      </c>
      <c r="AA9" s="29">
        <f>_xll.RtGet($AA$19,$AA$20&amp;$Y9&amp;$AA$22,AA$2)</f>
        <v>114</v>
      </c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</row>
    <row r="10" spans="1:60" ht="12.75" thickBot="1" x14ac:dyDescent="0.25">
      <c r="A10" s="10"/>
      <c r="B10" s="173" t="s">
        <v>222</v>
      </c>
      <c r="C10" s="174" t="s">
        <v>208</v>
      </c>
      <c r="E10" s="58" t="b">
        <v>1</v>
      </c>
      <c r="F10" s="45" t="str">
        <f t="shared" si="3"/>
        <v>7Y</v>
      </c>
      <c r="G10" s="143">
        <f t="shared" si="1"/>
        <v>123</v>
      </c>
      <c r="H10" s="144"/>
      <c r="I10" s="145"/>
      <c r="J10" s="146">
        <f t="shared" si="0"/>
        <v>123</v>
      </c>
      <c r="K10" s="35">
        <f>_xll.qlCalendarAdvance(Calendar,SettlementDate,F10,"Unadjusted",FALSE)</f>
        <v>45386</v>
      </c>
      <c r="L10" s="35" t="str">
        <f>_xll.qlSchedule(,SettlementDate,K10,_xll.qlInterestRateIndexTenor(IborIndex),_xll.qlIndexFixingCalendar(IborIndex),BizDayConv,"Unadjusted")</f>
        <v>obj_005c8#0001</v>
      </c>
      <c r="M10" s="35" t="str">
        <f>_xll.qlIborLeg(,,Notional,L10,,,_xll.qlInterestRateIndexDayCounter(IborIndex),,,IborIndex,J10/(10^4))</f>
        <v>obj_005e8#0004</v>
      </c>
      <c r="N10" s="137">
        <f>100-_xll.qlLegNPV(M10,qlDiscCurve,,SettlementDate,,RtTrigger)</f>
        <v>89.17689109468354</v>
      </c>
      <c r="O10" s="35">
        <f>_xll.qlCalendarAdvance(Calendar,K10,"0d",BizDayConv)</f>
        <v>45386</v>
      </c>
      <c r="P10" s="40" t="str">
        <f>_xll.pdgDefaultableLoan(,EvaluationDate,Currency,pdgDiscCurve,EntityName,O10,Notional,Notional*$C$16,,FloatingFlag)</f>
        <v>obj_005d9#0001</v>
      </c>
      <c r="Q10" s="38">
        <v>1.3441432170729E-2</v>
      </c>
      <c r="R10" s="43">
        <f t="shared" si="2"/>
        <v>134.41</v>
      </c>
      <c r="S10" s="40" t="str">
        <f>IF(AND($R$1,$S$1),_xll.RtContribute($V$3,$V$4&amp;F10&amp;$V$6,CHOOSE({1,2},"BID","ASK"),CHOOSE({1,2},R10,R10),"SCOPE:SERVER FTC:ALL"),"--")</f>
        <v>--</v>
      </c>
      <c r="Y10" s="17">
        <v>7</v>
      </c>
      <c r="Z10" s="28">
        <f>_xll.RtGet($AA$19,$AA$20&amp;$Y10&amp;$AA$22,Z$2)</f>
        <v>123</v>
      </c>
      <c r="AA10" s="29">
        <f>_xll.RtGet($AA$19,$AA$20&amp;$Y10&amp;$AA$22,AA$2)</f>
        <v>123</v>
      </c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</row>
    <row r="11" spans="1:60" x14ac:dyDescent="0.2">
      <c r="A11" s="10"/>
      <c r="E11" s="58" t="b">
        <v>1</v>
      </c>
      <c r="F11" s="45" t="str">
        <f t="shared" si="3"/>
        <v>8Y</v>
      </c>
      <c r="G11" s="143">
        <f t="shared" si="1"/>
        <v>127</v>
      </c>
      <c r="H11" s="144"/>
      <c r="I11" s="145"/>
      <c r="J11" s="146">
        <f t="shared" si="0"/>
        <v>127</v>
      </c>
      <c r="K11" s="35">
        <f>_xll.qlCalendarAdvance(Calendar,SettlementDate,F11,"Unadjusted",FALSE)</f>
        <v>45751</v>
      </c>
      <c r="L11" s="35" t="str">
        <f>_xll.qlSchedule(,SettlementDate,K11,_xll.qlInterestRateIndexTenor(IborIndex),_xll.qlIndexFixingCalendar(IborIndex),BizDayConv,"Unadjusted")</f>
        <v>obj_005c6#0001</v>
      </c>
      <c r="M11" s="35" t="str">
        <f>_xll.qlIborLeg(,,Notional,L11,,,_xll.qlInterestRateIndexDayCounter(IborIndex),,,IborIndex,J11/(10^4))</f>
        <v>obj_005e0#0004</v>
      </c>
      <c r="N11" s="137">
        <f>100-_xll.qlLegNPV(M11,qlDiscCurve,,SettlementDate,,RtTrigger)</f>
        <v>86.376780566011746</v>
      </c>
      <c r="O11" s="35">
        <f>_xll.qlCalendarAdvance(Calendar,K11,"0d",BizDayConv)</f>
        <v>45751</v>
      </c>
      <c r="P11" s="40" t="str">
        <f>_xll.pdgDefaultableLoan(,EvaluationDate,Currency,pdgDiscCurve,EntityName,O11,Notional,Notional*$C$16,,FloatingFlag)</f>
        <v>obj_005da#0001</v>
      </c>
      <c r="Q11" s="38">
        <v>1.4292573982985012E-2</v>
      </c>
      <c r="R11" s="43">
        <f t="shared" si="2"/>
        <v>142.93</v>
      </c>
      <c r="S11" s="40" t="str">
        <f>IF(AND($R$1,$S$1),_xll.RtContribute($V$3,$V$4&amp;F11&amp;$V$6,CHOOSE({1,2},"BID","ASK"),CHOOSE({1,2},R11,R11),"SCOPE:SERVER FTC:ALL"),"--")</f>
        <v>--</v>
      </c>
      <c r="Y11" s="17">
        <v>8</v>
      </c>
      <c r="Z11" s="28">
        <f>_xll.RtGet($AA$19,$AA$20&amp;$Y11&amp;$AA$22,Z$2)</f>
        <v>127</v>
      </c>
      <c r="AA11" s="29">
        <f>_xll.RtGet($AA$19,$AA$20&amp;$Y11&amp;$AA$22,AA$2)</f>
        <v>127</v>
      </c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</row>
    <row r="12" spans="1:60" x14ac:dyDescent="0.2">
      <c r="A12" s="10"/>
      <c r="B12" s="2" t="s">
        <v>83</v>
      </c>
      <c r="C12" s="1" t="s">
        <v>77</v>
      </c>
      <c r="E12" s="58" t="b">
        <v>1</v>
      </c>
      <c r="F12" s="45" t="str">
        <f t="shared" si="3"/>
        <v>9Y</v>
      </c>
      <c r="G12" s="143">
        <f t="shared" si="1"/>
        <v>130</v>
      </c>
      <c r="H12" s="144"/>
      <c r="I12" s="145"/>
      <c r="J12" s="146">
        <f t="shared" si="0"/>
        <v>130</v>
      </c>
      <c r="K12" s="35">
        <f>_xll.qlCalendarAdvance(Calendar,SettlementDate,F12,"Unadjusted",FALSE)</f>
        <v>46116</v>
      </c>
      <c r="L12" s="35" t="str">
        <f>_xll.qlSchedule(,SettlementDate,K12,_xll.qlInterestRateIndexTenor(IborIndex),_xll.qlIndexFixingCalendar(IborIndex),BizDayConv,"Unadjusted")</f>
        <v>obj_005bf#0001</v>
      </c>
      <c r="M12" s="35" t="str">
        <f>_xll.qlIborLeg(,,Notional,L12,,,_xll.qlInterestRateIndexDayCounter(IborIndex),,,IborIndex,J12/(10^4))</f>
        <v>obj_005e4#0004</v>
      </c>
      <c r="N12" s="137">
        <f>100-_xll.qlLegNPV(M12,qlDiscCurve,,SettlementDate,,RtTrigger)</f>
        <v>83.404093544740689</v>
      </c>
      <c r="O12" s="35">
        <f>_xll.qlCalendarAdvance(Calendar,K12,"0d",BizDayConv)</f>
        <v>46119</v>
      </c>
      <c r="P12" s="40" t="str">
        <f>_xll.pdgDefaultableLoan(,EvaluationDate,Currency,pdgDiscCurve,EntityName,O12,Notional,Notional*$C$16,,FloatingFlag)</f>
        <v>obj_005d2#0001</v>
      </c>
      <c r="Q12" s="38">
        <v>1.5084520373238448E-2</v>
      </c>
      <c r="R12" s="43">
        <f t="shared" si="2"/>
        <v>150.85</v>
      </c>
      <c r="S12" s="40" t="str">
        <f>IF(AND($R$1,$S$1),_xll.RtContribute($V$3,$V$4&amp;F12&amp;$V$6,CHOOSE({1,2},"BID","ASK"),CHOOSE({1,2},R12,R12),"SCOPE:SERVER FTC:ALL"),"--")</f>
        <v>--</v>
      </c>
      <c r="Y12" s="17">
        <v>9</v>
      </c>
      <c r="Z12" s="28">
        <f>_xll.RtGet($AA$19,$AA$20&amp;$Y12&amp;$AA$22,Z$2)</f>
        <v>130</v>
      </c>
      <c r="AA12" s="29">
        <f>_xll.RtGet($AA$19,$AA$20&amp;$Y12&amp;$AA$22,AA$2)</f>
        <v>130</v>
      </c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</row>
    <row r="13" spans="1:60" ht="11.25" customHeight="1" x14ac:dyDescent="0.2">
      <c r="B13" s="70" t="s">
        <v>21</v>
      </c>
      <c r="C13" s="55" t="s">
        <v>87</v>
      </c>
      <c r="E13" s="58" t="b">
        <v>1</v>
      </c>
      <c r="F13" s="45" t="str">
        <f t="shared" si="3"/>
        <v>10Y</v>
      </c>
      <c r="G13" s="143">
        <f t="shared" si="1"/>
        <v>134</v>
      </c>
      <c r="H13" s="144"/>
      <c r="I13" s="145"/>
      <c r="J13" s="146">
        <f t="shared" si="0"/>
        <v>134</v>
      </c>
      <c r="K13" s="35">
        <f>_xll.qlCalendarAdvance(Calendar,SettlementDate,F13,"Unadjusted",FALSE)</f>
        <v>46481</v>
      </c>
      <c r="L13" s="35" t="str">
        <f>_xll.qlSchedule(,SettlementDate,K13,_xll.qlInterestRateIndexTenor(IborIndex),_xll.qlIndexFixingCalendar(IborIndex),BizDayConv,"Unadjusted")</f>
        <v>obj_005c7#0001</v>
      </c>
      <c r="M13" s="35" t="str">
        <f>_xll.qlIborLeg(,,Notional,L13,,,_xll.qlInterestRateIndexDayCounter(IborIndex),,,IborIndex,J13/(10^4))</f>
        <v>obj_005e1#0004</v>
      </c>
      <c r="N13" s="137">
        <f>100-_xll.qlLegNPV(M13,qlDiscCurve,,SettlementDate,,RtTrigger)</f>
        <v>80.149740938772581</v>
      </c>
      <c r="O13" s="35">
        <f>_xll.qlCalendarAdvance(Calendar,K13,"0d",BizDayConv)</f>
        <v>46482</v>
      </c>
      <c r="P13" s="40" t="str">
        <f>_xll.pdgDefaultableLoan(,EvaluationDate,Currency,pdgDiscCurve,EntityName,O13,Notional,Notional*$C$16,,FloatingFlag)</f>
        <v>obj_005d6#0001</v>
      </c>
      <c r="Q13" s="38">
        <v>1.6096215153345292E-2</v>
      </c>
      <c r="R13" s="43">
        <f t="shared" si="2"/>
        <v>160.96</v>
      </c>
      <c r="S13" s="40" t="str">
        <f>IF(AND($R$1,$S$1),_xll.RtContribute($V$3,$V$4&amp;F13&amp;$V$6,CHOOSE({1,2},"BID","ASK"),CHOOSE({1,2},R13,R13),"SCOPE:SERVER FTC:ALL"),"--")</f>
        <v>--</v>
      </c>
      <c r="Y13" s="17">
        <v>10</v>
      </c>
      <c r="Z13" s="28">
        <f>_xll.RtGet($AA$19,$AA$20&amp;$Y13&amp;$AA$22,Z$2)</f>
        <v>134</v>
      </c>
      <c r="AA13" s="29">
        <f>_xll.RtGet($AA$19,$AA$20&amp;$Y13&amp;$AA$22,AA$2)</f>
        <v>134</v>
      </c>
      <c r="AC13" s="10"/>
      <c r="AD13" s="10"/>
      <c r="AE13" s="10"/>
      <c r="AF13" s="10"/>
      <c r="AG13" s="10"/>
      <c r="AH13" s="10"/>
      <c r="AI13" s="10"/>
      <c r="AJ13" s="277"/>
      <c r="AK13" s="278"/>
      <c r="AL13" s="278" t="s">
        <v>182</v>
      </c>
      <c r="AM13" s="278"/>
      <c r="AN13" s="278" t="s">
        <v>183</v>
      </c>
      <c r="AO13" s="278"/>
      <c r="AP13" s="278" t="s">
        <v>184</v>
      </c>
      <c r="AQ13" s="278"/>
      <c r="AR13" s="278" t="s">
        <v>61</v>
      </c>
      <c r="AS13" s="278"/>
      <c r="AT13" s="278" t="s">
        <v>185</v>
      </c>
      <c r="AU13" s="278"/>
      <c r="AV13" s="300" t="s">
        <v>186</v>
      </c>
      <c r="AW13" s="293"/>
      <c r="AX13" s="293"/>
      <c r="AY13" s="293"/>
      <c r="AZ13" s="296" t="s">
        <v>201</v>
      </c>
      <c r="BA13" s="297"/>
      <c r="BB13" s="297"/>
      <c r="BC13" s="297"/>
      <c r="BD13" s="297"/>
      <c r="BE13" s="297"/>
      <c r="BF13" s="297"/>
      <c r="BG13" s="297"/>
      <c r="BH13" s="297"/>
    </row>
    <row r="14" spans="1:60" ht="11.25" customHeight="1" x14ac:dyDescent="0.2">
      <c r="B14" s="71" t="s">
        <v>82</v>
      </c>
      <c r="C14" s="69" t="str">
        <f>UPPER("UNICA_"&amp;Currency)</f>
        <v>UNICA_EUR</v>
      </c>
      <c r="E14" s="58" t="b">
        <v>1</v>
      </c>
      <c r="F14" s="45" t="str">
        <f t="shared" si="3"/>
        <v>15Y</v>
      </c>
      <c r="G14" s="143">
        <f t="shared" si="1"/>
        <v>151</v>
      </c>
      <c r="H14" s="144"/>
      <c r="I14" s="145"/>
      <c r="J14" s="146">
        <f t="shared" si="0"/>
        <v>151</v>
      </c>
      <c r="K14" s="35">
        <f>_xll.qlCalendarAdvance(Calendar,SettlementDate,F14,"Unadjusted",FALSE)</f>
        <v>48308</v>
      </c>
      <c r="L14" s="35" t="str">
        <f>_xll.qlSchedule(,SettlementDate,K14,_xll.qlInterestRateIndexTenor(IborIndex),_xll.qlIndexFixingCalendar(IborIndex),BizDayConv,"Unadjusted")</f>
        <v>obj_005be#0001</v>
      </c>
      <c r="M14" s="35" t="str">
        <f>_xll.qlIborLeg(,,Notional,L14,,,_xll.qlInterestRateIndexDayCounter(IborIndex),,,IborIndex,J14/(10^4))</f>
        <v>obj_005e2#0004</v>
      </c>
      <c r="N14" s="137">
        <f>100-_xll.qlLegNPV(M14,qlDiscCurve,,SettlementDate,,RtTrigger)</f>
        <v>63.079022161457672</v>
      </c>
      <c r="O14" s="35">
        <f>_xll.qlCalendarAdvance(Calendar,K14,"0d",BizDayConv)</f>
        <v>48309</v>
      </c>
      <c r="P14" s="40" t="str">
        <f>_xll.pdgDefaultableLoan(,EvaluationDate,Currency,pdgDiscCurve,EntityName,O14,Notional,Notional*$C$16,,FloatingFlag)</f>
        <v>obj_005cd#0001</v>
      </c>
      <c r="Q14" s="38">
        <v>2.1780683315357863E-2</v>
      </c>
      <c r="R14" s="43">
        <f t="shared" si="2"/>
        <v>217.81</v>
      </c>
      <c r="S14" s="40" t="str">
        <f>IF(AND($R$1,$S$1),_xll.RtContribute($V$3,$V$4&amp;F14&amp;$V$6,CHOOSE({1,2},"BID","ASK"),CHOOSE({1,2},R14,R14),"SCOPE:SERVER FTC:ALL"),"--")</f>
        <v>--</v>
      </c>
      <c r="Y14" s="17">
        <v>15</v>
      </c>
      <c r="Z14" s="28">
        <f>_xll.RtGet($AA$19,$AA$20&amp;$Y14&amp;$AA$22,Z$2)</f>
        <v>151</v>
      </c>
      <c r="AA14" s="29">
        <f>_xll.RtGet($AA$19,$AA$20&amp;$Y14&amp;$AA$22,AA$2)</f>
        <v>151</v>
      </c>
      <c r="AC14" s="10"/>
      <c r="AD14" s="10"/>
      <c r="AE14" s="10"/>
      <c r="AF14" s="10"/>
      <c r="AG14" s="10"/>
      <c r="AH14" s="10"/>
      <c r="AI14" s="10"/>
      <c r="AJ14" s="279"/>
      <c r="AK14" s="262"/>
      <c r="AL14" s="262"/>
      <c r="AM14" s="262"/>
      <c r="AN14" s="262"/>
      <c r="AO14" s="262"/>
      <c r="AP14" s="262"/>
      <c r="AQ14" s="262"/>
      <c r="AR14" s="262"/>
      <c r="AS14" s="262"/>
      <c r="AT14" s="262"/>
      <c r="AU14" s="262"/>
      <c r="AV14" s="292"/>
      <c r="AW14" s="293"/>
      <c r="AX14" s="293"/>
      <c r="AY14" s="293"/>
      <c r="AZ14" s="298"/>
      <c r="BA14" s="299"/>
      <c r="BB14" s="299"/>
      <c r="BC14" s="299"/>
      <c r="BD14" s="299"/>
      <c r="BE14" s="299"/>
      <c r="BF14" s="299"/>
      <c r="BG14" s="299"/>
      <c r="BH14" s="299"/>
    </row>
    <row r="15" spans="1:60" ht="11.25" customHeight="1" x14ac:dyDescent="0.2">
      <c r="B15" s="71" t="s">
        <v>69</v>
      </c>
      <c r="C15" s="54">
        <v>100</v>
      </c>
      <c r="E15" s="58" t="b">
        <v>0</v>
      </c>
      <c r="F15" s="45" t="str">
        <f t="shared" si="3"/>
        <v>20Y</v>
      </c>
      <c r="G15" s="143">
        <f t="shared" si="1"/>
        <v>167</v>
      </c>
      <c r="H15" s="144"/>
      <c r="I15" s="145"/>
      <c r="J15" s="146">
        <f t="shared" si="0"/>
        <v>167</v>
      </c>
      <c r="K15" s="35">
        <f>_xll.qlCalendarAdvance(Calendar,SettlementDate,F15,"Unadjusted",FALSE)</f>
        <v>50134</v>
      </c>
      <c r="L15" s="35" t="str">
        <f>_xll.qlSchedule(,SettlementDate,K15,_xll.qlInterestRateIndexTenor(IborIndex),_xll.qlIndexFixingCalendar(IborIndex),BizDayConv,"Unadjusted")</f>
        <v>obj_005bd#0001</v>
      </c>
      <c r="M15" s="35" t="str">
        <f>_xll.qlIborLeg(,,Notional,L15,,,_xll.qlInterestRateIndexDayCounter(IborIndex),,,IborIndex,J15/(10^4))</f>
        <v>obj_005db#0004</v>
      </c>
      <c r="N15" s="137">
        <f>100-_xll.qlLegNPV(M15,qlDiscCurve,,SettlementDate,,RtTrigger)</f>
        <v>46.4063311008697</v>
      </c>
      <c r="O15" s="35">
        <f>_xll.qlCalendarAdvance(Calendar,K15,"0d",BizDayConv)</f>
        <v>50137</v>
      </c>
      <c r="P15" s="40" t="str">
        <f>_xll.pdgDefaultableLoan(,EvaluationDate,Currency,pdgDiscCurve,EntityName,O15,Notional,Notional*$C$16,,FloatingFlag)</f>
        <v>obj_005d3#0001</v>
      </c>
      <c r="Q15" s="38">
        <v>0</v>
      </c>
      <c r="R15" s="43">
        <f t="shared" si="2"/>
        <v>217.81</v>
      </c>
      <c r="S15" s="40" t="str">
        <f>IF(AND($R$1,$S$1),_xll.RtContribute($V$3,$V$4&amp;F15&amp;$V$6,CHOOSE({1,2},"BID","ASK"),CHOOSE({1,2},R15,R15),"SCOPE:SERVER FTC:ALL"),"--")</f>
        <v>--</v>
      </c>
      <c r="Y15" s="17">
        <v>20</v>
      </c>
      <c r="Z15" s="28">
        <f>_xll.RtGet($AA$19,$AA$20&amp;$Y15&amp;$AA$22,Z$2)</f>
        <v>167</v>
      </c>
      <c r="AA15" s="29">
        <f>_xll.RtGet($AA$19,$AA$20&amp;$Y15&amp;$AA$22,AA$2)</f>
        <v>167</v>
      </c>
      <c r="AC15" s="10"/>
      <c r="AD15" s="10"/>
      <c r="AE15" s="10"/>
      <c r="AF15" s="10"/>
      <c r="AG15" s="10"/>
      <c r="AH15" s="10"/>
      <c r="AI15" s="10"/>
      <c r="AJ15" s="284" t="s">
        <v>187</v>
      </c>
      <c r="AK15" s="262"/>
      <c r="AL15" s="264" t="s">
        <v>188</v>
      </c>
      <c r="AM15" s="264"/>
      <c r="AN15" s="264" t="s">
        <v>174</v>
      </c>
      <c r="AO15" s="264"/>
      <c r="AP15" s="289" t="s">
        <v>188</v>
      </c>
      <c r="AQ15" s="289"/>
      <c r="AR15" s="264" t="s">
        <v>174</v>
      </c>
      <c r="AS15" s="264"/>
      <c r="AT15" s="264" t="s">
        <v>199</v>
      </c>
      <c r="AU15" s="264"/>
      <c r="AV15" s="280" t="s">
        <v>189</v>
      </c>
      <c r="AW15" s="281"/>
      <c r="AX15" s="281"/>
      <c r="AY15" s="281"/>
      <c r="AZ15" s="14" t="s">
        <v>202</v>
      </c>
      <c r="BA15" s="77"/>
      <c r="BB15" s="77"/>
      <c r="BC15" s="77"/>
      <c r="BD15" s="77"/>
      <c r="BE15" s="77"/>
      <c r="BF15" s="77"/>
      <c r="BG15" s="77"/>
      <c r="BH15" s="77"/>
    </row>
    <row r="16" spans="1:60" ht="11.25" customHeight="1" x14ac:dyDescent="0.2">
      <c r="B16" s="71" t="s">
        <v>72</v>
      </c>
      <c r="C16" s="56">
        <v>0.4</v>
      </c>
      <c r="E16" s="58" t="b">
        <v>0</v>
      </c>
      <c r="F16" s="45" t="str">
        <f t="shared" si="3"/>
        <v>25Y</v>
      </c>
      <c r="G16" s="143">
        <f t="shared" si="1"/>
        <v>181</v>
      </c>
      <c r="H16" s="144"/>
      <c r="I16" s="145"/>
      <c r="J16" s="146">
        <f t="shared" si="0"/>
        <v>181</v>
      </c>
      <c r="K16" s="35">
        <f>_xll.qlCalendarAdvance(Calendar,SettlementDate,F16,"Unadjusted",FALSE)</f>
        <v>51960</v>
      </c>
      <c r="L16" s="35" t="str">
        <f>_xll.qlSchedule(,SettlementDate,K16,_xll.qlInterestRateIndexTenor(IborIndex),_xll.qlIndexFixingCalendar(IborIndex),BizDayConv,"Unadjusted")</f>
        <v>obj_005cb#0001</v>
      </c>
      <c r="M16" s="35" t="str">
        <f>_xll.qlIborLeg(,,Notional,L16,,,_xll.qlInterestRateIndexDayCounter(IborIndex),,,IborIndex,J16/(10^4))</f>
        <v>obj_005dc#0004</v>
      </c>
      <c r="N16" s="137">
        <f>100-_xll.qlLegNPV(M16,qlDiscCurve,,SettlementDate,,RtTrigger)</f>
        <v>30.882036880701904</v>
      </c>
      <c r="O16" s="35">
        <f>_xll.qlCalendarAdvance(Calendar,K16,"0d",BizDayConv)</f>
        <v>51964</v>
      </c>
      <c r="P16" s="40" t="str">
        <f>_xll.pdgDefaultableLoan(,EvaluationDate,Currency,pdgDiscCurve,EntityName,O16,Notional,Notional*$C$16,,FloatingFlag)</f>
        <v>obj_005cc#0001</v>
      </c>
      <c r="Q16" s="38">
        <v>0</v>
      </c>
      <c r="R16" s="43">
        <f t="shared" si="2"/>
        <v>217.81</v>
      </c>
      <c r="S16" s="40" t="str">
        <f>IF(AND($R$1,$S$1),_xll.RtContribute($V$3,$V$4&amp;F16&amp;$V$6,CHOOSE({1,2},"BID","ASK"),CHOOSE({1,2},R16,R16),"SCOPE:SERVER FTC:ALL"),"--")</f>
        <v>--</v>
      </c>
      <c r="Y16" s="17">
        <v>25</v>
      </c>
      <c r="Z16" s="28">
        <f>_xll.RtGet($AA$19,$AA$20&amp;$Y16&amp;$AA$22,Z$2)</f>
        <v>181</v>
      </c>
      <c r="AA16" s="29">
        <f>_xll.RtGet($AA$19,$AA$20&amp;$Y16&amp;$AA$22,AA$2)</f>
        <v>181</v>
      </c>
      <c r="AC16" s="10"/>
      <c r="AD16" s="10"/>
      <c r="AE16" s="10"/>
      <c r="AF16" s="10"/>
      <c r="AG16" s="10"/>
      <c r="AH16" s="10"/>
      <c r="AI16" s="10"/>
      <c r="AJ16" s="279"/>
      <c r="AK16" s="262"/>
      <c r="AL16" s="264"/>
      <c r="AM16" s="264"/>
      <c r="AN16" s="264"/>
      <c r="AO16" s="264"/>
      <c r="AP16" s="289"/>
      <c r="AQ16" s="289"/>
      <c r="AR16" s="264"/>
      <c r="AS16" s="264"/>
      <c r="AT16" s="264"/>
      <c r="AU16" s="264"/>
      <c r="AV16" s="282"/>
      <c r="AW16" s="283"/>
      <c r="AX16" s="283"/>
      <c r="AY16" s="283"/>
      <c r="AZ16" s="16"/>
      <c r="BA16" s="92"/>
      <c r="BB16" s="92"/>
      <c r="BC16" s="92"/>
      <c r="BD16" s="92"/>
      <c r="BE16" s="92"/>
      <c r="BF16" s="92"/>
      <c r="BG16" s="92"/>
      <c r="BH16" s="92"/>
    </row>
    <row r="17" spans="1:60" ht="12.75" customHeight="1" x14ac:dyDescent="0.2">
      <c r="B17" s="72" t="s">
        <v>81</v>
      </c>
      <c r="C17" s="56" t="s">
        <v>79</v>
      </c>
      <c r="E17" s="59" t="b">
        <v>0</v>
      </c>
      <c r="F17" s="46" t="str">
        <f t="shared" si="3"/>
        <v>30Y</v>
      </c>
      <c r="G17" s="147">
        <f t="shared" si="1"/>
        <v>193</v>
      </c>
      <c r="H17" s="148"/>
      <c r="I17" s="149"/>
      <c r="J17" s="150">
        <f>IF(ISNUMBER(H17),H17,G17)+I17</f>
        <v>193</v>
      </c>
      <c r="K17" s="36">
        <f>_xll.qlCalendarAdvance(Calendar,SettlementDate,F17,"Unadjusted",FALSE)</f>
        <v>53786</v>
      </c>
      <c r="L17" s="36" t="str">
        <f>_xll.qlSchedule(,SettlementDate,K17,_xll.qlInterestRateIndexTenor(IborIndex),_xll.qlIndexFixingCalendar(IborIndex),BizDayConv,"Unadjusted")</f>
        <v>obj_005c2#0001</v>
      </c>
      <c r="M17" s="36" t="str">
        <f>_xll.qlIborLeg(,,Notional,L17,,,_xll.qlInterestRateIndexDayCounter(IborIndex),,,IborIndex,J17/(10^4))</f>
        <v>obj_005dd#0004</v>
      </c>
      <c r="N17" s="138">
        <f>100-_xll.qlLegNPV(M17,qlDiscCurve,,SettlementDate,,RtTrigger)</f>
        <v>16.243024568210359</v>
      </c>
      <c r="O17" s="36">
        <f>_xll.qlCalendarAdvance(Calendar,K17,"0d",BizDayConv)</f>
        <v>53786</v>
      </c>
      <c r="P17" s="41" t="str">
        <f>_xll.pdgDefaultableLoan(,EvaluationDate,Currency,pdgDiscCurve,EntityName,O17,Notional,Notional*$C$16,,FloatingFlag)</f>
        <v>obj_005cf#0001</v>
      </c>
      <c r="Q17" s="39">
        <v>0</v>
      </c>
      <c r="R17" s="44">
        <f t="shared" si="2"/>
        <v>217.81</v>
      </c>
      <c r="S17" s="41" t="str">
        <f>IF(AND($R$1,$S$1),_xll.RtContribute($V$3,$V$4&amp;F17&amp;$V$6,CHOOSE({1,2},"BID","ASK"),CHOOSE({1,2},R17,R17),"SCOPE:SERVER FTC:ALL"),"--")</f>
        <v>--</v>
      </c>
      <c r="Y17" s="18">
        <v>30</v>
      </c>
      <c r="Z17" s="30">
        <f>_xll.RtGet($AA$19,$AA$20&amp;$Y17&amp;$AA$22,Z$2)</f>
        <v>193</v>
      </c>
      <c r="AA17" s="31">
        <f>_xll.RtGet($AA$19,$AA$20&amp;$Y17&amp;$AA$22,AA$2)</f>
        <v>193</v>
      </c>
      <c r="AI17" s="158"/>
      <c r="AJ17" s="284" t="s">
        <v>200</v>
      </c>
      <c r="AK17" s="285"/>
      <c r="AL17" s="264" t="s">
        <v>188</v>
      </c>
      <c r="AM17" s="264"/>
      <c r="AN17" s="264" t="s">
        <v>174</v>
      </c>
      <c r="AO17" s="264"/>
      <c r="AP17" s="264" t="s">
        <v>190</v>
      </c>
      <c r="AQ17" s="264"/>
      <c r="AR17" s="264" t="s">
        <v>174</v>
      </c>
      <c r="AS17" s="264"/>
      <c r="AT17" s="264" t="s">
        <v>199</v>
      </c>
      <c r="AU17" s="264"/>
      <c r="AV17" s="280" t="s">
        <v>191</v>
      </c>
      <c r="AW17" s="281"/>
      <c r="AX17" s="281"/>
      <c r="AY17" s="281"/>
      <c r="AZ17" s="14" t="s">
        <v>203</v>
      </c>
      <c r="BA17" s="162"/>
      <c r="BB17" s="162"/>
      <c r="BC17" s="77"/>
      <c r="BD17" s="77"/>
      <c r="BE17" s="77"/>
      <c r="BF17" s="77"/>
      <c r="BG17" s="77"/>
      <c r="BH17" s="77"/>
    </row>
    <row r="18" spans="1:60" ht="12.75" customHeight="1" x14ac:dyDescent="0.2">
      <c r="B18" s="61" t="s">
        <v>84</v>
      </c>
      <c r="C18" s="60">
        <v>20</v>
      </c>
      <c r="J18"/>
      <c r="K18"/>
      <c r="L18"/>
      <c r="M18"/>
      <c r="N18"/>
      <c r="O18"/>
      <c r="P18"/>
      <c r="Q18"/>
      <c r="R18"/>
      <c r="S18"/>
      <c r="AI18" s="158"/>
      <c r="AJ18" s="284"/>
      <c r="AK18" s="285"/>
      <c r="AL18" s="264"/>
      <c r="AM18" s="264"/>
      <c r="AN18" s="264"/>
      <c r="AO18" s="264"/>
      <c r="AP18" s="264"/>
      <c r="AQ18" s="264"/>
      <c r="AR18" s="264"/>
      <c r="AS18" s="264"/>
      <c r="AT18" s="264"/>
      <c r="AU18" s="264"/>
      <c r="AV18" s="282"/>
      <c r="AW18" s="283"/>
      <c r="AX18" s="283"/>
      <c r="AY18" s="283"/>
      <c r="AZ18" s="16"/>
      <c r="BA18" s="163"/>
      <c r="BB18" s="163"/>
      <c r="BC18" s="92"/>
      <c r="BD18" s="92"/>
      <c r="BE18" s="92"/>
      <c r="BF18" s="92"/>
      <c r="BG18" s="92"/>
      <c r="BH18" s="92"/>
    </row>
    <row r="19" spans="1:60" ht="11.25" customHeight="1" x14ac:dyDescent="0.2">
      <c r="B19" s="34" t="s">
        <v>80</v>
      </c>
      <c r="C19" s="73">
        <f>_xll.RtNow("FRQ:"&amp;C18&amp;"S")</f>
        <v>0.58662037036992842</v>
      </c>
      <c r="J19"/>
      <c r="K19"/>
      <c r="L19"/>
      <c r="M19"/>
      <c r="N19"/>
      <c r="O19"/>
      <c r="P19"/>
      <c r="Q19"/>
      <c r="R19"/>
      <c r="S19"/>
      <c r="T19"/>
      <c r="U19"/>
      <c r="Z19" s="14" t="s">
        <v>8</v>
      </c>
      <c r="AA19" s="93" t="s">
        <v>62</v>
      </c>
      <c r="AI19" s="158"/>
      <c r="AJ19" s="284" t="s">
        <v>196</v>
      </c>
      <c r="AK19" s="262"/>
      <c r="AL19" s="264" t="s">
        <v>188</v>
      </c>
      <c r="AM19" s="264"/>
      <c r="AN19" s="288" t="s">
        <v>188</v>
      </c>
      <c r="AO19" s="288"/>
      <c r="AP19" s="288" t="s">
        <v>188</v>
      </c>
      <c r="AQ19" s="288"/>
      <c r="AR19" s="264" t="s">
        <v>174</v>
      </c>
      <c r="AS19" s="264"/>
      <c r="AT19" s="264" t="s">
        <v>199</v>
      </c>
      <c r="AU19" s="264"/>
      <c r="AV19" s="280" t="s">
        <v>192</v>
      </c>
      <c r="AW19" s="281"/>
      <c r="AX19" s="281"/>
      <c r="AY19" s="281"/>
      <c r="AZ19" s="14" t="s">
        <v>204</v>
      </c>
      <c r="BA19" s="162"/>
      <c r="BB19" s="162"/>
      <c r="BC19" s="77"/>
      <c r="BD19" s="77"/>
      <c r="BE19" s="77"/>
      <c r="BF19" s="77"/>
      <c r="BG19" s="77"/>
      <c r="BH19" s="77"/>
    </row>
    <row r="20" spans="1:60" ht="11.25" customHeight="1" x14ac:dyDescent="0.2">
      <c r="B20" s="37" t="s">
        <v>78</v>
      </c>
      <c r="C20" s="74">
        <f>_xll.ohTrigger(EvaluationDate,TYPE(ManualTrigger))</f>
        <v>1</v>
      </c>
      <c r="E20"/>
      <c r="J20"/>
      <c r="K20"/>
      <c r="L20"/>
      <c r="M20"/>
      <c r="N20"/>
      <c r="O20"/>
      <c r="P20"/>
      <c r="Q20"/>
      <c r="R20"/>
      <c r="S20"/>
      <c r="T20"/>
      <c r="U20"/>
      <c r="Z20" s="15" t="s">
        <v>9</v>
      </c>
      <c r="AA20" s="94" t="s">
        <v>153</v>
      </c>
      <c r="AI20" s="158"/>
      <c r="AJ20" s="279"/>
      <c r="AK20" s="262"/>
      <c r="AL20" s="264"/>
      <c r="AM20" s="264"/>
      <c r="AN20" s="288"/>
      <c r="AO20" s="288"/>
      <c r="AP20" s="288"/>
      <c r="AQ20" s="288"/>
      <c r="AR20" s="264"/>
      <c r="AS20" s="264"/>
      <c r="AT20" s="264"/>
      <c r="AU20" s="264"/>
      <c r="AV20" s="282"/>
      <c r="AW20" s="283"/>
      <c r="AX20" s="283"/>
      <c r="AY20" s="283"/>
      <c r="AZ20" s="16" t="s">
        <v>205</v>
      </c>
      <c r="BA20" s="163"/>
      <c r="BB20" s="163"/>
      <c r="BC20" s="92"/>
      <c r="BD20" s="92"/>
      <c r="BE20" s="92"/>
      <c r="BF20" s="92"/>
      <c r="BG20" s="92"/>
      <c r="BH20" s="92"/>
    </row>
    <row r="21" spans="1:60" ht="11.25" customHeight="1" x14ac:dyDescent="0.2">
      <c r="A21"/>
      <c r="B21"/>
      <c r="C21"/>
      <c r="D21"/>
      <c r="K21"/>
      <c r="L21"/>
      <c r="M21"/>
      <c r="N21"/>
      <c r="O21"/>
      <c r="P21"/>
      <c r="Q21"/>
      <c r="R21"/>
      <c r="S21"/>
      <c r="T21"/>
      <c r="U21"/>
      <c r="Z21" s="15" t="s">
        <v>10</v>
      </c>
      <c r="AA21" s="95" t="s">
        <v>63</v>
      </c>
      <c r="AI21" s="158"/>
      <c r="AJ21" s="284" t="s">
        <v>197</v>
      </c>
      <c r="AK21" s="262"/>
      <c r="AL21" s="264" t="s">
        <v>188</v>
      </c>
      <c r="AM21" s="264"/>
      <c r="AN21" s="264" t="s">
        <v>174</v>
      </c>
      <c r="AO21" s="264"/>
      <c r="AP21" s="264" t="s">
        <v>174</v>
      </c>
      <c r="AQ21" s="264"/>
      <c r="AR21" s="264" t="s">
        <v>174</v>
      </c>
      <c r="AS21" s="264"/>
      <c r="AT21" s="264" t="s">
        <v>193</v>
      </c>
      <c r="AU21" s="264"/>
      <c r="AV21" s="280" t="s">
        <v>195</v>
      </c>
      <c r="AW21" s="281"/>
      <c r="AX21" s="281"/>
      <c r="AY21" s="281"/>
      <c r="AZ21" s="14"/>
      <c r="BA21" s="162"/>
      <c r="BB21" s="162"/>
      <c r="BC21" s="77"/>
      <c r="BD21" s="77"/>
      <c r="BE21" s="77"/>
      <c r="BF21" s="77"/>
      <c r="BG21" s="77"/>
      <c r="BH21" s="77"/>
    </row>
    <row r="22" spans="1:60" ht="11.25" customHeight="1" x14ac:dyDescent="0.2">
      <c r="B22" s="166" t="s">
        <v>163</v>
      </c>
      <c r="C22" s="112" t="str">
        <f>_xll.qlHandleCurrentLink("EURSTD",ObjectsTrigger)</f>
        <v>_EURSTD</v>
      </c>
      <c r="E22" s="256" t="s">
        <v>274</v>
      </c>
      <c r="F22" s="257"/>
      <c r="G22" s="256" t="s">
        <v>219</v>
      </c>
      <c r="H22" s="257"/>
      <c r="I22" s="256" t="s">
        <v>220</v>
      </c>
      <c r="J22" s="257"/>
      <c r="K22" s="256" t="s">
        <v>277</v>
      </c>
      <c r="L22" s="257"/>
      <c r="N22" s="256" t="s">
        <v>217</v>
      </c>
      <c r="O22" s="257"/>
      <c r="P22" s="177" t="s">
        <v>218</v>
      </c>
      <c r="Q22" s="178"/>
      <c r="R22"/>
      <c r="S22"/>
      <c r="Z22" s="16" t="s">
        <v>10</v>
      </c>
      <c r="AA22" s="96" t="s">
        <v>64</v>
      </c>
      <c r="AI22" s="158"/>
      <c r="AJ22" s="279"/>
      <c r="AK22" s="262"/>
      <c r="AL22" s="264"/>
      <c r="AM22" s="264"/>
      <c r="AN22" s="264"/>
      <c r="AO22" s="264"/>
      <c r="AP22" s="264"/>
      <c r="AQ22" s="264"/>
      <c r="AR22" s="264"/>
      <c r="AS22" s="264"/>
      <c r="AT22" s="264"/>
      <c r="AU22" s="264"/>
      <c r="AV22" s="282"/>
      <c r="AW22" s="283"/>
      <c r="AX22" s="283"/>
      <c r="AY22" s="283"/>
      <c r="AZ22" s="16"/>
      <c r="BA22" s="163"/>
      <c r="BB22" s="163"/>
      <c r="BC22" s="92"/>
      <c r="BD22" s="92"/>
      <c r="BE22" s="92"/>
      <c r="BF22" s="92"/>
      <c r="BG22" s="92"/>
      <c r="BH22" s="92"/>
    </row>
    <row r="23" spans="1:60" ht="11.25" customHeight="1" x14ac:dyDescent="0.2">
      <c r="B23" s="164" t="s">
        <v>209</v>
      </c>
      <c r="C23" s="7" t="s">
        <v>166</v>
      </c>
      <c r="E23" s="176" t="s">
        <v>164</v>
      </c>
      <c r="F23" s="176" t="s">
        <v>22</v>
      </c>
      <c r="G23" s="111" t="s">
        <v>164</v>
      </c>
      <c r="H23" s="170" t="s">
        <v>22</v>
      </c>
      <c r="I23" s="111" t="s">
        <v>164</v>
      </c>
      <c r="J23" s="170" t="s">
        <v>22</v>
      </c>
      <c r="K23" s="111" t="s">
        <v>164</v>
      </c>
      <c r="L23" s="170" t="s">
        <v>22</v>
      </c>
      <c r="N23" s="111" t="s">
        <v>164</v>
      </c>
      <c r="O23" s="111" t="s">
        <v>22</v>
      </c>
      <c r="P23" s="111" t="s">
        <v>164</v>
      </c>
      <c r="Q23" s="111" t="s">
        <v>22</v>
      </c>
      <c r="S23"/>
      <c r="AI23" s="158"/>
      <c r="AJ23" s="265" t="s">
        <v>198</v>
      </c>
      <c r="AK23" s="266"/>
      <c r="AL23" s="269" t="s">
        <v>188</v>
      </c>
      <c r="AM23" s="270"/>
      <c r="AN23" s="269" t="s">
        <v>174</v>
      </c>
      <c r="AO23" s="270"/>
      <c r="AP23" s="269" t="s">
        <v>190</v>
      </c>
      <c r="AQ23" s="270"/>
      <c r="AR23" s="264" t="s">
        <v>174</v>
      </c>
      <c r="AS23" s="264"/>
      <c r="AT23" s="269" t="s">
        <v>206</v>
      </c>
      <c r="AU23" s="270"/>
      <c r="AV23" s="280" t="s">
        <v>194</v>
      </c>
      <c r="AW23" s="281"/>
      <c r="AX23" s="281"/>
      <c r="AY23" s="281"/>
      <c r="AZ23" s="14" t="s">
        <v>207</v>
      </c>
      <c r="BA23" s="162"/>
      <c r="BB23" s="162"/>
      <c r="BC23" s="77"/>
      <c r="BD23" s="77"/>
      <c r="BE23" s="77"/>
      <c r="BF23" s="77"/>
      <c r="BG23" s="77"/>
      <c r="BH23" s="77"/>
    </row>
    <row r="24" spans="1:60" ht="11.25" customHeight="1" x14ac:dyDescent="0.2">
      <c r="B24" s="164" t="s">
        <v>162</v>
      </c>
      <c r="C24" s="7" t="str">
        <f>_xll.ohObjectClassName(C22)</f>
        <v>qlPiecewiseYieldCurve</v>
      </c>
      <c r="E24" s="110">
        <f t="array" ref="E24:E113">CHOOSE(C25,_xll.qlPiecewiseYieldCurveDates(C22),_xll.qlInterpolatedYieldCurveDates(C22))</f>
        <v>42825</v>
      </c>
      <c r="F24" s="109">
        <f>_xll.qlYieldTSDiscount(C$23,E24,,RtTrigger)</f>
        <v>1</v>
      </c>
      <c r="G24" s="167">
        <f t="array" ref="G24:G113">CHOOSE(C25,_xll.qlPiecewiseYieldCurveDates(C34),_xll.qlInterpolatedYieldCurveDates(C34))</f>
        <v>42829</v>
      </c>
      <c r="H24" s="109">
        <f>_xll.qlYieldTSDiscount(C$35,G24,,RtTrigger)</f>
        <v>1</v>
      </c>
      <c r="I24" s="167">
        <f t="array" ref="I24:I113">CHOOSE(C25,_xll.qlPiecewiseYieldCurveDates(C44),_xll.qlInterpolatedYieldCurveDates(C44))</f>
        <v>42829</v>
      </c>
      <c r="J24" s="109">
        <f>_xll.qlYieldTSDiscount(C$44,I24,,RtTrigger)</f>
        <v>1</v>
      </c>
      <c r="K24" s="167">
        <f t="array" ref="K24:K113">CHOOSE(C25,_xll.qlPiecewiseYieldCurveDates(C54),_xll.qlInterpolatedYieldCurveDates(C54))</f>
        <v>42825</v>
      </c>
      <c r="L24" s="109">
        <f>_xll.qlYieldTSDiscount(C$54,K24,,RtTrigger)</f>
        <v>1</v>
      </c>
      <c r="N24" s="179">
        <f>E24</f>
        <v>42825</v>
      </c>
      <c r="O24" s="181">
        <v>1</v>
      </c>
      <c r="P24" s="179">
        <f>N24</f>
        <v>42825</v>
      </c>
      <c r="Q24" s="182">
        <f>F24</f>
        <v>1</v>
      </c>
      <c r="S24"/>
      <c r="Z24" s="14" t="s">
        <v>239</v>
      </c>
      <c r="AA24" s="93" t="s">
        <v>240</v>
      </c>
      <c r="AI24" s="158"/>
      <c r="AJ24" s="267"/>
      <c r="AK24" s="268"/>
      <c r="AL24" s="271"/>
      <c r="AM24" s="272"/>
      <c r="AN24" s="271"/>
      <c r="AO24" s="272"/>
      <c r="AP24" s="271"/>
      <c r="AQ24" s="272"/>
      <c r="AR24" s="264"/>
      <c r="AS24" s="264"/>
      <c r="AT24" s="271"/>
      <c r="AU24" s="272"/>
      <c r="AV24" s="294"/>
      <c r="AW24" s="295"/>
      <c r="AX24" s="295"/>
      <c r="AY24" s="295"/>
      <c r="AZ24" s="16"/>
      <c r="BA24" s="163"/>
      <c r="BB24" s="163"/>
      <c r="BC24" s="92"/>
      <c r="BD24" s="92"/>
      <c r="BE24" s="92"/>
      <c r="BF24" s="92"/>
      <c r="BG24" s="92"/>
      <c r="BH24" s="92"/>
    </row>
    <row r="25" spans="1:60" ht="11.25" customHeight="1" x14ac:dyDescent="0.2">
      <c r="B25" s="165" t="s">
        <v>161</v>
      </c>
      <c r="C25" s="8">
        <f>MATCH(C24,{"qlPiecewiseYieldCurve","qlInterpolatedYieldCurve"},0)</f>
        <v>1</v>
      </c>
      <c r="E25" s="103">
        <v>42828</v>
      </c>
      <c r="F25" s="102">
        <f>_xll.qlYieldTSDiscount(C$23,E25,,RtTrigger)</f>
        <v>1.0000308342757231</v>
      </c>
      <c r="G25" s="168">
        <v>42859</v>
      </c>
      <c r="H25" s="102">
        <f>_xll.qlYieldTSDiscount(C$35,G25,,RtTrigger)</f>
        <v>1.0002777437868582</v>
      </c>
      <c r="I25" s="168">
        <v>42836</v>
      </c>
      <c r="J25" s="102">
        <f>_xll.qlYieldTSDiscount(C$44,I25,,RtTrigger)</f>
        <v>1.0000730386675907</v>
      </c>
      <c r="K25" s="168">
        <v>42828</v>
      </c>
      <c r="L25" s="102">
        <f>_xll.qlYieldTSDiscount(C$54,K25,,RtTrigger)</f>
        <v>1.0000308342840571</v>
      </c>
      <c r="N25" s="179">
        <f>E25</f>
        <v>42828</v>
      </c>
      <c r="O25" s="181">
        <f>F25</f>
        <v>1.0000308342757231</v>
      </c>
      <c r="P25" s="179">
        <f>N25</f>
        <v>42828</v>
      </c>
      <c r="Q25" s="182">
        <f>F25</f>
        <v>1.0000308342757231</v>
      </c>
      <c r="S25"/>
      <c r="Z25" s="15" t="s">
        <v>9</v>
      </c>
      <c r="AA25" s="94" t="s">
        <v>242</v>
      </c>
      <c r="AI25" s="158"/>
      <c r="AJ25" s="284"/>
      <c r="AK25" s="262"/>
      <c r="AL25" s="262"/>
      <c r="AM25" s="262"/>
      <c r="AN25" s="262"/>
      <c r="AO25" s="262"/>
      <c r="AP25" s="262"/>
      <c r="AQ25" s="262"/>
      <c r="AR25" s="262"/>
      <c r="AS25" s="262"/>
      <c r="AT25" s="262"/>
      <c r="AU25" s="262"/>
      <c r="AV25" s="290"/>
      <c r="AW25" s="291"/>
      <c r="AX25" s="291"/>
      <c r="AY25" s="291"/>
      <c r="AZ25" s="15"/>
      <c r="BA25" s="158"/>
      <c r="BB25" s="158"/>
    </row>
    <row r="26" spans="1:60" ht="11.25" customHeight="1" x14ac:dyDescent="0.2">
      <c r="B26" s="107" t="s">
        <v>160</v>
      </c>
      <c r="C26" s="113" t="s">
        <v>215</v>
      </c>
      <c r="E26" s="103">
        <v>42829</v>
      </c>
      <c r="F26" s="102">
        <f>_xll.qlYieldTSDiscount(C$23,E26,,RtTrigger)</f>
        <v>1.000041112476046</v>
      </c>
      <c r="G26" s="168">
        <v>42891</v>
      </c>
      <c r="H26" s="102">
        <f>_xll.qlYieldTSDiscount(C$35,G26,,RtTrigger)</f>
        <v>1.0005714152177707</v>
      </c>
      <c r="I26" s="168">
        <v>42843</v>
      </c>
      <c r="J26" s="102">
        <f>_xll.qlYieldTSDiscount(C$44,I26,,RtTrigger)</f>
        <v>1.0001458935040319</v>
      </c>
      <c r="K26" s="168">
        <v>42829</v>
      </c>
      <c r="L26" s="102">
        <f>_xll.qlYieldTSDiscount(C$54,K26,,RtTrigger)</f>
        <v>1.00004111248496</v>
      </c>
      <c r="N26" s="179">
        <f t="shared" ref="N26:N62" si="4">G24</f>
        <v>42829</v>
      </c>
      <c r="O26" s="181">
        <f t="shared" ref="O26:O62" si="5">H24*$O$25</f>
        <v>1.0000308342757231</v>
      </c>
      <c r="P26" s="179">
        <f t="shared" ref="P26:P58" si="6">I24</f>
        <v>42829</v>
      </c>
      <c r="Q26" s="182">
        <f t="shared" ref="Q26:Q58" si="7">J24*$Q$25</f>
        <v>1.0000308342757231</v>
      </c>
      <c r="S26"/>
      <c r="Z26" s="15" t="s">
        <v>9</v>
      </c>
      <c r="AA26" s="94" t="s">
        <v>243</v>
      </c>
      <c r="AI26" s="158"/>
      <c r="AJ26" s="301"/>
      <c r="AK26" s="263"/>
      <c r="AL26" s="263"/>
      <c r="AM26" s="263"/>
      <c r="AN26" s="263"/>
      <c r="AO26" s="263"/>
      <c r="AP26" s="263"/>
      <c r="AQ26" s="263"/>
      <c r="AR26" s="263"/>
      <c r="AS26" s="263"/>
      <c r="AT26" s="263"/>
      <c r="AU26" s="263"/>
      <c r="AV26" s="292"/>
      <c r="AW26" s="293"/>
      <c r="AX26" s="293"/>
      <c r="AY26" s="293"/>
      <c r="AZ26" s="15"/>
      <c r="BA26" s="158"/>
      <c r="BB26" s="158"/>
    </row>
    <row r="27" spans="1:60" ht="11.25" customHeight="1" x14ac:dyDescent="0.2">
      <c r="B27" s="107" t="s">
        <v>159</v>
      </c>
      <c r="C27" s="114" t="s">
        <v>16</v>
      </c>
      <c r="E27" s="103">
        <v>42830</v>
      </c>
      <c r="F27" s="102">
        <f>_xll.qlYieldTSDiscount(C$23,E27,,RtTrigger)</f>
        <v>1.0000513907820068</v>
      </c>
      <c r="G27" s="168">
        <v>42920</v>
      </c>
      <c r="H27" s="102">
        <f>_xll.qlYieldTSDiscount(C$35,G27,,RtTrigger)</f>
        <v>1.0008333438837849</v>
      </c>
      <c r="I27" s="168">
        <v>42850</v>
      </c>
      <c r="J27" s="102">
        <f>_xll.qlYieldTSDiscount(C$44,I27,,RtTrigger)</f>
        <v>1.0002185644266366</v>
      </c>
      <c r="K27" s="168">
        <v>42836</v>
      </c>
      <c r="L27" s="102">
        <f>_xll.qlYieldTSDiscount(C$54,K27,,RtTrigger)</f>
        <v>1.0001099533867515</v>
      </c>
      <c r="N27" s="179">
        <f t="shared" si="4"/>
        <v>42859</v>
      </c>
      <c r="O27" s="181">
        <f t="shared" si="5"/>
        <v>1.0003085866266099</v>
      </c>
      <c r="P27" s="179">
        <f t="shared" si="6"/>
        <v>42836</v>
      </c>
      <c r="Q27" s="182">
        <f t="shared" si="7"/>
        <v>1.0001038751954083</v>
      </c>
      <c r="S27"/>
      <c r="Z27" s="16" t="s">
        <v>10</v>
      </c>
      <c r="AA27" s="96" t="s">
        <v>241</v>
      </c>
      <c r="AI27" s="158"/>
      <c r="AJ27" s="161"/>
      <c r="AK27" s="161"/>
      <c r="AL27" s="161"/>
      <c r="AM27" s="161"/>
      <c r="AN27" s="161"/>
      <c r="AO27" s="161"/>
      <c r="AP27" s="161"/>
      <c r="AQ27" s="161"/>
      <c r="AR27" s="161"/>
      <c r="AS27" s="161"/>
      <c r="AT27" s="161"/>
      <c r="AU27" s="161"/>
      <c r="AV27" s="161"/>
      <c r="AW27" s="161"/>
      <c r="AX27" s="161"/>
      <c r="AY27" s="161"/>
      <c r="BA27" s="158"/>
      <c r="BB27" s="158"/>
    </row>
    <row r="28" spans="1:60" ht="11.25" customHeight="1" x14ac:dyDescent="0.2">
      <c r="B28" s="107" t="s">
        <v>158</v>
      </c>
      <c r="C28" s="114" t="s">
        <v>17</v>
      </c>
      <c r="E28" s="103">
        <v>42836</v>
      </c>
      <c r="F28" s="102">
        <f>_xll.qlYieldTSDiscount(C$23,E28,,RtTrigger)</f>
        <v>1.0001130650548931</v>
      </c>
      <c r="G28" s="168">
        <v>42951</v>
      </c>
      <c r="H28" s="102">
        <f>_xll.qlYieldTSDiscount(C$35,G28,,RtTrigger)</f>
        <v>1.0011092206117553</v>
      </c>
      <c r="I28" s="168">
        <v>42859</v>
      </c>
      <c r="J28" s="102">
        <f>_xll.qlYieldTSDiscount(C$44,I28,,RtTrigger)</f>
        <v>1.0003109299807385</v>
      </c>
      <c r="K28" s="168">
        <v>42843</v>
      </c>
      <c r="L28" s="102">
        <f>_xll.qlYieldTSDiscount(C$54,K28,,RtTrigger)</f>
        <v>1.0001788037669455</v>
      </c>
      <c r="N28" s="179">
        <f t="shared" si="4"/>
        <v>42891</v>
      </c>
      <c r="O28" s="181">
        <f t="shared" si="5"/>
        <v>1.0006022671126682</v>
      </c>
      <c r="P28" s="179">
        <f t="shared" si="6"/>
        <v>42843</v>
      </c>
      <c r="Q28" s="182">
        <f t="shared" si="7"/>
        <v>1.0001767322782755</v>
      </c>
      <c r="S28"/>
      <c r="AI28" s="158"/>
      <c r="AJ28" s="161"/>
      <c r="AK28" s="161"/>
      <c r="AL28" s="161"/>
      <c r="AM28" s="161"/>
      <c r="AN28" s="161"/>
      <c r="AO28" s="161"/>
      <c r="AP28" s="161"/>
      <c r="AQ28" s="161"/>
      <c r="AR28" s="161"/>
      <c r="AS28" s="161"/>
      <c r="AT28" s="161"/>
      <c r="AU28" s="161"/>
      <c r="AV28" s="161"/>
      <c r="AW28" s="161"/>
      <c r="AX28" s="161"/>
      <c r="AY28" s="161"/>
      <c r="BA28" s="158"/>
      <c r="BB28" s="158"/>
    </row>
    <row r="29" spans="1:60" ht="11.25" customHeight="1" x14ac:dyDescent="0.2">
      <c r="B29" s="107" t="s">
        <v>157</v>
      </c>
      <c r="C29" s="114" t="s">
        <v>13</v>
      </c>
      <c r="E29" s="103">
        <v>42843</v>
      </c>
      <c r="F29" s="102">
        <f>_xll.qlYieldTSDiscount(C$23,E29,,RtTrigger)</f>
        <v>1.0001850279884066</v>
      </c>
      <c r="G29" s="168">
        <v>42982</v>
      </c>
      <c r="H29" s="102">
        <f>_xll.qlYieldTSDiscount(C$35,G29,,RtTrigger)</f>
        <v>1.0013816512348022</v>
      </c>
      <c r="I29" s="168">
        <v>42891</v>
      </c>
      <c r="J29" s="102">
        <f>_xll.qlYieldTSDiscount(C$44,I29,,RtTrigger)</f>
        <v>1.0006393482874294</v>
      </c>
      <c r="K29" s="168">
        <v>42850</v>
      </c>
      <c r="L29" s="102">
        <f>_xll.qlYieldTSDiscount(C$54,K29,,RtTrigger)</f>
        <v>1.0002476636274997</v>
      </c>
      <c r="N29" s="179">
        <f t="shared" si="4"/>
        <v>42920</v>
      </c>
      <c r="O29" s="181">
        <f t="shared" si="5"/>
        <v>1.000864203855063</v>
      </c>
      <c r="P29" s="179">
        <f t="shared" si="6"/>
        <v>42850</v>
      </c>
      <c r="Q29" s="182">
        <f t="shared" si="7"/>
        <v>1.0002494054416355</v>
      </c>
      <c r="S29"/>
      <c r="X29" s="10"/>
      <c r="Y29" s="175"/>
      <c r="Z29" s="191" t="s">
        <v>224</v>
      </c>
      <c r="AA29" s="191" t="s">
        <v>225</v>
      </c>
      <c r="AI29" s="158"/>
      <c r="AJ29" s="161"/>
      <c r="AK29" s="161"/>
      <c r="AL29" s="161"/>
      <c r="AM29" s="161"/>
      <c r="AN29" s="161"/>
      <c r="AO29" s="161"/>
      <c r="AP29" s="161"/>
      <c r="AQ29" s="161"/>
      <c r="AR29" s="161"/>
      <c r="AS29" s="161"/>
      <c r="AT29" s="161"/>
      <c r="AU29" s="161"/>
      <c r="AV29" s="161"/>
      <c r="AW29" s="161"/>
      <c r="AX29" s="161"/>
      <c r="AY29" s="161"/>
      <c r="BA29" s="158"/>
      <c r="BB29" s="158"/>
    </row>
    <row r="30" spans="1:60" ht="11.25" customHeight="1" x14ac:dyDescent="0.2">
      <c r="B30" s="105" t="s">
        <v>156</v>
      </c>
      <c r="C30" s="115">
        <v>5</v>
      </c>
      <c r="E30" s="103">
        <v>42850</v>
      </c>
      <c r="F30" s="102">
        <f>_xll.qlYieldTSDiscount(C$23,E30,,RtTrigger)</f>
        <v>1.0002570012788219</v>
      </c>
      <c r="G30" s="168">
        <v>43012</v>
      </c>
      <c r="H30" s="102">
        <f>_xll.qlYieldTSDiscount(C$35,G30,,RtTrigger)</f>
        <v>1.0016371020116435</v>
      </c>
      <c r="I30" s="168">
        <v>42920</v>
      </c>
      <c r="J30" s="102">
        <f>_xll.qlYieldTSDiscount(C$44,I30,,RtTrigger)</f>
        <v>1.0009336081696307</v>
      </c>
      <c r="K30" s="168">
        <v>42859</v>
      </c>
      <c r="L30" s="102">
        <f>_xll.qlYieldTSDiscount(C$54,K30,,RtTrigger)</f>
        <v>1.0003353778085986</v>
      </c>
      <c r="N30" s="179">
        <f t="shared" si="4"/>
        <v>42951</v>
      </c>
      <c r="O30" s="181">
        <f t="shared" si="5"/>
        <v>1.0011400890894926</v>
      </c>
      <c r="P30" s="179">
        <f t="shared" si="6"/>
        <v>42859</v>
      </c>
      <c r="Q30" s="182">
        <f t="shared" si="7"/>
        <v>1.0003417738437623</v>
      </c>
      <c r="S30"/>
      <c r="X30" s="210">
        <v>1</v>
      </c>
      <c r="Y30" s="195" t="s">
        <v>244</v>
      </c>
      <c r="Z30" s="193">
        <f>(_xll.RData($AA$25&amp;Y30&amp;$AA$27,"BID",,$AA$24)+_xll.RData($AA$25&amp;Y30&amp;$AA$27,"ASK",,$AA$24))/200</f>
        <v>-3.5499999999999998E-3</v>
      </c>
      <c r="AA30" s="193">
        <f>(_xll.RData($AA$26&amp;Y30&amp;$AA$27,"BID",,$AA$24)+_xll.RData($AA$26&amp;Y30&amp;$AA$27,"ASK",,$AA$24))/200</f>
        <v>-3.0100000000000005E-3</v>
      </c>
      <c r="AI30" s="158"/>
      <c r="AJ30" s="161"/>
      <c r="AK30" s="161"/>
      <c r="AL30" s="161"/>
      <c r="AM30" s="161"/>
      <c r="AN30" s="161"/>
      <c r="AO30" s="161"/>
      <c r="AP30" s="161"/>
      <c r="AQ30" s="161"/>
      <c r="AR30" s="161"/>
      <c r="AS30" s="161"/>
      <c r="AT30" s="161"/>
      <c r="AU30" s="161"/>
      <c r="AV30" s="161"/>
      <c r="AW30" s="161"/>
      <c r="AX30" s="161"/>
      <c r="AY30" s="161"/>
      <c r="BA30" s="158"/>
      <c r="BB30" s="158"/>
    </row>
    <row r="31" spans="1:60" ht="11.25" customHeight="1" x14ac:dyDescent="0.2">
      <c r="B31" s="107" t="s">
        <v>155</v>
      </c>
      <c r="C31" s="106">
        <f>COUNT(E24:E113)</f>
        <v>55</v>
      </c>
      <c r="E31" s="103">
        <v>42859</v>
      </c>
      <c r="F31" s="102">
        <f>_xll.qlYieldTSDiscount(C$23,E31,,RtTrigger)</f>
        <v>1.0003495535884024</v>
      </c>
      <c r="G31" s="168">
        <v>43045</v>
      </c>
      <c r="H31" s="102">
        <f>_xll.qlYieldTSDiscount(C$35,G31,,RtTrigger)</f>
        <v>1.0019071283164451</v>
      </c>
      <c r="I31" s="168">
        <v>42951</v>
      </c>
      <c r="J31" s="102">
        <f>_xll.qlYieldTSDiscount(C$44,I31,,RtTrigger)</f>
        <v>1.0012486409738175</v>
      </c>
      <c r="K31" s="168">
        <v>42900</v>
      </c>
      <c r="L31" s="102">
        <f>_xll.qlYieldTSDiscount(C$54,K31,,RtTrigger)</f>
        <v>1.000736520417832</v>
      </c>
      <c r="N31" s="179">
        <f t="shared" si="4"/>
        <v>42982</v>
      </c>
      <c r="O31" s="181">
        <f t="shared" si="5"/>
        <v>1.0014125281127404</v>
      </c>
      <c r="P31" s="179">
        <f t="shared" si="6"/>
        <v>42891</v>
      </c>
      <c r="Q31" s="182">
        <f t="shared" si="7"/>
        <v>1.000670202276994</v>
      </c>
      <c r="S31"/>
      <c r="X31" s="217">
        <v>2</v>
      </c>
      <c r="Y31" s="196" t="s">
        <v>226</v>
      </c>
      <c r="Z31" s="193">
        <f>(_xll.RData($AA$25&amp;Y31&amp;$AA$27,"BID",,$AA$24)+_xll.RData($AA$25&amp;Y31&amp;$AA$27,"ASK",,$AA$24))/200</f>
        <v>-2.9900000000000005E-3</v>
      </c>
      <c r="AA31" s="193">
        <f>(_xll.RData($AA$26&amp;Y31&amp;$AA$27,"BID",,$AA$24)+_xll.RData($AA$26&amp;Y31&amp;$AA$27,"ASK",,$AA$24))/200</f>
        <v>-2.2799999999999999E-3</v>
      </c>
      <c r="AI31" s="158"/>
      <c r="AJ31" s="161"/>
      <c r="AK31" s="161"/>
      <c r="AL31" s="161"/>
      <c r="AM31" s="161"/>
      <c r="AN31" s="161"/>
      <c r="AO31" s="161"/>
      <c r="AP31" s="161"/>
      <c r="AQ31" s="161"/>
      <c r="AR31" s="161"/>
      <c r="AS31" s="161"/>
      <c r="AT31" s="161"/>
      <c r="AU31" s="161"/>
      <c r="AV31" s="161"/>
      <c r="AW31" s="161"/>
      <c r="AX31" s="161"/>
      <c r="AY31" s="161"/>
      <c r="BA31" s="158"/>
      <c r="BB31" s="158"/>
    </row>
    <row r="32" spans="1:60" ht="11.25" customHeight="1" x14ac:dyDescent="0.2">
      <c r="B32" s="105" t="s">
        <v>154</v>
      </c>
      <c r="C32" s="104">
        <f>GetNow(_xll.xlPushShmLiborCurveName(C13,C26&amp;T(ManualTrigger),E24:INDEX(E24:E113,C31),F24:INDEX(F24:F113,C31),C27,C28,C29,C30))</f>
        <v>42825.58662037037</v>
      </c>
      <c r="E32" s="103">
        <v>42891</v>
      </c>
      <c r="F32" s="102">
        <f>_xll.qlYieldTSDiscount(C$23,E32,,RtTrigger)</f>
        <v>1.000627035195544</v>
      </c>
      <c r="G32" s="168">
        <v>43073</v>
      </c>
      <c r="H32" s="102">
        <f>_xll.qlYieldTSDiscount(C$35,G32,,RtTrigger)</f>
        <v>1.0021340033378181</v>
      </c>
      <c r="I32" s="168">
        <v>42982</v>
      </c>
      <c r="J32" s="102">
        <f>_xll.qlYieldTSDiscount(C$44,I32,,RtTrigger)</f>
        <v>1.001562139871629</v>
      </c>
      <c r="K32" s="168">
        <v>42942</v>
      </c>
      <c r="L32" s="102">
        <f>_xll.qlYieldTSDiscount(C$54,K32,,RtTrigger)</f>
        <v>1.00114298446932</v>
      </c>
      <c r="N32" s="179">
        <f t="shared" si="4"/>
        <v>43012</v>
      </c>
      <c r="O32" s="181">
        <f t="shared" si="5"/>
        <v>1.0016679867662215</v>
      </c>
      <c r="P32" s="179">
        <f t="shared" si="6"/>
        <v>42920</v>
      </c>
      <c r="Q32" s="182">
        <f t="shared" si="7"/>
        <v>1.0009644712324857</v>
      </c>
      <c r="S32"/>
      <c r="X32" s="217">
        <v>3</v>
      </c>
      <c r="Y32" s="196" t="s">
        <v>227</v>
      </c>
      <c r="Z32" s="193">
        <f>(_xll.RData($AA$25&amp;Y32&amp;$AA$27,"BID",,$AA$24)+_xll.RData($AA$25&amp;Y32&amp;$AA$27,"ASK",,$AA$24))/200</f>
        <v>-2.2300000000000002E-3</v>
      </c>
      <c r="AA32" s="193">
        <f>(_xll.RData($AA$26&amp;Y32&amp;$AA$27,"BID",,$AA$24)+_xll.RData($AA$26&amp;Y32&amp;$AA$27,"ASK",,$AA$24))/200</f>
        <v>-1.4100000000000002E-3</v>
      </c>
      <c r="AI32" s="158"/>
      <c r="AJ32" s="161"/>
      <c r="AK32" s="161"/>
      <c r="AL32" s="161"/>
      <c r="AM32" s="161"/>
      <c r="AN32" s="161"/>
      <c r="AO32" s="161"/>
      <c r="AP32" s="161"/>
      <c r="AQ32" s="161"/>
      <c r="AR32" s="161"/>
      <c r="AS32" s="161"/>
      <c r="AT32" s="161"/>
      <c r="AU32" s="161"/>
      <c r="AV32" s="161"/>
      <c r="AW32" s="161"/>
      <c r="AX32" s="161"/>
      <c r="AY32" s="161"/>
      <c r="BA32" s="158"/>
      <c r="BB32" s="158"/>
    </row>
    <row r="33" spans="2:56" x14ac:dyDescent="0.2">
      <c r="E33" s="103">
        <v>42920</v>
      </c>
      <c r="F33" s="102">
        <f>_xll.qlYieldTSDiscount(C$23,E33,,RtTrigger)</f>
        <v>1.0008506894782014</v>
      </c>
      <c r="G33" s="168">
        <v>43104</v>
      </c>
      <c r="H33" s="102">
        <f>_xll.qlYieldTSDiscount(C$35,G33,,RtTrigger)</f>
        <v>1.0023722863963658</v>
      </c>
      <c r="I33" s="168">
        <v>43012</v>
      </c>
      <c r="J33" s="102">
        <f>_xll.qlYieldTSDiscount(C$44,I33,,RtTrigger)</f>
        <v>1.0018537019361178</v>
      </c>
      <c r="K33" s="168">
        <v>42991</v>
      </c>
      <c r="L33" s="102">
        <f>_xll.qlYieldTSDiscount(C$54,K33,,RtTrigger)</f>
        <v>1.0016133257209667</v>
      </c>
      <c r="N33" s="179">
        <f t="shared" si="4"/>
        <v>43045</v>
      </c>
      <c r="O33" s="181">
        <f t="shared" si="5"/>
        <v>1.0019380213970885</v>
      </c>
      <c r="P33" s="179">
        <f t="shared" si="6"/>
        <v>42951</v>
      </c>
      <c r="Q33" s="182">
        <f t="shared" si="7"/>
        <v>1.0012795137504806</v>
      </c>
      <c r="S33"/>
      <c r="X33" s="240">
        <v>4</v>
      </c>
      <c r="Y33" s="196" t="s">
        <v>228</v>
      </c>
      <c r="Z33" s="193">
        <f>(_xll.RData($AA$25&amp;Y33&amp;$AA$27,"BID",,$AA$24)+_xll.RData($AA$25&amp;Y33&amp;$AA$27,"ASK",,$AA$24))/200</f>
        <v>-1.3800000000000002E-3</v>
      </c>
      <c r="AA33" s="193">
        <f>(_xll.RData($AA$26&amp;Y33&amp;$AA$27,"BID",,$AA$24)+_xll.RData($AA$26&amp;Y33&amp;$AA$27,"ASK",,$AA$24))/200</f>
        <v>-4.6000000000000007E-4</v>
      </c>
      <c r="AC33" s="10"/>
      <c r="AD33" s="10"/>
      <c r="AE33" s="10"/>
      <c r="AF33" s="10"/>
      <c r="AG33" s="10"/>
      <c r="AH33" s="10"/>
      <c r="AI33" s="10"/>
      <c r="AJ33" s="161"/>
      <c r="AK33" s="161"/>
      <c r="AL33" s="161"/>
      <c r="AM33" s="161"/>
      <c r="AN33" s="161"/>
      <c r="AO33" s="161"/>
      <c r="AP33" s="161"/>
      <c r="AQ33" s="161"/>
      <c r="AR33" s="161"/>
      <c r="AS33" s="161"/>
      <c r="AT33" s="161"/>
      <c r="AU33" s="161"/>
      <c r="AV33" s="161"/>
      <c r="AW33" s="161"/>
      <c r="AX33" s="161"/>
      <c r="AY33" s="161"/>
    </row>
    <row r="34" spans="2:56" x14ac:dyDescent="0.2">
      <c r="B34" s="108" t="s">
        <v>163</v>
      </c>
      <c r="C34" s="112" t="str">
        <f>_xll.qlHandleCurrentLink("EUR3M",ObjectsTrigger)</f>
        <v>_EUR3M</v>
      </c>
      <c r="E34" s="103">
        <v>42951</v>
      </c>
      <c r="F34" s="102">
        <f>_xll.qlYieldTSDiscount(C$23,E34,,RtTrigger)</f>
        <v>1.0010588556459528</v>
      </c>
      <c r="G34" s="168">
        <v>43136</v>
      </c>
      <c r="H34" s="102">
        <f>_xll.qlYieldTSDiscount(C$35,G34,,RtTrigger)</f>
        <v>1.0026093959323106</v>
      </c>
      <c r="I34" s="168">
        <v>43045</v>
      </c>
      <c r="J34" s="102">
        <f>_xll.qlYieldTSDiscount(C$44,I34,,RtTrigger)</f>
        <v>1.0021826487252559</v>
      </c>
      <c r="K34" s="168">
        <v>43040</v>
      </c>
      <c r="L34" s="102">
        <f>_xll.qlYieldTSDiscount(C$54,K34,,RtTrigger)</f>
        <v>1.0020688773667201</v>
      </c>
      <c r="N34" s="179">
        <f t="shared" si="4"/>
        <v>43073</v>
      </c>
      <c r="O34" s="181">
        <f t="shared" si="5"/>
        <v>1.0021649034139886</v>
      </c>
      <c r="P34" s="179">
        <f t="shared" si="6"/>
        <v>42982</v>
      </c>
      <c r="Q34" s="182">
        <f t="shared" si="7"/>
        <v>1.0015930223148037</v>
      </c>
      <c r="S34"/>
      <c r="X34" s="240">
        <v>5</v>
      </c>
      <c r="Y34" s="196" t="s">
        <v>229</v>
      </c>
      <c r="Z34" s="193">
        <f>(_xll.RData($AA$25&amp;Y34&amp;$AA$27,"BID",,$AA$24)+_xll.RData($AA$25&amp;Y34&amp;$AA$27,"ASK",,$AA$24))/200</f>
        <v>-4.0999999999999999E-4</v>
      </c>
      <c r="AA34" s="193">
        <f>(_xll.RData($AA$26&amp;Y34&amp;$AA$27,"BID",,$AA$24)+_xll.RData($AA$26&amp;Y34&amp;$AA$27,"ASK",,$AA$24))/200</f>
        <v>6.0000000000000006E-4</v>
      </c>
      <c r="AC34" s="10"/>
      <c r="AD34" s="10"/>
      <c r="AE34" s="10"/>
      <c r="AF34" s="10"/>
      <c r="AG34" s="10"/>
      <c r="AH34" s="10"/>
      <c r="AI34" s="10"/>
      <c r="AJ34" s="161"/>
      <c r="AK34" s="161"/>
      <c r="AL34" s="161"/>
      <c r="AM34" s="161"/>
      <c r="AN34" s="161"/>
      <c r="AO34" s="161"/>
      <c r="AP34" s="161"/>
      <c r="AQ34" s="161"/>
      <c r="AR34" s="161"/>
      <c r="AS34" s="161"/>
      <c r="AT34" s="161"/>
      <c r="AU34" s="161"/>
      <c r="AV34" s="161"/>
      <c r="AW34" s="161"/>
      <c r="AX34" s="161"/>
      <c r="AY34" s="161"/>
    </row>
    <row r="35" spans="2:56" x14ac:dyDescent="0.2">
      <c r="B35" s="105" t="s">
        <v>209</v>
      </c>
      <c r="C35" s="18" t="s">
        <v>210</v>
      </c>
      <c r="E35" s="103">
        <v>42982</v>
      </c>
      <c r="F35" s="102">
        <f>_xll.qlYieldTSDiscount(C$23,E35,,RtTrigger)</f>
        <v>1.0011899779757729</v>
      </c>
      <c r="G35" s="168">
        <v>43164</v>
      </c>
      <c r="H35" s="102">
        <f>_xll.qlYieldTSDiscount(C$35,G35,,RtTrigger)</f>
        <v>1.0028184269142013</v>
      </c>
      <c r="I35" s="168">
        <v>43073</v>
      </c>
      <c r="J35" s="102">
        <f>_xll.qlYieldTSDiscount(C$44,I35,,RtTrigger)</f>
        <v>1.0024594485805536</v>
      </c>
      <c r="K35" s="168">
        <v>43089</v>
      </c>
      <c r="L35" s="102">
        <f>_xll.qlYieldTSDiscount(C$54,K35,,RtTrigger)</f>
        <v>1.0025219058768544</v>
      </c>
      <c r="N35" s="179">
        <f t="shared" si="4"/>
        <v>43104</v>
      </c>
      <c r="O35" s="181">
        <f t="shared" si="5"/>
        <v>1.0024031938198217</v>
      </c>
      <c r="P35" s="179">
        <f t="shared" si="6"/>
        <v>43012</v>
      </c>
      <c r="Q35" s="182">
        <f t="shared" si="7"/>
        <v>1.0018845933693976</v>
      </c>
      <c r="S35"/>
      <c r="X35" s="240">
        <v>6</v>
      </c>
      <c r="Y35" s="196" t="s">
        <v>230</v>
      </c>
      <c r="Z35" s="193">
        <f>(_xll.RData($AA$25&amp;Y35&amp;$AA$27,"BID",,$AA$24)+_xll.RData($AA$25&amp;Y35&amp;$AA$27,"ASK",,$AA$24))/200</f>
        <v>7.3999999999999999E-4</v>
      </c>
      <c r="AA35" s="193">
        <f>(_xll.RData($AA$26&amp;Y35&amp;$AA$27,"BID",,$AA$24)+_xll.RData($AA$26&amp;Y35&amp;$AA$27,"ASK",,$AA$24))/200</f>
        <v>1.7699999999999999E-3</v>
      </c>
      <c r="AC35" s="10"/>
      <c r="AD35" s="10"/>
      <c r="AE35" s="10"/>
      <c r="AF35" s="10"/>
      <c r="AG35" s="10"/>
      <c r="AH35" s="10"/>
      <c r="AI35" s="10"/>
      <c r="AJ35" s="161"/>
      <c r="AK35" s="161"/>
      <c r="AL35" s="161"/>
      <c r="AM35" s="161"/>
      <c r="AN35" s="161"/>
      <c r="AO35" s="161"/>
      <c r="AP35" s="161"/>
      <c r="AQ35" s="161"/>
      <c r="AR35" s="161"/>
      <c r="AS35" s="161"/>
      <c r="AT35" s="161"/>
      <c r="AU35" s="161"/>
      <c r="AV35" s="161"/>
      <c r="AW35" s="161"/>
      <c r="AX35" s="161"/>
      <c r="AY35" s="161"/>
    </row>
    <row r="36" spans="2:56" x14ac:dyDescent="0.2">
      <c r="B36" s="164" t="s">
        <v>160</v>
      </c>
      <c r="C36" s="114" t="s">
        <v>208</v>
      </c>
      <c r="E36" s="103">
        <v>43012</v>
      </c>
      <c r="F36" s="102">
        <f>_xll.qlYieldTSDiscount(C$23,E36,,RtTrigger)</f>
        <v>1.0012626529125994</v>
      </c>
      <c r="G36" s="168">
        <v>43194</v>
      </c>
      <c r="H36" s="102">
        <f>_xll.qlYieldTSDiscount(C$35,G36,,RtTrigger)</f>
        <v>1.0030242521602701</v>
      </c>
      <c r="I36" s="168">
        <v>43104</v>
      </c>
      <c r="J36" s="102">
        <f>_xll.qlYieldTSDiscount(C$44,I36,,RtTrigger)</f>
        <v>1.0027497366954525</v>
      </c>
      <c r="K36" s="168">
        <v>43131</v>
      </c>
      <c r="L36" s="102">
        <f>_xll.qlYieldTSDiscount(C$54,K36,,RtTrigger)</f>
        <v>1.0028904681238913</v>
      </c>
      <c r="N36" s="179">
        <f t="shared" si="4"/>
        <v>43136</v>
      </c>
      <c r="O36" s="181">
        <f t="shared" si="5"/>
        <v>1.0026403106668673</v>
      </c>
      <c r="P36" s="179">
        <f t="shared" si="6"/>
        <v>43045</v>
      </c>
      <c r="Q36" s="182">
        <f t="shared" si="7"/>
        <v>1.0022135503013716</v>
      </c>
      <c r="S36"/>
      <c r="X36" s="240">
        <v>7</v>
      </c>
      <c r="Y36" s="196" t="s">
        <v>231</v>
      </c>
      <c r="Z36" s="193">
        <f>(_xll.RData($AA$25&amp;Y36&amp;$AA$27,"BID",,$AA$24)+_xll.RData($AA$25&amp;Y36&amp;$AA$27,"ASK",,$AA$24))/200</f>
        <v>2E-3</v>
      </c>
      <c r="AA36" s="193">
        <f>(_xll.RData($AA$26&amp;Y36&amp;$AA$27,"BID",,$AA$24)+_xll.RData($AA$26&amp;Y36&amp;$AA$27,"ASK",,$AA$24))/200</f>
        <v>3.0200000000000005E-3</v>
      </c>
      <c r="AC36" s="10"/>
      <c r="AD36" s="10"/>
      <c r="AE36" s="10"/>
      <c r="AF36" s="10"/>
      <c r="AG36" s="10"/>
      <c r="AH36" s="10"/>
      <c r="AI36" s="10"/>
      <c r="AJ36" s="161"/>
      <c r="AK36" s="161"/>
      <c r="AL36" s="161"/>
      <c r="AM36" s="161"/>
      <c r="AN36" s="161"/>
      <c r="AO36" s="161"/>
      <c r="AP36" s="161"/>
      <c r="AQ36" s="161"/>
      <c r="AR36" s="161"/>
      <c r="AS36" s="161"/>
      <c r="AT36" s="161"/>
      <c r="AU36" s="161"/>
      <c r="AV36" s="161"/>
      <c r="AW36" s="161"/>
      <c r="AX36" s="161"/>
      <c r="AY36" s="161"/>
    </row>
    <row r="37" spans="2:56" x14ac:dyDescent="0.2">
      <c r="B37" s="164" t="s">
        <v>159</v>
      </c>
      <c r="C37" s="114" t="s">
        <v>14</v>
      </c>
      <c r="E37" s="103">
        <v>43045</v>
      </c>
      <c r="F37" s="102">
        <f>_xll.qlYieldTSDiscount(C$23,E37,,RtTrigger)</f>
        <v>1.001302753946018</v>
      </c>
      <c r="G37" s="168">
        <v>43224</v>
      </c>
      <c r="H37" s="102">
        <f>_xll.qlYieldTSDiscount(C$35,G37,,RtTrigger)</f>
        <v>1.0032116648071221</v>
      </c>
      <c r="I37" s="168">
        <v>43136</v>
      </c>
      <c r="J37" s="102">
        <f>_xll.qlYieldTSDiscount(C$44,I37,,RtTrigger)</f>
        <v>1.003053475524762</v>
      </c>
      <c r="K37" s="168">
        <v>43285</v>
      </c>
      <c r="L37" s="102">
        <f>_xll.qlYieldTSDiscount(C$54,K37,,RtTrigger)</f>
        <v>1.0041467866964342</v>
      </c>
      <c r="N37" s="179">
        <f t="shared" si="4"/>
        <v>43164</v>
      </c>
      <c r="O37" s="181">
        <f t="shared" si="5"/>
        <v>1.002849348094077</v>
      </c>
      <c r="P37" s="179">
        <f t="shared" si="6"/>
        <v>43073</v>
      </c>
      <c r="Q37" s="182">
        <f t="shared" si="7"/>
        <v>1.0024903586915923</v>
      </c>
      <c r="S37"/>
      <c r="X37" s="240">
        <v>8</v>
      </c>
      <c r="Y37" s="196" t="s">
        <v>232</v>
      </c>
      <c r="Z37" s="193">
        <f>(_xll.RData($AA$25&amp;Y37&amp;$AA$27,"BID",,$AA$24)+_xll.RData($AA$25&amp;Y37&amp;$AA$27,"ASK",,$AA$24))/200</f>
        <v>3.2399999999999994E-3</v>
      </c>
      <c r="AA37" s="193">
        <f>(_xll.RData($AA$26&amp;Y37&amp;$AA$27,"BID",,$AA$24)+_xll.RData($AA$26&amp;Y37&amp;$AA$27,"ASK",,$AA$24))/200</f>
        <v>4.2500000000000003E-3</v>
      </c>
      <c r="AC37" s="10"/>
      <c r="AD37" s="10"/>
      <c r="AE37" s="10"/>
      <c r="AF37" s="10"/>
      <c r="AG37" s="10"/>
      <c r="AH37" s="10"/>
      <c r="AI37" s="10"/>
      <c r="AJ37" s="161"/>
      <c r="AK37" s="161"/>
      <c r="AL37" s="161"/>
      <c r="AM37" s="161"/>
      <c r="AN37" s="161"/>
      <c r="AO37" s="161"/>
      <c r="AP37" s="161"/>
      <c r="AQ37" s="161"/>
      <c r="AR37" s="161"/>
      <c r="AS37" s="161"/>
      <c r="AT37" s="161"/>
      <c r="AU37" s="161"/>
      <c r="AV37" s="161"/>
      <c r="AW37" s="161"/>
      <c r="AX37" s="161"/>
      <c r="AY37" s="161"/>
      <c r="BA37" s="244" t="s">
        <v>273</v>
      </c>
      <c r="BB37" s="258"/>
      <c r="BC37" s="258" t="str">
        <f>_xll.qlPiecewiseHazardRateCurve(,BC40:BC51,,"TARGET","BACKWARDFLAT",,,ManualTrigger)</f>
        <v>obj_005f7#0012</v>
      </c>
      <c r="BD37" s="245"/>
    </row>
    <row r="38" spans="2:56" x14ac:dyDescent="0.2">
      <c r="B38" s="164" t="s">
        <v>158</v>
      </c>
      <c r="C38" s="114" t="s">
        <v>17</v>
      </c>
      <c r="E38" s="103">
        <v>43073</v>
      </c>
      <c r="F38" s="102">
        <f>_xll.qlYieldTSDiscount(C$23,E38,,RtTrigger)</f>
        <v>1.0012626529125992</v>
      </c>
      <c r="G38" s="168">
        <v>43255</v>
      </c>
      <c r="H38" s="102">
        <f>_xll.qlYieldTSDiscount(C$35,G38,,RtTrigger)</f>
        <v>1.0034097584101933</v>
      </c>
      <c r="I38" s="168">
        <v>43164</v>
      </c>
      <c r="J38" s="102">
        <f>_xll.qlYieldTSDiscount(C$44,I38,,RtTrigger)</f>
        <v>1.0033047766430305</v>
      </c>
      <c r="K38" s="168">
        <v>43377</v>
      </c>
      <c r="L38" s="102">
        <f>_xll.qlYieldTSDiscount(C$54,K38,,RtTrigger)</f>
        <v>1.0047931988588175</v>
      </c>
      <c r="N38" s="179">
        <f t="shared" si="4"/>
        <v>43194</v>
      </c>
      <c r="O38" s="181">
        <f t="shared" si="5"/>
        <v>1.0030551796866183</v>
      </c>
      <c r="P38" s="179">
        <f t="shared" si="6"/>
        <v>43104</v>
      </c>
      <c r="Q38" s="182">
        <f t="shared" si="7"/>
        <v>1.0027806557573151</v>
      </c>
      <c r="S38"/>
      <c r="X38" s="240">
        <v>9</v>
      </c>
      <c r="Y38" s="196" t="s">
        <v>233</v>
      </c>
      <c r="Z38" s="193">
        <f>(_xll.RData($AA$25&amp;Y38&amp;$AA$27,"BID",,$AA$24)+_xll.RData($AA$25&amp;Y38&amp;$AA$27,"ASK",,$AA$24))/200</f>
        <v>4.4600000000000004E-3</v>
      </c>
      <c r="AA38" s="193">
        <f>(_xll.RData($AA$26&amp;Y38&amp;$AA$27,"BID",,$AA$24)+_xll.RData($AA$26&amp;Y38&amp;$AA$27,"ASK",,$AA$24))/200</f>
        <v>5.4600000000000004E-3</v>
      </c>
      <c r="AC38" s="10"/>
      <c r="AD38" s="10"/>
      <c r="AE38" s="10"/>
      <c r="AF38" s="10"/>
      <c r="AG38" s="10"/>
      <c r="AH38" s="10"/>
      <c r="AI38" s="10"/>
      <c r="AJ38" s="75" t="str">
        <f>F6</f>
        <v>3Y</v>
      </c>
      <c r="AK38" s="76">
        <f>J6/100</f>
        <v>0.76</v>
      </c>
      <c r="AL38" s="77"/>
      <c r="AM38" s="78">
        <f>(100-N6)*(10^6)</f>
        <v>1895539.3620019692</v>
      </c>
      <c r="AN38" s="79">
        <v>4083489.68178818</v>
      </c>
      <c r="AO38" s="80">
        <f>AP38/AM46*(10^4)</f>
        <v>-218.79503197781264</v>
      </c>
      <c r="AP38" s="78">
        <f>AM38-AN38</f>
        <v>-2187950.3197862105</v>
      </c>
      <c r="AQ38" s="77"/>
      <c r="AR38" s="77"/>
      <c r="AS38" s="63">
        <f t="shared" ref="AS38:AS52" si="8">R3/100</f>
        <v>0.13320000000000001</v>
      </c>
      <c r="AT38" s="161"/>
      <c r="AU38" s="161"/>
      <c r="AW38" s="161"/>
      <c r="AX38" s="161"/>
      <c r="AY38" s="161"/>
    </row>
    <row r="39" spans="2:56" x14ac:dyDescent="0.2">
      <c r="B39" s="164" t="s">
        <v>157</v>
      </c>
      <c r="C39" s="114" t="s">
        <v>13</v>
      </c>
      <c r="E39" s="103">
        <v>43088</v>
      </c>
      <c r="F39" s="102">
        <f>_xll.qlYieldTSDiscount(C$23,E39,,RtTrigger)</f>
        <v>1.0012633895040068</v>
      </c>
      <c r="G39" s="168">
        <v>43285</v>
      </c>
      <c r="H39" s="102">
        <f>_xll.qlYieldTSDiscount(C$35,G39,,RtTrigger)</f>
        <v>1.0035823554590562</v>
      </c>
      <c r="I39" s="168">
        <v>43194</v>
      </c>
      <c r="J39" s="102">
        <f>_xll.qlYieldTSDiscount(C$44,I39,,RtTrigger)</f>
        <v>1.0035711328120243</v>
      </c>
      <c r="K39" s="168">
        <v>43469</v>
      </c>
      <c r="L39" s="102">
        <f>_xll.qlYieldTSDiscount(C$54,K39,,RtTrigger)</f>
        <v>1.0053611342396165</v>
      </c>
      <c r="N39" s="179">
        <f t="shared" si="4"/>
        <v>43224</v>
      </c>
      <c r="O39" s="181">
        <f t="shared" si="5"/>
        <v>1.0032425981122035</v>
      </c>
      <c r="P39" s="179">
        <f t="shared" si="6"/>
        <v>43136</v>
      </c>
      <c r="Q39" s="182">
        <f t="shared" si="7"/>
        <v>1.0030844039521913</v>
      </c>
      <c r="X39" s="240">
        <v>10</v>
      </c>
      <c r="Y39" s="196" t="s">
        <v>234</v>
      </c>
      <c r="Z39" s="193">
        <f>(_xll.RData($AA$25&amp;Y39&amp;$AA$27,"BID",,$AA$24)+_xll.RData($AA$25&amp;Y39&amp;$AA$27,"ASK",,$AA$24))/200</f>
        <v>5.5899999999999995E-3</v>
      </c>
      <c r="AA39" s="193">
        <f>(_xll.RData($AA$26&amp;Y39&amp;$AA$27,"BID",,$AA$24)+_xll.RData($AA$26&amp;Y39&amp;$AA$27,"ASK",,$AA$24))/200</f>
        <v>6.5799999999999999E-3</v>
      </c>
      <c r="AC39" s="10"/>
      <c r="AD39" s="10"/>
      <c r="AE39" s="10"/>
      <c r="AF39" s="10"/>
      <c r="AG39" s="10"/>
      <c r="AH39" s="10"/>
      <c r="AI39" s="10"/>
      <c r="AJ39" s="81" t="str">
        <f>F8</f>
        <v>5Y</v>
      </c>
      <c r="AK39" s="82">
        <f>J8/100</f>
        <v>1.05</v>
      </c>
      <c r="AL39" s="10"/>
      <c r="AM39" s="83">
        <f>(100-N8)*(10^6)</f>
        <v>5637981.8059464665</v>
      </c>
      <c r="AN39" s="84">
        <v>9201792.8677081205</v>
      </c>
      <c r="AO39" s="85">
        <f>AP39/AM47*(10^4)</f>
        <v>-356.38110617439224</v>
      </c>
      <c r="AP39" s="83">
        <f>AM39-AN39</f>
        <v>-3563811.061761654</v>
      </c>
      <c r="AQ39" s="10"/>
      <c r="AR39" s="10"/>
      <c r="AS39" s="64">
        <f t="shared" si="8"/>
        <v>0.30130000000000001</v>
      </c>
      <c r="AX39" s="161"/>
      <c r="AY39" s="161"/>
      <c r="BA39" s="75" t="s">
        <v>268</v>
      </c>
      <c r="BB39" s="203" t="s">
        <v>269</v>
      </c>
      <c r="BC39" s="260" t="s">
        <v>270</v>
      </c>
      <c r="BD39" s="261"/>
    </row>
    <row r="40" spans="2:56" x14ac:dyDescent="0.2">
      <c r="B40" s="165" t="s">
        <v>156</v>
      </c>
      <c r="C40" s="115">
        <v>5</v>
      </c>
      <c r="E40" s="103">
        <v>43104</v>
      </c>
      <c r="F40" s="102">
        <f>_xll.qlYieldTSDiscount(C$23,E40,,RtTrigger)</f>
        <v>1.0012648806635236</v>
      </c>
      <c r="G40" s="168">
        <v>43363</v>
      </c>
      <c r="H40" s="102">
        <f>_xll.qlYieldTSDiscount(C$35,G40,,RtTrigger)</f>
        <v>1.0039764690002893</v>
      </c>
      <c r="I40" s="168">
        <v>43559</v>
      </c>
      <c r="J40" s="102">
        <f>_xll.qlYieldTSDiscount(C$44,I40,,RtTrigger)</f>
        <v>1.00600826572665</v>
      </c>
      <c r="K40" s="168">
        <v>43559</v>
      </c>
      <c r="L40" s="102">
        <f>_xll.qlYieldTSDiscount(C$54,K40,,RtTrigger)</f>
        <v>1.0058062036533812</v>
      </c>
      <c r="N40" s="179">
        <f t="shared" si="4"/>
        <v>43255</v>
      </c>
      <c r="O40" s="181">
        <f t="shared" si="5"/>
        <v>1.0034406978233474</v>
      </c>
      <c r="P40" s="179">
        <f t="shared" si="6"/>
        <v>43164</v>
      </c>
      <c r="Q40" s="182">
        <f t="shared" si="7"/>
        <v>1.0033357128191478</v>
      </c>
      <c r="X40" s="240">
        <v>15</v>
      </c>
      <c r="Y40" s="196" t="s">
        <v>235</v>
      </c>
      <c r="Z40" s="193">
        <f>(_xll.RData($AA$25&amp;Y40&amp;$AA$27,"BID",,$AA$24)+_xll.RData($AA$25&amp;Y40&amp;$AA$27,"ASK",,$AA$24))/200</f>
        <v>9.6500000000000006E-3</v>
      </c>
      <c r="AA40" s="193">
        <f>(_xll.RData($AA$26&amp;Y40&amp;$AA$27,"BID",,$AA$24)+_xll.RData($AA$26&amp;Y40&amp;$AA$27,"ASK",,$AA$24))/200</f>
        <v>1.0550000000000002E-2</v>
      </c>
      <c r="AC40" s="10"/>
      <c r="AD40" s="10"/>
      <c r="AE40" s="10"/>
      <c r="AF40" s="10"/>
      <c r="AG40" s="10"/>
      <c r="AH40" s="10"/>
      <c r="AI40" s="10"/>
      <c r="AJ40" s="86" t="str">
        <f>F13</f>
        <v>10Y</v>
      </c>
      <c r="AK40" s="87">
        <f>J13/100</f>
        <v>1.34</v>
      </c>
      <c r="AL40" s="10"/>
      <c r="AM40" s="83">
        <f>(100-N13)*(10^6)</f>
        <v>19850259.061227418</v>
      </c>
      <c r="AN40" s="84">
        <v>27311020.762214702</v>
      </c>
      <c r="AO40" s="85">
        <f>AP40/AM48*(10^4)</f>
        <v>-746.07617009434568</v>
      </c>
      <c r="AP40" s="83">
        <f>AM40-AN40</f>
        <v>-7460761.7009872831</v>
      </c>
      <c r="AQ40" s="10"/>
      <c r="AR40" s="10"/>
      <c r="AS40" s="64">
        <f t="shared" si="8"/>
        <v>0.49249999999999999</v>
      </c>
      <c r="AY40" s="161"/>
      <c r="BA40" s="81" t="s">
        <v>248</v>
      </c>
      <c r="BB40" s="232">
        <f>R3/10000</f>
        <v>1.3320000000000001E-3</v>
      </c>
      <c r="BC40" s="273" t="str">
        <f>_xll.qlSpreadCdsHelper(,BB40,BA40,2,"TARGET","Quarterly","mf","Backward","Act/360",0.4,"_EUR3M",,,,ManualTrigger)</f>
        <v>obj_005f6#0012</v>
      </c>
      <c r="BD40" s="274"/>
    </row>
    <row r="41" spans="2:56" x14ac:dyDescent="0.2">
      <c r="B41" s="107" t="s">
        <v>155</v>
      </c>
      <c r="C41" s="106">
        <f>COUNT(G24:G113)</f>
        <v>38</v>
      </c>
      <c r="E41" s="103">
        <v>43179</v>
      </c>
      <c r="F41" s="102">
        <f>_xll.qlYieldTSDiscount(C$23,E41,,RtTrigger)</f>
        <v>1.0019212469392396</v>
      </c>
      <c r="G41" s="168">
        <v>43453</v>
      </c>
      <c r="H41" s="102">
        <f>_xll.qlYieldTSDiscount(C$35,G41,,RtTrigger)</f>
        <v>1.0043260492292698</v>
      </c>
      <c r="I41" s="168">
        <v>43927</v>
      </c>
      <c r="J41" s="102">
        <f>_xll.qlYieldTSDiscount(C$44,I41,,RtTrigger)</f>
        <v>1.0067384531591264</v>
      </c>
      <c r="K41" s="168">
        <v>43927</v>
      </c>
      <c r="L41" s="102">
        <f>_xll.qlYieldTSDiscount(C$54,K41,,RtTrigger)</f>
        <v>1.0065411267901809</v>
      </c>
      <c r="N41" s="179">
        <f t="shared" si="4"/>
        <v>43285</v>
      </c>
      <c r="O41" s="181">
        <f t="shared" si="5"/>
        <v>1.0036133001941152</v>
      </c>
      <c r="P41" s="179">
        <f t="shared" si="6"/>
        <v>43194</v>
      </c>
      <c r="Q41" s="182">
        <f t="shared" si="7"/>
        <v>1.0036020772010412</v>
      </c>
      <c r="X41" s="240">
        <v>20</v>
      </c>
      <c r="Y41" s="196" t="s">
        <v>236</v>
      </c>
      <c r="Z41" s="193">
        <f>(_xll.RData($AA$25&amp;Y41&amp;$AA$27,"BID",,$AA$24)+_xll.RData($AA$25&amp;Y41&amp;$AA$27,"ASK",,$AA$24))/200</f>
        <v>1.154E-2</v>
      </c>
      <c r="AA41" s="193">
        <f>(_xll.RData($AA$26&amp;Y41&amp;$AA$27,"BID",,$AA$24)+_xll.RData($AA$26&amp;Y41&amp;$AA$27,"ASK",,$AA$24))/200</f>
        <v>1.234E-2</v>
      </c>
      <c r="AC41" s="10"/>
      <c r="AD41" s="10"/>
      <c r="AE41" s="10"/>
      <c r="AF41" s="10"/>
      <c r="AG41" s="10"/>
      <c r="AH41" s="10"/>
      <c r="AI41" s="10"/>
      <c r="AJ41" s="15"/>
      <c r="AK41" s="10"/>
      <c r="AL41" s="10"/>
      <c r="AM41" s="10"/>
      <c r="AN41" s="10"/>
      <c r="AO41" s="10"/>
      <c r="AP41" s="10"/>
      <c r="AQ41" s="10"/>
      <c r="AR41" s="10"/>
      <c r="AS41" s="64">
        <f t="shared" si="8"/>
        <v>0.76849999999999996</v>
      </c>
      <c r="AY41" s="161"/>
      <c r="BA41" s="81" t="s">
        <v>244</v>
      </c>
      <c r="BB41" s="232">
        <f t="shared" ref="BB41:BB51" si="9">R4/10000</f>
        <v>3.0130000000000001E-3</v>
      </c>
      <c r="BC41" s="273" t="str">
        <f>_xll.qlSpreadCdsHelper(,BB41,BA41,2,"TARGET","Quarterly","mf","Backward","Act/360",0.4,"_EUR3M",,,,ManualTrigger)</f>
        <v>obj_005ee#0012</v>
      </c>
      <c r="BD41" s="274"/>
    </row>
    <row r="42" spans="2:56" x14ac:dyDescent="0.2">
      <c r="B42" s="105" t="s">
        <v>154</v>
      </c>
      <c r="C42" s="104">
        <f>GetNow(_xll.xlPushShmLiborCurveName(C13,C36&amp;T(ManualTrigger),N24:INDEX(N24:N62,C41),O24:INDEX(O24:O62,C41),C37,C38,C39,C40))</f>
        <v>42825.58662037037</v>
      </c>
      <c r="E42" s="103">
        <v>43272</v>
      </c>
      <c r="F42" s="102">
        <f>_xll.qlYieldTSDiscount(C$23,E42,,RtTrigger)</f>
        <v>1.0025102416700031</v>
      </c>
      <c r="G42" s="168">
        <v>43543</v>
      </c>
      <c r="H42" s="102">
        <f>_xll.qlYieldTSDiscount(C$35,G42,,RtTrigger)</f>
        <v>1.0045514454591746</v>
      </c>
      <c r="I42" s="168">
        <v>44292</v>
      </c>
      <c r="J42" s="102">
        <f>_xll.qlYieldTSDiscount(C$44,I42,,RtTrigger)</f>
        <v>1.0055572710622274</v>
      </c>
      <c r="K42" s="168">
        <v>44292</v>
      </c>
      <c r="L42" s="102">
        <f>_xll.qlYieldTSDiscount(C$54,K42,,RtTrigger)</f>
        <v>1.0052702660964528</v>
      </c>
      <c r="N42" s="179">
        <f t="shared" si="4"/>
        <v>43363</v>
      </c>
      <c r="O42" s="181">
        <f t="shared" si="5"/>
        <v>1.004007425887554</v>
      </c>
      <c r="P42" s="179">
        <f t="shared" si="6"/>
        <v>43559</v>
      </c>
      <c r="Q42" s="182">
        <f t="shared" si="7"/>
        <v>1.0060392852628952</v>
      </c>
      <c r="X42" s="240">
        <v>25</v>
      </c>
      <c r="Y42" s="196" t="s">
        <v>237</v>
      </c>
      <c r="Z42" s="193">
        <f>(_xll.RData($AA$25&amp;Y42&amp;$AA$27,"BID",,$AA$24)+_xll.RData($AA$25&amp;Y42&amp;$AA$27,"ASK",,$AA$24))/200</f>
        <v>1.2330000000000001E-2</v>
      </c>
      <c r="AA42" s="193">
        <f>(_xll.RData($AA$26&amp;Y42&amp;$AA$27,"BID",,$AA$24)+_xll.RData($AA$26&amp;Y42&amp;$AA$27,"ASK",,$AA$24))/200</f>
        <v>1.3050000000000001E-2</v>
      </c>
      <c r="AJ42" s="15"/>
      <c r="AK42" s="14"/>
      <c r="AL42" s="88">
        <f>AM42/(10^6)-N6</f>
        <v>3.6946801174053689E-10</v>
      </c>
      <c r="AM42" s="83">
        <f>_xll.pdgDefaultableLoanPrice(P6,$AK$43)*(10^6)</f>
        <v>98104460.638367504</v>
      </c>
      <c r="AN42" s="84">
        <v>95908693.701822907</v>
      </c>
      <c r="AO42" s="85">
        <f>AP42/AM46*(10^4)</f>
        <v>219.57669365364845</v>
      </c>
      <c r="AP42" s="83">
        <f>AM42-AN42</f>
        <v>2195766.9365445971</v>
      </c>
      <c r="AQ42" s="10"/>
      <c r="AR42" s="10"/>
      <c r="AS42" s="64">
        <f t="shared" si="8"/>
        <v>0.89080000000000004</v>
      </c>
      <c r="AY42" s="161"/>
      <c r="BA42" s="81" t="s">
        <v>226</v>
      </c>
      <c r="BB42" s="232">
        <f t="shared" si="9"/>
        <v>4.9249999999999997E-3</v>
      </c>
      <c r="BC42" s="273" t="str">
        <f>_xll.qlSpreadCdsHelper(,BB42,BA42,2,"TARGET","Quarterly","mf","Backward","Act/360",0.4,"_EUR3M",,,,ManualTrigger)</f>
        <v>obj_005ea#0012</v>
      </c>
      <c r="BD42" s="274"/>
    </row>
    <row r="43" spans="2:56" x14ac:dyDescent="0.2">
      <c r="E43" s="103">
        <v>43363</v>
      </c>
      <c r="F43" s="102">
        <f>_xll.qlYieldTSDiscount(C$23,E43,,RtTrigger)</f>
        <v>1.0029714961868885</v>
      </c>
      <c r="G43" s="168">
        <v>43636</v>
      </c>
      <c r="H43" s="102">
        <f>_xll.qlYieldTSDiscount(C$35,G43,,RtTrigger)</f>
        <v>1.0046701335377801</v>
      </c>
      <c r="I43" s="168">
        <v>44655</v>
      </c>
      <c r="J43" s="102">
        <f>_xll.qlYieldTSDiscount(C$44,I43,,RtTrigger)</f>
        <v>1.0020587219598824</v>
      </c>
      <c r="K43" s="168">
        <v>44655</v>
      </c>
      <c r="L43" s="102">
        <f>_xll.qlYieldTSDiscount(C$54,K43,,RtTrigger)</f>
        <v>1.0017225768709705</v>
      </c>
      <c r="N43" s="179">
        <f t="shared" si="4"/>
        <v>43453</v>
      </c>
      <c r="O43" s="181">
        <f t="shared" si="5"/>
        <v>1.0043570168955878</v>
      </c>
      <c r="P43" s="179">
        <f t="shared" si="6"/>
        <v>43927</v>
      </c>
      <c r="Q43" s="182">
        <f t="shared" si="7"/>
        <v>1.0067694952101722</v>
      </c>
      <c r="X43" s="241">
        <v>30</v>
      </c>
      <c r="Y43" s="197" t="s">
        <v>238</v>
      </c>
      <c r="Z43" s="194">
        <f>(_xll.RData($AA$25&amp;Y43&amp;$AA$27,"BID",,$AA$24)+_xll.RData($AA$25&amp;Y43&amp;$AA$27,"ASK",,$AA$24))/200</f>
        <v>1.272E-2</v>
      </c>
      <c r="AA43" s="194">
        <f>(_xll.RData($AA$26&amp;Y43&amp;$AA$27,"BID",,$AA$24)+_xll.RData($AA$26&amp;Y43&amp;$AA$27,"ASK",,$AA$24))/200</f>
        <v>1.3359999999999999E-2</v>
      </c>
      <c r="AJ43" s="15"/>
      <c r="AK43" s="15" t="str">
        <f t="array" ref="AK43">_xll.pdgCdsDefaultCurve(,EntityName,Currency,pdgDiscCurve,EvaluationDate,O3:O17,Q3:Q17*100,Recovery)</f>
        <v>obj_005eb#0012</v>
      </c>
      <c r="AL43" s="89">
        <f>AM43/(10^6)-N8</f>
        <v>4.9753623443393735E-10</v>
      </c>
      <c r="AM43" s="83">
        <f>_xll.pdgDefaultableLoanPrice(P8,$AK$43)*(10^6)</f>
        <v>94362018.194551066</v>
      </c>
      <c r="AN43" s="84">
        <v>90788861.972808003</v>
      </c>
      <c r="AO43" s="85">
        <f>AP43/AM47*(10^4)</f>
        <v>357.31562217252844</v>
      </c>
      <c r="AP43" s="83">
        <f>AM43-AN43</f>
        <v>3573156.2217430621</v>
      </c>
      <c r="AQ43" s="10"/>
      <c r="AR43" s="10"/>
      <c r="AS43" s="64">
        <f t="shared" si="8"/>
        <v>1.0949</v>
      </c>
      <c r="BA43" s="81" t="s">
        <v>227</v>
      </c>
      <c r="BB43" s="232">
        <f t="shared" si="9"/>
        <v>7.6849999999999991E-3</v>
      </c>
      <c r="BC43" s="273" t="str">
        <f>_xll.qlSpreadCdsHelper(,BB43,BA43,2,"TARGET","Quarterly","mf","Backward","Act/360",0.4,"_EUR3M",,,,ManualTrigger)</f>
        <v>obj_005f2#0012</v>
      </c>
      <c r="BD43" s="274"/>
    </row>
    <row r="44" spans="2:56" x14ac:dyDescent="0.2">
      <c r="B44" s="108" t="s">
        <v>163</v>
      </c>
      <c r="C44" s="112" t="str">
        <f>_xll.qlHandleCurrentLink("EUR1M",ObjectsTrigger)</f>
        <v>_EUR1M</v>
      </c>
      <c r="E44" s="103">
        <v>43453</v>
      </c>
      <c r="F44" s="102">
        <f>_xll.qlYieldTSDiscount(C$23,E44,,RtTrigger)</f>
        <v>1.003319046522922</v>
      </c>
      <c r="G44" s="168">
        <v>43727</v>
      </c>
      <c r="H44" s="102">
        <f>_xll.qlYieldTSDiscount(C$35,G44,,RtTrigger)</f>
        <v>1.0046720211462625</v>
      </c>
      <c r="I44" s="168">
        <v>45020</v>
      </c>
      <c r="J44" s="102">
        <f>_xll.qlYieldTSDiscount(C$44,I44,,RtTrigger)</f>
        <v>0.99554405873636331</v>
      </c>
      <c r="K44" s="168">
        <v>45020</v>
      </c>
      <c r="L44" s="102">
        <f>_xll.qlYieldTSDiscount(C$54,K44,,RtTrigger)</f>
        <v>0.99527964196303376</v>
      </c>
      <c r="N44" s="179">
        <f t="shared" si="4"/>
        <v>43543</v>
      </c>
      <c r="O44" s="181">
        <f t="shared" si="5"/>
        <v>1.0045824200754221</v>
      </c>
      <c r="P44" s="179">
        <f t="shared" si="6"/>
        <v>44292</v>
      </c>
      <c r="Q44" s="182">
        <f t="shared" si="7"/>
        <v>1.0055882766923787</v>
      </c>
      <c r="AJ44" s="15"/>
      <c r="AK44" s="16"/>
      <c r="AL44" s="90">
        <f>AM44/(10^6)-N13</f>
        <v>5.8744831221702043E-10</v>
      </c>
      <c r="AM44" s="83">
        <f>_xll.pdgDefaultableLoanPrice(P13,$AK$43)*(10^6)</f>
        <v>80149740.939360023</v>
      </c>
      <c r="AN44" s="84">
        <v>72665746.189158604</v>
      </c>
      <c r="AO44" s="85">
        <f>AP44/AM48*(10^4)</f>
        <v>748.39947501574545</v>
      </c>
      <c r="AP44" s="83">
        <f>AM44-AN44</f>
        <v>7483994.750201419</v>
      </c>
      <c r="AQ44" s="10"/>
      <c r="AR44" s="10"/>
      <c r="AS44" s="64">
        <f t="shared" si="8"/>
        <v>1.2145000000000001</v>
      </c>
      <c r="BA44" s="81" t="s">
        <v>228</v>
      </c>
      <c r="BB44" s="232">
        <f t="shared" si="9"/>
        <v>8.9079999999999993E-3</v>
      </c>
      <c r="BC44" s="273" t="str">
        <f>_xll.qlSpreadCdsHelper(,BB44,BA44,2,"TARGET","Quarterly","mf","Backward","Act/360",0.4,"_EUR3M",,,,ManualTrigger)</f>
        <v>obj_005ed#0012</v>
      </c>
      <c r="BD44" s="274"/>
    </row>
    <row r="45" spans="2:56" x14ac:dyDescent="0.2">
      <c r="B45" s="105" t="s">
        <v>209</v>
      </c>
      <c r="C45" s="18" t="s">
        <v>176</v>
      </c>
      <c r="E45" s="103">
        <v>43543</v>
      </c>
      <c r="F45" s="102">
        <f>_xll.qlYieldTSDiscount(C$23,E45,,RtTrigger)</f>
        <v>1.0035435894014932</v>
      </c>
      <c r="G45" s="168">
        <v>43817</v>
      </c>
      <c r="H45" s="102">
        <f>_xll.qlYieldTSDiscount(C$35,G45,,RtTrigger)</f>
        <v>1.0045482823642651</v>
      </c>
      <c r="I45" s="168">
        <v>45386</v>
      </c>
      <c r="J45" s="102">
        <f>_xll.qlYieldTSDiscount(C$44,I45,,RtTrigger)</f>
        <v>0.98598745965127077</v>
      </c>
      <c r="K45" s="168">
        <v>45386</v>
      </c>
      <c r="L45" s="102">
        <f>_xll.qlYieldTSDiscount(C$54,K45,,RtTrigger)</f>
        <v>0.98575677520690963</v>
      </c>
      <c r="N45" s="179">
        <f t="shared" si="4"/>
        <v>43636</v>
      </c>
      <c r="O45" s="181">
        <f t="shared" si="5"/>
        <v>1.0047011118136884</v>
      </c>
      <c r="P45" s="179">
        <f t="shared" si="6"/>
        <v>44655</v>
      </c>
      <c r="Q45" s="182">
        <f t="shared" si="7"/>
        <v>1.0020896197148061</v>
      </c>
      <c r="Y45" s="192" t="s">
        <v>246</v>
      </c>
      <c r="Z45" s="192" t="s">
        <v>247</v>
      </c>
      <c r="AA45" s="13" t="s">
        <v>245</v>
      </c>
      <c r="AJ45" s="15"/>
      <c r="AK45" s="10"/>
      <c r="AL45" s="10"/>
      <c r="AM45" s="10"/>
      <c r="AN45" s="10"/>
      <c r="AO45" s="10"/>
      <c r="AP45" s="10"/>
      <c r="AQ45" s="10"/>
      <c r="AR45" s="10"/>
      <c r="AS45" s="64">
        <f t="shared" si="8"/>
        <v>1.3441000000000001</v>
      </c>
      <c r="BA45" s="81" t="s">
        <v>229</v>
      </c>
      <c r="BB45" s="232">
        <f t="shared" si="9"/>
        <v>1.0948999999999999E-2</v>
      </c>
      <c r="BC45" s="273" t="str">
        <f>_xll.qlSpreadCdsHelper(,BB45,BA45,2,"TARGET","Quarterly","mf","Backward","Act/360",0.4,"_EUR3M",,,,ManualTrigger)</f>
        <v>obj_005f5#0012</v>
      </c>
      <c r="BD45" s="274"/>
    </row>
    <row r="46" spans="2:56" x14ac:dyDescent="0.2">
      <c r="B46" s="164" t="s">
        <v>160</v>
      </c>
      <c r="C46" s="114" t="s">
        <v>216</v>
      </c>
      <c r="E46" s="103">
        <v>43636</v>
      </c>
      <c r="F46" s="102">
        <f>_xll.qlYieldTSDiscount(C$23,E46,,RtTrigger)</f>
        <v>1.0036606874607084</v>
      </c>
      <c r="G46" s="168">
        <v>43927</v>
      </c>
      <c r="H46" s="102">
        <f>_xll.qlYieldTSDiscount(C$35,G46,,RtTrigger)</f>
        <v>1.0042599658915008</v>
      </c>
      <c r="I46" s="168">
        <v>45751</v>
      </c>
      <c r="J46" s="102">
        <f>_xll.qlYieldTSDiscount(C$44,I46,,RtTrigger)</f>
        <v>0.97414447424893524</v>
      </c>
      <c r="K46" s="168">
        <v>45751</v>
      </c>
      <c r="L46" s="102">
        <f>_xll.qlYieldTSDiscount(C$54,K46,,RtTrigger)</f>
        <v>0.97389730158747823</v>
      </c>
      <c r="N46" s="179">
        <f t="shared" si="4"/>
        <v>43727</v>
      </c>
      <c r="O46" s="181">
        <f t="shared" si="5"/>
        <v>1.0047029994803738</v>
      </c>
      <c r="P46" s="179">
        <f t="shared" si="6"/>
        <v>45020</v>
      </c>
      <c r="Q46" s="182">
        <f t="shared" si="7"/>
        <v>0.99557475561636488</v>
      </c>
      <c r="X46" s="236" t="s">
        <v>244</v>
      </c>
      <c r="Y46" s="198">
        <f>_xll.xlShmImplAnnuity($C$56,$C$56,$E$24,,12*X30,1,8,4,4,1,1,,0)</f>
        <v>1.0005866295021764</v>
      </c>
      <c r="Z46" s="198">
        <f>_xll.xlShmImplAnnuity($C$56,$C$56,$E$24,,12*X30,12,4,12,4,1,1,,0)</f>
        <v>1.0102248701832621</v>
      </c>
      <c r="AA46" s="237">
        <f t="shared" ref="AA46:AA59" si="10">(((AA30-Z30)*(Y46/Z46))*10000)</f>
        <v>5.3484802827429609</v>
      </c>
      <c r="AJ46" s="15"/>
      <c r="AK46" s="10"/>
      <c r="AL46" s="10"/>
      <c r="AM46" s="83">
        <f>AM42+AM38</f>
        <v>100000000.00036947</v>
      </c>
      <c r="AN46" s="83">
        <f>AN42+AN38</f>
        <v>99992183.383611083</v>
      </c>
      <c r="AO46" s="85">
        <f>AP46/AM46*(10^4)</f>
        <v>0.78166167583623813</v>
      </c>
      <c r="AP46" s="83">
        <f>AM46-AN46</f>
        <v>7816.6167583912611</v>
      </c>
      <c r="AQ46" s="10"/>
      <c r="AR46" s="10"/>
      <c r="AS46" s="64">
        <f t="shared" si="8"/>
        <v>1.4293</v>
      </c>
      <c r="BA46" s="81" t="s">
        <v>230</v>
      </c>
      <c r="BB46" s="232">
        <f t="shared" si="9"/>
        <v>1.2145E-2</v>
      </c>
      <c r="BC46" s="273" t="str">
        <f>_xll.qlSpreadCdsHelper(,BB46,BA46,2,"TARGET","Quarterly","mf","Backward","Act/360",0.4,"_EUR3M",,,,ManualTrigger)</f>
        <v>obj_005ec#0012</v>
      </c>
      <c r="BD46" s="274"/>
    </row>
    <row r="47" spans="2:56" x14ac:dyDescent="0.2">
      <c r="B47" s="164" t="s">
        <v>159</v>
      </c>
      <c r="C47" s="114" t="s">
        <v>14</v>
      </c>
      <c r="E47" s="103">
        <v>43927</v>
      </c>
      <c r="F47" s="102">
        <f>_xll.qlYieldTSDiscount(C$23,E47,,RtTrigger)</f>
        <v>1.0012108416914056</v>
      </c>
      <c r="G47" s="168">
        <v>44292</v>
      </c>
      <c r="H47" s="102">
        <f>_xll.qlYieldTSDiscount(C$35,G47,,RtTrigger)</f>
        <v>1.0018594213583307</v>
      </c>
      <c r="I47" s="168">
        <v>46119</v>
      </c>
      <c r="J47" s="102">
        <f>_xll.qlYieldTSDiscount(C$44,I47,,RtTrigger)</f>
        <v>0.96009108538522525</v>
      </c>
      <c r="K47" s="168">
        <v>46119</v>
      </c>
      <c r="L47" s="102">
        <f>_xll.qlYieldTSDiscount(C$54,K47,,RtTrigger)</f>
        <v>0.95974751611701414</v>
      </c>
      <c r="N47" s="179">
        <f t="shared" si="4"/>
        <v>43817</v>
      </c>
      <c r="O47" s="181">
        <f t="shared" si="5"/>
        <v>1.0045792568829808</v>
      </c>
      <c r="P47" s="179">
        <f t="shared" si="6"/>
        <v>45386</v>
      </c>
      <c r="Q47" s="182">
        <f t="shared" si="7"/>
        <v>0.98601786186046125</v>
      </c>
      <c r="X47" s="221" t="s">
        <v>226</v>
      </c>
      <c r="Y47" s="199">
        <f>_xll.xlShmImplAnnuity($C$56,$C$56,$E$24,,12*X31,1,8,4,4,1,1,,0)</f>
        <v>2.0063669153379751</v>
      </c>
      <c r="Z47" s="199">
        <f>_xll.xlShmImplAnnuity($C$56,$C$56,$E$24,,12*X31,12,4,12,4,1,1,,0)</f>
        <v>2.0289755470325219</v>
      </c>
      <c r="AA47" s="238">
        <f t="shared" si="10"/>
        <v>7.0208855497218572</v>
      </c>
      <c r="AJ47" s="15"/>
      <c r="AK47" s="10"/>
      <c r="AL47" s="10"/>
      <c r="AM47" s="83">
        <f t="shared" ref="AM47:AN48" si="11">AM43+AM39</f>
        <v>100000000.00049753</v>
      </c>
      <c r="AN47" s="83">
        <f t="shared" si="11"/>
        <v>99990654.84051612</v>
      </c>
      <c r="AO47" s="85">
        <f>AP47/AM47*(10^4)</f>
        <v>0.93451599813681807</v>
      </c>
      <c r="AP47" s="83">
        <f>AM47-AN47</f>
        <v>9345.1599814146757</v>
      </c>
      <c r="AQ47" s="10"/>
      <c r="AR47" s="10"/>
      <c r="AS47" s="64">
        <f t="shared" si="8"/>
        <v>1.5085</v>
      </c>
      <c r="BA47" s="81" t="s">
        <v>231</v>
      </c>
      <c r="BB47" s="232">
        <f t="shared" si="9"/>
        <v>1.3441E-2</v>
      </c>
      <c r="BC47" s="273" t="str">
        <f>_xll.qlSpreadCdsHelper(,BB47,BA47,2,"TARGET","Quarterly","mf","Backward","Act/360",0.4,"_EUR3M",,,,ManualTrigger)</f>
        <v>obj_005f3#0012</v>
      </c>
      <c r="BD47" s="274"/>
    </row>
    <row r="48" spans="2:56" x14ac:dyDescent="0.2">
      <c r="B48" s="164" t="s">
        <v>158</v>
      </c>
      <c r="C48" s="114" t="s">
        <v>17</v>
      </c>
      <c r="E48" s="103">
        <v>44292</v>
      </c>
      <c r="F48" s="102">
        <f>_xll.qlYieldTSDiscount(C$23,E48,,RtTrigger)</f>
        <v>0.9973495198107718</v>
      </c>
      <c r="G48" s="168">
        <v>44655</v>
      </c>
      <c r="H48" s="102">
        <f>_xll.qlYieldTSDiscount(C$35,G48,,RtTrigger)</f>
        <v>0.9970142247360948</v>
      </c>
      <c r="I48" s="168">
        <v>46482</v>
      </c>
      <c r="J48" s="102">
        <f>_xll.qlYieldTSDiscount(C$44,I48,,RtTrigger)</f>
        <v>0.9447274643035164</v>
      </c>
      <c r="K48" s="168">
        <v>46482</v>
      </c>
      <c r="L48" s="102">
        <f>_xll.qlYieldTSDiscount(C$54,K48,,RtTrigger)</f>
        <v>0.94438907981710396</v>
      </c>
      <c r="N48" s="179">
        <f t="shared" si="4"/>
        <v>43927</v>
      </c>
      <c r="O48" s="181">
        <f t="shared" si="5"/>
        <v>1.0042909315201869</v>
      </c>
      <c r="P48" s="179">
        <f t="shared" si="6"/>
        <v>45751</v>
      </c>
      <c r="Q48" s="182">
        <f t="shared" si="7"/>
        <v>0.97417451128824839</v>
      </c>
      <c r="X48" s="221" t="s">
        <v>227</v>
      </c>
      <c r="Y48" s="199">
        <f>_xll.xlShmImplAnnuity($C$56,$C$56,$E$24,,12*X32,1,8,4,4,1,1,,0)</f>
        <v>3.0185027440385728</v>
      </c>
      <c r="Z48" s="199">
        <f>_xll.xlShmImplAnnuity($C$56,$C$56,$E$24,,12*X32,12,4,12,4,1,1,,0)</f>
        <v>3.0576774785075402</v>
      </c>
      <c r="AA48" s="238">
        <f t="shared" si="10"/>
        <v>8.0949422151605308</v>
      </c>
      <c r="AJ48" s="15"/>
      <c r="AK48" s="10"/>
      <c r="AL48" s="10"/>
      <c r="AM48" s="83">
        <f t="shared" si="11"/>
        <v>100000000.00058743</v>
      </c>
      <c r="AN48" s="83">
        <f t="shared" si="11"/>
        <v>99976766.951373309</v>
      </c>
      <c r="AO48" s="85">
        <f>AP48/AM48*(10^4)</f>
        <v>2.3233049213988202</v>
      </c>
      <c r="AP48" s="83">
        <f>AM48-AN48</f>
        <v>23233.04921412468</v>
      </c>
      <c r="AQ48" s="10"/>
      <c r="AR48" s="10"/>
      <c r="AS48" s="64">
        <f t="shared" si="8"/>
        <v>1.6096000000000001</v>
      </c>
      <c r="BA48" s="81" t="s">
        <v>232</v>
      </c>
      <c r="BB48" s="232">
        <f t="shared" si="9"/>
        <v>1.4293E-2</v>
      </c>
      <c r="BC48" s="273" t="str">
        <f>_xll.qlSpreadCdsHelper(,BB48,BA48,2,"TARGET","Quarterly","mf","Backward","Act/360",0.4,"_EUR3M",,,,ManualTrigger)</f>
        <v>obj_005ef#0012</v>
      </c>
      <c r="BD48" s="274"/>
    </row>
    <row r="49" spans="2:58" x14ac:dyDescent="0.2">
      <c r="B49" s="164" t="s">
        <v>157</v>
      </c>
      <c r="C49" s="114" t="s">
        <v>13</v>
      </c>
      <c r="E49" s="103">
        <v>44655</v>
      </c>
      <c r="F49" s="102">
        <f>_xll.qlYieldTSDiscount(C$23,E49,,RtTrigger)</f>
        <v>0.99099471970292807</v>
      </c>
      <c r="G49" s="168">
        <v>45020</v>
      </c>
      <c r="H49" s="102">
        <f>_xll.qlYieldTSDiscount(C$35,G49,,RtTrigger)</f>
        <v>0.98941789964385896</v>
      </c>
      <c r="I49" s="168">
        <v>47212</v>
      </c>
      <c r="J49" s="102">
        <f>_xll.qlYieldTSDiscount(C$44,I49,,RtTrigger)</f>
        <v>0.91182102862566483</v>
      </c>
      <c r="K49" s="168">
        <v>46847</v>
      </c>
      <c r="L49" s="102">
        <f>_xll.qlYieldTSDiscount(C$54,K49,,RtTrigger)</f>
        <v>0.92797963459338295</v>
      </c>
      <c r="N49" s="179">
        <f t="shared" si="4"/>
        <v>44292</v>
      </c>
      <c r="O49" s="181">
        <f t="shared" si="5"/>
        <v>1.0018903129679648</v>
      </c>
      <c r="P49" s="179">
        <f t="shared" si="6"/>
        <v>46119</v>
      </c>
      <c r="Q49" s="182">
        <f t="shared" si="7"/>
        <v>0.96012068909847137</v>
      </c>
      <c r="X49" s="221" t="s">
        <v>228</v>
      </c>
      <c r="Y49" s="199">
        <f>_xll.xlShmImplAnnuity($C$56,$C$56,$E$24,,12*X33,1,8,4,4,1,1,,0)</f>
        <v>4.0238113481329334</v>
      </c>
      <c r="Z49" s="199">
        <f>_xll.xlShmImplAnnuity($C$56,$C$56,$E$24,,12*X33,12,4,12,4,1,1,,0)</f>
        <v>4.0777048208591458</v>
      </c>
      <c r="AA49" s="238">
        <f t="shared" si="10"/>
        <v>9.0784071013318997</v>
      </c>
      <c r="AJ49" s="15"/>
      <c r="AK49" s="10"/>
      <c r="AL49" s="10"/>
      <c r="AM49" s="10"/>
      <c r="AN49" s="10"/>
      <c r="AO49" s="10"/>
      <c r="AP49" s="10"/>
      <c r="AQ49" s="10"/>
      <c r="AR49" s="10"/>
      <c r="AS49" s="64">
        <f t="shared" si="8"/>
        <v>2.1781000000000001</v>
      </c>
      <c r="BA49" s="81" t="s">
        <v>233</v>
      </c>
      <c r="BB49" s="232">
        <f t="shared" si="9"/>
        <v>1.5084999999999999E-2</v>
      </c>
      <c r="BC49" s="273" t="str">
        <f>_xll.qlSpreadCdsHelper(,BB49,BA49,2,"TARGET","Quarterly","mf","Backward","Act/360",0.4,"_EUR3M",,,,ManualTrigger)</f>
        <v>obj_005f1#0012</v>
      </c>
      <c r="BD49" s="274"/>
    </row>
    <row r="50" spans="2:58" x14ac:dyDescent="0.2">
      <c r="B50" s="165" t="s">
        <v>156</v>
      </c>
      <c r="C50" s="115">
        <v>5</v>
      </c>
      <c r="E50" s="103">
        <v>45020</v>
      </c>
      <c r="F50" s="102">
        <f>_xll.qlYieldTSDiscount(C$23,E50,,RtTrigger)</f>
        <v>0.98204453161549521</v>
      </c>
      <c r="G50" s="168">
        <v>45386</v>
      </c>
      <c r="H50" s="102">
        <f>_xll.qlYieldTSDiscount(C$35,G50,,RtTrigger)</f>
        <v>0.97898689318865928</v>
      </c>
      <c r="I50" s="168">
        <v>48309</v>
      </c>
      <c r="J50" s="102">
        <f>_xll.qlYieldTSDiscount(C$44,I50,,RtTrigger)</f>
        <v>0.8613971470680577</v>
      </c>
      <c r="K50" s="168">
        <v>47212</v>
      </c>
      <c r="L50" s="102">
        <f>_xll.qlYieldTSDiscount(C$54,K50,,RtTrigger)</f>
        <v>0.91132497453269512</v>
      </c>
      <c r="N50" s="179">
        <f t="shared" si="4"/>
        <v>44655</v>
      </c>
      <c r="O50" s="181">
        <f t="shared" si="5"/>
        <v>0.99704496694760025</v>
      </c>
      <c r="P50" s="179">
        <f t="shared" si="6"/>
        <v>46482</v>
      </c>
      <c r="Q50" s="182">
        <f t="shared" si="7"/>
        <v>0.94475659429063397</v>
      </c>
      <c r="X50" s="221" t="s">
        <v>229</v>
      </c>
      <c r="Y50" s="199">
        <f>_xll.xlShmImplAnnuity($C$56,$C$56,$E$24,,12*X34,1,8,4,4,1,1,,0)</f>
        <v>5.0255874344083997</v>
      </c>
      <c r="Z50" s="199">
        <f>_xll.xlShmImplAnnuity($C$56,$C$56,$E$24,,12*X34,12,4,12,4,1,1,,0)</f>
        <v>5.0952498013566832</v>
      </c>
      <c r="AA50" s="238">
        <f t="shared" si="10"/>
        <v>9.9619125786550615</v>
      </c>
      <c r="AJ50" s="15"/>
      <c r="AK50" s="10"/>
      <c r="AL50" s="10"/>
      <c r="AM50" s="10"/>
      <c r="AN50" s="10"/>
      <c r="AO50" s="10"/>
      <c r="AP50" s="10"/>
      <c r="AQ50" s="10"/>
      <c r="AR50" s="10"/>
      <c r="AS50" s="64">
        <f t="shared" si="8"/>
        <v>2.1781000000000001</v>
      </c>
      <c r="BA50" s="81" t="s">
        <v>234</v>
      </c>
      <c r="BB50" s="232">
        <f t="shared" si="9"/>
        <v>1.6095999999999999E-2</v>
      </c>
      <c r="BC50" s="273" t="str">
        <f>_xll.qlSpreadCdsHelper(,BB50,BA50,2,"TARGET","Quarterly","mf","Backward","Act/360",0.4,"_EUR3M",,,,ManualTrigger)</f>
        <v>obj_005f0#0012</v>
      </c>
      <c r="BD50" s="274"/>
    </row>
    <row r="51" spans="2:58" x14ac:dyDescent="0.2">
      <c r="B51" s="107" t="s">
        <v>155</v>
      </c>
      <c r="C51" s="106">
        <f>COUNT(I24:I113)</f>
        <v>33</v>
      </c>
      <c r="E51" s="103">
        <v>45386</v>
      </c>
      <c r="F51" s="102">
        <f>_xll.qlYieldTSDiscount(C$23,E51,,RtTrigger)</f>
        <v>0.97057727927901283</v>
      </c>
      <c r="G51" s="168">
        <v>45751</v>
      </c>
      <c r="H51" s="102">
        <f>_xll.qlYieldTSDiscount(C$35,G51,,RtTrigger)</f>
        <v>0.96632816362907537</v>
      </c>
      <c r="I51" s="168">
        <v>50137</v>
      </c>
      <c r="J51" s="102">
        <f>_xll.qlYieldTSDiscount(C$44,I51,,RtTrigger)</f>
        <v>0.7871314281152898</v>
      </c>
      <c r="K51" s="168">
        <v>48309</v>
      </c>
      <c r="L51" s="102">
        <f>_xll.qlYieldTSDiscount(C$54,K51,,RtTrigger)</f>
        <v>0.86092982252049544</v>
      </c>
      <c r="N51" s="179">
        <f t="shared" si="4"/>
        <v>45020</v>
      </c>
      <c r="O51" s="181">
        <f t="shared" si="5"/>
        <v>0.98944840762818198</v>
      </c>
      <c r="P51" s="179">
        <f t="shared" si="6"/>
        <v>47212</v>
      </c>
      <c r="Q51" s="182">
        <f t="shared" si="7"/>
        <v>0.9118491439666716</v>
      </c>
      <c r="X51" s="221" t="s">
        <v>230</v>
      </c>
      <c r="Y51" s="199">
        <f>_xll.xlShmImplAnnuity($C$56,$C$56,$E$24,,12*X35,1,8,4,4,1,1,,0)</f>
        <v>6.0209534842629173</v>
      </c>
      <c r="Z51" s="199">
        <f>_xll.xlShmImplAnnuity($C$56,$C$56,$E$24,,12*X35,12,4,12,4,1,1,,0)</f>
        <v>6.1076717696916436</v>
      </c>
      <c r="AA51" s="238">
        <f t="shared" si="10"/>
        <v>10.153757966440134</v>
      </c>
      <c r="AJ51" s="15"/>
      <c r="AK51" s="10"/>
      <c r="AL51" s="10"/>
      <c r="AM51" s="10"/>
      <c r="AN51" s="10"/>
      <c r="AO51" s="10"/>
      <c r="AP51" s="10"/>
      <c r="AQ51" s="10"/>
      <c r="AR51" s="10"/>
      <c r="AS51" s="64">
        <f t="shared" si="8"/>
        <v>2.1781000000000001</v>
      </c>
      <c r="BA51" s="86" t="s">
        <v>235</v>
      </c>
      <c r="BB51" s="233">
        <f t="shared" si="9"/>
        <v>2.1781000000000002E-2</v>
      </c>
      <c r="BC51" s="275" t="str">
        <f>_xll.qlSpreadCdsHelper(,BB51,BA51,2,"TARGET","Quarterly","mf","Backward","Act/360",0.4,"_EUR3M",,,,ManualTrigger)</f>
        <v>obj_005f4#0012</v>
      </c>
      <c r="BD51" s="276"/>
    </row>
    <row r="52" spans="2:58" x14ac:dyDescent="0.2">
      <c r="B52" s="105" t="s">
        <v>154</v>
      </c>
      <c r="C52" s="104">
        <f>GetNow(_xll.xlPushShmLiborCurveName(C13,C46&amp;T(ManualTrigger),P24:INDEX(P24:P58,C51),Q24:INDEX(Q24:Q58,C51),C47,C48,C49,C50))</f>
        <v>42825.586678240739</v>
      </c>
      <c r="E52" s="103">
        <v>45751</v>
      </c>
      <c r="F52" s="102">
        <f>_xll.qlYieldTSDiscount(C$23,E52,,RtTrigger)</f>
        <v>0.95695501605267852</v>
      </c>
      <c r="G52" s="168">
        <v>46119</v>
      </c>
      <c r="H52" s="102">
        <f>_xll.qlYieldTSDiscount(C$35,G52,,RtTrigger)</f>
        <v>0.95151494306584572</v>
      </c>
      <c r="I52" s="168">
        <v>51964</v>
      </c>
      <c r="J52" s="102">
        <f>_xll.qlYieldTSDiscount(C$44,I52,,RtTrigger)</f>
        <v>0.72629995451472684</v>
      </c>
      <c r="K52" s="168">
        <v>50137</v>
      </c>
      <c r="L52" s="102">
        <f>_xll.qlYieldTSDiscount(C$54,K52,,RtTrigger)</f>
        <v>0.78624797057589302</v>
      </c>
      <c r="N52" s="179">
        <f t="shared" si="4"/>
        <v>45386</v>
      </c>
      <c r="O52" s="181">
        <f t="shared" si="5"/>
        <v>0.97901707954045325</v>
      </c>
      <c r="P52" s="179">
        <f t="shared" si="6"/>
        <v>48309</v>
      </c>
      <c r="Q52" s="182">
        <f t="shared" si="7"/>
        <v>0.86142370762519749</v>
      </c>
      <c r="X52" s="221" t="s">
        <v>231</v>
      </c>
      <c r="Y52" s="199">
        <f>_xll.xlShmImplAnnuity($C$56,$C$56,$E$24,,12*X36,1,8,4,4,1,1,,0)</f>
        <v>7.0014374898100664</v>
      </c>
      <c r="Z52" s="199">
        <f>_xll.xlShmImplAnnuity($C$56,$C$56,$E$24,,12*X36,12,4,12,4,1,1,,0)</f>
        <v>7.106429955176103</v>
      </c>
      <c r="AA52" s="238">
        <f t="shared" si="10"/>
        <v>10.049302230024301</v>
      </c>
      <c r="AJ52" s="91" t="str">
        <f>_xll.ohRangeRetrieveError(Q3)</f>
        <v/>
      </c>
      <c r="AK52" s="92"/>
      <c r="AL52" s="92"/>
      <c r="AM52" s="92"/>
      <c r="AN52" s="92"/>
      <c r="AO52" s="92"/>
      <c r="AP52" s="92"/>
      <c r="AQ52" s="92"/>
      <c r="AR52" s="92"/>
      <c r="AS52" s="65">
        <f t="shared" si="8"/>
        <v>2.1781000000000001</v>
      </c>
    </row>
    <row r="53" spans="2:58" x14ac:dyDescent="0.2">
      <c r="E53" s="103">
        <v>46119</v>
      </c>
      <c r="F53" s="102">
        <f>_xll.qlYieldTSDiscount(C$23,E53,,RtTrigger)</f>
        <v>0.94151023650225008</v>
      </c>
      <c r="G53" s="168">
        <v>46482</v>
      </c>
      <c r="H53" s="102">
        <f>_xll.qlYieldTSDiscount(C$35,G53,,RtTrigger)</f>
        <v>0.9354644241540585</v>
      </c>
      <c r="I53" s="168">
        <v>53786</v>
      </c>
      <c r="J53" s="102">
        <f>_xll.qlYieldTSDiscount(C$44,I53,,RtTrigger)</f>
        <v>0.67358165772032375</v>
      </c>
      <c r="K53" s="168">
        <v>51964</v>
      </c>
      <c r="L53" s="102">
        <f>_xll.qlYieldTSDiscount(C$54,K53,,RtTrigger)</f>
        <v>0.72504487959736408</v>
      </c>
      <c r="N53" s="179">
        <f t="shared" si="4"/>
        <v>45751</v>
      </c>
      <c r="O53" s="181">
        <f t="shared" si="5"/>
        <v>0.96635795965811178</v>
      </c>
      <c r="P53" s="179">
        <f t="shared" si="6"/>
        <v>50137</v>
      </c>
      <c r="Q53" s="182">
        <f t="shared" si="7"/>
        <v>0.78715569874277469</v>
      </c>
      <c r="X53" s="221" t="s">
        <v>232</v>
      </c>
      <c r="Y53" s="199">
        <f>_xll.xlShmImplAnnuity($C$56,$C$56,$E$24,,12*X37,1,8,4,4,1,1,,0)</f>
        <v>7.9835937233554848</v>
      </c>
      <c r="Z53" s="199">
        <f>_xll.xlShmImplAnnuity($C$56,$C$56,$E$24,,12*X37,12,4,12,4,1,1,,0)</f>
        <v>8.1078952229936299</v>
      </c>
      <c r="AA53" s="238">
        <f t="shared" si="10"/>
        <v>9.9451576997708582</v>
      </c>
      <c r="BA53" s="75" t="s">
        <v>255</v>
      </c>
      <c r="BB53" s="203" t="s">
        <v>256</v>
      </c>
      <c r="BC53" s="203" t="s">
        <v>257</v>
      </c>
      <c r="BD53" s="203" t="s">
        <v>30</v>
      </c>
      <c r="BE53" s="76" t="s">
        <v>258</v>
      </c>
      <c r="BF53" s="15"/>
    </row>
    <row r="54" spans="2:58" x14ac:dyDescent="0.2">
      <c r="B54" s="108" t="s">
        <v>163</v>
      </c>
      <c r="C54" s="112" t="s">
        <v>275</v>
      </c>
      <c r="E54" s="103">
        <v>46482</v>
      </c>
      <c r="F54" s="102">
        <f>_xll.qlYieldTSDiscount(C$23,E54,,RtTrigger)</f>
        <v>0.92506899978903367</v>
      </c>
      <c r="G54" s="168">
        <v>47212</v>
      </c>
      <c r="H54" s="102">
        <f>_xll.qlYieldTSDiscount(C$35,G54,,RtTrigger)</f>
        <v>0.90145845933346636</v>
      </c>
      <c r="I54" s="168">
        <v>57439</v>
      </c>
      <c r="J54" s="102">
        <f>_xll.qlYieldTSDiscount(C$44,I54,,RtTrigger)</f>
        <v>0.58542632577321707</v>
      </c>
      <c r="K54" s="168">
        <v>53786</v>
      </c>
      <c r="L54" s="102">
        <f>_xll.qlYieldTSDiscount(C$54,K54,,RtTrigger)</f>
        <v>0.6725566153558562</v>
      </c>
      <c r="N54" s="179">
        <f t="shared" si="4"/>
        <v>46119</v>
      </c>
      <c r="O54" s="181">
        <f t="shared" si="5"/>
        <v>0.95154428233995492</v>
      </c>
      <c r="P54" s="179">
        <f t="shared" si="6"/>
        <v>51964</v>
      </c>
      <c r="Q54" s="182">
        <f t="shared" si="7"/>
        <v>0.72632234944778207</v>
      </c>
      <c r="X54" s="221" t="s">
        <v>233</v>
      </c>
      <c r="Y54" s="199">
        <f>_xll.xlShmImplAnnuity($C$56,$C$56,$E$24,,12*X38,1,8,4,4,1,1,,0)</f>
        <v>8.9436246290540282</v>
      </c>
      <c r="Z54" s="199">
        <f>_xll.xlShmImplAnnuity($C$56,$C$56,$E$24,,12*X38,12,4,12,4,1,1,,0)</f>
        <v>9.0879229965392003</v>
      </c>
      <c r="AA54" s="238">
        <f t="shared" si="10"/>
        <v>9.8412196411213841</v>
      </c>
      <c r="AK54" s="10"/>
      <c r="AU54" s="75" t="s">
        <v>164</v>
      </c>
      <c r="AV54" s="203" t="s">
        <v>249</v>
      </c>
      <c r="AW54" s="204" t="s">
        <v>250</v>
      </c>
      <c r="AY54" s="225" t="s">
        <v>260</v>
      </c>
      <c r="AZ54" s="212" t="s">
        <v>259</v>
      </c>
      <c r="BA54" s="211" t="s">
        <v>251</v>
      </c>
      <c r="BB54" s="211" t="s">
        <v>254</v>
      </c>
      <c r="BC54" s="211" t="s">
        <v>252</v>
      </c>
      <c r="BD54" s="211" t="s">
        <v>253</v>
      </c>
      <c r="BE54" s="231" t="s">
        <v>262</v>
      </c>
    </row>
    <row r="55" spans="2:58" x14ac:dyDescent="0.2">
      <c r="B55" s="105" t="s">
        <v>209</v>
      </c>
      <c r="C55" s="18" t="s">
        <v>276</v>
      </c>
      <c r="E55" s="103">
        <v>46847</v>
      </c>
      <c r="F55" s="102">
        <f>_xll.qlYieldTSDiscount(C$23,E55,,RtTrigger)</f>
        <v>0.90797861034961314</v>
      </c>
      <c r="G55" s="168">
        <v>48309</v>
      </c>
      <c r="H55" s="102">
        <f>_xll.qlYieldTSDiscount(C$35,G55,,RtTrigger)</f>
        <v>0.85001145687945667</v>
      </c>
      <c r="I55" s="168">
        <v>61092</v>
      </c>
      <c r="J55" s="102">
        <f>_xll.qlYieldTSDiscount(C$44,I55,,RtTrigger)</f>
        <v>0.52435611924890813</v>
      </c>
      <c r="K55" s="168">
        <v>57439</v>
      </c>
      <c r="L55" s="102">
        <f>_xll.qlYieldTSDiscount(C$54,K55,,RtTrigger)</f>
        <v>0.58347015988980133</v>
      </c>
      <c r="N55" s="179">
        <f t="shared" si="4"/>
        <v>46482</v>
      </c>
      <c r="O55" s="181">
        <f t="shared" si="5"/>
        <v>0.93549326852204207</v>
      </c>
      <c r="P55" s="179">
        <f t="shared" si="6"/>
        <v>53786</v>
      </c>
      <c r="Q55" s="182">
        <f t="shared" si="7"/>
        <v>0.67360242712287999</v>
      </c>
      <c r="X55" s="221" t="s">
        <v>234</v>
      </c>
      <c r="Y55" s="199">
        <f>_xll.xlShmImplAnnuity($C$56,$C$56,$E$24,,12*X39,1,8,4,4,1,1,,0)</f>
        <v>9.8882322531294609</v>
      </c>
      <c r="Z55" s="199">
        <f>_xll.xlShmImplAnnuity($C$56,$C$56,$E$24,,12*X39,12,4,12,4,1,1,,0)</f>
        <v>10.052916541995106</v>
      </c>
      <c r="AA55" s="238">
        <f t="shared" si="10"/>
        <v>9.7378207505295489</v>
      </c>
      <c r="AU55" s="168">
        <f ca="1">TODAY()</f>
        <v>42825</v>
      </c>
      <c r="AV55" s="218"/>
      <c r="AW55" s="185"/>
      <c r="AY55" s="226"/>
      <c r="AZ55" s="223">
        <f ca="1">AU55</f>
        <v>42825</v>
      </c>
      <c r="BA55" s="218"/>
      <c r="BB55" s="218"/>
      <c r="BC55" s="218"/>
      <c r="BD55" s="218"/>
      <c r="BE55" s="185"/>
    </row>
    <row r="56" spans="2:58" x14ac:dyDescent="0.2">
      <c r="B56" s="164" t="s">
        <v>160</v>
      </c>
      <c r="C56" s="114" t="s">
        <v>278</v>
      </c>
      <c r="E56" s="103">
        <v>47212</v>
      </c>
      <c r="F56" s="102">
        <f>_xll.qlYieldTSDiscount(C$23,E56,,RtTrigger)</f>
        <v>0.89058290415119978</v>
      </c>
      <c r="G56" s="168">
        <v>50137</v>
      </c>
      <c r="H56" s="102">
        <f>_xll.qlYieldTSDiscount(C$35,G56,,RtTrigger)</f>
        <v>0.77501108504958183</v>
      </c>
      <c r="I56" s="168">
        <v>64745</v>
      </c>
      <c r="J56" s="102">
        <f>_xll.qlYieldTSDiscount(C$44,I56,,RtTrigger)</f>
        <v>0.46679058330353412</v>
      </c>
      <c r="K56" s="168">
        <v>61092</v>
      </c>
      <c r="L56" s="102">
        <f>_xll.qlYieldTSDiscount(C$54,K56,,RtTrigger)</f>
        <v>0.52163883122262511</v>
      </c>
      <c r="N56" s="179">
        <f t="shared" si="4"/>
        <v>47212</v>
      </c>
      <c r="O56" s="181">
        <f t="shared" si="5"/>
        <v>0.90148625515215441</v>
      </c>
      <c r="P56" s="179">
        <f t="shared" si="6"/>
        <v>57439</v>
      </c>
      <c r="Q56" s="182">
        <f t="shared" si="7"/>
        <v>0.58544437696996154</v>
      </c>
      <c r="X56" s="221" t="s">
        <v>235</v>
      </c>
      <c r="Y56" s="199">
        <f>_xll.xlShmImplAnnuity($C$56,$C$56,$E$24,,12*X40,1,8,4,4,1,1,,0)</f>
        <v>14.363842907309737</v>
      </c>
      <c r="Z56" s="199">
        <f>_xll.xlShmImplAnnuity($C$56,$C$56,$E$24,,12*X40,12,4,12,4,1,1,,0)</f>
        <v>14.631882055623297</v>
      </c>
      <c r="AA56" s="238">
        <f t="shared" si="10"/>
        <v>8.835130414142812</v>
      </c>
      <c r="AU56" s="168">
        <f ca="1">_xll.qlCalendarAdvance("TARGET",AU55,"2D","mf")</f>
        <v>42829</v>
      </c>
      <c r="AV56" s="206">
        <f ca="1">_xll.qlYieldTSDiscount("_EUR3M",AU56,,ManualTrigger)</f>
        <v>1</v>
      </c>
      <c r="AW56" s="205">
        <f ca="1">(1-_xll.qlDefaultTSDefaultProbability($BC$37,AU56,,ManualTrigger))</f>
        <v>0.99997546012532568</v>
      </c>
      <c r="AY56" s="213">
        <f ca="1">_xll.qlCalendarAdvance("TARGET",AZ56,"-2D")</f>
        <v>42825</v>
      </c>
      <c r="AZ56" s="223">
        <f ca="1">AU56</f>
        <v>42829</v>
      </c>
      <c r="BA56" s="214">
        <f ca="1">_xll.qlYieldTSForwardRate2("_EUR3M",AZ56,"3M","Act/360",,"Quarterly",,ManualTrigger)</f>
        <v>-3.2939999999999619E-3</v>
      </c>
      <c r="BB56" s="215">
        <f>$Z$5/10000</f>
        <v>4.8999999999999998E-3</v>
      </c>
      <c r="BC56" s="216">
        <f t="shared" ref="BC56:BC63" ca="1" si="12">(AZ57-AZ56)/360</f>
        <v>0.25277777777777777</v>
      </c>
      <c r="BD56" s="224">
        <f ca="1">_xll.qlYieldTSDiscount("_EUR3M",AZ56,,ManualTrigger)</f>
        <v>1</v>
      </c>
      <c r="BE56" s="205">
        <f t="shared" ref="BE56:BE63" ca="1" si="13">(BA56+BB56)*BC56*BD56</f>
        <v>4.0596111111112067E-4</v>
      </c>
    </row>
    <row r="57" spans="2:58" x14ac:dyDescent="0.2">
      <c r="B57" s="164" t="s">
        <v>159</v>
      </c>
      <c r="C57" s="114" t="s">
        <v>14</v>
      </c>
      <c r="E57" s="103">
        <v>47577</v>
      </c>
      <c r="F57" s="102">
        <f>_xll.qlYieldTSDiscount(C$23,E57,,RtTrigger)</f>
        <v>0.8732384336289678</v>
      </c>
      <c r="G57" s="168">
        <v>51964</v>
      </c>
      <c r="H57" s="102">
        <f>_xll.qlYieldTSDiscount(C$35,G57,,RtTrigger)</f>
        <v>0.71396521097458032</v>
      </c>
      <c r="I57" s="168" t="e">
        <v>#N/A</v>
      </c>
      <c r="J57" s="102" t="e">
        <f>_xll.qlYieldTSDiscount(C$44,I57,,RtTrigger)</f>
        <v>#NUM!</v>
      </c>
      <c r="K57" s="168">
        <v>64745</v>
      </c>
      <c r="L57" s="102">
        <f>_xll.qlYieldTSDiscount(C$54,K57,,RtTrigger)</f>
        <v>0.46318640852609011</v>
      </c>
      <c r="N57" s="179">
        <f t="shared" si="4"/>
        <v>48309</v>
      </c>
      <c r="O57" s="181">
        <f t="shared" si="5"/>
        <v>0.85003766636708589</v>
      </c>
      <c r="P57" s="179">
        <f t="shared" si="6"/>
        <v>61092</v>
      </c>
      <c r="Q57" s="182">
        <f t="shared" si="7"/>
        <v>0.52437228739006614</v>
      </c>
      <c r="X57" s="221" t="s">
        <v>236</v>
      </c>
      <c r="Y57" s="199">
        <f>_xll.xlShmImplAnnuity($C$56,$C$56,$E$24,,12*X41,1,8,4,4,1,1,,0)</f>
        <v>18.441398172263401</v>
      </c>
      <c r="Z57" s="199">
        <f>_xll.xlShmImplAnnuity($C$56,$C$56,$E$24,,12*X41,12,4,12,4,1,1,,0)</f>
        <v>18.802764265551829</v>
      </c>
      <c r="AA57" s="238">
        <f t="shared" si="10"/>
        <v>7.8462498010676134</v>
      </c>
      <c r="AU57" s="169">
        <f ca="1">_xll.qlCalendarAdvance("TARGET",AU56,"2Y","mf")</f>
        <v>43559</v>
      </c>
      <c r="AV57" s="208">
        <f ca="1">_xll.qlYieldTSDiscount("_EUR3M",AU57,,ManualTrigger)</f>
        <v>1.0045797906736729</v>
      </c>
      <c r="AW57" s="209">
        <f ca="1">(1-_xll.qlDefaultTSDefaultProbability($BC$37,AU57,,ManualTrigger))</f>
        <v>0.98322183911063665</v>
      </c>
      <c r="AY57" s="213">
        <f ca="1">_xll.qlCalendarAdvance("TARGET",AZ57,"-2D")</f>
        <v>42916</v>
      </c>
      <c r="AZ57" s="223">
        <f ca="1">_xll.qlCalendarAdvance("TARGET",AZ56,"3M","mf")</f>
        <v>42920</v>
      </c>
      <c r="BA57" s="214">
        <f ca="1">_xll.qlYieldTSForwardRate2("_EUR3M",AZ57,"3M","Act/360",,"Quarterly",,ManualTrigger)</f>
        <v>-3.1399999999995442E-3</v>
      </c>
      <c r="BB57" s="215">
        <f t="shared" ref="BB57:BB63" si="14">$Z$5/10000</f>
        <v>4.8999999999999998E-3</v>
      </c>
      <c r="BC57" s="216">
        <f t="shared" ca="1" si="12"/>
        <v>0.25555555555555554</v>
      </c>
      <c r="BD57" s="224">
        <f ca="1">_xll.qlYieldTSDiscount("_EUR3M",AZ57,,ManualTrigger)</f>
        <v>1.0008333438837849</v>
      </c>
      <c r="BE57" s="205">
        <f t="shared" ca="1" si="13"/>
        <v>4.5015259733806773E-4</v>
      </c>
    </row>
    <row r="58" spans="2:58" x14ac:dyDescent="0.2">
      <c r="B58" s="164" t="s">
        <v>158</v>
      </c>
      <c r="C58" s="114" t="s">
        <v>17</v>
      </c>
      <c r="E58" s="103">
        <v>47942</v>
      </c>
      <c r="F58" s="102">
        <f>_xll.qlYieldTSDiscount(C$23,E58,,RtTrigger)</f>
        <v>0.85587260647739161</v>
      </c>
      <c r="G58" s="168">
        <v>53786</v>
      </c>
      <c r="H58" s="102">
        <f>_xll.qlYieldTSDiscount(C$35,G58,,RtTrigger)</f>
        <v>0.66172984900633658</v>
      </c>
      <c r="I58" s="168" t="e">
        <v>#N/A</v>
      </c>
      <c r="J58" s="102" t="e">
        <f>_xll.qlYieldTSDiscount(C$44,I58,,RtTrigger)</f>
        <v>#NUM!</v>
      </c>
      <c r="K58" s="168" t="e">
        <v>#N/A</v>
      </c>
      <c r="L58" s="102" t="e">
        <f>_xll.qlYieldTSDiscount(C$54,K58,,RtTrigger)</f>
        <v>#NUM!</v>
      </c>
      <c r="N58" s="179">
        <f t="shared" si="4"/>
        <v>50137</v>
      </c>
      <c r="O58" s="181">
        <f t="shared" si="5"/>
        <v>0.7750349819550667</v>
      </c>
      <c r="P58" s="179">
        <f t="shared" si="6"/>
        <v>64745</v>
      </c>
      <c r="Q58" s="182">
        <f t="shared" si="7"/>
        <v>0.46680497645308466</v>
      </c>
      <c r="X58" s="221" t="s">
        <v>237</v>
      </c>
      <c r="Y58" s="199">
        <f>_xll.xlShmImplAnnuity($C$56,$C$56,$E$24,,12*X42,1,8,4,4,1,1,,0)</f>
        <v>22.188323210898087</v>
      </c>
      <c r="Z58" s="199">
        <f>_xll.xlShmImplAnnuity($C$56,$C$56,$E$24,,12*X42,12,4,12,4,1,1,,0)</f>
        <v>22.629987686905974</v>
      </c>
      <c r="AA58" s="238">
        <f t="shared" si="10"/>
        <v>7.0594791887979351</v>
      </c>
      <c r="AY58" s="213">
        <f ca="1">_xll.qlCalendarAdvance("TARGET",AZ58,"-2D")</f>
        <v>43010</v>
      </c>
      <c r="AZ58" s="223">
        <f ca="1">_xll.qlCalendarAdvance("TARGET",AZ57,"3M","mf")</f>
        <v>43012</v>
      </c>
      <c r="BA58" s="214">
        <f ca="1">_xll.qlYieldTSForwardRate2("_EUR3M",AZ58,"3M","Act/360",,"Quarterly",,ManualTrigger)</f>
        <v>-2.8699999999991658E-3</v>
      </c>
      <c r="BB58" s="215">
        <f t="shared" si="14"/>
        <v>4.8999999999999998E-3</v>
      </c>
      <c r="BC58" s="216">
        <f t="shared" ca="1" si="12"/>
        <v>0.25555555555555554</v>
      </c>
      <c r="BD58" s="224">
        <f ca="1">_xll.qlYieldTSDiscount("_EUR3M",AZ58,,ManualTrigger)</f>
        <v>1.0016371020116435</v>
      </c>
      <c r="BE58" s="205">
        <f t="shared" ca="1" si="13"/>
        <v>5.1962706992158712E-4</v>
      </c>
    </row>
    <row r="59" spans="2:58" x14ac:dyDescent="0.2">
      <c r="B59" s="164" t="s">
        <v>157</v>
      </c>
      <c r="C59" s="114" t="s">
        <v>13</v>
      </c>
      <c r="E59" s="103">
        <v>48309</v>
      </c>
      <c r="F59" s="102">
        <f>_xll.qlYieldTSDiscount(C$23,E59,,RtTrigger)</f>
        <v>0.83897556604790713</v>
      </c>
      <c r="G59" s="168">
        <v>57439</v>
      </c>
      <c r="H59" s="102">
        <f>_xll.qlYieldTSDiscount(C$35,G59,,RtTrigger)</f>
        <v>0.57380580801069114</v>
      </c>
      <c r="I59" s="168" t="e">
        <v>#N/A</v>
      </c>
      <c r="J59" s="102" t="e">
        <f>_xll.qlYieldTSDiscount(C$44,I59,,RtTrigger)</f>
        <v>#NUM!</v>
      </c>
      <c r="K59" s="168" t="e">
        <v>#N/A</v>
      </c>
      <c r="L59" s="102" t="e">
        <f>_xll.qlYieldTSDiscount(C$54,K59,,RtTrigger)</f>
        <v>#NUM!</v>
      </c>
      <c r="N59" s="179">
        <f t="shared" si="4"/>
        <v>51964</v>
      </c>
      <c r="O59" s="181">
        <f t="shared" si="5"/>
        <v>0.71398722557475225</v>
      </c>
      <c r="P59" s="184"/>
      <c r="Q59" s="185"/>
      <c r="X59" s="222" t="s">
        <v>238</v>
      </c>
      <c r="Y59" s="200">
        <f>_xll.xlShmImplAnnuity($C$56,$C$56,$E$24,,12*X43,1,8,4,4,1,1,,0)</f>
        <v>25.652008032270931</v>
      </c>
      <c r="Z59" s="200">
        <f>_xll.xlShmImplAnnuity($C$56,$C$56,$E$24,,12*X43,12,4,12,4,1,1,,0)</f>
        <v>26.166149551656371</v>
      </c>
      <c r="AA59" s="239">
        <f t="shared" si="10"/>
        <v>6.274245703687841</v>
      </c>
      <c r="AU59" s="259" t="s">
        <v>261</v>
      </c>
      <c r="AV59" s="260"/>
      <c r="AW59" s="261"/>
      <c r="AY59" s="213">
        <f ca="1">_xll.qlCalendarAdvance("TARGET",AZ59,"-2D")</f>
        <v>43102</v>
      </c>
      <c r="AZ59" s="223">
        <f ca="1">_xll.qlCalendarAdvance("TARGET",AZ58,"3M","mf")</f>
        <v>43104</v>
      </c>
      <c r="BA59" s="214">
        <f ca="1">_xll.qlYieldTSForwardRate2("_EUR3M",AZ59,"3M","Act/360",,"Quarterly",,ManualTrigger)</f>
        <v>-2.6000000000006018E-3</v>
      </c>
      <c r="BB59" s="215">
        <f t="shared" si="14"/>
        <v>4.8999999999999998E-3</v>
      </c>
      <c r="BC59" s="216">
        <f t="shared" ca="1" si="12"/>
        <v>0.25</v>
      </c>
      <c r="BD59" s="224">
        <f ca="1">_xll.qlYieldTSDiscount("_EUR3M",AZ59,,ManualTrigger)</f>
        <v>1.0023722863963658</v>
      </c>
      <c r="BE59" s="205">
        <f t="shared" ca="1" si="13"/>
        <v>5.7636406467775946E-4</v>
      </c>
    </row>
    <row r="60" spans="2:58" x14ac:dyDescent="0.2">
      <c r="B60" s="165" t="s">
        <v>156</v>
      </c>
      <c r="C60" s="115">
        <v>5</v>
      </c>
      <c r="E60" s="103">
        <v>48673</v>
      </c>
      <c r="F60" s="102">
        <f>_xll.qlYieldTSDiscount(C$23,E60,,RtTrigger)</f>
        <v>0.82274844260968949</v>
      </c>
      <c r="G60" s="168">
        <v>61092</v>
      </c>
      <c r="H60" s="102">
        <f>_xll.qlYieldTSDiscount(C$35,G60,,RtTrigger)</f>
        <v>0.51317883231344585</v>
      </c>
      <c r="I60" s="168" t="e">
        <v>#N/A</v>
      </c>
      <c r="J60" s="102" t="e">
        <f>_xll.qlYieldTSDiscount(C$44,I60,,RtTrigger)</f>
        <v>#NUM!</v>
      </c>
      <c r="K60" s="168" t="e">
        <v>#N/A</v>
      </c>
      <c r="L60" s="102" t="e">
        <f>_xll.qlYieldTSDiscount(C$54,K60,,RtTrigger)</f>
        <v>#NUM!</v>
      </c>
      <c r="N60" s="179">
        <f t="shared" si="4"/>
        <v>53786</v>
      </c>
      <c r="O60" s="181">
        <f t="shared" si="5"/>
        <v>0.66175025296695511</v>
      </c>
      <c r="P60" s="184"/>
      <c r="Q60" s="185"/>
      <c r="AU60" s="81" t="s">
        <v>164</v>
      </c>
      <c r="AV60" s="10"/>
      <c r="AW60" s="82" t="s">
        <v>262</v>
      </c>
      <c r="AY60" s="213">
        <f ca="1">_xll.qlCalendarAdvance("TARGET",AZ60,"-2D")</f>
        <v>43188</v>
      </c>
      <c r="AZ60" s="223">
        <f ca="1">_xll.qlCalendarAdvance("TARGET",AZ59,"3M","mf")</f>
        <v>43194</v>
      </c>
      <c r="BA60" s="214">
        <f ca="1">_xll.qlYieldTSForwardRate2("_EUR3M",AZ60,"3M","Act/360",,"Quarterly",,ManualTrigger)</f>
        <v>-2.2000000000007972E-3</v>
      </c>
      <c r="BB60" s="215">
        <f t="shared" si="14"/>
        <v>4.8999999999999998E-3</v>
      </c>
      <c r="BC60" s="216">
        <f t="shared" ca="1" si="12"/>
        <v>0.25277777777777777</v>
      </c>
      <c r="BD60" s="224">
        <f ca="1">_xll.qlYieldTSDiscount("_EUR3M",AZ60,,ManualTrigger)</f>
        <v>1.0030242521602701</v>
      </c>
      <c r="BE60" s="205">
        <f t="shared" ca="1" si="13"/>
        <v>6.845640520991822E-4</v>
      </c>
    </row>
    <row r="61" spans="2:58" x14ac:dyDescent="0.2">
      <c r="B61" s="107" t="s">
        <v>155</v>
      </c>
      <c r="C61" s="106">
        <f>COUNT(K24:K113)</f>
        <v>34</v>
      </c>
      <c r="E61" s="103">
        <v>49038</v>
      </c>
      <c r="F61" s="102">
        <f>_xll.qlYieldTSDiscount(C$23,E61,,RtTrigger)</f>
        <v>0.80719132140345518</v>
      </c>
      <c r="G61" s="168">
        <v>64745</v>
      </c>
      <c r="H61" s="102">
        <f>_xll.qlYieldTSDiscount(C$35,G61,,RtTrigger)</f>
        <v>0.45574117939946635</v>
      </c>
      <c r="I61" s="168" t="e">
        <v>#N/A</v>
      </c>
      <c r="J61" s="102" t="e">
        <f>_xll.qlYieldTSDiscount(C$44,I61,,RtTrigger)</f>
        <v>#NUM!</v>
      </c>
      <c r="K61" s="168" t="e">
        <v>#N/A</v>
      </c>
      <c r="L61" s="102" t="e">
        <f>_xll.qlYieldTSDiscount(C$54,K61,,RtTrigger)</f>
        <v>#NUM!</v>
      </c>
      <c r="N61" s="179">
        <f t="shared" si="4"/>
        <v>57439</v>
      </c>
      <c r="O61" s="181">
        <f t="shared" si="5"/>
        <v>0.57382350089718692</v>
      </c>
      <c r="P61" s="184"/>
      <c r="Q61" s="185"/>
      <c r="AU61" s="213">
        <f ca="1">AU56</f>
        <v>42829</v>
      </c>
      <c r="AV61" s="230"/>
      <c r="AW61" s="205">
        <f ca="1">AV56*AW56</f>
        <v>0.99997546012532568</v>
      </c>
      <c r="AY61" s="213">
        <f ca="1">_xll.qlCalendarAdvance("TARGET",AZ61,"-2D")</f>
        <v>43283</v>
      </c>
      <c r="AZ61" s="223">
        <f ca="1">_xll.qlCalendarAdvance("TARGET",AZ60,"3M","mf")</f>
        <v>43285</v>
      </c>
      <c r="BA61" s="214">
        <f ca="1">_xll.qlYieldTSForwardRate2("_EUR3M",AZ61,"3M","Act/360",,"Quarterly",,ManualTrigger)</f>
        <v>-1.779342874963894E-3</v>
      </c>
      <c r="BB61" s="215">
        <f t="shared" si="14"/>
        <v>4.8999999999999998E-3</v>
      </c>
      <c r="BC61" s="216">
        <f t="shared" ca="1" si="12"/>
        <v>0.25555555555555554</v>
      </c>
      <c r="BD61" s="224">
        <f ca="1">_xll.qlYieldTSDiscount("_EUR3M",AZ61,,ManualTrigger)</f>
        <v>1.0035823554590562</v>
      </c>
      <c r="BE61" s="205">
        <f t="shared" ca="1" si="13"/>
        <v>8.0035819829830988E-4</v>
      </c>
    </row>
    <row r="62" spans="2:58" x14ac:dyDescent="0.2">
      <c r="B62" s="105" t="s">
        <v>154</v>
      </c>
      <c r="C62" s="104">
        <f>GetNow(_xll.xlPushShmLiborCurveName(C13,C56&amp;T(ManualTrigger),K24:INDEX(K24:K113,C61),L24:INDEX(L24:L113,C61),C57,C58,C59,C60))</f>
        <v>42825.586747685185</v>
      </c>
      <c r="E62" s="103">
        <v>49403</v>
      </c>
      <c r="F62" s="102">
        <f>_xll.qlYieldTSDiscount(C$23,E62,,RtTrigger)</f>
        <v>0.79236690812618005</v>
      </c>
      <c r="G62" s="168" t="e">
        <v>#N/A</v>
      </c>
      <c r="H62" s="102" t="e">
        <f>_xll.qlYieldTSDiscount(C$35,G62,,RtTrigger)</f>
        <v>#NUM!</v>
      </c>
      <c r="I62" s="168" t="e">
        <v>#N/A</v>
      </c>
      <c r="J62" s="102" t="e">
        <f>_xll.qlYieldTSDiscount(C$44,I62,,RtTrigger)</f>
        <v>#NUM!</v>
      </c>
      <c r="K62" s="168" t="e">
        <v>#N/A</v>
      </c>
      <c r="L62" s="102" t="e">
        <f>_xll.qlYieldTSDiscount(C$54,K62,,RtTrigger)</f>
        <v>#NUM!</v>
      </c>
      <c r="N62" s="180">
        <f t="shared" si="4"/>
        <v>61092</v>
      </c>
      <c r="O62" s="183">
        <f t="shared" si="5"/>
        <v>0.51319465581105672</v>
      </c>
      <c r="P62" s="186"/>
      <c r="Q62" s="187"/>
      <c r="AU62" s="213">
        <f ca="1">AU57</f>
        <v>43559</v>
      </c>
      <c r="AV62" s="230"/>
      <c r="AW62" s="205">
        <f ca="1">AV57*AW57</f>
        <v>0.98772478931954699</v>
      </c>
      <c r="AY62" s="213">
        <f ca="1">_xll.qlCalendarAdvance("TARGET",AZ62,"-2D")</f>
        <v>43375</v>
      </c>
      <c r="AZ62" s="223">
        <f ca="1">_xll.qlCalendarAdvance("TARGET",AZ61,"3M","mf")</f>
        <v>43377</v>
      </c>
      <c r="BA62" s="214">
        <f ca="1">_xll.qlYieldTSForwardRate2("_EUR3M",AZ62,"3M","Act/360",,"Quarterly",,ManualTrigger)</f>
        <v>-1.309254685887032E-3</v>
      </c>
      <c r="BB62" s="215">
        <f t="shared" si="14"/>
        <v>4.8999999999999998E-3</v>
      </c>
      <c r="BC62" s="216">
        <f t="shared" ca="1" si="12"/>
        <v>0.25555555555555554</v>
      </c>
      <c r="BD62" s="224">
        <f ca="1">_xll.qlYieldTSDiscount("_EUR3M",AZ62,,ManualTrigger)</f>
        <v>1.0040389129943732</v>
      </c>
      <c r="BE62" s="205">
        <f t="shared" ca="1" si="13"/>
        <v>9.2134116118330368E-4</v>
      </c>
    </row>
    <row r="63" spans="2:58" x14ac:dyDescent="0.2">
      <c r="B63"/>
      <c r="C63"/>
      <c r="E63" s="103">
        <v>49769</v>
      </c>
      <c r="F63" s="102">
        <f>_xll.qlYieldTSDiscount(C$23,E63,,RtTrigger)</f>
        <v>0.77827266685348662</v>
      </c>
      <c r="G63" s="168" t="e">
        <v>#N/A</v>
      </c>
      <c r="H63" s="102" t="e">
        <f>_xll.qlYieldTSDiscount(C$35,G63,,RtTrigger)</f>
        <v>#NUM!</v>
      </c>
      <c r="I63" s="168" t="e">
        <v>#N/A</v>
      </c>
      <c r="J63" s="102" t="e">
        <f>_xll.qlYieldTSDiscount(C$44,I63,,RtTrigger)</f>
        <v>#NUM!</v>
      </c>
      <c r="K63" s="168" t="e">
        <v>#N/A</v>
      </c>
      <c r="L63" s="102" t="e">
        <f>_xll.qlYieldTSDiscount(C$54,K63,,RtTrigger)</f>
        <v>#NUM!</v>
      </c>
      <c r="AU63" s="221" t="s">
        <v>264</v>
      </c>
      <c r="AV63" s="218"/>
      <c r="AW63" s="205">
        <v>0.4</v>
      </c>
      <c r="AY63" s="213">
        <f ca="1">_xll.qlCalendarAdvance("TARGET",AZ63,"-2D")</f>
        <v>43467</v>
      </c>
      <c r="AZ63" s="223">
        <f ca="1">_xll.qlCalendarAdvance("TARGET",AZ62,"3M","mf")</f>
        <v>43469</v>
      </c>
      <c r="BA63" s="214">
        <f ca="1">_xll.qlYieldTSForwardRate2("_EUR3M",AZ63,"3M","Act/360",,"Quarterly",,ManualTrigger)</f>
        <v>-8.1557110791452558E-4</v>
      </c>
      <c r="BB63" s="215">
        <f t="shared" si="14"/>
        <v>4.8999999999999998E-3</v>
      </c>
      <c r="BC63" s="216">
        <f t="shared" ca="1" si="12"/>
        <v>0.25</v>
      </c>
      <c r="BD63" s="224">
        <f ca="1">_xll.qlYieldTSDiscount("_EUR3M",AZ63,,ManualTrigger)</f>
        <v>1.0043749641104558</v>
      </c>
      <c r="BE63" s="205">
        <f t="shared" ca="1" si="13"/>
        <v>1.0255745304750142E-3</v>
      </c>
    </row>
    <row r="64" spans="2:58" x14ac:dyDescent="0.2">
      <c r="B64"/>
      <c r="C64"/>
      <c r="E64" s="103">
        <v>50137</v>
      </c>
      <c r="F64" s="102">
        <f>_xll.qlYieldTSDiscount(C$23,E64,,RtTrigger)</f>
        <v>0.76460877051448206</v>
      </c>
      <c r="G64" s="168" t="e">
        <v>#N/A</v>
      </c>
      <c r="H64" s="102" t="e">
        <f>_xll.qlYieldTSDiscount(C$35,G64,,RtTrigger)</f>
        <v>#NUM!</v>
      </c>
      <c r="I64" s="168" t="e">
        <v>#N/A</v>
      </c>
      <c r="J64" s="102" t="e">
        <f>_xll.qlYieldTSDiscount(C$44,I64,,RtTrigger)</f>
        <v>#NUM!</v>
      </c>
      <c r="K64" s="168" t="e">
        <v>#N/A</v>
      </c>
      <c r="L64" s="102" t="e">
        <f>_xll.qlYieldTSDiscount(C$54,K64,,RtTrigger)</f>
        <v>#NUM!</v>
      </c>
      <c r="AU64" s="221" t="s">
        <v>271</v>
      </c>
      <c r="AV64" s="218"/>
      <c r="AW64" s="205">
        <f ca="1">AW63*(1-AW57)*AV57</f>
        <v>6.7420005416503346E-3</v>
      </c>
      <c r="AY64" s="227"/>
      <c r="AZ64" s="228">
        <f ca="1">_xll.qlCalendarAdvance("TARGET",AZ63,"3M","mf")</f>
        <v>43559</v>
      </c>
      <c r="BA64" s="229"/>
      <c r="BB64" s="219"/>
      <c r="BC64" s="219"/>
      <c r="BD64" s="219"/>
      <c r="BE64" s="187"/>
    </row>
    <row r="65" spans="2:54" x14ac:dyDescent="0.2">
      <c r="B65"/>
      <c r="C65"/>
      <c r="E65" s="103">
        <v>50500</v>
      </c>
      <c r="F65" s="102">
        <f>_xll.qlYieldTSDiscount(C$23,E65,,RtTrigger)</f>
        <v>0.75168540794017169</v>
      </c>
      <c r="G65" s="168" t="e">
        <v>#N/A</v>
      </c>
      <c r="H65" s="102" t="e">
        <f>_xll.qlYieldTSDiscount(C$35,G65,,RtTrigger)</f>
        <v>#NUM!</v>
      </c>
      <c r="I65" s="168" t="e">
        <v>#N/A</v>
      </c>
      <c r="J65" s="102" t="e">
        <f>_xll.qlYieldTSDiscount(C$44,I65,,RtTrigger)</f>
        <v>#NUM!</v>
      </c>
      <c r="K65" s="168" t="e">
        <v>#N/A</v>
      </c>
      <c r="L65" s="102" t="e">
        <f>_xll.qlYieldTSDiscount(C$54,K65,,RtTrigger)</f>
        <v>#NUM!</v>
      </c>
      <c r="AU65" s="221" t="s">
        <v>272</v>
      </c>
      <c r="AV65" s="218"/>
      <c r="AW65" s="234">
        <f ca="1">-AW61+AW62</f>
        <v>-1.2250670805778685E-2</v>
      </c>
    </row>
    <row r="66" spans="2:54" x14ac:dyDescent="0.2">
      <c r="B66"/>
      <c r="C66"/>
      <c r="E66" s="103">
        <v>50864</v>
      </c>
      <c r="F66" s="102">
        <f>_xll.qlYieldTSDiscount(C$23,E66,,RtTrigger)</f>
        <v>0.73923351918438263</v>
      </c>
      <c r="G66" s="168" t="e">
        <v>#N/A</v>
      </c>
      <c r="H66" s="102" t="e">
        <f>_xll.qlYieldTSDiscount(C$35,G66,,RtTrigger)</f>
        <v>#NUM!</v>
      </c>
      <c r="I66" s="168" t="e">
        <v>#N/A</v>
      </c>
      <c r="J66" s="102" t="e">
        <f>_xll.qlYieldTSDiscount(C$44,I66,,RtTrigger)</f>
        <v>#NUM!</v>
      </c>
      <c r="K66" s="168" t="e">
        <v>#N/A</v>
      </c>
      <c r="L66" s="102" t="e">
        <f>_xll.qlYieldTSDiscount(C$54,K66,,RtTrigger)</f>
        <v>#NUM!</v>
      </c>
      <c r="AU66" s="222" t="s">
        <v>263</v>
      </c>
      <c r="AV66" s="219"/>
      <c r="AW66" s="235">
        <f ca="1">AW65+AW64</f>
        <v>-5.5086702641283505E-3</v>
      </c>
    </row>
    <row r="67" spans="2:54" ht="11.25" customHeight="1" x14ac:dyDescent="0.2">
      <c r="B67"/>
      <c r="C67"/>
      <c r="E67" s="103">
        <v>51230</v>
      </c>
      <c r="F67" s="102">
        <f>_xll.qlYieldTSDiscount(C$23,E67,,RtTrigger)</f>
        <v>0.7273175254021601</v>
      </c>
      <c r="G67" s="168" t="e">
        <v>#N/A</v>
      </c>
      <c r="H67" s="102" t="e">
        <f>_xll.qlYieldTSDiscount(C$35,G67,,RtTrigger)</f>
        <v>#NUM!</v>
      </c>
      <c r="I67" s="168" t="e">
        <v>#N/A</v>
      </c>
      <c r="J67" s="102" t="e">
        <f>_xll.qlYieldTSDiscount(C$44,I67,,RtTrigger)</f>
        <v>#NUM!</v>
      </c>
      <c r="K67" s="168" t="e">
        <v>#N/A</v>
      </c>
      <c r="L67" s="102" t="e">
        <f>_xll.qlYieldTSDiscount(C$54,K67,,RtTrigger)</f>
        <v>#NUM!</v>
      </c>
      <c r="AY67" s="244" t="s">
        <v>266</v>
      </c>
      <c r="AZ67" s="245"/>
      <c r="BA67" s="246">
        <v>100000000</v>
      </c>
      <c r="BB67" s="247"/>
    </row>
    <row r="68" spans="2:54" ht="11.25" customHeight="1" x14ac:dyDescent="0.2">
      <c r="B68"/>
      <c r="C68"/>
      <c r="E68" s="103">
        <v>51595</v>
      </c>
      <c r="F68" s="102">
        <f>_xll.qlYieldTSDiscount(C$23,E68,,RtTrigger)</f>
        <v>0.71581786444689699</v>
      </c>
      <c r="G68" s="168" t="e">
        <v>#N/A</v>
      </c>
      <c r="H68" s="102" t="e">
        <f>_xll.qlYieldTSDiscount(C$35,G68,,RtTrigger)</f>
        <v>#NUM!</v>
      </c>
      <c r="I68" s="168" t="e">
        <v>#N/A</v>
      </c>
      <c r="J68" s="102" t="e">
        <f>_xll.qlYieldTSDiscount(C$44,I68,,RtTrigger)</f>
        <v>#NUM!</v>
      </c>
      <c r="K68" s="168" t="e">
        <v>#N/A</v>
      </c>
      <c r="L68" s="102" t="e">
        <f>_xll.qlYieldTSDiscount(C$54,K68,,RtTrigger)</f>
        <v>#NUM!</v>
      </c>
      <c r="AU68" s="259" t="s">
        <v>265</v>
      </c>
      <c r="AV68" s="260"/>
      <c r="AW68" s="261"/>
      <c r="AY68" s="248" t="s">
        <v>267</v>
      </c>
      <c r="AZ68" s="249"/>
      <c r="BA68" s="252">
        <f ca="1">(AW66+AW69)*BA67</f>
        <v>-12472.747902400519</v>
      </c>
      <c r="BB68" s="253"/>
    </row>
    <row r="69" spans="2:54" ht="12.75" customHeight="1" x14ac:dyDescent="0.2">
      <c r="B69"/>
      <c r="C69"/>
      <c r="E69" s="103">
        <v>51964</v>
      </c>
      <c r="F69" s="102">
        <f>_xll.qlYieldTSDiscount(C$23,E69,,RtTrigger)</f>
        <v>0.70445494003637432</v>
      </c>
      <c r="G69" s="168" t="e">
        <v>#N/A</v>
      </c>
      <c r="H69" s="102" t="e">
        <f>_xll.qlYieldTSDiscount(C$35,G69,,RtTrigger)</f>
        <v>#NUM!</v>
      </c>
      <c r="I69" s="168" t="e">
        <v>#N/A</v>
      </c>
      <c r="J69" s="102" t="e">
        <f>_xll.qlYieldTSDiscount(C$44,I69,,RtTrigger)</f>
        <v>#NUM!</v>
      </c>
      <c r="K69" s="168" t="e">
        <v>#N/A</v>
      </c>
      <c r="L69" s="102" t="e">
        <f>_xll.qlYieldTSDiscount(C$54,K69,,RtTrigger)</f>
        <v>#NUM!</v>
      </c>
      <c r="AU69" s="222" t="s">
        <v>263</v>
      </c>
      <c r="AV69" s="219"/>
      <c r="AW69" s="207">
        <f ca="1">SUM(BE56:BE63)</f>
        <v>5.3839427851043453E-3</v>
      </c>
      <c r="AY69" s="250"/>
      <c r="AZ69" s="251"/>
      <c r="BA69" s="254"/>
      <c r="BB69" s="255"/>
    </row>
    <row r="70" spans="2:54" x14ac:dyDescent="0.2">
      <c r="B70"/>
      <c r="C70"/>
      <c r="E70" s="103">
        <v>52327</v>
      </c>
      <c r="F70" s="102">
        <f>_xll.qlYieldTSDiscount(C$23,E70,,RtTrigger)</f>
        <v>0.69373309760460966</v>
      </c>
      <c r="G70" s="168" t="e">
        <v>#N/A</v>
      </c>
      <c r="H70" s="102" t="e">
        <f>_xll.qlYieldTSDiscount(C$35,G70,,RtTrigger)</f>
        <v>#NUM!</v>
      </c>
      <c r="I70" s="168" t="e">
        <v>#N/A</v>
      </c>
      <c r="J70" s="102" t="e">
        <f>_xll.qlYieldTSDiscount(C$44,I70,,RtTrigger)</f>
        <v>#NUM!</v>
      </c>
      <c r="K70" s="168" t="e">
        <v>#N/A</v>
      </c>
      <c r="L70" s="102" t="e">
        <f>_xll.qlYieldTSDiscount(C$54,K70,,RtTrigger)</f>
        <v>#NUM!</v>
      </c>
      <c r="AY70" s="220"/>
      <c r="AZ70" s="201"/>
    </row>
    <row r="71" spans="2:54" x14ac:dyDescent="0.2">
      <c r="B71"/>
      <c r="C71"/>
      <c r="E71" s="103">
        <v>52691</v>
      </c>
      <c r="F71" s="102">
        <f>_xll.qlYieldTSDiscount(C$23,E71,,RtTrigger)</f>
        <v>0.68307379682019043</v>
      </c>
      <c r="G71" s="168" t="e">
        <v>#N/A</v>
      </c>
      <c r="H71" s="102" t="e">
        <f>_xll.qlYieldTSDiscount(C$35,G71,,RtTrigger)</f>
        <v>#NUM!</v>
      </c>
      <c r="I71" s="168" t="e">
        <v>#N/A</v>
      </c>
      <c r="J71" s="102" t="e">
        <f>_xll.qlYieldTSDiscount(C$44,I71,,RtTrigger)</f>
        <v>#NUM!</v>
      </c>
      <c r="K71" s="168" t="e">
        <v>#N/A</v>
      </c>
      <c r="L71" s="102" t="e">
        <f>_xll.qlYieldTSDiscount(C$54,K71,,RtTrigger)</f>
        <v>#NUM!</v>
      </c>
      <c r="AY71" s="220"/>
      <c r="AZ71" s="201"/>
    </row>
    <row r="72" spans="2:54" x14ac:dyDescent="0.2">
      <c r="B72"/>
      <c r="C72"/>
      <c r="E72" s="103">
        <v>53056</v>
      </c>
      <c r="F72" s="102">
        <f>_xll.qlYieldTSDiscount(C$23,E72,,RtTrigger)</f>
        <v>0.67289670497947429</v>
      </c>
      <c r="G72" s="168" t="e">
        <v>#N/A</v>
      </c>
      <c r="H72" s="102" t="e">
        <f>_xll.qlYieldTSDiscount(C$35,G72,,RtTrigger)</f>
        <v>#NUM!</v>
      </c>
      <c r="I72" s="168" t="e">
        <v>#N/A</v>
      </c>
      <c r="J72" s="102" t="e">
        <f>_xll.qlYieldTSDiscount(C$44,I72,,RtTrigger)</f>
        <v>#NUM!</v>
      </c>
      <c r="K72" s="168" t="e">
        <v>#N/A</v>
      </c>
      <c r="L72" s="102" t="e">
        <f>_xll.qlYieldTSDiscount(C$54,K72,,RtTrigger)</f>
        <v>#NUM!</v>
      </c>
      <c r="AY72" s="220"/>
      <c r="AZ72" s="201"/>
    </row>
    <row r="73" spans="2:54" x14ac:dyDescent="0.2">
      <c r="B73"/>
      <c r="C73"/>
      <c r="E73" s="103">
        <v>53421</v>
      </c>
      <c r="F73" s="102">
        <f>_xll.qlYieldTSDiscount(C$23,E73,,RtTrigger)</f>
        <v>0.66280494674833901</v>
      </c>
      <c r="G73" s="168" t="e">
        <v>#N/A</v>
      </c>
      <c r="H73" s="102" t="e">
        <f>_xll.qlYieldTSDiscount(C$35,G73,,RtTrigger)</f>
        <v>#NUM!</v>
      </c>
      <c r="I73" s="168" t="e">
        <v>#N/A</v>
      </c>
      <c r="J73" s="102" t="e">
        <f>_xll.qlYieldTSDiscount(C$44,I73,,RtTrigger)</f>
        <v>#NUM!</v>
      </c>
      <c r="K73" s="168" t="e">
        <v>#N/A</v>
      </c>
      <c r="L73" s="102" t="e">
        <f>_xll.qlYieldTSDiscount(C$54,K73,,RtTrigger)</f>
        <v>#NUM!</v>
      </c>
      <c r="AY73" s="220"/>
      <c r="AZ73" s="201"/>
    </row>
    <row r="74" spans="2:54" x14ac:dyDescent="0.2">
      <c r="B74"/>
      <c r="C74"/>
      <c r="E74" s="103">
        <v>53786</v>
      </c>
      <c r="F74" s="102">
        <f>_xll.qlYieldTSDiscount(C$23,E74,,RtTrigger)</f>
        <v>0.65304620552784798</v>
      </c>
      <c r="G74" s="168" t="e">
        <v>#N/A</v>
      </c>
      <c r="H74" s="102" t="e">
        <f>_xll.qlYieldTSDiscount(C$35,G74,,RtTrigger)</f>
        <v>#NUM!</v>
      </c>
      <c r="I74" s="168" t="e">
        <v>#N/A</v>
      </c>
      <c r="J74" s="102" t="e">
        <f>_xll.qlYieldTSDiscount(C$44,I74,,RtTrigger)</f>
        <v>#NUM!</v>
      </c>
      <c r="K74" s="168" t="e">
        <v>#N/A</v>
      </c>
      <c r="L74" s="102" t="e">
        <f>_xll.qlYieldTSDiscount(C$54,K74,,RtTrigger)</f>
        <v>#NUM!</v>
      </c>
      <c r="AY74" s="220"/>
      <c r="AZ74" s="201"/>
    </row>
    <row r="75" spans="2:54" x14ac:dyDescent="0.2">
      <c r="B75"/>
      <c r="C75"/>
      <c r="E75" s="103">
        <v>55613</v>
      </c>
      <c r="F75" s="102">
        <f>_xll.qlYieldTSDiscount(C$23,E75,,RtTrigger)</f>
        <v>0.60702204828386752</v>
      </c>
      <c r="G75" s="168" t="e">
        <v>#N/A</v>
      </c>
      <c r="H75" s="102" t="e">
        <f>_xll.qlYieldTSDiscount(C$35,G75,,RtTrigger)</f>
        <v>#NUM!</v>
      </c>
      <c r="I75" s="168" t="e">
        <v>#N/A</v>
      </c>
      <c r="J75" s="102" t="e">
        <f>_xll.qlYieldTSDiscount(C$44,I75,,RtTrigger)</f>
        <v>#NUM!</v>
      </c>
      <c r="K75" s="168" t="e">
        <v>#N/A</v>
      </c>
      <c r="L75" s="102" t="e">
        <f>_xll.qlYieldTSDiscount(C$54,K75,,RtTrigger)</f>
        <v>#NUM!</v>
      </c>
    </row>
    <row r="76" spans="2:54" x14ac:dyDescent="0.2">
      <c r="B76"/>
      <c r="C76"/>
      <c r="E76" s="103">
        <v>57439</v>
      </c>
      <c r="F76" s="102">
        <f>_xll.qlYieldTSDiscount(C$23,E76,,RtTrigger)</f>
        <v>0.56648326141493621</v>
      </c>
      <c r="G76" s="168" t="e">
        <v>#N/A</v>
      </c>
      <c r="H76" s="102" t="e">
        <f>_xll.qlYieldTSDiscount(C$35,G76,,RtTrigger)</f>
        <v>#NUM!</v>
      </c>
      <c r="I76" s="168" t="e">
        <v>#N/A</v>
      </c>
      <c r="J76" s="102" t="e">
        <f>_xll.qlYieldTSDiscount(C$44,I76,,RtTrigger)</f>
        <v>#NUM!</v>
      </c>
      <c r="K76" s="168" t="e">
        <v>#N/A</v>
      </c>
      <c r="L76" s="102" t="e">
        <f>_xll.qlYieldTSDiscount(C$54,K76,,RtTrigger)</f>
        <v>#NUM!</v>
      </c>
    </row>
    <row r="77" spans="2:54" x14ac:dyDescent="0.2">
      <c r="B77"/>
      <c r="C77"/>
      <c r="E77" s="103">
        <v>61092</v>
      </c>
      <c r="F77" s="102">
        <f>_xll.qlYieldTSDiscount(C$23,E77,,RtTrigger)</f>
        <v>0.50691090822137064</v>
      </c>
      <c r="G77" s="168" t="e">
        <v>#N/A</v>
      </c>
      <c r="H77" s="102" t="e">
        <f>_xll.qlYieldTSDiscount(C$35,G77,,RtTrigger)</f>
        <v>#NUM!</v>
      </c>
      <c r="I77" s="168" t="e">
        <v>#N/A</v>
      </c>
      <c r="J77" s="102" t="e">
        <f>_xll.qlYieldTSDiscount(C$44,I77,,RtTrigger)</f>
        <v>#NUM!</v>
      </c>
      <c r="K77" s="168" t="e">
        <v>#N/A</v>
      </c>
      <c r="L77" s="102" t="e">
        <f>_xll.qlYieldTSDiscount(C$54,K77,,RtTrigger)</f>
        <v>#NUM!</v>
      </c>
      <c r="AU77" s="202"/>
    </row>
    <row r="78" spans="2:54" x14ac:dyDescent="0.2">
      <c r="B78"/>
      <c r="C78"/>
      <c r="E78" s="103">
        <v>64745</v>
      </c>
      <c r="F78" s="102">
        <f>_xll.qlYieldTSDiscount(C$23,E78,,RtTrigger)</f>
        <v>0.45050961439358855</v>
      </c>
      <c r="G78" s="168" t="e">
        <v>#N/A</v>
      </c>
      <c r="H78" s="102" t="e">
        <f>_xll.qlYieldTSDiscount(C$35,G78,,RtTrigger)</f>
        <v>#NUM!</v>
      </c>
      <c r="I78" s="168" t="e">
        <v>#N/A</v>
      </c>
      <c r="J78" s="102" t="e">
        <f>_xll.qlYieldTSDiscount(C$44,I78,,RtTrigger)</f>
        <v>#NUM!</v>
      </c>
      <c r="K78" s="168" t="e">
        <v>#N/A</v>
      </c>
      <c r="L78" s="102" t="e">
        <f>_xll.qlYieldTSDiscount(C$54,K78,,RtTrigger)</f>
        <v>#NUM!</v>
      </c>
      <c r="AU78" s="202"/>
    </row>
    <row r="79" spans="2:54" x14ac:dyDescent="0.2">
      <c r="B79"/>
      <c r="C79"/>
      <c r="E79" s="103" t="e">
        <v>#N/A</v>
      </c>
      <c r="F79" s="102" t="e">
        <f>_xll.qlYieldTSDiscount(C$23,E79,,RtTrigger)</f>
        <v>#NUM!</v>
      </c>
      <c r="G79" s="168" t="e">
        <v>#N/A</v>
      </c>
      <c r="H79" s="102" t="e">
        <f>_xll.qlYieldTSDiscount(C$35,G79,,RtTrigger)</f>
        <v>#NUM!</v>
      </c>
      <c r="I79" s="168" t="e">
        <v>#N/A</v>
      </c>
      <c r="J79" s="102" t="e">
        <f>_xll.qlYieldTSDiscount(C$44,I79,,RtTrigger)</f>
        <v>#NUM!</v>
      </c>
      <c r="K79" s="168" t="e">
        <v>#N/A</v>
      </c>
      <c r="L79" s="102" t="e">
        <f>_xll.qlYieldTSDiscount(C$54,K79,,RtTrigger)</f>
        <v>#NUM!</v>
      </c>
    </row>
    <row r="80" spans="2:54" x14ac:dyDescent="0.2">
      <c r="B80"/>
      <c r="C80"/>
      <c r="E80" s="103" t="e">
        <v>#N/A</v>
      </c>
      <c r="F80" s="102" t="e">
        <f>_xll.qlYieldTSDiscount(C$23,E80,,RtTrigger)</f>
        <v>#NUM!</v>
      </c>
      <c r="G80" s="168" t="e">
        <v>#N/A</v>
      </c>
      <c r="H80" s="102" t="e">
        <f>_xll.qlYieldTSDiscount(C$35,G80,,RtTrigger)</f>
        <v>#NUM!</v>
      </c>
      <c r="I80" s="168" t="e">
        <v>#N/A</v>
      </c>
      <c r="J80" s="102" t="e">
        <f>_xll.qlYieldTSDiscount(C$44,I80,,RtTrigger)</f>
        <v>#NUM!</v>
      </c>
      <c r="K80" s="168" t="e">
        <v>#N/A</v>
      </c>
      <c r="L80" s="102" t="e">
        <f>_xll.qlYieldTSDiscount(C$54,K80,,RtTrigger)</f>
        <v>#NUM!</v>
      </c>
    </row>
    <row r="81" spans="2:12" x14ac:dyDescent="0.2">
      <c r="B81"/>
      <c r="C81"/>
      <c r="E81" s="103" t="e">
        <v>#N/A</v>
      </c>
      <c r="F81" s="102" t="e">
        <f>_xll.qlYieldTSDiscount(C$23,E81,,RtTrigger)</f>
        <v>#NUM!</v>
      </c>
      <c r="G81" s="168" t="e">
        <v>#N/A</v>
      </c>
      <c r="H81" s="102" t="e">
        <f>_xll.qlYieldTSDiscount(C$35,G81,,RtTrigger)</f>
        <v>#NUM!</v>
      </c>
      <c r="I81" s="168" t="e">
        <v>#N/A</v>
      </c>
      <c r="J81" s="102" t="e">
        <f>_xll.qlYieldTSDiscount(C$44,I81,,RtTrigger)</f>
        <v>#NUM!</v>
      </c>
      <c r="K81" s="168" t="e">
        <v>#N/A</v>
      </c>
      <c r="L81" s="102" t="e">
        <f>_xll.qlYieldTSDiscount(C$54,K81,,RtTrigger)</f>
        <v>#NUM!</v>
      </c>
    </row>
    <row r="82" spans="2:12" x14ac:dyDescent="0.2">
      <c r="B82"/>
      <c r="C82"/>
      <c r="E82" s="103" t="e">
        <v>#N/A</v>
      </c>
      <c r="F82" s="102" t="e">
        <f>_xll.qlYieldTSDiscount(C$23,E82,,RtTrigger)</f>
        <v>#NUM!</v>
      </c>
      <c r="G82" s="168" t="e">
        <v>#N/A</v>
      </c>
      <c r="H82" s="102" t="e">
        <f>_xll.qlYieldTSDiscount(C$35,G82,,RtTrigger)</f>
        <v>#NUM!</v>
      </c>
      <c r="I82" s="168" t="e">
        <v>#N/A</v>
      </c>
      <c r="J82" s="102" t="e">
        <f>_xll.qlYieldTSDiscount(C$44,I82,,RtTrigger)</f>
        <v>#NUM!</v>
      </c>
      <c r="K82" s="168" t="e">
        <v>#N/A</v>
      </c>
      <c r="L82" s="102" t="e">
        <f>_xll.qlYieldTSDiscount(C$54,K82,,RtTrigger)</f>
        <v>#NUM!</v>
      </c>
    </row>
    <row r="83" spans="2:12" x14ac:dyDescent="0.2">
      <c r="B83"/>
      <c r="C83"/>
      <c r="E83" s="103" t="e">
        <v>#N/A</v>
      </c>
      <c r="F83" s="102" t="e">
        <f>_xll.qlYieldTSDiscount(C$23,E83,,RtTrigger)</f>
        <v>#NUM!</v>
      </c>
      <c r="G83" s="168" t="e">
        <v>#N/A</v>
      </c>
      <c r="H83" s="102" t="e">
        <f>_xll.qlYieldTSDiscount(C$35,G83,,RtTrigger)</f>
        <v>#NUM!</v>
      </c>
      <c r="I83" s="168" t="e">
        <v>#N/A</v>
      </c>
      <c r="J83" s="102" t="e">
        <f>_xll.qlYieldTSDiscount(C$44,I83,,RtTrigger)</f>
        <v>#NUM!</v>
      </c>
      <c r="K83" s="168" t="e">
        <v>#N/A</v>
      </c>
      <c r="L83" s="102" t="e">
        <f>_xll.qlYieldTSDiscount(C$54,K83,,RtTrigger)</f>
        <v>#NUM!</v>
      </c>
    </row>
    <row r="84" spans="2:12" x14ac:dyDescent="0.2">
      <c r="B84"/>
      <c r="C84"/>
      <c r="E84" s="103" t="e">
        <v>#N/A</v>
      </c>
      <c r="F84" s="102" t="e">
        <f>_xll.qlYieldTSDiscount(C$23,E84,,RtTrigger)</f>
        <v>#NUM!</v>
      </c>
      <c r="G84" s="168" t="e">
        <v>#N/A</v>
      </c>
      <c r="H84" s="102" t="e">
        <f>_xll.qlYieldTSDiscount(C$35,G84,,RtTrigger)</f>
        <v>#NUM!</v>
      </c>
      <c r="I84" s="168" t="e">
        <v>#N/A</v>
      </c>
      <c r="J84" s="102" t="e">
        <f>_xll.qlYieldTSDiscount(C$44,I84,,RtTrigger)</f>
        <v>#NUM!</v>
      </c>
      <c r="K84" s="168" t="e">
        <v>#N/A</v>
      </c>
      <c r="L84" s="102" t="e">
        <f>_xll.qlYieldTSDiscount(C$54,K84,,RtTrigger)</f>
        <v>#NUM!</v>
      </c>
    </row>
    <row r="85" spans="2:12" x14ac:dyDescent="0.2">
      <c r="B85"/>
      <c r="C85"/>
      <c r="E85" s="103" t="e">
        <v>#N/A</v>
      </c>
      <c r="F85" s="102" t="e">
        <f>_xll.qlYieldTSDiscount(C$23,E85,,RtTrigger)</f>
        <v>#NUM!</v>
      </c>
      <c r="G85" s="168" t="e">
        <v>#N/A</v>
      </c>
      <c r="H85" s="102" t="e">
        <f>_xll.qlYieldTSDiscount(C$35,G85,,RtTrigger)</f>
        <v>#NUM!</v>
      </c>
      <c r="I85" s="168" t="e">
        <v>#N/A</v>
      </c>
      <c r="J85" s="102" t="e">
        <f>_xll.qlYieldTSDiscount(C$44,I85,,RtTrigger)</f>
        <v>#NUM!</v>
      </c>
      <c r="K85" s="168" t="e">
        <v>#N/A</v>
      </c>
      <c r="L85" s="102" t="e">
        <f>_xll.qlYieldTSDiscount(C$54,K85,,RtTrigger)</f>
        <v>#NUM!</v>
      </c>
    </row>
    <row r="86" spans="2:12" x14ac:dyDescent="0.2">
      <c r="B86"/>
      <c r="C86"/>
      <c r="E86" s="103" t="e">
        <v>#N/A</v>
      </c>
      <c r="F86" s="102" t="e">
        <f>_xll.qlYieldTSDiscount(C$23,E86,,RtTrigger)</f>
        <v>#NUM!</v>
      </c>
      <c r="G86" s="168" t="e">
        <v>#N/A</v>
      </c>
      <c r="H86" s="102" t="e">
        <f>_xll.qlYieldTSDiscount(C$35,G86,,RtTrigger)</f>
        <v>#NUM!</v>
      </c>
      <c r="I86" s="168" t="e">
        <v>#N/A</v>
      </c>
      <c r="J86" s="102" t="e">
        <f>_xll.qlYieldTSDiscount(C$44,I86,,RtTrigger)</f>
        <v>#NUM!</v>
      </c>
      <c r="K86" s="168" t="e">
        <v>#N/A</v>
      </c>
      <c r="L86" s="102" t="e">
        <f>_xll.qlYieldTSDiscount(C$54,K86,,RtTrigger)</f>
        <v>#NUM!</v>
      </c>
    </row>
    <row r="87" spans="2:12" x14ac:dyDescent="0.2">
      <c r="B87"/>
      <c r="C87"/>
      <c r="E87" s="103" t="e">
        <v>#N/A</v>
      </c>
      <c r="F87" s="102" t="e">
        <f>_xll.qlYieldTSDiscount(C$23,E87,,RtTrigger)</f>
        <v>#NUM!</v>
      </c>
      <c r="G87" s="168" t="e">
        <v>#N/A</v>
      </c>
      <c r="H87" s="102" t="e">
        <f>_xll.qlYieldTSDiscount(C$35,G87,,RtTrigger)</f>
        <v>#NUM!</v>
      </c>
      <c r="I87" s="168" t="e">
        <v>#N/A</v>
      </c>
      <c r="J87" s="102" t="e">
        <f>_xll.qlYieldTSDiscount(C$44,I87,,RtTrigger)</f>
        <v>#NUM!</v>
      </c>
      <c r="K87" s="168" t="e">
        <v>#N/A</v>
      </c>
      <c r="L87" s="102" t="e">
        <f>_xll.qlYieldTSDiscount(C$54,K87,,RtTrigger)</f>
        <v>#NUM!</v>
      </c>
    </row>
    <row r="88" spans="2:12" x14ac:dyDescent="0.2">
      <c r="B88"/>
      <c r="C88"/>
      <c r="E88" s="103" t="e">
        <v>#N/A</v>
      </c>
      <c r="F88" s="102" t="e">
        <f>_xll.qlYieldTSDiscount(C$23,E88,,RtTrigger)</f>
        <v>#NUM!</v>
      </c>
      <c r="G88" s="168" t="e">
        <v>#N/A</v>
      </c>
      <c r="H88" s="102" t="e">
        <f>_xll.qlYieldTSDiscount(C$35,G88,,RtTrigger)</f>
        <v>#NUM!</v>
      </c>
      <c r="I88" s="168" t="e">
        <v>#N/A</v>
      </c>
      <c r="J88" s="102" t="e">
        <f>_xll.qlYieldTSDiscount(C$44,I88,,RtTrigger)</f>
        <v>#NUM!</v>
      </c>
      <c r="K88" s="168" t="e">
        <v>#N/A</v>
      </c>
      <c r="L88" s="102" t="e">
        <f>_xll.qlYieldTSDiscount(C$54,K88,,RtTrigger)</f>
        <v>#NUM!</v>
      </c>
    </row>
    <row r="89" spans="2:12" x14ac:dyDescent="0.2">
      <c r="B89"/>
      <c r="C89"/>
      <c r="E89" s="103" t="e">
        <v>#N/A</v>
      </c>
      <c r="F89" s="102" t="e">
        <f>_xll.qlYieldTSDiscount(C$23,E89,,RtTrigger)</f>
        <v>#NUM!</v>
      </c>
      <c r="G89" s="168" t="e">
        <v>#N/A</v>
      </c>
      <c r="H89" s="102" t="e">
        <f>_xll.qlYieldTSDiscount(C$35,G89,,RtTrigger)</f>
        <v>#NUM!</v>
      </c>
      <c r="I89" s="168" t="e">
        <v>#N/A</v>
      </c>
      <c r="J89" s="102" t="e">
        <f>_xll.qlYieldTSDiscount(C$44,I89,,RtTrigger)</f>
        <v>#NUM!</v>
      </c>
      <c r="K89" s="168" t="e">
        <v>#N/A</v>
      </c>
      <c r="L89" s="102" t="e">
        <f>_xll.qlYieldTSDiscount(C$54,K89,,RtTrigger)</f>
        <v>#NUM!</v>
      </c>
    </row>
    <row r="90" spans="2:12" x14ac:dyDescent="0.2">
      <c r="B90"/>
      <c r="C90"/>
      <c r="E90" s="103" t="e">
        <v>#N/A</v>
      </c>
      <c r="F90" s="102" t="e">
        <f>_xll.qlYieldTSDiscount(C$23,E90,,RtTrigger)</f>
        <v>#NUM!</v>
      </c>
      <c r="G90" s="168" t="e">
        <v>#N/A</v>
      </c>
      <c r="H90" s="102" t="e">
        <f>_xll.qlYieldTSDiscount(C$35,G90,,RtTrigger)</f>
        <v>#NUM!</v>
      </c>
      <c r="I90" s="168" t="e">
        <v>#N/A</v>
      </c>
      <c r="J90" s="102" t="e">
        <f>_xll.qlYieldTSDiscount(C$44,I90,,RtTrigger)</f>
        <v>#NUM!</v>
      </c>
      <c r="K90" s="168" t="e">
        <v>#N/A</v>
      </c>
      <c r="L90" s="102" t="e">
        <f>_xll.qlYieldTSDiscount(C$54,K90,,RtTrigger)</f>
        <v>#NUM!</v>
      </c>
    </row>
    <row r="91" spans="2:12" x14ac:dyDescent="0.2">
      <c r="B91"/>
      <c r="C91"/>
      <c r="E91" s="103" t="e">
        <v>#N/A</v>
      </c>
      <c r="F91" s="102" t="e">
        <f>_xll.qlYieldTSDiscount(C$23,E91,,RtTrigger)</f>
        <v>#NUM!</v>
      </c>
      <c r="G91" s="168" t="e">
        <v>#N/A</v>
      </c>
      <c r="H91" s="102" t="e">
        <f>_xll.qlYieldTSDiscount(C$35,G91,,RtTrigger)</f>
        <v>#NUM!</v>
      </c>
      <c r="I91" s="168" t="e">
        <v>#N/A</v>
      </c>
      <c r="J91" s="102" t="e">
        <f>_xll.qlYieldTSDiscount(C$44,I91,,RtTrigger)</f>
        <v>#NUM!</v>
      </c>
      <c r="K91" s="168" t="e">
        <v>#N/A</v>
      </c>
      <c r="L91" s="102" t="e">
        <f>_xll.qlYieldTSDiscount(C$54,K91,,RtTrigger)</f>
        <v>#NUM!</v>
      </c>
    </row>
    <row r="92" spans="2:12" x14ac:dyDescent="0.2">
      <c r="B92"/>
      <c r="C92"/>
      <c r="E92" s="103" t="e">
        <v>#N/A</v>
      </c>
      <c r="F92" s="102" t="e">
        <f>_xll.qlYieldTSDiscount(C$23,E92,,RtTrigger)</f>
        <v>#NUM!</v>
      </c>
      <c r="G92" s="168" t="e">
        <v>#N/A</v>
      </c>
      <c r="H92" s="102" t="e">
        <f>_xll.qlYieldTSDiscount(C$35,G92,,RtTrigger)</f>
        <v>#NUM!</v>
      </c>
      <c r="I92" s="168" t="e">
        <v>#N/A</v>
      </c>
      <c r="J92" s="102" t="e">
        <f>_xll.qlYieldTSDiscount(C$44,I92,,RtTrigger)</f>
        <v>#NUM!</v>
      </c>
      <c r="K92" s="168" t="e">
        <v>#N/A</v>
      </c>
      <c r="L92" s="102" t="e">
        <f>_xll.qlYieldTSDiscount(C$54,K92,,RtTrigger)</f>
        <v>#NUM!</v>
      </c>
    </row>
    <row r="93" spans="2:12" x14ac:dyDescent="0.2">
      <c r="B93"/>
      <c r="C93"/>
      <c r="E93" s="103" t="e">
        <v>#N/A</v>
      </c>
      <c r="F93" s="102" t="e">
        <f>_xll.qlYieldTSDiscount(C$23,E93,,RtTrigger)</f>
        <v>#NUM!</v>
      </c>
      <c r="G93" s="168" t="e">
        <v>#N/A</v>
      </c>
      <c r="H93" s="102" t="e">
        <f>_xll.qlYieldTSDiscount(C$35,G93,,RtTrigger)</f>
        <v>#NUM!</v>
      </c>
      <c r="I93" s="168" t="e">
        <v>#N/A</v>
      </c>
      <c r="J93" s="102" t="e">
        <f>_xll.qlYieldTSDiscount(C$44,I93,,RtTrigger)</f>
        <v>#NUM!</v>
      </c>
      <c r="K93" s="168" t="e">
        <v>#N/A</v>
      </c>
      <c r="L93" s="102" t="e">
        <f>_xll.qlYieldTSDiscount(C$54,K93,,RtTrigger)</f>
        <v>#NUM!</v>
      </c>
    </row>
    <row r="94" spans="2:12" x14ac:dyDescent="0.2">
      <c r="B94"/>
      <c r="C94"/>
      <c r="E94" s="103" t="e">
        <v>#N/A</v>
      </c>
      <c r="F94" s="102" t="e">
        <f>_xll.qlYieldTSDiscount(C$23,E94,,RtTrigger)</f>
        <v>#NUM!</v>
      </c>
      <c r="G94" s="168" t="e">
        <v>#N/A</v>
      </c>
      <c r="H94" s="102" t="e">
        <f>_xll.qlYieldTSDiscount(C$35,G94,,RtTrigger)</f>
        <v>#NUM!</v>
      </c>
      <c r="I94" s="168" t="e">
        <v>#N/A</v>
      </c>
      <c r="J94" s="102" t="e">
        <f>_xll.qlYieldTSDiscount(C$44,I94,,RtTrigger)</f>
        <v>#NUM!</v>
      </c>
      <c r="K94" s="168" t="e">
        <v>#N/A</v>
      </c>
      <c r="L94" s="102" t="e">
        <f>_xll.qlYieldTSDiscount(C$54,K94,,RtTrigger)</f>
        <v>#NUM!</v>
      </c>
    </row>
    <row r="95" spans="2:12" x14ac:dyDescent="0.2">
      <c r="B95"/>
      <c r="C95"/>
      <c r="E95" s="103" t="e">
        <v>#N/A</v>
      </c>
      <c r="F95" s="102" t="e">
        <f>_xll.qlYieldTSDiscount(C$23,E95,,RtTrigger)</f>
        <v>#NUM!</v>
      </c>
      <c r="G95" s="168" t="e">
        <v>#N/A</v>
      </c>
      <c r="H95" s="102" t="e">
        <f>_xll.qlYieldTSDiscount(C$35,G95,,RtTrigger)</f>
        <v>#NUM!</v>
      </c>
      <c r="I95" s="168" t="e">
        <v>#N/A</v>
      </c>
      <c r="J95" s="102" t="e">
        <f>_xll.qlYieldTSDiscount(C$44,I95,,RtTrigger)</f>
        <v>#NUM!</v>
      </c>
      <c r="K95" s="168" t="e">
        <v>#N/A</v>
      </c>
      <c r="L95" s="102" t="e">
        <f>_xll.qlYieldTSDiscount(C$54,K95,,RtTrigger)</f>
        <v>#NUM!</v>
      </c>
    </row>
    <row r="96" spans="2:12" x14ac:dyDescent="0.2">
      <c r="B96"/>
      <c r="C96"/>
      <c r="E96" s="103" t="e">
        <v>#N/A</v>
      </c>
      <c r="F96" s="102" t="e">
        <f>_xll.qlYieldTSDiscount(C$23,E96,,RtTrigger)</f>
        <v>#NUM!</v>
      </c>
      <c r="G96" s="168" t="e">
        <v>#N/A</v>
      </c>
      <c r="H96" s="102" t="e">
        <f>_xll.qlYieldTSDiscount(C$35,G96,,RtTrigger)</f>
        <v>#NUM!</v>
      </c>
      <c r="I96" s="168" t="e">
        <v>#N/A</v>
      </c>
      <c r="J96" s="102" t="e">
        <f>_xll.qlYieldTSDiscount(C$44,I96,,RtTrigger)</f>
        <v>#NUM!</v>
      </c>
      <c r="K96" s="168" t="e">
        <v>#N/A</v>
      </c>
      <c r="L96" s="102" t="e">
        <f>_xll.qlYieldTSDiscount(C$54,K96,,RtTrigger)</f>
        <v>#NUM!</v>
      </c>
    </row>
    <row r="97" spans="2:12" x14ac:dyDescent="0.2">
      <c r="B97"/>
      <c r="C97"/>
      <c r="E97" s="103" t="e">
        <v>#N/A</v>
      </c>
      <c r="F97" s="102" t="e">
        <f>_xll.qlYieldTSDiscount(C$23,E97,,RtTrigger)</f>
        <v>#NUM!</v>
      </c>
      <c r="G97" s="168" t="e">
        <v>#N/A</v>
      </c>
      <c r="H97" s="102" t="e">
        <f>_xll.qlYieldTSDiscount(C$35,G97,,RtTrigger)</f>
        <v>#NUM!</v>
      </c>
      <c r="I97" s="168" t="e">
        <v>#N/A</v>
      </c>
      <c r="J97" s="102" t="e">
        <f>_xll.qlYieldTSDiscount(C$44,I97,,RtTrigger)</f>
        <v>#NUM!</v>
      </c>
      <c r="K97" s="168" t="e">
        <v>#N/A</v>
      </c>
      <c r="L97" s="102" t="e">
        <f>_xll.qlYieldTSDiscount(C$54,K97,,RtTrigger)</f>
        <v>#NUM!</v>
      </c>
    </row>
    <row r="98" spans="2:12" x14ac:dyDescent="0.2">
      <c r="B98"/>
      <c r="C98"/>
      <c r="E98" s="103" t="e">
        <v>#N/A</v>
      </c>
      <c r="F98" s="102" t="e">
        <f>_xll.qlYieldTSDiscount(C$23,E98,,RtTrigger)</f>
        <v>#NUM!</v>
      </c>
      <c r="G98" s="168" t="e">
        <v>#N/A</v>
      </c>
      <c r="H98" s="102" t="e">
        <f>_xll.qlYieldTSDiscount(C$35,G98,,RtTrigger)</f>
        <v>#NUM!</v>
      </c>
      <c r="I98" s="168" t="e">
        <v>#N/A</v>
      </c>
      <c r="J98" s="102" t="e">
        <f>_xll.qlYieldTSDiscount(C$44,I98,,RtTrigger)</f>
        <v>#NUM!</v>
      </c>
      <c r="K98" s="168" t="e">
        <v>#N/A</v>
      </c>
      <c r="L98" s="102" t="e">
        <f>_xll.qlYieldTSDiscount(C$54,K98,,RtTrigger)</f>
        <v>#NUM!</v>
      </c>
    </row>
    <row r="99" spans="2:12" x14ac:dyDescent="0.2">
      <c r="B99"/>
      <c r="C99"/>
      <c r="E99" s="103" t="e">
        <v>#N/A</v>
      </c>
      <c r="F99" s="102" t="e">
        <f>_xll.qlYieldTSDiscount(C$23,E99,,RtTrigger)</f>
        <v>#NUM!</v>
      </c>
      <c r="G99" s="168" t="e">
        <v>#N/A</v>
      </c>
      <c r="H99" s="102" t="e">
        <f>_xll.qlYieldTSDiscount(C$35,G99,,RtTrigger)</f>
        <v>#NUM!</v>
      </c>
      <c r="I99" s="168" t="e">
        <v>#N/A</v>
      </c>
      <c r="J99" s="102" t="e">
        <f>_xll.qlYieldTSDiscount(C$44,I99,,RtTrigger)</f>
        <v>#NUM!</v>
      </c>
      <c r="K99" s="168" t="e">
        <v>#N/A</v>
      </c>
      <c r="L99" s="102" t="e">
        <f>_xll.qlYieldTSDiscount(C$54,K99,,RtTrigger)</f>
        <v>#NUM!</v>
      </c>
    </row>
    <row r="100" spans="2:12" x14ac:dyDescent="0.2">
      <c r="B100"/>
      <c r="C100"/>
      <c r="E100" s="103" t="e">
        <v>#N/A</v>
      </c>
      <c r="F100" s="102" t="e">
        <f>_xll.qlYieldTSDiscount(C$23,E100,,RtTrigger)</f>
        <v>#NUM!</v>
      </c>
      <c r="G100" s="168" t="e">
        <v>#N/A</v>
      </c>
      <c r="H100" s="102" t="e">
        <f>_xll.qlYieldTSDiscount(C$35,G100,,RtTrigger)</f>
        <v>#NUM!</v>
      </c>
      <c r="I100" s="168" t="e">
        <v>#N/A</v>
      </c>
      <c r="J100" s="102" t="e">
        <f>_xll.qlYieldTSDiscount(C$44,I100,,RtTrigger)</f>
        <v>#NUM!</v>
      </c>
      <c r="K100" s="168" t="e">
        <v>#N/A</v>
      </c>
      <c r="L100" s="102" t="e">
        <f>_xll.qlYieldTSDiscount(C$54,K100,,RtTrigger)</f>
        <v>#NUM!</v>
      </c>
    </row>
    <row r="101" spans="2:12" x14ac:dyDescent="0.2">
      <c r="B101"/>
      <c r="C101"/>
      <c r="E101" s="103" t="e">
        <v>#N/A</v>
      </c>
      <c r="F101" s="102" t="e">
        <f>_xll.qlYieldTSDiscount(C$23,E101,,RtTrigger)</f>
        <v>#NUM!</v>
      </c>
      <c r="G101" s="168" t="e">
        <v>#N/A</v>
      </c>
      <c r="H101" s="102" t="e">
        <f>_xll.qlYieldTSDiscount(C$35,G101,,RtTrigger)</f>
        <v>#NUM!</v>
      </c>
      <c r="I101" s="168" t="e">
        <v>#N/A</v>
      </c>
      <c r="J101" s="102" t="e">
        <f>_xll.qlYieldTSDiscount(C$44,I101,,RtTrigger)</f>
        <v>#NUM!</v>
      </c>
      <c r="K101" s="168" t="e">
        <v>#N/A</v>
      </c>
      <c r="L101" s="102" t="e">
        <f>_xll.qlYieldTSDiscount(C$54,K101,,RtTrigger)</f>
        <v>#NUM!</v>
      </c>
    </row>
    <row r="102" spans="2:12" x14ac:dyDescent="0.2">
      <c r="B102"/>
      <c r="C102"/>
      <c r="E102" s="103" t="e">
        <v>#N/A</v>
      </c>
      <c r="F102" s="102" t="e">
        <f>_xll.qlYieldTSDiscount(C$23,E102,,RtTrigger)</f>
        <v>#NUM!</v>
      </c>
      <c r="G102" s="168" t="e">
        <v>#N/A</v>
      </c>
      <c r="H102" s="102" t="e">
        <f>_xll.qlYieldTSDiscount(C$35,G102,,RtTrigger)</f>
        <v>#NUM!</v>
      </c>
      <c r="I102" s="168" t="e">
        <v>#N/A</v>
      </c>
      <c r="J102" s="102" t="e">
        <f>_xll.qlYieldTSDiscount(C$44,I102,,RtTrigger)</f>
        <v>#NUM!</v>
      </c>
      <c r="K102" s="168" t="e">
        <v>#N/A</v>
      </c>
      <c r="L102" s="102" t="e">
        <f>_xll.qlYieldTSDiscount(C$54,K102,,RtTrigger)</f>
        <v>#NUM!</v>
      </c>
    </row>
    <row r="103" spans="2:12" x14ac:dyDescent="0.2">
      <c r="B103"/>
      <c r="C103"/>
      <c r="E103" s="103" t="e">
        <v>#N/A</v>
      </c>
      <c r="F103" s="102" t="e">
        <f>_xll.qlYieldTSDiscount(C$23,E103,,RtTrigger)</f>
        <v>#NUM!</v>
      </c>
      <c r="G103" s="168" t="e">
        <v>#N/A</v>
      </c>
      <c r="H103" s="102" t="e">
        <f>_xll.qlYieldTSDiscount(C$35,G103,,RtTrigger)</f>
        <v>#NUM!</v>
      </c>
      <c r="I103" s="168" t="e">
        <v>#N/A</v>
      </c>
      <c r="J103" s="102" t="e">
        <f>_xll.qlYieldTSDiscount(C$44,I103,,RtTrigger)</f>
        <v>#NUM!</v>
      </c>
      <c r="K103" s="168" t="e">
        <v>#N/A</v>
      </c>
      <c r="L103" s="102" t="e">
        <f>_xll.qlYieldTSDiscount(C$54,K103,,RtTrigger)</f>
        <v>#NUM!</v>
      </c>
    </row>
    <row r="104" spans="2:12" x14ac:dyDescent="0.2">
      <c r="B104"/>
      <c r="C104"/>
      <c r="E104" s="103" t="e">
        <v>#N/A</v>
      </c>
      <c r="F104" s="102" t="e">
        <f>_xll.qlYieldTSDiscount(C$23,E104,,RtTrigger)</f>
        <v>#NUM!</v>
      </c>
      <c r="G104" s="168" t="e">
        <v>#N/A</v>
      </c>
      <c r="H104" s="102" t="e">
        <f>_xll.qlYieldTSDiscount(C$35,G104,,RtTrigger)</f>
        <v>#NUM!</v>
      </c>
      <c r="I104" s="168" t="e">
        <v>#N/A</v>
      </c>
      <c r="J104" s="102" t="e">
        <f>_xll.qlYieldTSDiscount(C$44,I104,,RtTrigger)</f>
        <v>#NUM!</v>
      </c>
      <c r="K104" s="168" t="e">
        <v>#N/A</v>
      </c>
      <c r="L104" s="102" t="e">
        <f>_xll.qlYieldTSDiscount(C$54,K104,,RtTrigger)</f>
        <v>#NUM!</v>
      </c>
    </row>
    <row r="105" spans="2:12" x14ac:dyDescent="0.2">
      <c r="B105"/>
      <c r="C105"/>
      <c r="E105" s="103" t="e">
        <v>#N/A</v>
      </c>
      <c r="F105" s="102" t="e">
        <f>_xll.qlYieldTSDiscount(C$23,E105,,RtTrigger)</f>
        <v>#NUM!</v>
      </c>
      <c r="G105" s="168" t="e">
        <v>#N/A</v>
      </c>
      <c r="H105" s="102" t="e">
        <f>_xll.qlYieldTSDiscount(C$35,G105,,RtTrigger)</f>
        <v>#NUM!</v>
      </c>
      <c r="I105" s="168" t="e">
        <v>#N/A</v>
      </c>
      <c r="J105" s="102" t="e">
        <f>_xll.qlYieldTSDiscount(C$44,I105,,RtTrigger)</f>
        <v>#NUM!</v>
      </c>
      <c r="K105" s="168" t="e">
        <v>#N/A</v>
      </c>
      <c r="L105" s="102" t="e">
        <f>_xll.qlYieldTSDiscount(C$54,K105,,RtTrigger)</f>
        <v>#NUM!</v>
      </c>
    </row>
    <row r="106" spans="2:12" x14ac:dyDescent="0.2">
      <c r="B106"/>
      <c r="C106"/>
      <c r="E106" s="103" t="e">
        <v>#N/A</v>
      </c>
      <c r="F106" s="102" t="e">
        <f>_xll.qlYieldTSDiscount(C$23,E106,,RtTrigger)</f>
        <v>#NUM!</v>
      </c>
      <c r="G106" s="168" t="e">
        <v>#N/A</v>
      </c>
      <c r="H106" s="102" t="e">
        <f>_xll.qlYieldTSDiscount(C$35,G106,,RtTrigger)</f>
        <v>#NUM!</v>
      </c>
      <c r="I106" s="168" t="e">
        <v>#N/A</v>
      </c>
      <c r="J106" s="102" t="e">
        <f>_xll.qlYieldTSDiscount(C$44,I106,,RtTrigger)</f>
        <v>#NUM!</v>
      </c>
      <c r="K106" s="168" t="e">
        <v>#N/A</v>
      </c>
      <c r="L106" s="102" t="e">
        <f>_xll.qlYieldTSDiscount(C$54,K106,,RtTrigger)</f>
        <v>#NUM!</v>
      </c>
    </row>
    <row r="107" spans="2:12" x14ac:dyDescent="0.2">
      <c r="B107"/>
      <c r="C107"/>
      <c r="E107" s="103" t="e">
        <v>#N/A</v>
      </c>
      <c r="F107" s="102" t="e">
        <f>_xll.qlYieldTSDiscount(C$23,E107,,RtTrigger)</f>
        <v>#NUM!</v>
      </c>
      <c r="G107" s="168" t="e">
        <v>#N/A</v>
      </c>
      <c r="H107" s="102" t="e">
        <f>_xll.qlYieldTSDiscount(C$35,G107,,RtTrigger)</f>
        <v>#NUM!</v>
      </c>
      <c r="I107" s="168" t="e">
        <v>#N/A</v>
      </c>
      <c r="J107" s="102" t="e">
        <f>_xll.qlYieldTSDiscount(C$44,I107,,RtTrigger)</f>
        <v>#NUM!</v>
      </c>
      <c r="K107" s="168" t="e">
        <v>#N/A</v>
      </c>
      <c r="L107" s="102" t="e">
        <f>_xll.qlYieldTSDiscount(C$54,K107,,RtTrigger)</f>
        <v>#NUM!</v>
      </c>
    </row>
    <row r="108" spans="2:12" x14ac:dyDescent="0.2">
      <c r="B108"/>
      <c r="C108"/>
      <c r="E108" s="103" t="e">
        <v>#N/A</v>
      </c>
      <c r="F108" s="102" t="e">
        <f>_xll.qlYieldTSDiscount(C$23,E108,,RtTrigger)</f>
        <v>#NUM!</v>
      </c>
      <c r="G108" s="168" t="e">
        <v>#N/A</v>
      </c>
      <c r="H108" s="102" t="e">
        <f>_xll.qlYieldTSDiscount(C$35,G108,,RtTrigger)</f>
        <v>#NUM!</v>
      </c>
      <c r="I108" s="168" t="e">
        <v>#N/A</v>
      </c>
      <c r="J108" s="102" t="e">
        <f>_xll.qlYieldTSDiscount(C$44,I108,,RtTrigger)</f>
        <v>#NUM!</v>
      </c>
      <c r="K108" s="168" t="e">
        <v>#N/A</v>
      </c>
      <c r="L108" s="102" t="e">
        <f>_xll.qlYieldTSDiscount(C$54,K108,,RtTrigger)</f>
        <v>#NUM!</v>
      </c>
    </row>
    <row r="109" spans="2:12" x14ac:dyDescent="0.2">
      <c r="B109"/>
      <c r="C109"/>
      <c r="E109" s="103" t="e">
        <v>#N/A</v>
      </c>
      <c r="F109" s="102" t="e">
        <f>_xll.qlYieldTSDiscount(C$23,E109,,RtTrigger)</f>
        <v>#NUM!</v>
      </c>
      <c r="G109" s="168" t="e">
        <v>#N/A</v>
      </c>
      <c r="H109" s="102" t="e">
        <f>_xll.qlYieldTSDiscount(C$35,G109,,RtTrigger)</f>
        <v>#NUM!</v>
      </c>
      <c r="I109" s="168" t="e">
        <v>#N/A</v>
      </c>
      <c r="J109" s="102" t="e">
        <f>_xll.qlYieldTSDiscount(C$44,I109,,RtTrigger)</f>
        <v>#NUM!</v>
      </c>
      <c r="K109" s="168" t="e">
        <v>#N/A</v>
      </c>
      <c r="L109" s="102" t="e">
        <f>_xll.qlYieldTSDiscount(C$54,K109,,RtTrigger)</f>
        <v>#NUM!</v>
      </c>
    </row>
    <row r="110" spans="2:12" x14ac:dyDescent="0.2">
      <c r="B110"/>
      <c r="C110"/>
      <c r="E110" s="103" t="e">
        <v>#N/A</v>
      </c>
      <c r="F110" s="102" t="e">
        <f>_xll.qlYieldTSDiscount(C$23,E110,,RtTrigger)</f>
        <v>#NUM!</v>
      </c>
      <c r="G110" s="168" t="e">
        <v>#N/A</v>
      </c>
      <c r="H110" s="102" t="e">
        <f>_xll.qlYieldTSDiscount(C$35,G110,,RtTrigger)</f>
        <v>#NUM!</v>
      </c>
      <c r="I110" s="168" t="e">
        <v>#N/A</v>
      </c>
      <c r="J110" s="102" t="e">
        <f>_xll.qlYieldTSDiscount(C$44,I110,,RtTrigger)</f>
        <v>#NUM!</v>
      </c>
      <c r="K110" s="168" t="e">
        <v>#N/A</v>
      </c>
      <c r="L110" s="102" t="e">
        <f>_xll.qlYieldTSDiscount(C$54,K110,,RtTrigger)</f>
        <v>#NUM!</v>
      </c>
    </row>
    <row r="111" spans="2:12" x14ac:dyDescent="0.2">
      <c r="B111"/>
      <c r="C111"/>
      <c r="E111" s="103" t="e">
        <v>#N/A</v>
      </c>
      <c r="F111" s="102" t="e">
        <f>_xll.qlYieldTSDiscount(C$23,E111,,RtTrigger)</f>
        <v>#NUM!</v>
      </c>
      <c r="G111" s="168" t="e">
        <v>#N/A</v>
      </c>
      <c r="H111" s="102" t="e">
        <f>_xll.qlYieldTSDiscount(C$35,G111,,RtTrigger)</f>
        <v>#NUM!</v>
      </c>
      <c r="I111" s="168" t="e">
        <v>#N/A</v>
      </c>
      <c r="J111" s="102" t="e">
        <f>_xll.qlYieldTSDiscount(C$44,I111,,RtTrigger)</f>
        <v>#NUM!</v>
      </c>
      <c r="K111" s="168" t="e">
        <v>#N/A</v>
      </c>
      <c r="L111" s="102" t="e">
        <f>_xll.qlYieldTSDiscount(C$54,K111,,RtTrigger)</f>
        <v>#NUM!</v>
      </c>
    </row>
    <row r="112" spans="2:12" x14ac:dyDescent="0.2">
      <c r="B112"/>
      <c r="C112"/>
      <c r="E112" s="103" t="e">
        <v>#N/A</v>
      </c>
      <c r="F112" s="102" t="e">
        <f>_xll.qlYieldTSDiscount(C$23,E112,,RtTrigger)</f>
        <v>#NUM!</v>
      </c>
      <c r="G112" s="168" t="e">
        <v>#N/A</v>
      </c>
      <c r="H112" s="102" t="e">
        <f>_xll.qlYieldTSDiscount(C$35,G112,,RtTrigger)</f>
        <v>#NUM!</v>
      </c>
      <c r="I112" s="168" t="e">
        <v>#N/A</v>
      </c>
      <c r="J112" s="102" t="e">
        <f>_xll.qlYieldTSDiscount(C$44,I112,,RtTrigger)</f>
        <v>#NUM!</v>
      </c>
      <c r="K112" s="168" t="e">
        <v>#N/A</v>
      </c>
      <c r="L112" s="102" t="e">
        <f>_xll.qlYieldTSDiscount(C$54,K112,,RtTrigger)</f>
        <v>#NUM!</v>
      </c>
    </row>
    <row r="113" spans="5:12" x14ac:dyDescent="0.2">
      <c r="E113" s="101" t="e">
        <v>#N/A</v>
      </c>
      <c r="F113" s="100" t="e">
        <f>_xll.qlYieldTSDiscount(C$23,E113,,RtTrigger)</f>
        <v>#NUM!</v>
      </c>
      <c r="G113" s="169" t="e">
        <v>#N/A</v>
      </c>
      <c r="H113" s="100" t="e">
        <f>_xll.qlYieldTSDiscount(C$35,G113,,RtTrigger)</f>
        <v>#NUM!</v>
      </c>
      <c r="I113" s="169" t="e">
        <v>#N/A</v>
      </c>
      <c r="J113" s="100" t="e">
        <f>_xll.qlYieldTSDiscount(C$44,I113,,RtTrigger)</f>
        <v>#NUM!</v>
      </c>
      <c r="K113" s="169" t="e">
        <v>#N/A</v>
      </c>
      <c r="L113" s="100" t="e">
        <f>_xll.qlYieldTSDiscount(C$54,K113,,RtTrigger)</f>
        <v>#NUM!</v>
      </c>
    </row>
  </sheetData>
  <sheetProtection formatCells="0" formatColumns="0" formatRows="0"/>
  <dataConsolidate/>
  <mergeCells count="77">
    <mergeCell ref="AV25:AY26"/>
    <mergeCell ref="AV23:AY24"/>
    <mergeCell ref="N22:O22"/>
    <mergeCell ref="AZ13:BH14"/>
    <mergeCell ref="AV13:AY14"/>
    <mergeCell ref="AT17:AU18"/>
    <mergeCell ref="AV15:AY16"/>
    <mergeCell ref="AV17:AY18"/>
    <mergeCell ref="AT13:AU14"/>
    <mergeCell ref="AV21:AY22"/>
    <mergeCell ref="AJ25:AK26"/>
    <mergeCell ref="AL25:AM26"/>
    <mergeCell ref="AN25:AO26"/>
    <mergeCell ref="AP25:AQ26"/>
    <mergeCell ref="AR19:AS20"/>
    <mergeCell ref="AT19:AU20"/>
    <mergeCell ref="B2:C2"/>
    <mergeCell ref="AJ19:AK20"/>
    <mergeCell ref="AL19:AM20"/>
    <mergeCell ref="AN19:AO20"/>
    <mergeCell ref="AP19:AQ20"/>
    <mergeCell ref="AJ15:AK16"/>
    <mergeCell ref="AL15:AM16"/>
    <mergeCell ref="AN15:AO16"/>
    <mergeCell ref="AP15:AQ16"/>
    <mergeCell ref="E22:F22"/>
    <mergeCell ref="G22:H22"/>
    <mergeCell ref="I22:J22"/>
    <mergeCell ref="AT23:AU24"/>
    <mergeCell ref="AJ21:AK22"/>
    <mergeCell ref="AL21:AM22"/>
    <mergeCell ref="AN21:AO22"/>
    <mergeCell ref="AP21:AQ22"/>
    <mergeCell ref="AR21:AS22"/>
    <mergeCell ref="AV19:AY20"/>
    <mergeCell ref="AJ17:AK18"/>
    <mergeCell ref="AL17:AM18"/>
    <mergeCell ref="AN17:AO18"/>
    <mergeCell ref="AP17:AQ18"/>
    <mergeCell ref="AR17:AS18"/>
    <mergeCell ref="AR15:AS16"/>
    <mergeCell ref="AT15:AU16"/>
    <mergeCell ref="AJ13:AK14"/>
    <mergeCell ref="AL13:AM14"/>
    <mergeCell ref="AN13:AO14"/>
    <mergeCell ref="AP13:AQ14"/>
    <mergeCell ref="AR13:AS14"/>
    <mergeCell ref="BC48:BD48"/>
    <mergeCell ref="BC49:BD49"/>
    <mergeCell ref="BC50:BD50"/>
    <mergeCell ref="BC51:BD51"/>
    <mergeCell ref="BC37:BD37"/>
    <mergeCell ref="BC43:BD43"/>
    <mergeCell ref="BC44:BD44"/>
    <mergeCell ref="BC45:BD45"/>
    <mergeCell ref="BC46:BD46"/>
    <mergeCell ref="BC47:BD47"/>
    <mergeCell ref="BC39:BD39"/>
    <mergeCell ref="BC40:BD40"/>
    <mergeCell ref="BC41:BD41"/>
    <mergeCell ref="BC42:BD42"/>
    <mergeCell ref="AY67:AZ67"/>
    <mergeCell ref="BA67:BB67"/>
    <mergeCell ref="AY68:AZ69"/>
    <mergeCell ref="BA68:BB69"/>
    <mergeCell ref="K22:L22"/>
    <mergeCell ref="BA37:BB37"/>
    <mergeCell ref="AU59:AW59"/>
    <mergeCell ref="AU68:AW68"/>
    <mergeCell ref="AR25:AS26"/>
    <mergeCell ref="AT25:AU26"/>
    <mergeCell ref="AT21:AU22"/>
    <mergeCell ref="AJ23:AK24"/>
    <mergeCell ref="AL23:AM24"/>
    <mergeCell ref="AN23:AO24"/>
    <mergeCell ref="AP23:AQ24"/>
    <mergeCell ref="AR23:AS24"/>
  </mergeCells>
  <conditionalFormatting sqref="E3:E17">
    <cfRule type="cellIs" dxfId="8" priority="9" stopIfTrue="1" operator="equal">
      <formula>FALSE</formula>
    </cfRule>
  </conditionalFormatting>
  <conditionalFormatting sqref="G3:J17">
    <cfRule type="expression" dxfId="7" priority="6" stopIfTrue="1">
      <formula>NOT($E3)</formula>
    </cfRule>
  </conditionalFormatting>
  <conditionalFormatting sqref="J3:J17">
    <cfRule type="expression" dxfId="6" priority="7" stopIfTrue="1">
      <formula>ISNUMBER(H3)</formula>
    </cfRule>
    <cfRule type="expression" dxfId="5" priority="8" stopIfTrue="1">
      <formula>ISNUMBER(I3)</formula>
    </cfRule>
  </conditionalFormatting>
  <conditionalFormatting sqref="R1">
    <cfRule type="cellIs" dxfId="4" priority="10" operator="equal">
      <formula>FALSE</formula>
    </cfRule>
  </conditionalFormatting>
  <conditionalFormatting sqref="S1">
    <cfRule type="cellIs" dxfId="3" priority="1" operator="equal">
      <formula>TRUE</formula>
    </cfRule>
  </conditionalFormatting>
  <dataValidations count="5">
    <dataValidation type="list" allowBlank="1" showInputMessage="1" showErrorMessage="1" sqref="E3:E17">
      <formula1>dvBool</formula1>
    </dataValidation>
    <dataValidation type="list" allowBlank="1" showInputMessage="1" showErrorMessage="1" sqref="S1">
      <formula1>"FALSE"</formula1>
    </dataValidation>
    <dataValidation type="list" allowBlank="1" showInputMessage="1" showErrorMessage="1" sqref="C9">
      <formula1>"EURSTD, EUR3M, EUR1M"</formula1>
    </dataValidation>
    <dataValidation type="list" allowBlank="1" showInputMessage="1" showErrorMessage="1" sqref="C10">
      <formula1>"EURSTD_CERTUNICA,EUR3M_CERTUNICA,EUR1M_CERTUNICA"</formula1>
    </dataValidation>
    <dataValidation type="list" allowBlank="1" showInputMessage="1" showErrorMessage="1" sqref="C8">
      <formula1>$AH$3:$AH$7</formula1>
    </dataValidation>
  </dataValidations>
  <pageMargins left="0.7" right="0.7" top="0.75" bottom="0.75" header="0.3" footer="0.3"/>
  <pageSetup orientation="portrait" r:id="rId1"/>
  <ignoredErrors>
    <ignoredError sqref="C3 C4:C5" unlockedFormula="1"/>
    <ignoredError sqref="M63 O26:O58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T39"/>
  <sheetViews>
    <sheetView showGridLines="0" zoomScaleNormal="100" workbookViewId="0">
      <selection activeCell="G2" sqref="G2"/>
    </sheetView>
  </sheetViews>
  <sheetFormatPr defaultRowHeight="11.25" x14ac:dyDescent="0.2"/>
  <cols>
    <col min="1" max="1" width="3.83203125" customWidth="1"/>
    <col min="5" max="5" width="5.83203125" customWidth="1"/>
  </cols>
  <sheetData>
    <row r="2" spans="4:20" x14ac:dyDescent="0.2">
      <c r="F2" s="116" t="s">
        <v>167</v>
      </c>
      <c r="G2" s="117">
        <v>1</v>
      </c>
    </row>
    <row r="5" spans="4:20" x14ac:dyDescent="0.2">
      <c r="F5" s="286" t="s">
        <v>168</v>
      </c>
      <c r="G5" s="302"/>
      <c r="H5" s="302"/>
      <c r="I5" s="302"/>
      <c r="J5" s="302"/>
      <c r="K5" s="302"/>
      <c r="L5" s="302"/>
      <c r="M5" s="302"/>
      <c r="N5" s="302"/>
      <c r="O5" s="302"/>
      <c r="P5" s="302"/>
      <c r="Q5" s="302"/>
      <c r="R5" s="302"/>
      <c r="S5" s="302"/>
      <c r="T5" s="287"/>
    </row>
    <row r="6" spans="4:20" x14ac:dyDescent="0.2">
      <c r="D6" s="24" t="s">
        <v>71</v>
      </c>
      <c r="F6" s="124" t="str">
        <f t="array" ref="F6:T6">TRANSPOSE(E7:E21)</f>
        <v>6M</v>
      </c>
      <c r="G6" s="125" t="str">
        <v>1Y</v>
      </c>
      <c r="H6" s="125" t="str">
        <v>2Y</v>
      </c>
      <c r="I6" s="125" t="str">
        <v>3Y</v>
      </c>
      <c r="J6" s="125" t="str">
        <v>4Y</v>
      </c>
      <c r="K6" s="125" t="str">
        <v>5Y</v>
      </c>
      <c r="L6" s="125" t="str">
        <v>6Y</v>
      </c>
      <c r="M6" s="125" t="str">
        <v>7Y</v>
      </c>
      <c r="N6" s="125" t="str">
        <v>8Y</v>
      </c>
      <c r="O6" s="125" t="str">
        <v>9Y</v>
      </c>
      <c r="P6" s="125" t="str">
        <v>10Y</v>
      </c>
      <c r="Q6" s="125" t="str">
        <v>15Y</v>
      </c>
      <c r="R6" s="125" t="str">
        <v>20Y</v>
      </c>
      <c r="S6" s="125" t="str">
        <v>25Y</v>
      </c>
      <c r="T6" s="126" t="str">
        <v>30Y</v>
      </c>
    </row>
    <row r="7" spans="4:20" x14ac:dyDescent="0.2">
      <c r="D7" s="121"/>
      <c r="E7" s="118" t="str">
        <f>UNICA_EUR!F3</f>
        <v>6M</v>
      </c>
      <c r="F7" s="127"/>
      <c r="G7" s="128"/>
      <c r="H7" s="128"/>
      <c r="I7" s="128"/>
      <c r="J7" s="128"/>
      <c r="K7" s="128"/>
      <c r="L7" s="128"/>
      <c r="M7" s="128"/>
      <c r="N7" s="128"/>
      <c r="O7" s="128"/>
      <c r="P7" s="128"/>
      <c r="Q7" s="128"/>
      <c r="R7" s="128"/>
      <c r="S7" s="128"/>
      <c r="T7" s="129"/>
    </row>
    <row r="8" spans="4:20" x14ac:dyDescent="0.2">
      <c r="D8" s="122"/>
      <c r="E8" s="119" t="str">
        <f>UNICA_EUR!F4</f>
        <v>1Y</v>
      </c>
      <c r="F8" s="130"/>
      <c r="G8" s="131"/>
      <c r="H8" s="131"/>
      <c r="I8" s="131"/>
      <c r="J8" s="131"/>
      <c r="K8" s="131"/>
      <c r="L8" s="131"/>
      <c r="M8" s="131"/>
      <c r="N8" s="131"/>
      <c r="O8" s="131"/>
      <c r="P8" s="131"/>
      <c r="Q8" s="131"/>
      <c r="R8" s="131"/>
      <c r="S8" s="131"/>
      <c r="T8" s="132"/>
    </row>
    <row r="9" spans="4:20" x14ac:dyDescent="0.2">
      <c r="D9" s="122"/>
      <c r="E9" s="119" t="str">
        <f>UNICA_EUR!F5</f>
        <v>2Y</v>
      </c>
      <c r="F9" s="130"/>
      <c r="G9" s="131"/>
      <c r="H9" s="131"/>
      <c r="I9" s="131"/>
      <c r="J9" s="131"/>
      <c r="K9" s="131"/>
      <c r="L9" s="131"/>
      <c r="M9" s="131"/>
      <c r="N9" s="131"/>
      <c r="O9" s="131"/>
      <c r="P9" s="131"/>
      <c r="Q9" s="131"/>
      <c r="R9" s="131"/>
      <c r="S9" s="131"/>
      <c r="T9" s="132"/>
    </row>
    <row r="10" spans="4:20" x14ac:dyDescent="0.2">
      <c r="D10" s="122"/>
      <c r="E10" s="119" t="str">
        <f>UNICA_EUR!F6</f>
        <v>3Y</v>
      </c>
      <c r="F10" s="130"/>
      <c r="G10" s="131"/>
      <c r="H10" s="131"/>
      <c r="I10" s="131"/>
      <c r="J10" s="131"/>
      <c r="K10" s="131"/>
      <c r="L10" s="131"/>
      <c r="M10" s="131"/>
      <c r="N10" s="131"/>
      <c r="O10" s="131"/>
      <c r="P10" s="131"/>
      <c r="Q10" s="131"/>
      <c r="R10" s="131"/>
      <c r="S10" s="131"/>
      <c r="T10" s="132"/>
    </row>
    <row r="11" spans="4:20" x14ac:dyDescent="0.2">
      <c r="D11" s="122"/>
      <c r="E11" s="119" t="str">
        <f>UNICA_EUR!F7</f>
        <v>4Y</v>
      </c>
      <c r="F11" s="130"/>
      <c r="G11" s="131"/>
      <c r="H11" s="131"/>
      <c r="I11" s="131"/>
      <c r="J11" s="131"/>
      <c r="K11" s="131"/>
      <c r="L11" s="131"/>
      <c r="M11" s="131"/>
      <c r="N11" s="131"/>
      <c r="O11" s="131"/>
      <c r="P11" s="131"/>
      <c r="Q11" s="131"/>
      <c r="R11" s="131"/>
      <c r="S11" s="131"/>
      <c r="T11" s="132"/>
    </row>
    <row r="12" spans="4:20" x14ac:dyDescent="0.2">
      <c r="D12" s="122"/>
      <c r="E12" s="119" t="str">
        <f>UNICA_EUR!F8</f>
        <v>5Y</v>
      </c>
      <c r="F12" s="130"/>
      <c r="G12" s="131"/>
      <c r="H12" s="131"/>
      <c r="I12" s="131"/>
      <c r="J12" s="131"/>
      <c r="K12" s="131"/>
      <c r="L12" s="131"/>
      <c r="M12" s="131"/>
      <c r="N12" s="131"/>
      <c r="O12" s="131"/>
      <c r="P12" s="131"/>
      <c r="Q12" s="131"/>
      <c r="R12" s="131"/>
      <c r="S12" s="131"/>
      <c r="T12" s="132"/>
    </row>
    <row r="13" spans="4:20" x14ac:dyDescent="0.2">
      <c r="D13" s="122"/>
      <c r="E13" s="119" t="str">
        <f>UNICA_EUR!F9</f>
        <v>6Y</v>
      </c>
      <c r="F13" s="130"/>
      <c r="G13" s="131"/>
      <c r="H13" s="131"/>
      <c r="I13" s="131"/>
      <c r="J13" s="131"/>
      <c r="K13" s="131"/>
      <c r="L13" s="131"/>
      <c r="M13" s="131"/>
      <c r="N13" s="131"/>
      <c r="O13" s="131"/>
      <c r="P13" s="131"/>
      <c r="Q13" s="131"/>
      <c r="R13" s="131"/>
      <c r="S13" s="131"/>
      <c r="T13" s="132"/>
    </row>
    <row r="14" spans="4:20" x14ac:dyDescent="0.2">
      <c r="D14" s="122"/>
      <c r="E14" s="119" t="str">
        <f>UNICA_EUR!F10</f>
        <v>7Y</v>
      </c>
      <c r="F14" s="130"/>
      <c r="G14" s="131"/>
      <c r="H14" s="131"/>
      <c r="I14" s="131"/>
      <c r="J14" s="131"/>
      <c r="K14" s="131"/>
      <c r="L14" s="131"/>
      <c r="M14" s="131"/>
      <c r="N14" s="131"/>
      <c r="O14" s="131"/>
      <c r="P14" s="131"/>
      <c r="Q14" s="131"/>
      <c r="R14" s="131"/>
      <c r="S14" s="131"/>
      <c r="T14" s="132"/>
    </row>
    <row r="15" spans="4:20" x14ac:dyDescent="0.2">
      <c r="D15" s="122"/>
      <c r="E15" s="119" t="str">
        <f>UNICA_EUR!F11</f>
        <v>8Y</v>
      </c>
      <c r="F15" s="130"/>
      <c r="G15" s="131"/>
      <c r="H15" s="131"/>
      <c r="I15" s="131"/>
      <c r="J15" s="131"/>
      <c r="K15" s="131"/>
      <c r="L15" s="131"/>
      <c r="M15" s="131"/>
      <c r="N15" s="131"/>
      <c r="O15" s="131"/>
      <c r="P15" s="131"/>
      <c r="Q15" s="131"/>
      <c r="R15" s="131"/>
      <c r="S15" s="131"/>
      <c r="T15" s="132"/>
    </row>
    <row r="16" spans="4:20" x14ac:dyDescent="0.2">
      <c r="D16" s="122"/>
      <c r="E16" s="119" t="str">
        <f>UNICA_EUR!F12</f>
        <v>9Y</v>
      </c>
      <c r="F16" s="130"/>
      <c r="G16" s="131"/>
      <c r="H16" s="131"/>
      <c r="I16" s="131"/>
      <c r="J16" s="131"/>
      <c r="K16" s="131"/>
      <c r="L16" s="131"/>
      <c r="M16" s="131"/>
      <c r="N16" s="131"/>
      <c r="O16" s="131"/>
      <c r="P16" s="131"/>
      <c r="Q16" s="131"/>
      <c r="R16" s="131"/>
      <c r="S16" s="131"/>
      <c r="T16" s="132"/>
    </row>
    <row r="17" spans="2:20" x14ac:dyDescent="0.2">
      <c r="D17" s="122"/>
      <c r="E17" s="119" t="str">
        <f>UNICA_EUR!F13</f>
        <v>10Y</v>
      </c>
      <c r="F17" s="130"/>
      <c r="G17" s="131"/>
      <c r="H17" s="131"/>
      <c r="I17" s="131"/>
      <c r="J17" s="131"/>
      <c r="K17" s="131"/>
      <c r="L17" s="131"/>
      <c r="M17" s="131"/>
      <c r="N17" s="131"/>
      <c r="O17" s="131"/>
      <c r="P17" s="131"/>
      <c r="Q17" s="131"/>
      <c r="R17" s="131"/>
      <c r="S17" s="131"/>
      <c r="T17" s="132"/>
    </row>
    <row r="18" spans="2:20" x14ac:dyDescent="0.2">
      <c r="D18" s="122"/>
      <c r="E18" s="119" t="str">
        <f>UNICA_EUR!F14</f>
        <v>15Y</v>
      </c>
      <c r="F18" s="130"/>
      <c r="G18" s="131"/>
      <c r="H18" s="131"/>
      <c r="I18" s="131"/>
      <c r="J18" s="131"/>
      <c r="K18" s="131"/>
      <c r="L18" s="131"/>
      <c r="M18" s="131"/>
      <c r="N18" s="131"/>
      <c r="O18" s="131"/>
      <c r="P18" s="131"/>
      <c r="Q18" s="131"/>
      <c r="R18" s="131"/>
      <c r="S18" s="131"/>
      <c r="T18" s="132"/>
    </row>
    <row r="19" spans="2:20" x14ac:dyDescent="0.2">
      <c r="D19" s="122"/>
      <c r="E19" s="119" t="str">
        <f>UNICA_EUR!F15</f>
        <v>20Y</v>
      </c>
      <c r="F19" s="130"/>
      <c r="G19" s="131"/>
      <c r="H19" s="131"/>
      <c r="I19" s="131"/>
      <c r="J19" s="131"/>
      <c r="K19" s="131"/>
      <c r="L19" s="131"/>
      <c r="M19" s="131"/>
      <c r="N19" s="131"/>
      <c r="O19" s="131"/>
      <c r="P19" s="131"/>
      <c r="Q19" s="131"/>
      <c r="R19" s="131"/>
      <c r="S19" s="131"/>
      <c r="T19" s="132"/>
    </row>
    <row r="20" spans="2:20" x14ac:dyDescent="0.2">
      <c r="D20" s="122"/>
      <c r="E20" s="119" t="str">
        <f>UNICA_EUR!F16</f>
        <v>25Y</v>
      </c>
      <c r="F20" s="130"/>
      <c r="G20" s="131"/>
      <c r="H20" s="131"/>
      <c r="I20" s="131"/>
      <c r="J20" s="131"/>
      <c r="K20" s="131"/>
      <c r="L20" s="131"/>
      <c r="M20" s="131"/>
      <c r="N20" s="131"/>
      <c r="O20" s="131"/>
      <c r="P20" s="131"/>
      <c r="Q20" s="131"/>
      <c r="R20" s="131"/>
      <c r="S20" s="131"/>
      <c r="T20" s="132"/>
    </row>
    <row r="21" spans="2:20" x14ac:dyDescent="0.2">
      <c r="D21" s="123"/>
      <c r="E21" s="120" t="str">
        <f>UNICA_EUR!F17</f>
        <v>30Y</v>
      </c>
      <c r="F21" s="133"/>
      <c r="G21" s="134"/>
      <c r="H21" s="134"/>
      <c r="I21" s="134"/>
      <c r="J21" s="134"/>
      <c r="K21" s="134"/>
      <c r="L21" s="134"/>
      <c r="M21" s="134"/>
      <c r="N21" s="134"/>
      <c r="O21" s="134"/>
      <c r="P21" s="134"/>
      <c r="Q21" s="134"/>
      <c r="R21" s="134"/>
      <c r="S21" s="134"/>
      <c r="T21" s="135"/>
    </row>
    <row r="23" spans="2:20" x14ac:dyDescent="0.2">
      <c r="F23" s="303" t="s">
        <v>169</v>
      </c>
      <c r="G23" s="304"/>
      <c r="H23" s="304"/>
      <c r="I23" s="304"/>
      <c r="J23" s="304"/>
      <c r="K23" s="304"/>
      <c r="L23" s="304"/>
      <c r="M23" s="304"/>
      <c r="N23" s="304"/>
      <c r="O23" s="304"/>
      <c r="P23" s="304"/>
      <c r="Q23" s="304"/>
      <c r="R23" s="304"/>
      <c r="S23" s="304"/>
      <c r="T23" s="304"/>
    </row>
    <row r="24" spans="2:20" x14ac:dyDescent="0.2">
      <c r="B24" s="24" t="s">
        <v>171</v>
      </c>
      <c r="C24" s="24" t="s">
        <v>172</v>
      </c>
      <c r="D24" s="24" t="s">
        <v>170</v>
      </c>
      <c r="F24" s="124" t="str">
        <f t="shared" ref="F24:T24" si="0">F6</f>
        <v>6M</v>
      </c>
      <c r="G24" s="125" t="str">
        <f t="shared" si="0"/>
        <v>1Y</v>
      </c>
      <c r="H24" s="125" t="str">
        <f t="shared" si="0"/>
        <v>2Y</v>
      </c>
      <c r="I24" s="125" t="str">
        <f t="shared" si="0"/>
        <v>3Y</v>
      </c>
      <c r="J24" s="125" t="str">
        <f t="shared" si="0"/>
        <v>4Y</v>
      </c>
      <c r="K24" s="125" t="str">
        <f t="shared" si="0"/>
        <v>5Y</v>
      </c>
      <c r="L24" s="125" t="str">
        <f t="shared" si="0"/>
        <v>6Y</v>
      </c>
      <c r="M24" s="125" t="str">
        <f t="shared" si="0"/>
        <v>7Y</v>
      </c>
      <c r="N24" s="125" t="str">
        <f t="shared" si="0"/>
        <v>8Y</v>
      </c>
      <c r="O24" s="125" t="str">
        <f t="shared" si="0"/>
        <v>9Y</v>
      </c>
      <c r="P24" s="125" t="str">
        <f t="shared" si="0"/>
        <v>10Y</v>
      </c>
      <c r="Q24" s="125" t="str">
        <f t="shared" si="0"/>
        <v>15Y</v>
      </c>
      <c r="R24" s="125" t="str">
        <f t="shared" si="0"/>
        <v>20Y</v>
      </c>
      <c r="S24" s="125" t="str">
        <f t="shared" si="0"/>
        <v>25Y</v>
      </c>
      <c r="T24" s="126" t="str">
        <f t="shared" si="0"/>
        <v>30Y</v>
      </c>
    </row>
    <row r="25" spans="2:20" x14ac:dyDescent="0.2">
      <c r="B25" s="154"/>
      <c r="C25" s="151"/>
      <c r="D25" s="121" t="e">
        <f>-LN(C25/UNICA_EUR!Notional)/B25</f>
        <v>#NUM!</v>
      </c>
      <c r="E25" s="118" t="str">
        <f t="shared" ref="E25:E39" si="1">E7</f>
        <v>6M</v>
      </c>
      <c r="F25" s="127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8"/>
      <c r="S25" s="128"/>
      <c r="T25" s="129"/>
    </row>
    <row r="26" spans="2:20" x14ac:dyDescent="0.2">
      <c r="B26" s="155"/>
      <c r="C26" s="152"/>
      <c r="D26" s="122" t="e">
        <f>-LN(C26/UNICA_EUR!Notional)/B26</f>
        <v>#NUM!</v>
      </c>
      <c r="E26" s="119" t="str">
        <f t="shared" si="1"/>
        <v>1Y</v>
      </c>
      <c r="F26" s="130"/>
      <c r="G26" s="131"/>
      <c r="H26" s="131"/>
      <c r="I26" s="131"/>
      <c r="J26" s="131"/>
      <c r="K26" s="131"/>
      <c r="L26" s="131"/>
      <c r="M26" s="131"/>
      <c r="N26" s="131"/>
      <c r="O26" s="131"/>
      <c r="P26" s="131"/>
      <c r="Q26" s="131"/>
      <c r="R26" s="131"/>
      <c r="S26" s="131"/>
      <c r="T26" s="132"/>
    </row>
    <row r="27" spans="2:20" x14ac:dyDescent="0.2">
      <c r="B27" s="155"/>
      <c r="C27" s="152"/>
      <c r="D27" s="122" t="e">
        <f>-LN(C27/UNICA_EUR!Notional)/B27</f>
        <v>#NUM!</v>
      </c>
      <c r="E27" s="119" t="str">
        <f t="shared" si="1"/>
        <v>2Y</v>
      </c>
      <c r="F27" s="130"/>
      <c r="G27" s="131"/>
      <c r="H27" s="131"/>
      <c r="I27" s="131"/>
      <c r="J27" s="131"/>
      <c r="K27" s="131"/>
      <c r="L27" s="131"/>
      <c r="M27" s="131"/>
      <c r="N27" s="131"/>
      <c r="O27" s="131"/>
      <c r="P27" s="131"/>
      <c r="Q27" s="131"/>
      <c r="R27" s="131"/>
      <c r="S27" s="131"/>
      <c r="T27" s="132"/>
    </row>
    <row r="28" spans="2:20" x14ac:dyDescent="0.2">
      <c r="B28" s="155"/>
      <c r="C28" s="152"/>
      <c r="D28" s="122" t="e">
        <f>-LN(C28/UNICA_EUR!Notional)/B28</f>
        <v>#NUM!</v>
      </c>
      <c r="E28" s="119" t="str">
        <f t="shared" si="1"/>
        <v>3Y</v>
      </c>
      <c r="F28" s="130"/>
      <c r="G28" s="131"/>
      <c r="H28" s="131"/>
      <c r="I28" s="131"/>
      <c r="J28" s="131"/>
      <c r="K28" s="131"/>
      <c r="L28" s="131"/>
      <c r="M28" s="131"/>
      <c r="N28" s="131"/>
      <c r="O28" s="131"/>
      <c r="P28" s="131"/>
      <c r="Q28" s="131"/>
      <c r="R28" s="131"/>
      <c r="S28" s="131"/>
      <c r="T28" s="132"/>
    </row>
    <row r="29" spans="2:20" x14ac:dyDescent="0.2">
      <c r="B29" s="155"/>
      <c r="C29" s="152"/>
      <c r="D29" s="122" t="e">
        <f>-LN(C29/UNICA_EUR!Notional)/B29</f>
        <v>#NUM!</v>
      </c>
      <c r="E29" s="119" t="str">
        <f t="shared" si="1"/>
        <v>4Y</v>
      </c>
      <c r="F29" s="130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2"/>
    </row>
    <row r="30" spans="2:20" x14ac:dyDescent="0.2">
      <c r="B30" s="155"/>
      <c r="C30" s="152"/>
      <c r="D30" s="122" t="e">
        <f>-LN(C30/UNICA_EUR!Notional)/B30</f>
        <v>#NUM!</v>
      </c>
      <c r="E30" s="119" t="str">
        <f t="shared" si="1"/>
        <v>5Y</v>
      </c>
      <c r="F30" s="130"/>
      <c r="G30" s="131"/>
      <c r="H30" s="131"/>
      <c r="I30" s="131"/>
      <c r="J30" s="131"/>
      <c r="K30" s="131"/>
      <c r="L30" s="131"/>
      <c r="M30" s="131"/>
      <c r="N30" s="131"/>
      <c r="O30" s="131"/>
      <c r="P30" s="131"/>
      <c r="Q30" s="131"/>
      <c r="R30" s="131"/>
      <c r="S30" s="131"/>
      <c r="T30" s="132"/>
    </row>
    <row r="31" spans="2:20" x14ac:dyDescent="0.2">
      <c r="B31" s="155"/>
      <c r="C31" s="152"/>
      <c r="D31" s="122" t="e">
        <f>-LN(C31/UNICA_EUR!Notional)/B31</f>
        <v>#NUM!</v>
      </c>
      <c r="E31" s="119" t="str">
        <f t="shared" si="1"/>
        <v>6Y</v>
      </c>
      <c r="F31" s="130"/>
      <c r="G31" s="131"/>
      <c r="H31" s="131"/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2"/>
    </row>
    <row r="32" spans="2:20" x14ac:dyDescent="0.2">
      <c r="B32" s="155"/>
      <c r="C32" s="152"/>
      <c r="D32" s="122" t="e">
        <f>-LN(C32/UNICA_EUR!Notional)/B32</f>
        <v>#NUM!</v>
      </c>
      <c r="E32" s="119" t="str">
        <f t="shared" si="1"/>
        <v>7Y</v>
      </c>
      <c r="F32" s="130"/>
      <c r="G32" s="131"/>
      <c r="H32" s="131"/>
      <c r="I32" s="131"/>
      <c r="J32" s="131"/>
      <c r="K32" s="131"/>
      <c r="L32" s="131"/>
      <c r="M32" s="131"/>
      <c r="N32" s="131"/>
      <c r="O32" s="131"/>
      <c r="P32" s="131"/>
      <c r="Q32" s="131"/>
      <c r="R32" s="131"/>
      <c r="S32" s="131"/>
      <c r="T32" s="132"/>
    </row>
    <row r="33" spans="2:20" x14ac:dyDescent="0.2">
      <c r="B33" s="155"/>
      <c r="C33" s="152"/>
      <c r="D33" s="122" t="e">
        <f>-LN(C33/UNICA_EUR!Notional)/B33</f>
        <v>#NUM!</v>
      </c>
      <c r="E33" s="119" t="str">
        <f t="shared" si="1"/>
        <v>8Y</v>
      </c>
      <c r="F33" s="130"/>
      <c r="G33" s="131"/>
      <c r="H33" s="131"/>
      <c r="I33" s="131"/>
      <c r="J33" s="131"/>
      <c r="K33" s="131"/>
      <c r="L33" s="131"/>
      <c r="M33" s="131"/>
      <c r="N33" s="131"/>
      <c r="O33" s="131"/>
      <c r="P33" s="131"/>
      <c r="Q33" s="131"/>
      <c r="R33" s="131"/>
      <c r="S33" s="131"/>
      <c r="T33" s="132"/>
    </row>
    <row r="34" spans="2:20" x14ac:dyDescent="0.2">
      <c r="B34" s="155"/>
      <c r="C34" s="152"/>
      <c r="D34" s="122" t="e">
        <f>-LN(C34/UNICA_EUR!Notional)/B34</f>
        <v>#NUM!</v>
      </c>
      <c r="E34" s="119" t="str">
        <f t="shared" si="1"/>
        <v>9Y</v>
      </c>
      <c r="F34" s="130"/>
      <c r="G34" s="131"/>
      <c r="H34" s="131"/>
      <c r="I34" s="131"/>
      <c r="J34" s="131"/>
      <c r="K34" s="131"/>
      <c r="L34" s="131"/>
      <c r="M34" s="131"/>
      <c r="N34" s="131"/>
      <c r="O34" s="131"/>
      <c r="P34" s="131"/>
      <c r="Q34" s="131"/>
      <c r="R34" s="131"/>
      <c r="S34" s="131"/>
      <c r="T34" s="132"/>
    </row>
    <row r="35" spans="2:20" x14ac:dyDescent="0.2">
      <c r="B35" s="155"/>
      <c r="C35" s="152"/>
      <c r="D35" s="122" t="e">
        <f>-LN(C35/UNICA_EUR!Notional)/B35</f>
        <v>#NUM!</v>
      </c>
      <c r="E35" s="119" t="str">
        <f t="shared" si="1"/>
        <v>10Y</v>
      </c>
      <c r="F35" s="130"/>
      <c r="G35" s="131"/>
      <c r="H35" s="131"/>
      <c r="I35" s="131"/>
      <c r="J35" s="131"/>
      <c r="K35" s="131"/>
      <c r="L35" s="131"/>
      <c r="M35" s="131"/>
      <c r="N35" s="131"/>
      <c r="O35" s="131"/>
      <c r="P35" s="131"/>
      <c r="Q35" s="131"/>
      <c r="R35" s="131"/>
      <c r="S35" s="131"/>
      <c r="T35" s="132"/>
    </row>
    <row r="36" spans="2:20" x14ac:dyDescent="0.2">
      <c r="B36" s="155"/>
      <c r="C36" s="152"/>
      <c r="D36" s="122" t="e">
        <f>-LN(C36/UNICA_EUR!Notional)/B36</f>
        <v>#NUM!</v>
      </c>
      <c r="E36" s="119" t="str">
        <f t="shared" si="1"/>
        <v>15Y</v>
      </c>
      <c r="F36" s="130"/>
      <c r="G36" s="131"/>
      <c r="H36" s="131"/>
      <c r="I36" s="131"/>
      <c r="J36" s="131"/>
      <c r="K36" s="131"/>
      <c r="L36" s="131"/>
      <c r="M36" s="131"/>
      <c r="N36" s="131"/>
      <c r="O36" s="131"/>
      <c r="P36" s="131"/>
      <c r="Q36" s="131"/>
      <c r="R36" s="131"/>
      <c r="S36" s="131"/>
      <c r="T36" s="132"/>
    </row>
    <row r="37" spans="2:20" x14ac:dyDescent="0.2">
      <c r="B37" s="155"/>
      <c r="C37" s="152"/>
      <c r="D37" s="122" t="e">
        <f>-LN(C37/UNICA_EUR!Notional)/B37</f>
        <v>#NUM!</v>
      </c>
      <c r="E37" s="119" t="str">
        <f t="shared" si="1"/>
        <v>20Y</v>
      </c>
      <c r="F37" s="130"/>
      <c r="G37" s="131"/>
      <c r="H37" s="131"/>
      <c r="I37" s="131"/>
      <c r="J37" s="131"/>
      <c r="K37" s="131"/>
      <c r="L37" s="131"/>
      <c r="M37" s="131"/>
      <c r="N37" s="131"/>
      <c r="O37" s="131"/>
      <c r="P37" s="131"/>
      <c r="Q37" s="131"/>
      <c r="R37" s="131"/>
      <c r="S37" s="131"/>
      <c r="T37" s="132"/>
    </row>
    <row r="38" spans="2:20" x14ac:dyDescent="0.2">
      <c r="B38" s="155"/>
      <c r="C38" s="152"/>
      <c r="D38" s="122" t="e">
        <f>-LN(C38/UNICA_EUR!Notional)/B38</f>
        <v>#NUM!</v>
      </c>
      <c r="E38" s="119" t="str">
        <f t="shared" si="1"/>
        <v>25Y</v>
      </c>
      <c r="F38" s="130"/>
      <c r="G38" s="131"/>
      <c r="H38" s="131"/>
      <c r="I38" s="131"/>
      <c r="J38" s="131"/>
      <c r="K38" s="131"/>
      <c r="L38" s="131"/>
      <c r="M38" s="131"/>
      <c r="N38" s="131"/>
      <c r="O38" s="131"/>
      <c r="P38" s="131"/>
      <c r="Q38" s="131"/>
      <c r="R38" s="131"/>
      <c r="S38" s="131"/>
      <c r="T38" s="132"/>
    </row>
    <row r="39" spans="2:20" x14ac:dyDescent="0.2">
      <c r="B39" s="156"/>
      <c r="C39" s="153"/>
      <c r="D39" s="123" t="e">
        <f>-LN(C39/UNICA_EUR!Notional)/B39</f>
        <v>#NUM!</v>
      </c>
      <c r="E39" s="120" t="str">
        <f t="shared" si="1"/>
        <v>30Y</v>
      </c>
      <c r="F39" s="133"/>
      <c r="G39" s="134"/>
      <c r="H39" s="134"/>
      <c r="I39" s="134"/>
      <c r="J39" s="134"/>
      <c r="K39" s="134"/>
      <c r="L39" s="134"/>
      <c r="M39" s="134"/>
      <c r="N39" s="134"/>
      <c r="O39" s="134"/>
      <c r="P39" s="134"/>
      <c r="Q39" s="134"/>
      <c r="R39" s="134"/>
      <c r="S39" s="134"/>
      <c r="T39" s="135"/>
    </row>
  </sheetData>
  <mergeCells count="2">
    <mergeCell ref="F5:T5"/>
    <mergeCell ref="F23:T23"/>
  </mergeCells>
  <conditionalFormatting sqref="F7:T21">
    <cfRule type="expression" dxfId="2" priority="3">
      <formula>ISNA(F7)</formula>
    </cfRule>
  </conditionalFormatting>
  <conditionalFormatting sqref="F25:T39">
    <cfRule type="expression" dxfId="1" priority="2">
      <formula>ISNA(F25)</formula>
    </cfRule>
  </conditionalFormatting>
  <conditionalFormatting sqref="B25:D39">
    <cfRule type="expression" dxfId="0" priority="1">
      <formula>ISNA(B25)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ensyCalc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J34"/>
  <sheetViews>
    <sheetView showGridLines="0" workbookViewId="0">
      <selection activeCell="C2" sqref="C2"/>
    </sheetView>
  </sheetViews>
  <sheetFormatPr defaultRowHeight="11.25" x14ac:dyDescent="0.2"/>
  <cols>
    <col min="1" max="1" width="3.83203125" customWidth="1"/>
    <col min="3" max="3" width="13.83203125" customWidth="1"/>
    <col min="7" max="10" width="55.83203125" customWidth="1"/>
  </cols>
  <sheetData>
    <row r="2" spans="2:10" x14ac:dyDescent="0.2">
      <c r="B2" s="97" t="s">
        <v>74</v>
      </c>
      <c r="C2" s="98" t="b">
        <f>UNICA_EUR!S1</f>
        <v>0</v>
      </c>
      <c r="F2" s="42" t="s">
        <v>71</v>
      </c>
      <c r="G2" s="24" t="s">
        <v>148</v>
      </c>
      <c r="H2" s="24" t="s">
        <v>149</v>
      </c>
      <c r="I2" s="24" t="s">
        <v>150</v>
      </c>
      <c r="J2" s="24" t="s">
        <v>151</v>
      </c>
    </row>
    <row r="3" spans="2:10" x14ac:dyDescent="0.2">
      <c r="E3" s="51" t="str">
        <f>UNICA_EUR!F3</f>
        <v>6M</v>
      </c>
      <c r="F3" s="50">
        <f>UNICA_EUR!R3</f>
        <v>13.32</v>
      </c>
      <c r="G3" s="48" t="str">
        <f>IF($C$2,_xll.RtContribute($C$4,G$2&amp;$E3&amp;$C$5,CHOOSE({1,2},"BID","ASK"),CHOOSE({1,2},$F3,$F3),"SCOPE:SERVER FTC:ALL"),"--")</f>
        <v>--</v>
      </c>
      <c r="H3" s="48" t="str">
        <f>IF($C$2,_xll.RtContribute($C$4,H$2&amp;$E3&amp;$C$5,CHOOSE({1,2},"BID","ASK"),CHOOSE({1,2},$F3,$F3),"SCOPE:SERVER FTC:ALL"),"--")</f>
        <v>--</v>
      </c>
      <c r="I3" s="48" t="str">
        <f>IF($C$2,_xll.RtContribute($C$4,I$2&amp;$E3&amp;$C$5,CHOOSE({1,2},"BID","ASK"),CHOOSE({1,2},$F3,$F3),"SCOPE:SERVER FTC:ALL"),"--")</f>
        <v>--</v>
      </c>
      <c r="J3" s="48" t="str">
        <f>IF($C$2,_xll.RtContribute($C$4,J$2&amp;$E3&amp;$C$5,CHOOSE({1,2},"BID","ASK"),CHOOSE({1,2},$F3,$F3),"SCOPE:SERVER FTC:ALL"),"--")</f>
        <v>--</v>
      </c>
    </row>
    <row r="4" spans="2:10" x14ac:dyDescent="0.2">
      <c r="B4" s="14" t="s">
        <v>8</v>
      </c>
      <c r="C4" s="93" t="s">
        <v>62</v>
      </c>
      <c r="E4" s="45" t="str">
        <f>UNICA_EUR!F4</f>
        <v>1Y</v>
      </c>
      <c r="F4" s="43">
        <f>UNICA_EUR!R4</f>
        <v>30.13</v>
      </c>
      <c r="G4" s="40" t="str">
        <f>IF($C$2,_xll.RtContribute($C$4,G$2&amp;$E4&amp;$C$6,CHOOSE({1,2},"BID","ASK"),CHOOSE({1,2},$F4,$F4),"SCOPE:SERVER FTC:ALL"),"--")</f>
        <v>--</v>
      </c>
      <c r="H4" s="40" t="str">
        <f>IF($C$2,_xll.RtContribute($C$4,H$2&amp;$E4&amp;$C$6,CHOOSE({1,2},"BID","ASK"),CHOOSE({1,2},$F4,$F4),"SCOPE:SERVER FTC:ALL"),"--")</f>
        <v>--</v>
      </c>
      <c r="I4" s="40" t="str">
        <f>IF($C$2,_xll.RtContribute($C$4,I$2&amp;$E4&amp;$C$6,CHOOSE({1,2},"BID","ASK"),CHOOSE({1,2},$F4,$F4),"SCOPE:SERVER FTC:ALL"),"--")</f>
        <v>--</v>
      </c>
      <c r="J4" s="40" t="str">
        <f>IF($C$2,_xll.RtContribute($C$4,J$2&amp;$E4&amp;$C$6,CHOOSE({1,2},"BID","ASK"),CHOOSE({1,2},$F4,$F4),"SCOPE:SERVER FTC:ALL"),"--")</f>
        <v>--</v>
      </c>
    </row>
    <row r="5" spans="2:10" x14ac:dyDescent="0.2">
      <c r="B5" s="15" t="s">
        <v>10</v>
      </c>
      <c r="C5" s="95" t="s">
        <v>152</v>
      </c>
      <c r="E5" s="45" t="str">
        <f>UNICA_EUR!F5</f>
        <v>2Y</v>
      </c>
      <c r="F5" s="43">
        <f>UNICA_EUR!R5</f>
        <v>49.25</v>
      </c>
      <c r="G5" s="40" t="str">
        <f>IF($C$2,_xll.RtContribute($C$4,G$2&amp;$E5&amp;$C$6,CHOOSE({1,2},"BID","ASK"),CHOOSE({1,2},$F5,$F5),"SCOPE:SERVER FTC:ALL"),"--")</f>
        <v>--</v>
      </c>
      <c r="H5" s="40" t="str">
        <f>IF($C$2,_xll.RtContribute($C$4,H$2&amp;$E5&amp;$C$6,CHOOSE({1,2},"BID","ASK"),CHOOSE({1,2},$F5,$F5),"SCOPE:SERVER FTC:ALL"),"--")</f>
        <v>--</v>
      </c>
      <c r="I5" s="40" t="str">
        <f>IF($C$2,_xll.RtContribute($C$4,I$2&amp;$E5&amp;$C$6,CHOOSE({1,2},"BID","ASK"),CHOOSE({1,2},$F5,$F5),"SCOPE:SERVER FTC:ALL"),"--")</f>
        <v>--</v>
      </c>
      <c r="J5" s="40" t="str">
        <f>IF($C$2,_xll.RtContribute($C$4,J$2&amp;$E5&amp;$C$6,CHOOSE({1,2},"BID","ASK"),CHOOSE({1,2},$F5,$F5),"SCOPE:SERVER FTC:ALL"),"--")</f>
        <v>--</v>
      </c>
    </row>
    <row r="6" spans="2:10" x14ac:dyDescent="0.2">
      <c r="B6" s="16" t="s">
        <v>10</v>
      </c>
      <c r="C6" s="96" t="s">
        <v>152</v>
      </c>
      <c r="E6" s="45" t="str">
        <f>UNICA_EUR!F6</f>
        <v>3Y</v>
      </c>
      <c r="F6" s="43">
        <f>UNICA_EUR!R6</f>
        <v>76.849999999999994</v>
      </c>
      <c r="G6" s="40" t="str">
        <f>IF($C$2,_xll.RtContribute($C$4,G$2&amp;$E6&amp;$C$6,CHOOSE({1,2},"BID","ASK"),CHOOSE({1,2},$F6,$F6),"SCOPE:SERVER FTC:ALL"),"--")</f>
        <v>--</v>
      </c>
      <c r="H6" s="40" t="str">
        <f>IF($C$2,_xll.RtContribute($C$4,H$2&amp;$E6&amp;$C$6,CHOOSE({1,2},"BID","ASK"),CHOOSE({1,2},$F6,$F6),"SCOPE:SERVER FTC:ALL"),"--")</f>
        <v>--</v>
      </c>
      <c r="I6" s="40" t="str">
        <f>IF($C$2,_xll.RtContribute($C$4,I$2&amp;$E6&amp;$C$6,CHOOSE({1,2},"BID","ASK"),CHOOSE({1,2},$F6,$F6),"SCOPE:SERVER FTC:ALL"),"--")</f>
        <v>--</v>
      </c>
      <c r="J6" s="40" t="str">
        <f>IF($C$2,_xll.RtContribute($C$4,J$2&amp;$E6&amp;$C$6,CHOOSE({1,2},"BID","ASK"),CHOOSE({1,2},$F6,$F6),"SCOPE:SERVER FTC:ALL"),"--")</f>
        <v>--</v>
      </c>
    </row>
    <row r="7" spans="2:10" x14ac:dyDescent="0.2">
      <c r="E7" s="45" t="str">
        <f>UNICA_EUR!F7</f>
        <v>4Y</v>
      </c>
      <c r="F7" s="43">
        <f>UNICA_EUR!R7</f>
        <v>89.08</v>
      </c>
      <c r="G7" s="40" t="str">
        <f>IF($C$2,_xll.RtContribute($C$4,G$2&amp;$E7&amp;$C$6,CHOOSE({1,2},"BID","ASK"),CHOOSE({1,2},$F7,$F7),"SCOPE:SERVER FTC:ALL"),"--")</f>
        <v>--</v>
      </c>
      <c r="H7" s="40" t="str">
        <f>IF($C$2,_xll.RtContribute($C$4,H$2&amp;$E7&amp;$C$6,CHOOSE({1,2},"BID","ASK"),CHOOSE({1,2},$F7,$F7),"SCOPE:SERVER FTC:ALL"),"--")</f>
        <v>--</v>
      </c>
      <c r="I7" s="40" t="str">
        <f>IF($C$2,_xll.RtContribute($C$4,I$2&amp;$E7&amp;$C$6,CHOOSE({1,2},"BID","ASK"),CHOOSE({1,2},$F7,$F7),"SCOPE:SERVER FTC:ALL"),"--")</f>
        <v>--</v>
      </c>
      <c r="J7" s="40" t="str">
        <f>IF($C$2,_xll.RtContribute($C$4,J$2&amp;$E7&amp;$C$6,CHOOSE({1,2},"BID","ASK"),CHOOSE({1,2},$F7,$F7),"SCOPE:SERVER FTC:ALL"),"--")</f>
        <v>--</v>
      </c>
    </row>
    <row r="8" spans="2:10" x14ac:dyDescent="0.2">
      <c r="E8" s="45" t="str">
        <f>UNICA_EUR!F8</f>
        <v>5Y</v>
      </c>
      <c r="F8" s="43">
        <f>UNICA_EUR!R8</f>
        <v>109.49</v>
      </c>
      <c r="G8" s="40" t="str">
        <f>IF($C$2,_xll.RtContribute($C$4,G$2&amp;$E8&amp;$C$6,CHOOSE({1,2},"BID","ASK"),CHOOSE({1,2},$F8,$F8),"SCOPE:SERVER FTC:ALL"),"--")</f>
        <v>--</v>
      </c>
      <c r="H8" s="40" t="str">
        <f>IF($C$2,_xll.RtContribute($C$4,H$2&amp;$E8&amp;$C$6,CHOOSE({1,2},"BID","ASK"),CHOOSE({1,2},$F8,$F8),"SCOPE:SERVER FTC:ALL"),"--")</f>
        <v>--</v>
      </c>
      <c r="I8" s="40" t="str">
        <f>IF($C$2,_xll.RtContribute($C$4,I$2&amp;$E8&amp;$C$6,CHOOSE({1,2},"BID","ASK"),CHOOSE({1,2},$F8,$F8),"SCOPE:SERVER FTC:ALL"),"--")</f>
        <v>--</v>
      </c>
      <c r="J8" s="40" t="str">
        <f>IF($C$2,_xll.RtContribute($C$4,J$2&amp;$E8&amp;$C$6,CHOOSE({1,2},"BID","ASK"),CHOOSE({1,2},$F8,$F8),"SCOPE:SERVER FTC:ALL"),"--")</f>
        <v>--</v>
      </c>
    </row>
    <row r="9" spans="2:10" x14ac:dyDescent="0.2">
      <c r="E9" s="45" t="str">
        <f>UNICA_EUR!F9</f>
        <v>6Y</v>
      </c>
      <c r="F9" s="43">
        <f>UNICA_EUR!R9</f>
        <v>121.45</v>
      </c>
      <c r="G9" s="40" t="str">
        <f>IF($C$2,_xll.RtContribute($C$4,G$2&amp;$E9&amp;$C$6,CHOOSE({1,2},"BID","ASK"),CHOOSE({1,2},$F9,$F9),"SCOPE:SERVER FTC:ALL"),"--")</f>
        <v>--</v>
      </c>
      <c r="H9" s="40" t="str">
        <f>IF($C$2,_xll.RtContribute($C$4,H$2&amp;$E9&amp;$C$6,CHOOSE({1,2},"BID","ASK"),CHOOSE({1,2},$F9,$F9),"SCOPE:SERVER FTC:ALL"),"--")</f>
        <v>--</v>
      </c>
      <c r="I9" s="40" t="str">
        <f>IF($C$2,_xll.RtContribute($C$4,I$2&amp;$E9&amp;$C$6,CHOOSE({1,2},"BID","ASK"),CHOOSE({1,2},$F9,$F9),"SCOPE:SERVER FTC:ALL"),"--")</f>
        <v>--</v>
      </c>
      <c r="J9" s="40" t="str">
        <f>IF($C$2,_xll.RtContribute($C$4,J$2&amp;$E9&amp;$C$6,CHOOSE({1,2},"BID","ASK"),CHOOSE({1,2},$F9,$F9),"SCOPE:SERVER FTC:ALL"),"--")</f>
        <v>--</v>
      </c>
    </row>
    <row r="10" spans="2:10" x14ac:dyDescent="0.2">
      <c r="E10" s="45" t="str">
        <f>UNICA_EUR!F10</f>
        <v>7Y</v>
      </c>
      <c r="F10" s="43">
        <f>UNICA_EUR!R10</f>
        <v>134.41</v>
      </c>
      <c r="G10" s="40" t="str">
        <f>IF($C$2,_xll.RtContribute($C$4,G$2&amp;$E10&amp;$C$6,CHOOSE({1,2},"BID","ASK"),CHOOSE({1,2},$F10,$F10),"SCOPE:SERVER FTC:ALL"),"--")</f>
        <v>--</v>
      </c>
      <c r="H10" s="40" t="str">
        <f>IF($C$2,_xll.RtContribute($C$4,H$2&amp;$E10&amp;$C$6,CHOOSE({1,2},"BID","ASK"),CHOOSE({1,2},$F10,$F10),"SCOPE:SERVER FTC:ALL"),"--")</f>
        <v>--</v>
      </c>
      <c r="I10" s="40" t="str">
        <f>IF($C$2,_xll.RtContribute($C$4,I$2&amp;$E10&amp;$C$6,CHOOSE({1,2},"BID","ASK"),CHOOSE({1,2},$F10,$F10),"SCOPE:SERVER FTC:ALL"),"--")</f>
        <v>--</v>
      </c>
      <c r="J10" s="40" t="str">
        <f>IF($C$2,_xll.RtContribute($C$4,J$2&amp;$E10&amp;$C$6,CHOOSE({1,2},"BID","ASK"),CHOOSE({1,2},$F10,$F10),"SCOPE:SERVER FTC:ALL"),"--")</f>
        <v>--</v>
      </c>
    </row>
    <row r="11" spans="2:10" x14ac:dyDescent="0.2">
      <c r="E11" s="45" t="str">
        <f>UNICA_EUR!F11</f>
        <v>8Y</v>
      </c>
      <c r="F11" s="43">
        <f>UNICA_EUR!R11</f>
        <v>142.93</v>
      </c>
      <c r="G11" s="40" t="str">
        <f>IF($C$2,_xll.RtContribute($C$4,G$2&amp;$E11&amp;$C$6,CHOOSE({1,2},"BID","ASK"),CHOOSE({1,2},$F11,$F11),"SCOPE:SERVER FTC:ALL"),"--")</f>
        <v>--</v>
      </c>
      <c r="H11" s="40" t="str">
        <f>IF($C$2,_xll.RtContribute($C$4,H$2&amp;$E11&amp;$C$6,CHOOSE({1,2},"BID","ASK"),CHOOSE({1,2},$F11,$F11),"SCOPE:SERVER FTC:ALL"),"--")</f>
        <v>--</v>
      </c>
      <c r="I11" s="40" t="str">
        <f>IF($C$2,_xll.RtContribute($C$4,I$2&amp;$E11&amp;$C$6,CHOOSE({1,2},"BID","ASK"),CHOOSE({1,2},$F11,$F11),"SCOPE:SERVER FTC:ALL"),"--")</f>
        <v>--</v>
      </c>
      <c r="J11" s="40" t="str">
        <f>IF($C$2,_xll.RtContribute($C$4,J$2&amp;$E11&amp;$C$6,CHOOSE({1,2},"BID","ASK"),CHOOSE({1,2},$F11,$F11),"SCOPE:SERVER FTC:ALL"),"--")</f>
        <v>--</v>
      </c>
    </row>
    <row r="12" spans="2:10" x14ac:dyDescent="0.2">
      <c r="E12" s="45" t="str">
        <f>UNICA_EUR!F12</f>
        <v>9Y</v>
      </c>
      <c r="F12" s="43">
        <f>UNICA_EUR!R12</f>
        <v>150.85</v>
      </c>
      <c r="G12" s="40" t="str">
        <f>IF($C$2,_xll.RtContribute($C$4,G$2&amp;$E12&amp;$C$6,CHOOSE({1,2},"BID","ASK"),CHOOSE({1,2},$F12,$F12),"SCOPE:SERVER FTC:ALL"),"--")</f>
        <v>--</v>
      </c>
      <c r="H12" s="40" t="str">
        <f>IF($C$2,_xll.RtContribute($C$4,H$2&amp;$E12&amp;$C$6,CHOOSE({1,2},"BID","ASK"),CHOOSE({1,2},$F12,$F12),"SCOPE:SERVER FTC:ALL"),"--")</f>
        <v>--</v>
      </c>
      <c r="I12" s="40" t="str">
        <f>IF($C$2,_xll.RtContribute($C$4,I$2&amp;$E12&amp;$C$6,CHOOSE({1,2},"BID","ASK"),CHOOSE({1,2},$F12,$F12),"SCOPE:SERVER FTC:ALL"),"--")</f>
        <v>--</v>
      </c>
      <c r="J12" s="40" t="str">
        <f>IF($C$2,_xll.RtContribute($C$4,J$2&amp;$E12&amp;$C$6,CHOOSE({1,2},"BID","ASK"),CHOOSE({1,2},$F12,$F12),"SCOPE:SERVER FTC:ALL"),"--")</f>
        <v>--</v>
      </c>
    </row>
    <row r="13" spans="2:10" x14ac:dyDescent="0.2">
      <c r="E13" s="45" t="str">
        <f>UNICA_EUR!F13</f>
        <v>10Y</v>
      </c>
      <c r="F13" s="43">
        <f>UNICA_EUR!R13</f>
        <v>160.96</v>
      </c>
      <c r="G13" s="40" t="str">
        <f>IF($C$2,_xll.RtContribute($C$4,G$2&amp;$E13&amp;$C$6,CHOOSE({1,2},"BID","ASK"),CHOOSE({1,2},$F13,$F13),"SCOPE:SERVER FTC:ALL"),"--")</f>
        <v>--</v>
      </c>
      <c r="H13" s="40" t="str">
        <f>IF($C$2,_xll.RtContribute($C$4,H$2&amp;$E13&amp;$C$6,CHOOSE({1,2},"BID","ASK"),CHOOSE({1,2},$F13,$F13),"SCOPE:SERVER FTC:ALL"),"--")</f>
        <v>--</v>
      </c>
      <c r="I13" s="40" t="str">
        <f>IF($C$2,_xll.RtContribute($C$4,I$2&amp;$E13&amp;$C$6,CHOOSE({1,2},"BID","ASK"),CHOOSE({1,2},$F13,$F13),"SCOPE:SERVER FTC:ALL"),"--")</f>
        <v>--</v>
      </c>
      <c r="J13" s="40" t="str">
        <f>IF($C$2,_xll.RtContribute($C$4,J$2&amp;$E13&amp;$C$6,CHOOSE({1,2},"BID","ASK"),CHOOSE({1,2},$F13,$F13),"SCOPE:SERVER FTC:ALL"),"--")</f>
        <v>--</v>
      </c>
    </row>
    <row r="14" spans="2:10" x14ac:dyDescent="0.2">
      <c r="E14" s="45" t="str">
        <f>UNICA_EUR!F14</f>
        <v>15Y</v>
      </c>
      <c r="F14" s="43">
        <f>UNICA_EUR!R14</f>
        <v>217.81</v>
      </c>
      <c r="G14" s="40" t="str">
        <f>IF($C$2,_xll.RtContribute($C$4,G$2&amp;$E14&amp;$C$6,CHOOSE({1,2},"BID","ASK"),CHOOSE({1,2},$F14,$F14),"SCOPE:SERVER FTC:ALL"),"--")</f>
        <v>--</v>
      </c>
      <c r="H14" s="40" t="str">
        <f>IF($C$2,_xll.RtContribute($C$4,H$2&amp;$E14&amp;$C$6,CHOOSE({1,2},"BID","ASK"),CHOOSE({1,2},$F14,$F14),"SCOPE:SERVER FTC:ALL"),"--")</f>
        <v>--</v>
      </c>
      <c r="I14" s="40" t="str">
        <f>IF($C$2,_xll.RtContribute($C$4,I$2&amp;$E14&amp;$C$6,CHOOSE({1,2},"BID","ASK"),CHOOSE({1,2},$F14,$F14),"SCOPE:SERVER FTC:ALL"),"--")</f>
        <v>--</v>
      </c>
      <c r="J14" s="40" t="str">
        <f>IF($C$2,_xll.RtContribute($C$4,J$2&amp;$E14&amp;$C$6,CHOOSE({1,2},"BID","ASK"),CHOOSE({1,2},$F14,$F14),"SCOPE:SERVER FTC:ALL"),"--")</f>
        <v>--</v>
      </c>
    </row>
    <row r="15" spans="2:10" x14ac:dyDescent="0.2">
      <c r="E15" s="45" t="str">
        <f>UNICA_EUR!F15</f>
        <v>20Y</v>
      </c>
      <c r="F15" s="43">
        <f>UNICA_EUR!R15</f>
        <v>217.81</v>
      </c>
      <c r="G15" s="40" t="str">
        <f>IF($C$2,_xll.RtContribute($C$4,G$2&amp;$E15&amp;$C$6,CHOOSE({1,2},"BID","ASK"),CHOOSE({1,2},$F15,$F15),"SCOPE:SERVER FTC:ALL"),"--")</f>
        <v>--</v>
      </c>
      <c r="H15" s="40" t="str">
        <f>IF($C$2,_xll.RtContribute($C$4,H$2&amp;$E15&amp;$C$6,CHOOSE({1,2},"BID","ASK"),CHOOSE({1,2},$F15,$F15),"SCOPE:SERVER FTC:ALL"),"--")</f>
        <v>--</v>
      </c>
      <c r="I15" s="40" t="str">
        <f>IF($C$2,_xll.RtContribute($C$4,I$2&amp;$E15&amp;$C$6,CHOOSE({1,2},"BID","ASK"),CHOOSE({1,2},$F15,$F15),"SCOPE:SERVER FTC:ALL"),"--")</f>
        <v>--</v>
      </c>
      <c r="J15" s="40" t="str">
        <f>IF($C$2,_xll.RtContribute($C$4,J$2&amp;$E15&amp;$C$6,CHOOSE({1,2},"BID","ASK"),CHOOSE({1,2},$F15,$F15),"SCOPE:SERVER FTC:ALL"),"--")</f>
        <v>--</v>
      </c>
    </row>
    <row r="16" spans="2:10" x14ac:dyDescent="0.2">
      <c r="E16" s="45" t="str">
        <f>UNICA_EUR!F16</f>
        <v>25Y</v>
      </c>
      <c r="F16" s="43">
        <f>UNICA_EUR!R16</f>
        <v>217.81</v>
      </c>
      <c r="G16" s="40" t="str">
        <f>IF($C$2,_xll.RtContribute($C$4,G$2&amp;$E16&amp;$C$6,CHOOSE({1,2},"BID","ASK"),CHOOSE({1,2},$F16,$F16),"SCOPE:SERVER FTC:ALL"),"--")</f>
        <v>--</v>
      </c>
      <c r="H16" s="40" t="str">
        <f>IF($C$2,_xll.RtContribute($C$4,H$2&amp;$E16&amp;$C$6,CHOOSE({1,2},"BID","ASK"),CHOOSE({1,2},$F16,$F16),"SCOPE:SERVER FTC:ALL"),"--")</f>
        <v>--</v>
      </c>
      <c r="I16" s="40" t="str">
        <f>IF($C$2,_xll.RtContribute($C$4,I$2&amp;$E16&amp;$C$6,CHOOSE({1,2},"BID","ASK"),CHOOSE({1,2},$F16,$F16),"SCOPE:SERVER FTC:ALL"),"--")</f>
        <v>--</v>
      </c>
      <c r="J16" s="40" t="str">
        <f>IF($C$2,_xll.RtContribute($C$4,J$2&amp;$E16&amp;$C$6,CHOOSE({1,2},"BID","ASK"),CHOOSE({1,2},$F16,$F16),"SCOPE:SERVER FTC:ALL"),"--")</f>
        <v>--</v>
      </c>
    </row>
    <row r="17" spans="5:10" x14ac:dyDescent="0.2">
      <c r="E17" s="46" t="str">
        <f>UNICA_EUR!F17</f>
        <v>30Y</v>
      </c>
      <c r="F17" s="44">
        <f>UNICA_EUR!R17</f>
        <v>217.81</v>
      </c>
      <c r="G17" s="41" t="str">
        <f>IF($C$2,_xll.RtContribute($C$4,G$2&amp;$E17&amp;$C$6,CHOOSE({1,2},"BID","ASK"),CHOOSE({1,2},$F17,$F17),"SCOPE:SERVER FTC:ALL"),"--")</f>
        <v>--</v>
      </c>
      <c r="H17" s="41" t="str">
        <f>IF($C$2,_xll.RtContribute($C$4,H$2&amp;$E17&amp;$C$6,CHOOSE({1,2},"BID","ASK"),CHOOSE({1,2},$F17,$F17),"SCOPE:SERVER FTC:ALL"),"--")</f>
        <v>--</v>
      </c>
      <c r="I17" s="41" t="str">
        <f>IF($C$2,_xll.RtContribute($C$4,I$2&amp;$E17&amp;$C$6,CHOOSE({1,2},"BID","ASK"),CHOOSE({1,2},$F17,$F17),"SCOPE:SERVER FTC:ALL"),"--")</f>
        <v>--</v>
      </c>
      <c r="J17" s="41" t="str">
        <f>IF($C$2,_xll.RtContribute($C$4,J$2&amp;$E17&amp;$C$6,CHOOSE({1,2},"BID","ASK"),CHOOSE({1,2},$F17,$F17),"SCOPE:SERVER FTC:ALL"),"--")</f>
        <v>--</v>
      </c>
    </row>
    <row r="20" spans="5:10" x14ac:dyDescent="0.2">
      <c r="G20" t="s">
        <v>88</v>
      </c>
      <c r="H20" t="s">
        <v>89</v>
      </c>
      <c r="I20" t="s">
        <v>90</v>
      </c>
      <c r="J20" t="s">
        <v>91</v>
      </c>
    </row>
    <row r="21" spans="5:10" x14ac:dyDescent="0.2">
      <c r="G21" t="s">
        <v>92</v>
      </c>
      <c r="H21" t="s">
        <v>93</v>
      </c>
      <c r="I21" t="s">
        <v>94</v>
      </c>
      <c r="J21" t="s">
        <v>95</v>
      </c>
    </row>
    <row r="22" spans="5:10" x14ac:dyDescent="0.2">
      <c r="G22" t="s">
        <v>96</v>
      </c>
      <c r="H22" t="s">
        <v>97</v>
      </c>
      <c r="I22" t="s">
        <v>98</v>
      </c>
      <c r="J22" t="s">
        <v>99</v>
      </c>
    </row>
    <row r="23" spans="5:10" x14ac:dyDescent="0.2">
      <c r="G23" t="s">
        <v>100</v>
      </c>
      <c r="H23" t="s">
        <v>101</v>
      </c>
      <c r="I23" t="s">
        <v>102</v>
      </c>
      <c r="J23" t="s">
        <v>103</v>
      </c>
    </row>
    <row r="24" spans="5:10" x14ac:dyDescent="0.2">
      <c r="G24" t="s">
        <v>104</v>
      </c>
      <c r="H24" t="s">
        <v>105</v>
      </c>
      <c r="I24" t="s">
        <v>106</v>
      </c>
      <c r="J24" t="s">
        <v>107</v>
      </c>
    </row>
    <row r="25" spans="5:10" x14ac:dyDescent="0.2">
      <c r="G25" t="s">
        <v>108</v>
      </c>
      <c r="H25" t="s">
        <v>109</v>
      </c>
      <c r="I25" t="s">
        <v>110</v>
      </c>
      <c r="J25" t="s">
        <v>111</v>
      </c>
    </row>
    <row r="26" spans="5:10" x14ac:dyDescent="0.2">
      <c r="G26" t="s">
        <v>112</v>
      </c>
      <c r="H26" t="s">
        <v>113</v>
      </c>
      <c r="I26" t="s">
        <v>114</v>
      </c>
      <c r="J26" t="s">
        <v>115</v>
      </c>
    </row>
    <row r="27" spans="5:10" x14ac:dyDescent="0.2">
      <c r="G27" t="s">
        <v>116</v>
      </c>
      <c r="H27" t="s">
        <v>117</v>
      </c>
      <c r="I27" t="s">
        <v>118</v>
      </c>
      <c r="J27" t="s">
        <v>119</v>
      </c>
    </row>
    <row r="28" spans="5:10" x14ac:dyDescent="0.2">
      <c r="G28" t="s">
        <v>120</v>
      </c>
      <c r="H28" t="s">
        <v>121</v>
      </c>
      <c r="I28" t="s">
        <v>122</v>
      </c>
      <c r="J28" t="s">
        <v>123</v>
      </c>
    </row>
    <row r="29" spans="5:10" x14ac:dyDescent="0.2">
      <c r="G29" t="s">
        <v>124</v>
      </c>
      <c r="H29" t="s">
        <v>125</v>
      </c>
      <c r="I29" t="s">
        <v>126</v>
      </c>
      <c r="J29" t="s">
        <v>127</v>
      </c>
    </row>
    <row r="30" spans="5:10" x14ac:dyDescent="0.2">
      <c r="G30" t="s">
        <v>128</v>
      </c>
      <c r="H30" t="s">
        <v>129</v>
      </c>
      <c r="I30" t="s">
        <v>130</v>
      </c>
      <c r="J30" t="s">
        <v>131</v>
      </c>
    </row>
    <row r="31" spans="5:10" x14ac:dyDescent="0.2">
      <c r="G31" t="s">
        <v>132</v>
      </c>
      <c r="H31" t="s">
        <v>133</v>
      </c>
      <c r="I31" t="s">
        <v>134</v>
      </c>
      <c r="J31" t="s">
        <v>135</v>
      </c>
    </row>
    <row r="32" spans="5:10" x14ac:dyDescent="0.2">
      <c r="G32" t="s">
        <v>136</v>
      </c>
      <c r="H32" t="s">
        <v>137</v>
      </c>
      <c r="I32" t="s">
        <v>138</v>
      </c>
      <c r="J32" t="s">
        <v>139</v>
      </c>
    </row>
    <row r="33" spans="7:10" x14ac:dyDescent="0.2">
      <c r="G33" t="s">
        <v>140</v>
      </c>
      <c r="H33" t="s">
        <v>141</v>
      </c>
      <c r="I33" t="s">
        <v>142</v>
      </c>
      <c r="J33" t="s">
        <v>143</v>
      </c>
    </row>
    <row r="34" spans="7:10" x14ac:dyDescent="0.2">
      <c r="G34" t="s">
        <v>144</v>
      </c>
      <c r="H34" t="s">
        <v>145</v>
      </c>
      <c r="I34" t="s">
        <v>146</v>
      </c>
      <c r="J34" t="s">
        <v>147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42</vt:i4>
      </vt:variant>
    </vt:vector>
  </HeadingPairs>
  <TitlesOfParts>
    <vt:vector size="46" baseType="lpstr">
      <vt:lpstr>dvCurveBootstrapperOptions</vt:lpstr>
      <vt:lpstr>UNICA_EUR</vt:lpstr>
      <vt:lpstr>Sensitivities</vt:lpstr>
      <vt:lpstr>DeprecatedCurves</vt:lpstr>
      <vt:lpstr>UNICA_EUR!BizDayConv</vt:lpstr>
      <vt:lpstr>UNICA_EUR!Calendar</vt:lpstr>
      <vt:lpstr>UNICA_EUR!Currency</vt:lpstr>
      <vt:lpstr>dvBool</vt:lpstr>
      <vt:lpstr>dvCurveBootstrapperCompounding</vt:lpstr>
      <vt:lpstr>dvCurveBootstrapperDayCount</vt:lpstr>
      <vt:lpstr>dvCurveBootstrapperFraFutAdjust</vt:lpstr>
      <vt:lpstr>dvCurveBootstrapperFutCons</vt:lpstr>
      <vt:lpstr>dvCurveBootstrapperFutEndDate</vt:lpstr>
      <vt:lpstr>dvCurveBootstrapperInterpOn</vt:lpstr>
      <vt:lpstr>dvCurveBootstrapperInterpType</vt:lpstr>
      <vt:lpstr>dvCurveBootstrapperMatCons</vt:lpstr>
      <vt:lpstr>dvCurveBootstrapperOutputType</vt:lpstr>
      <vt:lpstr>dvCurveBootstrapperSwapMatType</vt:lpstr>
      <vt:lpstr>UNICA_EUR!Enabled</vt:lpstr>
      <vt:lpstr>UNICA_EUR!EntityName</vt:lpstr>
      <vt:lpstr>UNICA_EUR!EvaluationDate</vt:lpstr>
      <vt:lpstr>UNICA_EUR!FloatingFlag</vt:lpstr>
      <vt:lpstr>UNICA_EUR!IborIndex</vt:lpstr>
      <vt:lpstr>UNICA_EUR!ImplCDS</vt:lpstr>
      <vt:lpstr>UNICA_EUR!ImplPrices</vt:lpstr>
      <vt:lpstr>UNICA_EUR!IsOK</vt:lpstr>
      <vt:lpstr>UNICA_EUR!ManualTrigger</vt:lpstr>
      <vt:lpstr>UNICA_EUR!Maties</vt:lpstr>
      <vt:lpstr>UNICA_EUR!Notional</vt:lpstr>
      <vt:lpstr>Sensitivities!npData</vt:lpstr>
      <vt:lpstr>Sensitivities!npPrices</vt:lpstr>
      <vt:lpstr>ObjectOverwrite</vt:lpstr>
      <vt:lpstr>UNICA_EUR!ObjectsTrigger</vt:lpstr>
      <vt:lpstr>UNICA_EUR!pdgDiscCurve</vt:lpstr>
      <vt:lpstr>Permanent</vt:lpstr>
      <vt:lpstr>qlDiscCurve</vt:lpstr>
      <vt:lpstr>UNICA_EUR!Recovery</vt:lpstr>
      <vt:lpstr>UNICA_EUR!RtTrigger</vt:lpstr>
      <vt:lpstr>Sensitivities!sensyCDS</vt:lpstr>
      <vt:lpstr>Sensitivities!sensyZC</vt:lpstr>
      <vt:lpstr>UNICA_EUR!SettlementDate</vt:lpstr>
      <vt:lpstr>UNICA_EUR!SettlementDays</vt:lpstr>
      <vt:lpstr>Sensitivities!shift</vt:lpstr>
      <vt:lpstr>Sensitivities!Spread</vt:lpstr>
      <vt:lpstr>UNICA_EUR!Spread</vt:lpstr>
      <vt:lpstr>Sensitivities!Times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Federico Targetti</dc:creator>
  <cp:lastModifiedBy>BERTOCCHI NICHOLAS</cp:lastModifiedBy>
  <dcterms:created xsi:type="dcterms:W3CDTF">2012-06-21T08:56:32Z</dcterms:created>
  <dcterms:modified xsi:type="dcterms:W3CDTF">2017-03-31T12:05:01Z</dcterms:modified>
</cp:coreProperties>
</file>