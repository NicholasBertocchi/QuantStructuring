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970" firstSheet="1" activeTab="1"/>
  </bookViews>
  <sheets>
    <sheet name="dvCurveBootstrapperOptions" sheetId="10" state="hidden" r:id="rId1"/>
    <sheet name="UNICA_EUR" sheetId="17" r:id="rId2"/>
    <sheet name="Sensitivities" sheetId="19" r:id="rId3"/>
    <sheet name="DeprecatedCurves" sheetId="18" r:id="rId4"/>
  </sheets>
  <functionGroups builtInGroupCount="17"/>
  <definedNames>
    <definedName name="BizDayConv" localSheetId="1">UNICA_EUR!$C$8</definedName>
    <definedName name="Calendar" localSheetId="1">UNICA_EUR!$C$4</definedName>
    <definedName name="Currency" localSheetId="1">UNICA_EUR!$C$11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Enabled" localSheetId="1">UNICA_EUR!$E$3:$E$17</definedName>
    <definedName name="EntityName" localSheetId="1">UNICA_EUR!$C$12</definedName>
    <definedName name="EvaluationDate" localSheetId="1">UNICA_EUR!$C$3</definedName>
    <definedName name="FloatingFlag" localSheetId="1">UNICA_EUR!$C$15</definedName>
    <definedName name="IborIndex" localSheetId="1">UNICA_EUR!$C$7</definedName>
    <definedName name="ImplCDS" localSheetId="1">UNICA_EUR!$Q$3:$Q$17</definedName>
    <definedName name="ImplPrices" localSheetId="1">UNICA_EUR!$N$3:$N$17</definedName>
    <definedName name="IsOK" localSheetId="1">UNICA_EUR!$R$1</definedName>
    <definedName name="ManualTrigger" localSheetId="1">UNICA_EUR!$A$1</definedName>
    <definedName name="Maties" localSheetId="1">UNICA_EUR!$O$3:$O$17</definedName>
    <definedName name="Notional" localSheetId="1">UNICA_EUR!$C$13</definedName>
    <definedName name="npData" localSheetId="2">Sensitivities!$D$7:$D$21</definedName>
    <definedName name="npPrices" localSheetId="2">Sensitivities!$C$25:$C$39</definedName>
    <definedName name="ObjectOverwrite">UNICA_EUR!$AK$3</definedName>
    <definedName name="ObjectsTrigger" localSheetId="1">UNICA_EUR!$C$18</definedName>
    <definedName name="pdgDiscCurve" localSheetId="1">UNICA_EUR!$C$10</definedName>
    <definedName name="Permanent">UNICA_EUR!$AJ$3</definedName>
    <definedName name="qlDiscCurve" localSheetId="1">UNICA_EUR!$C$9</definedName>
    <definedName name="Recovery" localSheetId="1">UNICA_EUR!$C$14</definedName>
    <definedName name="RtTrigger" localSheetId="1">UNICA_EUR!$C$17</definedName>
    <definedName name="sensyCDS" localSheetId="2">Sensitivities!$F$7:$T$21</definedName>
    <definedName name="sensyZC" localSheetId="2">Sensitivities!$F$25:$T$39</definedName>
    <definedName name="SettlementDate" localSheetId="1">UNICA_EUR!$C$6</definedName>
    <definedName name="SettlementDays" localSheetId="1">UNICA_EUR!$C$5</definedName>
    <definedName name="shift" localSheetId="2">Sensitivities!$G$2</definedName>
    <definedName name="Spread" localSheetId="2">UNICA_EUR!$I$3:$I$17</definedName>
    <definedName name="Spread" localSheetId="1">UNICA_EUR!$I$3:$I$17</definedName>
    <definedName name="Times" localSheetId="2">Sensitivities!$B$25:$B$39</definedName>
  </definedNames>
  <calcPr calcId="145621"/>
</workbook>
</file>

<file path=xl/calcChain.xml><?xml version="1.0" encoding="utf-8"?>
<calcChain xmlns="http://schemas.openxmlformats.org/spreadsheetml/2006/main">
  <c r="D39" i="19" l="1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AL4" i="17"/>
  <c r="AL6" i="17"/>
  <c r="AL5" i="17"/>
  <c r="AL3" i="17"/>
  <c r="E8" i="19" l="1"/>
  <c r="E26" i="19" s="1"/>
  <c r="E9" i="19"/>
  <c r="E27" i="19" s="1"/>
  <c r="E10" i="19"/>
  <c r="E28" i="19" s="1"/>
  <c r="E11" i="19"/>
  <c r="E29" i="19" s="1"/>
  <c r="E12" i="19"/>
  <c r="E30" i="19" s="1"/>
  <c r="E13" i="19"/>
  <c r="E31" i="19" s="1"/>
  <c r="E14" i="19"/>
  <c r="E32" i="19" s="1"/>
  <c r="E15" i="19"/>
  <c r="E33" i="19" s="1"/>
  <c r="E16" i="19"/>
  <c r="E34" i="19" s="1"/>
  <c r="E17" i="19"/>
  <c r="E35" i="19" s="1"/>
  <c r="E18" i="19"/>
  <c r="E36" i="19" s="1"/>
  <c r="E19" i="19"/>
  <c r="E37" i="19" s="1"/>
  <c r="E20" i="19"/>
  <c r="E38" i="19" s="1"/>
  <c r="E21" i="19"/>
  <c r="E39" i="19" s="1"/>
  <c r="E7" i="19"/>
  <c r="C17" i="17"/>
  <c r="F6" i="19" l="1" a="1"/>
  <c r="H6" i="19" s="1"/>
  <c r="H24" i="19" s="1"/>
  <c r="E25" i="19"/>
  <c r="C12" i="17"/>
  <c r="M6" i="19" l="1"/>
  <c r="M24" i="19" s="1"/>
  <c r="N6" i="19"/>
  <c r="N24" i="19" s="1"/>
  <c r="O6" i="19"/>
  <c r="O24" i="19" s="1"/>
  <c r="P6" i="19"/>
  <c r="P24" i="19" s="1"/>
  <c r="Q6" i="19"/>
  <c r="Q24" i="19" s="1"/>
  <c r="F6" i="19"/>
  <c r="F24" i="19" s="1"/>
  <c r="R6" i="19"/>
  <c r="R24" i="19" s="1"/>
  <c r="T6" i="19"/>
  <c r="T24" i="19" s="1"/>
  <c r="G6" i="19"/>
  <c r="G24" i="19" s="1"/>
  <c r="I6" i="19"/>
  <c r="I24" i="19" s="1"/>
  <c r="S6" i="19"/>
  <c r="S24" i="19" s="1"/>
  <c r="J6" i="19"/>
  <c r="J24" i="19" s="1"/>
  <c r="K6" i="19"/>
  <c r="K24" i="19" s="1"/>
  <c r="L6" i="19"/>
  <c r="L24" i="19" s="1"/>
  <c r="C25" i="17"/>
  <c r="C2" i="18" l="1"/>
  <c r="J17" i="18" s="1"/>
  <c r="J4" i="18" l="1"/>
  <c r="H6" i="18"/>
  <c r="I6" i="18"/>
  <c r="H4" i="18"/>
  <c r="H11" i="18"/>
  <c r="J3" i="18"/>
  <c r="H12" i="18"/>
  <c r="J10" i="18"/>
  <c r="I11" i="18"/>
  <c r="J11" i="18"/>
  <c r="H7" i="18"/>
  <c r="I14" i="18"/>
  <c r="J7" i="18"/>
  <c r="H15" i="18"/>
  <c r="J6" i="18"/>
  <c r="I7" i="18"/>
  <c r="G13" i="18"/>
  <c r="H8" i="18"/>
  <c r="I15" i="18"/>
  <c r="H3" i="18"/>
  <c r="H10" i="18"/>
  <c r="J15" i="18"/>
  <c r="H14" i="18"/>
  <c r="J14" i="18"/>
  <c r="I3" i="18"/>
  <c r="I10" i="18"/>
  <c r="H16" i="18"/>
  <c r="I4" i="18"/>
  <c r="I8" i="18"/>
  <c r="I12" i="18"/>
  <c r="I16" i="18"/>
  <c r="J8" i="18"/>
  <c r="J12" i="18"/>
  <c r="J16" i="18"/>
  <c r="H5" i="18"/>
  <c r="H9" i="18"/>
  <c r="H13" i="18"/>
  <c r="H17" i="18"/>
  <c r="I5" i="18"/>
  <c r="I9" i="18"/>
  <c r="I13" i="18"/>
  <c r="I17" i="18"/>
  <c r="J5" i="18"/>
  <c r="J9" i="18"/>
  <c r="J13" i="18"/>
  <c r="G15" i="18"/>
  <c r="G14" i="18"/>
  <c r="G12" i="18"/>
  <c r="G11" i="18"/>
  <c r="G9" i="18"/>
  <c r="G3" i="18"/>
  <c r="G7" i="18"/>
  <c r="G4" i="18"/>
  <c r="G6" i="18"/>
  <c r="G10" i="18"/>
  <c r="G8" i="18"/>
  <c r="G17" i="18"/>
  <c r="G5" i="18"/>
  <c r="G16" i="18"/>
  <c r="M33" i="17"/>
  <c r="M32" i="17"/>
  <c r="M31" i="17"/>
  <c r="C3" i="17"/>
  <c r="C4" i="17"/>
  <c r="C5" i="17"/>
  <c r="F17" i="17" l="1"/>
  <c r="E17" i="18" s="1"/>
  <c r="F16" i="17"/>
  <c r="E16" i="18" s="1"/>
  <c r="F15" i="17"/>
  <c r="E15" i="18" s="1"/>
  <c r="F14" i="17"/>
  <c r="E14" i="18" s="1"/>
  <c r="F13" i="17"/>
  <c r="F12" i="17"/>
  <c r="E12" i="18" s="1"/>
  <c r="F11" i="17"/>
  <c r="E11" i="18" s="1"/>
  <c r="F10" i="17"/>
  <c r="E10" i="18" s="1"/>
  <c r="F9" i="17"/>
  <c r="E9" i="18" s="1"/>
  <c r="F8" i="17"/>
  <c r="F7" i="17"/>
  <c r="E7" i="18" s="1"/>
  <c r="F6" i="17"/>
  <c r="F5" i="17"/>
  <c r="E5" i="18" s="1"/>
  <c r="F4" i="17"/>
  <c r="E4" i="18" s="1"/>
  <c r="F3" i="17"/>
  <c r="E3" i="18" s="1"/>
  <c r="C18" i="17"/>
  <c r="C1" i="17"/>
  <c r="Z11" i="17"/>
  <c r="Z7" i="17"/>
  <c r="AA12" i="17"/>
  <c r="AA15" i="17"/>
  <c r="Z13" i="17"/>
  <c r="AA10" i="17"/>
  <c r="Z15" i="17"/>
  <c r="Z12" i="17"/>
  <c r="Z14" i="17"/>
  <c r="AA14" i="17"/>
  <c r="Z6" i="17"/>
  <c r="Z10" i="17"/>
  <c r="AA7" i="17"/>
  <c r="Z5" i="17"/>
  <c r="Z3" i="17"/>
  <c r="AA17" i="17"/>
  <c r="AA11" i="17"/>
  <c r="AA8" i="17"/>
  <c r="Z8" i="17"/>
  <c r="AA4" i="17"/>
  <c r="Z9" i="17"/>
  <c r="Z17" i="17"/>
  <c r="Z16" i="17"/>
  <c r="AA3" i="17"/>
  <c r="AA9" i="17"/>
  <c r="Z4" i="17"/>
  <c r="AA5" i="17"/>
  <c r="AA13" i="17"/>
  <c r="AA6" i="17"/>
  <c r="AA16" i="17"/>
  <c r="I24" i="17" l="1"/>
  <c r="E8" i="18"/>
  <c r="I25" i="17"/>
  <c r="E13" i="18"/>
  <c r="I23" i="17"/>
  <c r="E6" i="18"/>
  <c r="G3" i="17"/>
  <c r="J3" i="17" s="1"/>
  <c r="G4" i="17"/>
  <c r="J4" i="17" s="1"/>
  <c r="G6" i="17"/>
  <c r="J6" i="17" s="1"/>
  <c r="J23" i="17" s="1"/>
  <c r="G10" i="17"/>
  <c r="J10" i="17" s="1"/>
  <c r="G14" i="17"/>
  <c r="J14" i="17" s="1"/>
  <c r="G7" i="17"/>
  <c r="J7" i="17" s="1"/>
  <c r="G11" i="17"/>
  <c r="J11" i="17" s="1"/>
  <c r="G15" i="17"/>
  <c r="J15" i="17" s="1"/>
  <c r="G8" i="17"/>
  <c r="J8" i="17" s="1"/>
  <c r="J24" i="17" s="1"/>
  <c r="G12" i="17"/>
  <c r="J12" i="17" s="1"/>
  <c r="G16" i="17"/>
  <c r="J16" i="17" s="1"/>
  <c r="G5" i="17"/>
  <c r="J5" i="17" s="1"/>
  <c r="G9" i="17"/>
  <c r="J9" i="17" s="1"/>
  <c r="G13" i="17"/>
  <c r="J13" i="17" s="1"/>
  <c r="J25" i="17" s="1"/>
  <c r="G17" i="17"/>
  <c r="J17" i="17" s="1"/>
  <c r="C6" i="17"/>
  <c r="C22" i="17"/>
  <c r="K6" i="17"/>
  <c r="O6" i="17" s="1"/>
  <c r="K7" i="17"/>
  <c r="O7" i="17" s="1"/>
  <c r="K9" i="17"/>
  <c r="L7" i="17"/>
  <c r="M7" i="17" s="1"/>
  <c r="K8" i="17"/>
  <c r="L8" i="17" s="1"/>
  <c r="M8" i="17" s="1"/>
  <c r="K13" i="17"/>
  <c r="K16" i="17"/>
  <c r="O16" i="17" s="1"/>
  <c r="K5" i="17"/>
  <c r="K3" i="17"/>
  <c r="L16" i="17"/>
  <c r="M16" i="17" s="1"/>
  <c r="K14" i="17"/>
  <c r="O14" i="17" s="1"/>
  <c r="K4" i="17"/>
  <c r="K12" i="17"/>
  <c r="L5" i="17"/>
  <c r="M5" i="17" s="1"/>
  <c r="K15" i="17"/>
  <c r="K11" i="17"/>
  <c r="L14" i="17"/>
  <c r="L6" i="17"/>
  <c r="K17" i="17"/>
  <c r="L17" i="17" s="1"/>
  <c r="M17" i="17" s="1"/>
  <c r="L11" i="17"/>
  <c r="K10" i="17"/>
  <c r="L9" i="17"/>
  <c r="M9" i="17" s="1"/>
  <c r="O13" i="17"/>
  <c r="L13" i="17"/>
  <c r="M13" i="17" s="1"/>
  <c r="L3" i="17"/>
  <c r="L4" i="17"/>
  <c r="O4" i="17"/>
  <c r="L12" i="17"/>
  <c r="M12" i="17" s="1"/>
  <c r="L15" i="17"/>
  <c r="O15" i="17"/>
  <c r="L10" i="17"/>
  <c r="M10" i="17" s="1"/>
  <c r="O10" i="17"/>
  <c r="O8" i="17"/>
  <c r="O12" i="17"/>
  <c r="O11" i="17"/>
  <c r="O3" i="17"/>
  <c r="O5" i="17"/>
  <c r="O9" i="17"/>
  <c r="C23" i="17"/>
  <c r="O17" i="17"/>
  <c r="N12" i="17"/>
  <c r="M11" i="17"/>
  <c r="N8" i="17"/>
  <c r="N10" i="17"/>
  <c r="M15" i="17"/>
  <c r="N16" i="17"/>
  <c r="N7" i="17"/>
  <c r="N5" i="17"/>
  <c r="N17" i="17"/>
  <c r="M3" i="17"/>
  <c r="N3" i="17" s="1"/>
  <c r="N13" i="17"/>
  <c r="M4" i="17"/>
  <c r="N9" i="17"/>
  <c r="M14" i="17"/>
  <c r="M6" i="17"/>
  <c r="N6" i="17" s="1"/>
  <c r="N4" i="17"/>
  <c r="C24" i="17" l="1"/>
  <c r="L24" i="17"/>
  <c r="O24" i="17" s="1"/>
  <c r="L25" i="17"/>
  <c r="O25" i="17" s="1"/>
  <c r="L23" i="17"/>
  <c r="O23" i="17" s="1"/>
  <c r="E22" i="17" a="1"/>
  <c r="N15" i="17"/>
  <c r="N11" i="17"/>
  <c r="N14" i="17"/>
  <c r="E56" i="17" l="1"/>
  <c r="E63" i="17"/>
  <c r="E92" i="17"/>
  <c r="E58" i="17"/>
  <c r="E55" i="17"/>
  <c r="E71" i="17"/>
  <c r="E103" i="17"/>
  <c r="E70" i="17"/>
  <c r="E37" i="17"/>
  <c r="E99" i="17"/>
  <c r="E48" i="17"/>
  <c r="E35" i="17"/>
  <c r="E77" i="17"/>
  <c r="E61" i="17"/>
  <c r="E110" i="17"/>
  <c r="E29" i="17"/>
  <c r="E75" i="17"/>
  <c r="E54" i="17"/>
  <c r="E87" i="17"/>
  <c r="E28" i="17"/>
  <c r="E74" i="17"/>
  <c r="E43" i="17"/>
  <c r="E111" i="17"/>
  <c r="E90" i="17"/>
  <c r="E38" i="17"/>
  <c r="E72" i="17"/>
  <c r="E89" i="17"/>
  <c r="E50" i="17"/>
  <c r="E25" i="17"/>
  <c r="E62" i="17"/>
  <c r="E60" i="17"/>
  <c r="E40" i="17"/>
  <c r="E95" i="17"/>
  <c r="E79" i="17"/>
  <c r="E102" i="17"/>
  <c r="E27" i="17"/>
  <c r="E76" i="17"/>
  <c r="E67" i="17"/>
  <c r="E88" i="17"/>
  <c r="E85" i="17"/>
  <c r="E101" i="17"/>
  <c r="E41" i="17"/>
  <c r="E36" i="17"/>
  <c r="E65" i="17"/>
  <c r="E39" i="17"/>
  <c r="E64" i="17"/>
  <c r="E73" i="17"/>
  <c r="E107" i="17"/>
  <c r="E93" i="17"/>
  <c r="E33" i="17"/>
  <c r="E105" i="17"/>
  <c r="E109" i="17"/>
  <c r="E100" i="17"/>
  <c r="E45" i="17"/>
  <c r="E59" i="17"/>
  <c r="E97" i="17"/>
  <c r="E53" i="17"/>
  <c r="E31" i="17"/>
  <c r="E32" i="17"/>
  <c r="E34" i="17"/>
  <c r="E68" i="17"/>
  <c r="E47" i="17"/>
  <c r="E84" i="17"/>
  <c r="E80" i="17"/>
  <c r="E23" i="17"/>
  <c r="E108" i="17"/>
  <c r="E69" i="17"/>
  <c r="E44" i="17"/>
  <c r="E91" i="17"/>
  <c r="E94" i="17"/>
  <c r="E86" i="17"/>
  <c r="E106" i="17"/>
  <c r="E96" i="17"/>
  <c r="E46" i="17"/>
  <c r="E52" i="17"/>
  <c r="E78" i="17"/>
  <c r="E26" i="17"/>
  <c r="E83" i="17"/>
  <c r="E49" i="17"/>
  <c r="E81" i="17"/>
  <c r="E30" i="17"/>
  <c r="E51" i="17"/>
  <c r="E24" i="17"/>
  <c r="E57" i="17"/>
  <c r="E22" i="17"/>
  <c r="E98" i="17"/>
  <c r="E66" i="17"/>
  <c r="E104" i="17"/>
  <c r="E42" i="17"/>
  <c r="E82" i="17"/>
  <c r="F63" i="17"/>
  <c r="F99" i="17"/>
  <c r="F54" i="17"/>
  <c r="F72" i="17"/>
  <c r="F79" i="17"/>
  <c r="F41" i="17"/>
  <c r="F33" i="17"/>
  <c r="F31" i="17"/>
  <c r="F108" i="17"/>
  <c r="F46" i="17"/>
  <c r="F51" i="17"/>
  <c r="F82" i="17"/>
  <c r="F92" i="17"/>
  <c r="F48" i="17"/>
  <c r="F87" i="17"/>
  <c r="F89" i="17"/>
  <c r="F102" i="17"/>
  <c r="F36" i="17"/>
  <c r="F105" i="17"/>
  <c r="F32" i="17"/>
  <c r="F69" i="17"/>
  <c r="F52" i="17"/>
  <c r="F24" i="17"/>
  <c r="F58" i="17"/>
  <c r="F35" i="17"/>
  <c r="F28" i="17"/>
  <c r="F50" i="17"/>
  <c r="F27" i="17"/>
  <c r="F65" i="17"/>
  <c r="F109" i="17"/>
  <c r="F34" i="17"/>
  <c r="F44" i="17"/>
  <c r="F78" i="17"/>
  <c r="F57" i="17"/>
  <c r="F55" i="17"/>
  <c r="F77" i="17"/>
  <c r="F74" i="17"/>
  <c r="F25" i="17"/>
  <c r="F76" i="17"/>
  <c r="F39" i="17"/>
  <c r="F100" i="17"/>
  <c r="F68" i="17"/>
  <c r="F91" i="17"/>
  <c r="F26" i="17"/>
  <c r="F22" i="17"/>
  <c r="F71" i="17"/>
  <c r="F61" i="17"/>
  <c r="F43" i="17"/>
  <c r="F62" i="17"/>
  <c r="F67" i="17"/>
  <c r="F64" i="17"/>
  <c r="F45" i="17"/>
  <c r="F47" i="17"/>
  <c r="F94" i="17"/>
  <c r="F83" i="17"/>
  <c r="F98" i="17"/>
  <c r="F103" i="17"/>
  <c r="F110" i="17"/>
  <c r="F111" i="17"/>
  <c r="F60" i="17"/>
  <c r="F88" i="17"/>
  <c r="F73" i="17"/>
  <c r="F59" i="17"/>
  <c r="F84" i="17"/>
  <c r="F86" i="17"/>
  <c r="F49" i="17"/>
  <c r="F66" i="17"/>
  <c r="F70" i="17"/>
  <c r="F29" i="17"/>
  <c r="F90" i="17"/>
  <c r="F40" i="17"/>
  <c r="F85" i="17"/>
  <c r="F107" i="17"/>
  <c r="F97" i="17"/>
  <c r="F80" i="17"/>
  <c r="F106" i="17"/>
  <c r="F81" i="17"/>
  <c r="F104" i="17"/>
  <c r="F56" i="17"/>
  <c r="F37" i="17"/>
  <c r="F75" i="17"/>
  <c r="F38" i="17"/>
  <c r="F95" i="17"/>
  <c r="F101" i="17"/>
  <c r="F93" i="17"/>
  <c r="F53" i="17"/>
  <c r="F23" i="17"/>
  <c r="F96" i="17"/>
  <c r="F30" i="17"/>
  <c r="F42" i="17"/>
  <c r="C30" i="17" l="1"/>
  <c r="C31" i="17"/>
  <c r="C10" i="17" l="1"/>
  <c r="P6" i="17"/>
  <c r="P13" i="17"/>
  <c r="P16" i="17"/>
  <c r="P14" i="17"/>
  <c r="P17" i="17"/>
  <c r="P4" i="17"/>
  <c r="P15" i="17"/>
  <c r="P9" i="17"/>
  <c r="P3" i="17"/>
  <c r="P12" i="17"/>
  <c r="P10" i="17"/>
  <c r="P8" i="17"/>
  <c r="P11" i="17"/>
  <c r="P7" i="17"/>
  <c r="P5" i="17"/>
  <c r="Q3" i="17" a="1"/>
  <c r="Q7" i="17" l="1"/>
  <c r="R7" i="17" s="1"/>
  <c r="Q4" i="17"/>
  <c r="R4" i="17" s="1"/>
  <c r="Q13" i="17"/>
  <c r="R13" i="17" s="1"/>
  <c r="Q14" i="17"/>
  <c r="R14" i="17" s="1"/>
  <c r="Q9" i="17"/>
  <c r="R9" i="17" s="1"/>
  <c r="Q15" i="17"/>
  <c r="Q10" i="17"/>
  <c r="R10" i="17" s="1"/>
  <c r="Q17" i="17"/>
  <c r="Q6" i="17"/>
  <c r="R6" i="17" s="1"/>
  <c r="Q12" i="17"/>
  <c r="R12" i="17" s="1"/>
  <c r="Q11" i="17"/>
  <c r="R11" i="17" s="1"/>
  <c r="Q5" i="17"/>
  <c r="R5" i="17" s="1"/>
  <c r="Q3" i="17"/>
  <c r="Q16" i="17"/>
  <c r="Q8" i="17"/>
  <c r="R8" i="17" s="1"/>
  <c r="I37" i="17"/>
  <c r="F8" i="18" l="1"/>
  <c r="R28" i="17"/>
  <c r="F10" i="18"/>
  <c r="R30" i="17"/>
  <c r="R3" i="17"/>
  <c r="R29" i="17"/>
  <c r="F9" i="18"/>
  <c r="R25" i="17"/>
  <c r="F5" i="18"/>
  <c r="R15" i="17"/>
  <c r="R34" i="17"/>
  <c r="F14" i="18"/>
  <c r="R31" i="17"/>
  <c r="F11" i="18"/>
  <c r="R33" i="17"/>
  <c r="F13" i="18"/>
  <c r="R32" i="17"/>
  <c r="F12" i="18"/>
  <c r="R24" i="17"/>
  <c r="F4" i="18"/>
  <c r="R26" i="17"/>
  <c r="F6" i="18"/>
  <c r="F7" i="18"/>
  <c r="R27" i="17"/>
  <c r="J28" i="17" a="1"/>
  <c r="J28" i="17" l="1"/>
  <c r="F3" i="18"/>
  <c r="R23" i="17"/>
  <c r="R16" i="17"/>
  <c r="F15" i="18"/>
  <c r="R35" i="17"/>
  <c r="L27" i="17"/>
  <c r="L28" i="17"/>
  <c r="L29" i="17"/>
  <c r="O29" i="17" l="1"/>
  <c r="L33" i="17"/>
  <c r="K29" i="17"/>
  <c r="O28" i="17"/>
  <c r="K28" i="17"/>
  <c r="L32" i="17"/>
  <c r="O27" i="17"/>
  <c r="L31" i="17"/>
  <c r="K27" i="17"/>
  <c r="R36" i="17"/>
  <c r="F16" i="18"/>
  <c r="R17" i="17"/>
  <c r="R1" i="17" s="1"/>
  <c r="N27" i="17" l="1"/>
  <c r="S3" i="17"/>
  <c r="S17" i="17"/>
  <c r="S9" i="17"/>
  <c r="S5" i="17"/>
  <c r="S8" i="17"/>
  <c r="S12" i="17"/>
  <c r="S15" i="17"/>
  <c r="S16" i="17"/>
  <c r="S4" i="17"/>
  <c r="S6" i="17"/>
  <c r="S13" i="17"/>
  <c r="S11" i="17"/>
  <c r="S7" i="17"/>
  <c r="S10" i="17"/>
  <c r="S14" i="17"/>
  <c r="O31" i="17"/>
  <c r="N31" i="17" s="1"/>
  <c r="N23" i="17"/>
  <c r="O32" i="17"/>
  <c r="N32" i="17" s="1"/>
  <c r="N24" i="17"/>
  <c r="N28" i="17"/>
  <c r="N25" i="17"/>
  <c r="O33" i="17"/>
  <c r="N33" i="17" s="1"/>
  <c r="N29" i="17"/>
  <c r="R37" i="17"/>
  <c r="F17" i="18"/>
</calcChain>
</file>

<file path=xl/sharedStrings.xml><?xml version="1.0" encoding="utf-8"?>
<sst xmlns="http://schemas.openxmlformats.org/spreadsheetml/2006/main" count="212" uniqueCount="189">
  <si>
    <t>Parameters</t>
  </si>
  <si>
    <t>Real Time</t>
  </si>
  <si>
    <t>Override</t>
  </si>
  <si>
    <t>Spread</t>
  </si>
  <si>
    <t>Used</t>
  </si>
  <si>
    <t>BID</t>
  </si>
  <si>
    <t>ASK</t>
  </si>
  <si>
    <t>on</t>
  </si>
  <si>
    <t>Source</t>
  </si>
  <si>
    <t>Prefix</t>
  </si>
  <si>
    <t>Suffix</t>
  </si>
  <si>
    <t>standard</t>
  </si>
  <si>
    <t>stub</t>
  </si>
  <si>
    <t>cont</t>
  </si>
  <si>
    <t>kruger</t>
  </si>
  <si>
    <t>rt</t>
  </si>
  <si>
    <t>linear</t>
  </si>
  <si>
    <t>r</t>
  </si>
  <si>
    <t>Today</t>
  </si>
  <si>
    <t>dvBool</t>
  </si>
  <si>
    <t>Enabled</t>
  </si>
  <si>
    <t>Currency</t>
  </si>
  <si>
    <t>Discounts</t>
  </si>
  <si>
    <t>Forward</t>
  </si>
  <si>
    <t>years</t>
  </si>
  <si>
    <t>30/360</t>
  </si>
  <si>
    <t>30E/360</t>
  </si>
  <si>
    <t>quadra</t>
  </si>
  <si>
    <t>const</t>
  </si>
  <si>
    <t>spline</t>
  </si>
  <si>
    <t>d</t>
  </si>
  <si>
    <t>annual</t>
  </si>
  <si>
    <t>simple</t>
  </si>
  <si>
    <t>Act/Act AFB</t>
  </si>
  <si>
    <t>360/360</t>
  </si>
  <si>
    <t>30E+360</t>
  </si>
  <si>
    <t>Act/360</t>
  </si>
  <si>
    <t>Act/365</t>
  </si>
  <si>
    <t>365/365</t>
  </si>
  <si>
    <t>Act/Act</t>
  </si>
  <si>
    <t>One/One</t>
  </si>
  <si>
    <t>dvDayCount</t>
  </si>
  <si>
    <t>dvInterpType</t>
  </si>
  <si>
    <t>dvInterpOn</t>
  </si>
  <si>
    <t>dvCompounding</t>
  </si>
  <si>
    <t>Zero Rates</t>
  </si>
  <si>
    <t>start</t>
  </si>
  <si>
    <t>end</t>
  </si>
  <si>
    <t>dvFutCons</t>
  </si>
  <si>
    <t>off</t>
  </si>
  <si>
    <t>adjusted</t>
  </si>
  <si>
    <t>dvMatCons</t>
  </si>
  <si>
    <t>dvFutEndDate</t>
  </si>
  <si>
    <t>NoAdjust</t>
  </si>
  <si>
    <t>Backward</t>
  </si>
  <si>
    <t>ModFollowing</t>
  </si>
  <si>
    <t>dvFraFutAdjust</t>
  </si>
  <si>
    <t>months</t>
  </si>
  <si>
    <t>dates</t>
  </si>
  <si>
    <t>dvSwapMatType</t>
  </si>
  <si>
    <t>dvOutputType</t>
  </si>
  <si>
    <t>TIT</t>
  </si>
  <si>
    <t>DTSIMI2</t>
  </si>
  <si>
    <t>M=</t>
  </si>
  <si>
    <t>Y=</t>
  </si>
  <si>
    <t>Calendar</t>
  </si>
  <si>
    <t>Settlement Days</t>
  </si>
  <si>
    <t>Settlement Date</t>
  </si>
  <si>
    <t>Zero</t>
  </si>
  <si>
    <t>Notional</t>
  </si>
  <si>
    <t>Loan Dates</t>
  </si>
  <si>
    <t>Impl CDS</t>
  </si>
  <si>
    <t>Recovery Rate</t>
  </si>
  <si>
    <t>Def Loans</t>
  </si>
  <si>
    <t>Contrib</t>
  </si>
  <si>
    <t>Ibor Index</t>
  </si>
  <si>
    <t>Schedule</t>
  </si>
  <si>
    <t>Leg</t>
  </si>
  <si>
    <t>mf</t>
  </si>
  <si>
    <t>QL Discounting Curve</t>
  </si>
  <si>
    <t>PDG Discounting Curve</t>
  </si>
  <si>
    <t>Objects Trigger</t>
  </si>
  <si>
    <t>Atdefault</t>
  </si>
  <si>
    <t>RealTime Trigger</t>
  </si>
  <si>
    <t>Floating Flag</t>
  </si>
  <si>
    <t>Entity Name</t>
  </si>
  <si>
    <t>BizDay Convention</t>
  </si>
  <si>
    <t>RT Trigger Freq</t>
  </si>
  <si>
    <t>EURISPTITCDS</t>
  </si>
  <si>
    <t>Euribor3M</t>
  </si>
  <si>
    <t>EUR</t>
  </si>
  <si>
    <t>CERT_NO_ADDON6M=</t>
  </si>
  <si>
    <t>EURCFXC6M=</t>
  </si>
  <si>
    <t>EURCTCO6M=</t>
  </si>
  <si>
    <t>EURCTSE6M=</t>
  </si>
  <si>
    <t>CERT_NO_ADDON1Y=</t>
  </si>
  <si>
    <t>EURCFXC1Y=</t>
  </si>
  <si>
    <t>EURCTCO1Y=</t>
  </si>
  <si>
    <t>EURCTSE1Y=</t>
  </si>
  <si>
    <t>CERT_NO_ADDON2Y=</t>
  </si>
  <si>
    <t>EURCFXC2Y=</t>
  </si>
  <si>
    <t>EURCTCO2Y=</t>
  </si>
  <si>
    <t>EURCTSE2Y=</t>
  </si>
  <si>
    <t>CERT_NO_ADDON3Y=</t>
  </si>
  <si>
    <t>EURCFXC3Y=</t>
  </si>
  <si>
    <t>EURCTCO3Y=</t>
  </si>
  <si>
    <t>EURCTSE3Y=</t>
  </si>
  <si>
    <t>CERT_NO_ADDON4Y=</t>
  </si>
  <si>
    <t>EURCFXC4Y=</t>
  </si>
  <si>
    <t>EURCTCO4Y=</t>
  </si>
  <si>
    <t>EURCTSE4Y=</t>
  </si>
  <si>
    <t>CERT_NO_ADDON5Y=</t>
  </si>
  <si>
    <t>EURCFXC5Y=</t>
  </si>
  <si>
    <t>EURCTCO5Y=</t>
  </si>
  <si>
    <t>EURCTSE5Y=</t>
  </si>
  <si>
    <t>CERT_NO_ADDON6Y=</t>
  </si>
  <si>
    <t>EURCFXC6Y=</t>
  </si>
  <si>
    <t>EURCTCO6Y=</t>
  </si>
  <si>
    <t>EURCTSE6Y=</t>
  </si>
  <si>
    <t>CERT_NO_ADDON7Y=</t>
  </si>
  <si>
    <t>EURCFXC7Y=</t>
  </si>
  <si>
    <t>EURCTCO7Y=</t>
  </si>
  <si>
    <t>EURCTSE7Y=</t>
  </si>
  <si>
    <t>CERT_NO_ADDON8Y=</t>
  </si>
  <si>
    <t>EURCFXC8Y=</t>
  </si>
  <si>
    <t>EURCTCO8Y=</t>
  </si>
  <si>
    <t>EURCTSE8Y=</t>
  </si>
  <si>
    <t>CERT_NO_ADDON9Y=</t>
  </si>
  <si>
    <t>EURCFXC9Y=</t>
  </si>
  <si>
    <t>EURCTCO9Y=</t>
  </si>
  <si>
    <t>EURCTSE9Y=</t>
  </si>
  <si>
    <t>CERT_NO_ADDON10Y=</t>
  </si>
  <si>
    <t>EURCFXC10Y=</t>
  </si>
  <si>
    <t>EURCTCO10Y=</t>
  </si>
  <si>
    <t>EURCTSE10Y=</t>
  </si>
  <si>
    <t>CERT_NO_ADDON15Y=</t>
  </si>
  <si>
    <t>EURCFXC15Y=</t>
  </si>
  <si>
    <t>EURCTCO15Y=</t>
  </si>
  <si>
    <t>EURCTSE15Y=</t>
  </si>
  <si>
    <t>CERT_NO_ADDON20Y=</t>
  </si>
  <si>
    <t>EURCFXC20Y=</t>
  </si>
  <si>
    <t>EURCTCO20Y=</t>
  </si>
  <si>
    <t>EURCTSE20Y=</t>
  </si>
  <si>
    <t>CERT_NO_ADDON25Y=</t>
  </si>
  <si>
    <t>EURCFXC25Y=</t>
  </si>
  <si>
    <t>EURCTCO25Y=</t>
  </si>
  <si>
    <t>EURCTSE25Y=</t>
  </si>
  <si>
    <t>CERT_NO_ADDON30Y=</t>
  </si>
  <si>
    <t>EURCFXC30Y=</t>
  </si>
  <si>
    <t>EURCTCO30Y=</t>
  </si>
  <si>
    <t>EURCTSE30Y=</t>
  </si>
  <si>
    <t>CERT_NO_ADDON</t>
  </si>
  <si>
    <t>EURCFXC</t>
  </si>
  <si>
    <t>EURCTCO</t>
  </si>
  <si>
    <t>EURCTSE</t>
  </si>
  <si>
    <t>=</t>
  </si>
  <si>
    <t>UNICA</t>
  </si>
  <si>
    <t>ShmPush</t>
  </si>
  <si>
    <t>Count</t>
  </si>
  <si>
    <t>DayCount</t>
  </si>
  <si>
    <t>Comp</t>
  </si>
  <si>
    <t>InterpOn</t>
  </si>
  <si>
    <t>InterpType</t>
  </si>
  <si>
    <t>LiborName</t>
  </si>
  <si>
    <t>DateChooser</t>
  </si>
  <si>
    <t>QL Object Class</t>
  </si>
  <si>
    <t>QL Curve Handle</t>
  </si>
  <si>
    <t>Dates</t>
  </si>
  <si>
    <t>Maturities</t>
  </si>
  <si>
    <t>EURSTD</t>
  </si>
  <si>
    <t>Shift (b.p.)</t>
  </si>
  <si>
    <t>CERT UNICA (CDS Sensitivities)</t>
  </si>
  <si>
    <t>CERT EUR (ZC Sensitivities)</t>
  </si>
  <si>
    <t>Impl ZC</t>
  </si>
  <si>
    <t>T (act/365)</t>
  </si>
  <si>
    <t>Impl Pr</t>
  </si>
  <si>
    <t>EuriborSTD</t>
  </si>
  <si>
    <t>Euribor1M</t>
  </si>
  <si>
    <t>Euribor6M</t>
  </si>
  <si>
    <t>Euribor1Y</t>
  </si>
  <si>
    <t>Index Tenor</t>
  </si>
  <si>
    <t>3M</t>
  </si>
  <si>
    <t>Yield Curve</t>
  </si>
  <si>
    <t>EUR1M</t>
  </si>
  <si>
    <t>EUR6M</t>
  </si>
  <si>
    <t>Permanent</t>
  </si>
  <si>
    <t>ObjectOverwrite</t>
  </si>
  <si>
    <t>Indexes</t>
  </si>
  <si>
    <t>EUR1Y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</si>
</sst>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%"/>
    <numFmt numFmtId="165" formatCode="dd\ mmm\ yy"/>
    <numFmt numFmtId="166" formatCode="0.000"/>
    <numFmt numFmtId="167" formatCode="d\ mmm\ yyyy"/>
    <numFmt numFmtId="168" formatCode="ddd\,\ mmmm\ d\,\ yyyy"/>
    <numFmt numFmtId="169" formatCode="0.0000"/>
    <numFmt numFmtId="170" formatCode="#,##0.00000000"/>
    <numFmt numFmtId="171" formatCode="d\ mmm\ yy"/>
    <numFmt numFmtId="172" formatCode="#,##0.000"/>
  </numFmts>
  <fonts count="14" x14ac:knownFonts="1">
    <font>
      <sz val="8"/>
      <color theme="1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indexed="23"/>
      <name val="Arial"/>
      <family val="2"/>
    </font>
    <font>
      <i/>
      <sz val="8"/>
      <color rgb="FF002060"/>
      <name val="Arial"/>
      <family val="2"/>
    </font>
    <font>
      <sz val="8"/>
      <color rgb="FF3F3F76"/>
      <name val="Arial"/>
      <family val="2"/>
    </font>
    <font>
      <b/>
      <sz val="8"/>
      <color rgb="FF3F3F3F"/>
      <name val="Arial"/>
      <family val="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599963377788628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13" borderId="17" applyNumberFormat="0" applyAlignment="0" applyProtection="0"/>
    <xf numFmtId="0" fontId="10" fillId="12" borderId="18" applyNumberFormat="0" applyAlignment="0" applyProtection="0"/>
  </cellStyleXfs>
  <cellXfs count="170">
    <xf numFmtId="0" fontId="0" fillId="0" borderId="0" xfId="0"/>
    <xf numFmtId="0" fontId="1" fillId="6" borderId="9" xfId="0" applyFont="1" applyFill="1" applyBorder="1" applyProtection="1"/>
    <xf numFmtId="0" fontId="1" fillId="8" borderId="16" xfId="0" applyFont="1" applyFill="1" applyBorder="1" applyAlignment="1" applyProtection="1">
      <alignment horizontal="center"/>
      <protection locked="0"/>
    </xf>
    <xf numFmtId="0" fontId="1" fillId="6" borderId="16" xfId="0" applyFont="1" applyFill="1" applyBorder="1" applyProtection="1"/>
    <xf numFmtId="168" fontId="5" fillId="9" borderId="9" xfId="0" applyNumberFormat="1" applyFont="1" applyFill="1" applyBorder="1" applyAlignment="1" applyProtection="1">
      <alignment horizontal="center"/>
    </xf>
    <xf numFmtId="0" fontId="1" fillId="4" borderId="11" xfId="0" applyFont="1" applyFill="1" applyBorder="1" applyProtection="1"/>
    <xf numFmtId="168" fontId="5" fillId="9" borderId="8" xfId="0" applyNumberFormat="1" applyFont="1" applyFill="1" applyBorder="1" applyAlignment="1" applyProtection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4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Protection="1"/>
    <xf numFmtId="0" fontId="0" fillId="0" borderId="6" xfId="0" applyBorder="1" applyProtection="1"/>
    <xf numFmtId="0" fontId="0" fillId="0" borderId="11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5" fontId="0" fillId="0" borderId="0" xfId="0" applyNumberFormat="1" applyBorder="1" applyProtection="1"/>
    <xf numFmtId="0" fontId="6" fillId="0" borderId="8" xfId="0" applyFont="1" applyBorder="1" applyAlignment="1">
      <alignment horizontal="center"/>
    </xf>
    <xf numFmtId="11" fontId="0" fillId="0" borderId="11" xfId="0" applyNumberFormat="1" applyBorder="1" applyAlignment="1">
      <alignment horizontal="center"/>
    </xf>
    <xf numFmtId="14" fontId="5" fillId="4" borderId="8" xfId="0" applyNumberFormat="1" applyFont="1" applyFill="1" applyBorder="1" applyProtection="1"/>
    <xf numFmtId="164" fontId="2" fillId="5" borderId="1" xfId="0" applyNumberFormat="1" applyFont="1" applyFill="1" applyBorder="1" applyAlignment="1" applyProtection="1">
      <alignment horizontal="center"/>
    </xf>
    <xf numFmtId="0" fontId="1" fillId="8" borderId="11" xfId="0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2" fontId="0" fillId="0" borderId="10" xfId="0" applyNumberFormat="1" applyBorder="1" applyAlignment="1" applyProtection="1">
      <alignment horizontal="center"/>
    </xf>
    <xf numFmtId="2" fontId="0" fillId="0" borderId="12" xfId="0" applyNumberFormat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2" fontId="0" fillId="0" borderId="5" xfId="0" applyNumberFormat="1" applyBorder="1" applyAlignment="1" applyProtection="1">
      <alignment horizontal="center"/>
    </xf>
    <xf numFmtId="2" fontId="0" fillId="0" borderId="6" xfId="0" applyNumberFormat="1" applyBorder="1" applyAlignment="1" applyProtection="1">
      <alignment horizontal="center"/>
    </xf>
    <xf numFmtId="2" fontId="0" fillId="0" borderId="7" xfId="0" applyNumberFormat="1" applyBorder="1" applyAlignment="1" applyProtection="1">
      <alignment horizontal="center"/>
    </xf>
    <xf numFmtId="14" fontId="1" fillId="4" borderId="11" xfId="0" applyNumberFormat="1" applyFont="1" applyFill="1" applyBorder="1" applyProtection="1"/>
    <xf numFmtId="0" fontId="1" fillId="4" borderId="9" xfId="0" applyFont="1" applyFill="1" applyBorder="1" applyProtection="1"/>
    <xf numFmtId="0" fontId="1" fillId="7" borderId="11" xfId="0" applyFont="1" applyFill="1" applyBorder="1" applyProtection="1"/>
    <xf numFmtId="0" fontId="1" fillId="6" borderId="11" xfId="0" applyFont="1" applyFill="1" applyBorder="1" applyProtection="1"/>
    <xf numFmtId="167" fontId="0" fillId="0" borderId="11" xfId="0" applyNumberFormat="1" applyFill="1" applyBorder="1" applyAlignment="1" applyProtection="1">
      <alignment horizontal="center"/>
    </xf>
    <xf numFmtId="167" fontId="0" fillId="0" borderId="9" xfId="0" applyNumberFormat="1" applyFill="1" applyBorder="1" applyAlignment="1" applyProtection="1">
      <alignment horizontal="center"/>
    </xf>
    <xf numFmtId="0" fontId="1" fillId="7" borderId="9" xfId="0" applyFont="1" applyFill="1" applyBorder="1" applyProtection="1"/>
    <xf numFmtId="164" fontId="0" fillId="0" borderId="11" xfId="0" applyNumberFormat="1" applyFill="1" applyBorder="1" applyAlignment="1" applyProtection="1"/>
    <xf numFmtId="164" fontId="0" fillId="0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alignment horizontal="center"/>
    </xf>
    <xf numFmtId="0" fontId="0" fillId="0" borderId="9" xfId="0" applyNumberFormat="1" applyFill="1" applyBorder="1" applyAlignment="1" applyProtection="1">
      <alignment horizontal="center"/>
    </xf>
    <xf numFmtId="2" fontId="2" fillId="5" borderId="1" xfId="0" applyNumberFormat="1" applyFont="1" applyFill="1" applyBorder="1" applyAlignment="1" applyProtection="1">
      <alignment horizontal="center"/>
    </xf>
    <xf numFmtId="2" fontId="0" fillId="0" borderId="11" xfId="0" applyNumberFormat="1" applyFill="1" applyBorder="1" applyAlignment="1" applyProtection="1">
      <alignment horizontal="center"/>
    </xf>
    <xf numFmtId="2" fontId="0" fillId="0" borderId="9" xfId="0" applyNumberFormat="1" applyFill="1" applyBorder="1" applyAlignment="1" applyProtection="1">
      <alignment horizontal="center"/>
    </xf>
    <xf numFmtId="0" fontId="0" fillId="9" borderId="11" xfId="0" applyNumberFormat="1" applyFill="1" applyBorder="1" applyAlignment="1" applyProtection="1">
      <alignment horizontal="center"/>
    </xf>
    <xf numFmtId="0" fontId="0" fillId="9" borderId="9" xfId="0" applyNumberFormat="1" applyFill="1" applyBorder="1" applyAlignment="1" applyProtection="1">
      <alignment horizontal="center"/>
    </xf>
    <xf numFmtId="167" fontId="0" fillId="0" borderId="13" xfId="0" applyNumberFormat="1" applyFill="1" applyBorder="1" applyAlignment="1" applyProtection="1">
      <alignment horizontal="center"/>
    </xf>
    <xf numFmtId="0" fontId="0" fillId="0" borderId="13" xfId="0" applyNumberFormat="1" applyFill="1" applyBorder="1" applyAlignment="1" applyProtection="1">
      <alignment horizontal="center"/>
    </xf>
    <xf numFmtId="164" fontId="0" fillId="0" borderId="13" xfId="0" applyNumberFormat="1" applyFill="1" applyBorder="1" applyAlignment="1" applyProtection="1"/>
    <xf numFmtId="2" fontId="0" fillId="0" borderId="13" xfId="0" applyNumberFormat="1" applyFill="1" applyBorder="1" applyAlignment="1" applyProtection="1">
      <alignment horizontal="center"/>
    </xf>
    <xf numFmtId="0" fontId="0" fillId="9" borderId="13" xfId="0" applyNumberFormat="1" applyFill="1" applyBorder="1" applyAlignment="1" applyProtection="1">
      <alignment horizontal="center"/>
    </xf>
    <xf numFmtId="164" fontId="2" fillId="5" borderId="14" xfId="0" applyNumberFormat="1" applyFont="1" applyFill="1" applyBorder="1" applyAlignment="1" applyProtection="1">
      <alignment horizontal="center"/>
    </xf>
    <xf numFmtId="167" fontId="0" fillId="0" borderId="14" xfId="0" applyNumberFormat="1" applyFill="1" applyBorder="1" applyAlignment="1" applyProtection="1">
      <alignment horizontal="center"/>
    </xf>
    <xf numFmtId="0" fontId="0" fillId="8" borderId="11" xfId="0" applyFill="1" applyBorder="1" applyAlignment="1" applyProtection="1">
      <alignment horizontal="center"/>
      <protection locked="0"/>
    </xf>
    <xf numFmtId="0" fontId="1" fillId="8" borderId="16" xfId="0" applyNumberFormat="1" applyFont="1" applyFill="1" applyBorder="1" applyAlignment="1" applyProtection="1">
      <alignment horizontal="center"/>
      <protection locked="0"/>
    </xf>
    <xf numFmtId="9" fontId="0" fillId="8" borderId="11" xfId="0" applyNumberFormat="1" applyFill="1" applyBorder="1" applyAlignment="1" applyProtection="1">
      <alignment horizontal="center"/>
      <protection locked="0"/>
    </xf>
    <xf numFmtId="0" fontId="0" fillId="11" borderId="13" xfId="0" applyFill="1" applyBorder="1" applyProtection="1">
      <protection locked="0"/>
    </xf>
    <xf numFmtId="0" fontId="0" fillId="11" borderId="11" xfId="0" applyFill="1" applyBorder="1" applyProtection="1">
      <protection locked="0"/>
    </xf>
    <xf numFmtId="0" fontId="0" fillId="11" borderId="9" xfId="0" applyFill="1" applyBorder="1" applyProtection="1">
      <protection locked="0"/>
    </xf>
    <xf numFmtId="0" fontId="5" fillId="8" borderId="3" xfId="0" applyFont="1" applyFill="1" applyBorder="1" applyAlignment="1" applyProtection="1">
      <alignment horizontal="center"/>
      <protection locked="0"/>
    </xf>
    <xf numFmtId="0" fontId="1" fillId="7" borderId="16" xfId="0" applyFont="1" applyFill="1" applyBorder="1" applyProtection="1"/>
    <xf numFmtId="0" fontId="0" fillId="16" borderId="15" xfId="0" applyFill="1" applyBorder="1" applyProtection="1">
      <protection locked="0"/>
    </xf>
    <xf numFmtId="169" fontId="0" fillId="0" borderId="16" xfId="0" applyNumberFormat="1" applyFill="1" applyBorder="1" applyAlignment="1" applyProtection="1">
      <alignment horizontal="center"/>
    </xf>
    <xf numFmtId="169" fontId="0" fillId="0" borderId="11" xfId="0" applyNumberFormat="1" applyFill="1" applyBorder="1" applyAlignment="1" applyProtection="1">
      <alignment horizontal="center"/>
    </xf>
    <xf numFmtId="169" fontId="0" fillId="0" borderId="9" xfId="0" applyNumberFormat="1" applyFill="1" applyBorder="1" applyAlignment="1" applyProtection="1">
      <alignment horizontal="center"/>
    </xf>
    <xf numFmtId="0" fontId="8" fillId="11" borderId="0" xfId="0" applyNumberFormat="1" applyFont="1" applyFill="1" applyProtection="1"/>
    <xf numFmtId="15" fontId="1" fillId="9" borderId="11" xfId="0" applyNumberFormat="1" applyFont="1" applyFill="1" applyBorder="1" applyAlignment="1" applyProtection="1">
      <alignment horizontal="center"/>
    </xf>
    <xf numFmtId="0" fontId="1" fillId="9" borderId="11" xfId="0" applyFont="1" applyFill="1" applyBorder="1" applyAlignment="1" applyProtection="1">
      <alignment horizontal="center"/>
    </xf>
    <xf numFmtId="0" fontId="1" fillId="9" borderId="9" xfId="0" applyFont="1" applyFill="1" applyBorder="1" applyAlignment="1" applyProtection="1">
      <alignment horizontal="center"/>
    </xf>
    <xf numFmtId="0" fontId="1" fillId="10" borderId="16" xfId="0" applyFont="1" applyFill="1" applyBorder="1" applyProtection="1"/>
    <xf numFmtId="0" fontId="1" fillId="10" borderId="11" xfId="0" applyFont="1" applyFill="1" applyBorder="1" applyProtection="1"/>
    <xf numFmtId="0" fontId="1" fillId="10" borderId="9" xfId="0" applyFont="1" applyFill="1" applyBorder="1" applyProtection="1"/>
    <xf numFmtId="21" fontId="1" fillId="17" borderId="5" xfId="0" applyNumberFormat="1" applyFont="1" applyFill="1" applyBorder="1" applyAlignment="1" applyProtection="1">
      <alignment horizontal="center"/>
    </xf>
    <xf numFmtId="0" fontId="0" fillId="17" borderId="7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9" xfId="0" applyBorder="1" applyProtection="1"/>
    <xf numFmtId="4" fontId="0" fillId="0" borderId="19" xfId="0" applyNumberFormat="1" applyBorder="1" applyProtection="1"/>
    <xf numFmtId="4" fontId="0" fillId="14" borderId="19" xfId="0" applyNumberFormat="1" applyFill="1" applyBorder="1" applyProtection="1"/>
    <xf numFmtId="166" fontId="0" fillId="0" borderId="19" xfId="0" applyNumberFormat="1" applyBorder="1" applyProtection="1"/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4" fontId="0" fillId="0" borderId="0" xfId="0" applyNumberFormat="1" applyBorder="1" applyProtection="1"/>
    <xf numFmtId="4" fontId="0" fillId="14" borderId="0" xfId="0" applyNumberFormat="1" applyFill="1" applyBorder="1" applyProtection="1"/>
    <xf numFmtId="166" fontId="0" fillId="0" borderId="0" xfId="0" applyNumberFormat="1" applyBorder="1" applyProtection="1"/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3" xfId="0" applyNumberFormat="1" applyBorder="1" applyProtection="1"/>
    <xf numFmtId="0" fontId="0" fillId="0" borderId="5" xfId="0" applyNumberFormat="1" applyBorder="1" applyProtection="1"/>
    <xf numFmtId="0" fontId="0" fillId="0" borderId="7" xfId="0" applyNumberFormat="1" applyBorder="1" applyProtection="1"/>
    <xf numFmtId="0" fontId="0" fillId="15" borderId="6" xfId="0" applyFill="1" applyBorder="1" applyProtection="1"/>
    <xf numFmtId="0" fontId="0" fillId="0" borderId="20" xfId="0" applyBorder="1" applyProtection="1"/>
    <xf numFmtId="0" fontId="1" fillId="0" borderId="3" xfId="0" applyFont="1" applyBorder="1" applyProtection="1">
      <protection locked="0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7" xfId="0" applyNumberFormat="1" applyFont="1" applyBorder="1" applyProtection="1">
      <protection locked="0"/>
    </xf>
    <xf numFmtId="0" fontId="0" fillId="0" borderId="15" xfId="0" applyBorder="1" applyProtection="1"/>
    <xf numFmtId="0" fontId="0" fillId="0" borderId="15" xfId="0" applyBorder="1"/>
    <xf numFmtId="0" fontId="0" fillId="15" borderId="15" xfId="0" applyFill="1" applyBorder="1" applyProtection="1">
      <protection locked="0"/>
    </xf>
    <xf numFmtId="170" fontId="0" fillId="0" borderId="9" xfId="0" applyNumberFormat="1" applyBorder="1"/>
    <xf numFmtId="171" fontId="0" fillId="0" borderId="9" xfId="0" applyNumberFormat="1" applyBorder="1"/>
    <xf numFmtId="170" fontId="0" fillId="0" borderId="11" xfId="0" applyNumberFormat="1" applyBorder="1"/>
    <xf numFmtId="171" fontId="0" fillId="0" borderId="11" xfId="0" applyNumberFormat="1" applyBorder="1"/>
    <xf numFmtId="21" fontId="0" fillId="0" borderId="9" xfId="0" applyNumberFormat="1" applyBorder="1" applyAlignment="1">
      <alignment horizontal="center"/>
    </xf>
    <xf numFmtId="0" fontId="11" fillId="0" borderId="9" xfId="0" applyFont="1" applyBorder="1" applyAlignment="1">
      <alignment horizontal="right"/>
    </xf>
    <xf numFmtId="0" fontId="0" fillId="0" borderId="16" xfId="0" applyNumberForma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16" xfId="0" applyFont="1" applyBorder="1" applyAlignment="1">
      <alignment horizontal="right"/>
    </xf>
    <xf numFmtId="170" fontId="0" fillId="0" borderId="16" xfId="0" applyNumberFormat="1" applyBorder="1"/>
    <xf numFmtId="171" fontId="0" fillId="0" borderId="16" xfId="0" applyNumberFormat="1" applyBorder="1"/>
    <xf numFmtId="0" fontId="11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8" borderId="16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11" fillId="0" borderId="0" xfId="0" applyFont="1" applyAlignment="1">
      <alignment horizontal="right"/>
    </xf>
    <xf numFmtId="0" fontId="0" fillId="3" borderId="15" xfId="0" applyFill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164" fontId="0" fillId="0" borderId="16" xfId="0" applyNumberFormat="1" applyBorder="1"/>
    <xf numFmtId="164" fontId="0" fillId="0" borderId="11" xfId="0" applyNumberFormat="1" applyBorder="1"/>
    <xf numFmtId="164" fontId="0" fillId="0" borderId="9" xfId="0" applyNumberFormat="1" applyBorder="1"/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72" fontId="0" fillId="0" borderId="13" xfId="0" applyNumberFormat="1" applyFill="1" applyBorder="1" applyAlignment="1" applyProtection="1"/>
    <xf numFmtId="172" fontId="0" fillId="0" borderId="11" xfId="0" applyNumberFormat="1" applyFill="1" applyBorder="1" applyAlignment="1" applyProtection="1"/>
    <xf numFmtId="172" fontId="0" fillId="0" borderId="9" xfId="0" applyNumberFormat="1" applyFill="1" applyBorder="1" applyAlignment="1" applyProtection="1"/>
    <xf numFmtId="172" fontId="0" fillId="2" borderId="13" xfId="0" applyNumberFormat="1" applyFill="1" applyBorder="1" applyAlignment="1" applyProtection="1">
      <alignment horizontal="center"/>
    </xf>
    <xf numFmtId="172" fontId="0" fillId="0" borderId="13" xfId="0" applyNumberFormat="1" applyFill="1" applyBorder="1" applyAlignment="1" applyProtection="1">
      <alignment horizontal="center"/>
      <protection locked="0"/>
    </xf>
    <xf numFmtId="172" fontId="0" fillId="3" borderId="13" xfId="0" applyNumberFormat="1" applyFill="1" applyBorder="1" applyAlignment="1" applyProtection="1">
      <alignment horizontal="center"/>
      <protection locked="0"/>
    </xf>
    <xf numFmtId="172" fontId="0" fillId="0" borderId="13" xfId="0" applyNumberFormat="1" applyFill="1" applyBorder="1" applyAlignment="1" applyProtection="1">
      <alignment horizontal="center"/>
    </xf>
    <xf numFmtId="172" fontId="0" fillId="2" borderId="11" xfId="0" applyNumberFormat="1" applyFill="1" applyBorder="1" applyAlignment="1" applyProtection="1">
      <alignment horizontal="center"/>
    </xf>
    <xf numFmtId="172" fontId="0" fillId="0" borderId="11" xfId="0" applyNumberFormat="1" applyFill="1" applyBorder="1" applyAlignment="1" applyProtection="1">
      <alignment horizontal="center"/>
      <protection locked="0"/>
    </xf>
    <xf numFmtId="172" fontId="0" fillId="3" borderId="11" xfId="0" applyNumberFormat="1" applyFill="1" applyBorder="1" applyAlignment="1" applyProtection="1">
      <alignment horizontal="center"/>
      <protection locked="0"/>
    </xf>
    <xf numFmtId="172" fontId="0" fillId="0" borderId="11" xfId="0" applyNumberFormat="1" applyFill="1" applyBorder="1" applyAlignment="1" applyProtection="1">
      <alignment horizontal="center"/>
    </xf>
    <xf numFmtId="172" fontId="0" fillId="2" borderId="9" xfId="0" applyNumberFormat="1" applyFill="1" applyBorder="1" applyAlignment="1" applyProtection="1">
      <alignment horizontal="center"/>
    </xf>
    <xf numFmtId="172" fontId="0" fillId="0" borderId="9" xfId="0" applyNumberFormat="1" applyFill="1" applyBorder="1" applyAlignment="1" applyProtection="1">
      <alignment horizontal="center"/>
      <protection locked="0"/>
    </xf>
    <xf numFmtId="172" fontId="7" fillId="3" borderId="9" xfId="0" applyNumberFormat="1" applyFont="1" applyFill="1" applyBorder="1" applyAlignment="1" applyProtection="1">
      <alignment horizontal="center"/>
      <protection locked="0"/>
    </xf>
    <xf numFmtId="172" fontId="0" fillId="0" borderId="9" xfId="0" applyNumberFormat="1" applyFill="1" applyBorder="1" applyAlignment="1" applyProtection="1">
      <alignment horizontal="center"/>
    </xf>
    <xf numFmtId="172" fontId="0" fillId="0" borderId="16" xfId="0" applyNumberFormat="1" applyBorder="1"/>
    <xf numFmtId="172" fontId="0" fillId="0" borderId="11" xfId="0" applyNumberFormat="1" applyBorder="1"/>
    <xf numFmtId="172" fontId="0" fillId="0" borderId="9" xfId="0" applyNumberFormat="1" applyBorder="1"/>
    <xf numFmtId="166" fontId="0" fillId="0" borderId="16" xfId="0" applyNumberFormat="1" applyBorder="1"/>
    <xf numFmtId="166" fontId="0" fillId="0" borderId="11" xfId="0" applyNumberFormat="1" applyBorder="1"/>
    <xf numFmtId="166" fontId="0" fillId="0" borderId="9" xfId="0" applyNumberFormat="1" applyBorder="1"/>
    <xf numFmtId="0" fontId="6" fillId="0" borderId="10" xfId="0" applyFont="1" applyBorder="1" applyAlignment="1">
      <alignment horizontal="center"/>
    </xf>
    <xf numFmtId="0" fontId="0" fillId="0" borderId="12" xfId="0" applyBorder="1" applyAlignment="1"/>
    <xf numFmtId="164" fontId="2" fillId="5" borderId="10" xfId="0" applyNumberFormat="1" applyFont="1" applyFill="1" applyBorder="1" applyAlignment="1" applyProtection="1">
      <alignment horizontal="center"/>
    </xf>
    <xf numFmtId="164" fontId="2" fillId="5" borderId="12" xfId="0" applyNumberFormat="1" applyFont="1" applyFill="1" applyBorder="1" applyAlignment="1" applyProtection="1">
      <alignment horizontal="center"/>
    </xf>
    <xf numFmtId="164" fontId="2" fillId="5" borderId="21" xfId="0" applyNumberFormat="1" applyFont="1" applyFill="1" applyBorder="1" applyAlignment="1" applyProtection="1">
      <alignment horizontal="center"/>
    </xf>
    <xf numFmtId="164" fontId="2" fillId="5" borderId="4" xfId="0" applyNumberFormat="1" applyFont="1" applyFill="1" applyBorder="1" applyAlignment="1" applyProtection="1">
      <alignment horizontal="center"/>
    </xf>
    <xf numFmtId="164" fontId="2" fillId="5" borderId="0" xfId="0" applyNumberFormat="1" applyFont="1" applyFill="1" applyBorder="1" applyAlignment="1" applyProtection="1">
      <alignment horizontal="center"/>
    </xf>
    <xf numFmtId="0" fontId="11" fillId="0" borderId="15" xfId="0" applyFont="1" applyBorder="1" applyAlignment="1">
      <alignment horizontal="right"/>
    </xf>
    <xf numFmtId="0" fontId="0" fillId="0" borderId="16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</cellXfs>
  <cellStyles count="3">
    <cellStyle name="Input" xfId="1" builtinId="20" customBuiltin="1"/>
    <cellStyle name="Normal" xfId="0" builtinId="0" customBuiltin="1"/>
    <cellStyle name="Output" xfId="2" builtinId="21" customBuiltin="1"/>
  </cellStyles>
  <dxfs count="9"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b/>
        <i/>
        <color rgb="FFFF0000"/>
      </font>
      <fill>
        <patternFill>
          <bgColor rgb="FFCCFF66"/>
        </patternFill>
      </fill>
    </dxf>
    <dxf>
      <font>
        <b/>
        <i/>
        <color rgb="FFFFFF00"/>
      </font>
      <fill>
        <patternFill>
          <bgColor rgb="FFFF0000"/>
        </patternFill>
      </fill>
      <border>
        <left/>
        <right/>
        <top/>
        <bottom/>
        <vertical/>
        <horizontal/>
      </border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CCFF"/>
      <color rgb="FFCC99FF"/>
      <color rgb="FFFF66CC"/>
      <color rgb="FFFF00FF"/>
      <color rgb="FFFF66FF"/>
      <color rgb="FFCCECFF"/>
      <color rgb="FFCCFF66"/>
      <color rgb="FFCCFFCC"/>
      <color rgb="FFCCFF99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nowrtdserver">
      <tp>
        <v>0.44797453703358769</v>
        <stp/>
        <stp>C17</stp>
        <stp>20</stp>
        <tr r="C17" s="17"/>
      </tp>
    </main>
    <main first="pldatasource.rtgetrtdserver">
      <tp>
        <v>166</v>
        <stp/>
        <stp xml:space="preserve">	UNICA15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17"/>
      </tp>
      <tp>
        <v>146</v>
        <stp/>
        <stp xml:space="preserve">	UNICA10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17"/>
      </tp>
      <tp>
        <v>216</v>
        <stp/>
        <stp xml:space="preserve">	UNICA30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17"/>
      </tp>
      <tp>
        <v>202</v>
        <stp/>
        <stp xml:space="preserve">	UNICA25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17"/>
      </tp>
      <tp>
        <v>185</v>
        <stp/>
        <stp xml:space="preserve">	UNICA20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7"/>
      </tp>
    </main>
    <main first="pldatasource.rtgetrtdserver">
      <tp>
        <v>166</v>
        <stp/>
        <stp xml:space="preserve">	UNICA15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17"/>
      </tp>
      <tp>
        <v>146</v>
        <stp/>
        <stp xml:space="preserve">	UNICA10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17"/>
      </tp>
      <tp>
        <v>216</v>
        <stp/>
        <stp xml:space="preserve">	UNICA30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17"/>
      </tp>
      <tp>
        <v>202</v>
        <stp/>
        <stp xml:space="preserve">	UNICA25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17"/>
      </tp>
      <tp>
        <v>185</v>
        <stp/>
        <stp xml:space="preserve">	UNICA20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17"/>
      </tp>
      <tp>
        <v>134</v>
        <stp/>
        <stp>_x0008_UNICA7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17"/>
      </tp>
      <tp>
        <v>126</v>
        <stp/>
        <stp>_x0008_UNICA6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17"/>
      </tp>
      <tp>
        <v>20</v>
        <stp/>
        <stp>_x0008_UNICA6M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17"/>
      </tp>
      <tp>
        <v>123</v>
        <stp/>
        <stp>_x0008_UNICA5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17"/>
      </tp>
      <tp>
        <v>104</v>
        <stp/>
        <stp>_x0008_UNICA4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7" s="17"/>
      </tp>
      <tp>
        <v>91</v>
        <stp/>
        <stp>_x0008_UNICA3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" s="17"/>
      </tp>
      <tp>
        <v>74</v>
        <stp/>
        <stp>_x0008_UNICA2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17"/>
      </tp>
      <tp>
        <v>38</v>
        <stp/>
        <stp>_x0008_UNICA1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17"/>
      </tp>
      <tp>
        <v>142</v>
        <stp/>
        <stp>_x0008_UNICA9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2" s="17"/>
      </tp>
      <tp>
        <v>138</v>
        <stp/>
        <stp>_x0008_UNICA8Y=_x0003_ASK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1" s="17"/>
      </tp>
    </main>
    <main first="pldatasource.rtgetrtdserver">
      <tp>
        <v>104</v>
        <stp/>
        <stp>_x0008_UNICA4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17"/>
      </tp>
      <tp>
        <v>123</v>
        <stp/>
        <stp>_x0008_UNICA5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7"/>
      </tp>
      <tp>
        <v>20</v>
        <stp/>
        <stp>_x0008_UNICA6M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17"/>
      </tp>
      <tp>
        <v>126</v>
        <stp/>
        <stp>_x0008_UNICA6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17"/>
      </tp>
      <tp>
        <v>134</v>
        <stp/>
        <stp>_x0008_UNICA7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7"/>
      </tp>
      <tp>
        <v>38</v>
        <stp/>
        <stp>_x0008_UNICA1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17"/>
      </tp>
      <tp>
        <v>74</v>
        <stp/>
        <stp>_x0008_UNICA2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7"/>
      </tp>
      <tp>
        <v>91</v>
        <stp/>
        <stp>_x0008_UNICA3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17"/>
      </tp>
      <tp>
        <v>138</v>
        <stp/>
        <stp>_x0008_UNICA8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17"/>
      </tp>
      <tp>
        <v>142</v>
        <stp/>
        <stp>_x0008_UNICA9Y=_x0003_BID_x0007_DTSIMI2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Sensitivities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0"/>
  <sheetViews>
    <sheetView workbookViewId="0"/>
  </sheetViews>
  <sheetFormatPr defaultRowHeight="11.25" x14ac:dyDescent="0.2"/>
  <cols>
    <col min="1" max="1" width="3.83203125" customWidth="1"/>
    <col min="2" max="2" width="12.83203125" customWidth="1"/>
    <col min="4" max="4" width="3.83203125" customWidth="1"/>
    <col min="5" max="5" width="15.83203125" customWidth="1"/>
    <col min="6" max="7" width="3.83203125" customWidth="1"/>
    <col min="9" max="9" width="3.83203125" customWidth="1"/>
  </cols>
  <sheetData>
    <row r="2" spans="2:8" x14ac:dyDescent="0.2">
      <c r="B2" s="160" t="s">
        <v>41</v>
      </c>
      <c r="C2" s="161"/>
      <c r="E2" s="22" t="s">
        <v>42</v>
      </c>
      <c r="H2" s="22" t="s">
        <v>19</v>
      </c>
    </row>
    <row r="3" spans="2:8" x14ac:dyDescent="0.2">
      <c r="B3" s="7" t="s">
        <v>33</v>
      </c>
      <c r="C3" s="7">
        <v>0</v>
      </c>
      <c r="E3" s="7" t="s">
        <v>16</v>
      </c>
      <c r="H3" s="7" t="b">
        <v>1</v>
      </c>
    </row>
    <row r="4" spans="2:8" x14ac:dyDescent="0.2">
      <c r="B4" s="8" t="s">
        <v>26</v>
      </c>
      <c r="C4" s="8">
        <v>1</v>
      </c>
      <c r="E4" s="8" t="s">
        <v>27</v>
      </c>
      <c r="H4" s="9" t="b">
        <v>0</v>
      </c>
    </row>
    <row r="5" spans="2:8" x14ac:dyDescent="0.2">
      <c r="B5" s="8" t="s">
        <v>34</v>
      </c>
      <c r="C5" s="8">
        <v>2</v>
      </c>
      <c r="E5" s="8" t="s">
        <v>14</v>
      </c>
    </row>
    <row r="6" spans="2:8" x14ac:dyDescent="0.2">
      <c r="B6" s="23" t="s">
        <v>35</v>
      </c>
      <c r="C6" s="8">
        <v>3</v>
      </c>
      <c r="E6" s="8" t="s">
        <v>28</v>
      </c>
    </row>
    <row r="7" spans="2:8" x14ac:dyDescent="0.2">
      <c r="B7" s="8" t="s">
        <v>36</v>
      </c>
      <c r="C7" s="8">
        <v>4</v>
      </c>
      <c r="E7" s="9" t="s">
        <v>29</v>
      </c>
    </row>
    <row r="8" spans="2:8" x14ac:dyDescent="0.2">
      <c r="B8" s="8" t="s">
        <v>37</v>
      </c>
      <c r="C8" s="8">
        <v>5</v>
      </c>
    </row>
    <row r="9" spans="2:8" x14ac:dyDescent="0.2">
      <c r="B9" s="8" t="s">
        <v>38</v>
      </c>
      <c r="C9" s="8">
        <v>6</v>
      </c>
      <c r="E9" s="22" t="s">
        <v>43</v>
      </c>
    </row>
    <row r="10" spans="2:8" x14ac:dyDescent="0.2">
      <c r="B10" s="8" t="s">
        <v>39</v>
      </c>
      <c r="C10" s="8">
        <v>7</v>
      </c>
      <c r="E10" s="7" t="s">
        <v>17</v>
      </c>
    </row>
    <row r="11" spans="2:8" x14ac:dyDescent="0.2">
      <c r="B11" s="8" t="s">
        <v>25</v>
      </c>
      <c r="C11" s="8">
        <v>8</v>
      </c>
      <c r="E11" s="8" t="s">
        <v>15</v>
      </c>
    </row>
    <row r="12" spans="2:8" x14ac:dyDescent="0.2">
      <c r="B12" s="9" t="s">
        <v>40</v>
      </c>
      <c r="C12" s="9">
        <v>9</v>
      </c>
      <c r="E12" s="9" t="s">
        <v>30</v>
      </c>
    </row>
    <row r="13" spans="2:8" x14ac:dyDescent="0.2">
      <c r="E13" s="27"/>
    </row>
    <row r="14" spans="2:8" x14ac:dyDescent="0.2">
      <c r="B14" s="160" t="s">
        <v>56</v>
      </c>
      <c r="C14" s="161"/>
      <c r="E14" s="22" t="s">
        <v>44</v>
      </c>
    </row>
    <row r="15" spans="2:8" x14ac:dyDescent="0.2">
      <c r="B15" s="7" t="s">
        <v>53</v>
      </c>
      <c r="C15" s="7">
        <v>0</v>
      </c>
      <c r="E15" s="7" t="s">
        <v>13</v>
      </c>
    </row>
    <row r="16" spans="2:8" x14ac:dyDescent="0.2">
      <c r="B16" s="8" t="s">
        <v>54</v>
      </c>
      <c r="C16" s="8">
        <v>1</v>
      </c>
      <c r="E16" s="8" t="s">
        <v>31</v>
      </c>
    </row>
    <row r="17" spans="2:5" x14ac:dyDescent="0.2">
      <c r="B17" s="8" t="s">
        <v>23</v>
      </c>
      <c r="C17" s="8">
        <v>2</v>
      </c>
      <c r="E17" s="9" t="s">
        <v>32</v>
      </c>
    </row>
    <row r="18" spans="2:5" x14ac:dyDescent="0.2">
      <c r="B18" s="9" t="s">
        <v>55</v>
      </c>
      <c r="C18" s="9">
        <v>3</v>
      </c>
      <c r="E18" s="27"/>
    </row>
    <row r="19" spans="2:5" x14ac:dyDescent="0.2">
      <c r="E19" s="22" t="s">
        <v>48</v>
      </c>
    </row>
    <row r="20" spans="2:5" x14ac:dyDescent="0.2">
      <c r="B20" s="160" t="s">
        <v>59</v>
      </c>
      <c r="C20" s="161"/>
      <c r="E20" s="7" t="s">
        <v>46</v>
      </c>
    </row>
    <row r="21" spans="2:5" x14ac:dyDescent="0.2">
      <c r="B21" s="7" t="s">
        <v>24</v>
      </c>
      <c r="C21" s="7">
        <v>0</v>
      </c>
      <c r="E21" s="8" t="s">
        <v>47</v>
      </c>
    </row>
    <row r="22" spans="2:5" x14ac:dyDescent="0.2">
      <c r="B22" s="8" t="s">
        <v>57</v>
      </c>
      <c r="C22" s="8">
        <v>1</v>
      </c>
      <c r="E22" s="9" t="s">
        <v>12</v>
      </c>
    </row>
    <row r="23" spans="2:5" x14ac:dyDescent="0.2">
      <c r="B23" s="9" t="s">
        <v>58</v>
      </c>
      <c r="C23" s="9">
        <v>2</v>
      </c>
    </row>
    <row r="24" spans="2:5" x14ac:dyDescent="0.2">
      <c r="E24" s="22" t="s">
        <v>51</v>
      </c>
    </row>
    <row r="25" spans="2:5" x14ac:dyDescent="0.2">
      <c r="B25" s="160" t="s">
        <v>60</v>
      </c>
      <c r="C25" s="161"/>
      <c r="E25" s="7" t="s">
        <v>7</v>
      </c>
    </row>
    <row r="26" spans="2:5" x14ac:dyDescent="0.2">
      <c r="B26" s="7" t="s">
        <v>22</v>
      </c>
      <c r="C26" s="7">
        <v>0</v>
      </c>
      <c r="E26" s="9" t="s">
        <v>49</v>
      </c>
    </row>
    <row r="27" spans="2:5" x14ac:dyDescent="0.2">
      <c r="B27" s="9" t="s">
        <v>45</v>
      </c>
      <c r="C27" s="9">
        <v>1</v>
      </c>
    </row>
    <row r="28" spans="2:5" x14ac:dyDescent="0.2">
      <c r="E28" s="22" t="s">
        <v>52</v>
      </c>
    </row>
    <row r="29" spans="2:5" x14ac:dyDescent="0.2">
      <c r="E29" s="7" t="s">
        <v>11</v>
      </c>
    </row>
    <row r="30" spans="2:5" x14ac:dyDescent="0.2">
      <c r="E30" s="9" t="s">
        <v>50</v>
      </c>
    </row>
  </sheetData>
  <mergeCells count="4">
    <mergeCell ref="B20:C20"/>
    <mergeCell ref="B25:C25"/>
    <mergeCell ref="B2:C2"/>
    <mergeCell ref="B14:C14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Right="0"/>
  </sheetPr>
  <dimension ref="A1:AL112"/>
  <sheetViews>
    <sheetView showGridLines="0" tabSelected="1" workbookViewId="0">
      <selection activeCell="S1" sqref="S1"/>
    </sheetView>
  </sheetViews>
  <sheetFormatPr defaultRowHeight="11.25" outlineLevelCol="1" x14ac:dyDescent="0.2"/>
  <cols>
    <col min="1" max="1" width="3.83203125" style="10" customWidth="1"/>
    <col min="2" max="3" width="21.83203125" style="10" customWidth="1"/>
    <col min="4" max="4" width="2.83203125" style="10" customWidth="1"/>
    <col min="5" max="9" width="10.83203125" style="10" customWidth="1"/>
    <col min="10" max="10" width="10.83203125" style="10" customWidth="1" collapsed="1"/>
    <col min="11" max="11" width="12.83203125" style="10" hidden="1" customWidth="1" outlineLevel="1"/>
    <col min="12" max="13" width="14.83203125" style="10" hidden="1" customWidth="1" outlineLevel="1"/>
    <col min="14" max="14" width="9.33203125" style="10" hidden="1" customWidth="1" outlineLevel="1"/>
    <col min="15" max="15" width="12.83203125" style="10" hidden="1" customWidth="1" outlineLevel="1"/>
    <col min="16" max="16" width="14.83203125" style="10" hidden="1" customWidth="1" outlineLevel="1"/>
    <col min="17" max="17" width="9.33203125" style="10" hidden="1" customWidth="1" outlineLevel="1"/>
    <col min="18" max="18" width="9.33203125" style="10"/>
    <col min="19" max="19" width="55.83203125" style="10" customWidth="1"/>
    <col min="20" max="20" width="2.83203125" style="10" customWidth="1"/>
    <col min="21" max="21" width="9.33203125" style="10"/>
    <col min="22" max="22" width="13.83203125" style="10" customWidth="1"/>
    <col min="23" max="24" width="9.33203125" style="10"/>
    <col min="25" max="25" width="11.83203125" style="10" customWidth="1"/>
    <col min="26" max="27" width="9.5" style="10" customWidth="1"/>
    <col min="28" max="28" width="2.83203125" style="10" customWidth="1"/>
    <col min="29" max="29" width="10.33203125" style="10" customWidth="1"/>
    <col min="30" max="31" width="9.33203125" style="10"/>
    <col min="32" max="32" width="9.33203125" style="10" collapsed="1"/>
    <col min="33" max="33" width="17.5" style="10" hidden="1" customWidth="1" outlineLevel="1"/>
    <col min="34" max="34" width="12.33203125" style="10" hidden="1" customWidth="1" outlineLevel="1"/>
    <col min="35" max="36" width="12.1640625" style="10" hidden="1" customWidth="1" outlineLevel="1"/>
    <col min="37" max="37" width="16.83203125" style="10" hidden="1" customWidth="1" outlineLevel="1"/>
    <col min="38" max="38" width="15.33203125" style="10" hidden="1" customWidth="1" outlineLevel="1"/>
    <col min="39" max="16384" width="9.33203125" style="10"/>
  </cols>
  <sheetData>
    <row r="1" spans="1:38" x14ac:dyDescent="0.2">
      <c r="A1" s="65"/>
      <c r="C1" s="10" t="b">
        <f>_xll.pdgSettingsSetEvaluationDate(C3)</f>
        <v>1</v>
      </c>
      <c r="E1" s="21"/>
      <c r="F1" s="11"/>
      <c r="R1" s="69" t="b">
        <f>NOT(ISERROR(SUM(R3:R17)))</f>
        <v>1</v>
      </c>
      <c r="S1" s="102" t="b">
        <v>0</v>
      </c>
    </row>
    <row r="2" spans="1:38" ht="12.75" x14ac:dyDescent="0.2">
      <c r="B2" s="162" t="s">
        <v>0</v>
      </c>
      <c r="C2" s="163"/>
      <c r="E2" s="25" t="s">
        <v>20</v>
      </c>
      <c r="G2" s="25" t="s">
        <v>1</v>
      </c>
      <c r="H2" s="25" t="s">
        <v>2</v>
      </c>
      <c r="I2" s="25" t="s">
        <v>3</v>
      </c>
      <c r="J2" s="25" t="s">
        <v>4</v>
      </c>
      <c r="K2" s="25" t="s">
        <v>168</v>
      </c>
      <c r="L2" s="55" t="s">
        <v>76</v>
      </c>
      <c r="M2" s="55" t="s">
        <v>77</v>
      </c>
      <c r="N2" s="25" t="s">
        <v>68</v>
      </c>
      <c r="O2" s="25" t="s">
        <v>70</v>
      </c>
      <c r="P2" s="25" t="s">
        <v>73</v>
      </c>
      <c r="Q2" s="25" t="s">
        <v>71</v>
      </c>
      <c r="R2" s="45" t="s">
        <v>71</v>
      </c>
      <c r="S2" s="25" t="s">
        <v>74</v>
      </c>
      <c r="Y2" s="12" t="s">
        <v>61</v>
      </c>
      <c r="Z2" s="13" t="s">
        <v>5</v>
      </c>
      <c r="AA2" s="14" t="s">
        <v>6</v>
      </c>
      <c r="AH2" s="167" t="s">
        <v>180</v>
      </c>
      <c r="AI2" s="167" t="s">
        <v>182</v>
      </c>
      <c r="AJ2" s="167" t="s">
        <v>185</v>
      </c>
      <c r="AK2" s="167" t="s">
        <v>186</v>
      </c>
      <c r="AL2" s="114" t="s">
        <v>187</v>
      </c>
    </row>
    <row r="3" spans="1:38" x14ac:dyDescent="0.2">
      <c r="B3" s="24" t="s">
        <v>18</v>
      </c>
      <c r="C3" s="6">
        <f>_xll.qlSettingsEvaluationDate(ManualTrigger)</f>
        <v>42765</v>
      </c>
      <c r="E3" s="60" t="b">
        <v>1</v>
      </c>
      <c r="F3" s="54" t="str">
        <f>Y3&amp;"M"</f>
        <v>6M</v>
      </c>
      <c r="G3" s="142">
        <f>AVERAGE(Z3:AA3)</f>
        <v>20</v>
      </c>
      <c r="H3" s="143"/>
      <c r="I3" s="144"/>
      <c r="J3" s="145">
        <f t="shared" ref="J3:J16" si="0">IF(ISNUMBER(H3),H3,G3)+I3</f>
        <v>20</v>
      </c>
      <c r="K3" s="50">
        <f>_xll.qlCalendarAdvance(Calendar,SettlementDate,F3,"Unadjusted",FALSE)</f>
        <v>42948</v>
      </c>
      <c r="L3" s="56" t="str">
        <f>_xll.qlSchedule(,SettlementDate,K3,_xll.qlInterestRateIndexTenor(IborIndex),_xll.qlIndexFixingCalendar(IborIndex),BizDayConv,"Unadjusted")</f>
        <v>obj_005bf#0011</v>
      </c>
      <c r="M3" s="56" t="str">
        <f>_xll.qlIborLeg(,,Notional,L3,,,_xll.qlInterestRateIndexDayCounter(IborIndex),,,IborIndex,J3/(10^4))</f>
        <v>obj_005de#0012</v>
      </c>
      <c r="N3" s="139">
        <f>100-_xll.qlLegNPV(M3,qlDiscCurve,,SettlementDate,,RtTrigger)</f>
        <v>100.06175392268919</v>
      </c>
      <c r="O3" s="50">
        <f>_xll.qlCalendarAdvance(Calendar,K3,"0d",BizDayConv)</f>
        <v>42948</v>
      </c>
      <c r="P3" s="51" t="str">
        <f>_xll.pdgDefaultableLoan(,EvaluationDate,Currency,pdgDiscCurve,EntityName,O3,Notional,Notional*$C$14,,FloatingFlag)</f>
        <v>obj_005cc#0036</v>
      </c>
      <c r="Q3" s="52">
        <f t="array" ref="Q3:Q17">_xll.pdgLoanCalibration3(EvaluationDate,pdgDiscCurve,O3:O17,P3:P17,N3:N17,E3:E17,Currency,Recovery)</f>
        <v>1.2007425771163897E-3</v>
      </c>
      <c r="R3" s="53">
        <f>IF(E3,ROUND(Q3*(10^4),2),NA())</f>
        <v>12.01</v>
      </c>
      <c r="S3" s="51" t="str">
        <f>IF(AND($R$1,$S$1),_xll.RtContribute($V$3,$V$4&amp;F3&amp;$V$5,CHOOSE({1,2},"BID","ASK"),CHOOSE({1,2},R3,R3),"SCOPE:SERVER FTC:ALL"),"--")</f>
        <v>--</v>
      </c>
      <c r="U3" s="15" t="s">
        <v>8</v>
      </c>
      <c r="V3" s="96" t="s">
        <v>62</v>
      </c>
      <c r="Y3" s="20">
        <v>6</v>
      </c>
      <c r="Z3" s="28">
        <f>_xll.RtGet($AD$3,$AD$4&amp;$Y3&amp;$AD$5,Z$2)</f>
        <v>20</v>
      </c>
      <c r="AA3" s="29">
        <f>_xll.RtGet($AD$3,$AD$4&amp;$Y3&amp;$AD$5,AA$2)</f>
        <v>20</v>
      </c>
      <c r="AC3" s="15" t="s">
        <v>8</v>
      </c>
      <c r="AD3" s="96" t="s">
        <v>62</v>
      </c>
      <c r="AG3" s="111" t="s">
        <v>176</v>
      </c>
      <c r="AH3" s="168" t="s">
        <v>181</v>
      </c>
      <c r="AI3" s="168" t="s">
        <v>169</v>
      </c>
      <c r="AJ3" s="169" t="b">
        <v>1</v>
      </c>
      <c r="AK3" s="169" t="b">
        <v>1</v>
      </c>
      <c r="AL3" s="168" t="str">
        <f>_xll.qlEuribor($AG3,$AH3,$AI3,Permanent,ManualTrigger,ObjectOverwrite)</f>
        <v>EuriborSTD#0002</v>
      </c>
    </row>
    <row r="4" spans="1:38" x14ac:dyDescent="0.2">
      <c r="B4" s="34" t="s">
        <v>65</v>
      </c>
      <c r="C4" s="70" t="str">
        <f>_xll.qlIndexFixingCalendar(IborIndex,ManualTrigger)</f>
        <v>TARGET</v>
      </c>
      <c r="E4" s="61" t="b">
        <v>1</v>
      </c>
      <c r="F4" s="48" t="str">
        <f>Y4&amp;"Y"</f>
        <v>1Y</v>
      </c>
      <c r="G4" s="146">
        <f t="shared" ref="G4:G17" si="1">AVERAGE(Z4:AA4)</f>
        <v>38</v>
      </c>
      <c r="H4" s="147"/>
      <c r="I4" s="148"/>
      <c r="J4" s="149">
        <f t="shared" si="0"/>
        <v>38</v>
      </c>
      <c r="K4" s="38">
        <f>_xll.qlCalendarAdvance(Calendar,SettlementDate,F4,"Unadjusted",FALSE)</f>
        <v>43132</v>
      </c>
      <c r="L4" s="38" t="str">
        <f>_xll.qlSchedule(,SettlementDate,K4,_xll.qlInterestRateIndexTenor(IborIndex),_xll.qlIndexFixingCalendar(IborIndex),BizDayConv,"Unadjusted")</f>
        <v>obj_005c0#0011</v>
      </c>
      <c r="M4" s="38" t="str">
        <f>_xll.qlIborLeg(,,Notional,L4,,,_xll.qlInterestRateIndexDayCounter(IborIndex),,,IborIndex,J4/(10^4))</f>
        <v>obj_005df#0012</v>
      </c>
      <c r="N4" s="140">
        <f>100-_xll.qlLegNPV(M4,qlDiscCurve,,SettlementDate,,RtTrigger)</f>
        <v>99.915091213441684</v>
      </c>
      <c r="O4" s="38">
        <f>_xll.qlCalendarAdvance(Calendar,K4,"0d",BizDayConv)</f>
        <v>43132</v>
      </c>
      <c r="P4" s="43" t="str">
        <f>_xll.pdgDefaultableLoan(,EvaluationDate,Currency,pdgDiscCurve,EntityName,O4,Notional,Notional*$C$14,,FloatingFlag)</f>
        <v>obj_005c9#0036</v>
      </c>
      <c r="Q4" s="41">
        <v>2.9920858947525782E-3</v>
      </c>
      <c r="R4" s="46">
        <f t="shared" ref="R4:R17" si="2">IF(E4,ROUND(Q4*(10^4),2),R3)</f>
        <v>29.92</v>
      </c>
      <c r="S4" s="43" t="str">
        <f>IF(AND($R$1,$S$1),_xll.RtContribute($V$3,$V$4&amp;F4&amp;$V$6,CHOOSE({1,2},"BID","ASK"),CHOOSE({1,2},R4,R4),"SCOPE:SERVER FTC:ALL"),"--")</f>
        <v>--</v>
      </c>
      <c r="U4" s="16" t="s">
        <v>9</v>
      </c>
      <c r="V4" s="97" t="s">
        <v>88</v>
      </c>
      <c r="Y4" s="18">
        <v>1</v>
      </c>
      <c r="Z4" s="30">
        <f>_xll.RtGet($AD$3,$AD$4&amp;$Y4&amp;$AD$6,Z$2)</f>
        <v>38</v>
      </c>
      <c r="AA4" s="31">
        <f>_xll.RtGet($AD$3,$AD$4&amp;$Y4&amp;$AD$6,AA$2)</f>
        <v>38</v>
      </c>
      <c r="AC4" s="16" t="s">
        <v>9</v>
      </c>
      <c r="AD4" s="97" t="s">
        <v>156</v>
      </c>
      <c r="AG4" s="110" t="s">
        <v>177</v>
      </c>
      <c r="AH4" s="18" t="s">
        <v>181</v>
      </c>
      <c r="AI4" s="18" t="s">
        <v>183</v>
      </c>
      <c r="AL4" s="18" t="str">
        <f>_xll.qlEuribor($AG4,$AH4,$AI4,Permanent,ManualTrigger,ObjectOverwrite)</f>
        <v>Euribor1M#0001</v>
      </c>
    </row>
    <row r="5" spans="1:38" x14ac:dyDescent="0.2">
      <c r="B5" s="5" t="s">
        <v>66</v>
      </c>
      <c r="C5" s="71">
        <f>_xll.qlInterestRateIndexFixingDays(IborIndex,ManualTrigger)</f>
        <v>2</v>
      </c>
      <c r="E5" s="61" t="b">
        <v>1</v>
      </c>
      <c r="F5" s="48" t="str">
        <f t="shared" ref="F5:F17" si="3">Y5&amp;"Y"</f>
        <v>2Y</v>
      </c>
      <c r="G5" s="146">
        <f t="shared" si="1"/>
        <v>74</v>
      </c>
      <c r="H5" s="147"/>
      <c r="I5" s="148"/>
      <c r="J5" s="149">
        <f t="shared" si="0"/>
        <v>74</v>
      </c>
      <c r="K5" s="38">
        <f>_xll.qlCalendarAdvance(Calendar,SettlementDate,F5,"Unadjusted",FALSE)</f>
        <v>43497</v>
      </c>
      <c r="L5" s="38" t="str">
        <f>_xll.qlSchedule(,SettlementDate,K5,_xll.qlInterestRateIndexTenor(IborIndex),_xll.qlIndexFixingCalendar(IborIndex),BizDayConv,"Unadjusted")</f>
        <v>obj_005b8#0011</v>
      </c>
      <c r="M5" s="38" t="str">
        <f>_xll.qlIborLeg(,,Notional,L5,,,_xll.qlInterestRateIndexDayCounter(IborIndex),,,IborIndex,J5/(10^4))</f>
        <v>obj_005d6#0012</v>
      </c>
      <c r="N5" s="140">
        <f>100-_xll.qlLegNPV(M5,qlDiscCurve,,SettlementDate,,RtTrigger)</f>
        <v>98.963141670893606</v>
      </c>
      <c r="O5" s="38">
        <f>_xll.qlCalendarAdvance(Calendar,K5,"0d",BizDayConv)</f>
        <v>43497</v>
      </c>
      <c r="P5" s="43" t="str">
        <f>_xll.pdgDefaultableLoan(,EvaluationDate,Currency,pdgDiscCurve,EntityName,O5,Notional,Notional*$C$14,,FloatingFlag)</f>
        <v>obj_005d2#0036</v>
      </c>
      <c r="Q5" s="41">
        <v>7.0399136199467208E-3</v>
      </c>
      <c r="R5" s="46">
        <f t="shared" si="2"/>
        <v>70.400000000000006</v>
      </c>
      <c r="S5" s="43" t="str">
        <f>IF(AND($R$1,$S$1),_xll.RtContribute($V$3,$V$4&amp;F5&amp;$V$6,CHOOSE({1,2},"BID","ASK"),CHOOSE({1,2},R5,R5),"SCOPE:SERVER FTC:ALL"),"--")</f>
        <v>--</v>
      </c>
      <c r="U5" s="16" t="s">
        <v>10</v>
      </c>
      <c r="V5" s="98"/>
      <c r="Y5" s="18">
        <v>2</v>
      </c>
      <c r="Z5" s="30">
        <f>_xll.RtGet($AD$3,$AD$4&amp;$Y5&amp;$AD$6,Z$2)</f>
        <v>74</v>
      </c>
      <c r="AA5" s="31">
        <f>_xll.RtGet($AD$3,$AD$4&amp;$Y5&amp;$AD$6,AA$2)</f>
        <v>74</v>
      </c>
      <c r="AC5" s="16" t="s">
        <v>10</v>
      </c>
      <c r="AD5" s="98" t="s">
        <v>63</v>
      </c>
      <c r="AG5" s="110" t="s">
        <v>178</v>
      </c>
      <c r="AH5" s="18" t="s">
        <v>181</v>
      </c>
      <c r="AI5" s="18" t="s">
        <v>184</v>
      </c>
      <c r="AL5" s="18" t="str">
        <f>_xll.qlEuribor($AG5,$AH5,$AI5,Permanent,ManualTrigger,ObjectOverwrite)</f>
        <v>Euribor6M#0001</v>
      </c>
    </row>
    <row r="6" spans="1:38" x14ac:dyDescent="0.2">
      <c r="B6" s="35" t="s">
        <v>67</v>
      </c>
      <c r="C6" s="4">
        <f>_xll.qlCalendarAdvance(Calendar,EvaluationDate,SettlementDays&amp;"d",,,ObjectsTrigger)</f>
        <v>42767</v>
      </c>
      <c r="E6" s="61" t="b">
        <v>1</v>
      </c>
      <c r="F6" s="48" t="str">
        <f t="shared" si="3"/>
        <v>3Y</v>
      </c>
      <c r="G6" s="146">
        <f t="shared" si="1"/>
        <v>91</v>
      </c>
      <c r="H6" s="147"/>
      <c r="I6" s="148"/>
      <c r="J6" s="149">
        <f t="shared" si="0"/>
        <v>91</v>
      </c>
      <c r="K6" s="38">
        <f>_xll.qlCalendarAdvance(Calendar,SettlementDate,F6,"Unadjusted",FALSE)</f>
        <v>43862</v>
      </c>
      <c r="L6" s="38" t="str">
        <f>_xll.qlSchedule(,SettlementDate,K6,_xll.qlInterestRateIndexTenor(IborIndex),_xll.qlIndexFixingCalendar(IborIndex),BizDayConv,"Unadjusted")</f>
        <v>obj_005ba#0011</v>
      </c>
      <c r="M6" s="38" t="str">
        <f>_xll.qlIborLeg(,,Notional,L6,,,_xll.qlInterestRateIndexDayCounter(IborIndex),,,IborIndex,J6/(10^4))</f>
        <v>obj_005e1#0012</v>
      </c>
      <c r="N6" s="140">
        <f>100-_xll.qlLegNPV(M6,qlDiscCurve,,SettlementDate,,RtTrigger)</f>
        <v>97.654869560823997</v>
      </c>
      <c r="O6" s="38">
        <f>_xll.qlCalendarAdvance(Calendar,K6,"0d",BizDayConv)</f>
        <v>43864</v>
      </c>
      <c r="P6" s="43" t="str">
        <f>_xll.pdgDefaultableLoan(,EvaluationDate,Currency,pdgDiscCurve,EntityName,O6,Notional,Notional*$C$14,,FloatingFlag)</f>
        <v>obj_005c4#0036</v>
      </c>
      <c r="Q6" s="41">
        <v>8.176505826160271E-3</v>
      </c>
      <c r="R6" s="46">
        <f t="shared" si="2"/>
        <v>81.77</v>
      </c>
      <c r="S6" s="43" t="str">
        <f>IF(AND($R$1,$S$1),_xll.RtContribute($V$3,$V$4&amp;F6&amp;$V$6,CHOOSE({1,2},"BID","ASK"),CHOOSE({1,2},R6,R6),"SCOPE:SERVER FTC:ALL"),"--")</f>
        <v>--</v>
      </c>
      <c r="U6" s="17" t="s">
        <v>10</v>
      </c>
      <c r="V6" s="99"/>
      <c r="Y6" s="18">
        <v>3</v>
      </c>
      <c r="Z6" s="30">
        <f>_xll.RtGet($AD$3,$AD$4&amp;$Y6&amp;$AD$6,Z$2)</f>
        <v>91</v>
      </c>
      <c r="AA6" s="31">
        <f>_xll.RtGet($AD$3,$AD$4&amp;$Y6&amp;$AD$6,AA$2)</f>
        <v>91</v>
      </c>
      <c r="AC6" s="17" t="s">
        <v>10</v>
      </c>
      <c r="AD6" s="99" t="s">
        <v>64</v>
      </c>
      <c r="AG6" s="108" t="s">
        <v>179</v>
      </c>
      <c r="AH6" s="19" t="s">
        <v>181</v>
      </c>
      <c r="AI6" s="19" t="s">
        <v>188</v>
      </c>
      <c r="AL6" s="19" t="str">
        <f>_xll.qlEuribor($AG6,$AH6,$AI6,Permanent,ManualTrigger,ObjectOverwrite)</f>
        <v>Euribor1Y#0001</v>
      </c>
    </row>
    <row r="7" spans="1:38" x14ac:dyDescent="0.2">
      <c r="A7" s="11"/>
      <c r="B7" s="3" t="s">
        <v>75</v>
      </c>
      <c r="C7" s="2" t="s">
        <v>89</v>
      </c>
      <c r="E7" s="61" t="b">
        <v>1</v>
      </c>
      <c r="F7" s="48" t="str">
        <f t="shared" si="3"/>
        <v>4Y</v>
      </c>
      <c r="G7" s="146">
        <f t="shared" si="1"/>
        <v>104</v>
      </c>
      <c r="H7" s="147"/>
      <c r="I7" s="148"/>
      <c r="J7" s="149">
        <f t="shared" si="0"/>
        <v>104</v>
      </c>
      <c r="K7" s="38">
        <f>_xll.qlCalendarAdvance(Calendar,SettlementDate,F7,"Unadjusted",FALSE)</f>
        <v>44228</v>
      </c>
      <c r="L7" s="38" t="str">
        <f>_xll.qlSchedule(,SettlementDate,K7,_xll.qlInterestRateIndexTenor(IborIndex),_xll.qlIndexFixingCalendar(IborIndex),BizDayConv,"Unadjusted")</f>
        <v>obj_005b5#0011</v>
      </c>
      <c r="M7" s="38" t="str">
        <f>_xll.qlIborLeg(,,Notional,L7,,,_xll.qlInterestRateIndexDayCounter(IborIndex),,,IborIndex,J7/(10^4))</f>
        <v>obj_005d3#0012</v>
      </c>
      <c r="N7" s="140">
        <f>100-_xll.qlLegNPV(M7,qlDiscCurve,,SettlementDate,,RtTrigger)</f>
        <v>95.92772113679564</v>
      </c>
      <c r="O7" s="38">
        <f>_xll.qlCalendarAdvance(Calendar,K7,"0d",BizDayConv)</f>
        <v>44228</v>
      </c>
      <c r="P7" s="43" t="str">
        <f>_xll.pdgDefaultableLoan(,EvaluationDate,Currency,pdgDiscCurve,EntityName,O7,Notional,Notional*$C$14,,FloatingFlag)</f>
        <v>obj_005d1#0036</v>
      </c>
      <c r="Q7" s="41">
        <v>9.5511357754398101E-3</v>
      </c>
      <c r="R7" s="46">
        <f t="shared" si="2"/>
        <v>95.51</v>
      </c>
      <c r="S7" s="43" t="str">
        <f>IF(AND($R$1,$S$1),_xll.RtContribute($V$3,$V$4&amp;F7&amp;$V$6,CHOOSE({1,2},"BID","ASK"),CHOOSE({1,2},R7,R7),"SCOPE:SERVER FTC:ALL"),"--")</f>
        <v>--</v>
      </c>
      <c r="Y7" s="18">
        <v>4</v>
      </c>
      <c r="Z7" s="30">
        <f>_xll.RtGet($AD$3,$AD$4&amp;$Y7&amp;$AD$6,Z$2)</f>
        <v>104</v>
      </c>
      <c r="AA7" s="31">
        <f>_xll.RtGet($AD$3,$AD$4&amp;$Y7&amp;$AD$6,AA$2)</f>
        <v>104</v>
      </c>
    </row>
    <row r="8" spans="1:38" x14ac:dyDescent="0.2">
      <c r="A8" s="11"/>
      <c r="B8" s="37" t="s">
        <v>86</v>
      </c>
      <c r="C8" s="26" t="s">
        <v>78</v>
      </c>
      <c r="E8" s="61" t="b">
        <v>1</v>
      </c>
      <c r="F8" s="48" t="str">
        <f t="shared" si="3"/>
        <v>5Y</v>
      </c>
      <c r="G8" s="146">
        <f t="shared" si="1"/>
        <v>123</v>
      </c>
      <c r="H8" s="147"/>
      <c r="I8" s="148"/>
      <c r="J8" s="149">
        <f t="shared" si="0"/>
        <v>123</v>
      </c>
      <c r="K8" s="38">
        <f>_xll.qlCalendarAdvance(Calendar,SettlementDate,F8,"Unadjusted",FALSE)</f>
        <v>44593</v>
      </c>
      <c r="L8" s="38" t="str">
        <f>_xll.qlSchedule(,SettlementDate,K8,_xll.qlInterestRateIndexTenor(IborIndex),_xll.qlIndexFixingCalendar(IborIndex),BizDayConv,"Unadjusted")</f>
        <v>obj_005b6#0011</v>
      </c>
      <c r="M8" s="38" t="str">
        <f>_xll.qlIborLeg(,,Notional,L8,,,_xll.qlInterestRateIndexDayCounter(IborIndex),,,IborIndex,J8/(10^4))</f>
        <v>obj_005d4#0012</v>
      </c>
      <c r="N8" s="140">
        <f>100-_xll.qlLegNPV(M8,qlDiscCurve,,SettlementDate,,RtTrigger)</f>
        <v>93.353866200136096</v>
      </c>
      <c r="O8" s="38">
        <f>_xll.qlCalendarAdvance(Calendar,K8,"0d",BizDayConv)</f>
        <v>44593</v>
      </c>
      <c r="P8" s="43" t="str">
        <f>_xll.pdgDefaultableLoan(,EvaluationDate,Currency,pdgDiscCurve,EntityName,O8,Notional,Notional*$C$14,,FloatingFlag)</f>
        <v>obj_005cf#0036</v>
      </c>
      <c r="Q8" s="41">
        <v>1.1654280643653073E-2</v>
      </c>
      <c r="R8" s="46">
        <f t="shared" si="2"/>
        <v>116.54</v>
      </c>
      <c r="S8" s="43" t="str">
        <f>IF(AND($R$1,$S$1),_xll.RtContribute($V$3,$V$4&amp;F8&amp;$V$6,CHOOSE({1,2},"BID","ASK"),CHOOSE({1,2},R8,R8),"SCOPE:SERVER FTC:ALL"),"--")</f>
        <v>--</v>
      </c>
      <c r="Y8" s="18">
        <v>5</v>
      </c>
      <c r="Z8" s="30">
        <f>_xll.RtGet($AD$3,$AD$4&amp;$Y8&amp;$AD$6,Z$2)</f>
        <v>123</v>
      </c>
      <c r="AA8" s="31">
        <f>_xll.RtGet($AD$3,$AD$4&amp;$Y8&amp;$AD$6,AA$2)</f>
        <v>123</v>
      </c>
    </row>
    <row r="9" spans="1:38" x14ac:dyDescent="0.2">
      <c r="A9" s="11"/>
      <c r="B9" s="37" t="s">
        <v>79</v>
      </c>
      <c r="C9" s="26" t="s">
        <v>169</v>
      </c>
      <c r="E9" s="61" t="b">
        <v>1</v>
      </c>
      <c r="F9" s="48" t="str">
        <f t="shared" si="3"/>
        <v>6Y</v>
      </c>
      <c r="G9" s="146">
        <f t="shared" si="1"/>
        <v>126</v>
      </c>
      <c r="H9" s="147"/>
      <c r="I9" s="148"/>
      <c r="J9" s="149">
        <f t="shared" si="0"/>
        <v>126</v>
      </c>
      <c r="K9" s="38">
        <f>_xll.qlCalendarAdvance(Calendar,SettlementDate,F9,"Unadjusted",FALSE)</f>
        <v>44958</v>
      </c>
      <c r="L9" s="38" t="str">
        <f>_xll.qlSchedule(,SettlementDate,K9,_xll.qlInterestRateIndexTenor(IborIndex),_xll.qlIndexFixingCalendar(IborIndex),BizDayConv,"Unadjusted")</f>
        <v>obj_005bd#0011</v>
      </c>
      <c r="M9" s="38" t="str">
        <f>_xll.qlIborLeg(,,Notional,L9,,,_xll.qlInterestRateIndexDayCounter(IborIndex),,,IborIndex,J9/(10^4))</f>
        <v>obj_005d8#0012</v>
      </c>
      <c r="N9" s="140">
        <f>100-_xll.qlLegNPV(M9,qlDiscCurve,,SettlementDate,,RtTrigger)</f>
        <v>91.091658741305039</v>
      </c>
      <c r="O9" s="38">
        <f>_xll.qlCalendarAdvance(Calendar,K9,"0d",BizDayConv)</f>
        <v>44958</v>
      </c>
      <c r="P9" s="43" t="str">
        <f>_xll.pdgDefaultableLoan(,EvaluationDate,Currency,pdgDiscCurve,EntityName,O9,Notional,Notional*$C$14,,FloatingFlag)</f>
        <v>obj_005cb#0036</v>
      </c>
      <c r="Q9" s="41">
        <v>1.2240718361442152E-2</v>
      </c>
      <c r="R9" s="46">
        <f t="shared" si="2"/>
        <v>122.41</v>
      </c>
      <c r="S9" s="43" t="str">
        <f>IF(AND($R$1,$S$1),_xll.RtContribute($V$3,$V$4&amp;F9&amp;$V$6,CHOOSE({1,2},"BID","ASK"),CHOOSE({1,2},R9,R9),"SCOPE:SERVER FTC:ALL"),"--")</f>
        <v>--</v>
      </c>
      <c r="Y9" s="18">
        <v>6</v>
      </c>
      <c r="Z9" s="30">
        <f>_xll.RtGet($AD$3,$AD$4&amp;$Y9&amp;$AD$6,Z$2)</f>
        <v>126</v>
      </c>
      <c r="AA9" s="31">
        <f>_xll.RtGet($AD$3,$AD$4&amp;$Y9&amp;$AD$6,AA$2)</f>
        <v>126</v>
      </c>
    </row>
    <row r="10" spans="1:38" x14ac:dyDescent="0.2">
      <c r="A10" s="11"/>
      <c r="B10" s="1" t="s">
        <v>80</v>
      </c>
      <c r="C10" s="72" t="str">
        <f>C25&amp;T(C31)</f>
        <v>EURSTD_CERTUNICA</v>
      </c>
      <c r="E10" s="61" t="b">
        <v>1</v>
      </c>
      <c r="F10" s="48" t="str">
        <f t="shared" si="3"/>
        <v>7Y</v>
      </c>
      <c r="G10" s="146">
        <f t="shared" si="1"/>
        <v>134</v>
      </c>
      <c r="H10" s="147"/>
      <c r="I10" s="148"/>
      <c r="J10" s="149">
        <f t="shared" si="0"/>
        <v>134</v>
      </c>
      <c r="K10" s="38">
        <f>_xll.qlCalendarAdvance(Calendar,SettlementDate,F10,"Unadjusted",FALSE)</f>
        <v>45323</v>
      </c>
      <c r="L10" s="38" t="str">
        <f>_xll.qlSchedule(,SettlementDate,K10,_xll.qlInterestRateIndexTenor(IborIndex),_xll.qlIndexFixingCalendar(IborIndex),BizDayConv,"Unadjusted")</f>
        <v>obj_005c3#0011</v>
      </c>
      <c r="M10" s="38" t="str">
        <f>_xll.qlIborLeg(,,Notional,L10,,,_xll.qlInterestRateIndexDayCounter(IborIndex),,,IborIndex,J10/(10^4))</f>
        <v>obj_005db#0012</v>
      </c>
      <c r="N10" s="140">
        <f>100-_xll.qlLegNPV(M10,qlDiscCurve,,SettlementDate,,RtTrigger)</f>
        <v>88.169188566769989</v>
      </c>
      <c r="O10" s="38">
        <f>_xll.qlCalendarAdvance(Calendar,K10,"0d",BizDayConv)</f>
        <v>45323</v>
      </c>
      <c r="P10" s="43" t="str">
        <f>_xll.pdgDefaultableLoan(,EvaluationDate,Currency,pdgDiscCurve,EntityName,O10,Notional,Notional*$C$14,,FloatingFlag)</f>
        <v>obj_005ce#0036</v>
      </c>
      <c r="Q10" s="41">
        <v>1.3457823690565673E-2</v>
      </c>
      <c r="R10" s="46">
        <f t="shared" si="2"/>
        <v>134.58000000000001</v>
      </c>
      <c r="S10" s="43" t="str">
        <f>IF(AND($R$1,$S$1),_xll.RtContribute($V$3,$V$4&amp;F10&amp;$V$6,CHOOSE({1,2},"BID","ASK"),CHOOSE({1,2},R10,R10),"SCOPE:SERVER FTC:ALL"),"--")</f>
        <v>--</v>
      </c>
      <c r="Y10" s="18">
        <v>7</v>
      </c>
      <c r="Z10" s="30">
        <f>_xll.RtGet($AD$3,$AD$4&amp;$Y10&amp;$AD$6,Z$2)</f>
        <v>134</v>
      </c>
      <c r="AA10" s="31">
        <f>_xll.RtGet($AD$3,$AD$4&amp;$Y10&amp;$AD$6,AA$2)</f>
        <v>134</v>
      </c>
    </row>
    <row r="11" spans="1:38" x14ac:dyDescent="0.2">
      <c r="A11" s="11"/>
      <c r="B11" s="73" t="s">
        <v>21</v>
      </c>
      <c r="C11" s="58" t="s">
        <v>90</v>
      </c>
      <c r="E11" s="61" t="b">
        <v>1</v>
      </c>
      <c r="F11" s="48" t="str">
        <f t="shared" si="3"/>
        <v>8Y</v>
      </c>
      <c r="G11" s="146">
        <f t="shared" si="1"/>
        <v>138</v>
      </c>
      <c r="H11" s="147"/>
      <c r="I11" s="148"/>
      <c r="J11" s="149">
        <f t="shared" si="0"/>
        <v>138</v>
      </c>
      <c r="K11" s="38">
        <f>_xll.qlCalendarAdvance(Calendar,SettlementDate,F11,"Unadjusted",FALSE)</f>
        <v>45689</v>
      </c>
      <c r="L11" s="38" t="str">
        <f>_xll.qlSchedule(,SettlementDate,K11,_xll.qlInterestRateIndexTenor(IborIndex),_xll.qlIndexFixingCalendar(IborIndex),BizDayConv,"Unadjusted")</f>
        <v>obj_005bc#0011</v>
      </c>
      <c r="M11" s="38" t="str">
        <f>_xll.qlIborLeg(,,Notional,L11,,,_xll.qlInterestRateIndexDayCounter(IborIndex),,,IborIndex,J11/(10^4))</f>
        <v>obj_005dc#0012</v>
      </c>
      <c r="N11" s="140">
        <f>100-_xll.qlLegNPV(M11,qlDiscCurve,,SettlementDate,,RtTrigger)</f>
        <v>85.161659273074349</v>
      </c>
      <c r="O11" s="38">
        <f>_xll.qlCalendarAdvance(Calendar,K11,"0d",BizDayConv)</f>
        <v>45691</v>
      </c>
      <c r="P11" s="43" t="str">
        <f>_xll.pdgDefaultableLoan(,EvaluationDate,Currency,pdgDiscCurve,EntityName,O11,Notional,Notional*$C$14,,FloatingFlag)</f>
        <v>obj_005d0#0036</v>
      </c>
      <c r="Q11" s="41">
        <v>1.4355399717854435E-2</v>
      </c>
      <c r="R11" s="46">
        <f t="shared" si="2"/>
        <v>143.55000000000001</v>
      </c>
      <c r="S11" s="43" t="str">
        <f>IF(AND($R$1,$S$1),_xll.RtContribute($V$3,$V$4&amp;F11&amp;$V$6,CHOOSE({1,2},"BID","ASK"),CHOOSE({1,2},R11,R11),"SCOPE:SERVER FTC:ALL"),"--")</f>
        <v>--</v>
      </c>
      <c r="Y11" s="18">
        <v>8</v>
      </c>
      <c r="Z11" s="30">
        <f>_xll.RtGet($AD$3,$AD$4&amp;$Y11&amp;$AD$6,Z$2)</f>
        <v>138</v>
      </c>
      <c r="AA11" s="31">
        <f>_xll.RtGet($AD$3,$AD$4&amp;$Y11&amp;$AD$6,AA$2)</f>
        <v>138</v>
      </c>
    </row>
    <row r="12" spans="1:38" x14ac:dyDescent="0.2">
      <c r="A12" s="11"/>
      <c r="B12" s="74" t="s">
        <v>85</v>
      </c>
      <c r="C12" s="72" t="str">
        <f>UPPER("UNICA_"&amp;Currency)</f>
        <v>UNICA_EUR</v>
      </c>
      <c r="E12" s="61" t="b">
        <v>1</v>
      </c>
      <c r="F12" s="48" t="str">
        <f t="shared" si="3"/>
        <v>9Y</v>
      </c>
      <c r="G12" s="146">
        <f t="shared" si="1"/>
        <v>142</v>
      </c>
      <c r="H12" s="147"/>
      <c r="I12" s="148"/>
      <c r="J12" s="149">
        <f t="shared" si="0"/>
        <v>142</v>
      </c>
      <c r="K12" s="38">
        <f>_xll.qlCalendarAdvance(Calendar,SettlementDate,F12,"Unadjusted",FALSE)</f>
        <v>46054</v>
      </c>
      <c r="L12" s="38" t="str">
        <f>_xll.qlSchedule(,SettlementDate,K12,_xll.qlInterestRateIndexTenor(IborIndex),_xll.qlIndexFixingCalendar(IborIndex),BizDayConv,"Unadjusted")</f>
        <v>obj_005c1#0011</v>
      </c>
      <c r="M12" s="38" t="str">
        <f>_xll.qlIborLeg(,,Notional,L12,,,_xll.qlInterestRateIndexDayCounter(IborIndex),,,IborIndex,J12/(10^4))</f>
        <v>obj_005da#0012</v>
      </c>
      <c r="N12" s="140">
        <f>100-_xll.qlLegNPV(M12,qlDiscCurve,,SettlementDate,,RtTrigger)</f>
        <v>81.901902910581043</v>
      </c>
      <c r="O12" s="38">
        <f>_xll.qlCalendarAdvance(Calendar,K12,"0d",BizDayConv)</f>
        <v>46055</v>
      </c>
      <c r="P12" s="43" t="str">
        <f>_xll.pdgDefaultableLoan(,EvaluationDate,Currency,pdgDiscCurve,EntityName,O12,Notional,Notional*$C$14,,FloatingFlag)</f>
        <v>obj_005cd#0036</v>
      </c>
      <c r="Q12" s="41">
        <v>1.5371629203988239E-2</v>
      </c>
      <c r="R12" s="46">
        <f t="shared" si="2"/>
        <v>153.72</v>
      </c>
      <c r="S12" s="43" t="str">
        <f>IF(AND($R$1,$S$1),_xll.RtContribute($V$3,$V$4&amp;F12&amp;$V$6,CHOOSE({1,2},"BID","ASK"),CHOOSE({1,2},R12,R12),"SCOPE:SERVER FTC:ALL"),"--")</f>
        <v>--</v>
      </c>
      <c r="Y12" s="18">
        <v>9</v>
      </c>
      <c r="Z12" s="30">
        <f>_xll.RtGet($AD$3,$AD$4&amp;$Y12&amp;$AD$6,Z$2)</f>
        <v>142</v>
      </c>
      <c r="AA12" s="31">
        <f>_xll.RtGet($AD$3,$AD$4&amp;$Y12&amp;$AD$6,AA$2)</f>
        <v>142</v>
      </c>
    </row>
    <row r="13" spans="1:38" x14ac:dyDescent="0.2">
      <c r="B13" s="74" t="s">
        <v>69</v>
      </c>
      <c r="C13" s="57">
        <v>100</v>
      </c>
      <c r="E13" s="61" t="b">
        <v>1</v>
      </c>
      <c r="F13" s="48" t="str">
        <f t="shared" si="3"/>
        <v>10Y</v>
      </c>
      <c r="G13" s="146">
        <f t="shared" si="1"/>
        <v>146</v>
      </c>
      <c r="H13" s="147"/>
      <c r="I13" s="148"/>
      <c r="J13" s="149">
        <f t="shared" si="0"/>
        <v>146</v>
      </c>
      <c r="K13" s="38">
        <f>_xll.qlCalendarAdvance(Calendar,SettlementDate,F13,"Unadjusted",FALSE)</f>
        <v>46419</v>
      </c>
      <c r="L13" s="38" t="str">
        <f>_xll.qlSchedule(,SettlementDate,K13,_xll.qlInterestRateIndexTenor(IborIndex),_xll.qlIndexFixingCalendar(IborIndex),BizDayConv,"Unadjusted")</f>
        <v>obj_005be#0011</v>
      </c>
      <c r="M13" s="38" t="str">
        <f>_xll.qlIborLeg(,,Notional,L13,,,_xll.qlInterestRateIndexDayCounter(IborIndex),,,IborIndex,J13/(10^4))</f>
        <v>obj_005d9#0012</v>
      </c>
      <c r="N13" s="140">
        <f>100-_xll.qlLegNPV(M13,qlDiscCurve,,SettlementDate,,RtTrigger)</f>
        <v>78.460834057765936</v>
      </c>
      <c r="O13" s="38">
        <f>_xll.qlCalendarAdvance(Calendar,K13,"0d",BizDayConv)</f>
        <v>46419</v>
      </c>
      <c r="P13" s="43" t="str">
        <f>_xll.pdgDefaultableLoan(,EvaluationDate,Currency,pdgDiscCurve,EntityName,O13,Notional,Notional*$C$14,,FloatingFlag)</f>
        <v>obj_005c5#0036</v>
      </c>
      <c r="Q13" s="41">
        <v>1.6476834875159135E-2</v>
      </c>
      <c r="R13" s="46">
        <f t="shared" si="2"/>
        <v>164.77</v>
      </c>
      <c r="S13" s="43" t="str">
        <f>IF(AND($R$1,$S$1),_xll.RtContribute($V$3,$V$4&amp;F13&amp;$V$6,CHOOSE({1,2},"BID","ASK"),CHOOSE({1,2},R13,R13),"SCOPE:SERVER FTC:ALL"),"--")</f>
        <v>--</v>
      </c>
      <c r="Y13" s="18">
        <v>10</v>
      </c>
      <c r="Z13" s="30">
        <f>_xll.RtGet($AD$3,$AD$4&amp;$Y13&amp;$AD$6,Z$2)</f>
        <v>146</v>
      </c>
      <c r="AA13" s="31">
        <f>_xll.RtGet($AD$3,$AD$4&amp;$Y13&amp;$AD$6,AA$2)</f>
        <v>146</v>
      </c>
    </row>
    <row r="14" spans="1:38" x14ac:dyDescent="0.2">
      <c r="B14" s="74" t="s">
        <v>72</v>
      </c>
      <c r="C14" s="59">
        <v>0.4</v>
      </c>
      <c r="E14" s="61" t="b">
        <v>1</v>
      </c>
      <c r="F14" s="48" t="str">
        <f t="shared" si="3"/>
        <v>15Y</v>
      </c>
      <c r="G14" s="146">
        <f t="shared" si="1"/>
        <v>166</v>
      </c>
      <c r="H14" s="147"/>
      <c r="I14" s="148"/>
      <c r="J14" s="149">
        <f t="shared" si="0"/>
        <v>166</v>
      </c>
      <c r="K14" s="38">
        <f>_xll.qlCalendarAdvance(Calendar,SettlementDate,F14,"Unadjusted",FALSE)</f>
        <v>48245</v>
      </c>
      <c r="L14" s="38" t="str">
        <f>_xll.qlSchedule(,SettlementDate,K14,_xll.qlInterestRateIndexTenor(IborIndex),_xll.qlIndexFixingCalendar(IborIndex),BizDayConv,"Unadjusted")</f>
        <v>obj_005b9#0011</v>
      </c>
      <c r="M14" s="38" t="str">
        <f>_xll.qlIborLeg(,,Notional,L14,,,_xll.qlInterestRateIndexDayCounter(IborIndex),,,IborIndex,J14/(10^4))</f>
        <v>obj_005e0#0012</v>
      </c>
      <c r="N14" s="140">
        <f>100-_xll.qlLegNPV(M14,qlDiscCurve,,SettlementDate,,RtTrigger)</f>
        <v>60.296565117853568</v>
      </c>
      <c r="O14" s="38">
        <f>_xll.qlCalendarAdvance(Calendar,K14,"0d",BizDayConv)</f>
        <v>48246</v>
      </c>
      <c r="P14" s="43" t="str">
        <f>_xll.pdgDefaultableLoan(,EvaluationDate,Currency,pdgDiscCurve,EntityName,O14,Notional,Notional*$C$14,,FloatingFlag)</f>
        <v>obj_005c7#0036</v>
      </c>
      <c r="Q14" s="41">
        <v>2.3223564192609066E-2</v>
      </c>
      <c r="R14" s="46">
        <f t="shared" si="2"/>
        <v>232.24</v>
      </c>
      <c r="S14" s="43" t="str">
        <f>IF(AND($R$1,$S$1),_xll.RtContribute($V$3,$V$4&amp;F14&amp;$V$6,CHOOSE({1,2},"BID","ASK"),CHOOSE({1,2},R14,R14),"SCOPE:SERVER FTC:ALL"),"--")</f>
        <v>--</v>
      </c>
      <c r="Y14" s="18">
        <v>15</v>
      </c>
      <c r="Z14" s="30">
        <f>_xll.RtGet($AD$3,$AD$4&amp;$Y14&amp;$AD$6,Z$2)</f>
        <v>166</v>
      </c>
      <c r="AA14" s="31">
        <f>_xll.RtGet($AD$3,$AD$4&amp;$Y14&amp;$AD$6,AA$2)</f>
        <v>166</v>
      </c>
    </row>
    <row r="15" spans="1:38" x14ac:dyDescent="0.2">
      <c r="B15" s="75" t="s">
        <v>84</v>
      </c>
      <c r="C15" s="59" t="s">
        <v>82</v>
      </c>
      <c r="E15" s="61" t="b">
        <v>0</v>
      </c>
      <c r="F15" s="48" t="str">
        <f t="shared" si="3"/>
        <v>20Y</v>
      </c>
      <c r="G15" s="146">
        <f t="shared" si="1"/>
        <v>185</v>
      </c>
      <c r="H15" s="147"/>
      <c r="I15" s="148"/>
      <c r="J15" s="149">
        <f t="shared" si="0"/>
        <v>185</v>
      </c>
      <c r="K15" s="38">
        <f>_xll.qlCalendarAdvance(Calendar,SettlementDate,F15,"Unadjusted",FALSE)</f>
        <v>50072</v>
      </c>
      <c r="L15" s="38" t="str">
        <f>_xll.qlSchedule(,SettlementDate,K15,_xll.qlInterestRateIndexTenor(IborIndex),_xll.qlIndexFixingCalendar(IborIndex),BizDayConv,"Unadjusted")</f>
        <v>obj_005c2#0011</v>
      </c>
      <c r="M15" s="38" t="str">
        <f>_xll.qlIborLeg(,,Notional,L15,,,_xll.qlInterestRateIndexDayCounter(IborIndex),,,IborIndex,J15/(10^4))</f>
        <v>obj_005dd#0012</v>
      </c>
      <c r="N15" s="140">
        <f>100-_xll.qlLegNPV(M15,qlDiscCurve,,SettlementDate,,RtTrigger)</f>
        <v>42.541162294423657</v>
      </c>
      <c r="O15" s="38">
        <f>_xll.qlCalendarAdvance(Calendar,K15,"0d",BizDayConv)</f>
        <v>50073</v>
      </c>
      <c r="P15" s="43" t="str">
        <f>_xll.pdgDefaultableLoan(,EvaluationDate,Currency,pdgDiscCurve,EntityName,O15,Notional,Notional*$C$14,,FloatingFlag)</f>
        <v>obj_005ca#0036</v>
      </c>
      <c r="Q15" s="41">
        <v>0</v>
      </c>
      <c r="R15" s="46">
        <f t="shared" si="2"/>
        <v>232.24</v>
      </c>
      <c r="S15" s="43" t="str">
        <f>IF(AND($R$1,$S$1),_xll.RtContribute($V$3,$V$4&amp;F15&amp;$V$6,CHOOSE({1,2},"BID","ASK"),CHOOSE({1,2},R15,R15),"SCOPE:SERVER FTC:ALL"),"--")</f>
        <v>--</v>
      </c>
      <c r="Y15" s="18">
        <v>20</v>
      </c>
      <c r="Z15" s="30">
        <f>_xll.RtGet($AD$3,$AD$4&amp;$Y15&amp;$AD$6,Z$2)</f>
        <v>185</v>
      </c>
      <c r="AA15" s="31">
        <f>_xll.RtGet($AD$3,$AD$4&amp;$Y15&amp;$AD$6,AA$2)</f>
        <v>185</v>
      </c>
    </row>
    <row r="16" spans="1:38" x14ac:dyDescent="0.2">
      <c r="B16" s="64" t="s">
        <v>87</v>
      </c>
      <c r="C16" s="63">
        <v>20</v>
      </c>
      <c r="E16" s="61" t="b">
        <v>0</v>
      </c>
      <c r="F16" s="48" t="str">
        <f t="shared" si="3"/>
        <v>25Y</v>
      </c>
      <c r="G16" s="146">
        <f t="shared" si="1"/>
        <v>202</v>
      </c>
      <c r="H16" s="147"/>
      <c r="I16" s="148"/>
      <c r="J16" s="149">
        <f t="shared" si="0"/>
        <v>202</v>
      </c>
      <c r="K16" s="38">
        <f>_xll.qlCalendarAdvance(Calendar,SettlementDate,F16,"Unadjusted",FALSE)</f>
        <v>51898</v>
      </c>
      <c r="L16" s="38" t="str">
        <f>_xll.qlSchedule(,SettlementDate,K16,_xll.qlInterestRateIndexTenor(IborIndex),_xll.qlIndexFixingCalendar(IborIndex),BizDayConv,"Unadjusted")</f>
        <v>obj_005b7#0011</v>
      </c>
      <c r="M16" s="38" t="str">
        <f>_xll.qlIborLeg(,,Notional,L16,,,_xll.qlInterestRateIndexDayCounter(IborIndex),,,IborIndex,J16/(10^4))</f>
        <v>obj_005d5#0012</v>
      </c>
      <c r="N16" s="140">
        <f>100-_xll.qlLegNPV(M16,qlDiscCurve,,SettlementDate,,RtTrigger)</f>
        <v>25.894632745431792</v>
      </c>
      <c r="O16" s="38">
        <f>_xll.qlCalendarAdvance(Calendar,K16,"0d",BizDayConv)</f>
        <v>51900</v>
      </c>
      <c r="P16" s="43" t="str">
        <f>_xll.pdgDefaultableLoan(,EvaluationDate,Currency,pdgDiscCurve,EntityName,O16,Notional,Notional*$C$14,,FloatingFlag)</f>
        <v>obj_005c6#0036</v>
      </c>
      <c r="Q16" s="41">
        <v>0</v>
      </c>
      <c r="R16" s="46">
        <f t="shared" si="2"/>
        <v>232.24</v>
      </c>
      <c r="S16" s="43" t="str">
        <f>IF(AND($R$1,$S$1),_xll.RtContribute($V$3,$V$4&amp;F16&amp;$V$6,CHOOSE({1,2},"BID","ASK"),CHOOSE({1,2},R16,R16),"SCOPE:SERVER FTC:ALL"),"--")</f>
        <v>--</v>
      </c>
      <c r="Y16" s="18">
        <v>25</v>
      </c>
      <c r="Z16" s="30">
        <f>_xll.RtGet($AD$3,$AD$4&amp;$Y16&amp;$AD$6,Z$2)</f>
        <v>202</v>
      </c>
      <c r="AA16" s="31">
        <f>_xll.RtGet($AD$3,$AD$4&amp;$Y16&amp;$AD$6,AA$2)</f>
        <v>202</v>
      </c>
    </row>
    <row r="17" spans="1:27" x14ac:dyDescent="0.2">
      <c r="B17" s="36" t="s">
        <v>83</v>
      </c>
      <c r="C17" s="76">
        <f>_xll.RtNow("FRQ:"&amp;C16&amp;"S")</f>
        <v>0.44797453703358769</v>
      </c>
      <c r="E17" s="62" t="b">
        <v>0</v>
      </c>
      <c r="F17" s="49" t="str">
        <f t="shared" si="3"/>
        <v>30Y</v>
      </c>
      <c r="G17" s="150">
        <f t="shared" si="1"/>
        <v>216</v>
      </c>
      <c r="H17" s="151"/>
      <c r="I17" s="152"/>
      <c r="J17" s="153">
        <f>IF(ISNUMBER(H17),H17,G17)+I17</f>
        <v>216</v>
      </c>
      <c r="K17" s="39">
        <f>_xll.qlCalendarAdvance(Calendar,SettlementDate,F17,"Unadjusted",FALSE)</f>
        <v>53724</v>
      </c>
      <c r="L17" s="39" t="str">
        <f>_xll.qlSchedule(,SettlementDate,K17,_xll.qlInterestRateIndexTenor(IborIndex),_xll.qlIndexFixingCalendar(IborIndex),BizDayConv,"Unadjusted")</f>
        <v>obj_005bb#0011</v>
      </c>
      <c r="M17" s="39" t="str">
        <f>_xll.qlIborLeg(,,Notional,L17,,,_xll.qlInterestRateIndexDayCounter(IborIndex),,,IborIndex,J17/(10^4))</f>
        <v>obj_005d7#0012</v>
      </c>
      <c r="N17" s="141">
        <f>100-_xll.qlLegNPV(M17,qlDiscCurve,,SettlementDate,,RtTrigger)</f>
        <v>10.250451901336419</v>
      </c>
      <c r="O17" s="39">
        <f>_xll.qlCalendarAdvance(Calendar,K17,"0d",BizDayConv)</f>
        <v>53724</v>
      </c>
      <c r="P17" s="44" t="str">
        <f>_xll.pdgDefaultableLoan(,EvaluationDate,Currency,pdgDiscCurve,EntityName,O17,Notional,Notional*$C$14,,FloatingFlag)</f>
        <v>obj_005c8#0036</v>
      </c>
      <c r="Q17" s="42">
        <v>0</v>
      </c>
      <c r="R17" s="47">
        <f t="shared" si="2"/>
        <v>232.24</v>
      </c>
      <c r="S17" s="44" t="str">
        <f>IF(AND($R$1,$S$1),_xll.RtContribute($V$3,$V$4&amp;F17&amp;$V$6,CHOOSE({1,2},"BID","ASK"),CHOOSE({1,2},R17,R17),"SCOPE:SERVER FTC:ALL"),"--")</f>
        <v>--</v>
      </c>
      <c r="Y17" s="19">
        <v>30</v>
      </c>
      <c r="Z17" s="32">
        <f>_xll.RtGet($AD$3,$AD$4&amp;$Y17&amp;$AD$6,Z$2)</f>
        <v>216</v>
      </c>
      <c r="AA17" s="33">
        <f>_xll.RtGet($AD$3,$AD$4&amp;$Y17&amp;$AD$6,AA$2)</f>
        <v>216</v>
      </c>
    </row>
    <row r="18" spans="1:27" x14ac:dyDescent="0.2">
      <c r="B18" s="40" t="s">
        <v>81</v>
      </c>
      <c r="C18" s="77">
        <f>_xll.ohTrigger(EvaluationDate,TYPE(ManualTrigger))</f>
        <v>1</v>
      </c>
      <c r="J18"/>
      <c r="K18"/>
      <c r="L18"/>
      <c r="M18"/>
      <c r="N18"/>
      <c r="O18"/>
      <c r="P18"/>
      <c r="Q18"/>
      <c r="R18"/>
      <c r="S18"/>
    </row>
    <row r="19" spans="1:27" x14ac:dyDescent="0.2">
      <c r="J19"/>
      <c r="K19"/>
      <c r="L19"/>
      <c r="M19"/>
      <c r="N19"/>
      <c r="O19"/>
      <c r="P19"/>
      <c r="Q19"/>
      <c r="R19"/>
      <c r="S19"/>
      <c r="T19"/>
      <c r="U19"/>
    </row>
    <row r="20" spans="1:27" x14ac:dyDescent="0.2">
      <c r="E20"/>
      <c r="J20"/>
      <c r="K20"/>
      <c r="L20"/>
      <c r="M20"/>
      <c r="N20"/>
      <c r="O20"/>
      <c r="P20"/>
      <c r="Q20"/>
      <c r="R20"/>
      <c r="S20"/>
      <c r="T20"/>
      <c r="U20"/>
    </row>
    <row r="21" spans="1:27" x14ac:dyDescent="0.2">
      <c r="A21"/>
      <c r="B21"/>
      <c r="C21"/>
      <c r="D21"/>
      <c r="E21" s="114" t="s">
        <v>167</v>
      </c>
      <c r="F21" s="114" t="s">
        <v>22</v>
      </c>
      <c r="J21"/>
      <c r="K21"/>
      <c r="L21"/>
      <c r="M21"/>
      <c r="N21"/>
      <c r="O21"/>
      <c r="P21"/>
      <c r="Q21"/>
      <c r="R21"/>
      <c r="S21"/>
      <c r="T21"/>
      <c r="U21"/>
    </row>
    <row r="22" spans="1:27" x14ac:dyDescent="0.2">
      <c r="B22" s="111" t="s">
        <v>166</v>
      </c>
      <c r="C22" s="115" t="str">
        <f>_xll.qlHandleCurrentLink(C9,ObjectsTrigger)</f>
        <v>_EURSTD</v>
      </c>
      <c r="E22" s="113">
        <f t="array" ref="E22:E111">CHOOSE(C24,_xll.qlPiecewiseYieldCurveDates(C22),_xll.qlInterpolatedYieldCurveDates(C22))</f>
        <v>42765</v>
      </c>
      <c r="F22" s="112">
        <f>_xll.qlYieldTSDiscount(C$9,E22,,RtTrigger)</f>
        <v>1</v>
      </c>
      <c r="J22"/>
      <c r="K22"/>
      <c r="L22"/>
      <c r="M22"/>
      <c r="N22"/>
      <c r="O22"/>
      <c r="P22"/>
      <c r="Q22"/>
      <c r="R22"/>
      <c r="S22"/>
    </row>
    <row r="23" spans="1:27" x14ac:dyDescent="0.2">
      <c r="B23" s="110" t="s">
        <v>165</v>
      </c>
      <c r="C23" s="8" t="str">
        <f>_xll.ohObjectClassName(C22)</f>
        <v>qlPiecewiseYieldCurve</v>
      </c>
      <c r="E23" s="106">
        <v>42766</v>
      </c>
      <c r="F23" s="105">
        <f>_xll.qlYieldTSDiscount(C$9,E23,,RtTrigger)</f>
        <v>1.0000102778806337</v>
      </c>
      <c r="I23" s="78" t="str">
        <f>F6</f>
        <v>3Y</v>
      </c>
      <c r="J23" s="79">
        <f>J6/100</f>
        <v>0.91</v>
      </c>
      <c r="K23" s="80"/>
      <c r="L23" s="81">
        <f>(100-N6)*(10^6)</f>
        <v>2345130.4391760034</v>
      </c>
      <c r="M23" s="82">
        <v>4083489.68178818</v>
      </c>
      <c r="N23" s="83">
        <f>O23/L31*(10^4)</f>
        <v>-173.83592426121777</v>
      </c>
      <c r="O23" s="81">
        <f>L23-M23</f>
        <v>-1738359.2426121766</v>
      </c>
      <c r="P23" s="80"/>
      <c r="Q23" s="80"/>
      <c r="R23" s="66">
        <f t="shared" ref="R23:R37" si="4">R3/100</f>
        <v>0.1201</v>
      </c>
    </row>
    <row r="24" spans="1:27" x14ac:dyDescent="0.2">
      <c r="B24" s="108" t="s">
        <v>164</v>
      </c>
      <c r="C24" s="9">
        <f>MATCH(C23,{"qlPiecewiseYieldCurve","qlInterpolatedYieldCurve"},0)</f>
        <v>1</v>
      </c>
      <c r="E24" s="106">
        <v>42767</v>
      </c>
      <c r="F24" s="105">
        <f>_xll.qlYieldTSDiscount(C$9,E24,,RtTrigger)</f>
        <v>1.0000205558696802</v>
      </c>
      <c r="I24" s="84" t="str">
        <f>F8</f>
        <v>5Y</v>
      </c>
      <c r="J24" s="85">
        <f>J8/100</f>
        <v>1.23</v>
      </c>
      <c r="K24" s="11"/>
      <c r="L24" s="86">
        <f>(100-N8)*(10^6)</f>
        <v>6646133.7998639038</v>
      </c>
      <c r="M24" s="87">
        <v>9201792.8677081205</v>
      </c>
      <c r="N24" s="88">
        <f>O24/L32*(10^4)</f>
        <v>-255.56590678442203</v>
      </c>
      <c r="O24" s="86">
        <f>L24-M24</f>
        <v>-2555659.0678442167</v>
      </c>
      <c r="P24" s="11"/>
      <c r="Q24" s="11"/>
      <c r="R24" s="67">
        <f t="shared" si="4"/>
        <v>0.29920000000000002</v>
      </c>
    </row>
    <row r="25" spans="1:27" x14ac:dyDescent="0.2">
      <c r="B25" s="110" t="s">
        <v>163</v>
      </c>
      <c r="C25" s="116" t="str">
        <f>UPPER(qlDiscCurve&amp;"_CertUnica")</f>
        <v>EURSTD_CERTUNICA</v>
      </c>
      <c r="E25" s="106">
        <v>42768</v>
      </c>
      <c r="F25" s="105">
        <f>_xll.qlYieldTSDiscount(C$9,E25,,RtTrigger)</f>
        <v>1.0000294450203027</v>
      </c>
      <c r="I25" s="89" t="str">
        <f>F13</f>
        <v>10Y</v>
      </c>
      <c r="J25" s="90">
        <f>J13/100</f>
        <v>1.46</v>
      </c>
      <c r="K25" s="11"/>
      <c r="L25" s="86">
        <f>(100-N13)*(10^6)</f>
        <v>21539165.942234065</v>
      </c>
      <c r="M25" s="87">
        <v>27311020.762214702</v>
      </c>
      <c r="N25" s="88">
        <f>O25/L33*(10^4)</f>
        <v>-577.18548199806446</v>
      </c>
      <c r="O25" s="86">
        <f>L25-M25</f>
        <v>-5771854.8199806362</v>
      </c>
      <c r="P25" s="11"/>
      <c r="Q25" s="11"/>
      <c r="R25" s="67">
        <f t="shared" si="4"/>
        <v>0.70400000000000007</v>
      </c>
    </row>
    <row r="26" spans="1:27" x14ac:dyDescent="0.2">
      <c r="B26" s="110" t="s">
        <v>162</v>
      </c>
      <c r="C26" s="117" t="s">
        <v>16</v>
      </c>
      <c r="E26" s="106">
        <v>42774</v>
      </c>
      <c r="F26" s="105">
        <f>_xll.qlYieldTSDiscount(C$9,E26,,RtTrigger)</f>
        <v>1.0000925069694873</v>
      </c>
      <c r="I26" s="16"/>
      <c r="J26" s="11"/>
      <c r="K26" s="11"/>
      <c r="L26" s="11"/>
      <c r="M26" s="11"/>
      <c r="N26" s="11"/>
      <c r="O26" s="11"/>
      <c r="P26" s="11"/>
      <c r="Q26" s="11"/>
      <c r="R26" s="67">
        <f t="shared" si="4"/>
        <v>0.81769999999999998</v>
      </c>
    </row>
    <row r="27" spans="1:27" x14ac:dyDescent="0.2">
      <c r="B27" s="110" t="s">
        <v>161</v>
      </c>
      <c r="C27" s="117" t="s">
        <v>17</v>
      </c>
      <c r="E27" s="106">
        <v>42781</v>
      </c>
      <c r="F27" s="105">
        <f>_xll.qlYieldTSDiscount(C$9,E27,,RtTrigger)</f>
        <v>1.0001644684237478</v>
      </c>
      <c r="I27" s="16"/>
      <c r="J27" s="15"/>
      <c r="K27" s="91">
        <f>L27/(10^6)-N6</f>
        <v>0</v>
      </c>
      <c r="L27" s="86">
        <f>_xll.pdgDefaultableLoanPrice(P6,$J$28)*(10^6)</f>
        <v>97654869.560823932</v>
      </c>
      <c r="M27" s="87">
        <v>95908693.701822907</v>
      </c>
      <c r="N27" s="88">
        <f>O27/L31*(10^4)</f>
        <v>174.61758590010268</v>
      </c>
      <c r="O27" s="86">
        <f>L27-M27</f>
        <v>1746175.8590010256</v>
      </c>
      <c r="P27" s="11"/>
      <c r="Q27" s="11"/>
      <c r="R27" s="67">
        <f t="shared" si="4"/>
        <v>0.95510000000000006</v>
      </c>
    </row>
    <row r="28" spans="1:27" x14ac:dyDescent="0.2">
      <c r="B28" s="110" t="s">
        <v>160</v>
      </c>
      <c r="C28" s="117" t="s">
        <v>13</v>
      </c>
      <c r="E28" s="106">
        <v>42788</v>
      </c>
      <c r="F28" s="105">
        <f>_xll.qlYieldTSDiscount(C$9,E28,,RtTrigger)</f>
        <v>1.0002364402346975</v>
      </c>
      <c r="I28" s="16"/>
      <c r="J28" s="16" t="str">
        <f t="array" ref="J28">_xll.pdgCdsDefaultCurve(,EntityName,Currency,pdgDiscCurve,EvaluationDate,O3:O17,Q3:Q17*100,Recovery)</f>
        <v>obj_005e2#0037</v>
      </c>
      <c r="K28" s="92">
        <f>L28/(10^6)-N8</f>
        <v>-1.2789769243681803E-13</v>
      </c>
      <c r="L28" s="86">
        <f>_xll.pdgDefaultableLoanPrice(P8,$J$28)*(10^6)</f>
        <v>93353866.200135961</v>
      </c>
      <c r="M28" s="87">
        <v>90788861.972808003</v>
      </c>
      <c r="N28" s="88">
        <f>O28/L32*(10^4)</f>
        <v>256.5004227327961</v>
      </c>
      <c r="O28" s="86">
        <f>L28-M28</f>
        <v>2565004.2273279577</v>
      </c>
      <c r="P28" s="11"/>
      <c r="Q28" s="11"/>
      <c r="R28" s="67">
        <f t="shared" si="4"/>
        <v>1.1654</v>
      </c>
    </row>
    <row r="29" spans="1:27" x14ac:dyDescent="0.2">
      <c r="B29" s="108" t="s">
        <v>159</v>
      </c>
      <c r="C29" s="118">
        <v>5</v>
      </c>
      <c r="E29" s="106">
        <v>42795</v>
      </c>
      <c r="F29" s="105">
        <f>_xll.qlYieldTSDiscount(C$9,E29,,RtTrigger)</f>
        <v>1.0003084224045722</v>
      </c>
      <c r="I29" s="16"/>
      <c r="J29" s="17"/>
      <c r="K29" s="93">
        <f>L29/(10^6)-N13</f>
        <v>-1.5631940186722204E-13</v>
      </c>
      <c r="L29" s="86">
        <f>_xll.pdgDefaultableLoanPrice(P13,$J$28)*(10^6)</f>
        <v>78460834.057765782</v>
      </c>
      <c r="M29" s="87">
        <v>72665746.189158604</v>
      </c>
      <c r="N29" s="88">
        <f>O29/L33*(10^4)</f>
        <v>579.50878686071871</v>
      </c>
      <c r="O29" s="86">
        <f>L29-M29</f>
        <v>5795087.8686071783</v>
      </c>
      <c r="P29" s="11"/>
      <c r="Q29" s="11"/>
      <c r="R29" s="67">
        <f t="shared" si="4"/>
        <v>1.2241</v>
      </c>
    </row>
    <row r="30" spans="1:27" x14ac:dyDescent="0.2">
      <c r="B30" s="110" t="s">
        <v>158</v>
      </c>
      <c r="C30" s="109">
        <f>COUNT(E22:E111)</f>
        <v>54</v>
      </c>
      <c r="E30" s="106">
        <v>42828</v>
      </c>
      <c r="F30" s="105">
        <f>_xll.qlYieldTSDiscount(C$9,E30,,RtTrigger)</f>
        <v>1.000597010925419</v>
      </c>
      <c r="I30" s="16"/>
      <c r="J30" s="11"/>
      <c r="K30" s="11"/>
      <c r="L30" s="11"/>
      <c r="M30" s="11"/>
      <c r="N30" s="11"/>
      <c r="O30" s="11"/>
      <c r="P30" s="11"/>
      <c r="Q30" s="11"/>
      <c r="R30" s="67">
        <f t="shared" si="4"/>
        <v>1.3458000000000001</v>
      </c>
    </row>
    <row r="31" spans="1:27" x14ac:dyDescent="0.2">
      <c r="B31" s="108" t="s">
        <v>157</v>
      </c>
      <c r="C31" s="107">
        <f>GetNow(_xll.xlPushShmLiborCurveName(C11,C25,E22:INDEX(E22:E111,C30),F22:INDEX(F22:F111,C30),C26,C27,C28,C29))</f>
        <v>42765.447974537034</v>
      </c>
      <c r="E31" s="106">
        <v>42857</v>
      </c>
      <c r="F31" s="105">
        <f>_xll.qlYieldTSDiscount(C$9,E31,,RtTrigger)</f>
        <v>1.0008212128399523</v>
      </c>
      <c r="I31" s="16"/>
      <c r="J31" s="11"/>
      <c r="K31" s="11"/>
      <c r="L31" s="86">
        <f>L27+L23</f>
        <v>99999999.99999994</v>
      </c>
      <c r="M31" s="86">
        <f>M27+M23</f>
        <v>99992183.383611083</v>
      </c>
      <c r="N31" s="88">
        <f>O31/L31*(10^4)</f>
        <v>0.78166163888573692</v>
      </c>
      <c r="O31" s="86">
        <f>L31-M31</f>
        <v>7816.6163888573647</v>
      </c>
      <c r="P31" s="11"/>
      <c r="Q31" s="11"/>
      <c r="R31" s="67">
        <f t="shared" si="4"/>
        <v>1.4355000000000002</v>
      </c>
    </row>
    <row r="32" spans="1:27" x14ac:dyDescent="0.2">
      <c r="E32" s="106">
        <v>42887</v>
      </c>
      <c r="F32" s="105">
        <f>_xll.qlYieldTSDiscount(C$9,E32,,RtTrigger)</f>
        <v>1.0010215774471272</v>
      </c>
      <c r="I32" s="16"/>
      <c r="J32" s="11"/>
      <c r="K32" s="11"/>
      <c r="L32" s="86">
        <f t="shared" ref="L32:M33" si="5">L28+L24</f>
        <v>99999999.999999866</v>
      </c>
      <c r="M32" s="86">
        <f t="shared" si="5"/>
        <v>99990654.84051612</v>
      </c>
      <c r="N32" s="88">
        <f>O32/L32*(10^4)</f>
        <v>0.93451594837457064</v>
      </c>
      <c r="O32" s="86">
        <f>L32-M32</f>
        <v>9345.1594837456942</v>
      </c>
      <c r="P32" s="11"/>
      <c r="Q32" s="11"/>
      <c r="R32" s="67">
        <f t="shared" si="4"/>
        <v>1.5371999999999999</v>
      </c>
    </row>
    <row r="33" spans="2:18" x14ac:dyDescent="0.2">
      <c r="E33" s="106">
        <v>42919</v>
      </c>
      <c r="F33" s="105">
        <f>_xll.qlYieldTSDiscount(C$9,E33,,RtTrigger)</f>
        <v>1.0011618804133515</v>
      </c>
      <c r="I33" s="16"/>
      <c r="J33" s="11"/>
      <c r="K33" s="11"/>
      <c r="L33" s="86">
        <f t="shared" si="5"/>
        <v>99999999.999999851</v>
      </c>
      <c r="M33" s="86">
        <f t="shared" si="5"/>
        <v>99976766.951373309</v>
      </c>
      <c r="N33" s="88">
        <f>O33/L33*(10^4)</f>
        <v>2.3233048626542128</v>
      </c>
      <c r="O33" s="86">
        <f>L33-M33</f>
        <v>23233.048626542091</v>
      </c>
      <c r="P33" s="11"/>
      <c r="Q33" s="11"/>
      <c r="R33" s="67">
        <f t="shared" si="4"/>
        <v>1.6477000000000002</v>
      </c>
    </row>
    <row r="34" spans="2:18" x14ac:dyDescent="0.2">
      <c r="E34" s="106">
        <v>42948</v>
      </c>
      <c r="F34" s="105">
        <f>_xll.qlYieldTSDiscount(C$9,E34,,RtTrigger)</f>
        <v>1.0012287051739233</v>
      </c>
      <c r="I34" s="16"/>
      <c r="J34" s="11"/>
      <c r="K34" s="11"/>
      <c r="L34" s="11"/>
      <c r="M34" s="11"/>
      <c r="N34" s="11"/>
      <c r="O34" s="11"/>
      <c r="P34" s="11"/>
      <c r="Q34" s="11"/>
      <c r="R34" s="67">
        <f t="shared" si="4"/>
        <v>2.3224</v>
      </c>
    </row>
    <row r="35" spans="2:18" x14ac:dyDescent="0.2">
      <c r="B35"/>
      <c r="C35"/>
      <c r="E35" s="106">
        <v>42979</v>
      </c>
      <c r="F35" s="105">
        <f>_xll.qlYieldTSDiscount(C$9,E35,,RtTrigger)</f>
        <v>1.0012587792266572</v>
      </c>
      <c r="I35" s="16"/>
      <c r="J35" s="11"/>
      <c r="K35" s="11"/>
      <c r="L35" s="11"/>
      <c r="M35" s="11"/>
      <c r="N35" s="11"/>
      <c r="O35" s="11"/>
      <c r="P35" s="11"/>
      <c r="Q35" s="11"/>
      <c r="R35" s="67">
        <f t="shared" si="4"/>
        <v>2.3224</v>
      </c>
    </row>
    <row r="36" spans="2:18" x14ac:dyDescent="0.2">
      <c r="B36"/>
      <c r="C36"/>
      <c r="E36" s="106">
        <v>42997</v>
      </c>
      <c r="F36" s="105">
        <f>_xll.qlYieldTSDiscount(C$9,E36,,RtTrigger)</f>
        <v>1.001246275098558</v>
      </c>
      <c r="I36" s="16"/>
      <c r="J36" s="11"/>
      <c r="K36" s="11"/>
      <c r="L36" s="11"/>
      <c r="M36" s="11"/>
      <c r="N36" s="11"/>
      <c r="O36" s="11"/>
      <c r="P36" s="11"/>
      <c r="Q36" s="11"/>
      <c r="R36" s="67">
        <f t="shared" si="4"/>
        <v>2.3224</v>
      </c>
    </row>
    <row r="37" spans="2:18" x14ac:dyDescent="0.2">
      <c r="B37"/>
      <c r="C37"/>
      <c r="E37" s="106">
        <v>43010</v>
      </c>
      <c r="F37" s="105">
        <f>_xll.qlYieldTSDiscount(C$9,E37,,RtTrigger)</f>
        <v>1.0012370588962392</v>
      </c>
      <c r="I37" s="94" t="str">
        <f>_xll.ohRangeRetrieveError(Q3)</f>
        <v/>
      </c>
      <c r="J37" s="95"/>
      <c r="K37" s="95"/>
      <c r="L37" s="95"/>
      <c r="M37" s="95"/>
      <c r="N37" s="95"/>
      <c r="O37" s="95"/>
      <c r="P37" s="95"/>
      <c r="Q37" s="95"/>
      <c r="R37" s="68">
        <f t="shared" si="4"/>
        <v>2.3224</v>
      </c>
    </row>
    <row r="38" spans="2:18" x14ac:dyDescent="0.2">
      <c r="B38"/>
      <c r="C38"/>
      <c r="E38" s="106">
        <v>43089</v>
      </c>
      <c r="F38" s="105">
        <f>_xll.qlYieldTSDiscount(C$9,E38,,RtTrigger)</f>
        <v>1.0019233452409766</v>
      </c>
    </row>
    <row r="39" spans="2:18" x14ac:dyDescent="0.2">
      <c r="B39"/>
      <c r="C39"/>
      <c r="E39" s="106">
        <v>43179</v>
      </c>
      <c r="F39" s="105">
        <f>_xll.qlYieldTSDiscount(C$9,E39,,RtTrigger)</f>
        <v>1.0025060518838751</v>
      </c>
    </row>
    <row r="40" spans="2:18" x14ac:dyDescent="0.2">
      <c r="B40"/>
      <c r="C40"/>
      <c r="E40" s="106">
        <v>43272</v>
      </c>
      <c r="F40" s="105">
        <f>_xll.qlYieldTSDiscount(C$9,E40,,RtTrigger)</f>
        <v>1.0030308378576809</v>
      </c>
    </row>
    <row r="41" spans="2:18" x14ac:dyDescent="0.2">
      <c r="B41"/>
      <c r="C41"/>
      <c r="E41" s="106">
        <v>43363</v>
      </c>
      <c r="F41" s="105">
        <f>_xll.qlYieldTSDiscount(C$9,E41,,RtTrigger)</f>
        <v>1.0034586523342359</v>
      </c>
    </row>
    <row r="42" spans="2:18" x14ac:dyDescent="0.2">
      <c r="B42"/>
      <c r="C42"/>
      <c r="E42" s="106">
        <v>43453</v>
      </c>
      <c r="F42" s="105">
        <f>_xll.qlYieldTSDiscount(C$9,E42,,RtTrigger)</f>
        <v>1.0037700386248216</v>
      </c>
    </row>
    <row r="43" spans="2:18" x14ac:dyDescent="0.2">
      <c r="B43"/>
      <c r="C43"/>
      <c r="E43" s="106">
        <v>43543</v>
      </c>
      <c r="F43" s="105">
        <f>_xll.qlYieldTSDiscount(C$9,E43,,RtTrigger)</f>
        <v>1.0039645567581719</v>
      </c>
    </row>
    <row r="44" spans="2:18" x14ac:dyDescent="0.2">
      <c r="B44"/>
      <c r="C44"/>
      <c r="E44" s="106">
        <v>43864</v>
      </c>
      <c r="F44" s="105">
        <f>_xll.qlYieldTSDiscount(C$9,E44,,RtTrigger)</f>
        <v>1.001075004173954</v>
      </c>
    </row>
    <row r="45" spans="2:18" x14ac:dyDescent="0.2">
      <c r="B45"/>
      <c r="C45"/>
      <c r="E45" s="106">
        <v>44228</v>
      </c>
      <c r="F45" s="105">
        <f>_xll.qlYieldTSDiscount(C$9,E45,,RtTrigger)</f>
        <v>0.9968573731828968</v>
      </c>
    </row>
    <row r="46" spans="2:18" x14ac:dyDescent="0.2">
      <c r="B46"/>
      <c r="C46"/>
      <c r="E46" s="106">
        <v>44593</v>
      </c>
      <c r="F46" s="105">
        <f>_xll.qlYieldTSDiscount(C$9,E46,,RtTrigger)</f>
        <v>0.9896835714317006</v>
      </c>
    </row>
    <row r="47" spans="2:18" x14ac:dyDescent="0.2">
      <c r="B47"/>
      <c r="C47"/>
      <c r="E47" s="106">
        <v>44958</v>
      </c>
      <c r="F47" s="105">
        <f>_xll.qlYieldTSDiscount(C$9,E47,,RtTrigger)</f>
        <v>0.97977044938695834</v>
      </c>
    </row>
    <row r="48" spans="2:18" x14ac:dyDescent="0.2">
      <c r="B48"/>
      <c r="C48"/>
      <c r="E48" s="106">
        <v>45323</v>
      </c>
      <c r="F48" s="105">
        <f>_xll.qlYieldTSDiscount(C$9,E48,,RtTrigger)</f>
        <v>0.96739841445190577</v>
      </c>
    </row>
    <row r="49" spans="2:6" x14ac:dyDescent="0.2">
      <c r="B49"/>
      <c r="C49"/>
      <c r="E49" s="106">
        <v>45691</v>
      </c>
      <c r="F49" s="105">
        <f>_xll.qlYieldTSDiscount(C$9,E49,,RtTrigger)</f>
        <v>0.95254923468085573</v>
      </c>
    </row>
    <row r="50" spans="2:6" x14ac:dyDescent="0.2">
      <c r="B50"/>
      <c r="C50"/>
      <c r="E50" s="106">
        <v>46055</v>
      </c>
      <c r="F50" s="105">
        <f>_xll.qlYieldTSDiscount(C$9,E50,,RtTrigger)</f>
        <v>0.93598775750617247</v>
      </c>
    </row>
    <row r="51" spans="2:6" x14ac:dyDescent="0.2">
      <c r="B51"/>
      <c r="C51"/>
      <c r="E51" s="106">
        <v>46419</v>
      </c>
      <c r="F51" s="105">
        <f>_xll.qlYieldTSDiscount(C$9,E51,,RtTrigger)</f>
        <v>0.91833321746578322</v>
      </c>
    </row>
    <row r="52" spans="2:6" x14ac:dyDescent="0.2">
      <c r="B52"/>
      <c r="C52"/>
      <c r="E52" s="106">
        <v>46784</v>
      </c>
      <c r="F52" s="105">
        <f>_xll.qlYieldTSDiscount(C$9,E52,,RtTrigger)</f>
        <v>0.90003650336411833</v>
      </c>
    </row>
    <row r="53" spans="2:6" x14ac:dyDescent="0.2">
      <c r="B53"/>
      <c r="C53"/>
      <c r="E53" s="106">
        <v>47150</v>
      </c>
      <c r="F53" s="105">
        <f>_xll.qlYieldTSDiscount(C$9,E53,,RtTrigger)</f>
        <v>0.88172629343797759</v>
      </c>
    </row>
    <row r="54" spans="2:6" x14ac:dyDescent="0.2">
      <c r="B54"/>
      <c r="C54"/>
      <c r="E54" s="106">
        <v>47515</v>
      </c>
      <c r="F54" s="105">
        <f>_xll.qlYieldTSDiscount(C$9,E54,,RtTrigger)</f>
        <v>0.86344855243226992</v>
      </c>
    </row>
    <row r="55" spans="2:6" x14ac:dyDescent="0.2">
      <c r="B55"/>
      <c r="C55"/>
      <c r="E55" s="106">
        <v>47882</v>
      </c>
      <c r="F55" s="105">
        <f>_xll.qlYieldTSDiscount(C$9,E55,,RtTrigger)</f>
        <v>0.84547156706061011</v>
      </c>
    </row>
    <row r="56" spans="2:6" x14ac:dyDescent="0.2">
      <c r="B56"/>
      <c r="C56"/>
      <c r="E56" s="106">
        <v>48246</v>
      </c>
      <c r="F56" s="105">
        <f>_xll.qlYieldTSDiscount(C$9,E56,,RtTrigger)</f>
        <v>0.82809653684195328</v>
      </c>
    </row>
    <row r="57" spans="2:6" x14ac:dyDescent="0.2">
      <c r="B57"/>
      <c r="C57"/>
      <c r="E57" s="106">
        <v>48611</v>
      </c>
      <c r="F57" s="105">
        <f>_xll.qlYieldTSDiscount(C$9,E57,,RtTrigger)</f>
        <v>0.81136523220046819</v>
      </c>
    </row>
    <row r="58" spans="2:6" x14ac:dyDescent="0.2">
      <c r="B58"/>
      <c r="C58"/>
      <c r="E58" s="106">
        <v>48976</v>
      </c>
      <c r="F58" s="105">
        <f>_xll.qlYieldTSDiscount(C$9,E58,,RtTrigger)</f>
        <v>0.79532458468642697</v>
      </c>
    </row>
    <row r="59" spans="2:6" x14ac:dyDescent="0.2">
      <c r="B59"/>
      <c r="C59"/>
      <c r="E59" s="106">
        <v>49341</v>
      </c>
      <c r="F59" s="105">
        <f>_xll.qlYieldTSDiscount(C$9,E59,,RtTrigger)</f>
        <v>0.78003670745546516</v>
      </c>
    </row>
    <row r="60" spans="2:6" x14ac:dyDescent="0.2">
      <c r="B60"/>
      <c r="C60"/>
      <c r="E60" s="106">
        <v>49706</v>
      </c>
      <c r="F60" s="105">
        <f>_xll.qlYieldTSDiscount(C$9,E60,,RtTrigger)</f>
        <v>0.76549724956828569</v>
      </c>
    </row>
    <row r="61" spans="2:6" x14ac:dyDescent="0.2">
      <c r="B61"/>
      <c r="C61"/>
      <c r="E61" s="106">
        <v>50073</v>
      </c>
      <c r="F61" s="105">
        <f>_xll.qlYieldTSDiscount(C$9,E61,,RtTrigger)</f>
        <v>0.75145969529100443</v>
      </c>
    </row>
    <row r="62" spans="2:6" x14ac:dyDescent="0.2">
      <c r="B62"/>
      <c r="C62"/>
      <c r="E62" s="106">
        <v>50437</v>
      </c>
      <c r="F62" s="105">
        <f>_xll.qlYieldTSDiscount(C$9,E62,,RtTrigger)</f>
        <v>0.73809966429345608</v>
      </c>
    </row>
    <row r="63" spans="2:6" x14ac:dyDescent="0.2">
      <c r="B63"/>
      <c r="C63"/>
      <c r="E63" s="106">
        <v>50802</v>
      </c>
      <c r="F63" s="105">
        <f>_xll.qlYieldTSDiscount(C$9,E63,,RtTrigger)</f>
        <v>0.72541739395227367</v>
      </c>
    </row>
    <row r="64" spans="2:6" x14ac:dyDescent="0.2">
      <c r="B64"/>
      <c r="C64"/>
      <c r="E64" s="106">
        <v>51167</v>
      </c>
      <c r="F64" s="105">
        <f>_xll.qlYieldTSDiscount(C$9,E64,,RtTrigger)</f>
        <v>0.71312475171217304</v>
      </c>
    </row>
    <row r="65" spans="2:6" x14ac:dyDescent="0.2">
      <c r="B65"/>
      <c r="C65"/>
      <c r="E65" s="106">
        <v>51533</v>
      </c>
      <c r="F65" s="105">
        <f>_xll.qlYieldTSDiscount(C$9,E65,,RtTrigger)</f>
        <v>0.70126241534700762</v>
      </c>
    </row>
    <row r="66" spans="2:6" x14ac:dyDescent="0.2">
      <c r="B66"/>
      <c r="C66"/>
      <c r="E66" s="106">
        <v>51900</v>
      </c>
      <c r="F66" s="105">
        <f>_xll.qlYieldTSDiscount(C$9,E66,,RtTrigger)</f>
        <v>0.68981451045841802</v>
      </c>
    </row>
    <row r="67" spans="2:6" x14ac:dyDescent="0.2">
      <c r="B67"/>
      <c r="C67"/>
      <c r="E67" s="106">
        <v>52264</v>
      </c>
      <c r="F67" s="105">
        <f>_xll.qlYieldTSDiscount(C$9,E67,,RtTrigger)</f>
        <v>0.67873474339194972</v>
      </c>
    </row>
    <row r="68" spans="2:6" x14ac:dyDescent="0.2">
      <c r="B68"/>
      <c r="C68"/>
      <c r="E68" s="106">
        <v>52628</v>
      </c>
      <c r="F68" s="105">
        <f>_xll.qlYieldTSDiscount(C$9,E68,,RtTrigger)</f>
        <v>0.66795863918856435</v>
      </c>
    </row>
    <row r="69" spans="2:6" x14ac:dyDescent="0.2">
      <c r="B69"/>
      <c r="C69"/>
      <c r="E69" s="106">
        <v>52994</v>
      </c>
      <c r="F69" s="105">
        <f>_xll.qlYieldTSDiscount(C$9,E69,,RtTrigger)</f>
        <v>0.65724490147042902</v>
      </c>
    </row>
    <row r="70" spans="2:6" x14ac:dyDescent="0.2">
      <c r="B70"/>
      <c r="C70"/>
      <c r="E70" s="106">
        <v>53359</v>
      </c>
      <c r="F70" s="105">
        <f>_xll.qlYieldTSDiscount(C$9,E70,,RtTrigger)</f>
        <v>0.64685906772342716</v>
      </c>
    </row>
    <row r="71" spans="2:6" x14ac:dyDescent="0.2">
      <c r="B71"/>
      <c r="C71"/>
      <c r="E71" s="106">
        <v>53724</v>
      </c>
      <c r="F71" s="105">
        <f>_xll.qlYieldTSDiscount(C$9,E71,,RtTrigger)</f>
        <v>0.63681676417286659</v>
      </c>
    </row>
    <row r="72" spans="2:6" x14ac:dyDescent="0.2">
      <c r="B72"/>
      <c r="C72"/>
      <c r="E72" s="106">
        <v>55550</v>
      </c>
      <c r="F72" s="105">
        <f>_xll.qlYieldTSDiscount(C$9,E72,,RtTrigger)</f>
        <v>0.58980864977602576</v>
      </c>
    </row>
    <row r="73" spans="2:6" x14ac:dyDescent="0.2">
      <c r="B73"/>
      <c r="C73"/>
      <c r="E73" s="106">
        <v>57377</v>
      </c>
      <c r="F73" s="105">
        <f>_xll.qlYieldTSDiscount(C$9,E73,,RtTrigger)</f>
        <v>0.54854780113307255</v>
      </c>
    </row>
    <row r="74" spans="2:6" x14ac:dyDescent="0.2">
      <c r="B74"/>
      <c r="C74"/>
      <c r="E74" s="106">
        <v>61029</v>
      </c>
      <c r="F74" s="105">
        <f>_xll.qlYieldTSDiscount(C$9,E74,,RtTrigger)</f>
        <v>0.48930730316421606</v>
      </c>
    </row>
    <row r="75" spans="2:6" x14ac:dyDescent="0.2">
      <c r="B75"/>
      <c r="C75"/>
      <c r="E75" s="106">
        <v>64682</v>
      </c>
      <c r="F75" s="105">
        <f>_xll.qlYieldTSDiscount(C$9,E75,,RtTrigger)</f>
        <v>0.4378899484383495</v>
      </c>
    </row>
    <row r="76" spans="2:6" x14ac:dyDescent="0.2">
      <c r="B76"/>
      <c r="C76"/>
      <c r="E76" s="106" t="e">
        <v>#N/A</v>
      </c>
      <c r="F76" s="105" t="e">
        <f>_xll.qlYieldTSDiscount(C$9,E76,,RtTrigger)</f>
        <v>#NUM!</v>
      </c>
    </row>
    <row r="77" spans="2:6" x14ac:dyDescent="0.2">
      <c r="B77"/>
      <c r="C77"/>
      <c r="E77" s="106" t="e">
        <v>#N/A</v>
      </c>
      <c r="F77" s="105" t="e">
        <f>_xll.qlYieldTSDiscount(C$9,E77,,RtTrigger)</f>
        <v>#NUM!</v>
      </c>
    </row>
    <row r="78" spans="2:6" x14ac:dyDescent="0.2">
      <c r="B78"/>
      <c r="C78"/>
      <c r="E78" s="106" t="e">
        <v>#N/A</v>
      </c>
      <c r="F78" s="105" t="e">
        <f>_xll.qlYieldTSDiscount(C$9,E78,,RtTrigger)</f>
        <v>#NUM!</v>
      </c>
    </row>
    <row r="79" spans="2:6" x14ac:dyDescent="0.2">
      <c r="B79"/>
      <c r="C79"/>
      <c r="E79" s="106" t="e">
        <v>#N/A</v>
      </c>
      <c r="F79" s="105" t="e">
        <f>_xll.qlYieldTSDiscount(C$9,E79,,RtTrigger)</f>
        <v>#NUM!</v>
      </c>
    </row>
    <row r="80" spans="2:6" x14ac:dyDescent="0.2">
      <c r="B80"/>
      <c r="C80"/>
      <c r="E80" s="106" t="e">
        <v>#N/A</v>
      </c>
      <c r="F80" s="105" t="e">
        <f>_xll.qlYieldTSDiscount(C$9,E80,,RtTrigger)</f>
        <v>#NUM!</v>
      </c>
    </row>
    <row r="81" spans="2:6" x14ac:dyDescent="0.2">
      <c r="B81"/>
      <c r="C81"/>
      <c r="E81" s="106" t="e">
        <v>#N/A</v>
      </c>
      <c r="F81" s="105" t="e">
        <f>_xll.qlYieldTSDiscount(C$9,E81,,RtTrigger)</f>
        <v>#NUM!</v>
      </c>
    </row>
    <row r="82" spans="2:6" x14ac:dyDescent="0.2">
      <c r="B82"/>
      <c r="C82"/>
      <c r="E82" s="106" t="e">
        <v>#N/A</v>
      </c>
      <c r="F82" s="105" t="e">
        <f>_xll.qlYieldTSDiscount(C$9,E82,,RtTrigger)</f>
        <v>#NUM!</v>
      </c>
    </row>
    <row r="83" spans="2:6" x14ac:dyDescent="0.2">
      <c r="B83"/>
      <c r="C83"/>
      <c r="E83" s="106" t="e">
        <v>#N/A</v>
      </c>
      <c r="F83" s="105" t="e">
        <f>_xll.qlYieldTSDiscount(C$9,E83,,RtTrigger)</f>
        <v>#NUM!</v>
      </c>
    </row>
    <row r="84" spans="2:6" x14ac:dyDescent="0.2">
      <c r="B84"/>
      <c r="C84"/>
      <c r="E84" s="106" t="e">
        <v>#N/A</v>
      </c>
      <c r="F84" s="105" t="e">
        <f>_xll.qlYieldTSDiscount(C$9,E84,,RtTrigger)</f>
        <v>#NUM!</v>
      </c>
    </row>
    <row r="85" spans="2:6" x14ac:dyDescent="0.2">
      <c r="B85"/>
      <c r="C85"/>
      <c r="E85" s="106" t="e">
        <v>#N/A</v>
      </c>
      <c r="F85" s="105" t="e">
        <f>_xll.qlYieldTSDiscount(C$9,E85,,RtTrigger)</f>
        <v>#NUM!</v>
      </c>
    </row>
    <row r="86" spans="2:6" x14ac:dyDescent="0.2">
      <c r="B86"/>
      <c r="C86"/>
      <c r="E86" s="106" t="e">
        <v>#N/A</v>
      </c>
      <c r="F86" s="105" t="e">
        <f>_xll.qlYieldTSDiscount(C$9,E86,,RtTrigger)</f>
        <v>#NUM!</v>
      </c>
    </row>
    <row r="87" spans="2:6" x14ac:dyDescent="0.2">
      <c r="B87"/>
      <c r="C87"/>
      <c r="E87" s="106" t="e">
        <v>#N/A</v>
      </c>
      <c r="F87" s="105" t="e">
        <f>_xll.qlYieldTSDiscount(C$9,E87,,RtTrigger)</f>
        <v>#NUM!</v>
      </c>
    </row>
    <row r="88" spans="2:6" x14ac:dyDescent="0.2">
      <c r="B88"/>
      <c r="C88"/>
      <c r="E88" s="106" t="e">
        <v>#N/A</v>
      </c>
      <c r="F88" s="105" t="e">
        <f>_xll.qlYieldTSDiscount(C$9,E88,,RtTrigger)</f>
        <v>#NUM!</v>
      </c>
    </row>
    <row r="89" spans="2:6" x14ac:dyDescent="0.2">
      <c r="B89"/>
      <c r="C89"/>
      <c r="E89" s="106" t="e">
        <v>#N/A</v>
      </c>
      <c r="F89" s="105" t="e">
        <f>_xll.qlYieldTSDiscount(C$9,E89,,RtTrigger)</f>
        <v>#NUM!</v>
      </c>
    </row>
    <row r="90" spans="2:6" x14ac:dyDescent="0.2">
      <c r="B90"/>
      <c r="C90"/>
      <c r="E90" s="106" t="e">
        <v>#N/A</v>
      </c>
      <c r="F90" s="105" t="e">
        <f>_xll.qlYieldTSDiscount(C$9,E90,,RtTrigger)</f>
        <v>#NUM!</v>
      </c>
    </row>
    <row r="91" spans="2:6" x14ac:dyDescent="0.2">
      <c r="B91"/>
      <c r="C91"/>
      <c r="E91" s="106" t="e">
        <v>#N/A</v>
      </c>
      <c r="F91" s="105" t="e">
        <f>_xll.qlYieldTSDiscount(C$9,E91,,RtTrigger)</f>
        <v>#NUM!</v>
      </c>
    </row>
    <row r="92" spans="2:6" x14ac:dyDescent="0.2">
      <c r="B92"/>
      <c r="C92"/>
      <c r="E92" s="106" t="e">
        <v>#N/A</v>
      </c>
      <c r="F92" s="105" t="e">
        <f>_xll.qlYieldTSDiscount(C$9,E92,,RtTrigger)</f>
        <v>#NUM!</v>
      </c>
    </row>
    <row r="93" spans="2:6" x14ac:dyDescent="0.2">
      <c r="B93"/>
      <c r="C93"/>
      <c r="E93" s="106" t="e">
        <v>#N/A</v>
      </c>
      <c r="F93" s="105" t="e">
        <f>_xll.qlYieldTSDiscount(C$9,E93,,RtTrigger)</f>
        <v>#NUM!</v>
      </c>
    </row>
    <row r="94" spans="2:6" x14ac:dyDescent="0.2">
      <c r="B94"/>
      <c r="C94"/>
      <c r="E94" s="106" t="e">
        <v>#N/A</v>
      </c>
      <c r="F94" s="105" t="e">
        <f>_xll.qlYieldTSDiscount(C$9,E94,,RtTrigger)</f>
        <v>#NUM!</v>
      </c>
    </row>
    <row r="95" spans="2:6" x14ac:dyDescent="0.2">
      <c r="B95"/>
      <c r="C95"/>
      <c r="E95" s="106" t="e">
        <v>#N/A</v>
      </c>
      <c r="F95" s="105" t="e">
        <f>_xll.qlYieldTSDiscount(C$9,E95,,RtTrigger)</f>
        <v>#NUM!</v>
      </c>
    </row>
    <row r="96" spans="2:6" x14ac:dyDescent="0.2">
      <c r="B96"/>
      <c r="C96"/>
      <c r="E96" s="106" t="e">
        <v>#N/A</v>
      </c>
      <c r="F96" s="105" t="e">
        <f>_xll.qlYieldTSDiscount(C$9,E96,,RtTrigger)</f>
        <v>#NUM!</v>
      </c>
    </row>
    <row r="97" spans="2:6" x14ac:dyDescent="0.2">
      <c r="B97"/>
      <c r="C97"/>
      <c r="E97" s="106" t="e">
        <v>#N/A</v>
      </c>
      <c r="F97" s="105" t="e">
        <f>_xll.qlYieldTSDiscount(C$9,E97,,RtTrigger)</f>
        <v>#NUM!</v>
      </c>
    </row>
    <row r="98" spans="2:6" x14ac:dyDescent="0.2">
      <c r="B98"/>
      <c r="C98"/>
      <c r="E98" s="106" t="e">
        <v>#N/A</v>
      </c>
      <c r="F98" s="105" t="e">
        <f>_xll.qlYieldTSDiscount(C$9,E98,,RtTrigger)</f>
        <v>#NUM!</v>
      </c>
    </row>
    <row r="99" spans="2:6" x14ac:dyDescent="0.2">
      <c r="B99"/>
      <c r="C99"/>
      <c r="E99" s="106" t="e">
        <v>#N/A</v>
      </c>
      <c r="F99" s="105" t="e">
        <f>_xll.qlYieldTSDiscount(C$9,E99,,RtTrigger)</f>
        <v>#NUM!</v>
      </c>
    </row>
    <row r="100" spans="2:6" x14ac:dyDescent="0.2">
      <c r="B100"/>
      <c r="C100"/>
      <c r="E100" s="106" t="e">
        <v>#N/A</v>
      </c>
      <c r="F100" s="105" t="e">
        <f>_xll.qlYieldTSDiscount(C$9,E100,,RtTrigger)</f>
        <v>#NUM!</v>
      </c>
    </row>
    <row r="101" spans="2:6" x14ac:dyDescent="0.2">
      <c r="B101"/>
      <c r="C101"/>
      <c r="E101" s="106" t="e">
        <v>#N/A</v>
      </c>
      <c r="F101" s="105" t="e">
        <f>_xll.qlYieldTSDiscount(C$9,E101,,RtTrigger)</f>
        <v>#NUM!</v>
      </c>
    </row>
    <row r="102" spans="2:6" x14ac:dyDescent="0.2">
      <c r="B102"/>
      <c r="C102"/>
      <c r="E102" s="106" t="e">
        <v>#N/A</v>
      </c>
      <c r="F102" s="105" t="e">
        <f>_xll.qlYieldTSDiscount(C$9,E102,,RtTrigger)</f>
        <v>#NUM!</v>
      </c>
    </row>
    <row r="103" spans="2:6" x14ac:dyDescent="0.2">
      <c r="B103"/>
      <c r="C103"/>
      <c r="E103" s="106" t="e">
        <v>#N/A</v>
      </c>
      <c r="F103" s="105" t="e">
        <f>_xll.qlYieldTSDiscount(C$9,E103,,RtTrigger)</f>
        <v>#NUM!</v>
      </c>
    </row>
    <row r="104" spans="2:6" x14ac:dyDescent="0.2">
      <c r="B104"/>
      <c r="C104"/>
      <c r="E104" s="106" t="e">
        <v>#N/A</v>
      </c>
      <c r="F104" s="105" t="e">
        <f>_xll.qlYieldTSDiscount(C$9,E104,,RtTrigger)</f>
        <v>#NUM!</v>
      </c>
    </row>
    <row r="105" spans="2:6" x14ac:dyDescent="0.2">
      <c r="B105"/>
      <c r="C105"/>
      <c r="E105" s="106" t="e">
        <v>#N/A</v>
      </c>
      <c r="F105" s="105" t="e">
        <f>_xll.qlYieldTSDiscount(C$9,E105,,RtTrigger)</f>
        <v>#NUM!</v>
      </c>
    </row>
    <row r="106" spans="2:6" x14ac:dyDescent="0.2">
      <c r="B106"/>
      <c r="C106"/>
      <c r="E106" s="106" t="e">
        <v>#N/A</v>
      </c>
      <c r="F106" s="105" t="e">
        <f>_xll.qlYieldTSDiscount(C$9,E106,,RtTrigger)</f>
        <v>#NUM!</v>
      </c>
    </row>
    <row r="107" spans="2:6" x14ac:dyDescent="0.2">
      <c r="B107"/>
      <c r="C107"/>
      <c r="E107" s="106" t="e">
        <v>#N/A</v>
      </c>
      <c r="F107" s="105" t="e">
        <f>_xll.qlYieldTSDiscount(C$9,E107,,RtTrigger)</f>
        <v>#NUM!</v>
      </c>
    </row>
    <row r="108" spans="2:6" x14ac:dyDescent="0.2">
      <c r="B108"/>
      <c r="C108"/>
      <c r="E108" s="106" t="e">
        <v>#N/A</v>
      </c>
      <c r="F108" s="105" t="e">
        <f>_xll.qlYieldTSDiscount(C$9,E108,,RtTrigger)</f>
        <v>#NUM!</v>
      </c>
    </row>
    <row r="109" spans="2:6" x14ac:dyDescent="0.2">
      <c r="B109"/>
      <c r="C109"/>
      <c r="E109" s="106" t="e">
        <v>#N/A</v>
      </c>
      <c r="F109" s="105" t="e">
        <f>_xll.qlYieldTSDiscount(C$9,E109,,RtTrigger)</f>
        <v>#NUM!</v>
      </c>
    </row>
    <row r="110" spans="2:6" x14ac:dyDescent="0.2">
      <c r="B110"/>
      <c r="C110"/>
      <c r="E110" s="106" t="e">
        <v>#N/A</v>
      </c>
      <c r="F110" s="105" t="e">
        <f>_xll.qlYieldTSDiscount(C$9,E110,,RtTrigger)</f>
        <v>#NUM!</v>
      </c>
    </row>
    <row r="111" spans="2:6" x14ac:dyDescent="0.2">
      <c r="B111"/>
      <c r="C111"/>
      <c r="E111" s="104" t="e">
        <v>#N/A</v>
      </c>
      <c r="F111" s="103" t="e">
        <f>_xll.qlYieldTSDiscount(C$9,E111,,RtTrigger)</f>
        <v>#NUM!</v>
      </c>
    </row>
    <row r="112" spans="2:6" x14ac:dyDescent="0.2">
      <c r="B112"/>
      <c r="C112"/>
    </row>
  </sheetData>
  <sheetProtection formatCells="0" formatColumns="0" formatRows="0"/>
  <dataConsolidate/>
  <mergeCells count="1">
    <mergeCell ref="B2:C2"/>
  </mergeCells>
  <conditionalFormatting sqref="E3:E17">
    <cfRule type="cellIs" dxfId="8" priority="9" stopIfTrue="1" operator="equal">
      <formula>FALSE</formula>
    </cfRule>
  </conditionalFormatting>
  <conditionalFormatting sqref="G3:J17">
    <cfRule type="expression" dxfId="7" priority="6" stopIfTrue="1">
      <formula>NOT($E3)</formula>
    </cfRule>
  </conditionalFormatting>
  <conditionalFormatting sqref="J3:J17">
    <cfRule type="expression" dxfId="6" priority="7" stopIfTrue="1">
      <formula>ISNUMBER(H3)</formula>
    </cfRule>
    <cfRule type="expression" dxfId="5" priority="8" stopIfTrue="1">
      <formula>ISNUMBER(I3)</formula>
    </cfRule>
  </conditionalFormatting>
  <conditionalFormatting sqref="R1">
    <cfRule type="cellIs" dxfId="4" priority="10" operator="equal">
      <formula>FALSE</formula>
    </cfRule>
  </conditionalFormatting>
  <conditionalFormatting sqref="S1">
    <cfRule type="cellIs" dxfId="3" priority="1" operator="equal">
      <formula>TRUE</formula>
    </cfRule>
  </conditionalFormatting>
  <dataValidations count="2">
    <dataValidation type="list" allowBlank="1" showInputMessage="1" showErrorMessage="1" sqref="E3:E17 S1">
      <formula1>dvBool</formula1>
    </dataValidation>
    <dataValidation type="list" allowBlank="1" showInputMessage="1" showErrorMessage="1" sqref="C7">
      <formula1>"EuriborSTD,Euribor1M,Euribor3M,Euribor6M,Euribor1Y"</formula1>
    </dataValidation>
  </dataValidations>
  <pageMargins left="0.7" right="0.7" top="0.75" bottom="0.75" header="0.3" footer="0.3"/>
  <pageSetup orientation="portrait" r:id="rId1"/>
  <ignoredErrors>
    <ignoredError sqref="C3 C4:C5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T39"/>
  <sheetViews>
    <sheetView showGridLines="0" zoomScaleNormal="100" workbookViewId="0">
      <selection activeCell="G2" sqref="G2"/>
    </sheetView>
  </sheetViews>
  <sheetFormatPr defaultRowHeight="11.25" x14ac:dyDescent="0.2"/>
  <cols>
    <col min="1" max="1" width="3.83203125" customWidth="1"/>
    <col min="5" max="5" width="5.83203125" customWidth="1"/>
  </cols>
  <sheetData>
    <row r="2" spans="4:20" x14ac:dyDescent="0.2">
      <c r="F2" s="119" t="s">
        <v>170</v>
      </c>
      <c r="G2" s="120">
        <v>1</v>
      </c>
    </row>
    <row r="5" spans="4:20" x14ac:dyDescent="0.2">
      <c r="F5" s="162" t="s">
        <v>171</v>
      </c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3"/>
    </row>
    <row r="6" spans="4:20" x14ac:dyDescent="0.2">
      <c r="D6" s="25" t="s">
        <v>71</v>
      </c>
      <c r="F6" s="127" t="str">
        <f t="array" ref="F6:T6">TRANSPOSE(E7:E21)</f>
        <v>6M</v>
      </c>
      <c r="G6" s="128" t="str">
        <v>1Y</v>
      </c>
      <c r="H6" s="128" t="str">
        <v>2Y</v>
      </c>
      <c r="I6" s="128" t="str">
        <v>3Y</v>
      </c>
      <c r="J6" s="128" t="str">
        <v>4Y</v>
      </c>
      <c r="K6" s="128" t="str">
        <v>5Y</v>
      </c>
      <c r="L6" s="128" t="str">
        <v>6Y</v>
      </c>
      <c r="M6" s="128" t="str">
        <v>7Y</v>
      </c>
      <c r="N6" s="128" t="str">
        <v>8Y</v>
      </c>
      <c r="O6" s="128" t="str">
        <v>9Y</v>
      </c>
      <c r="P6" s="128" t="str">
        <v>10Y</v>
      </c>
      <c r="Q6" s="128" t="str">
        <v>15Y</v>
      </c>
      <c r="R6" s="128" t="str">
        <v>20Y</v>
      </c>
      <c r="S6" s="128" t="str">
        <v>25Y</v>
      </c>
      <c r="T6" s="129" t="str">
        <v>30Y</v>
      </c>
    </row>
    <row r="7" spans="4:20" x14ac:dyDescent="0.2">
      <c r="D7" s="124"/>
      <c r="E7" s="121" t="str">
        <f>UNICA_EUR!F3</f>
        <v>6M</v>
      </c>
      <c r="F7" s="130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2"/>
    </row>
    <row r="8" spans="4:20" x14ac:dyDescent="0.2">
      <c r="D8" s="125"/>
      <c r="E8" s="122" t="str">
        <f>UNICA_EUR!F4</f>
        <v>1Y</v>
      </c>
      <c r="F8" s="133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5"/>
    </row>
    <row r="9" spans="4:20" x14ac:dyDescent="0.2">
      <c r="D9" s="125"/>
      <c r="E9" s="122" t="str">
        <f>UNICA_EUR!F5</f>
        <v>2Y</v>
      </c>
      <c r="F9" s="133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5"/>
    </row>
    <row r="10" spans="4:20" x14ac:dyDescent="0.2">
      <c r="D10" s="125"/>
      <c r="E10" s="122" t="str">
        <f>UNICA_EUR!F6</f>
        <v>3Y</v>
      </c>
      <c r="F10" s="133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5"/>
    </row>
    <row r="11" spans="4:20" x14ac:dyDescent="0.2">
      <c r="D11" s="125"/>
      <c r="E11" s="122" t="str">
        <f>UNICA_EUR!F7</f>
        <v>4Y</v>
      </c>
      <c r="F11" s="133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5"/>
    </row>
    <row r="12" spans="4:20" x14ac:dyDescent="0.2">
      <c r="D12" s="125"/>
      <c r="E12" s="122" t="str">
        <f>UNICA_EUR!F8</f>
        <v>5Y</v>
      </c>
      <c r="F12" s="133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5"/>
    </row>
    <row r="13" spans="4:20" x14ac:dyDescent="0.2">
      <c r="D13" s="125"/>
      <c r="E13" s="122" t="str">
        <f>UNICA_EUR!F9</f>
        <v>6Y</v>
      </c>
      <c r="F13" s="133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5"/>
    </row>
    <row r="14" spans="4:20" x14ac:dyDescent="0.2">
      <c r="D14" s="125"/>
      <c r="E14" s="122" t="str">
        <f>UNICA_EUR!F10</f>
        <v>7Y</v>
      </c>
      <c r="F14" s="133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5"/>
    </row>
    <row r="15" spans="4:20" x14ac:dyDescent="0.2">
      <c r="D15" s="125"/>
      <c r="E15" s="122" t="str">
        <f>UNICA_EUR!F11</f>
        <v>8Y</v>
      </c>
      <c r="F15" s="133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5"/>
    </row>
    <row r="16" spans="4:20" x14ac:dyDescent="0.2">
      <c r="D16" s="125"/>
      <c r="E16" s="122" t="str">
        <f>UNICA_EUR!F12</f>
        <v>9Y</v>
      </c>
      <c r="F16" s="133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5"/>
    </row>
    <row r="17" spans="2:20" x14ac:dyDescent="0.2">
      <c r="D17" s="125"/>
      <c r="E17" s="122" t="str">
        <f>UNICA_EUR!F13</f>
        <v>10Y</v>
      </c>
      <c r="F17" s="133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5"/>
    </row>
    <row r="18" spans="2:20" x14ac:dyDescent="0.2">
      <c r="D18" s="125"/>
      <c r="E18" s="122" t="str">
        <f>UNICA_EUR!F14</f>
        <v>15Y</v>
      </c>
      <c r="F18" s="133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5"/>
    </row>
    <row r="19" spans="2:20" x14ac:dyDescent="0.2">
      <c r="D19" s="125"/>
      <c r="E19" s="122" t="str">
        <f>UNICA_EUR!F15</f>
        <v>20Y</v>
      </c>
      <c r="F19" s="133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5"/>
    </row>
    <row r="20" spans="2:20" x14ac:dyDescent="0.2">
      <c r="D20" s="125"/>
      <c r="E20" s="122" t="str">
        <f>UNICA_EUR!F16</f>
        <v>25Y</v>
      </c>
      <c r="F20" s="133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5"/>
    </row>
    <row r="21" spans="2:20" x14ac:dyDescent="0.2">
      <c r="D21" s="126"/>
      <c r="E21" s="123" t="str">
        <f>UNICA_EUR!F17</f>
        <v>30Y</v>
      </c>
      <c r="F21" s="136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8"/>
    </row>
    <row r="23" spans="2:20" x14ac:dyDescent="0.2">
      <c r="F23" s="165" t="s">
        <v>172</v>
      </c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</row>
    <row r="24" spans="2:20" x14ac:dyDescent="0.2">
      <c r="B24" s="25" t="s">
        <v>174</v>
      </c>
      <c r="C24" s="25" t="s">
        <v>175</v>
      </c>
      <c r="D24" s="25" t="s">
        <v>173</v>
      </c>
      <c r="F24" s="127" t="str">
        <f t="shared" ref="F24:T24" si="0">F6</f>
        <v>6M</v>
      </c>
      <c r="G24" s="128" t="str">
        <f t="shared" si="0"/>
        <v>1Y</v>
      </c>
      <c r="H24" s="128" t="str">
        <f t="shared" si="0"/>
        <v>2Y</v>
      </c>
      <c r="I24" s="128" t="str">
        <f t="shared" si="0"/>
        <v>3Y</v>
      </c>
      <c r="J24" s="128" t="str">
        <f t="shared" si="0"/>
        <v>4Y</v>
      </c>
      <c r="K24" s="128" t="str">
        <f t="shared" si="0"/>
        <v>5Y</v>
      </c>
      <c r="L24" s="128" t="str">
        <f t="shared" si="0"/>
        <v>6Y</v>
      </c>
      <c r="M24" s="128" t="str">
        <f t="shared" si="0"/>
        <v>7Y</v>
      </c>
      <c r="N24" s="128" t="str">
        <f t="shared" si="0"/>
        <v>8Y</v>
      </c>
      <c r="O24" s="128" t="str">
        <f t="shared" si="0"/>
        <v>9Y</v>
      </c>
      <c r="P24" s="128" t="str">
        <f t="shared" si="0"/>
        <v>10Y</v>
      </c>
      <c r="Q24" s="128" t="str">
        <f t="shared" si="0"/>
        <v>15Y</v>
      </c>
      <c r="R24" s="128" t="str">
        <f t="shared" si="0"/>
        <v>20Y</v>
      </c>
      <c r="S24" s="128" t="str">
        <f t="shared" si="0"/>
        <v>25Y</v>
      </c>
      <c r="T24" s="129" t="str">
        <f t="shared" si="0"/>
        <v>30Y</v>
      </c>
    </row>
    <row r="25" spans="2:20" x14ac:dyDescent="0.2">
      <c r="B25" s="157"/>
      <c r="C25" s="154"/>
      <c r="D25" s="124" t="e">
        <f>-LN(C25/UNICA_EUR!Notional)/B25</f>
        <v>#NUM!</v>
      </c>
      <c r="E25" s="121" t="str">
        <f t="shared" ref="E25:E39" si="1">E7</f>
        <v>6M</v>
      </c>
      <c r="F25" s="130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2"/>
    </row>
    <row r="26" spans="2:20" x14ac:dyDescent="0.2">
      <c r="B26" s="158"/>
      <c r="C26" s="155"/>
      <c r="D26" s="125" t="e">
        <f>-LN(C26/UNICA_EUR!Notional)/B26</f>
        <v>#NUM!</v>
      </c>
      <c r="E26" s="122" t="str">
        <f t="shared" si="1"/>
        <v>1Y</v>
      </c>
      <c r="F26" s="133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5"/>
    </row>
    <row r="27" spans="2:20" x14ac:dyDescent="0.2">
      <c r="B27" s="158"/>
      <c r="C27" s="155"/>
      <c r="D27" s="125" t="e">
        <f>-LN(C27/UNICA_EUR!Notional)/B27</f>
        <v>#NUM!</v>
      </c>
      <c r="E27" s="122" t="str">
        <f t="shared" si="1"/>
        <v>2Y</v>
      </c>
      <c r="F27" s="133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5"/>
    </row>
    <row r="28" spans="2:20" x14ac:dyDescent="0.2">
      <c r="B28" s="158"/>
      <c r="C28" s="155"/>
      <c r="D28" s="125" t="e">
        <f>-LN(C28/UNICA_EUR!Notional)/B28</f>
        <v>#NUM!</v>
      </c>
      <c r="E28" s="122" t="str">
        <f t="shared" si="1"/>
        <v>3Y</v>
      </c>
      <c r="F28" s="133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5"/>
    </row>
    <row r="29" spans="2:20" x14ac:dyDescent="0.2">
      <c r="B29" s="158"/>
      <c r="C29" s="155"/>
      <c r="D29" s="125" t="e">
        <f>-LN(C29/UNICA_EUR!Notional)/B29</f>
        <v>#NUM!</v>
      </c>
      <c r="E29" s="122" t="str">
        <f t="shared" si="1"/>
        <v>4Y</v>
      </c>
      <c r="F29" s="133"/>
      <c r="G29" s="134"/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5"/>
    </row>
    <row r="30" spans="2:20" x14ac:dyDescent="0.2">
      <c r="B30" s="158"/>
      <c r="C30" s="155"/>
      <c r="D30" s="125" t="e">
        <f>-LN(C30/UNICA_EUR!Notional)/B30</f>
        <v>#NUM!</v>
      </c>
      <c r="E30" s="122" t="str">
        <f t="shared" si="1"/>
        <v>5Y</v>
      </c>
      <c r="F30" s="133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5"/>
    </row>
    <row r="31" spans="2:20" x14ac:dyDescent="0.2">
      <c r="B31" s="158"/>
      <c r="C31" s="155"/>
      <c r="D31" s="125" t="e">
        <f>-LN(C31/UNICA_EUR!Notional)/B31</f>
        <v>#NUM!</v>
      </c>
      <c r="E31" s="122" t="str">
        <f t="shared" si="1"/>
        <v>6Y</v>
      </c>
      <c r="F31" s="133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5"/>
    </row>
    <row r="32" spans="2:20" x14ac:dyDescent="0.2">
      <c r="B32" s="158"/>
      <c r="C32" s="155"/>
      <c r="D32" s="125" t="e">
        <f>-LN(C32/UNICA_EUR!Notional)/B32</f>
        <v>#NUM!</v>
      </c>
      <c r="E32" s="122" t="str">
        <f t="shared" si="1"/>
        <v>7Y</v>
      </c>
      <c r="F32" s="133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5"/>
    </row>
    <row r="33" spans="2:20" x14ac:dyDescent="0.2">
      <c r="B33" s="158"/>
      <c r="C33" s="155"/>
      <c r="D33" s="125" t="e">
        <f>-LN(C33/UNICA_EUR!Notional)/B33</f>
        <v>#NUM!</v>
      </c>
      <c r="E33" s="122" t="str">
        <f t="shared" si="1"/>
        <v>8Y</v>
      </c>
      <c r="F33" s="133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5"/>
    </row>
    <row r="34" spans="2:20" x14ac:dyDescent="0.2">
      <c r="B34" s="158"/>
      <c r="C34" s="155"/>
      <c r="D34" s="125" t="e">
        <f>-LN(C34/UNICA_EUR!Notional)/B34</f>
        <v>#NUM!</v>
      </c>
      <c r="E34" s="122" t="str">
        <f t="shared" si="1"/>
        <v>9Y</v>
      </c>
      <c r="F34" s="133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5"/>
    </row>
    <row r="35" spans="2:20" x14ac:dyDescent="0.2">
      <c r="B35" s="158"/>
      <c r="C35" s="155"/>
      <c r="D35" s="125" t="e">
        <f>-LN(C35/UNICA_EUR!Notional)/B35</f>
        <v>#NUM!</v>
      </c>
      <c r="E35" s="122" t="str">
        <f t="shared" si="1"/>
        <v>10Y</v>
      </c>
      <c r="F35" s="133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5"/>
    </row>
    <row r="36" spans="2:20" x14ac:dyDescent="0.2">
      <c r="B36" s="158"/>
      <c r="C36" s="155"/>
      <c r="D36" s="125" t="e">
        <f>-LN(C36/UNICA_EUR!Notional)/B36</f>
        <v>#NUM!</v>
      </c>
      <c r="E36" s="122" t="str">
        <f t="shared" si="1"/>
        <v>15Y</v>
      </c>
      <c r="F36" s="133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5"/>
    </row>
    <row r="37" spans="2:20" x14ac:dyDescent="0.2">
      <c r="B37" s="158"/>
      <c r="C37" s="155"/>
      <c r="D37" s="125" t="e">
        <f>-LN(C37/UNICA_EUR!Notional)/B37</f>
        <v>#NUM!</v>
      </c>
      <c r="E37" s="122" t="str">
        <f t="shared" si="1"/>
        <v>20Y</v>
      </c>
      <c r="F37" s="133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5"/>
    </row>
    <row r="38" spans="2:20" x14ac:dyDescent="0.2">
      <c r="B38" s="158"/>
      <c r="C38" s="155"/>
      <c r="D38" s="125" t="e">
        <f>-LN(C38/UNICA_EUR!Notional)/B38</f>
        <v>#NUM!</v>
      </c>
      <c r="E38" s="122" t="str">
        <f t="shared" si="1"/>
        <v>25Y</v>
      </c>
      <c r="F38" s="133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5"/>
    </row>
    <row r="39" spans="2:20" x14ac:dyDescent="0.2">
      <c r="B39" s="159"/>
      <c r="C39" s="156"/>
      <c r="D39" s="126" t="e">
        <f>-LN(C39/UNICA_EUR!Notional)/B39</f>
        <v>#NUM!</v>
      </c>
      <c r="E39" s="123" t="str">
        <f t="shared" si="1"/>
        <v>30Y</v>
      </c>
      <c r="F39" s="136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8"/>
    </row>
  </sheetData>
  <mergeCells count="2">
    <mergeCell ref="F5:T5"/>
    <mergeCell ref="F23:T23"/>
  </mergeCells>
  <conditionalFormatting sqref="F7:T21">
    <cfRule type="expression" dxfId="2" priority="3">
      <formula>ISNA(F7)</formula>
    </cfRule>
  </conditionalFormatting>
  <conditionalFormatting sqref="F25:T39">
    <cfRule type="expression" dxfId="1" priority="2">
      <formula>ISNA(F25)</formula>
    </cfRule>
  </conditionalFormatting>
  <conditionalFormatting sqref="B25:D39">
    <cfRule type="expression" dxfId="0" priority="1">
      <formula>ISNA(B25)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nsyCalc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34"/>
  <sheetViews>
    <sheetView showGridLines="0" workbookViewId="0">
      <selection activeCell="C2" sqref="C2"/>
    </sheetView>
  </sheetViews>
  <sheetFormatPr defaultRowHeight="11.25" x14ac:dyDescent="0.2"/>
  <cols>
    <col min="1" max="1" width="3.83203125" customWidth="1"/>
    <col min="3" max="3" width="13.83203125" customWidth="1"/>
    <col min="7" max="10" width="55.83203125" customWidth="1"/>
  </cols>
  <sheetData>
    <row r="2" spans="2:10" x14ac:dyDescent="0.2">
      <c r="B2" s="100" t="s">
        <v>74</v>
      </c>
      <c r="C2" s="101" t="b">
        <f>UNICA_EUR!S1</f>
        <v>0</v>
      </c>
      <c r="F2" s="45" t="s">
        <v>71</v>
      </c>
      <c r="G2" s="25" t="s">
        <v>151</v>
      </c>
      <c r="H2" s="25" t="s">
        <v>152</v>
      </c>
      <c r="I2" s="25" t="s">
        <v>153</v>
      </c>
      <c r="J2" s="25" t="s">
        <v>154</v>
      </c>
    </row>
    <row r="3" spans="2:10" x14ac:dyDescent="0.2">
      <c r="E3" s="54" t="str">
        <f>UNICA_EUR!F3</f>
        <v>6M</v>
      </c>
      <c r="F3" s="53">
        <f>UNICA_EUR!R3</f>
        <v>12.01</v>
      </c>
      <c r="G3" s="51" t="str">
        <f>IF($C$2,_xll.RtContribute($C$4,G$2&amp;$E3&amp;$C$5,CHOOSE({1,2},"BID","ASK"),CHOOSE({1,2},$F3,$F3),"SCOPE:SERVER FTC:ALL"),"--")</f>
        <v>--</v>
      </c>
      <c r="H3" s="51" t="str">
        <f>IF($C$2,_xll.RtContribute($C$4,H$2&amp;$E3&amp;$C$5,CHOOSE({1,2},"BID","ASK"),CHOOSE({1,2},$F3,$F3),"SCOPE:SERVER FTC:ALL"),"--")</f>
        <v>--</v>
      </c>
      <c r="I3" s="51" t="str">
        <f>IF($C$2,_xll.RtContribute($C$4,I$2&amp;$E3&amp;$C$5,CHOOSE({1,2},"BID","ASK"),CHOOSE({1,2},$F3,$F3),"SCOPE:SERVER FTC:ALL"),"--")</f>
        <v>--</v>
      </c>
      <c r="J3" s="51" t="str">
        <f>IF($C$2,_xll.RtContribute($C$4,J$2&amp;$E3&amp;$C$5,CHOOSE({1,2},"BID","ASK"),CHOOSE({1,2},$F3,$F3),"SCOPE:SERVER FTC:ALL"),"--")</f>
        <v>--</v>
      </c>
    </row>
    <row r="4" spans="2:10" x14ac:dyDescent="0.2">
      <c r="B4" s="15" t="s">
        <v>8</v>
      </c>
      <c r="C4" s="96" t="s">
        <v>62</v>
      </c>
      <c r="E4" s="48" t="str">
        <f>UNICA_EUR!F4</f>
        <v>1Y</v>
      </c>
      <c r="F4" s="46">
        <f>UNICA_EUR!R4</f>
        <v>29.92</v>
      </c>
      <c r="G4" s="43" t="str">
        <f>IF($C$2,_xll.RtContribute($C$4,G$2&amp;$E4&amp;$C$6,CHOOSE({1,2},"BID","ASK"),CHOOSE({1,2},$F4,$F4),"SCOPE:SERVER FTC:ALL"),"--")</f>
        <v>--</v>
      </c>
      <c r="H4" s="43" t="str">
        <f>IF($C$2,_xll.RtContribute($C$4,H$2&amp;$E4&amp;$C$6,CHOOSE({1,2},"BID","ASK"),CHOOSE({1,2},$F4,$F4),"SCOPE:SERVER FTC:ALL"),"--")</f>
        <v>--</v>
      </c>
      <c r="I4" s="43" t="str">
        <f>IF($C$2,_xll.RtContribute($C$4,I$2&amp;$E4&amp;$C$6,CHOOSE({1,2},"BID","ASK"),CHOOSE({1,2},$F4,$F4),"SCOPE:SERVER FTC:ALL"),"--")</f>
        <v>--</v>
      </c>
      <c r="J4" s="43" t="str">
        <f>IF($C$2,_xll.RtContribute($C$4,J$2&amp;$E4&amp;$C$6,CHOOSE({1,2},"BID","ASK"),CHOOSE({1,2},$F4,$F4),"SCOPE:SERVER FTC:ALL"),"--")</f>
        <v>--</v>
      </c>
    </row>
    <row r="5" spans="2:10" x14ac:dyDescent="0.2">
      <c r="B5" s="16" t="s">
        <v>10</v>
      </c>
      <c r="C5" s="98" t="s">
        <v>155</v>
      </c>
      <c r="E5" s="48" t="str">
        <f>UNICA_EUR!F5</f>
        <v>2Y</v>
      </c>
      <c r="F5" s="46">
        <f>UNICA_EUR!R5</f>
        <v>70.400000000000006</v>
      </c>
      <c r="G5" s="43" t="str">
        <f>IF($C$2,_xll.RtContribute($C$4,G$2&amp;$E5&amp;$C$6,CHOOSE({1,2},"BID","ASK"),CHOOSE({1,2},$F5,$F5),"SCOPE:SERVER FTC:ALL"),"--")</f>
        <v>--</v>
      </c>
      <c r="H5" s="43" t="str">
        <f>IF($C$2,_xll.RtContribute($C$4,H$2&amp;$E5&amp;$C$6,CHOOSE({1,2},"BID","ASK"),CHOOSE({1,2},$F5,$F5),"SCOPE:SERVER FTC:ALL"),"--")</f>
        <v>--</v>
      </c>
      <c r="I5" s="43" t="str">
        <f>IF($C$2,_xll.RtContribute($C$4,I$2&amp;$E5&amp;$C$6,CHOOSE({1,2},"BID","ASK"),CHOOSE({1,2},$F5,$F5),"SCOPE:SERVER FTC:ALL"),"--")</f>
        <v>--</v>
      </c>
      <c r="J5" s="43" t="str">
        <f>IF($C$2,_xll.RtContribute($C$4,J$2&amp;$E5&amp;$C$6,CHOOSE({1,2},"BID","ASK"),CHOOSE({1,2},$F5,$F5),"SCOPE:SERVER FTC:ALL"),"--")</f>
        <v>--</v>
      </c>
    </row>
    <row r="6" spans="2:10" x14ac:dyDescent="0.2">
      <c r="B6" s="17" t="s">
        <v>10</v>
      </c>
      <c r="C6" s="99" t="s">
        <v>155</v>
      </c>
      <c r="E6" s="48" t="str">
        <f>UNICA_EUR!F6</f>
        <v>3Y</v>
      </c>
      <c r="F6" s="46">
        <f>UNICA_EUR!R6</f>
        <v>81.77</v>
      </c>
      <c r="G6" s="43" t="str">
        <f>IF($C$2,_xll.RtContribute($C$4,G$2&amp;$E6&amp;$C$6,CHOOSE({1,2},"BID","ASK"),CHOOSE({1,2},$F6,$F6),"SCOPE:SERVER FTC:ALL"),"--")</f>
        <v>--</v>
      </c>
      <c r="H6" s="43" t="str">
        <f>IF($C$2,_xll.RtContribute($C$4,H$2&amp;$E6&amp;$C$6,CHOOSE({1,2},"BID","ASK"),CHOOSE({1,2},$F6,$F6),"SCOPE:SERVER FTC:ALL"),"--")</f>
        <v>--</v>
      </c>
      <c r="I6" s="43" t="str">
        <f>IF($C$2,_xll.RtContribute($C$4,I$2&amp;$E6&amp;$C$6,CHOOSE({1,2},"BID","ASK"),CHOOSE({1,2},$F6,$F6),"SCOPE:SERVER FTC:ALL"),"--")</f>
        <v>--</v>
      </c>
      <c r="J6" s="43" t="str">
        <f>IF($C$2,_xll.RtContribute($C$4,J$2&amp;$E6&amp;$C$6,CHOOSE({1,2},"BID","ASK"),CHOOSE({1,2},$F6,$F6),"SCOPE:SERVER FTC:ALL"),"--")</f>
        <v>--</v>
      </c>
    </row>
    <row r="7" spans="2:10" x14ac:dyDescent="0.2">
      <c r="E7" s="48" t="str">
        <f>UNICA_EUR!F7</f>
        <v>4Y</v>
      </c>
      <c r="F7" s="46">
        <f>UNICA_EUR!R7</f>
        <v>95.51</v>
      </c>
      <c r="G7" s="43" t="str">
        <f>IF($C$2,_xll.RtContribute($C$4,G$2&amp;$E7&amp;$C$6,CHOOSE({1,2},"BID","ASK"),CHOOSE({1,2},$F7,$F7),"SCOPE:SERVER FTC:ALL"),"--")</f>
        <v>--</v>
      </c>
      <c r="H7" s="43" t="str">
        <f>IF($C$2,_xll.RtContribute($C$4,H$2&amp;$E7&amp;$C$6,CHOOSE({1,2},"BID","ASK"),CHOOSE({1,2},$F7,$F7),"SCOPE:SERVER FTC:ALL"),"--")</f>
        <v>--</v>
      </c>
      <c r="I7" s="43" t="str">
        <f>IF($C$2,_xll.RtContribute($C$4,I$2&amp;$E7&amp;$C$6,CHOOSE({1,2},"BID","ASK"),CHOOSE({1,2},$F7,$F7),"SCOPE:SERVER FTC:ALL"),"--")</f>
        <v>--</v>
      </c>
      <c r="J7" s="43" t="str">
        <f>IF($C$2,_xll.RtContribute($C$4,J$2&amp;$E7&amp;$C$6,CHOOSE({1,2},"BID","ASK"),CHOOSE({1,2},$F7,$F7),"SCOPE:SERVER FTC:ALL"),"--")</f>
        <v>--</v>
      </c>
    </row>
    <row r="8" spans="2:10" x14ac:dyDescent="0.2">
      <c r="E8" s="48" t="str">
        <f>UNICA_EUR!F8</f>
        <v>5Y</v>
      </c>
      <c r="F8" s="46">
        <f>UNICA_EUR!R8</f>
        <v>116.54</v>
      </c>
      <c r="G8" s="43" t="str">
        <f>IF($C$2,_xll.RtContribute($C$4,G$2&amp;$E8&amp;$C$6,CHOOSE({1,2},"BID","ASK"),CHOOSE({1,2},$F8,$F8),"SCOPE:SERVER FTC:ALL"),"--")</f>
        <v>--</v>
      </c>
      <c r="H8" s="43" t="str">
        <f>IF($C$2,_xll.RtContribute($C$4,H$2&amp;$E8&amp;$C$6,CHOOSE({1,2},"BID","ASK"),CHOOSE({1,2},$F8,$F8),"SCOPE:SERVER FTC:ALL"),"--")</f>
        <v>--</v>
      </c>
      <c r="I8" s="43" t="str">
        <f>IF($C$2,_xll.RtContribute($C$4,I$2&amp;$E8&amp;$C$6,CHOOSE({1,2},"BID","ASK"),CHOOSE({1,2},$F8,$F8),"SCOPE:SERVER FTC:ALL"),"--")</f>
        <v>--</v>
      </c>
      <c r="J8" s="43" t="str">
        <f>IF($C$2,_xll.RtContribute($C$4,J$2&amp;$E8&amp;$C$6,CHOOSE({1,2},"BID","ASK"),CHOOSE({1,2},$F8,$F8),"SCOPE:SERVER FTC:ALL"),"--")</f>
        <v>--</v>
      </c>
    </row>
    <row r="9" spans="2:10" x14ac:dyDescent="0.2">
      <c r="E9" s="48" t="str">
        <f>UNICA_EUR!F9</f>
        <v>6Y</v>
      </c>
      <c r="F9" s="46">
        <f>UNICA_EUR!R9</f>
        <v>122.41</v>
      </c>
      <c r="G9" s="43" t="str">
        <f>IF($C$2,_xll.RtContribute($C$4,G$2&amp;$E9&amp;$C$6,CHOOSE({1,2},"BID","ASK"),CHOOSE({1,2},$F9,$F9),"SCOPE:SERVER FTC:ALL"),"--")</f>
        <v>--</v>
      </c>
      <c r="H9" s="43" t="str">
        <f>IF($C$2,_xll.RtContribute($C$4,H$2&amp;$E9&amp;$C$6,CHOOSE({1,2},"BID","ASK"),CHOOSE({1,2},$F9,$F9),"SCOPE:SERVER FTC:ALL"),"--")</f>
        <v>--</v>
      </c>
      <c r="I9" s="43" t="str">
        <f>IF($C$2,_xll.RtContribute($C$4,I$2&amp;$E9&amp;$C$6,CHOOSE({1,2},"BID","ASK"),CHOOSE({1,2},$F9,$F9),"SCOPE:SERVER FTC:ALL"),"--")</f>
        <v>--</v>
      </c>
      <c r="J9" s="43" t="str">
        <f>IF($C$2,_xll.RtContribute($C$4,J$2&amp;$E9&amp;$C$6,CHOOSE({1,2},"BID","ASK"),CHOOSE({1,2},$F9,$F9),"SCOPE:SERVER FTC:ALL"),"--")</f>
        <v>--</v>
      </c>
    </row>
    <row r="10" spans="2:10" x14ac:dyDescent="0.2">
      <c r="E10" s="48" t="str">
        <f>UNICA_EUR!F10</f>
        <v>7Y</v>
      </c>
      <c r="F10" s="46">
        <f>UNICA_EUR!R10</f>
        <v>134.58000000000001</v>
      </c>
      <c r="G10" s="43" t="str">
        <f>IF($C$2,_xll.RtContribute($C$4,G$2&amp;$E10&amp;$C$6,CHOOSE({1,2},"BID","ASK"),CHOOSE({1,2},$F10,$F10),"SCOPE:SERVER FTC:ALL"),"--")</f>
        <v>--</v>
      </c>
      <c r="H10" s="43" t="str">
        <f>IF($C$2,_xll.RtContribute($C$4,H$2&amp;$E10&amp;$C$6,CHOOSE({1,2},"BID","ASK"),CHOOSE({1,2},$F10,$F10),"SCOPE:SERVER FTC:ALL"),"--")</f>
        <v>--</v>
      </c>
      <c r="I10" s="43" t="str">
        <f>IF($C$2,_xll.RtContribute($C$4,I$2&amp;$E10&amp;$C$6,CHOOSE({1,2},"BID","ASK"),CHOOSE({1,2},$F10,$F10),"SCOPE:SERVER FTC:ALL"),"--")</f>
        <v>--</v>
      </c>
      <c r="J10" s="43" t="str">
        <f>IF($C$2,_xll.RtContribute($C$4,J$2&amp;$E10&amp;$C$6,CHOOSE({1,2},"BID","ASK"),CHOOSE({1,2},$F10,$F10),"SCOPE:SERVER FTC:ALL"),"--")</f>
        <v>--</v>
      </c>
    </row>
    <row r="11" spans="2:10" x14ac:dyDescent="0.2">
      <c r="E11" s="48" t="str">
        <f>UNICA_EUR!F11</f>
        <v>8Y</v>
      </c>
      <c r="F11" s="46">
        <f>UNICA_EUR!R11</f>
        <v>143.55000000000001</v>
      </c>
      <c r="G11" s="43" t="str">
        <f>IF($C$2,_xll.RtContribute($C$4,G$2&amp;$E11&amp;$C$6,CHOOSE({1,2},"BID","ASK"),CHOOSE({1,2},$F11,$F11),"SCOPE:SERVER FTC:ALL"),"--")</f>
        <v>--</v>
      </c>
      <c r="H11" s="43" t="str">
        <f>IF($C$2,_xll.RtContribute($C$4,H$2&amp;$E11&amp;$C$6,CHOOSE({1,2},"BID","ASK"),CHOOSE({1,2},$F11,$F11),"SCOPE:SERVER FTC:ALL"),"--")</f>
        <v>--</v>
      </c>
      <c r="I11" s="43" t="str">
        <f>IF($C$2,_xll.RtContribute($C$4,I$2&amp;$E11&amp;$C$6,CHOOSE({1,2},"BID","ASK"),CHOOSE({1,2},$F11,$F11),"SCOPE:SERVER FTC:ALL"),"--")</f>
        <v>--</v>
      </c>
      <c r="J11" s="43" t="str">
        <f>IF($C$2,_xll.RtContribute($C$4,J$2&amp;$E11&amp;$C$6,CHOOSE({1,2},"BID","ASK"),CHOOSE({1,2},$F11,$F11),"SCOPE:SERVER FTC:ALL"),"--")</f>
        <v>--</v>
      </c>
    </row>
    <row r="12" spans="2:10" x14ac:dyDescent="0.2">
      <c r="E12" s="48" t="str">
        <f>UNICA_EUR!F12</f>
        <v>9Y</v>
      </c>
      <c r="F12" s="46">
        <f>UNICA_EUR!R12</f>
        <v>153.72</v>
      </c>
      <c r="G12" s="43" t="str">
        <f>IF($C$2,_xll.RtContribute($C$4,G$2&amp;$E12&amp;$C$6,CHOOSE({1,2},"BID","ASK"),CHOOSE({1,2},$F12,$F12),"SCOPE:SERVER FTC:ALL"),"--")</f>
        <v>--</v>
      </c>
      <c r="H12" s="43" t="str">
        <f>IF($C$2,_xll.RtContribute($C$4,H$2&amp;$E12&amp;$C$6,CHOOSE({1,2},"BID","ASK"),CHOOSE({1,2},$F12,$F12),"SCOPE:SERVER FTC:ALL"),"--")</f>
        <v>--</v>
      </c>
      <c r="I12" s="43" t="str">
        <f>IF($C$2,_xll.RtContribute($C$4,I$2&amp;$E12&amp;$C$6,CHOOSE({1,2},"BID","ASK"),CHOOSE({1,2},$F12,$F12),"SCOPE:SERVER FTC:ALL"),"--")</f>
        <v>--</v>
      </c>
      <c r="J12" s="43" t="str">
        <f>IF($C$2,_xll.RtContribute($C$4,J$2&amp;$E12&amp;$C$6,CHOOSE({1,2},"BID","ASK"),CHOOSE({1,2},$F12,$F12),"SCOPE:SERVER FTC:ALL"),"--")</f>
        <v>--</v>
      </c>
    </row>
    <row r="13" spans="2:10" x14ac:dyDescent="0.2">
      <c r="E13" s="48" t="str">
        <f>UNICA_EUR!F13</f>
        <v>10Y</v>
      </c>
      <c r="F13" s="46">
        <f>UNICA_EUR!R13</f>
        <v>164.77</v>
      </c>
      <c r="G13" s="43" t="str">
        <f>IF($C$2,_xll.RtContribute($C$4,G$2&amp;$E13&amp;$C$6,CHOOSE({1,2},"BID","ASK"),CHOOSE({1,2},$F13,$F13),"SCOPE:SERVER FTC:ALL"),"--")</f>
        <v>--</v>
      </c>
      <c r="H13" s="43" t="str">
        <f>IF($C$2,_xll.RtContribute($C$4,H$2&amp;$E13&amp;$C$6,CHOOSE({1,2},"BID","ASK"),CHOOSE({1,2},$F13,$F13),"SCOPE:SERVER FTC:ALL"),"--")</f>
        <v>--</v>
      </c>
      <c r="I13" s="43" t="str">
        <f>IF($C$2,_xll.RtContribute($C$4,I$2&amp;$E13&amp;$C$6,CHOOSE({1,2},"BID","ASK"),CHOOSE({1,2},$F13,$F13),"SCOPE:SERVER FTC:ALL"),"--")</f>
        <v>--</v>
      </c>
      <c r="J13" s="43" t="str">
        <f>IF($C$2,_xll.RtContribute($C$4,J$2&amp;$E13&amp;$C$6,CHOOSE({1,2},"BID","ASK"),CHOOSE({1,2},$F13,$F13),"SCOPE:SERVER FTC:ALL"),"--")</f>
        <v>--</v>
      </c>
    </row>
    <row r="14" spans="2:10" x14ac:dyDescent="0.2">
      <c r="E14" s="48" t="str">
        <f>UNICA_EUR!F14</f>
        <v>15Y</v>
      </c>
      <c r="F14" s="46">
        <f>UNICA_EUR!R14</f>
        <v>232.24</v>
      </c>
      <c r="G14" s="43" t="str">
        <f>IF($C$2,_xll.RtContribute($C$4,G$2&amp;$E14&amp;$C$6,CHOOSE({1,2},"BID","ASK"),CHOOSE({1,2},$F14,$F14),"SCOPE:SERVER FTC:ALL"),"--")</f>
        <v>--</v>
      </c>
      <c r="H14" s="43" t="str">
        <f>IF($C$2,_xll.RtContribute($C$4,H$2&amp;$E14&amp;$C$6,CHOOSE({1,2},"BID","ASK"),CHOOSE({1,2},$F14,$F14),"SCOPE:SERVER FTC:ALL"),"--")</f>
        <v>--</v>
      </c>
      <c r="I14" s="43" t="str">
        <f>IF($C$2,_xll.RtContribute($C$4,I$2&amp;$E14&amp;$C$6,CHOOSE({1,2},"BID","ASK"),CHOOSE({1,2},$F14,$F14),"SCOPE:SERVER FTC:ALL"),"--")</f>
        <v>--</v>
      </c>
      <c r="J14" s="43" t="str">
        <f>IF($C$2,_xll.RtContribute($C$4,J$2&amp;$E14&amp;$C$6,CHOOSE({1,2},"BID","ASK"),CHOOSE({1,2},$F14,$F14),"SCOPE:SERVER FTC:ALL"),"--")</f>
        <v>--</v>
      </c>
    </row>
    <row r="15" spans="2:10" x14ac:dyDescent="0.2">
      <c r="E15" s="48" t="str">
        <f>UNICA_EUR!F15</f>
        <v>20Y</v>
      </c>
      <c r="F15" s="46">
        <f>UNICA_EUR!R15</f>
        <v>232.24</v>
      </c>
      <c r="G15" s="43" t="str">
        <f>IF($C$2,_xll.RtContribute($C$4,G$2&amp;$E15&amp;$C$6,CHOOSE({1,2},"BID","ASK"),CHOOSE({1,2},$F15,$F15),"SCOPE:SERVER FTC:ALL"),"--")</f>
        <v>--</v>
      </c>
      <c r="H15" s="43" t="str">
        <f>IF($C$2,_xll.RtContribute($C$4,H$2&amp;$E15&amp;$C$6,CHOOSE({1,2},"BID","ASK"),CHOOSE({1,2},$F15,$F15),"SCOPE:SERVER FTC:ALL"),"--")</f>
        <v>--</v>
      </c>
      <c r="I15" s="43" t="str">
        <f>IF($C$2,_xll.RtContribute($C$4,I$2&amp;$E15&amp;$C$6,CHOOSE({1,2},"BID","ASK"),CHOOSE({1,2},$F15,$F15),"SCOPE:SERVER FTC:ALL"),"--")</f>
        <v>--</v>
      </c>
      <c r="J15" s="43" t="str">
        <f>IF($C$2,_xll.RtContribute($C$4,J$2&amp;$E15&amp;$C$6,CHOOSE({1,2},"BID","ASK"),CHOOSE({1,2},$F15,$F15),"SCOPE:SERVER FTC:ALL"),"--")</f>
        <v>--</v>
      </c>
    </row>
    <row r="16" spans="2:10" x14ac:dyDescent="0.2">
      <c r="E16" s="48" t="str">
        <f>UNICA_EUR!F16</f>
        <v>25Y</v>
      </c>
      <c r="F16" s="46">
        <f>UNICA_EUR!R16</f>
        <v>232.24</v>
      </c>
      <c r="G16" s="43" t="str">
        <f>IF($C$2,_xll.RtContribute($C$4,G$2&amp;$E16&amp;$C$6,CHOOSE({1,2},"BID","ASK"),CHOOSE({1,2},$F16,$F16),"SCOPE:SERVER FTC:ALL"),"--")</f>
        <v>--</v>
      </c>
      <c r="H16" s="43" t="str">
        <f>IF($C$2,_xll.RtContribute($C$4,H$2&amp;$E16&amp;$C$6,CHOOSE({1,2},"BID","ASK"),CHOOSE({1,2},$F16,$F16),"SCOPE:SERVER FTC:ALL"),"--")</f>
        <v>--</v>
      </c>
      <c r="I16" s="43" t="str">
        <f>IF($C$2,_xll.RtContribute($C$4,I$2&amp;$E16&amp;$C$6,CHOOSE({1,2},"BID","ASK"),CHOOSE({1,2},$F16,$F16),"SCOPE:SERVER FTC:ALL"),"--")</f>
        <v>--</v>
      </c>
      <c r="J16" s="43" t="str">
        <f>IF($C$2,_xll.RtContribute($C$4,J$2&amp;$E16&amp;$C$6,CHOOSE({1,2},"BID","ASK"),CHOOSE({1,2},$F16,$F16),"SCOPE:SERVER FTC:ALL"),"--")</f>
        <v>--</v>
      </c>
    </row>
    <row r="17" spans="5:10" x14ac:dyDescent="0.2">
      <c r="E17" s="49" t="str">
        <f>UNICA_EUR!F17</f>
        <v>30Y</v>
      </c>
      <c r="F17" s="47">
        <f>UNICA_EUR!R17</f>
        <v>232.24</v>
      </c>
      <c r="G17" s="44" t="str">
        <f>IF($C$2,_xll.RtContribute($C$4,G$2&amp;$E17&amp;$C$6,CHOOSE({1,2},"BID","ASK"),CHOOSE({1,2},$F17,$F17),"SCOPE:SERVER FTC:ALL"),"--")</f>
        <v>--</v>
      </c>
      <c r="H17" s="44" t="str">
        <f>IF($C$2,_xll.RtContribute($C$4,H$2&amp;$E17&amp;$C$6,CHOOSE({1,2},"BID","ASK"),CHOOSE({1,2},$F17,$F17),"SCOPE:SERVER FTC:ALL"),"--")</f>
        <v>--</v>
      </c>
      <c r="I17" s="44" t="str">
        <f>IF($C$2,_xll.RtContribute($C$4,I$2&amp;$E17&amp;$C$6,CHOOSE({1,2},"BID","ASK"),CHOOSE({1,2},$F17,$F17),"SCOPE:SERVER FTC:ALL"),"--")</f>
        <v>--</v>
      </c>
      <c r="J17" s="44" t="str">
        <f>IF($C$2,_xll.RtContribute($C$4,J$2&amp;$E17&amp;$C$6,CHOOSE({1,2},"BID","ASK"),CHOOSE({1,2},$F17,$F17),"SCOPE:SERVER FTC:ALL"),"--")</f>
        <v>--</v>
      </c>
    </row>
    <row r="20" spans="5:10" x14ac:dyDescent="0.2">
      <c r="G20" t="s">
        <v>91</v>
      </c>
      <c r="H20" t="s">
        <v>92</v>
      </c>
      <c r="I20" t="s">
        <v>93</v>
      </c>
      <c r="J20" t="s">
        <v>94</v>
      </c>
    </row>
    <row r="21" spans="5:10" x14ac:dyDescent="0.2">
      <c r="G21" t="s">
        <v>95</v>
      </c>
      <c r="H21" t="s">
        <v>96</v>
      </c>
      <c r="I21" t="s">
        <v>97</v>
      </c>
      <c r="J21" t="s">
        <v>98</v>
      </c>
    </row>
    <row r="22" spans="5:10" x14ac:dyDescent="0.2">
      <c r="G22" t="s">
        <v>99</v>
      </c>
      <c r="H22" t="s">
        <v>100</v>
      </c>
      <c r="I22" t="s">
        <v>101</v>
      </c>
      <c r="J22" t="s">
        <v>102</v>
      </c>
    </row>
    <row r="23" spans="5:10" x14ac:dyDescent="0.2">
      <c r="G23" t="s">
        <v>103</v>
      </c>
      <c r="H23" t="s">
        <v>104</v>
      </c>
      <c r="I23" t="s">
        <v>105</v>
      </c>
      <c r="J23" t="s">
        <v>106</v>
      </c>
    </row>
    <row r="24" spans="5:10" x14ac:dyDescent="0.2">
      <c r="G24" t="s">
        <v>107</v>
      </c>
      <c r="H24" t="s">
        <v>108</v>
      </c>
      <c r="I24" t="s">
        <v>109</v>
      </c>
      <c r="J24" t="s">
        <v>110</v>
      </c>
    </row>
    <row r="25" spans="5:10" x14ac:dyDescent="0.2">
      <c r="G25" t="s">
        <v>111</v>
      </c>
      <c r="H25" t="s">
        <v>112</v>
      </c>
      <c r="I25" t="s">
        <v>113</v>
      </c>
      <c r="J25" t="s">
        <v>114</v>
      </c>
    </row>
    <row r="26" spans="5:10" x14ac:dyDescent="0.2">
      <c r="G26" t="s">
        <v>115</v>
      </c>
      <c r="H26" t="s">
        <v>116</v>
      </c>
      <c r="I26" t="s">
        <v>117</v>
      </c>
      <c r="J26" t="s">
        <v>118</v>
      </c>
    </row>
    <row r="27" spans="5:10" x14ac:dyDescent="0.2">
      <c r="G27" t="s">
        <v>119</v>
      </c>
      <c r="H27" t="s">
        <v>120</v>
      </c>
      <c r="I27" t="s">
        <v>121</v>
      </c>
      <c r="J27" t="s">
        <v>122</v>
      </c>
    </row>
    <row r="28" spans="5:10" x14ac:dyDescent="0.2">
      <c r="G28" t="s">
        <v>123</v>
      </c>
      <c r="H28" t="s">
        <v>124</v>
      </c>
      <c r="I28" t="s">
        <v>125</v>
      </c>
      <c r="J28" t="s">
        <v>126</v>
      </c>
    </row>
    <row r="29" spans="5:10" x14ac:dyDescent="0.2">
      <c r="G29" t="s">
        <v>127</v>
      </c>
      <c r="H29" t="s">
        <v>128</v>
      </c>
      <c r="I29" t="s">
        <v>129</v>
      </c>
      <c r="J29" t="s">
        <v>130</v>
      </c>
    </row>
    <row r="30" spans="5:10" x14ac:dyDescent="0.2">
      <c r="G30" t="s">
        <v>131</v>
      </c>
      <c r="H30" t="s">
        <v>132</v>
      </c>
      <c r="I30" t="s">
        <v>133</v>
      </c>
      <c r="J30" t="s">
        <v>134</v>
      </c>
    </row>
    <row r="31" spans="5:10" x14ac:dyDescent="0.2">
      <c r="G31" t="s">
        <v>135</v>
      </c>
      <c r="H31" t="s">
        <v>136</v>
      </c>
      <c r="I31" t="s">
        <v>137</v>
      </c>
      <c r="J31" t="s">
        <v>138</v>
      </c>
    </row>
    <row r="32" spans="5:10" x14ac:dyDescent="0.2">
      <c r="G32" t="s">
        <v>139</v>
      </c>
      <c r="H32" t="s">
        <v>140</v>
      </c>
      <c r="I32" t="s">
        <v>141</v>
      </c>
      <c r="J32" t="s">
        <v>142</v>
      </c>
    </row>
    <row r="33" spans="7:10" x14ac:dyDescent="0.2">
      <c r="G33" t="s">
        <v>143</v>
      </c>
      <c r="H33" t="s">
        <v>144</v>
      </c>
      <c r="I33" t="s">
        <v>145</v>
      </c>
      <c r="J33" t="s">
        <v>146</v>
      </c>
    </row>
    <row r="34" spans="7:10" x14ac:dyDescent="0.2">
      <c r="G34" t="s">
        <v>147</v>
      </c>
      <c r="H34" t="s">
        <v>148</v>
      </c>
      <c r="I34" t="s">
        <v>149</v>
      </c>
      <c r="J34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42</vt:i4>
      </vt:variant>
    </vt:vector>
  </HeadingPairs>
  <TitlesOfParts>
    <vt:vector size="46" baseType="lpstr">
      <vt:lpstr>dvCurveBootstrapperOptions</vt:lpstr>
      <vt:lpstr>UNICA_EUR</vt:lpstr>
      <vt:lpstr>Sensitivities</vt:lpstr>
      <vt:lpstr>DeprecatedCurves</vt:lpstr>
      <vt:lpstr>UNICA_EUR!BizDayConv</vt:lpstr>
      <vt:lpstr>UNICA_EUR!Calendar</vt:lpstr>
      <vt:lpstr>UNICA_EUR!Currency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UNICA_EUR!Enabled</vt:lpstr>
      <vt:lpstr>UNICA_EUR!EntityName</vt:lpstr>
      <vt:lpstr>UNICA_EUR!EvaluationDate</vt:lpstr>
      <vt:lpstr>UNICA_EUR!FloatingFlag</vt:lpstr>
      <vt:lpstr>UNICA_EUR!IborIndex</vt:lpstr>
      <vt:lpstr>UNICA_EUR!ImplCDS</vt:lpstr>
      <vt:lpstr>UNICA_EUR!ImplPrices</vt:lpstr>
      <vt:lpstr>UNICA_EUR!IsOK</vt:lpstr>
      <vt:lpstr>UNICA_EUR!ManualTrigger</vt:lpstr>
      <vt:lpstr>UNICA_EUR!Maties</vt:lpstr>
      <vt:lpstr>UNICA_EUR!Notional</vt:lpstr>
      <vt:lpstr>Sensitivities!npData</vt:lpstr>
      <vt:lpstr>Sensitivities!npPrices</vt:lpstr>
      <vt:lpstr>ObjectOverwrite</vt:lpstr>
      <vt:lpstr>UNICA_EUR!ObjectsTrigger</vt:lpstr>
      <vt:lpstr>UNICA_EUR!pdgDiscCurve</vt:lpstr>
      <vt:lpstr>Permanent</vt:lpstr>
      <vt:lpstr>UNICA_EUR!qlDiscCurve</vt:lpstr>
      <vt:lpstr>UNICA_EUR!Recovery</vt:lpstr>
      <vt:lpstr>UNICA_EUR!RtTrigger</vt:lpstr>
      <vt:lpstr>Sensitivities!sensyCDS</vt:lpstr>
      <vt:lpstr>Sensitivities!sensyZC</vt:lpstr>
      <vt:lpstr>UNICA_EUR!SettlementDate</vt:lpstr>
      <vt:lpstr>UNICA_EUR!SettlementDays</vt:lpstr>
      <vt:lpstr>Sensitivities!shift</vt:lpstr>
      <vt:lpstr>Sensitivities!Spread</vt:lpstr>
      <vt:lpstr>UNICA_EUR!Spread</vt:lpstr>
      <vt:lpstr>Sensitivities!Times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2012-06-21T08:56:32Z</dcterms:created>
  <dcterms:modified xsi:type="dcterms:W3CDTF">2017-01-30T09:45:37Z</dcterms:modified>
</cp:coreProperties>
</file>