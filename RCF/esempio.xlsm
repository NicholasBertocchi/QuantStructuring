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90" windowWidth="18195" windowHeight="12270"/>
  </bookViews>
  <sheets>
    <sheet name="Sheet1" sheetId="1" r:id="rId1"/>
    <sheet name="Sheet2" sheetId="2" r:id="rId2"/>
    <sheet name="Sheet3" sheetId="3" r:id="rId3"/>
  </sheets>
  <definedNames>
    <definedName name="Trigger">Sheet2!$E$7</definedName>
  </definedNames>
  <calcPr calcId="145621"/>
</workbook>
</file>

<file path=xl/calcChain.xml><?xml version="1.0" encoding="utf-8"?>
<calcChain xmlns="http://schemas.openxmlformats.org/spreadsheetml/2006/main">
  <c r="Z30" i="1" l="1"/>
  <c r="Z38" i="1"/>
  <c r="Z46" i="1"/>
  <c r="Z54" i="1"/>
  <c r="Z62" i="1"/>
  <c r="Z70" i="1"/>
  <c r="Z78" i="1"/>
  <c r="Z86" i="1"/>
  <c r="Z94" i="1"/>
  <c r="Z102" i="1"/>
  <c r="Z110" i="1"/>
  <c r="Z118" i="1"/>
  <c r="Z126" i="1"/>
  <c r="Z134" i="1"/>
  <c r="Z142" i="1"/>
  <c r="Z150" i="1"/>
  <c r="Z158" i="1"/>
  <c r="Z166" i="1"/>
  <c r="Z174" i="1"/>
  <c r="Z182" i="1"/>
  <c r="Z190" i="1"/>
  <c r="Z198" i="1"/>
  <c r="Z206" i="1"/>
  <c r="Z214" i="1"/>
  <c r="Z222" i="1"/>
  <c r="Z230" i="1"/>
  <c r="Z238" i="1"/>
  <c r="Z246" i="1"/>
  <c r="Z254" i="1"/>
  <c r="Z262" i="1"/>
  <c r="Z270" i="1"/>
  <c r="Z278" i="1"/>
  <c r="Z286" i="1"/>
  <c r="Z294" i="1"/>
  <c r="Z302" i="1"/>
  <c r="Z310" i="1"/>
  <c r="Z318" i="1"/>
  <c r="Z326" i="1"/>
  <c r="Z334" i="1"/>
  <c r="Z342" i="1"/>
  <c r="Z350" i="1"/>
  <c r="Z358" i="1"/>
  <c r="Z366" i="1"/>
  <c r="Z374" i="1"/>
  <c r="Z382" i="1"/>
  <c r="Z390" i="1"/>
  <c r="Z398" i="1"/>
  <c r="Z406" i="1"/>
  <c r="Z414" i="1"/>
  <c r="Z422" i="1"/>
  <c r="Z430" i="1"/>
  <c r="Z438" i="1"/>
  <c r="Z446" i="1"/>
  <c r="Z454" i="1"/>
  <c r="Z462" i="1"/>
  <c r="Z470" i="1"/>
  <c r="Z478" i="1"/>
  <c r="Z486" i="1"/>
  <c r="Z494" i="1"/>
  <c r="Z502" i="1"/>
  <c r="Z510" i="1"/>
  <c r="Z518" i="1"/>
  <c r="Z526" i="1"/>
  <c r="Z534" i="1"/>
  <c r="Z542" i="1"/>
  <c r="Z550" i="1"/>
  <c r="Z558" i="1"/>
  <c r="Z566" i="1"/>
  <c r="Z574" i="1"/>
  <c r="Z582" i="1"/>
  <c r="Z590" i="1"/>
  <c r="Z598" i="1"/>
  <c r="Z606" i="1"/>
  <c r="Z614" i="1"/>
  <c r="Z622" i="1"/>
  <c r="Z630" i="1"/>
  <c r="Z638" i="1"/>
  <c r="Z646" i="1"/>
  <c r="Z654" i="1"/>
  <c r="Z662" i="1"/>
  <c r="Z670" i="1"/>
  <c r="Z678" i="1"/>
  <c r="Z686" i="1"/>
  <c r="Z694" i="1"/>
  <c r="Z702" i="1"/>
  <c r="Z710" i="1"/>
  <c r="Z718" i="1"/>
  <c r="Z726" i="1"/>
  <c r="Z734" i="1"/>
  <c r="Z742" i="1"/>
  <c r="Z750" i="1"/>
  <c r="Z758" i="1"/>
  <c r="Z766" i="1"/>
  <c r="Z774" i="1"/>
  <c r="Z782" i="1"/>
  <c r="Z790" i="1"/>
  <c r="Z798" i="1"/>
  <c r="Z806" i="1"/>
  <c r="Z814" i="1"/>
  <c r="Z822" i="1"/>
  <c r="Z830" i="1"/>
  <c r="Z838" i="1"/>
  <c r="Z846" i="1"/>
  <c r="Z854" i="1"/>
  <c r="Z862" i="1"/>
  <c r="Z870" i="1"/>
  <c r="Z878" i="1"/>
  <c r="Z886" i="1"/>
  <c r="Z894" i="1"/>
  <c r="Z902" i="1"/>
  <c r="Z910" i="1"/>
  <c r="Z918" i="1"/>
  <c r="Z926" i="1"/>
  <c r="Z934" i="1"/>
  <c r="Z942" i="1"/>
  <c r="Z950" i="1"/>
  <c r="Z958" i="1"/>
  <c r="Z966" i="1"/>
  <c r="Z974" i="1"/>
  <c r="Z982" i="1"/>
  <c r="Z990" i="1"/>
  <c r="Z998" i="1"/>
  <c r="Z1006" i="1"/>
  <c r="Z1014" i="1"/>
  <c r="Z1022" i="1"/>
  <c r="Z1030" i="1"/>
  <c r="Z1038" i="1"/>
  <c r="Z31" i="1"/>
  <c r="Z39" i="1"/>
  <c r="Z47" i="1"/>
  <c r="Z55" i="1"/>
  <c r="Z63" i="1"/>
  <c r="Z71" i="1"/>
  <c r="Z79" i="1"/>
  <c r="Z87" i="1"/>
  <c r="Z95" i="1"/>
  <c r="Z103" i="1"/>
  <c r="Z111" i="1"/>
  <c r="Z119" i="1"/>
  <c r="Z127" i="1"/>
  <c r="Z135" i="1"/>
  <c r="Z143" i="1"/>
  <c r="Z151" i="1"/>
  <c r="Z159" i="1"/>
  <c r="Z167" i="1"/>
  <c r="Z175" i="1"/>
  <c r="Z183" i="1"/>
  <c r="Z191" i="1"/>
  <c r="Z199" i="1"/>
  <c r="Z207" i="1"/>
  <c r="Z215" i="1"/>
  <c r="Z223" i="1"/>
  <c r="Z231" i="1"/>
  <c r="Z239" i="1"/>
  <c r="Z247" i="1"/>
  <c r="Z255" i="1"/>
  <c r="Z263" i="1"/>
  <c r="Z271" i="1"/>
  <c r="Z279" i="1"/>
  <c r="Z287" i="1"/>
  <c r="Z295" i="1"/>
  <c r="Z303" i="1"/>
  <c r="Z311" i="1"/>
  <c r="Z319" i="1"/>
  <c r="Z327" i="1"/>
  <c r="Z335" i="1"/>
  <c r="Z343" i="1"/>
  <c r="Z351" i="1"/>
  <c r="Z359" i="1"/>
  <c r="Z367" i="1"/>
  <c r="Z375" i="1"/>
  <c r="Z383" i="1"/>
  <c r="Z391" i="1"/>
  <c r="Z399" i="1"/>
  <c r="Z407" i="1"/>
  <c r="Z415" i="1"/>
  <c r="Z423" i="1"/>
  <c r="Z431" i="1"/>
  <c r="Z439" i="1"/>
  <c r="Z447" i="1"/>
  <c r="Z32" i="1"/>
  <c r="Z42" i="1"/>
  <c r="Z52" i="1"/>
  <c r="Z64" i="1"/>
  <c r="Z74" i="1"/>
  <c r="Z84" i="1"/>
  <c r="Z96" i="1"/>
  <c r="Z106" i="1"/>
  <c r="Z116" i="1"/>
  <c r="Z128" i="1"/>
  <c r="Z138" i="1"/>
  <c r="Z148" i="1"/>
  <c r="Z160" i="1"/>
  <c r="Z170" i="1"/>
  <c r="Z180" i="1"/>
  <c r="Z192" i="1"/>
  <c r="Z202" i="1"/>
  <c r="Z212" i="1"/>
  <c r="Z224" i="1"/>
  <c r="Z234" i="1"/>
  <c r="Z244" i="1"/>
  <c r="Z256" i="1"/>
  <c r="Z266" i="1"/>
  <c r="Z276" i="1"/>
  <c r="Z288" i="1"/>
  <c r="Z298" i="1"/>
  <c r="Z308" i="1"/>
  <c r="Z320" i="1"/>
  <c r="Z330" i="1"/>
  <c r="Z340" i="1"/>
  <c r="Z352" i="1"/>
  <c r="Z362" i="1"/>
  <c r="Z372" i="1"/>
  <c r="Z384" i="1"/>
  <c r="Z394" i="1"/>
  <c r="Z404" i="1"/>
  <c r="Z416" i="1"/>
  <c r="Z426" i="1"/>
  <c r="Z436" i="1"/>
  <c r="Z448" i="1"/>
  <c r="Z457" i="1"/>
  <c r="Z466" i="1"/>
  <c r="Z475" i="1"/>
  <c r="Z484" i="1"/>
  <c r="Z493" i="1"/>
  <c r="Z503" i="1"/>
  <c r="Z512" i="1"/>
  <c r="Z521" i="1"/>
  <c r="Z530" i="1"/>
  <c r="Z539" i="1"/>
  <c r="Z548" i="1"/>
  <c r="Z557" i="1"/>
  <c r="Z567" i="1"/>
  <c r="Z576" i="1"/>
  <c r="Z585" i="1"/>
  <c r="Z594" i="1"/>
  <c r="Z603" i="1"/>
  <c r="Z612" i="1"/>
  <c r="Z621" i="1"/>
  <c r="Z631" i="1"/>
  <c r="Z640" i="1"/>
  <c r="Z649" i="1"/>
  <c r="Z658" i="1"/>
  <c r="Z667" i="1"/>
  <c r="Z676" i="1"/>
  <c r="Z685" i="1"/>
  <c r="Z695" i="1"/>
  <c r="Z704" i="1"/>
  <c r="Z713" i="1"/>
  <c r="Z722" i="1"/>
  <c r="Z731" i="1"/>
  <c r="Z740" i="1"/>
  <c r="Z749" i="1"/>
  <c r="Z759" i="1"/>
  <c r="Z768" i="1"/>
  <c r="Z777" i="1"/>
  <c r="Z786" i="1"/>
  <c r="Z795" i="1"/>
  <c r="Z804" i="1"/>
  <c r="Z813" i="1"/>
  <c r="Z823" i="1"/>
  <c r="Z832" i="1"/>
  <c r="Z841" i="1"/>
  <c r="Z850" i="1"/>
  <c r="Z859" i="1"/>
  <c r="Z868" i="1"/>
  <c r="Z877" i="1"/>
  <c r="Z887" i="1"/>
  <c r="Z896" i="1"/>
  <c r="Z905" i="1"/>
  <c r="Z914" i="1"/>
  <c r="Z923" i="1"/>
  <c r="Z932" i="1"/>
  <c r="Z941" i="1"/>
  <c r="Z951" i="1"/>
  <c r="Z960" i="1"/>
  <c r="Z969" i="1"/>
  <c r="Z978" i="1"/>
  <c r="Z987" i="1"/>
  <c r="Z996" i="1"/>
  <c r="Z1005" i="1"/>
  <c r="Z1015" i="1"/>
  <c r="Z1024" i="1"/>
  <c r="Z1033" i="1"/>
  <c r="Z1042" i="1"/>
  <c r="Z1050" i="1"/>
  <c r="Z1058" i="1"/>
  <c r="Z1066" i="1"/>
  <c r="Z1074" i="1"/>
  <c r="Z1082" i="1"/>
  <c r="Z1090" i="1"/>
  <c r="Z1098" i="1"/>
  <c r="Z1106" i="1"/>
  <c r="Z1114" i="1"/>
  <c r="Z1122" i="1"/>
  <c r="Z1130" i="1"/>
  <c r="Z1138" i="1"/>
  <c r="Z1146" i="1"/>
  <c r="Z1154" i="1"/>
  <c r="Z1162" i="1"/>
  <c r="Z1170" i="1"/>
  <c r="Z1178" i="1"/>
  <c r="Z1186" i="1"/>
  <c r="Z1194" i="1"/>
  <c r="Z1202" i="1"/>
  <c r="Z1210" i="1"/>
  <c r="Z1218" i="1"/>
  <c r="Z1226" i="1"/>
  <c r="Z1234" i="1"/>
  <c r="Z1242" i="1"/>
  <c r="Z1250" i="1"/>
  <c r="Z1258" i="1"/>
  <c r="Z1266" i="1"/>
  <c r="Z1274" i="1"/>
  <c r="Z1282" i="1"/>
  <c r="Z1290" i="1"/>
  <c r="Z1298" i="1"/>
  <c r="Z1306" i="1"/>
  <c r="Z1314" i="1"/>
  <c r="Z1322" i="1"/>
  <c r="Z1330" i="1"/>
  <c r="Z1338" i="1"/>
  <c r="Z1346" i="1"/>
  <c r="Z1354" i="1"/>
  <c r="Z1362" i="1"/>
  <c r="Z1370" i="1"/>
  <c r="Z1378" i="1"/>
  <c r="Z1386" i="1"/>
  <c r="Z1394" i="1"/>
  <c r="Z1402" i="1"/>
  <c r="Z1410" i="1"/>
  <c r="Z1418" i="1"/>
  <c r="Z1426" i="1"/>
  <c r="Z1434" i="1"/>
  <c r="Z1442" i="1"/>
  <c r="Z1450" i="1"/>
  <c r="Z1458" i="1"/>
  <c r="Z1466" i="1"/>
  <c r="Z1474" i="1"/>
  <c r="Z1482" i="1"/>
  <c r="Z1490" i="1"/>
  <c r="Z1498" i="1"/>
  <c r="Z1506" i="1"/>
  <c r="Z1514" i="1"/>
  <c r="Z1522" i="1"/>
  <c r="Z1530" i="1"/>
  <c r="Z1538" i="1"/>
  <c r="Z1546" i="1"/>
  <c r="Z1554" i="1"/>
  <c r="Z1562" i="1"/>
  <c r="Z1570" i="1"/>
  <c r="Z1578" i="1"/>
  <c r="Z1586" i="1"/>
  <c r="Z1594" i="1"/>
  <c r="Z1602" i="1"/>
  <c r="Z1610" i="1"/>
  <c r="Z1618" i="1"/>
  <c r="Z1626" i="1"/>
  <c r="Z1634" i="1"/>
  <c r="Z1642" i="1"/>
  <c r="Z1650" i="1"/>
  <c r="Z1658" i="1"/>
  <c r="Z1666" i="1"/>
  <c r="Z1674" i="1"/>
  <c r="Z1682" i="1"/>
  <c r="Z1690" i="1"/>
  <c r="Z33" i="1"/>
  <c r="Z43" i="1"/>
  <c r="Z53" i="1"/>
  <c r="Z65" i="1"/>
  <c r="Z75" i="1"/>
  <c r="Z85" i="1"/>
  <c r="Z97" i="1"/>
  <c r="Z107" i="1"/>
  <c r="Z117" i="1"/>
  <c r="Z129" i="1"/>
  <c r="Z139" i="1"/>
  <c r="Z149" i="1"/>
  <c r="Z161" i="1"/>
  <c r="Z171" i="1"/>
  <c r="Z181" i="1"/>
  <c r="Z193" i="1"/>
  <c r="Z203" i="1"/>
  <c r="Z213" i="1"/>
  <c r="Z225" i="1"/>
  <c r="Z235" i="1"/>
  <c r="Z245" i="1"/>
  <c r="Z257" i="1"/>
  <c r="Z267" i="1"/>
  <c r="Z277" i="1"/>
  <c r="Z289" i="1"/>
  <c r="Z299" i="1"/>
  <c r="Z309" i="1"/>
  <c r="Z321" i="1"/>
  <c r="Z331" i="1"/>
  <c r="Z341" i="1"/>
  <c r="Z353" i="1"/>
  <c r="Z363" i="1"/>
  <c r="Z373" i="1"/>
  <c r="Z385" i="1"/>
  <c r="Z395" i="1"/>
  <c r="Z405" i="1"/>
  <c r="Z417" i="1"/>
  <c r="Z427" i="1"/>
  <c r="Z437" i="1"/>
  <c r="Z449" i="1"/>
  <c r="Z458" i="1"/>
  <c r="Z467" i="1"/>
  <c r="Z476" i="1"/>
  <c r="Z485" i="1"/>
  <c r="Z495" i="1"/>
  <c r="Z504" i="1"/>
  <c r="Z513" i="1"/>
  <c r="Z522" i="1"/>
  <c r="Z531" i="1"/>
  <c r="Z540" i="1"/>
  <c r="Z549" i="1"/>
  <c r="Z559" i="1"/>
  <c r="Z568" i="1"/>
  <c r="Z577" i="1"/>
  <c r="Z586" i="1"/>
  <c r="Z595" i="1"/>
  <c r="Z604" i="1"/>
  <c r="Z613" i="1"/>
  <c r="Z623" i="1"/>
  <c r="Z632" i="1"/>
  <c r="Z641" i="1"/>
  <c r="Z650" i="1"/>
  <c r="Z659" i="1"/>
  <c r="Z668" i="1"/>
  <c r="Z677" i="1"/>
  <c r="Z687" i="1"/>
  <c r="Z696" i="1"/>
  <c r="Z705" i="1"/>
  <c r="Z714" i="1"/>
  <c r="Z723" i="1"/>
  <c r="Z732" i="1"/>
  <c r="Z741" i="1"/>
  <c r="Z751" i="1"/>
  <c r="Z760" i="1"/>
  <c r="Z769" i="1"/>
  <c r="Z778" i="1"/>
  <c r="Z787" i="1"/>
  <c r="Z796" i="1"/>
  <c r="Z805" i="1"/>
  <c r="Z815" i="1"/>
  <c r="Z824" i="1"/>
  <c r="Z833" i="1"/>
  <c r="Z842" i="1"/>
  <c r="Z851" i="1"/>
  <c r="Z860" i="1"/>
  <c r="Z869" i="1"/>
  <c r="Z879" i="1"/>
  <c r="Z888" i="1"/>
  <c r="Z897" i="1"/>
  <c r="Z906" i="1"/>
  <c r="Z915" i="1"/>
  <c r="Z924" i="1"/>
  <c r="Z933" i="1"/>
  <c r="Z943" i="1"/>
  <c r="Z952" i="1"/>
  <c r="Z961" i="1"/>
  <c r="Z970" i="1"/>
  <c r="Z979" i="1"/>
  <c r="Z988" i="1"/>
  <c r="Z997" i="1"/>
  <c r="Z1007" i="1"/>
  <c r="Z1016" i="1"/>
  <c r="Z1025" i="1"/>
  <c r="Z1034" i="1"/>
  <c r="Z1043" i="1"/>
  <c r="Z1051" i="1"/>
  <c r="Z1059" i="1"/>
  <c r="Z1067" i="1"/>
  <c r="Z1075" i="1"/>
  <c r="Z1083" i="1"/>
  <c r="Z1091" i="1"/>
  <c r="Z1099" i="1"/>
  <c r="Z1107" i="1"/>
  <c r="Z1115" i="1"/>
  <c r="Z1123" i="1"/>
  <c r="Z1131" i="1"/>
  <c r="Z1139" i="1"/>
  <c r="Z1147" i="1"/>
  <c r="Z1155" i="1"/>
  <c r="Z1163" i="1"/>
  <c r="Z1171" i="1"/>
  <c r="Z1179" i="1"/>
  <c r="Z1187" i="1"/>
  <c r="Z1195" i="1"/>
  <c r="Z1203" i="1"/>
  <c r="Z1211" i="1"/>
  <c r="Z1219" i="1"/>
  <c r="Z34" i="1"/>
  <c r="Z44" i="1"/>
  <c r="Z56" i="1"/>
  <c r="Z66" i="1"/>
  <c r="Z76" i="1"/>
  <c r="Z88" i="1"/>
  <c r="Z98" i="1"/>
  <c r="Z108" i="1"/>
  <c r="Z120" i="1"/>
  <c r="Z130" i="1"/>
  <c r="Z140" i="1"/>
  <c r="Z152" i="1"/>
  <c r="Z162" i="1"/>
  <c r="Z172" i="1"/>
  <c r="Z184" i="1"/>
  <c r="Z194" i="1"/>
  <c r="Z204" i="1"/>
  <c r="Z216" i="1"/>
  <c r="Z226" i="1"/>
  <c r="Z236" i="1"/>
  <c r="Z248" i="1"/>
  <c r="Z258" i="1"/>
  <c r="Z268" i="1"/>
  <c r="Z280" i="1"/>
  <c r="Z290" i="1"/>
  <c r="Z300" i="1"/>
  <c r="Z312" i="1"/>
  <c r="Z322" i="1"/>
  <c r="Z332" i="1"/>
  <c r="Z344" i="1"/>
  <c r="Z354" i="1"/>
  <c r="Z364" i="1"/>
  <c r="Z376" i="1"/>
  <c r="Z386" i="1"/>
  <c r="Z396" i="1"/>
  <c r="Z408" i="1"/>
  <c r="Z418" i="1"/>
  <c r="Z428" i="1"/>
  <c r="Z440" i="1"/>
  <c r="Z450" i="1"/>
  <c r="Z459" i="1"/>
  <c r="Z468" i="1"/>
  <c r="Z477" i="1"/>
  <c r="Z487" i="1"/>
  <c r="Z496" i="1"/>
  <c r="Z505" i="1"/>
  <c r="Z514" i="1"/>
  <c r="Z523" i="1"/>
  <c r="Z532" i="1"/>
  <c r="Z541" i="1"/>
  <c r="Z551" i="1"/>
  <c r="Z560" i="1"/>
  <c r="Z569" i="1"/>
  <c r="Z578" i="1"/>
  <c r="Z587" i="1"/>
  <c r="Z596" i="1"/>
  <c r="Z605" i="1"/>
  <c r="Z615" i="1"/>
  <c r="Z624" i="1"/>
  <c r="Z633" i="1"/>
  <c r="Z642" i="1"/>
  <c r="Z651" i="1"/>
  <c r="Z660" i="1"/>
  <c r="Z669" i="1"/>
  <c r="Z679" i="1"/>
  <c r="Z688" i="1"/>
  <c r="Z697" i="1"/>
  <c r="Z706" i="1"/>
  <c r="Z715" i="1"/>
  <c r="Z724" i="1"/>
  <c r="Z733" i="1"/>
  <c r="Z743" i="1"/>
  <c r="Z752" i="1"/>
  <c r="Z761" i="1"/>
  <c r="Z770" i="1"/>
  <c r="Z779" i="1"/>
  <c r="Z788" i="1"/>
  <c r="Z797" i="1"/>
  <c r="Z807" i="1"/>
  <c r="Z816" i="1"/>
  <c r="Z825" i="1"/>
  <c r="Z834" i="1"/>
  <c r="Z843" i="1"/>
  <c r="Z852" i="1"/>
  <c r="Z861" i="1"/>
  <c r="Z871" i="1"/>
  <c r="Z880" i="1"/>
  <c r="Z889" i="1"/>
  <c r="Z898" i="1"/>
  <c r="Z35" i="1"/>
  <c r="Z45" i="1"/>
  <c r="Z57" i="1"/>
  <c r="Z67" i="1"/>
  <c r="Z77" i="1"/>
  <c r="Z89" i="1"/>
  <c r="Z99" i="1"/>
  <c r="Z109" i="1"/>
  <c r="Z121" i="1"/>
  <c r="Z131" i="1"/>
  <c r="Z141" i="1"/>
  <c r="Z153" i="1"/>
  <c r="Z163" i="1"/>
  <c r="Z36" i="1"/>
  <c r="Z58" i="1"/>
  <c r="Z80" i="1"/>
  <c r="Z100" i="1"/>
  <c r="Z122" i="1"/>
  <c r="Z144" i="1"/>
  <c r="Z164" i="1"/>
  <c r="Z179" i="1"/>
  <c r="Z197" i="1"/>
  <c r="Z217" i="1"/>
  <c r="Z232" i="1"/>
  <c r="Z250" i="1"/>
  <c r="Z265" i="1"/>
  <c r="Z283" i="1"/>
  <c r="Z301" i="1"/>
  <c r="Z316" i="1"/>
  <c r="Z336" i="1"/>
  <c r="Z349" i="1"/>
  <c r="Z369" i="1"/>
  <c r="Z387" i="1"/>
  <c r="Z402" i="1"/>
  <c r="Z420" i="1"/>
  <c r="Z435" i="1"/>
  <c r="Z453" i="1"/>
  <c r="Z469" i="1"/>
  <c r="Z482" i="1"/>
  <c r="Z498" i="1"/>
  <c r="Z511" i="1"/>
  <c r="Z527" i="1"/>
  <c r="Z543" i="1"/>
  <c r="Z555" i="1"/>
  <c r="Z571" i="1"/>
  <c r="Z584" i="1"/>
  <c r="Z600" i="1"/>
  <c r="Z616" i="1"/>
  <c r="Z628" i="1"/>
  <c r="Z644" i="1"/>
  <c r="Z657" i="1"/>
  <c r="Z673" i="1"/>
  <c r="Z689" i="1"/>
  <c r="Z701" i="1"/>
  <c r="Z717" i="1"/>
  <c r="Z730" i="1"/>
  <c r="Z746" i="1"/>
  <c r="Z762" i="1"/>
  <c r="Z775" i="1"/>
  <c r="Z791" i="1"/>
  <c r="Z803" i="1"/>
  <c r="Z819" i="1"/>
  <c r="Z835" i="1"/>
  <c r="Z848" i="1"/>
  <c r="Z864" i="1"/>
  <c r="Z876" i="1"/>
  <c r="Z892" i="1"/>
  <c r="Z907" i="1"/>
  <c r="Z919" i="1"/>
  <c r="Z930" i="1"/>
  <c r="Z944" i="1"/>
  <c r="Z955" i="1"/>
  <c r="Z967" i="1"/>
  <c r="Z980" i="1"/>
  <c r="Z992" i="1"/>
  <c r="Z1003" i="1"/>
  <c r="Z1017" i="1"/>
  <c r="Z1028" i="1"/>
  <c r="Z1040" i="1"/>
  <c r="Z1052" i="1"/>
  <c r="Z1062" i="1"/>
  <c r="Z1072" i="1"/>
  <c r="Z1084" i="1"/>
  <c r="Z1094" i="1"/>
  <c r="Z1104" i="1"/>
  <c r="Z1116" i="1"/>
  <c r="Z1126" i="1"/>
  <c r="Z1136" i="1"/>
  <c r="Z1148" i="1"/>
  <c r="Z1158" i="1"/>
  <c r="Z1168" i="1"/>
  <c r="Z1180" i="1"/>
  <c r="Z1190" i="1"/>
  <c r="Z1200" i="1"/>
  <c r="Z1212" i="1"/>
  <c r="Z1222" i="1"/>
  <c r="Z1231" i="1"/>
  <c r="Z1240" i="1"/>
  <c r="Z1249" i="1"/>
  <c r="Z1259" i="1"/>
  <c r="Z1268" i="1"/>
  <c r="Z1277" i="1"/>
  <c r="Z1286" i="1"/>
  <c r="Z1295" i="1"/>
  <c r="Z1304" i="1"/>
  <c r="Z1313" i="1"/>
  <c r="Z1323" i="1"/>
  <c r="Z1332" i="1"/>
  <c r="Z1341" i="1"/>
  <c r="Z1350" i="1"/>
  <c r="Z1359" i="1"/>
  <c r="Z1368" i="1"/>
  <c r="Z1377" i="1"/>
  <c r="Z1387" i="1"/>
  <c r="Z1396" i="1"/>
  <c r="Z1405" i="1"/>
  <c r="Z1414" i="1"/>
  <c r="Z1423" i="1"/>
  <c r="Z1432" i="1"/>
  <c r="Z1441" i="1"/>
  <c r="Z1451" i="1"/>
  <c r="Z1460" i="1"/>
  <c r="Z1469" i="1"/>
  <c r="Z1478" i="1"/>
  <c r="Z1487" i="1"/>
  <c r="Z1496" i="1"/>
  <c r="Z1505" i="1"/>
  <c r="Z1515" i="1"/>
  <c r="Z1524" i="1"/>
  <c r="Z1533" i="1"/>
  <c r="Z1542" i="1"/>
  <c r="Z1551" i="1"/>
  <c r="Z1560" i="1"/>
  <c r="Z1569" i="1"/>
  <c r="Z1579" i="1"/>
  <c r="Z1588" i="1"/>
  <c r="Z1597" i="1"/>
  <c r="Z1606" i="1"/>
  <c r="Z1615" i="1"/>
  <c r="Z1624" i="1"/>
  <c r="Z1633" i="1"/>
  <c r="Z1643" i="1"/>
  <c r="Z1652" i="1"/>
  <c r="Z1661" i="1"/>
  <c r="Z1670" i="1"/>
  <c r="Z1679" i="1"/>
  <c r="Z1688" i="1"/>
  <c r="Z1697" i="1"/>
  <c r="Z1705" i="1"/>
  <c r="Z1713" i="1"/>
  <c r="Z1721" i="1"/>
  <c r="Z1729" i="1"/>
  <c r="Z1737" i="1"/>
  <c r="Z1745" i="1"/>
  <c r="Z1753" i="1"/>
  <c r="Z1761" i="1"/>
  <c r="Z1769" i="1"/>
  <c r="Z1777" i="1"/>
  <c r="Z1785" i="1"/>
  <c r="Z1793" i="1"/>
  <c r="Z1801" i="1"/>
  <c r="Z1809" i="1"/>
  <c r="Z1817" i="1"/>
  <c r="Z1825" i="1"/>
  <c r="Z1833" i="1"/>
  <c r="Z1841" i="1"/>
  <c r="Z1849" i="1"/>
  <c r="Z1857" i="1"/>
  <c r="Z1865" i="1"/>
  <c r="Z37" i="1"/>
  <c r="Z59" i="1"/>
  <c r="Z81" i="1"/>
  <c r="Z101" i="1"/>
  <c r="Z123" i="1"/>
  <c r="Z145" i="1"/>
  <c r="Z165" i="1"/>
  <c r="Z185" i="1"/>
  <c r="Z200" i="1"/>
  <c r="Z218" i="1"/>
  <c r="Z233" i="1"/>
  <c r="Z251" i="1"/>
  <c r="Z269" i="1"/>
  <c r="Z284" i="1"/>
  <c r="Z304" i="1"/>
  <c r="Z317" i="1"/>
  <c r="Z337" i="1"/>
  <c r="Z355" i="1"/>
  <c r="Z370" i="1"/>
  <c r="Z388" i="1"/>
  <c r="Z403" i="1"/>
  <c r="Z421" i="1"/>
  <c r="Z441" i="1"/>
  <c r="Z455" i="1"/>
  <c r="Z471" i="1"/>
  <c r="Z483" i="1"/>
  <c r="Z499" i="1"/>
  <c r="Z515" i="1"/>
  <c r="Z528" i="1"/>
  <c r="Z544" i="1"/>
  <c r="Z556" i="1"/>
  <c r="Z572" i="1"/>
  <c r="Z588" i="1"/>
  <c r="Z601" i="1"/>
  <c r="Z617" i="1"/>
  <c r="Z629" i="1"/>
  <c r="Z645" i="1"/>
  <c r="Z661" i="1"/>
  <c r="Z674" i="1"/>
  <c r="Z690" i="1"/>
  <c r="Z703" i="1"/>
  <c r="Z719" i="1"/>
  <c r="Z735" i="1"/>
  <c r="Z747" i="1"/>
  <c r="Z763" i="1"/>
  <c r="Z776" i="1"/>
  <c r="Z792" i="1"/>
  <c r="Z808" i="1"/>
  <c r="Z820" i="1"/>
  <c r="Z836" i="1"/>
  <c r="Z849" i="1"/>
  <c r="Z865" i="1"/>
  <c r="Z881" i="1"/>
  <c r="Z893" i="1"/>
  <c r="Z908" i="1"/>
  <c r="Z920" i="1"/>
  <c r="Z931" i="1"/>
  <c r="Z945" i="1"/>
  <c r="Z956" i="1"/>
  <c r="Z968" i="1"/>
  <c r="Z981" i="1"/>
  <c r="Z993" i="1"/>
  <c r="Z1004" i="1"/>
  <c r="Z1018" i="1"/>
  <c r="Z1029" i="1"/>
  <c r="Z1041" i="1"/>
  <c r="Z1053" i="1"/>
  <c r="Z1063" i="1"/>
  <c r="Z1073" i="1"/>
  <c r="Z1085" i="1"/>
  <c r="Z1095" i="1"/>
  <c r="Z1105" i="1"/>
  <c r="Z1117" i="1"/>
  <c r="Z1127" i="1"/>
  <c r="Z1137" i="1"/>
  <c r="Z1149" i="1"/>
  <c r="Z1159" i="1"/>
  <c r="Z1169" i="1"/>
  <c r="Z1181" i="1"/>
  <c r="Z1191" i="1"/>
  <c r="Z1201" i="1"/>
  <c r="Z1213" i="1"/>
  <c r="Z1223" i="1"/>
  <c r="Z1232" i="1"/>
  <c r="Z1241" i="1"/>
  <c r="Z1251" i="1"/>
  <c r="Z1260" i="1"/>
  <c r="Z1269" i="1"/>
  <c r="Z1278" i="1"/>
  <c r="Z1287" i="1"/>
  <c r="Z1296" i="1"/>
  <c r="Z1305" i="1"/>
  <c r="Z1315" i="1"/>
  <c r="Z1324" i="1"/>
  <c r="Z1333" i="1"/>
  <c r="Z1342" i="1"/>
  <c r="Z1351" i="1"/>
  <c r="Z1360" i="1"/>
  <c r="Z1369" i="1"/>
  <c r="Z1379" i="1"/>
  <c r="Z1388" i="1"/>
  <c r="Z1397" i="1"/>
  <c r="Z1406" i="1"/>
  <c r="Z1415" i="1"/>
  <c r="Z1424" i="1"/>
  <c r="Z1433" i="1"/>
  <c r="Z1443" i="1"/>
  <c r="Z1452" i="1"/>
  <c r="Z1461" i="1"/>
  <c r="Z1470" i="1"/>
  <c r="Z1479" i="1"/>
  <c r="Z1488" i="1"/>
  <c r="Z1497" i="1"/>
  <c r="Z1507" i="1"/>
  <c r="Z1516" i="1"/>
  <c r="Z1525" i="1"/>
  <c r="Z1534" i="1"/>
  <c r="Z40" i="1"/>
  <c r="Z60" i="1"/>
  <c r="Z82" i="1"/>
  <c r="Z104" i="1"/>
  <c r="Z124" i="1"/>
  <c r="Z146" i="1"/>
  <c r="Z168" i="1"/>
  <c r="Z186" i="1"/>
  <c r="Z201" i="1"/>
  <c r="Z219" i="1"/>
  <c r="Z237" i="1"/>
  <c r="Z252" i="1"/>
  <c r="Z272" i="1"/>
  <c r="Z285" i="1"/>
  <c r="Z305" i="1"/>
  <c r="Z323" i="1"/>
  <c r="Z338" i="1"/>
  <c r="Z356" i="1"/>
  <c r="Z371" i="1"/>
  <c r="Z389" i="1"/>
  <c r="Z409" i="1"/>
  <c r="Z424" i="1"/>
  <c r="Z442" i="1"/>
  <c r="Z456" i="1"/>
  <c r="Z472" i="1"/>
  <c r="Z488" i="1"/>
  <c r="Z500" i="1"/>
  <c r="Z516" i="1"/>
  <c r="Z529" i="1"/>
  <c r="Z545" i="1"/>
  <c r="Z561" i="1"/>
  <c r="Z573" i="1"/>
  <c r="Z589" i="1"/>
  <c r="Z602" i="1"/>
  <c r="Z618" i="1"/>
  <c r="Z634" i="1"/>
  <c r="Z647" i="1"/>
  <c r="Z663" i="1"/>
  <c r="Z675" i="1"/>
  <c r="Z691" i="1"/>
  <c r="Z707" i="1"/>
  <c r="Z720" i="1"/>
  <c r="Z736" i="1"/>
  <c r="Z748" i="1"/>
  <c r="Z764" i="1"/>
  <c r="Z780" i="1"/>
  <c r="Z793" i="1"/>
  <c r="Z809" i="1"/>
  <c r="Z821" i="1"/>
  <c r="Z837" i="1"/>
  <c r="Z853" i="1"/>
  <c r="Z866" i="1"/>
  <c r="Z882" i="1"/>
  <c r="Z895" i="1"/>
  <c r="Z909" i="1"/>
  <c r="Z921" i="1"/>
  <c r="Z935" i="1"/>
  <c r="Z946" i="1"/>
  <c r="Z957" i="1"/>
  <c r="Z971" i="1"/>
  <c r="Z983" i="1"/>
  <c r="Z994" i="1"/>
  <c r="Z1008" i="1"/>
  <c r="Z1019" i="1"/>
  <c r="Z1031" i="1"/>
  <c r="Z1044" i="1"/>
  <c r="Z1054" i="1"/>
  <c r="Z1064" i="1"/>
  <c r="Z1076" i="1"/>
  <c r="Z1086" i="1"/>
  <c r="Z1096" i="1"/>
  <c r="Z1108" i="1"/>
  <c r="Z1118" i="1"/>
  <c r="Z1128" i="1"/>
  <c r="Z1140" i="1"/>
  <c r="Z1150" i="1"/>
  <c r="Z1160" i="1"/>
  <c r="Z1172" i="1"/>
  <c r="Z1182" i="1"/>
  <c r="Z1192" i="1"/>
  <c r="Z1204" i="1"/>
  <c r="Z1214" i="1"/>
  <c r="Z1224" i="1"/>
  <c r="Z1233" i="1"/>
  <c r="Z1243" i="1"/>
  <c r="Z1252" i="1"/>
  <c r="Z1261" i="1"/>
  <c r="Z1270" i="1"/>
  <c r="Z1279" i="1"/>
  <c r="Z1288" i="1"/>
  <c r="Z1297" i="1"/>
  <c r="Z1307" i="1"/>
  <c r="Z1316" i="1"/>
  <c r="Z1325" i="1"/>
  <c r="Z1334" i="1"/>
  <c r="Z1343" i="1"/>
  <c r="Z1352" i="1"/>
  <c r="Z1361" i="1"/>
  <c r="Z1371" i="1"/>
  <c r="Z1380" i="1"/>
  <c r="Z1389" i="1"/>
  <c r="Z1398" i="1"/>
  <c r="Z1407" i="1"/>
  <c r="Z1416" i="1"/>
  <c r="Z1425" i="1"/>
  <c r="Z1435" i="1"/>
  <c r="Z1444" i="1"/>
  <c r="Z1453" i="1"/>
  <c r="Z1462" i="1"/>
  <c r="Z1471" i="1"/>
  <c r="Z1480" i="1"/>
  <c r="Z1489" i="1"/>
  <c r="Z1499" i="1"/>
  <c r="Z1508" i="1"/>
  <c r="Z1517" i="1"/>
  <c r="Z1526" i="1"/>
  <c r="Z1535" i="1"/>
  <c r="Z1544" i="1"/>
  <c r="Z1553" i="1"/>
  <c r="Z1563" i="1"/>
  <c r="Z1572" i="1"/>
  <c r="Z1581" i="1"/>
  <c r="Z1590" i="1"/>
  <c r="Z1599" i="1"/>
  <c r="Z1608" i="1"/>
  <c r="Z1617" i="1"/>
  <c r="Z1627" i="1"/>
  <c r="Z41" i="1"/>
  <c r="Z61" i="1"/>
  <c r="Z83" i="1"/>
  <c r="Z105" i="1"/>
  <c r="Z125" i="1"/>
  <c r="Z147" i="1"/>
  <c r="Z169" i="1"/>
  <c r="Z187" i="1"/>
  <c r="Z205" i="1"/>
  <c r="Z220" i="1"/>
  <c r="Z240" i="1"/>
  <c r="Z253" i="1"/>
  <c r="Z273" i="1"/>
  <c r="Z291" i="1"/>
  <c r="Z306" i="1"/>
  <c r="Z324" i="1"/>
  <c r="Z339" i="1"/>
  <c r="Z357" i="1"/>
  <c r="Z377" i="1"/>
  <c r="Z392" i="1"/>
  <c r="Z410" i="1"/>
  <c r="Z425" i="1"/>
  <c r="Z443" i="1"/>
  <c r="Z460" i="1"/>
  <c r="Z473" i="1"/>
  <c r="Z489" i="1"/>
  <c r="Z501" i="1"/>
  <c r="Z517" i="1"/>
  <c r="Z533" i="1"/>
  <c r="Z546" i="1"/>
  <c r="Z562" i="1"/>
  <c r="Z575" i="1"/>
  <c r="Z591" i="1"/>
  <c r="Z607" i="1"/>
  <c r="Z619" i="1"/>
  <c r="Z635" i="1"/>
  <c r="Z648" i="1"/>
  <c r="Z48" i="1"/>
  <c r="Z49" i="1"/>
  <c r="Z91" i="1"/>
  <c r="Z133" i="1"/>
  <c r="Z176" i="1"/>
  <c r="Z209" i="1"/>
  <c r="Z242" i="1"/>
  <c r="Z275" i="1"/>
  <c r="Z313" i="1"/>
  <c r="Z346" i="1"/>
  <c r="Z379" i="1"/>
  <c r="Z412" i="1"/>
  <c r="Z445" i="1"/>
  <c r="Z479" i="1"/>
  <c r="Z507" i="1"/>
  <c r="Z536" i="1"/>
  <c r="Z564" i="1"/>
  <c r="Z593" i="1"/>
  <c r="Z625" i="1"/>
  <c r="Z653" i="1"/>
  <c r="Z680" i="1"/>
  <c r="Z699" i="1"/>
  <c r="Z725" i="1"/>
  <c r="Z745" i="1"/>
  <c r="Z771" i="1"/>
  <c r="Z794" i="1"/>
  <c r="Z817" i="1"/>
  <c r="Z840" i="1"/>
  <c r="Z863" i="1"/>
  <c r="Z885" i="1"/>
  <c r="Z911" i="1"/>
  <c r="Z928" i="1"/>
  <c r="Z948" i="1"/>
  <c r="Z965" i="1"/>
  <c r="Z986" i="1"/>
  <c r="Z1009" i="1"/>
  <c r="Z1026" i="1"/>
  <c r="Z1046" i="1"/>
  <c r="Z1061" i="1"/>
  <c r="Z1079" i="1"/>
  <c r="Z1097" i="1"/>
  <c r="Z1112" i="1"/>
  <c r="Z1132" i="1"/>
  <c r="Z1145" i="1"/>
  <c r="Z1165" i="1"/>
  <c r="Z1183" i="1"/>
  <c r="Z1198" i="1"/>
  <c r="Z1216" i="1"/>
  <c r="Z1230" i="1"/>
  <c r="Z1246" i="1"/>
  <c r="Z1262" i="1"/>
  <c r="Z1275" i="1"/>
  <c r="Z1291" i="1"/>
  <c r="Z1303" i="1"/>
  <c r="Z1319" i="1"/>
  <c r="Z1335" i="1"/>
  <c r="Z1348" i="1"/>
  <c r="Z1364" i="1"/>
  <c r="Z1376" i="1"/>
  <c r="Z1392" i="1"/>
  <c r="Z1408" i="1"/>
  <c r="Z1421" i="1"/>
  <c r="Z1437" i="1"/>
  <c r="Z1449" i="1"/>
  <c r="Z1465" i="1"/>
  <c r="Z1481" i="1"/>
  <c r="Z1494" i="1"/>
  <c r="Z1510" i="1"/>
  <c r="Z1523" i="1"/>
  <c r="Z1539" i="1"/>
  <c r="Z1550" i="1"/>
  <c r="Z1564" i="1"/>
  <c r="Z1575" i="1"/>
  <c r="Z1587" i="1"/>
  <c r="Z1600" i="1"/>
  <c r="Z1612" i="1"/>
  <c r="Z1623" i="1"/>
  <c r="Z1636" i="1"/>
  <c r="Z1646" i="1"/>
  <c r="Z1656" i="1"/>
  <c r="Z1667" i="1"/>
  <c r="Z1677" i="1"/>
  <c r="Z1687" i="1"/>
  <c r="Z1698" i="1"/>
  <c r="Z1707" i="1"/>
  <c r="Z1716" i="1"/>
  <c r="Z1725" i="1"/>
  <c r="Z1734" i="1"/>
  <c r="Z1743" i="1"/>
  <c r="Z1752" i="1"/>
  <c r="Z1762" i="1"/>
  <c r="Z1771" i="1"/>
  <c r="Z1780" i="1"/>
  <c r="Z1789" i="1"/>
  <c r="Z1798" i="1"/>
  <c r="Z1807" i="1"/>
  <c r="Z1816" i="1"/>
  <c r="Z1826" i="1"/>
  <c r="Z1835" i="1"/>
  <c r="Z1844" i="1"/>
  <c r="Z1853" i="1"/>
  <c r="Z1862" i="1"/>
  <c r="Z1871" i="1"/>
  <c r="Z1879" i="1"/>
  <c r="Z1887" i="1"/>
  <c r="Z1895" i="1"/>
  <c r="Z1903" i="1"/>
  <c r="Z1911" i="1"/>
  <c r="Z1919" i="1"/>
  <c r="Z1927" i="1"/>
  <c r="Z1935" i="1"/>
  <c r="Z1943" i="1"/>
  <c r="Z1951" i="1"/>
  <c r="Z1959" i="1"/>
  <c r="Z1967" i="1"/>
  <c r="Z1975" i="1"/>
  <c r="Z1983" i="1"/>
  <c r="Z1991" i="1"/>
  <c r="Z1999" i="1"/>
  <c r="Z2007" i="1"/>
  <c r="Z2015" i="1"/>
  <c r="Z2023" i="1"/>
  <c r="Z2031" i="1"/>
  <c r="Z2039" i="1"/>
  <c r="Z2047" i="1"/>
  <c r="Z2055" i="1"/>
  <c r="Z2063" i="1"/>
  <c r="Z2071" i="1"/>
  <c r="Z2079" i="1"/>
  <c r="Z2087" i="1"/>
  <c r="Z2095" i="1"/>
  <c r="Z2103" i="1"/>
  <c r="Z2111" i="1"/>
  <c r="Z2119" i="1"/>
  <c r="Z2127" i="1"/>
  <c r="Z2135" i="1"/>
  <c r="Z2143" i="1"/>
  <c r="Z2151" i="1"/>
  <c r="Z2159" i="1"/>
  <c r="Z2167" i="1"/>
  <c r="Z2175" i="1"/>
  <c r="Z2183" i="1"/>
  <c r="Z2191" i="1"/>
  <c r="Z2199" i="1"/>
  <c r="Z2207" i="1"/>
  <c r="Z2215" i="1"/>
  <c r="Z2223" i="1"/>
  <c r="Z2231" i="1"/>
  <c r="Z2239" i="1"/>
  <c r="Z2247" i="1"/>
  <c r="Z2255" i="1"/>
  <c r="Z2263" i="1"/>
  <c r="Z2271" i="1"/>
  <c r="Z2279" i="1"/>
  <c r="Z2287" i="1"/>
  <c r="Z2295" i="1"/>
  <c r="Z2303" i="1"/>
  <c r="Z2311" i="1"/>
  <c r="Z2319" i="1"/>
  <c r="Z2327" i="1"/>
  <c r="Z2335" i="1"/>
  <c r="Z2343" i="1"/>
  <c r="Z2351" i="1"/>
  <c r="Z2359" i="1"/>
  <c r="Z2367" i="1"/>
  <c r="Z2375" i="1"/>
  <c r="Z2383" i="1"/>
  <c r="Z2391" i="1"/>
  <c r="Z2399" i="1"/>
  <c r="Z2407" i="1"/>
  <c r="Z2415" i="1"/>
  <c r="Z2423" i="1"/>
  <c r="Z2431" i="1"/>
  <c r="Z2439" i="1"/>
  <c r="Z2447" i="1"/>
  <c r="Z2455" i="1"/>
  <c r="Z2463" i="1"/>
  <c r="Z2471" i="1"/>
  <c r="Z2479" i="1"/>
  <c r="Z2487" i="1"/>
  <c r="Z2495" i="1"/>
  <c r="Z2503" i="1"/>
  <c r="Z2511" i="1"/>
  <c r="Z2519" i="1"/>
  <c r="Z2527" i="1"/>
  <c r="Z2535" i="1"/>
  <c r="Z2543" i="1"/>
  <c r="Z2551" i="1"/>
  <c r="Z2559" i="1"/>
  <c r="Z2567" i="1"/>
  <c r="Z2575" i="1"/>
  <c r="Z2583" i="1"/>
  <c r="Z2591" i="1"/>
  <c r="Z2599" i="1"/>
  <c r="Z2607" i="1"/>
  <c r="Z2615" i="1"/>
  <c r="Z2623" i="1"/>
  <c r="Z2631" i="1"/>
  <c r="Z2639" i="1"/>
  <c r="Z2647" i="1"/>
  <c r="Z2655" i="1"/>
  <c r="Z2663" i="1"/>
  <c r="Z2671" i="1"/>
  <c r="Z2679" i="1"/>
  <c r="Z2687" i="1"/>
  <c r="Z2695" i="1"/>
  <c r="Z2703" i="1"/>
  <c r="Z2711" i="1"/>
  <c r="Z2719" i="1"/>
  <c r="Z2727" i="1"/>
  <c r="Z2735" i="1"/>
  <c r="Z2743" i="1"/>
  <c r="Z2751" i="1"/>
  <c r="Z2759" i="1"/>
  <c r="Z2767" i="1"/>
  <c r="Z2775" i="1"/>
  <c r="Z2783" i="1"/>
  <c r="Z2791" i="1"/>
  <c r="Z2799" i="1"/>
  <c r="Z2807" i="1"/>
  <c r="Z2815" i="1"/>
  <c r="Z2823" i="1"/>
  <c r="Z2831" i="1"/>
  <c r="Z2839" i="1"/>
  <c r="Z2847" i="1"/>
  <c r="Z2855" i="1"/>
  <c r="Z2863" i="1"/>
  <c r="Z2871" i="1"/>
  <c r="Z2879" i="1"/>
  <c r="Z2887" i="1"/>
  <c r="Z2895" i="1"/>
  <c r="Z2903" i="1"/>
  <c r="Z2911" i="1"/>
  <c r="Z2919" i="1"/>
  <c r="Z2927" i="1"/>
  <c r="Z2935" i="1"/>
  <c r="Z2943" i="1"/>
  <c r="Z2951" i="1"/>
  <c r="Z2959" i="1"/>
  <c r="Z2967" i="1"/>
  <c r="Z2975" i="1"/>
  <c r="Z2983" i="1"/>
  <c r="Z2991" i="1"/>
  <c r="Z2999" i="1"/>
  <c r="Z3007" i="1"/>
  <c r="Z3015" i="1"/>
  <c r="Z3023" i="1"/>
  <c r="Z3031" i="1"/>
  <c r="Z3039" i="1"/>
  <c r="Z3047" i="1"/>
  <c r="Z3055" i="1"/>
  <c r="Z3063" i="1"/>
  <c r="Z3071" i="1"/>
  <c r="Z3079" i="1"/>
  <c r="Z3087" i="1"/>
  <c r="Z3095" i="1"/>
  <c r="Z50" i="1"/>
  <c r="Z92" i="1"/>
  <c r="Z136" i="1"/>
  <c r="Z177" i="1"/>
  <c r="Z210" i="1"/>
  <c r="Z243" i="1"/>
  <c r="Z281" i="1"/>
  <c r="Z314" i="1"/>
  <c r="Z347" i="1"/>
  <c r="Z380" i="1"/>
  <c r="Z413" i="1"/>
  <c r="Z451" i="1"/>
  <c r="Z480" i="1"/>
  <c r="Z508" i="1"/>
  <c r="Z537" i="1"/>
  <c r="Z565" i="1"/>
  <c r="Z597" i="1"/>
  <c r="Z626" i="1"/>
  <c r="Z655" i="1"/>
  <c r="Z681" i="1"/>
  <c r="Z700" i="1"/>
  <c r="Z727" i="1"/>
  <c r="Z753" i="1"/>
  <c r="Z772" i="1"/>
  <c r="Z799" i="1"/>
  <c r="Z818" i="1"/>
  <c r="Z844" i="1"/>
  <c r="Z867" i="1"/>
  <c r="Z890" i="1"/>
  <c r="Z912" i="1"/>
  <c r="Z929" i="1"/>
  <c r="Z949" i="1"/>
  <c r="Z972" i="1"/>
  <c r="Z989" i="1"/>
  <c r="Z1010" i="1"/>
  <c r="Z1027" i="1"/>
  <c r="Z1047" i="1"/>
  <c r="Z1065" i="1"/>
  <c r="Z1080" i="1"/>
  <c r="Z1100" i="1"/>
  <c r="Z1113" i="1"/>
  <c r="Z1133" i="1"/>
  <c r="Z1151" i="1"/>
  <c r="Z1166" i="1"/>
  <c r="Z1184" i="1"/>
  <c r="Z1199" i="1"/>
  <c r="Z1217" i="1"/>
  <c r="Z1235" i="1"/>
  <c r="Z1247" i="1"/>
  <c r="Z1263" i="1"/>
  <c r="Z1276" i="1"/>
  <c r="Z1292" i="1"/>
  <c r="Z1308" i="1"/>
  <c r="Z1320" i="1"/>
  <c r="Z1336" i="1"/>
  <c r="Z1349" i="1"/>
  <c r="Z1365" i="1"/>
  <c r="Z1381" i="1"/>
  <c r="Z1393" i="1"/>
  <c r="Z1409" i="1"/>
  <c r="Z1422" i="1"/>
  <c r="Z1438" i="1"/>
  <c r="Z1454" i="1"/>
  <c r="Z1467" i="1"/>
  <c r="Z1483" i="1"/>
  <c r="Z1495" i="1"/>
  <c r="Z1511" i="1"/>
  <c r="Z1527" i="1"/>
  <c r="Z1540" i="1"/>
  <c r="Z1552" i="1"/>
  <c r="Z1565" i="1"/>
  <c r="Z1576" i="1"/>
  <c r="Z1589" i="1"/>
  <c r="Z1601" i="1"/>
  <c r="Z1613" i="1"/>
  <c r="Z1625" i="1"/>
  <c r="Z1637" i="1"/>
  <c r="Z1647" i="1"/>
  <c r="Z1657" i="1"/>
  <c r="Z1668" i="1"/>
  <c r="Z1678" i="1"/>
  <c r="Z1689" i="1"/>
  <c r="Z1699" i="1"/>
  <c r="Z1708" i="1"/>
  <c r="Z1717" i="1"/>
  <c r="Z1726" i="1"/>
  <c r="Z1735" i="1"/>
  <c r="Z1744" i="1"/>
  <c r="Z1754" i="1"/>
  <c r="Z1763" i="1"/>
  <c r="Z1772" i="1"/>
  <c r="Z1781" i="1"/>
  <c r="Z1790" i="1"/>
  <c r="Z1799" i="1"/>
  <c r="Z1808" i="1"/>
  <c r="Z1818" i="1"/>
  <c r="Z1827" i="1"/>
  <c r="Z1836" i="1"/>
  <c r="Z1845" i="1"/>
  <c r="Z1854" i="1"/>
  <c r="Z1863" i="1"/>
  <c r="Z1872" i="1"/>
  <c r="Z1880" i="1"/>
  <c r="Z1888" i="1"/>
  <c r="Z1896" i="1"/>
  <c r="Z1904" i="1"/>
  <c r="Z1912" i="1"/>
  <c r="Z1920" i="1"/>
  <c r="Z1928" i="1"/>
  <c r="Z1936" i="1"/>
  <c r="Z1944" i="1"/>
  <c r="Z1952" i="1"/>
  <c r="Z1960" i="1"/>
  <c r="Z1968" i="1"/>
  <c r="Z1976" i="1"/>
  <c r="Z1984" i="1"/>
  <c r="Z1992" i="1"/>
  <c r="Z2000" i="1"/>
  <c r="Z2008" i="1"/>
  <c r="Z2016" i="1"/>
  <c r="Z2024" i="1"/>
  <c r="Z2032" i="1"/>
  <c r="Z2040" i="1"/>
  <c r="Z2048" i="1"/>
  <c r="Z2056" i="1"/>
  <c r="Z2064" i="1"/>
  <c r="Z2072" i="1"/>
  <c r="Z2080" i="1"/>
  <c r="Z2088" i="1"/>
  <c r="Z2096" i="1"/>
  <c r="Z2104" i="1"/>
  <c r="Z2112" i="1"/>
  <c r="Z2120" i="1"/>
  <c r="Z2128" i="1"/>
  <c r="Z2136" i="1"/>
  <c r="Z2144" i="1"/>
  <c r="Z2152" i="1"/>
  <c r="Z2160" i="1"/>
  <c r="Z2168" i="1"/>
  <c r="Z2176" i="1"/>
  <c r="Z2184" i="1"/>
  <c r="Z2192" i="1"/>
  <c r="Z2200" i="1"/>
  <c r="Z2208" i="1"/>
  <c r="Z2216" i="1"/>
  <c r="Z2224" i="1"/>
  <c r="Z2232" i="1"/>
  <c r="Z2240" i="1"/>
  <c r="Z2248" i="1"/>
  <c r="Z2256" i="1"/>
  <c r="Z2264" i="1"/>
  <c r="Z2272" i="1"/>
  <c r="Z2280" i="1"/>
  <c r="Z2288" i="1"/>
  <c r="Z2296" i="1"/>
  <c r="Z2304" i="1"/>
  <c r="Z2312" i="1"/>
  <c r="Z2320" i="1"/>
  <c r="Z2328" i="1"/>
  <c r="Z2336" i="1"/>
  <c r="Z2344" i="1"/>
  <c r="Z2352" i="1"/>
  <c r="Z2360" i="1"/>
  <c r="Z2368" i="1"/>
  <c r="Z2376" i="1"/>
  <c r="Z2384" i="1"/>
  <c r="Z2392" i="1"/>
  <c r="Z2400" i="1"/>
  <c r="Z2408" i="1"/>
  <c r="Z2416" i="1"/>
  <c r="Z2424" i="1"/>
  <c r="Z2432" i="1"/>
  <c r="Z2440" i="1"/>
  <c r="Z2448" i="1"/>
  <c r="Z2456" i="1"/>
  <c r="Z2464" i="1"/>
  <c r="Z2472" i="1"/>
  <c r="Z2480" i="1"/>
  <c r="Z2488" i="1"/>
  <c r="Z2496" i="1"/>
  <c r="Z2504" i="1"/>
  <c r="Z2512" i="1"/>
  <c r="Z2520" i="1"/>
  <c r="Z2528" i="1"/>
  <c r="Z2536" i="1"/>
  <c r="Z2544" i="1"/>
  <c r="Z2552" i="1"/>
  <c r="Z2560" i="1"/>
  <c r="Z2568" i="1"/>
  <c r="Z2576" i="1"/>
  <c r="Z2584" i="1"/>
  <c r="Z2592" i="1"/>
  <c r="Z2600" i="1"/>
  <c r="Z2608" i="1"/>
  <c r="Z2616" i="1"/>
  <c r="Z2624" i="1"/>
  <c r="Z2632" i="1"/>
  <c r="Z2640" i="1"/>
  <c r="Z2648" i="1"/>
  <c r="Z2656" i="1"/>
  <c r="Z2664" i="1"/>
  <c r="Z2672" i="1"/>
  <c r="Z2680" i="1"/>
  <c r="Z2688" i="1"/>
  <c r="Z2696" i="1"/>
  <c r="Z2704" i="1"/>
  <c r="Z2712" i="1"/>
  <c r="Z2720" i="1"/>
  <c r="Z2728" i="1"/>
  <c r="Z2736" i="1"/>
  <c r="Z2744" i="1"/>
  <c r="Z2752" i="1"/>
  <c r="Z2760" i="1"/>
  <c r="Z2768" i="1"/>
  <c r="Z2776" i="1"/>
  <c r="Z51" i="1"/>
  <c r="Z93" i="1"/>
  <c r="Z137" i="1"/>
  <c r="Z178" i="1"/>
  <c r="Z211" i="1"/>
  <c r="Z249" i="1"/>
  <c r="Z282" i="1"/>
  <c r="Z315" i="1"/>
  <c r="Z348" i="1"/>
  <c r="Z381" i="1"/>
  <c r="Z419" i="1"/>
  <c r="Z452" i="1"/>
  <c r="Z481" i="1"/>
  <c r="Z509" i="1"/>
  <c r="Z538" i="1"/>
  <c r="Z570" i="1"/>
  <c r="Z599" i="1"/>
  <c r="Z627" i="1"/>
  <c r="Z656" i="1"/>
  <c r="Z682" i="1"/>
  <c r="Z708" i="1"/>
  <c r="Z728" i="1"/>
  <c r="Z754" i="1"/>
  <c r="Z773" i="1"/>
  <c r="Z800" i="1"/>
  <c r="Z826" i="1"/>
  <c r="Z845" i="1"/>
  <c r="Z872" i="1"/>
  <c r="Z891" i="1"/>
  <c r="Z913" i="1"/>
  <c r="Z936" i="1"/>
  <c r="Z953" i="1"/>
  <c r="Z973" i="1"/>
  <c r="Z991" i="1"/>
  <c r="Z1011" i="1"/>
  <c r="Z1032" i="1"/>
  <c r="Z1048" i="1"/>
  <c r="Z1068" i="1"/>
  <c r="Z1081" i="1"/>
  <c r="Z1101" i="1"/>
  <c r="Z1119" i="1"/>
  <c r="Z1134" i="1"/>
  <c r="Z1152" i="1"/>
  <c r="Z1167" i="1"/>
  <c r="Z1185" i="1"/>
  <c r="Z1205" i="1"/>
  <c r="Z1220" i="1"/>
  <c r="Z1236" i="1"/>
  <c r="Z1248" i="1"/>
  <c r="Z1264" i="1"/>
  <c r="Z1280" i="1"/>
  <c r="Z1293" i="1"/>
  <c r="Z1309" i="1"/>
  <c r="Z1321" i="1"/>
  <c r="Z1337" i="1"/>
  <c r="Z1353" i="1"/>
  <c r="Z1366" i="1"/>
  <c r="Z1382" i="1"/>
  <c r="Z1395" i="1"/>
  <c r="Z1411" i="1"/>
  <c r="Z1427" i="1"/>
  <c r="Z1439" i="1"/>
  <c r="Z1455" i="1"/>
  <c r="Z1468" i="1"/>
  <c r="Z1484" i="1"/>
  <c r="Z1500" i="1"/>
  <c r="Z1512" i="1"/>
  <c r="Z1528" i="1"/>
  <c r="Z1541" i="1"/>
  <c r="Z1555" i="1"/>
  <c r="Z1566" i="1"/>
  <c r="Z1577" i="1"/>
  <c r="Z1591" i="1"/>
  <c r="Z1603" i="1"/>
  <c r="Z1614" i="1"/>
  <c r="Z1628" i="1"/>
  <c r="Z1638" i="1"/>
  <c r="Z1648" i="1"/>
  <c r="Z1659" i="1"/>
  <c r="Z1669" i="1"/>
  <c r="Z1680" i="1"/>
  <c r="Z1691" i="1"/>
  <c r="Z1700" i="1"/>
  <c r="Z1709" i="1"/>
  <c r="Z1718" i="1"/>
  <c r="Z1727" i="1"/>
  <c r="Z1736" i="1"/>
  <c r="Z1746" i="1"/>
  <c r="Z1755" i="1"/>
  <c r="Z1764" i="1"/>
  <c r="Z1773" i="1"/>
  <c r="Z1782" i="1"/>
  <c r="Z1791" i="1"/>
  <c r="Z1800" i="1"/>
  <c r="Z1810" i="1"/>
  <c r="Z1819" i="1"/>
  <c r="Z1828" i="1"/>
  <c r="Z1837" i="1"/>
  <c r="Z1846" i="1"/>
  <c r="Z1855" i="1"/>
  <c r="Z1864" i="1"/>
  <c r="Z1873" i="1"/>
  <c r="Z1881" i="1"/>
  <c r="Z1889" i="1"/>
  <c r="Z1897" i="1"/>
  <c r="Z1905" i="1"/>
  <c r="Z1913" i="1"/>
  <c r="Z1921" i="1"/>
  <c r="Z1929" i="1"/>
  <c r="Z1937" i="1"/>
  <c r="Z1945" i="1"/>
  <c r="Z1953" i="1"/>
  <c r="Z1961" i="1"/>
  <c r="Z1969" i="1"/>
  <c r="Z1977" i="1"/>
  <c r="Z1985" i="1"/>
  <c r="Z1993" i="1"/>
  <c r="Z2001" i="1"/>
  <c r="Z2009" i="1"/>
  <c r="Z2017" i="1"/>
  <c r="Z2025" i="1"/>
  <c r="Z2033" i="1"/>
  <c r="Z2041" i="1"/>
  <c r="Z2049" i="1"/>
  <c r="Z2057" i="1"/>
  <c r="Z2065" i="1"/>
  <c r="Z2073" i="1"/>
  <c r="Z2081" i="1"/>
  <c r="Z2089" i="1"/>
  <c r="Z2097" i="1"/>
  <c r="Z2105" i="1"/>
  <c r="Z2113" i="1"/>
  <c r="Z2121" i="1"/>
  <c r="Z2129" i="1"/>
  <c r="Z2137" i="1"/>
  <c r="Z2145" i="1"/>
  <c r="Z2153" i="1"/>
  <c r="Z2161" i="1"/>
  <c r="Z2169" i="1"/>
  <c r="Z2177" i="1"/>
  <c r="Z2185" i="1"/>
  <c r="Z2193" i="1"/>
  <c r="Z2201" i="1"/>
  <c r="Z2209" i="1"/>
  <c r="Z2217" i="1"/>
  <c r="Z2225" i="1"/>
  <c r="Z2233" i="1"/>
  <c r="Z2241" i="1"/>
  <c r="Z2249" i="1"/>
  <c r="Z2257" i="1"/>
  <c r="Z2265" i="1"/>
  <c r="Z2273" i="1"/>
  <c r="Z2281" i="1"/>
  <c r="Z2289" i="1"/>
  <c r="Z2297" i="1"/>
  <c r="Z2305" i="1"/>
  <c r="Z2313" i="1"/>
  <c r="Z2321" i="1"/>
  <c r="Z2329" i="1"/>
  <c r="Z2337" i="1"/>
  <c r="Z2345" i="1"/>
  <c r="Z2353" i="1"/>
  <c r="Z2361" i="1"/>
  <c r="Z2369" i="1"/>
  <c r="Z2377" i="1"/>
  <c r="Z2385" i="1"/>
  <c r="Z2393" i="1"/>
  <c r="Z2401" i="1"/>
  <c r="Z2409" i="1"/>
  <c r="Z2417" i="1"/>
  <c r="Z2425" i="1"/>
  <c r="Z2433" i="1"/>
  <c r="Z2441" i="1"/>
  <c r="Z2449" i="1"/>
  <c r="Z2457" i="1"/>
  <c r="Z2465" i="1"/>
  <c r="Z2473" i="1"/>
  <c r="Z2481" i="1"/>
  <c r="Z2489" i="1"/>
  <c r="Z2497" i="1"/>
  <c r="Z2505" i="1"/>
  <c r="Z2513" i="1"/>
  <c r="Z2521" i="1"/>
  <c r="Z2529" i="1"/>
  <c r="Z2537" i="1"/>
  <c r="Z2545" i="1"/>
  <c r="Z2553" i="1"/>
  <c r="Z2561" i="1"/>
  <c r="Z2569" i="1"/>
  <c r="Z2577" i="1"/>
  <c r="Z2585" i="1"/>
  <c r="Z2593" i="1"/>
  <c r="Z2601" i="1"/>
  <c r="Z2609" i="1"/>
  <c r="Z2617" i="1"/>
  <c r="Z2625" i="1"/>
  <c r="Z2633" i="1"/>
  <c r="Z2641" i="1"/>
  <c r="Z2649" i="1"/>
  <c r="Z2657" i="1"/>
  <c r="Z2665" i="1"/>
  <c r="Z2673" i="1"/>
  <c r="Z2681" i="1"/>
  <c r="Z2689" i="1"/>
  <c r="Z2697" i="1"/>
  <c r="Z2705" i="1"/>
  <c r="Z2713" i="1"/>
  <c r="Z2721" i="1"/>
  <c r="Z2729" i="1"/>
  <c r="Z2737" i="1"/>
  <c r="Z2745" i="1"/>
  <c r="Z2753" i="1"/>
  <c r="Z2761" i="1"/>
  <c r="Z2769" i="1"/>
  <c r="Z2777" i="1"/>
  <c r="Z2785" i="1"/>
  <c r="Z2793" i="1"/>
  <c r="Z2801" i="1"/>
  <c r="Z2809" i="1"/>
  <c r="Z2817" i="1"/>
  <c r="Z2825" i="1"/>
  <c r="Z2833" i="1"/>
  <c r="Z2841" i="1"/>
  <c r="Z2849" i="1"/>
  <c r="Z2857" i="1"/>
  <c r="Z2865" i="1"/>
  <c r="Z2873" i="1"/>
  <c r="Z2881" i="1"/>
  <c r="Z2889" i="1"/>
  <c r="Z2897" i="1"/>
  <c r="Z2905" i="1"/>
  <c r="Z2913" i="1"/>
  <c r="Z2921" i="1"/>
  <c r="Z68" i="1"/>
  <c r="Z112" i="1"/>
  <c r="Z154" i="1"/>
  <c r="Z188" i="1"/>
  <c r="Z221" i="1"/>
  <c r="Z259" i="1"/>
  <c r="Z292" i="1"/>
  <c r="Z325" i="1"/>
  <c r="Z360" i="1"/>
  <c r="Z393" i="1"/>
  <c r="Z429" i="1"/>
  <c r="Z461" i="1"/>
  <c r="Z490" i="1"/>
  <c r="Z519" i="1"/>
  <c r="Z547" i="1"/>
  <c r="Z579" i="1"/>
  <c r="Z608" i="1"/>
  <c r="Z636" i="1"/>
  <c r="Z664" i="1"/>
  <c r="Z683" i="1"/>
  <c r="Z709" i="1"/>
  <c r="Z729" i="1"/>
  <c r="Z755" i="1"/>
  <c r="Z781" i="1"/>
  <c r="Z801" i="1"/>
  <c r="Z827" i="1"/>
  <c r="Z847" i="1"/>
  <c r="Z873" i="1"/>
  <c r="Z899" i="1"/>
  <c r="Z916" i="1"/>
  <c r="Z937" i="1"/>
  <c r="Z954" i="1"/>
  <c r="Z975" i="1"/>
  <c r="Z995" i="1"/>
  <c r="Z1012" i="1"/>
  <c r="Z1035" i="1"/>
  <c r="Z1049" i="1"/>
  <c r="Z1069" i="1"/>
  <c r="Z1087" i="1"/>
  <c r="Z1102" i="1"/>
  <c r="Z1120" i="1"/>
  <c r="Z1135" i="1"/>
  <c r="Z1153" i="1"/>
  <c r="Z1173" i="1"/>
  <c r="Z1188" i="1"/>
  <c r="Z1206" i="1"/>
  <c r="Z1221" i="1"/>
  <c r="Z1237" i="1"/>
  <c r="Z1253" i="1"/>
  <c r="Z1265" i="1"/>
  <c r="Z1281" i="1"/>
  <c r="Z1294" i="1"/>
  <c r="Z1310" i="1"/>
  <c r="Z1326" i="1"/>
  <c r="Z1339" i="1"/>
  <c r="Z1355" i="1"/>
  <c r="Z1367" i="1"/>
  <c r="Z1383" i="1"/>
  <c r="Z1399" i="1"/>
  <c r="Z1412" i="1"/>
  <c r="Z1428" i="1"/>
  <c r="Z1440" i="1"/>
  <c r="Z1456" i="1"/>
  <c r="Z1472" i="1"/>
  <c r="Z1485" i="1"/>
  <c r="Z1501" i="1"/>
  <c r="Z1513" i="1"/>
  <c r="Z1529" i="1"/>
  <c r="Z1543" i="1"/>
  <c r="Z1556" i="1"/>
  <c r="Z1567" i="1"/>
  <c r="Z69" i="1"/>
  <c r="Z113" i="1"/>
  <c r="Z155" i="1"/>
  <c r="Z189" i="1"/>
  <c r="Z227" i="1"/>
  <c r="Z260" i="1"/>
  <c r="Z293" i="1"/>
  <c r="Z328" i="1"/>
  <c r="Z361" i="1"/>
  <c r="Z397" i="1"/>
  <c r="Z432" i="1"/>
  <c r="Z463" i="1"/>
  <c r="Z491" i="1"/>
  <c r="Z520" i="1"/>
  <c r="Z552" i="1"/>
  <c r="Z580" i="1"/>
  <c r="Z609" i="1"/>
  <c r="Z637" i="1"/>
  <c r="Z665" i="1"/>
  <c r="Z684" i="1"/>
  <c r="Z711" i="1"/>
  <c r="Z737" i="1"/>
  <c r="Z756" i="1"/>
  <c r="Z783" i="1"/>
  <c r="Z802" i="1"/>
  <c r="Z828" i="1"/>
  <c r="Z855" i="1"/>
  <c r="Z874" i="1"/>
  <c r="Z900" i="1"/>
  <c r="Z917" i="1"/>
  <c r="Z938" i="1"/>
  <c r="Z959" i="1"/>
  <c r="Z72" i="1"/>
  <c r="Z114" i="1"/>
  <c r="Z73" i="1"/>
  <c r="Z115" i="1"/>
  <c r="Z157" i="1"/>
  <c r="Z196" i="1"/>
  <c r="Z229" i="1"/>
  <c r="Z264" i="1"/>
  <c r="Z297" i="1"/>
  <c r="Z90" i="1"/>
  <c r="Z261" i="1"/>
  <c r="Z368" i="1"/>
  <c r="Z464" i="1"/>
  <c r="Z535" i="1"/>
  <c r="Z611" i="1"/>
  <c r="Z692" i="1"/>
  <c r="Z744" i="1"/>
  <c r="Z811" i="1"/>
  <c r="Z875" i="1"/>
  <c r="Z927" i="1"/>
  <c r="Z977" i="1"/>
  <c r="Z1020" i="1"/>
  <c r="Z1056" i="1"/>
  <c r="Z1089" i="1"/>
  <c r="Z1124" i="1"/>
  <c r="Z1157" i="1"/>
  <c r="Z1193" i="1"/>
  <c r="Z1227" i="1"/>
  <c r="Z1255" i="1"/>
  <c r="Z1284" i="1"/>
  <c r="Z1312" i="1"/>
  <c r="Z1344" i="1"/>
  <c r="Z1373" i="1"/>
  <c r="Z1401" i="1"/>
  <c r="Z1430" i="1"/>
  <c r="Z1459" i="1"/>
  <c r="Z1491" i="1"/>
  <c r="Z1519" i="1"/>
  <c r="Z1547" i="1"/>
  <c r="Z1571" i="1"/>
  <c r="Z1592" i="1"/>
  <c r="Z1609" i="1"/>
  <c r="Z1630" i="1"/>
  <c r="Z1645" i="1"/>
  <c r="Z1663" i="1"/>
  <c r="Z1681" i="1"/>
  <c r="Z1695" i="1"/>
  <c r="Z1711" i="1"/>
  <c r="Z1724" i="1"/>
  <c r="Z1740" i="1"/>
  <c r="Z1756" i="1"/>
  <c r="Z1768" i="1"/>
  <c r="Z1784" i="1"/>
  <c r="Z1797" i="1"/>
  <c r="Z1813" i="1"/>
  <c r="Z1829" i="1"/>
  <c r="Z1842" i="1"/>
  <c r="Z1858" i="1"/>
  <c r="Z1870" i="1"/>
  <c r="Z1884" i="1"/>
  <c r="Z1898" i="1"/>
  <c r="Z1909" i="1"/>
  <c r="Z1923" i="1"/>
  <c r="Z1934" i="1"/>
  <c r="Z1948" i="1"/>
  <c r="Z1962" i="1"/>
  <c r="Z1973" i="1"/>
  <c r="Z1987" i="1"/>
  <c r="Z1998" i="1"/>
  <c r="Z2012" i="1"/>
  <c r="Z2026" i="1"/>
  <c r="Z2037" i="1"/>
  <c r="Z2051" i="1"/>
  <c r="Z2062" i="1"/>
  <c r="Z2076" i="1"/>
  <c r="Z2090" i="1"/>
  <c r="Z2101" i="1"/>
  <c r="Z2115" i="1"/>
  <c r="Z2126" i="1"/>
  <c r="Z2140" i="1"/>
  <c r="Z2154" i="1"/>
  <c r="Z2165" i="1"/>
  <c r="Z2179" i="1"/>
  <c r="Z2190" i="1"/>
  <c r="Z2204" i="1"/>
  <c r="Z2218" i="1"/>
  <c r="Z2229" i="1"/>
  <c r="Z2243" i="1"/>
  <c r="Z2254" i="1"/>
  <c r="Z2268" i="1"/>
  <c r="Z2282" i="1"/>
  <c r="Z2293" i="1"/>
  <c r="Z2307" i="1"/>
  <c r="Z2318" i="1"/>
  <c r="Z2332" i="1"/>
  <c r="Z2346" i="1"/>
  <c r="Z2357" i="1"/>
  <c r="Z2371" i="1"/>
  <c r="Z2382" i="1"/>
  <c r="Z2396" i="1"/>
  <c r="Z2410" i="1"/>
  <c r="Z2421" i="1"/>
  <c r="Z2435" i="1"/>
  <c r="Z2446" i="1"/>
  <c r="Z2460" i="1"/>
  <c r="Z2474" i="1"/>
  <c r="Z2485" i="1"/>
  <c r="Z2499" i="1"/>
  <c r="Z2510" i="1"/>
  <c r="Z2524" i="1"/>
  <c r="Z2538" i="1"/>
  <c r="Z2549" i="1"/>
  <c r="Z2563" i="1"/>
  <c r="Z2574" i="1"/>
  <c r="Z2588" i="1"/>
  <c r="Z2602" i="1"/>
  <c r="Z2613" i="1"/>
  <c r="Z2627" i="1"/>
  <c r="Z2638" i="1"/>
  <c r="Z2652" i="1"/>
  <c r="Z2666" i="1"/>
  <c r="Z2677" i="1"/>
  <c r="Z2691" i="1"/>
  <c r="Z2702" i="1"/>
  <c r="Z2716" i="1"/>
  <c r="Z2730" i="1"/>
  <c r="Z2741" i="1"/>
  <c r="Z2755" i="1"/>
  <c r="Z2766" i="1"/>
  <c r="Z2780" i="1"/>
  <c r="Z2790" i="1"/>
  <c r="Z2802" i="1"/>
  <c r="Z2812" i="1"/>
  <c r="Z2822" i="1"/>
  <c r="Z2834" i="1"/>
  <c r="Z2844" i="1"/>
  <c r="Z2854" i="1"/>
  <c r="Z2866" i="1"/>
  <c r="Z2876" i="1"/>
  <c r="Z2886" i="1"/>
  <c r="Z2898" i="1"/>
  <c r="Z2908" i="1"/>
  <c r="Z2918" i="1"/>
  <c r="Z2929" i="1"/>
  <c r="Z2938" i="1"/>
  <c r="Z2947" i="1"/>
  <c r="Z2956" i="1"/>
  <c r="Z2965" i="1"/>
  <c r="Z2974" i="1"/>
  <c r="Z2984" i="1"/>
  <c r="Z2993" i="1"/>
  <c r="Z3002" i="1"/>
  <c r="Z3011" i="1"/>
  <c r="Z3020" i="1"/>
  <c r="Z3029" i="1"/>
  <c r="Z3038" i="1"/>
  <c r="Z3048" i="1"/>
  <c r="Z3057" i="1"/>
  <c r="Z3066" i="1"/>
  <c r="Z3075" i="1"/>
  <c r="Z3084" i="1"/>
  <c r="Z3093" i="1"/>
  <c r="Z3102" i="1"/>
  <c r="Z3110" i="1"/>
  <c r="Z3118" i="1"/>
  <c r="Z3126" i="1"/>
  <c r="Z3134" i="1"/>
  <c r="Z3142" i="1"/>
  <c r="Z3150" i="1"/>
  <c r="Z3158" i="1"/>
  <c r="Z3166" i="1"/>
  <c r="Z3174" i="1"/>
  <c r="Z3182" i="1"/>
  <c r="Z3190" i="1"/>
  <c r="Z3198" i="1"/>
  <c r="Z3206" i="1"/>
  <c r="Z3214" i="1"/>
  <c r="Z3222" i="1"/>
  <c r="Z3230" i="1"/>
  <c r="Z3238" i="1"/>
  <c r="Z3246" i="1"/>
  <c r="Z3254" i="1"/>
  <c r="Z3262" i="1"/>
  <c r="Z3270" i="1"/>
  <c r="Z3278" i="1"/>
  <c r="Z3286" i="1"/>
  <c r="Z3294" i="1"/>
  <c r="Z3302" i="1"/>
  <c r="Z3310" i="1"/>
  <c r="Z3318" i="1"/>
  <c r="Z3326" i="1"/>
  <c r="Z3334" i="1"/>
  <c r="Z3342" i="1"/>
  <c r="Z3350" i="1"/>
  <c r="Z3358" i="1"/>
  <c r="Z3366" i="1"/>
  <c r="Z3374" i="1"/>
  <c r="Z3382" i="1"/>
  <c r="Z3390" i="1"/>
  <c r="Z3398" i="1"/>
  <c r="Z3406" i="1"/>
  <c r="Z3414" i="1"/>
  <c r="Z3422" i="1"/>
  <c r="Z3430" i="1"/>
  <c r="Z3438" i="1"/>
  <c r="Z3446" i="1"/>
  <c r="Z3454" i="1"/>
  <c r="Z3462" i="1"/>
  <c r="Z3470" i="1"/>
  <c r="Z3478" i="1"/>
  <c r="Z3486" i="1"/>
  <c r="Z3494" i="1"/>
  <c r="Z3502" i="1"/>
  <c r="Z3510" i="1"/>
  <c r="Z3518" i="1"/>
  <c r="Z3526" i="1"/>
  <c r="Z3534" i="1"/>
  <c r="Z3542" i="1"/>
  <c r="Z3550" i="1"/>
  <c r="Z3558" i="1"/>
  <c r="Z3566" i="1"/>
  <c r="Z3574" i="1"/>
  <c r="Z3582" i="1"/>
  <c r="Z3590" i="1"/>
  <c r="Z3598" i="1"/>
  <c r="Z3606" i="1"/>
  <c r="Z3614" i="1"/>
  <c r="Z3622" i="1"/>
  <c r="Z3630" i="1"/>
  <c r="Z3638" i="1"/>
  <c r="Z3646" i="1"/>
  <c r="Z3654" i="1"/>
  <c r="Z3662" i="1"/>
  <c r="Z3670" i="1"/>
  <c r="Z3678" i="1"/>
  <c r="Z3686" i="1"/>
  <c r="Z3694" i="1"/>
  <c r="Z3702" i="1"/>
  <c r="Z3710" i="1"/>
  <c r="Z3718" i="1"/>
  <c r="Z3726" i="1"/>
  <c r="Z3734" i="1"/>
  <c r="Z3742" i="1"/>
  <c r="Z3750" i="1"/>
  <c r="Z3758" i="1"/>
  <c r="Z3766" i="1"/>
  <c r="Z3774" i="1"/>
  <c r="Z3782" i="1"/>
  <c r="Z3790" i="1"/>
  <c r="Z3798" i="1"/>
  <c r="Z3806" i="1"/>
  <c r="Z3814" i="1"/>
  <c r="Z3822" i="1"/>
  <c r="Z3830" i="1"/>
  <c r="Z3838" i="1"/>
  <c r="Z3846" i="1"/>
  <c r="Z3854" i="1"/>
  <c r="Z3862" i="1"/>
  <c r="Z3870" i="1"/>
  <c r="Z3878" i="1"/>
  <c r="Z3886" i="1"/>
  <c r="Z3894" i="1"/>
  <c r="Z3902" i="1"/>
  <c r="Z3910" i="1"/>
  <c r="Z3918" i="1"/>
  <c r="Z3926" i="1"/>
  <c r="Z3934" i="1"/>
  <c r="Z3942" i="1"/>
  <c r="Z3950" i="1"/>
  <c r="Z3958" i="1"/>
  <c r="Z3966" i="1"/>
  <c r="Z3974" i="1"/>
  <c r="Z3982" i="1"/>
  <c r="Z3990" i="1"/>
  <c r="Z3998" i="1"/>
  <c r="Z4006" i="1"/>
  <c r="Z4014" i="1"/>
  <c r="Z4022" i="1"/>
  <c r="Z4030" i="1"/>
  <c r="Z4038" i="1"/>
  <c r="Z4046" i="1"/>
  <c r="Z4054" i="1"/>
  <c r="Z4062" i="1"/>
  <c r="Z4070" i="1"/>
  <c r="Z4078" i="1"/>
  <c r="Z4086" i="1"/>
  <c r="Z4094" i="1"/>
  <c r="Z4102" i="1"/>
  <c r="Z4110" i="1"/>
  <c r="Z4118" i="1"/>
  <c r="Z4126" i="1"/>
  <c r="Z4134" i="1"/>
  <c r="Z4142" i="1"/>
  <c r="Z4150" i="1"/>
  <c r="Z4158" i="1"/>
  <c r="Z4166" i="1"/>
  <c r="Z4174" i="1"/>
  <c r="Z4182" i="1"/>
  <c r="Z4190" i="1"/>
  <c r="Z4198" i="1"/>
  <c r="Z4206" i="1"/>
  <c r="Z132" i="1"/>
  <c r="Z274" i="1"/>
  <c r="Z378" i="1"/>
  <c r="Z465" i="1"/>
  <c r="Z553" i="1"/>
  <c r="Z620" i="1"/>
  <c r="Z693" i="1"/>
  <c r="Z757" i="1"/>
  <c r="Z812" i="1"/>
  <c r="Z883" i="1"/>
  <c r="Z939" i="1"/>
  <c r="Z984" i="1"/>
  <c r="Z1021" i="1"/>
  <c r="Z1057" i="1"/>
  <c r="Z1092" i="1"/>
  <c r="Z1125" i="1"/>
  <c r="Z1161" i="1"/>
  <c r="Z1196" i="1"/>
  <c r="Z1228" i="1"/>
  <c r="Z1256" i="1"/>
  <c r="Z1285" i="1"/>
  <c r="Z1317" i="1"/>
  <c r="Z1345" i="1"/>
  <c r="Z1374" i="1"/>
  <c r="Z1403" i="1"/>
  <c r="Z1431" i="1"/>
  <c r="Z1463" i="1"/>
  <c r="Z1492" i="1"/>
  <c r="Z1520" i="1"/>
  <c r="Z1548" i="1"/>
  <c r="Z1573" i="1"/>
  <c r="Z1593" i="1"/>
  <c r="Z1611" i="1"/>
  <c r="Z1631" i="1"/>
  <c r="Z1649" i="1"/>
  <c r="Z1664" i="1"/>
  <c r="Z1683" i="1"/>
  <c r="Z1696" i="1"/>
  <c r="Z1712" i="1"/>
  <c r="Z1728" i="1"/>
  <c r="Z1741" i="1"/>
  <c r="Z1757" i="1"/>
  <c r="Z1770" i="1"/>
  <c r="Z1786" i="1"/>
  <c r="Z1802" i="1"/>
  <c r="Z1814" i="1"/>
  <c r="Z1830" i="1"/>
  <c r="Z1843" i="1"/>
  <c r="Z1859" i="1"/>
  <c r="Z1874" i="1"/>
  <c r="Z1885" i="1"/>
  <c r="Z1899" i="1"/>
  <c r="Z1910" i="1"/>
  <c r="Z1924" i="1"/>
  <c r="Z1938" i="1"/>
  <c r="Z1949" i="1"/>
  <c r="Z1963" i="1"/>
  <c r="Z1974" i="1"/>
  <c r="Z1988" i="1"/>
  <c r="Z2002" i="1"/>
  <c r="Z2013" i="1"/>
  <c r="Z2027" i="1"/>
  <c r="Z2038" i="1"/>
  <c r="Z2052" i="1"/>
  <c r="Z2066" i="1"/>
  <c r="Z2077" i="1"/>
  <c r="Z2091" i="1"/>
  <c r="Z2102" i="1"/>
  <c r="Z2116" i="1"/>
  <c r="Z2130" i="1"/>
  <c r="Z2141" i="1"/>
  <c r="Z2155" i="1"/>
  <c r="Z2166" i="1"/>
  <c r="Z2180" i="1"/>
  <c r="Z2194" i="1"/>
  <c r="Z2205" i="1"/>
  <c r="Z2219" i="1"/>
  <c r="Z2230" i="1"/>
  <c r="Z2244" i="1"/>
  <c r="Z2258" i="1"/>
  <c r="Z2269" i="1"/>
  <c r="Z2283" i="1"/>
  <c r="Z2294" i="1"/>
  <c r="Z2308" i="1"/>
  <c r="Z2322" i="1"/>
  <c r="Z2333" i="1"/>
  <c r="Z2347" i="1"/>
  <c r="Z2358" i="1"/>
  <c r="Z2372" i="1"/>
  <c r="Z2386" i="1"/>
  <c r="Z2397" i="1"/>
  <c r="Z2411" i="1"/>
  <c r="Z2422" i="1"/>
  <c r="Z2436" i="1"/>
  <c r="Z2450" i="1"/>
  <c r="Z2461" i="1"/>
  <c r="Z2475" i="1"/>
  <c r="Z2486" i="1"/>
  <c r="Z2500" i="1"/>
  <c r="Z2514" i="1"/>
  <c r="Z2525" i="1"/>
  <c r="Z2539" i="1"/>
  <c r="Z2550" i="1"/>
  <c r="Z2564" i="1"/>
  <c r="Z2578" i="1"/>
  <c r="Z2589" i="1"/>
  <c r="Z2603" i="1"/>
  <c r="Z2614" i="1"/>
  <c r="Z2628" i="1"/>
  <c r="Z2642" i="1"/>
  <c r="Z2653" i="1"/>
  <c r="Z2667" i="1"/>
  <c r="Z2678" i="1"/>
  <c r="Z2692" i="1"/>
  <c r="Z2706" i="1"/>
  <c r="Z2717" i="1"/>
  <c r="Z2731" i="1"/>
  <c r="Z2742" i="1"/>
  <c r="Z2756" i="1"/>
  <c r="Z2770" i="1"/>
  <c r="Z2781" i="1"/>
  <c r="Z2792" i="1"/>
  <c r="Z2803" i="1"/>
  <c r="Z2813" i="1"/>
  <c r="Z2824" i="1"/>
  <c r="Z2835" i="1"/>
  <c r="Z2845" i="1"/>
  <c r="Z2856" i="1"/>
  <c r="Z2867" i="1"/>
  <c r="Z2877" i="1"/>
  <c r="Z2888" i="1"/>
  <c r="Z2899" i="1"/>
  <c r="Z2909" i="1"/>
  <c r="Z2920" i="1"/>
  <c r="Z2930" i="1"/>
  <c r="Z2939" i="1"/>
  <c r="Z2948" i="1"/>
  <c r="Z2957" i="1"/>
  <c r="Z2966" i="1"/>
  <c r="Z2976" i="1"/>
  <c r="Z2985" i="1"/>
  <c r="Z2994" i="1"/>
  <c r="Z3003" i="1"/>
  <c r="Z3012" i="1"/>
  <c r="Z3021" i="1"/>
  <c r="Z3030" i="1"/>
  <c r="Z3040" i="1"/>
  <c r="Z3049" i="1"/>
  <c r="Z3058" i="1"/>
  <c r="Z3067" i="1"/>
  <c r="Z3076" i="1"/>
  <c r="Z3085" i="1"/>
  <c r="Z3094" i="1"/>
  <c r="Z3103" i="1"/>
  <c r="Z3111" i="1"/>
  <c r="Z3119" i="1"/>
  <c r="Z3127" i="1"/>
  <c r="Z3135" i="1"/>
  <c r="Z3143" i="1"/>
  <c r="Z3151" i="1"/>
  <c r="Z3159" i="1"/>
  <c r="Z3167" i="1"/>
  <c r="Z3175" i="1"/>
  <c r="Z3183" i="1"/>
  <c r="Z3191" i="1"/>
  <c r="Z3199" i="1"/>
  <c r="Z3207" i="1"/>
  <c r="Z3215" i="1"/>
  <c r="Z3223" i="1"/>
  <c r="Z3231" i="1"/>
  <c r="Z3239" i="1"/>
  <c r="Z3247" i="1"/>
  <c r="Z3255" i="1"/>
  <c r="Z3263" i="1"/>
  <c r="Z3271" i="1"/>
  <c r="Z3279" i="1"/>
  <c r="Z3287" i="1"/>
  <c r="Z3295" i="1"/>
  <c r="Z3303" i="1"/>
  <c r="Z3311" i="1"/>
  <c r="Z3319" i="1"/>
  <c r="Z3327" i="1"/>
  <c r="Z3335" i="1"/>
  <c r="Z3343" i="1"/>
  <c r="Z3351" i="1"/>
  <c r="Z3359" i="1"/>
  <c r="Z3367" i="1"/>
  <c r="Z3375" i="1"/>
  <c r="Z3383" i="1"/>
  <c r="Z3391" i="1"/>
  <c r="Z3399" i="1"/>
  <c r="Z3407" i="1"/>
  <c r="Z3415" i="1"/>
  <c r="Z3423" i="1"/>
  <c r="Z3431" i="1"/>
  <c r="Z3439" i="1"/>
  <c r="Z3447" i="1"/>
  <c r="Z3455" i="1"/>
  <c r="Z3463" i="1"/>
  <c r="Z3471" i="1"/>
  <c r="Z3479" i="1"/>
  <c r="Z3487" i="1"/>
  <c r="Z3495" i="1"/>
  <c r="Z3503" i="1"/>
  <c r="Z3511" i="1"/>
  <c r="Z3519" i="1"/>
  <c r="Z3527" i="1"/>
  <c r="Z3535" i="1"/>
  <c r="Z3543" i="1"/>
  <c r="Z3551" i="1"/>
  <c r="Z3559" i="1"/>
  <c r="Z3567" i="1"/>
  <c r="Z3575" i="1"/>
  <c r="Z3583" i="1"/>
  <c r="Z3591" i="1"/>
  <c r="Z3599" i="1"/>
  <c r="Z3607" i="1"/>
  <c r="Z3615" i="1"/>
  <c r="Z3623" i="1"/>
  <c r="Z3631" i="1"/>
  <c r="Z3639" i="1"/>
  <c r="Z3647" i="1"/>
  <c r="Z3655" i="1"/>
  <c r="Z3663" i="1"/>
  <c r="Z3671" i="1"/>
  <c r="Z3679" i="1"/>
  <c r="Z3687" i="1"/>
  <c r="Z3695" i="1"/>
  <c r="Z3703" i="1"/>
  <c r="Z3711" i="1"/>
  <c r="Z3719" i="1"/>
  <c r="Z3727" i="1"/>
  <c r="Z3735" i="1"/>
  <c r="Z3743" i="1"/>
  <c r="Z3751" i="1"/>
  <c r="Z3759" i="1"/>
  <c r="Z3767" i="1"/>
  <c r="Z3775" i="1"/>
  <c r="Z3783" i="1"/>
  <c r="Z3791" i="1"/>
  <c r="Z3799" i="1"/>
  <c r="Z3807" i="1"/>
  <c r="Z3815" i="1"/>
  <c r="Z3823" i="1"/>
  <c r="Z3831" i="1"/>
  <c r="Z3839" i="1"/>
  <c r="Z3847" i="1"/>
  <c r="Z3855" i="1"/>
  <c r="Z3863" i="1"/>
  <c r="Z3871" i="1"/>
  <c r="Z3879" i="1"/>
  <c r="Z3887" i="1"/>
  <c r="Z3895" i="1"/>
  <c r="Z3903" i="1"/>
  <c r="Z3911" i="1"/>
  <c r="Z156" i="1"/>
  <c r="Z296" i="1"/>
  <c r="Z400" i="1"/>
  <c r="Z474" i="1"/>
  <c r="Z554" i="1"/>
  <c r="Z639" i="1"/>
  <c r="Z698" i="1"/>
  <c r="Z765" i="1"/>
  <c r="Z829" i="1"/>
  <c r="Z884" i="1"/>
  <c r="Z940" i="1"/>
  <c r="Z985" i="1"/>
  <c r="Z1023" i="1"/>
  <c r="Z1060" i="1"/>
  <c r="Z1093" i="1"/>
  <c r="Z1129" i="1"/>
  <c r="Z1164" i="1"/>
  <c r="Z1197" i="1"/>
  <c r="Z1229" i="1"/>
  <c r="Z1257" i="1"/>
  <c r="Z1289" i="1"/>
  <c r="Z1318" i="1"/>
  <c r="Z1347" i="1"/>
  <c r="Z1375" i="1"/>
  <c r="Z1404" i="1"/>
  <c r="Z1436" i="1"/>
  <c r="Z1464" i="1"/>
  <c r="Z1493" i="1"/>
  <c r="Z1521" i="1"/>
  <c r="Z1549" i="1"/>
  <c r="Z1574" i="1"/>
  <c r="Z1595" i="1"/>
  <c r="Z1616" i="1"/>
  <c r="Z1632" i="1"/>
  <c r="Z1651" i="1"/>
  <c r="Z1665" i="1"/>
  <c r="Z1684" i="1"/>
  <c r="Z1701" i="1"/>
  <c r="Z1714" i="1"/>
  <c r="Z1730" i="1"/>
  <c r="Z1742" i="1"/>
  <c r="Z1758" i="1"/>
  <c r="Z1774" i="1"/>
  <c r="Z1787" i="1"/>
  <c r="Z1803" i="1"/>
  <c r="Z1815" i="1"/>
  <c r="Z1831" i="1"/>
  <c r="Z1847" i="1"/>
  <c r="Z1860" i="1"/>
  <c r="Z1875" i="1"/>
  <c r="Z1886" i="1"/>
  <c r="Z1900" i="1"/>
  <c r="Z1914" i="1"/>
  <c r="Z1925" i="1"/>
  <c r="Z1939" i="1"/>
  <c r="Z1950" i="1"/>
  <c r="Z1964" i="1"/>
  <c r="Z1978" i="1"/>
  <c r="Z1989" i="1"/>
  <c r="Z2003" i="1"/>
  <c r="Z2014" i="1"/>
  <c r="Z2028" i="1"/>
  <c r="Z2042" i="1"/>
  <c r="Z2053" i="1"/>
  <c r="Z2067" i="1"/>
  <c r="Z2078" i="1"/>
  <c r="Z2092" i="1"/>
  <c r="Z2106" i="1"/>
  <c r="Z2117" i="1"/>
  <c r="Z2131" i="1"/>
  <c r="Z2142" i="1"/>
  <c r="Z2156" i="1"/>
  <c r="Z2170" i="1"/>
  <c r="Z2181" i="1"/>
  <c r="Z2195" i="1"/>
  <c r="Z2206" i="1"/>
  <c r="Z2220" i="1"/>
  <c r="Z2234" i="1"/>
  <c r="Z2245" i="1"/>
  <c r="Z2259" i="1"/>
  <c r="Z2270" i="1"/>
  <c r="Z2284" i="1"/>
  <c r="Z2298" i="1"/>
  <c r="Z2309" i="1"/>
  <c r="Z2323" i="1"/>
  <c r="Z2334" i="1"/>
  <c r="Z2348" i="1"/>
  <c r="Z2362" i="1"/>
  <c r="Z2373" i="1"/>
  <c r="Z2387" i="1"/>
  <c r="Z2398" i="1"/>
  <c r="Z2412" i="1"/>
  <c r="Z2426" i="1"/>
  <c r="Z2437" i="1"/>
  <c r="Z2451" i="1"/>
  <c r="Z2462" i="1"/>
  <c r="Z2476" i="1"/>
  <c r="Z2490" i="1"/>
  <c r="Z2501" i="1"/>
  <c r="Z2515" i="1"/>
  <c r="Z2526" i="1"/>
  <c r="Z2540" i="1"/>
  <c r="Z2554" i="1"/>
  <c r="Z2565" i="1"/>
  <c r="Z2579" i="1"/>
  <c r="Z2590" i="1"/>
  <c r="Z2604" i="1"/>
  <c r="Z2618" i="1"/>
  <c r="Z2629" i="1"/>
  <c r="Z2643" i="1"/>
  <c r="Z2654" i="1"/>
  <c r="Z2668" i="1"/>
  <c r="Z2682" i="1"/>
  <c r="Z2693" i="1"/>
  <c r="Z2707" i="1"/>
  <c r="Z2718" i="1"/>
  <c r="Z2732" i="1"/>
  <c r="Z2746" i="1"/>
  <c r="Z2757" i="1"/>
  <c r="Z2771" i="1"/>
  <c r="Z2782" i="1"/>
  <c r="Z2794" i="1"/>
  <c r="Z2804" i="1"/>
  <c r="Z2814" i="1"/>
  <c r="Z2826" i="1"/>
  <c r="Z2836" i="1"/>
  <c r="Z2846" i="1"/>
  <c r="Z2858" i="1"/>
  <c r="Z2868" i="1"/>
  <c r="Z2878" i="1"/>
  <c r="Z2890" i="1"/>
  <c r="Z2900" i="1"/>
  <c r="Z2910" i="1"/>
  <c r="Z2922" i="1"/>
  <c r="Z2931" i="1"/>
  <c r="Z2940" i="1"/>
  <c r="Z2949" i="1"/>
  <c r="Z2958" i="1"/>
  <c r="Z2968" i="1"/>
  <c r="Z2977" i="1"/>
  <c r="Z2986" i="1"/>
  <c r="Z2995" i="1"/>
  <c r="Z3004" i="1"/>
  <c r="Z3013" i="1"/>
  <c r="Z3022" i="1"/>
  <c r="Z3032" i="1"/>
  <c r="Z3041" i="1"/>
  <c r="Z3050" i="1"/>
  <c r="Z3059" i="1"/>
  <c r="Z3068" i="1"/>
  <c r="Z3077" i="1"/>
  <c r="Z3086" i="1"/>
  <c r="Z3096" i="1"/>
  <c r="Z3104" i="1"/>
  <c r="Z3112" i="1"/>
  <c r="Z3120" i="1"/>
  <c r="Z3128" i="1"/>
  <c r="Z3136" i="1"/>
  <c r="Z3144" i="1"/>
  <c r="Z3152" i="1"/>
  <c r="Z3160" i="1"/>
  <c r="Z3168" i="1"/>
  <c r="Z3176" i="1"/>
  <c r="Z3184" i="1"/>
  <c r="Z3192" i="1"/>
  <c r="Z3200" i="1"/>
  <c r="Z3208" i="1"/>
  <c r="Z3216" i="1"/>
  <c r="Z3224" i="1"/>
  <c r="Z3232" i="1"/>
  <c r="Z3240" i="1"/>
  <c r="Z3248" i="1"/>
  <c r="Z3256" i="1"/>
  <c r="Z3264" i="1"/>
  <c r="Z3272" i="1"/>
  <c r="Z3280" i="1"/>
  <c r="Z3288" i="1"/>
  <c r="Z3296" i="1"/>
  <c r="Z3304" i="1"/>
  <c r="Z3312" i="1"/>
  <c r="Z3320" i="1"/>
  <c r="Z3328" i="1"/>
  <c r="Z3336" i="1"/>
  <c r="Z3344" i="1"/>
  <c r="Z3352" i="1"/>
  <c r="Z3360" i="1"/>
  <c r="Z3368" i="1"/>
  <c r="Z3376" i="1"/>
  <c r="Z3384" i="1"/>
  <c r="Z3392" i="1"/>
  <c r="Z3400" i="1"/>
  <c r="Z3408" i="1"/>
  <c r="Z3416" i="1"/>
  <c r="Z3424" i="1"/>
  <c r="Z3432" i="1"/>
  <c r="Z3440" i="1"/>
  <c r="Z3448" i="1"/>
  <c r="Z3456" i="1"/>
  <c r="Z3464" i="1"/>
  <c r="Z3472" i="1"/>
  <c r="Z3480" i="1"/>
  <c r="Z3488" i="1"/>
  <c r="Z3496" i="1"/>
  <c r="Z3504" i="1"/>
  <c r="Z3512" i="1"/>
  <c r="Z3520" i="1"/>
  <c r="Z3528" i="1"/>
  <c r="Z3536" i="1"/>
  <c r="Z3544" i="1"/>
  <c r="Z3552" i="1"/>
  <c r="Z3560" i="1"/>
  <c r="Z3568" i="1"/>
  <c r="Z3576" i="1"/>
  <c r="Z3584" i="1"/>
  <c r="Z3592" i="1"/>
  <c r="Z3600" i="1"/>
  <c r="Z3608" i="1"/>
  <c r="Z3616" i="1"/>
  <c r="Z3624" i="1"/>
  <c r="Z3632" i="1"/>
  <c r="Z3640" i="1"/>
  <c r="Z3648" i="1"/>
  <c r="Z3656" i="1"/>
  <c r="Z3664" i="1"/>
  <c r="Z3672" i="1"/>
  <c r="Z3680" i="1"/>
  <c r="Z3688" i="1"/>
  <c r="Z3696" i="1"/>
  <c r="Z3704" i="1"/>
  <c r="Z3712" i="1"/>
  <c r="Z3720" i="1"/>
  <c r="Z3728" i="1"/>
  <c r="Z3736" i="1"/>
  <c r="Z3744" i="1"/>
  <c r="Z3752" i="1"/>
  <c r="Z3760" i="1"/>
  <c r="Z3768" i="1"/>
  <c r="Z3776" i="1"/>
  <c r="Z3784" i="1"/>
  <c r="Z3792" i="1"/>
  <c r="Z3800" i="1"/>
  <c r="Z3808" i="1"/>
  <c r="Z173" i="1"/>
  <c r="Z307" i="1"/>
  <c r="Z401" i="1"/>
  <c r="Z492" i="1"/>
  <c r="Z563" i="1"/>
  <c r="Z643" i="1"/>
  <c r="Z712" i="1"/>
  <c r="Z767" i="1"/>
  <c r="Z831" i="1"/>
  <c r="Z901" i="1"/>
  <c r="Z947" i="1"/>
  <c r="Z999" i="1"/>
  <c r="Z1036" i="1"/>
  <c r="Z1070" i="1"/>
  <c r="Z1103" i="1"/>
  <c r="Z1141" i="1"/>
  <c r="Z1174" i="1"/>
  <c r="Z1207" i="1"/>
  <c r="Z1238" i="1"/>
  <c r="Z1267" i="1"/>
  <c r="Z1299" i="1"/>
  <c r="Z1327" i="1"/>
  <c r="Z1356" i="1"/>
  <c r="Z1384" i="1"/>
  <c r="Z1413" i="1"/>
  <c r="Z1445" i="1"/>
  <c r="Z1473" i="1"/>
  <c r="Z1502" i="1"/>
  <c r="Z1531" i="1"/>
  <c r="Z1557" i="1"/>
  <c r="Z1580" i="1"/>
  <c r="Z1596" i="1"/>
  <c r="Z1619" i="1"/>
  <c r="Z1635" i="1"/>
  <c r="Z1653" i="1"/>
  <c r="Z1671" i="1"/>
  <c r="Z1685" i="1"/>
  <c r="Z1702" i="1"/>
  <c r="Z1715" i="1"/>
  <c r="Z1731" i="1"/>
  <c r="Z1747" i="1"/>
  <c r="Z1759" i="1"/>
  <c r="Z1775" i="1"/>
  <c r="Z1788" i="1"/>
  <c r="Z1804" i="1"/>
  <c r="Z1820" i="1"/>
  <c r="Z1832" i="1"/>
  <c r="Z1848" i="1"/>
  <c r="Z1861" i="1"/>
  <c r="Z1876" i="1"/>
  <c r="Z1890" i="1"/>
  <c r="Z1901" i="1"/>
  <c r="Z1915" i="1"/>
  <c r="Z1926" i="1"/>
  <c r="Z1940" i="1"/>
  <c r="Z1954" i="1"/>
  <c r="Z1965" i="1"/>
  <c r="Z1979" i="1"/>
  <c r="Z1990" i="1"/>
  <c r="Z2004" i="1"/>
  <c r="Z2018" i="1"/>
  <c r="Z2029" i="1"/>
  <c r="Z2043" i="1"/>
  <c r="Z2054" i="1"/>
  <c r="Z2068" i="1"/>
  <c r="Z2082" i="1"/>
  <c r="Z2093" i="1"/>
  <c r="Z2107" i="1"/>
  <c r="Z2118" i="1"/>
  <c r="Z2132" i="1"/>
  <c r="Z2146" i="1"/>
  <c r="Z2157" i="1"/>
  <c r="Z2171" i="1"/>
  <c r="Z2182" i="1"/>
  <c r="Z2196" i="1"/>
  <c r="Z2210" i="1"/>
  <c r="Z2221" i="1"/>
  <c r="Z2235" i="1"/>
  <c r="Z2246" i="1"/>
  <c r="Z2260" i="1"/>
  <c r="Z195" i="1"/>
  <c r="Z329" i="1"/>
  <c r="Z411" i="1"/>
  <c r="Z497" i="1"/>
  <c r="Z581" i="1"/>
  <c r="Z652" i="1"/>
  <c r="Z716" i="1"/>
  <c r="Z784" i="1"/>
  <c r="Z839" i="1"/>
  <c r="Z903" i="1"/>
  <c r="Z962" i="1"/>
  <c r="Z1000" i="1"/>
  <c r="Z1037" i="1"/>
  <c r="Z1071" i="1"/>
  <c r="Z1109" i="1"/>
  <c r="Z1142" i="1"/>
  <c r="Z1175" i="1"/>
  <c r="Z1208" i="1"/>
  <c r="Z1239" i="1"/>
  <c r="Z1271" i="1"/>
  <c r="Z1300" i="1"/>
  <c r="Z1328" i="1"/>
  <c r="Z1357" i="1"/>
  <c r="Z1385" i="1"/>
  <c r="Z1417" i="1"/>
  <c r="Z1446" i="1"/>
  <c r="Z1475" i="1"/>
  <c r="Z1503" i="1"/>
  <c r="Z1532" i="1"/>
  <c r="Z1558" i="1"/>
  <c r="Z1582" i="1"/>
  <c r="Z1598" i="1"/>
  <c r="Z1620" i="1"/>
  <c r="Z1639" i="1"/>
  <c r="Z1654" i="1"/>
  <c r="Z1672" i="1"/>
  <c r="Z1686" i="1"/>
  <c r="Z1703" i="1"/>
  <c r="Z1719" i="1"/>
  <c r="Z1732" i="1"/>
  <c r="Z1748" i="1"/>
  <c r="Z208" i="1"/>
  <c r="Z333" i="1"/>
  <c r="Z433" i="1"/>
  <c r="Z506" i="1"/>
  <c r="Z583" i="1"/>
  <c r="Z666" i="1"/>
  <c r="Z721" i="1"/>
  <c r="Z785" i="1"/>
  <c r="Z856" i="1"/>
  <c r="Z904" i="1"/>
  <c r="Z963" i="1"/>
  <c r="Z1001" i="1"/>
  <c r="Z1039" i="1"/>
  <c r="Z1077" i="1"/>
  <c r="Z1110" i="1"/>
  <c r="Z228" i="1"/>
  <c r="Z592" i="1"/>
  <c r="Z857" i="1"/>
  <c r="Z1045" i="1"/>
  <c r="Z1156" i="1"/>
  <c r="Z1245" i="1"/>
  <c r="Z1329" i="1"/>
  <c r="Z1400" i="1"/>
  <c r="Z1477" i="1"/>
  <c r="Z1559" i="1"/>
  <c r="Z1607" i="1"/>
  <c r="Z1660" i="1"/>
  <c r="Z1704" i="1"/>
  <c r="Z1739" i="1"/>
  <c r="Z1776" i="1"/>
  <c r="Z1805" i="1"/>
  <c r="Z1834" i="1"/>
  <c r="Z1866" i="1"/>
  <c r="Z1891" i="1"/>
  <c r="Z1916" i="1"/>
  <c r="Z1941" i="1"/>
  <c r="Z1966" i="1"/>
  <c r="Z1994" i="1"/>
  <c r="Z2019" i="1"/>
  <c r="Z2044" i="1"/>
  <c r="Z2069" i="1"/>
  <c r="Z2094" i="1"/>
  <c r="Z2122" i="1"/>
  <c r="Z2147" i="1"/>
  <c r="Z2172" i="1"/>
  <c r="Z2197" i="1"/>
  <c r="Z2222" i="1"/>
  <c r="Z2250" i="1"/>
  <c r="Z2274" i="1"/>
  <c r="Z2291" i="1"/>
  <c r="Z2314" i="1"/>
  <c r="Z2331" i="1"/>
  <c r="Z2354" i="1"/>
  <c r="Z2374" i="1"/>
  <c r="Z2394" i="1"/>
  <c r="Z2414" i="1"/>
  <c r="Z2434" i="1"/>
  <c r="Z2454" i="1"/>
  <c r="Z2477" i="1"/>
  <c r="Z2494" i="1"/>
  <c r="Z2517" i="1"/>
  <c r="Z2534" i="1"/>
  <c r="Z2557" i="1"/>
  <c r="Z2580" i="1"/>
  <c r="Z2597" i="1"/>
  <c r="Z2620" i="1"/>
  <c r="Z2637" i="1"/>
  <c r="Z2660" i="1"/>
  <c r="Z2683" i="1"/>
  <c r="Z2700" i="1"/>
  <c r="Z2723" i="1"/>
  <c r="Z2740" i="1"/>
  <c r="Z2763" i="1"/>
  <c r="Z2784" i="1"/>
  <c r="Z2798" i="1"/>
  <c r="Z2818" i="1"/>
  <c r="Z2832" i="1"/>
  <c r="Z2851" i="1"/>
  <c r="Z2869" i="1"/>
  <c r="Z2884" i="1"/>
  <c r="Z2902" i="1"/>
  <c r="Z2917" i="1"/>
  <c r="Z2934" i="1"/>
  <c r="Z2950" i="1"/>
  <c r="Z2963" i="1"/>
  <c r="Z2979" i="1"/>
  <c r="Z2992" i="1"/>
  <c r="Z3008" i="1"/>
  <c r="Z3024" i="1"/>
  <c r="Z3036" i="1"/>
  <c r="Z3052" i="1"/>
  <c r="Z3065" i="1"/>
  <c r="Z3081" i="1"/>
  <c r="Z3097" i="1"/>
  <c r="Z3108" i="1"/>
  <c r="Z3122" i="1"/>
  <c r="Z3133" i="1"/>
  <c r="Z3147" i="1"/>
  <c r="Z3161" i="1"/>
  <c r="Z3172" i="1"/>
  <c r="Z3186" i="1"/>
  <c r="Z3197" i="1"/>
  <c r="Z3211" i="1"/>
  <c r="Z3225" i="1"/>
  <c r="Z3236" i="1"/>
  <c r="Z3250" i="1"/>
  <c r="Z3261" i="1"/>
  <c r="Z3275" i="1"/>
  <c r="Z3289" i="1"/>
  <c r="Z3300" i="1"/>
  <c r="Z3314" i="1"/>
  <c r="Z3325" i="1"/>
  <c r="Z3339" i="1"/>
  <c r="Z3353" i="1"/>
  <c r="Z3364" i="1"/>
  <c r="Z3378" i="1"/>
  <c r="Z3389" i="1"/>
  <c r="Z3403" i="1"/>
  <c r="Z3417" i="1"/>
  <c r="Z3428" i="1"/>
  <c r="Z3442" i="1"/>
  <c r="Z3453" i="1"/>
  <c r="Z3467" i="1"/>
  <c r="Z3481" i="1"/>
  <c r="Z3492" i="1"/>
  <c r="Z3506" i="1"/>
  <c r="Z3517" i="1"/>
  <c r="Z3531" i="1"/>
  <c r="Z3545" i="1"/>
  <c r="Z3556" i="1"/>
  <c r="Z3570" i="1"/>
  <c r="Z3581" i="1"/>
  <c r="Z3595" i="1"/>
  <c r="Z3609" i="1"/>
  <c r="Z3620" i="1"/>
  <c r="Z3634" i="1"/>
  <c r="Z3645" i="1"/>
  <c r="Z3659" i="1"/>
  <c r="Z3673" i="1"/>
  <c r="Z3684" i="1"/>
  <c r="Z3698" i="1"/>
  <c r="Z3709" i="1"/>
  <c r="Z3723" i="1"/>
  <c r="Z3737" i="1"/>
  <c r="Z3748" i="1"/>
  <c r="Z3762" i="1"/>
  <c r="Z3773" i="1"/>
  <c r="Z3787" i="1"/>
  <c r="Z3801" i="1"/>
  <c r="Z3812" i="1"/>
  <c r="Z3824" i="1"/>
  <c r="Z3834" i="1"/>
  <c r="Z3844" i="1"/>
  <c r="Z3856" i="1"/>
  <c r="Z3866" i="1"/>
  <c r="Z3876" i="1"/>
  <c r="Z3888" i="1"/>
  <c r="Z3898" i="1"/>
  <c r="Z3908" i="1"/>
  <c r="Z3919" i="1"/>
  <c r="Z3928" i="1"/>
  <c r="Z3937" i="1"/>
  <c r="Z3946" i="1"/>
  <c r="Z3955" i="1"/>
  <c r="Z3964" i="1"/>
  <c r="Z3973" i="1"/>
  <c r="Z3983" i="1"/>
  <c r="Z3992" i="1"/>
  <c r="Z4001" i="1"/>
  <c r="Z4010" i="1"/>
  <c r="Z4019" i="1"/>
  <c r="Z4028" i="1"/>
  <c r="Z4037" i="1"/>
  <c r="Z4047" i="1"/>
  <c r="Z4056" i="1"/>
  <c r="Z4065" i="1"/>
  <c r="Z4074" i="1"/>
  <c r="Z4083" i="1"/>
  <c r="Z4092" i="1"/>
  <c r="Z4101" i="1"/>
  <c r="Z4111" i="1"/>
  <c r="Z4120" i="1"/>
  <c r="Z4129" i="1"/>
  <c r="Z4138" i="1"/>
  <c r="Z4147" i="1"/>
  <c r="Z4156" i="1"/>
  <c r="Z4165" i="1"/>
  <c r="Z4175" i="1"/>
  <c r="Z4184" i="1"/>
  <c r="Z4193" i="1"/>
  <c r="Z4202" i="1"/>
  <c r="Z4211" i="1"/>
  <c r="Z4219" i="1"/>
  <c r="Z4227" i="1"/>
  <c r="Z4235" i="1"/>
  <c r="Z4243" i="1"/>
  <c r="Z4251" i="1"/>
  <c r="Z4259" i="1"/>
  <c r="Z4267" i="1"/>
  <c r="Z4275" i="1"/>
  <c r="Z4283" i="1"/>
  <c r="Z4291" i="1"/>
  <c r="Z4299" i="1"/>
  <c r="Z4307" i="1"/>
  <c r="Z4315" i="1"/>
  <c r="Z4323" i="1"/>
  <c r="Z4331" i="1"/>
  <c r="Z4339" i="1"/>
  <c r="Z4347" i="1"/>
  <c r="Z4355" i="1"/>
  <c r="Z4363" i="1"/>
  <c r="Z4371" i="1"/>
  <c r="Z4379" i="1"/>
  <c r="Z4387" i="1"/>
  <c r="Z4395" i="1"/>
  <c r="Z4403" i="1"/>
  <c r="Z4411" i="1"/>
  <c r="Z4419" i="1"/>
  <c r="Z4427" i="1"/>
  <c r="Z4435" i="1"/>
  <c r="Z4443" i="1"/>
  <c r="Z4451" i="1"/>
  <c r="Z4459" i="1"/>
  <c r="Z4467" i="1"/>
  <c r="Z4475" i="1"/>
  <c r="Z4483" i="1"/>
  <c r="Z4491" i="1"/>
  <c r="Z4499" i="1"/>
  <c r="Z4507" i="1"/>
  <c r="Z4515" i="1"/>
  <c r="Z4523" i="1"/>
  <c r="Z4531" i="1"/>
  <c r="Z4539" i="1"/>
  <c r="Z4547" i="1"/>
  <c r="Z4555" i="1"/>
  <c r="Z4563" i="1"/>
  <c r="Z4571" i="1"/>
  <c r="Z4579" i="1"/>
  <c r="Z4587" i="1"/>
  <c r="Z4595" i="1"/>
  <c r="Z4603" i="1"/>
  <c r="Z4611" i="1"/>
  <c r="Z4619" i="1"/>
  <c r="Z4627" i="1"/>
  <c r="Z4635" i="1"/>
  <c r="Z4643" i="1"/>
  <c r="Z4651" i="1"/>
  <c r="Z4659" i="1"/>
  <c r="Z4667" i="1"/>
  <c r="Z4675" i="1"/>
  <c r="Z4683" i="1"/>
  <c r="Z4691" i="1"/>
  <c r="Z4699" i="1"/>
  <c r="Z4707" i="1"/>
  <c r="Z4715" i="1"/>
  <c r="Z4723" i="1"/>
  <c r="Z4731" i="1"/>
  <c r="Z4739" i="1"/>
  <c r="Z4747" i="1"/>
  <c r="Z4755" i="1"/>
  <c r="Z4763" i="1"/>
  <c r="Z4771" i="1"/>
  <c r="Z4779" i="1"/>
  <c r="Z4787" i="1"/>
  <c r="Z4795" i="1"/>
  <c r="Z4803" i="1"/>
  <c r="Z4811" i="1"/>
  <c r="Z4819" i="1"/>
  <c r="Z4827" i="1"/>
  <c r="Z4835" i="1"/>
  <c r="Z4843" i="1"/>
  <c r="Z4851" i="1"/>
  <c r="Z4859" i="1"/>
  <c r="Z4867" i="1"/>
  <c r="Z4875" i="1"/>
  <c r="Z4883" i="1"/>
  <c r="Z4891" i="1"/>
  <c r="Z4899" i="1"/>
  <c r="Z4907" i="1"/>
  <c r="Z4915" i="1"/>
  <c r="Z4923" i="1"/>
  <c r="Z4931" i="1"/>
  <c r="Z4939" i="1"/>
  <c r="Z4947" i="1"/>
  <c r="Z4955" i="1"/>
  <c r="Z4963" i="1"/>
  <c r="Z4971" i="1"/>
  <c r="Z4979" i="1"/>
  <c r="Z4987" i="1"/>
  <c r="Z4995" i="1"/>
  <c r="Z5003" i="1"/>
  <c r="Z5011" i="1"/>
  <c r="Z5019" i="1"/>
  <c r="Z5027" i="1"/>
  <c r="Z5035" i="1"/>
  <c r="Z5043" i="1"/>
  <c r="Z5051" i="1"/>
  <c r="Z5059" i="1"/>
  <c r="Z5067" i="1"/>
  <c r="Z5075" i="1"/>
  <c r="Z5083" i="1"/>
  <c r="Z5091" i="1"/>
  <c r="Z5099" i="1"/>
  <c r="Z5107" i="1"/>
  <c r="Z5115" i="1"/>
  <c r="Z5123" i="1"/>
  <c r="Z5131" i="1"/>
  <c r="Z5139" i="1"/>
  <c r="Z5147" i="1"/>
  <c r="Z5155" i="1"/>
  <c r="Z5163" i="1"/>
  <c r="Z5171" i="1"/>
  <c r="Z5179" i="1"/>
  <c r="Z5187" i="1"/>
  <c r="Z5195" i="1"/>
  <c r="Z5203" i="1"/>
  <c r="Z5211" i="1"/>
  <c r="Z5219" i="1"/>
  <c r="Z5227" i="1"/>
  <c r="Z5235" i="1"/>
  <c r="Z5243" i="1"/>
  <c r="Z5251" i="1"/>
  <c r="Z5259" i="1"/>
  <c r="Z5267" i="1"/>
  <c r="Z5275" i="1"/>
  <c r="Z5283" i="1"/>
  <c r="Z5291" i="1"/>
  <c r="Z5299" i="1"/>
  <c r="Z5307" i="1"/>
  <c r="Z5315" i="1"/>
  <c r="Z5323" i="1"/>
  <c r="Z5331" i="1"/>
  <c r="Z5339" i="1"/>
  <c r="Z5347" i="1"/>
  <c r="Z5355" i="1"/>
  <c r="Z5363" i="1"/>
  <c r="Z5371" i="1"/>
  <c r="Z5379" i="1"/>
  <c r="Z5387" i="1"/>
  <c r="Z5395" i="1"/>
  <c r="Z5403" i="1"/>
  <c r="Z5411" i="1"/>
  <c r="Z5419" i="1"/>
  <c r="Z5427" i="1"/>
  <c r="Z5435" i="1"/>
  <c r="Z5443" i="1"/>
  <c r="Z5451" i="1"/>
  <c r="Z5459" i="1"/>
  <c r="Z5467" i="1"/>
  <c r="Z5475" i="1"/>
  <c r="Z5483" i="1"/>
  <c r="Z5491" i="1"/>
  <c r="Z5499" i="1"/>
  <c r="Z5507" i="1"/>
  <c r="Z5515" i="1"/>
  <c r="Z5523" i="1"/>
  <c r="Z5531" i="1"/>
  <c r="Z5539" i="1"/>
  <c r="Z5547" i="1"/>
  <c r="Z5555" i="1"/>
  <c r="Z5563" i="1"/>
  <c r="Z5571" i="1"/>
  <c r="Z5579" i="1"/>
  <c r="Z5587" i="1"/>
  <c r="Z5595" i="1"/>
  <c r="Z5603" i="1"/>
  <c r="Z5611" i="1"/>
  <c r="Z5619" i="1"/>
  <c r="Z5627" i="1"/>
  <c r="Z5635" i="1"/>
  <c r="Z5643" i="1"/>
  <c r="Z5651" i="1"/>
  <c r="Z5659" i="1"/>
  <c r="Z5667" i="1"/>
  <c r="Z5675" i="1"/>
  <c r="Z5683" i="1"/>
  <c r="Z5691" i="1"/>
  <c r="Z5699" i="1"/>
  <c r="Z5707" i="1"/>
  <c r="Z5715" i="1"/>
  <c r="Z5723" i="1"/>
  <c r="Z5731" i="1"/>
  <c r="Z5739" i="1"/>
  <c r="Z5747" i="1"/>
  <c r="Z5755" i="1"/>
  <c r="Z5763" i="1"/>
  <c r="Z5771" i="1"/>
  <c r="Z5779" i="1"/>
  <c r="Z5787" i="1"/>
  <c r="Z5795" i="1"/>
  <c r="Z5803" i="1"/>
  <c r="Z5811" i="1"/>
  <c r="Z5819" i="1"/>
  <c r="Z5827" i="1"/>
  <c r="Z5835" i="1"/>
  <c r="Z5843" i="1"/>
  <c r="Z5851" i="1"/>
  <c r="Z5859" i="1"/>
  <c r="Z5867" i="1"/>
  <c r="Z5875" i="1"/>
  <c r="Z5883" i="1"/>
  <c r="Z5891" i="1"/>
  <c r="Z5899" i="1"/>
  <c r="Z5907" i="1"/>
  <c r="Z5915" i="1"/>
  <c r="Z5923" i="1"/>
  <c r="Z5931" i="1"/>
  <c r="Z5939" i="1"/>
  <c r="Z5947" i="1"/>
  <c r="Z5955" i="1"/>
  <c r="Z5963" i="1"/>
  <c r="Z5971" i="1"/>
  <c r="Z5979" i="1"/>
  <c r="Z5987" i="1"/>
  <c r="Z5995" i="1"/>
  <c r="Z6003" i="1"/>
  <c r="Z6011" i="1"/>
  <c r="Z6019" i="1"/>
  <c r="Z6027" i="1"/>
  <c r="Z6035" i="1"/>
  <c r="Z6043" i="1"/>
  <c r="Z6051" i="1"/>
  <c r="Z6059" i="1"/>
  <c r="Z241" i="1"/>
  <c r="Z610" i="1"/>
  <c r="Z858" i="1"/>
  <c r="Z1055" i="1"/>
  <c r="Z1176" i="1"/>
  <c r="Z1254" i="1"/>
  <c r="Z1331" i="1"/>
  <c r="Z1419" i="1"/>
  <c r="Z1486" i="1"/>
  <c r="Z1561" i="1"/>
  <c r="Z1621" i="1"/>
  <c r="Z1662" i="1"/>
  <c r="Z1706" i="1"/>
  <c r="Z1749" i="1"/>
  <c r="Z1778" i="1"/>
  <c r="Z1806" i="1"/>
  <c r="Z1838" i="1"/>
  <c r="Z1867" i="1"/>
  <c r="Z1892" i="1"/>
  <c r="Z1917" i="1"/>
  <c r="Z1942" i="1"/>
  <c r="Z1970" i="1"/>
  <c r="Z1995" i="1"/>
  <c r="Z2020" i="1"/>
  <c r="Z2045" i="1"/>
  <c r="Z2070" i="1"/>
  <c r="Z2098" i="1"/>
  <c r="Z2123" i="1"/>
  <c r="Z2148" i="1"/>
  <c r="Z2173" i="1"/>
  <c r="Z2198" i="1"/>
  <c r="Z2226" i="1"/>
  <c r="Z2251" i="1"/>
  <c r="Z2275" i="1"/>
  <c r="Z2292" i="1"/>
  <c r="Z2315" i="1"/>
  <c r="Z2338" i="1"/>
  <c r="Z2355" i="1"/>
  <c r="Z2378" i="1"/>
  <c r="Z2395" i="1"/>
  <c r="Z2418" i="1"/>
  <c r="Z2438" i="1"/>
  <c r="Z2458" i="1"/>
  <c r="Z2478" i="1"/>
  <c r="Z2498" i="1"/>
  <c r="Z2518" i="1"/>
  <c r="Z2541" i="1"/>
  <c r="Z2558" i="1"/>
  <c r="Z2581" i="1"/>
  <c r="Z2598" i="1"/>
  <c r="Z2621" i="1"/>
  <c r="Z2644" i="1"/>
  <c r="Z2661" i="1"/>
  <c r="Z2684" i="1"/>
  <c r="Z2701" i="1"/>
  <c r="Z2724" i="1"/>
  <c r="Z2747" i="1"/>
  <c r="Z2764" i="1"/>
  <c r="Z2786" i="1"/>
  <c r="Z2800" i="1"/>
  <c r="Z2819" i="1"/>
  <c r="Z2837" i="1"/>
  <c r="Z2852" i="1"/>
  <c r="Z2870" i="1"/>
  <c r="Z2885" i="1"/>
  <c r="Z2904" i="1"/>
  <c r="Z2923" i="1"/>
  <c r="Z2936" i="1"/>
  <c r="Z2952" i="1"/>
  <c r="Z2964" i="1"/>
  <c r="Z2980" i="1"/>
  <c r="Z2996" i="1"/>
  <c r="Z3009" i="1"/>
  <c r="Z3025" i="1"/>
  <c r="Z3037" i="1"/>
  <c r="Z3053" i="1"/>
  <c r="Z3069" i="1"/>
  <c r="Z3082" i="1"/>
  <c r="Z3098" i="1"/>
  <c r="Z3109" i="1"/>
  <c r="Z3123" i="1"/>
  <c r="Z3137" i="1"/>
  <c r="Z3148" i="1"/>
  <c r="Z3162" i="1"/>
  <c r="Z3173" i="1"/>
  <c r="Z3187" i="1"/>
  <c r="Z3201" i="1"/>
  <c r="Z3212" i="1"/>
  <c r="Z3226" i="1"/>
  <c r="Z3237" i="1"/>
  <c r="Z3251" i="1"/>
  <c r="Z3265" i="1"/>
  <c r="Z3276" i="1"/>
  <c r="Z3290" i="1"/>
  <c r="Z3301" i="1"/>
  <c r="Z3315" i="1"/>
  <c r="Z3329" i="1"/>
  <c r="Z3340" i="1"/>
  <c r="Z3354" i="1"/>
  <c r="Z3365" i="1"/>
  <c r="Z3379" i="1"/>
  <c r="Z3393" i="1"/>
  <c r="Z3404" i="1"/>
  <c r="Z3418" i="1"/>
  <c r="Z3429" i="1"/>
  <c r="Z3443" i="1"/>
  <c r="Z3457" i="1"/>
  <c r="Z3468" i="1"/>
  <c r="Z3482" i="1"/>
  <c r="Z3493" i="1"/>
  <c r="Z3507" i="1"/>
  <c r="Z3521" i="1"/>
  <c r="Z3532" i="1"/>
  <c r="Z3546" i="1"/>
  <c r="Z3557" i="1"/>
  <c r="Z3571" i="1"/>
  <c r="Z3585" i="1"/>
  <c r="Z3596" i="1"/>
  <c r="Z3610" i="1"/>
  <c r="Z3621" i="1"/>
  <c r="Z3635" i="1"/>
  <c r="Z3649" i="1"/>
  <c r="Z3660" i="1"/>
  <c r="Z3674" i="1"/>
  <c r="Z3685" i="1"/>
  <c r="Z3699" i="1"/>
  <c r="Z3713" i="1"/>
  <c r="Z3724" i="1"/>
  <c r="Z3738" i="1"/>
  <c r="Z3749" i="1"/>
  <c r="Z3763" i="1"/>
  <c r="Z3777" i="1"/>
  <c r="Z3788" i="1"/>
  <c r="Z3802" i="1"/>
  <c r="Z3813" i="1"/>
  <c r="Z3825" i="1"/>
  <c r="Z3835" i="1"/>
  <c r="Z3845" i="1"/>
  <c r="Z3857" i="1"/>
  <c r="Z3867" i="1"/>
  <c r="Z3877" i="1"/>
  <c r="Z3889" i="1"/>
  <c r="Z3899" i="1"/>
  <c r="Z3909" i="1"/>
  <c r="Z3920" i="1"/>
  <c r="Z3929" i="1"/>
  <c r="Z3938" i="1"/>
  <c r="Z3947" i="1"/>
  <c r="Z3956" i="1"/>
  <c r="Z3965" i="1"/>
  <c r="Z3975" i="1"/>
  <c r="Z3984" i="1"/>
  <c r="Z3993" i="1"/>
  <c r="Z4002" i="1"/>
  <c r="Z4011" i="1"/>
  <c r="Z4020" i="1"/>
  <c r="Z4029" i="1"/>
  <c r="Z4039" i="1"/>
  <c r="Z4048" i="1"/>
  <c r="Z4057" i="1"/>
  <c r="Z4066" i="1"/>
  <c r="Z4075" i="1"/>
  <c r="Z4084" i="1"/>
  <c r="Z4093" i="1"/>
  <c r="Z4103" i="1"/>
  <c r="Z4112" i="1"/>
  <c r="Z4121" i="1"/>
  <c r="Z4130" i="1"/>
  <c r="Z4139" i="1"/>
  <c r="Z4148" i="1"/>
  <c r="Z4157" i="1"/>
  <c r="Z4167" i="1"/>
  <c r="Z4176" i="1"/>
  <c r="Z4185" i="1"/>
  <c r="Z4194" i="1"/>
  <c r="Z4203" i="1"/>
  <c r="Z4212" i="1"/>
  <c r="Z4220" i="1"/>
  <c r="Z4228" i="1"/>
  <c r="Z4236" i="1"/>
  <c r="Z4244" i="1"/>
  <c r="Z4252" i="1"/>
  <c r="Z4260" i="1"/>
  <c r="Z4268" i="1"/>
  <c r="Z4276" i="1"/>
  <c r="Z4284" i="1"/>
  <c r="Z4292" i="1"/>
  <c r="Z4300" i="1"/>
  <c r="Z4308" i="1"/>
  <c r="Z4316" i="1"/>
  <c r="Z4324" i="1"/>
  <c r="Z4332" i="1"/>
  <c r="Z4340" i="1"/>
  <c r="Z4348" i="1"/>
  <c r="Z4356" i="1"/>
  <c r="Z4364" i="1"/>
  <c r="Z4372" i="1"/>
  <c r="Z4380" i="1"/>
  <c r="Z4388" i="1"/>
  <c r="Z4396" i="1"/>
  <c r="Z4404" i="1"/>
  <c r="Z4412" i="1"/>
  <c r="Z4420" i="1"/>
  <c r="Z4428" i="1"/>
  <c r="Z4436" i="1"/>
  <c r="Z4444" i="1"/>
  <c r="Z4452" i="1"/>
  <c r="Z4460" i="1"/>
  <c r="Z4468" i="1"/>
  <c r="Z4476" i="1"/>
  <c r="Z4484" i="1"/>
  <c r="Z4492" i="1"/>
  <c r="Z4500" i="1"/>
  <c r="Z4508" i="1"/>
  <c r="Z4516" i="1"/>
  <c r="Z4524" i="1"/>
  <c r="Z4532" i="1"/>
  <c r="Z4540" i="1"/>
  <c r="Z4548" i="1"/>
  <c r="Z4556" i="1"/>
  <c r="Z4564" i="1"/>
  <c r="Z4572" i="1"/>
  <c r="Z4580" i="1"/>
  <c r="Z4588" i="1"/>
  <c r="Z4596" i="1"/>
  <c r="Z4604" i="1"/>
  <c r="Z4612" i="1"/>
  <c r="Z4620" i="1"/>
  <c r="Z4628" i="1"/>
  <c r="Z4636" i="1"/>
  <c r="Z4644" i="1"/>
  <c r="Z4652" i="1"/>
  <c r="Z4660" i="1"/>
  <c r="Z4668" i="1"/>
  <c r="Z4676" i="1"/>
  <c r="Z4684" i="1"/>
  <c r="Z4692" i="1"/>
  <c r="Z4700" i="1"/>
  <c r="Z4708" i="1"/>
  <c r="Z4716" i="1"/>
  <c r="Z4724" i="1"/>
  <c r="Z4732" i="1"/>
  <c r="Z4740" i="1"/>
  <c r="Z4748" i="1"/>
  <c r="Z4756" i="1"/>
  <c r="Z4764" i="1"/>
  <c r="Z4772" i="1"/>
  <c r="Z4780" i="1"/>
  <c r="Z4788" i="1"/>
  <c r="Z4796" i="1"/>
  <c r="Z4804" i="1"/>
  <c r="Z4812" i="1"/>
  <c r="Z4820" i="1"/>
  <c r="Z4828" i="1"/>
  <c r="Z4836" i="1"/>
  <c r="Z4844" i="1"/>
  <c r="Z4852" i="1"/>
  <c r="Z4860" i="1"/>
  <c r="Z4868" i="1"/>
  <c r="Z4876" i="1"/>
  <c r="Z4884" i="1"/>
  <c r="Z4892" i="1"/>
  <c r="Z4900" i="1"/>
  <c r="Z4908" i="1"/>
  <c r="Z4916" i="1"/>
  <c r="Z4924" i="1"/>
  <c r="Z4932" i="1"/>
  <c r="Z4940" i="1"/>
  <c r="Z4948" i="1"/>
  <c r="Z4956" i="1"/>
  <c r="Z4964" i="1"/>
  <c r="Z4972" i="1"/>
  <c r="Z4980" i="1"/>
  <c r="Z4988" i="1"/>
  <c r="Z4996" i="1"/>
  <c r="Z5004" i="1"/>
  <c r="Z5012" i="1"/>
  <c r="Z5020" i="1"/>
  <c r="Z5028" i="1"/>
  <c r="Z5036" i="1"/>
  <c r="Z5044" i="1"/>
  <c r="Z5052" i="1"/>
  <c r="Z5060" i="1"/>
  <c r="Z5068" i="1"/>
  <c r="Z5076" i="1"/>
  <c r="Z5084" i="1"/>
  <c r="Z5092" i="1"/>
  <c r="Z5100" i="1"/>
  <c r="Z5108" i="1"/>
  <c r="Z5116" i="1"/>
  <c r="Z5124" i="1"/>
  <c r="Z5132" i="1"/>
  <c r="Z5140" i="1"/>
  <c r="Z5148" i="1"/>
  <c r="Z5156" i="1"/>
  <c r="Z5164" i="1"/>
  <c r="Z5172" i="1"/>
  <c r="Z5180" i="1"/>
  <c r="Z5188" i="1"/>
  <c r="Z5196" i="1"/>
  <c r="Z345" i="1"/>
  <c r="Z671" i="1"/>
  <c r="Z922" i="1"/>
  <c r="Z1078" i="1"/>
  <c r="Z1177" i="1"/>
  <c r="Z1272" i="1"/>
  <c r="Z1340" i="1"/>
  <c r="Z1420" i="1"/>
  <c r="Z1504" i="1"/>
  <c r="Z1568" i="1"/>
  <c r="Z1622" i="1"/>
  <c r="Z1673" i="1"/>
  <c r="Z1710" i="1"/>
  <c r="Z1750" i="1"/>
  <c r="Z1779" i="1"/>
  <c r="Z1811" i="1"/>
  <c r="Z1839" i="1"/>
  <c r="Z1868" i="1"/>
  <c r="Z1893" i="1"/>
  <c r="Z1918" i="1"/>
  <c r="Z1946" i="1"/>
  <c r="Z1971" i="1"/>
  <c r="Z1996" i="1"/>
  <c r="Z2021" i="1"/>
  <c r="Z2046" i="1"/>
  <c r="Z2074" i="1"/>
  <c r="Z2099" i="1"/>
  <c r="Z2124" i="1"/>
  <c r="Z2149" i="1"/>
  <c r="Z2174" i="1"/>
  <c r="Z2202" i="1"/>
  <c r="Z2227" i="1"/>
  <c r="Z2252" i="1"/>
  <c r="Z2276" i="1"/>
  <c r="Z2299" i="1"/>
  <c r="Z2316" i="1"/>
  <c r="Z2339" i="1"/>
  <c r="Z2356" i="1"/>
  <c r="Z2379" i="1"/>
  <c r="Z2402" i="1"/>
  <c r="Z2419" i="1"/>
  <c r="Z2442" i="1"/>
  <c r="Z2459" i="1"/>
  <c r="Z2482" i="1"/>
  <c r="Z2502" i="1"/>
  <c r="Z2522" i="1"/>
  <c r="Z2542" i="1"/>
  <c r="Z2562" i="1"/>
  <c r="Z2582" i="1"/>
  <c r="Z2605" i="1"/>
  <c r="Z2622" i="1"/>
  <c r="Z2645" i="1"/>
  <c r="Z2662" i="1"/>
  <c r="Z2685" i="1"/>
  <c r="Z2708" i="1"/>
  <c r="Z2725" i="1"/>
  <c r="Z2748" i="1"/>
  <c r="Z2765" i="1"/>
  <c r="Z2787" i="1"/>
  <c r="Z2805" i="1"/>
  <c r="Z2820" i="1"/>
  <c r="Z2838" i="1"/>
  <c r="Z2853" i="1"/>
  <c r="Z2872" i="1"/>
  <c r="Z2891" i="1"/>
  <c r="Z2906" i="1"/>
  <c r="Z2924" i="1"/>
  <c r="Z2937" i="1"/>
  <c r="Z2953" i="1"/>
  <c r="Z2969" i="1"/>
  <c r="Z2981" i="1"/>
  <c r="Z2997" i="1"/>
  <c r="Z3010" i="1"/>
  <c r="Z3026" i="1"/>
  <c r="Z3042" i="1"/>
  <c r="Z3054" i="1"/>
  <c r="Z3070" i="1"/>
  <c r="Z3083" i="1"/>
  <c r="Z3099" i="1"/>
  <c r="Z3113" i="1"/>
  <c r="Z3124" i="1"/>
  <c r="Z3138" i="1"/>
  <c r="Z3149" i="1"/>
  <c r="Z3163" i="1"/>
  <c r="Z3177" i="1"/>
  <c r="Z3188" i="1"/>
  <c r="Z3202" i="1"/>
  <c r="Z3213" i="1"/>
  <c r="Z3227" i="1"/>
  <c r="Z3241" i="1"/>
  <c r="Z3252" i="1"/>
  <c r="Z3266" i="1"/>
  <c r="Z3277" i="1"/>
  <c r="Z3291" i="1"/>
  <c r="Z3305" i="1"/>
  <c r="Z3316" i="1"/>
  <c r="Z3330" i="1"/>
  <c r="Z3341" i="1"/>
  <c r="Z3355" i="1"/>
  <c r="Z3369" i="1"/>
  <c r="Z3380" i="1"/>
  <c r="Z3394" i="1"/>
  <c r="Z3405" i="1"/>
  <c r="Z3419" i="1"/>
  <c r="Z3433" i="1"/>
  <c r="Z3444" i="1"/>
  <c r="Z3458" i="1"/>
  <c r="Z3469" i="1"/>
  <c r="Z3483" i="1"/>
  <c r="Z3497" i="1"/>
  <c r="Z3508" i="1"/>
  <c r="Z3522" i="1"/>
  <c r="Z3533" i="1"/>
  <c r="Z3547" i="1"/>
  <c r="Z3561" i="1"/>
  <c r="Z3572" i="1"/>
  <c r="Z3586" i="1"/>
  <c r="Z3597" i="1"/>
  <c r="Z3611" i="1"/>
  <c r="Z3625" i="1"/>
  <c r="Z3636" i="1"/>
  <c r="Z3650" i="1"/>
  <c r="Z3661" i="1"/>
  <c r="Z3675" i="1"/>
  <c r="Z3689" i="1"/>
  <c r="Z3700" i="1"/>
  <c r="Z3714" i="1"/>
  <c r="Z3725" i="1"/>
  <c r="Z3739" i="1"/>
  <c r="Z3753" i="1"/>
  <c r="Z3764" i="1"/>
  <c r="Z3778" i="1"/>
  <c r="Z3789" i="1"/>
  <c r="Z3803" i="1"/>
  <c r="Z3816" i="1"/>
  <c r="Z3826" i="1"/>
  <c r="Z3836" i="1"/>
  <c r="Z3848" i="1"/>
  <c r="Z3858" i="1"/>
  <c r="Z3868" i="1"/>
  <c r="Z3880" i="1"/>
  <c r="Z3890" i="1"/>
  <c r="Z3900" i="1"/>
  <c r="Z3912" i="1"/>
  <c r="Z3921" i="1"/>
  <c r="Z3930" i="1"/>
  <c r="Z3939" i="1"/>
  <c r="Z3948" i="1"/>
  <c r="Z3957" i="1"/>
  <c r="Z3967" i="1"/>
  <c r="Z3976" i="1"/>
  <c r="Z3985" i="1"/>
  <c r="Z3994" i="1"/>
  <c r="Z4003" i="1"/>
  <c r="Z4012" i="1"/>
  <c r="Z4021" i="1"/>
  <c r="Z4031" i="1"/>
  <c r="Z4040" i="1"/>
  <c r="Z4049" i="1"/>
  <c r="Z4058" i="1"/>
  <c r="Z4067" i="1"/>
  <c r="Z4076" i="1"/>
  <c r="Z4085" i="1"/>
  <c r="Z4095" i="1"/>
  <c r="Z4104" i="1"/>
  <c r="Z4113" i="1"/>
  <c r="Z4122" i="1"/>
  <c r="Z4131" i="1"/>
  <c r="Z4140" i="1"/>
  <c r="Z4149" i="1"/>
  <c r="Z4159" i="1"/>
  <c r="Z4168" i="1"/>
  <c r="Z4177" i="1"/>
  <c r="Z4186" i="1"/>
  <c r="Z4195" i="1"/>
  <c r="Z4204" i="1"/>
  <c r="Z4213" i="1"/>
  <c r="Z4221" i="1"/>
  <c r="Z4229" i="1"/>
  <c r="Z4237" i="1"/>
  <c r="Z4245" i="1"/>
  <c r="Z4253" i="1"/>
  <c r="Z4261" i="1"/>
  <c r="Z4269" i="1"/>
  <c r="Z4277" i="1"/>
  <c r="Z4285" i="1"/>
  <c r="Z4293" i="1"/>
  <c r="Z4301" i="1"/>
  <c r="Z4309" i="1"/>
  <c r="Z4317" i="1"/>
  <c r="Z4325" i="1"/>
  <c r="Z4333" i="1"/>
  <c r="Z4341" i="1"/>
  <c r="Z4349" i="1"/>
  <c r="Z4357" i="1"/>
  <c r="Z4365" i="1"/>
  <c r="Z4373" i="1"/>
  <c r="Z4381" i="1"/>
  <c r="Z4389" i="1"/>
  <c r="Z4397" i="1"/>
  <c r="Z4405" i="1"/>
  <c r="Z4413" i="1"/>
  <c r="Z4421" i="1"/>
  <c r="Z4429" i="1"/>
  <c r="Z4437" i="1"/>
  <c r="Z4445" i="1"/>
  <c r="Z4453" i="1"/>
  <c r="Z4461" i="1"/>
  <c r="Z4469" i="1"/>
  <c r="Z4477" i="1"/>
  <c r="Z4485" i="1"/>
  <c r="Z4493" i="1"/>
  <c r="Z4501" i="1"/>
  <c r="Z4509" i="1"/>
  <c r="Z4517" i="1"/>
  <c r="Z4525" i="1"/>
  <c r="Z4533" i="1"/>
  <c r="Z4541" i="1"/>
  <c r="Z4549" i="1"/>
  <c r="Z4557" i="1"/>
  <c r="Z4565" i="1"/>
  <c r="Z4573" i="1"/>
  <c r="Z4581" i="1"/>
  <c r="Z4589" i="1"/>
  <c r="Z4597" i="1"/>
  <c r="Z4605" i="1"/>
  <c r="Z4613" i="1"/>
  <c r="Z4621" i="1"/>
  <c r="Z4629" i="1"/>
  <c r="Z4637" i="1"/>
  <c r="Z4645" i="1"/>
  <c r="Z4653" i="1"/>
  <c r="Z4661" i="1"/>
  <c r="Z4669" i="1"/>
  <c r="Z4677" i="1"/>
  <c r="Z4685" i="1"/>
  <c r="Z4693" i="1"/>
  <c r="Z4701" i="1"/>
  <c r="Z4709" i="1"/>
  <c r="Z4717" i="1"/>
  <c r="Z4725" i="1"/>
  <c r="Z4733" i="1"/>
  <c r="Z4741" i="1"/>
  <c r="Z4749" i="1"/>
  <c r="Z4757" i="1"/>
  <c r="Z4765" i="1"/>
  <c r="Z4773" i="1"/>
  <c r="Z4781" i="1"/>
  <c r="Z4789" i="1"/>
  <c r="Z4797" i="1"/>
  <c r="Z4805" i="1"/>
  <c r="Z4813" i="1"/>
  <c r="Z4821" i="1"/>
  <c r="Z4829" i="1"/>
  <c r="Z4837" i="1"/>
  <c r="Z365" i="1"/>
  <c r="Z672" i="1"/>
  <c r="Z925" i="1"/>
  <c r="Z1088" i="1"/>
  <c r="Z1189" i="1"/>
  <c r="Z1273" i="1"/>
  <c r="Z1358" i="1"/>
  <c r="Z1429" i="1"/>
  <c r="Z1509" i="1"/>
  <c r="Z1583" i="1"/>
  <c r="Z1629" i="1"/>
  <c r="Z1675" i="1"/>
  <c r="Z1720" i="1"/>
  <c r="Z1751" i="1"/>
  <c r="Z1783" i="1"/>
  <c r="Z1812" i="1"/>
  <c r="Z1840" i="1"/>
  <c r="Z1869" i="1"/>
  <c r="Z1894" i="1"/>
  <c r="Z1922" i="1"/>
  <c r="Z1947" i="1"/>
  <c r="Z1972" i="1"/>
  <c r="Z1997" i="1"/>
  <c r="Z2022" i="1"/>
  <c r="Z2050" i="1"/>
  <c r="Z2075" i="1"/>
  <c r="Z2100" i="1"/>
  <c r="Z2125" i="1"/>
  <c r="Z2150" i="1"/>
  <c r="Z2178" i="1"/>
  <c r="Z2203" i="1"/>
  <c r="Z2228" i="1"/>
  <c r="Z2253" i="1"/>
  <c r="Z2277" i="1"/>
  <c r="Z2300" i="1"/>
  <c r="Z2317" i="1"/>
  <c r="Z2340" i="1"/>
  <c r="Z2363" i="1"/>
  <c r="Z2380" i="1"/>
  <c r="Z2403" i="1"/>
  <c r="Z2420" i="1"/>
  <c r="Z2443" i="1"/>
  <c r="Z2466" i="1"/>
  <c r="Z2483" i="1"/>
  <c r="Z2506" i="1"/>
  <c r="Z2523" i="1"/>
  <c r="Z2546" i="1"/>
  <c r="Z2566" i="1"/>
  <c r="Z2586" i="1"/>
  <c r="Z2606" i="1"/>
  <c r="Z2626" i="1"/>
  <c r="Z2646" i="1"/>
  <c r="Z2669" i="1"/>
  <c r="Z2686" i="1"/>
  <c r="Z2709" i="1"/>
  <c r="Z2726" i="1"/>
  <c r="Z2749" i="1"/>
  <c r="Z2772" i="1"/>
  <c r="Z2788" i="1"/>
  <c r="Z2806" i="1"/>
  <c r="Z2821" i="1"/>
  <c r="Z2840" i="1"/>
  <c r="Z2859" i="1"/>
  <c r="Z2874" i="1"/>
  <c r="Z2892" i="1"/>
  <c r="Z2907" i="1"/>
  <c r="Z2925" i="1"/>
  <c r="Z2941" i="1"/>
  <c r="Z2954" i="1"/>
  <c r="Z2970" i="1"/>
  <c r="Z2982" i="1"/>
  <c r="Z2998" i="1"/>
  <c r="Z3014" i="1"/>
  <c r="Z3027" i="1"/>
  <c r="Z3043" i="1"/>
  <c r="Z3056" i="1"/>
  <c r="Z3072" i="1"/>
  <c r="Z3088" i="1"/>
  <c r="Z3100" i="1"/>
  <c r="Z3114" i="1"/>
  <c r="Z3125" i="1"/>
  <c r="Z3139" i="1"/>
  <c r="Z3153" i="1"/>
  <c r="Z3164" i="1"/>
  <c r="Z3178" i="1"/>
  <c r="Z3189" i="1"/>
  <c r="Z3203" i="1"/>
  <c r="Z434" i="1"/>
  <c r="Z738" i="1"/>
  <c r="Z964" i="1"/>
  <c r="Z1111" i="1"/>
  <c r="Z1209" i="1"/>
  <c r="Z1283" i="1"/>
  <c r="Z1363" i="1"/>
  <c r="Z1447" i="1"/>
  <c r="Z1518" i="1"/>
  <c r="Z1584" i="1"/>
  <c r="Z1640" i="1"/>
  <c r="Z1676" i="1"/>
  <c r="Z1722" i="1"/>
  <c r="Z1760" i="1"/>
  <c r="Z1792" i="1"/>
  <c r="Z1821" i="1"/>
  <c r="Z1850" i="1"/>
  <c r="Z1877" i="1"/>
  <c r="Z524" i="1"/>
  <c r="Z789" i="1"/>
  <c r="Z1002" i="1"/>
  <c r="Z1143" i="1"/>
  <c r="Z1225" i="1"/>
  <c r="Z1302" i="1"/>
  <c r="Z1390" i="1"/>
  <c r="Z1457" i="1"/>
  <c r="Z1537" i="1"/>
  <c r="Z1604" i="1"/>
  <c r="Z1644" i="1"/>
  <c r="Z1693" i="1"/>
  <c r="Z1733" i="1"/>
  <c r="Z1766" i="1"/>
  <c r="Z1795" i="1"/>
  <c r="Z1823" i="1"/>
  <c r="Z1852" i="1"/>
  <c r="Z1882" i="1"/>
  <c r="Z1907" i="1"/>
  <c r="Z1932" i="1"/>
  <c r="Z1957" i="1"/>
  <c r="Z1982" i="1"/>
  <c r="Z2010" i="1"/>
  <c r="Z2035" i="1"/>
  <c r="Z2060" i="1"/>
  <c r="Z2085" i="1"/>
  <c r="Z2110" i="1"/>
  <c r="Z2138" i="1"/>
  <c r="Z444" i="1"/>
  <c r="Z1215" i="1"/>
  <c r="Z1536" i="1"/>
  <c r="Z1723" i="1"/>
  <c r="Z1851" i="1"/>
  <c r="Z1931" i="1"/>
  <c r="Z2005" i="1"/>
  <c r="Z2061" i="1"/>
  <c r="Z2134" i="1"/>
  <c r="Z2188" i="1"/>
  <c r="Z2238" i="1"/>
  <c r="Z2286" i="1"/>
  <c r="Z2326" i="1"/>
  <c r="Z2366" i="1"/>
  <c r="Z2406" i="1"/>
  <c r="Z2452" i="1"/>
  <c r="Z2492" i="1"/>
  <c r="Z2532" i="1"/>
  <c r="Z2572" i="1"/>
  <c r="Z2612" i="1"/>
  <c r="Z2658" i="1"/>
  <c r="Z2698" i="1"/>
  <c r="Z2738" i="1"/>
  <c r="Z2778" i="1"/>
  <c r="Z2811" i="1"/>
  <c r="Z2848" i="1"/>
  <c r="Z2882" i="1"/>
  <c r="Z2915" i="1"/>
  <c r="Z2945" i="1"/>
  <c r="Z2973" i="1"/>
  <c r="Z3005" i="1"/>
  <c r="Z3034" i="1"/>
  <c r="Z3062" i="1"/>
  <c r="Z3091" i="1"/>
  <c r="Z3117" i="1"/>
  <c r="Z3145" i="1"/>
  <c r="Z3170" i="1"/>
  <c r="Z3195" i="1"/>
  <c r="Z3219" i="1"/>
  <c r="Z3242" i="1"/>
  <c r="Z3259" i="1"/>
  <c r="Z3282" i="1"/>
  <c r="Z3299" i="1"/>
  <c r="Z3322" i="1"/>
  <c r="Z3345" i="1"/>
  <c r="Z3362" i="1"/>
  <c r="Z3385" i="1"/>
  <c r="Z3402" i="1"/>
  <c r="Z3425" i="1"/>
  <c r="Z3445" i="1"/>
  <c r="Z3465" i="1"/>
  <c r="Z3485" i="1"/>
  <c r="Z3505" i="1"/>
  <c r="Z3525" i="1"/>
  <c r="Z3548" i="1"/>
  <c r="Z3565" i="1"/>
  <c r="Z3588" i="1"/>
  <c r="Z3605" i="1"/>
  <c r="Z3628" i="1"/>
  <c r="Z3651" i="1"/>
  <c r="Z3668" i="1"/>
  <c r="Z3691" i="1"/>
  <c r="Z3708" i="1"/>
  <c r="Z3731" i="1"/>
  <c r="Z3754" i="1"/>
  <c r="Z3771" i="1"/>
  <c r="Z3794" i="1"/>
  <c r="Z3811" i="1"/>
  <c r="Z3829" i="1"/>
  <c r="Z3849" i="1"/>
  <c r="Z3864" i="1"/>
  <c r="Z3882" i="1"/>
  <c r="Z3897" i="1"/>
  <c r="Z3915" i="1"/>
  <c r="Z3931" i="1"/>
  <c r="Z3944" i="1"/>
  <c r="Z3960" i="1"/>
  <c r="Z3972" i="1"/>
  <c r="Z3988" i="1"/>
  <c r="Z4004" i="1"/>
  <c r="Z4017" i="1"/>
  <c r="Z4033" i="1"/>
  <c r="Z4045" i="1"/>
  <c r="Z4061" i="1"/>
  <c r="Z4077" i="1"/>
  <c r="Z4090" i="1"/>
  <c r="Z4106" i="1"/>
  <c r="Z4119" i="1"/>
  <c r="Z4135" i="1"/>
  <c r="Z4151" i="1"/>
  <c r="Z4163" i="1"/>
  <c r="Z4179" i="1"/>
  <c r="Z4192" i="1"/>
  <c r="Z4208" i="1"/>
  <c r="Z4222" i="1"/>
  <c r="Z4233" i="1"/>
  <c r="Z4247" i="1"/>
  <c r="Z4258" i="1"/>
  <c r="Z4272" i="1"/>
  <c r="Z4286" i="1"/>
  <c r="Z4297" i="1"/>
  <c r="Z4311" i="1"/>
  <c r="Z4322" i="1"/>
  <c r="Z4336" i="1"/>
  <c r="Z4350" i="1"/>
  <c r="Z4361" i="1"/>
  <c r="Z4375" i="1"/>
  <c r="Z4386" i="1"/>
  <c r="Z4400" i="1"/>
  <c r="Z4414" i="1"/>
  <c r="Z4425" i="1"/>
  <c r="Z4439" i="1"/>
  <c r="Z4450" i="1"/>
  <c r="Z4464" i="1"/>
  <c r="Z4478" i="1"/>
  <c r="Z4489" i="1"/>
  <c r="Z4503" i="1"/>
  <c r="Z4514" i="1"/>
  <c r="Z4528" i="1"/>
  <c r="Z4542" i="1"/>
  <c r="Z4553" i="1"/>
  <c r="Z4567" i="1"/>
  <c r="Z4578" i="1"/>
  <c r="Z4592" i="1"/>
  <c r="Z4606" i="1"/>
  <c r="Z4617" i="1"/>
  <c r="Z4631" i="1"/>
  <c r="Z4642" i="1"/>
  <c r="Z4656" i="1"/>
  <c r="Z4670" i="1"/>
  <c r="Z4681" i="1"/>
  <c r="Z4695" i="1"/>
  <c r="Z4706" i="1"/>
  <c r="Z4720" i="1"/>
  <c r="Z4734" i="1"/>
  <c r="Z4745" i="1"/>
  <c r="Z4759" i="1"/>
  <c r="Z4770" i="1"/>
  <c r="Z4784" i="1"/>
  <c r="Z4798" i="1"/>
  <c r="Z4809" i="1"/>
  <c r="Z4823" i="1"/>
  <c r="Z4834" i="1"/>
  <c r="Z4847" i="1"/>
  <c r="Z4857" i="1"/>
  <c r="Z4869" i="1"/>
  <c r="Z4879" i="1"/>
  <c r="Z4889" i="1"/>
  <c r="Z4901" i="1"/>
  <c r="Z4911" i="1"/>
  <c r="Z4921" i="1"/>
  <c r="Z4933" i="1"/>
  <c r="Z4943" i="1"/>
  <c r="Z4953" i="1"/>
  <c r="Z4965" i="1"/>
  <c r="Z4975" i="1"/>
  <c r="Z4985" i="1"/>
  <c r="Z4997" i="1"/>
  <c r="Z5007" i="1"/>
  <c r="Z5017" i="1"/>
  <c r="Z5029" i="1"/>
  <c r="Z5039" i="1"/>
  <c r="Z5049" i="1"/>
  <c r="Z5061" i="1"/>
  <c r="Z5071" i="1"/>
  <c r="Z5081" i="1"/>
  <c r="Z5093" i="1"/>
  <c r="Z5103" i="1"/>
  <c r="Z5113" i="1"/>
  <c r="Z5125" i="1"/>
  <c r="Z5135" i="1"/>
  <c r="Z5145" i="1"/>
  <c r="Z5157" i="1"/>
  <c r="Z5167" i="1"/>
  <c r="Z5177" i="1"/>
  <c r="Z5189" i="1"/>
  <c r="Z5199" i="1"/>
  <c r="Z5208" i="1"/>
  <c r="Z5217" i="1"/>
  <c r="Z5226" i="1"/>
  <c r="Z5236" i="1"/>
  <c r="Z5245" i="1"/>
  <c r="Z5254" i="1"/>
  <c r="Z5263" i="1"/>
  <c r="Z5272" i="1"/>
  <c r="Z5281" i="1"/>
  <c r="Z5290" i="1"/>
  <c r="Z5300" i="1"/>
  <c r="Z5309" i="1"/>
  <c r="Z5318" i="1"/>
  <c r="Z5327" i="1"/>
  <c r="Z5336" i="1"/>
  <c r="Z5345" i="1"/>
  <c r="Z5354" i="1"/>
  <c r="Z5364" i="1"/>
  <c r="Z5373" i="1"/>
  <c r="Z5382" i="1"/>
  <c r="Z5391" i="1"/>
  <c r="Z5400" i="1"/>
  <c r="Z5409" i="1"/>
  <c r="Z5418" i="1"/>
  <c r="Z5428" i="1"/>
  <c r="Z5437" i="1"/>
  <c r="Z5446" i="1"/>
  <c r="Z5455" i="1"/>
  <c r="Z5464" i="1"/>
  <c r="Z5473" i="1"/>
  <c r="Z5482" i="1"/>
  <c r="Z5492" i="1"/>
  <c r="Z5501" i="1"/>
  <c r="Z5510" i="1"/>
  <c r="Z5519" i="1"/>
  <c r="Z5528" i="1"/>
  <c r="Z5537" i="1"/>
  <c r="Z5546" i="1"/>
  <c r="Z5556" i="1"/>
  <c r="Z5565" i="1"/>
  <c r="Z5574" i="1"/>
  <c r="Z5583" i="1"/>
  <c r="Z5592" i="1"/>
  <c r="Z5601" i="1"/>
  <c r="Z5610" i="1"/>
  <c r="Z5620" i="1"/>
  <c r="Z5629" i="1"/>
  <c r="Z5638" i="1"/>
  <c r="Z5647" i="1"/>
  <c r="Z5656" i="1"/>
  <c r="Z5665" i="1"/>
  <c r="Z5674" i="1"/>
  <c r="Z5684" i="1"/>
  <c r="Z5693" i="1"/>
  <c r="Z5702" i="1"/>
  <c r="Z5711" i="1"/>
  <c r="Z5720" i="1"/>
  <c r="Z5729" i="1"/>
  <c r="Z5738" i="1"/>
  <c r="Z5748" i="1"/>
  <c r="Z5757" i="1"/>
  <c r="Z5766" i="1"/>
  <c r="Z5775" i="1"/>
  <c r="Z5784" i="1"/>
  <c r="Z5793" i="1"/>
  <c r="Z5802" i="1"/>
  <c r="Z5812" i="1"/>
  <c r="Z5821" i="1"/>
  <c r="Z5830" i="1"/>
  <c r="Z5839" i="1"/>
  <c r="Z5848" i="1"/>
  <c r="Z5857" i="1"/>
  <c r="Z5866" i="1"/>
  <c r="Z5876" i="1"/>
  <c r="Z5885" i="1"/>
  <c r="Z5894" i="1"/>
  <c r="Z5903" i="1"/>
  <c r="Z5912" i="1"/>
  <c r="Z5921" i="1"/>
  <c r="Z5930" i="1"/>
  <c r="Z5940" i="1"/>
  <c r="Z5949" i="1"/>
  <c r="Z5958" i="1"/>
  <c r="Z5967" i="1"/>
  <c r="Z5976" i="1"/>
  <c r="Z5985" i="1"/>
  <c r="Z5994" i="1"/>
  <c r="Z6004" i="1"/>
  <c r="Z6013" i="1"/>
  <c r="Z6022" i="1"/>
  <c r="Z6031" i="1"/>
  <c r="Z6040" i="1"/>
  <c r="Z6049" i="1"/>
  <c r="Z6058" i="1"/>
  <c r="Z6067" i="1"/>
  <c r="Z6075" i="1"/>
  <c r="Z6083" i="1"/>
  <c r="Z6091" i="1"/>
  <c r="Z6099" i="1"/>
  <c r="Z6107" i="1"/>
  <c r="Z6115" i="1"/>
  <c r="Z6123" i="1"/>
  <c r="Z6131" i="1"/>
  <c r="Z6139" i="1"/>
  <c r="Z6147" i="1"/>
  <c r="Z6155" i="1"/>
  <c r="Z6163" i="1"/>
  <c r="Z6171" i="1"/>
  <c r="Z6179" i="1"/>
  <c r="Z6187" i="1"/>
  <c r="Z6195" i="1"/>
  <c r="Z6203" i="1"/>
  <c r="Z6211" i="1"/>
  <c r="Z6219" i="1"/>
  <c r="Z6227" i="1"/>
  <c r="Z6235" i="1"/>
  <c r="Z6243" i="1"/>
  <c r="Z6251" i="1"/>
  <c r="Z6259" i="1"/>
  <c r="Z6267" i="1"/>
  <c r="Z6275" i="1"/>
  <c r="Z6283" i="1"/>
  <c r="Z6291" i="1"/>
  <c r="Z6299" i="1"/>
  <c r="Z6307" i="1"/>
  <c r="Z6315" i="1"/>
  <c r="Z6323" i="1"/>
  <c r="Z6331" i="1"/>
  <c r="Z6339" i="1"/>
  <c r="Z6347" i="1"/>
  <c r="Z6355" i="1"/>
  <c r="Z6363" i="1"/>
  <c r="Z6371" i="1"/>
  <c r="Z6379" i="1"/>
  <c r="Z6387" i="1"/>
  <c r="Z6395" i="1"/>
  <c r="Z6403" i="1"/>
  <c r="Z6411" i="1"/>
  <c r="Z6419" i="1"/>
  <c r="Z6427" i="1"/>
  <c r="Z6435" i="1"/>
  <c r="Z6443" i="1"/>
  <c r="Z6451" i="1"/>
  <c r="Z6459" i="1"/>
  <c r="Z6467" i="1"/>
  <c r="Z6475" i="1"/>
  <c r="Z6483" i="1"/>
  <c r="Z6491" i="1"/>
  <c r="Z6499" i="1"/>
  <c r="Z6507" i="1"/>
  <c r="Z6515" i="1"/>
  <c r="Z6523" i="1"/>
  <c r="Z6531" i="1"/>
  <c r="Z6539" i="1"/>
  <c r="Z6547" i="1"/>
  <c r="Z6555" i="1"/>
  <c r="Z6563" i="1"/>
  <c r="Z6571" i="1"/>
  <c r="Z6579" i="1"/>
  <c r="Z6587" i="1"/>
  <c r="Z6595" i="1"/>
  <c r="Z6603" i="1"/>
  <c r="Z6611" i="1"/>
  <c r="Z6619" i="1"/>
  <c r="Z6627" i="1"/>
  <c r="Z6635" i="1"/>
  <c r="Z6643" i="1"/>
  <c r="Z6651" i="1"/>
  <c r="Z6659" i="1"/>
  <c r="Z6667" i="1"/>
  <c r="Z6675" i="1"/>
  <c r="Z6683" i="1"/>
  <c r="Z6691" i="1"/>
  <c r="Z6699" i="1"/>
  <c r="Z6707" i="1"/>
  <c r="Z6715" i="1"/>
  <c r="Z6723" i="1"/>
  <c r="Z6731" i="1"/>
  <c r="Z6739" i="1"/>
  <c r="Z6747" i="1"/>
  <c r="Z6755" i="1"/>
  <c r="Z6763" i="1"/>
  <c r="Z6771" i="1"/>
  <c r="Z6779" i="1"/>
  <c r="Z6787" i="1"/>
  <c r="Z6795" i="1"/>
  <c r="Z6803" i="1"/>
  <c r="Z6811" i="1"/>
  <c r="Z6819" i="1"/>
  <c r="Z6827" i="1"/>
  <c r="Z6835" i="1"/>
  <c r="Z6843" i="1"/>
  <c r="Z6851" i="1"/>
  <c r="Z6859" i="1"/>
  <c r="Z6867" i="1"/>
  <c r="Z6875" i="1"/>
  <c r="Z6883" i="1"/>
  <c r="Z6891" i="1"/>
  <c r="Z6899" i="1"/>
  <c r="Z6907" i="1"/>
  <c r="Z6915" i="1"/>
  <c r="Z6923" i="1"/>
  <c r="Z6931" i="1"/>
  <c r="Z6939" i="1"/>
  <c r="Z6947" i="1"/>
  <c r="Z6955" i="1"/>
  <c r="Z6963" i="1"/>
  <c r="Z6971" i="1"/>
  <c r="Z6979" i="1"/>
  <c r="Z6987" i="1"/>
  <c r="Z6995" i="1"/>
  <c r="Z7003" i="1"/>
  <c r="Z7011" i="1"/>
  <c r="Z7019" i="1"/>
  <c r="Z7027" i="1"/>
  <c r="Z7035" i="1"/>
  <c r="Z7043" i="1"/>
  <c r="Z7051" i="1"/>
  <c r="Z7059" i="1"/>
  <c r="Z7067" i="1"/>
  <c r="Z7075" i="1"/>
  <c r="Z7083" i="1"/>
  <c r="Z7091" i="1"/>
  <c r="Z7099" i="1"/>
  <c r="Z7107" i="1"/>
  <c r="Z7115" i="1"/>
  <c r="Z7123" i="1"/>
  <c r="Z7131" i="1"/>
  <c r="Z7139" i="1"/>
  <c r="Z7147" i="1"/>
  <c r="Z7155" i="1"/>
  <c r="Z7163" i="1"/>
  <c r="Z7171" i="1"/>
  <c r="Z7179" i="1"/>
  <c r="Z7187" i="1"/>
  <c r="Z7195" i="1"/>
  <c r="Z7203" i="1"/>
  <c r="Z7211" i="1"/>
  <c r="Z7219" i="1"/>
  <c r="Z7227" i="1"/>
  <c r="Z7235" i="1"/>
  <c r="Z7243" i="1"/>
  <c r="Z7251" i="1"/>
  <c r="Z7259" i="1"/>
  <c r="Z7267" i="1"/>
  <c r="Z7275" i="1"/>
  <c r="Z7283" i="1"/>
  <c r="Z7291" i="1"/>
  <c r="Z7299" i="1"/>
  <c r="Z7307" i="1"/>
  <c r="Z7315" i="1"/>
  <c r="Z7323" i="1"/>
  <c r="Z7331" i="1"/>
  <c r="Z7339" i="1"/>
  <c r="Z7347" i="1"/>
  <c r="Z7355" i="1"/>
  <c r="Z7363" i="1"/>
  <c r="Z7371" i="1"/>
  <c r="Z7379" i="1"/>
  <c r="Z7387" i="1"/>
  <c r="Z7395" i="1"/>
  <c r="Z7403" i="1"/>
  <c r="Z7411" i="1"/>
  <c r="Z7419" i="1"/>
  <c r="Z7427" i="1"/>
  <c r="Z7435" i="1"/>
  <c r="Z7443" i="1"/>
  <c r="Z7451" i="1"/>
  <c r="Z7459" i="1"/>
  <c r="Z7467" i="1"/>
  <c r="Z7475" i="1"/>
  <c r="Z7483" i="1"/>
  <c r="Z7491" i="1"/>
  <c r="Z7499" i="1"/>
  <c r="Z7507" i="1"/>
  <c r="Z7515" i="1"/>
  <c r="Z7523" i="1"/>
  <c r="Z7531" i="1"/>
  <c r="Z7539" i="1"/>
  <c r="Z7547" i="1"/>
  <c r="Z7555" i="1"/>
  <c r="Z7563" i="1"/>
  <c r="Z7571" i="1"/>
  <c r="Z7579" i="1"/>
  <c r="Z7587" i="1"/>
  <c r="Z7595" i="1"/>
  <c r="Z7603" i="1"/>
  <c r="Z7611" i="1"/>
  <c r="Z7619" i="1"/>
  <c r="Z7627" i="1"/>
  <c r="Z7635" i="1"/>
  <c r="Z7643" i="1"/>
  <c r="Z7651" i="1"/>
  <c r="Z7659" i="1"/>
  <c r="Z7667" i="1"/>
  <c r="Z7675" i="1"/>
  <c r="Z7683" i="1"/>
  <c r="Z7691" i="1"/>
  <c r="Z7699" i="1"/>
  <c r="Z7707" i="1"/>
  <c r="Z7715" i="1"/>
  <c r="Z7723" i="1"/>
  <c r="Z7731" i="1"/>
  <c r="Z7739" i="1"/>
  <c r="Z7747" i="1"/>
  <c r="Z7755" i="1"/>
  <c r="Z7763" i="1"/>
  <c r="Z7771" i="1"/>
  <c r="Z7779" i="1"/>
  <c r="Z7787" i="1"/>
  <c r="Z7795" i="1"/>
  <c r="Z7803" i="1"/>
  <c r="Z7811" i="1"/>
  <c r="Z7819" i="1"/>
  <c r="Z7827" i="1"/>
  <c r="Z7835" i="1"/>
  <c r="Z7843" i="1"/>
  <c r="Z7851" i="1"/>
  <c r="Z7859" i="1"/>
  <c r="Z7867" i="1"/>
  <c r="Z7875" i="1"/>
  <c r="Z7883" i="1"/>
  <c r="Z7891" i="1"/>
  <c r="Z7899" i="1"/>
  <c r="Z7907" i="1"/>
  <c r="Z7915" i="1"/>
  <c r="Z7923" i="1"/>
  <c r="Z7931" i="1"/>
  <c r="Z7939" i="1"/>
  <c r="Z7947" i="1"/>
  <c r="Z7955" i="1"/>
  <c r="Z7963" i="1"/>
  <c r="Z7971" i="1"/>
  <c r="Z525" i="1"/>
  <c r="Z1244" i="1"/>
  <c r="Z1545" i="1"/>
  <c r="Z1738" i="1"/>
  <c r="Z1856" i="1"/>
  <c r="Z1933" i="1"/>
  <c r="Z2006" i="1"/>
  <c r="Z2083" i="1"/>
  <c r="Z2139" i="1"/>
  <c r="Z2189" i="1"/>
  <c r="Z2242" i="1"/>
  <c r="Z2290" i="1"/>
  <c r="Z2330" i="1"/>
  <c r="Z2370" i="1"/>
  <c r="Z2413" i="1"/>
  <c r="Z2453" i="1"/>
  <c r="Z2493" i="1"/>
  <c r="Z2533" i="1"/>
  <c r="Z2573" i="1"/>
  <c r="Z2619" i="1"/>
  <c r="Z2659" i="1"/>
  <c r="Z2699" i="1"/>
  <c r="Z2739" i="1"/>
  <c r="Z2779" i="1"/>
  <c r="Z2816" i="1"/>
  <c r="Z2850" i="1"/>
  <c r="Z2883" i="1"/>
  <c r="Z2916" i="1"/>
  <c r="Z2946" i="1"/>
  <c r="Z2978" i="1"/>
  <c r="Z3006" i="1"/>
  <c r="Z3035" i="1"/>
  <c r="Z3064" i="1"/>
  <c r="Z3092" i="1"/>
  <c r="Z3121" i="1"/>
  <c r="Z3146" i="1"/>
  <c r="Z3171" i="1"/>
  <c r="Z3196" i="1"/>
  <c r="Z3220" i="1"/>
  <c r="Z3243" i="1"/>
  <c r="Z3260" i="1"/>
  <c r="Z3283" i="1"/>
  <c r="Z3306" i="1"/>
  <c r="Z3323" i="1"/>
  <c r="Z3346" i="1"/>
  <c r="Z3363" i="1"/>
  <c r="Z3386" i="1"/>
  <c r="Z3409" i="1"/>
  <c r="Z3426" i="1"/>
  <c r="Z3449" i="1"/>
  <c r="Z3466" i="1"/>
  <c r="Z3489" i="1"/>
  <c r="Z3509" i="1"/>
  <c r="Z3529" i="1"/>
  <c r="Z3549" i="1"/>
  <c r="Z3569" i="1"/>
  <c r="Z3589" i="1"/>
  <c r="Z3612" i="1"/>
  <c r="Z3629" i="1"/>
  <c r="Z3652" i="1"/>
  <c r="Z3669" i="1"/>
  <c r="Z3692" i="1"/>
  <c r="Z3715" i="1"/>
  <c r="Z3732" i="1"/>
  <c r="Z3755" i="1"/>
  <c r="Z3772" i="1"/>
  <c r="Z3795" i="1"/>
  <c r="Z3817" i="1"/>
  <c r="Z3832" i="1"/>
  <c r="Z3850" i="1"/>
  <c r="Z3865" i="1"/>
  <c r="Z3883" i="1"/>
  <c r="Z3901" i="1"/>
  <c r="Z3916" i="1"/>
  <c r="Z3932" i="1"/>
  <c r="Z3945" i="1"/>
  <c r="Z3961" i="1"/>
  <c r="Z3977" i="1"/>
  <c r="Z3989" i="1"/>
  <c r="Z4005" i="1"/>
  <c r="Z4018" i="1"/>
  <c r="Z4034" i="1"/>
  <c r="Z4050" i="1"/>
  <c r="Z4063" i="1"/>
  <c r="Z4079" i="1"/>
  <c r="Z4091" i="1"/>
  <c r="Z4107" i="1"/>
  <c r="Z4123" i="1"/>
  <c r="Z4136" i="1"/>
  <c r="Z4152" i="1"/>
  <c r="Z4164" i="1"/>
  <c r="Z4180" i="1"/>
  <c r="Z4196" i="1"/>
  <c r="Z4209" i="1"/>
  <c r="Z4223" i="1"/>
  <c r="Z4234" i="1"/>
  <c r="Z4248" i="1"/>
  <c r="Z4262" i="1"/>
  <c r="Z4273" i="1"/>
  <c r="Z4287" i="1"/>
  <c r="Z4298" i="1"/>
  <c r="Z4312" i="1"/>
  <c r="Z4326" i="1"/>
  <c r="Z4337" i="1"/>
  <c r="Z4351" i="1"/>
  <c r="Z4362" i="1"/>
  <c r="Z4376" i="1"/>
  <c r="Z4390" i="1"/>
  <c r="Z4401" i="1"/>
  <c r="Z4415" i="1"/>
  <c r="Z4426" i="1"/>
  <c r="Z4440" i="1"/>
  <c r="Z4454" i="1"/>
  <c r="Z4465" i="1"/>
  <c r="Z4479" i="1"/>
  <c r="Z4490" i="1"/>
  <c r="Z4504" i="1"/>
  <c r="Z4518" i="1"/>
  <c r="Z4529" i="1"/>
  <c r="Z4543" i="1"/>
  <c r="Z4554" i="1"/>
  <c r="Z4568" i="1"/>
  <c r="Z4582" i="1"/>
  <c r="Z4593" i="1"/>
  <c r="Z4607" i="1"/>
  <c r="Z4618" i="1"/>
  <c r="Z4632" i="1"/>
  <c r="Z4646" i="1"/>
  <c r="Z4657" i="1"/>
  <c r="Z4671" i="1"/>
  <c r="Z4682" i="1"/>
  <c r="Z4696" i="1"/>
  <c r="Z4710" i="1"/>
  <c r="Z4721" i="1"/>
  <c r="Z4735" i="1"/>
  <c r="Z4746" i="1"/>
  <c r="Z4760" i="1"/>
  <c r="Z4774" i="1"/>
  <c r="Z4785" i="1"/>
  <c r="Z4799" i="1"/>
  <c r="Z4810" i="1"/>
  <c r="Z4824" i="1"/>
  <c r="Z4838" i="1"/>
  <c r="Z4848" i="1"/>
  <c r="Z4858" i="1"/>
  <c r="Z4870" i="1"/>
  <c r="Z4880" i="1"/>
  <c r="Z4890" i="1"/>
  <c r="Z4902" i="1"/>
  <c r="Z4912" i="1"/>
  <c r="Z4922" i="1"/>
  <c r="Z4934" i="1"/>
  <c r="Z4944" i="1"/>
  <c r="Z4954" i="1"/>
  <c r="Z4966" i="1"/>
  <c r="Z4976" i="1"/>
  <c r="Z4986" i="1"/>
  <c r="Z4998" i="1"/>
  <c r="Z5008" i="1"/>
  <c r="Z5018" i="1"/>
  <c r="Z5030" i="1"/>
  <c r="Z5040" i="1"/>
  <c r="Z5050" i="1"/>
  <c r="Z5062" i="1"/>
  <c r="Z5072" i="1"/>
  <c r="Z5082" i="1"/>
  <c r="Z5094" i="1"/>
  <c r="Z5104" i="1"/>
  <c r="Z5114" i="1"/>
  <c r="Z5126" i="1"/>
  <c r="Z5136" i="1"/>
  <c r="Z5146" i="1"/>
  <c r="Z5158" i="1"/>
  <c r="Z5168" i="1"/>
  <c r="Z5178" i="1"/>
  <c r="Z5190" i="1"/>
  <c r="Z5200" i="1"/>
  <c r="Z5209" i="1"/>
  <c r="Z5218" i="1"/>
  <c r="Z5228" i="1"/>
  <c r="Z5237" i="1"/>
  <c r="Z5246" i="1"/>
  <c r="Z5255" i="1"/>
  <c r="Z5264" i="1"/>
  <c r="Z5273" i="1"/>
  <c r="Z5282" i="1"/>
  <c r="Z5292" i="1"/>
  <c r="Z5301" i="1"/>
  <c r="Z5310" i="1"/>
  <c r="Z5319" i="1"/>
  <c r="Z5328" i="1"/>
  <c r="Z5337" i="1"/>
  <c r="Z5346" i="1"/>
  <c r="Z5356" i="1"/>
  <c r="Z5365" i="1"/>
  <c r="Z5374" i="1"/>
  <c r="Z5383" i="1"/>
  <c r="Z5392" i="1"/>
  <c r="Z5401" i="1"/>
  <c r="Z5410" i="1"/>
  <c r="Z5420" i="1"/>
  <c r="Z5429" i="1"/>
  <c r="Z5438" i="1"/>
  <c r="Z5447" i="1"/>
  <c r="Z5456" i="1"/>
  <c r="Z5465" i="1"/>
  <c r="Z5474" i="1"/>
  <c r="Z5484" i="1"/>
  <c r="Z5493" i="1"/>
  <c r="Z5502" i="1"/>
  <c r="Z5511" i="1"/>
  <c r="Z5520" i="1"/>
  <c r="Z5529" i="1"/>
  <c r="Z5538" i="1"/>
  <c r="Z5548" i="1"/>
  <c r="Z5557" i="1"/>
  <c r="Z5566" i="1"/>
  <c r="Z5575" i="1"/>
  <c r="Z5584" i="1"/>
  <c r="Z5593" i="1"/>
  <c r="Z5602" i="1"/>
  <c r="Z5612" i="1"/>
  <c r="Z5621" i="1"/>
  <c r="Z5630" i="1"/>
  <c r="Z5639" i="1"/>
  <c r="Z5648" i="1"/>
  <c r="Z5657" i="1"/>
  <c r="Z5666" i="1"/>
  <c r="Z5676" i="1"/>
  <c r="Z5685" i="1"/>
  <c r="Z5694" i="1"/>
  <c r="Z5703" i="1"/>
  <c r="Z5712" i="1"/>
  <c r="Z5721" i="1"/>
  <c r="Z5730" i="1"/>
  <c r="Z5740" i="1"/>
  <c r="Z5749" i="1"/>
  <c r="Z5758" i="1"/>
  <c r="Z5767" i="1"/>
  <c r="Z5776" i="1"/>
  <c r="Z5785" i="1"/>
  <c r="Z5794" i="1"/>
  <c r="Z5804" i="1"/>
  <c r="Z5813" i="1"/>
  <c r="Z5822" i="1"/>
  <c r="Z5831" i="1"/>
  <c r="Z5840" i="1"/>
  <c r="Z5849" i="1"/>
  <c r="Z5858" i="1"/>
  <c r="Z5868" i="1"/>
  <c r="Z5877" i="1"/>
  <c r="Z5886" i="1"/>
  <c r="Z5895" i="1"/>
  <c r="Z5904" i="1"/>
  <c r="Z5913" i="1"/>
  <c r="Z5922" i="1"/>
  <c r="Z5932" i="1"/>
  <c r="Z5941" i="1"/>
  <c r="Z5950" i="1"/>
  <c r="Z5959" i="1"/>
  <c r="Z5968" i="1"/>
  <c r="Z5977" i="1"/>
  <c r="Z5986" i="1"/>
  <c r="Z5996" i="1"/>
  <c r="Z6005" i="1"/>
  <c r="Z6014" i="1"/>
  <c r="Z6023" i="1"/>
  <c r="Z6032" i="1"/>
  <c r="Z6041" i="1"/>
  <c r="Z6050" i="1"/>
  <c r="Z6060" i="1"/>
  <c r="Z6068" i="1"/>
  <c r="Z6076" i="1"/>
  <c r="Z6084" i="1"/>
  <c r="Z6092" i="1"/>
  <c r="Z6100" i="1"/>
  <c r="Z6108" i="1"/>
  <c r="Z6116" i="1"/>
  <c r="Z6124" i="1"/>
  <c r="Z6132" i="1"/>
  <c r="Z6140" i="1"/>
  <c r="Z6148" i="1"/>
  <c r="Z6156" i="1"/>
  <c r="Z6164" i="1"/>
  <c r="Z6172" i="1"/>
  <c r="Z6180" i="1"/>
  <c r="Z6188" i="1"/>
  <c r="Z6196" i="1"/>
  <c r="Z6204" i="1"/>
  <c r="Z6212" i="1"/>
  <c r="Z6220" i="1"/>
  <c r="Z6228" i="1"/>
  <c r="Z6236" i="1"/>
  <c r="Z6244" i="1"/>
  <c r="Z6252" i="1"/>
  <c r="Z6260" i="1"/>
  <c r="Z6268" i="1"/>
  <c r="Z6276" i="1"/>
  <c r="Z6284" i="1"/>
  <c r="Z6292" i="1"/>
  <c r="Z6300" i="1"/>
  <c r="Z6308" i="1"/>
  <c r="Z6316" i="1"/>
  <c r="Z6324" i="1"/>
  <c r="Z6332" i="1"/>
  <c r="Z6340" i="1"/>
  <c r="Z6348" i="1"/>
  <c r="Z6356" i="1"/>
  <c r="Z6364" i="1"/>
  <c r="Z6372" i="1"/>
  <c r="Z6380" i="1"/>
  <c r="Z6388" i="1"/>
  <c r="Z6396" i="1"/>
  <c r="Z6404" i="1"/>
  <c r="Z6412" i="1"/>
  <c r="Z6420" i="1"/>
  <c r="Z6428" i="1"/>
  <c r="Z6436" i="1"/>
  <c r="Z6444" i="1"/>
  <c r="Z6452" i="1"/>
  <c r="Z6460" i="1"/>
  <c r="Z6468" i="1"/>
  <c r="Z6476" i="1"/>
  <c r="Z6484" i="1"/>
  <c r="Z6492" i="1"/>
  <c r="Z6500" i="1"/>
  <c r="Z6508" i="1"/>
  <c r="Z6516" i="1"/>
  <c r="Z6524" i="1"/>
  <c r="Z6532" i="1"/>
  <c r="Z6540" i="1"/>
  <c r="Z6548" i="1"/>
  <c r="Z6556" i="1"/>
  <c r="Z6564" i="1"/>
  <c r="Z6572" i="1"/>
  <c r="Z6580" i="1"/>
  <c r="Z6588" i="1"/>
  <c r="Z6596" i="1"/>
  <c r="Z6604" i="1"/>
  <c r="Z6612" i="1"/>
  <c r="Z6620" i="1"/>
  <c r="Z6628" i="1"/>
  <c r="Z6636" i="1"/>
  <c r="Z6644" i="1"/>
  <c r="Z6652" i="1"/>
  <c r="Z6660" i="1"/>
  <c r="Z6668" i="1"/>
  <c r="Z6676" i="1"/>
  <c r="Z6684" i="1"/>
  <c r="Z6692" i="1"/>
  <c r="Z6700" i="1"/>
  <c r="Z6708" i="1"/>
  <c r="Z6716" i="1"/>
  <c r="Z6724" i="1"/>
  <c r="Z6732" i="1"/>
  <c r="Z6740" i="1"/>
  <c r="Z6748" i="1"/>
  <c r="Z6756" i="1"/>
  <c r="Z6764" i="1"/>
  <c r="Z6772" i="1"/>
  <c r="Z6780" i="1"/>
  <c r="Z6788" i="1"/>
  <c r="Z6796" i="1"/>
  <c r="Z6804" i="1"/>
  <c r="Z6812" i="1"/>
  <c r="Z6820" i="1"/>
  <c r="Z6828" i="1"/>
  <c r="Z6836" i="1"/>
  <c r="Z6844" i="1"/>
  <c r="Z6852" i="1"/>
  <c r="Z6860" i="1"/>
  <c r="Z6868" i="1"/>
  <c r="Z6876" i="1"/>
  <c r="Z6884" i="1"/>
  <c r="Z6892" i="1"/>
  <c r="Z6900" i="1"/>
  <c r="Z6908" i="1"/>
  <c r="Z6916" i="1"/>
  <c r="Z6924" i="1"/>
  <c r="Z6932" i="1"/>
  <c r="Z6940" i="1"/>
  <c r="Z6948" i="1"/>
  <c r="Z6956" i="1"/>
  <c r="Z6964" i="1"/>
  <c r="Z6972" i="1"/>
  <c r="Z6980" i="1"/>
  <c r="Z6988" i="1"/>
  <c r="Z6996" i="1"/>
  <c r="Z7004" i="1"/>
  <c r="Z7012" i="1"/>
  <c r="Z7020" i="1"/>
  <c r="Z7028" i="1"/>
  <c r="Z7036" i="1"/>
  <c r="Z7044" i="1"/>
  <c r="Z7052" i="1"/>
  <c r="Z7060" i="1"/>
  <c r="Z7068" i="1"/>
  <c r="Z7076" i="1"/>
  <c r="Z7084" i="1"/>
  <c r="Z7092" i="1"/>
  <c r="Z7100" i="1"/>
  <c r="Z7108" i="1"/>
  <c r="Z7116" i="1"/>
  <c r="Z7124" i="1"/>
  <c r="Z7132" i="1"/>
  <c r="Z7140" i="1"/>
  <c r="Z7148" i="1"/>
  <c r="Z7156" i="1"/>
  <c r="Z7164" i="1"/>
  <c r="Z7172" i="1"/>
  <c r="Z7180" i="1"/>
  <c r="Z7188" i="1"/>
  <c r="Z739" i="1"/>
  <c r="Z1301" i="1"/>
  <c r="Z1585" i="1"/>
  <c r="Z1765" i="1"/>
  <c r="Z1878" i="1"/>
  <c r="Z1955" i="1"/>
  <c r="Z2011" i="1"/>
  <c r="Z2084" i="1"/>
  <c r="Z2158" i="1"/>
  <c r="Z2211" i="1"/>
  <c r="Z2261" i="1"/>
  <c r="Z2301" i="1"/>
  <c r="Z2341" i="1"/>
  <c r="Z2381" i="1"/>
  <c r="Z2427" i="1"/>
  <c r="Z2467" i="1"/>
  <c r="Z2507" i="1"/>
  <c r="Z2547" i="1"/>
  <c r="Z2587" i="1"/>
  <c r="Z2630" i="1"/>
  <c r="Z2670" i="1"/>
  <c r="Z2710" i="1"/>
  <c r="Z2750" i="1"/>
  <c r="Z2789" i="1"/>
  <c r="Z2827" i="1"/>
  <c r="Z2860" i="1"/>
  <c r="Z2893" i="1"/>
  <c r="Z2926" i="1"/>
  <c r="Z2955" i="1"/>
  <c r="Z2987" i="1"/>
  <c r="Z3016" i="1"/>
  <c r="Z3044" i="1"/>
  <c r="Z3073" i="1"/>
  <c r="Z3101" i="1"/>
  <c r="Z3129" i="1"/>
  <c r="Z3154" i="1"/>
  <c r="Z3179" i="1"/>
  <c r="Z3204" i="1"/>
  <c r="Z3221" i="1"/>
  <c r="Z3244" i="1"/>
  <c r="Z3267" i="1"/>
  <c r="Z3284" i="1"/>
  <c r="Z3307" i="1"/>
  <c r="Z3324" i="1"/>
  <c r="Z3347" i="1"/>
  <c r="Z3370" i="1"/>
  <c r="Z3387" i="1"/>
  <c r="Z3410" i="1"/>
  <c r="Z3427" i="1"/>
  <c r="Z3450" i="1"/>
  <c r="Z3473" i="1"/>
  <c r="Z3490" i="1"/>
  <c r="Z3513" i="1"/>
  <c r="Z3530" i="1"/>
  <c r="Z3553" i="1"/>
  <c r="Z3573" i="1"/>
  <c r="Z3593" i="1"/>
  <c r="Z3613" i="1"/>
  <c r="Z3633" i="1"/>
  <c r="Z3653" i="1"/>
  <c r="Z3676" i="1"/>
  <c r="Z3693" i="1"/>
  <c r="Z3716" i="1"/>
  <c r="Z3733" i="1"/>
  <c r="Z3756" i="1"/>
  <c r="Z3779" i="1"/>
  <c r="Z3796" i="1"/>
  <c r="Z3818" i="1"/>
  <c r="Z3833" i="1"/>
  <c r="Z3851" i="1"/>
  <c r="Z3869" i="1"/>
  <c r="Z3884" i="1"/>
  <c r="Z3904" i="1"/>
  <c r="Z3917" i="1"/>
  <c r="Z3933" i="1"/>
  <c r="Z3949" i="1"/>
  <c r="Z3962" i="1"/>
  <c r="Z3978" i="1"/>
  <c r="Z3991" i="1"/>
  <c r="Z4007" i="1"/>
  <c r="Z4023" i="1"/>
  <c r="Z4035" i="1"/>
  <c r="Z4051" i="1"/>
  <c r="Z4064" i="1"/>
  <c r="Z4080" i="1"/>
  <c r="Z4096" i="1"/>
  <c r="Z4108" i="1"/>
  <c r="Z4124" i="1"/>
  <c r="Z4137" i="1"/>
  <c r="Z4153" i="1"/>
  <c r="Z4169" i="1"/>
  <c r="Z4181" i="1"/>
  <c r="Z4197" i="1"/>
  <c r="Z4210" i="1"/>
  <c r="Z4224" i="1"/>
  <c r="Z4238" i="1"/>
  <c r="Z4249" i="1"/>
  <c r="Z4263" i="1"/>
  <c r="Z4274" i="1"/>
  <c r="Z4288" i="1"/>
  <c r="Z4302" i="1"/>
  <c r="Z4313" i="1"/>
  <c r="Z4327" i="1"/>
  <c r="Z4338" i="1"/>
  <c r="Z4352" i="1"/>
  <c r="Z4366" i="1"/>
  <c r="Z4377" i="1"/>
  <c r="Z4391" i="1"/>
  <c r="Z4402" i="1"/>
  <c r="Z4416" i="1"/>
  <c r="Z4430" i="1"/>
  <c r="Z4441" i="1"/>
  <c r="Z4455" i="1"/>
  <c r="Z4466" i="1"/>
  <c r="Z4480" i="1"/>
  <c r="Z4494" i="1"/>
  <c r="Z4505" i="1"/>
  <c r="Z4519" i="1"/>
  <c r="Z4530" i="1"/>
  <c r="Z4544" i="1"/>
  <c r="Z4558" i="1"/>
  <c r="Z4569" i="1"/>
  <c r="Z4583" i="1"/>
  <c r="Z4594" i="1"/>
  <c r="Z4608" i="1"/>
  <c r="Z4622" i="1"/>
  <c r="Z4633" i="1"/>
  <c r="Z4647" i="1"/>
  <c r="Z4658" i="1"/>
  <c r="Z4672" i="1"/>
  <c r="Z4686" i="1"/>
  <c r="Z4697" i="1"/>
  <c r="Z4711" i="1"/>
  <c r="Z4722" i="1"/>
  <c r="Z4736" i="1"/>
  <c r="Z4750" i="1"/>
  <c r="Z4761" i="1"/>
  <c r="Z4775" i="1"/>
  <c r="Z4786" i="1"/>
  <c r="Z4800" i="1"/>
  <c r="Z4814" i="1"/>
  <c r="Z4825" i="1"/>
  <c r="Z4839" i="1"/>
  <c r="Z4849" i="1"/>
  <c r="Z4861" i="1"/>
  <c r="Z4871" i="1"/>
  <c r="Z4881" i="1"/>
  <c r="Z4893" i="1"/>
  <c r="Z4903" i="1"/>
  <c r="Z4913" i="1"/>
  <c r="Z4925" i="1"/>
  <c r="Z4935" i="1"/>
  <c r="Z4945" i="1"/>
  <c r="Z4957" i="1"/>
  <c r="Z4967" i="1"/>
  <c r="Z4977" i="1"/>
  <c r="Z4989" i="1"/>
  <c r="Z4999" i="1"/>
  <c r="Z5009" i="1"/>
  <c r="Z5021" i="1"/>
  <c r="Z5031" i="1"/>
  <c r="Z5041" i="1"/>
  <c r="Z5053" i="1"/>
  <c r="Z5063" i="1"/>
  <c r="Z5073" i="1"/>
  <c r="Z5085" i="1"/>
  <c r="Z5095" i="1"/>
  <c r="Z5105" i="1"/>
  <c r="Z5117" i="1"/>
  <c r="Z5127" i="1"/>
  <c r="Z5137" i="1"/>
  <c r="Z5149" i="1"/>
  <c r="Z5159" i="1"/>
  <c r="Z5169" i="1"/>
  <c r="Z5181" i="1"/>
  <c r="Z5191" i="1"/>
  <c r="Z5201" i="1"/>
  <c r="Z5210" i="1"/>
  <c r="Z5220" i="1"/>
  <c r="Z5229" i="1"/>
  <c r="Z5238" i="1"/>
  <c r="Z5247" i="1"/>
  <c r="Z5256" i="1"/>
  <c r="Z5265" i="1"/>
  <c r="Z5274" i="1"/>
  <c r="Z5284" i="1"/>
  <c r="Z5293" i="1"/>
  <c r="Z5302" i="1"/>
  <c r="Z5311" i="1"/>
  <c r="Z5320" i="1"/>
  <c r="Z5329" i="1"/>
  <c r="Z5338" i="1"/>
  <c r="Z5348" i="1"/>
  <c r="Z5357" i="1"/>
  <c r="Z5366" i="1"/>
  <c r="Z5375" i="1"/>
  <c r="Z5384" i="1"/>
  <c r="Z5393" i="1"/>
  <c r="Z5402" i="1"/>
  <c r="Z5412" i="1"/>
  <c r="Z5421" i="1"/>
  <c r="Z5430" i="1"/>
  <c r="Z5439" i="1"/>
  <c r="Z5448" i="1"/>
  <c r="Z5457" i="1"/>
  <c r="Z5466" i="1"/>
  <c r="Z5476" i="1"/>
  <c r="Z5485" i="1"/>
  <c r="Z5494" i="1"/>
  <c r="Z5503" i="1"/>
  <c r="Z5512" i="1"/>
  <c r="Z5521" i="1"/>
  <c r="Z5530" i="1"/>
  <c r="Z5540" i="1"/>
  <c r="Z5549" i="1"/>
  <c r="Z5558" i="1"/>
  <c r="Z5567" i="1"/>
  <c r="Z5576" i="1"/>
  <c r="Z5585" i="1"/>
  <c r="Z5594" i="1"/>
  <c r="Z5604" i="1"/>
  <c r="Z5613" i="1"/>
  <c r="Z5622" i="1"/>
  <c r="Z5631" i="1"/>
  <c r="Z5640" i="1"/>
  <c r="Z5649" i="1"/>
  <c r="Z5658" i="1"/>
  <c r="Z5668" i="1"/>
  <c r="Z5677" i="1"/>
  <c r="Z5686" i="1"/>
  <c r="Z5695" i="1"/>
  <c r="Z5704" i="1"/>
  <c r="Z5713" i="1"/>
  <c r="Z5722" i="1"/>
  <c r="Z5732" i="1"/>
  <c r="Z5741" i="1"/>
  <c r="Z5750" i="1"/>
  <c r="Z5759" i="1"/>
  <c r="Z5768" i="1"/>
  <c r="Z5777" i="1"/>
  <c r="Z5786" i="1"/>
  <c r="Z5796" i="1"/>
  <c r="Z5805" i="1"/>
  <c r="Z5814" i="1"/>
  <c r="Z5823" i="1"/>
  <c r="Z5832" i="1"/>
  <c r="Z5841" i="1"/>
  <c r="Z5850" i="1"/>
  <c r="Z5860" i="1"/>
  <c r="Z5869" i="1"/>
  <c r="Z5878" i="1"/>
  <c r="Z5887" i="1"/>
  <c r="Z5896" i="1"/>
  <c r="Z5905" i="1"/>
  <c r="Z5914" i="1"/>
  <c r="Z5924" i="1"/>
  <c r="Z5933" i="1"/>
  <c r="Z5942" i="1"/>
  <c r="Z5951" i="1"/>
  <c r="Z5960" i="1"/>
  <c r="Z5969" i="1"/>
  <c r="Z5978" i="1"/>
  <c r="Z5988" i="1"/>
  <c r="Z5997" i="1"/>
  <c r="Z6006" i="1"/>
  <c r="Z6015" i="1"/>
  <c r="Z6024" i="1"/>
  <c r="Z6033" i="1"/>
  <c r="Z6042" i="1"/>
  <c r="Z6052" i="1"/>
  <c r="Z6061" i="1"/>
  <c r="Z6069" i="1"/>
  <c r="Z6077" i="1"/>
  <c r="Z6085" i="1"/>
  <c r="Z6093" i="1"/>
  <c r="Z6101" i="1"/>
  <c r="Z6109" i="1"/>
  <c r="Z6117" i="1"/>
  <c r="Z6125" i="1"/>
  <c r="Z6133" i="1"/>
  <c r="Z6141" i="1"/>
  <c r="Z6149" i="1"/>
  <c r="Z6157" i="1"/>
  <c r="Z6165" i="1"/>
  <c r="Z6173" i="1"/>
  <c r="Z6181" i="1"/>
  <c r="Z6189" i="1"/>
  <c r="Z6197" i="1"/>
  <c r="Z6205" i="1"/>
  <c r="Z6213" i="1"/>
  <c r="Z6221" i="1"/>
  <c r="Z6229" i="1"/>
  <c r="Z6237" i="1"/>
  <c r="Z6245" i="1"/>
  <c r="Z6253" i="1"/>
  <c r="Z6261" i="1"/>
  <c r="Z6269" i="1"/>
  <c r="Z6277" i="1"/>
  <c r="Z6285" i="1"/>
  <c r="Z6293" i="1"/>
  <c r="Z6301" i="1"/>
  <c r="Z6309" i="1"/>
  <c r="Z6317" i="1"/>
  <c r="Z6325" i="1"/>
  <c r="Z6333" i="1"/>
  <c r="Z6341" i="1"/>
  <c r="Z6349" i="1"/>
  <c r="Z6357" i="1"/>
  <c r="Z6365" i="1"/>
  <c r="Z6373" i="1"/>
  <c r="Z6381" i="1"/>
  <c r="Z6389" i="1"/>
  <c r="Z6397" i="1"/>
  <c r="Z6405" i="1"/>
  <c r="Z6413" i="1"/>
  <c r="Z6421" i="1"/>
  <c r="Z6429" i="1"/>
  <c r="Z6437" i="1"/>
  <c r="Z6445" i="1"/>
  <c r="Z6453" i="1"/>
  <c r="Z6461" i="1"/>
  <c r="Z6469" i="1"/>
  <c r="Z6477" i="1"/>
  <c r="Z6485" i="1"/>
  <c r="Z6493" i="1"/>
  <c r="Z6501" i="1"/>
  <c r="Z6509" i="1"/>
  <c r="Z6517" i="1"/>
  <c r="Z6525" i="1"/>
  <c r="Z6533" i="1"/>
  <c r="Z6541" i="1"/>
  <c r="Z6549" i="1"/>
  <c r="Z6557" i="1"/>
  <c r="Z6565" i="1"/>
  <c r="Z6573" i="1"/>
  <c r="Z6581" i="1"/>
  <c r="Z6589" i="1"/>
  <c r="Z6597" i="1"/>
  <c r="Z6605" i="1"/>
  <c r="Z6613" i="1"/>
  <c r="Z6621" i="1"/>
  <c r="Z6629" i="1"/>
  <c r="Z6637" i="1"/>
  <c r="Z6645" i="1"/>
  <c r="Z6653" i="1"/>
  <c r="Z6661" i="1"/>
  <c r="Z6669" i="1"/>
  <c r="Z6677" i="1"/>
  <c r="Z6685" i="1"/>
  <c r="Z6693" i="1"/>
  <c r="Z6701" i="1"/>
  <c r="Z6709" i="1"/>
  <c r="Z6717" i="1"/>
  <c r="Z6725" i="1"/>
  <c r="Z6733" i="1"/>
  <c r="Z6741" i="1"/>
  <c r="Z6749" i="1"/>
  <c r="Z6757" i="1"/>
  <c r="Z6765" i="1"/>
  <c r="Z810" i="1"/>
  <c r="Z1311" i="1"/>
  <c r="Z1605" i="1"/>
  <c r="Z1767" i="1"/>
  <c r="Z1883" i="1"/>
  <c r="Z1956" i="1"/>
  <c r="Z2030" i="1"/>
  <c r="Z2086" i="1"/>
  <c r="Z2162" i="1"/>
  <c r="Z2212" i="1"/>
  <c r="Z2262" i="1"/>
  <c r="Z2302" i="1"/>
  <c r="Z2342" i="1"/>
  <c r="Z2388" i="1"/>
  <c r="Z2428" i="1"/>
  <c r="Z2468" i="1"/>
  <c r="Z2508" i="1"/>
  <c r="Z2548" i="1"/>
  <c r="Z2594" i="1"/>
  <c r="Z2634" i="1"/>
  <c r="Z2674" i="1"/>
  <c r="Z2714" i="1"/>
  <c r="Z2754" i="1"/>
  <c r="Z2795" i="1"/>
  <c r="Z2828" i="1"/>
  <c r="Z2861" i="1"/>
  <c r="Z2894" i="1"/>
  <c r="Z2928" i="1"/>
  <c r="Z2960" i="1"/>
  <c r="Z2988" i="1"/>
  <c r="Z3017" i="1"/>
  <c r="Z3045" i="1"/>
  <c r="Z3074" i="1"/>
  <c r="Z3105" i="1"/>
  <c r="Z3130" i="1"/>
  <c r="Z3155" i="1"/>
  <c r="Z3180" i="1"/>
  <c r="Z3205" i="1"/>
  <c r="Z3228" i="1"/>
  <c r="Z3245" i="1"/>
  <c r="Z3268" i="1"/>
  <c r="Z3285" i="1"/>
  <c r="Z3308" i="1"/>
  <c r="Z3331" i="1"/>
  <c r="Z3348" i="1"/>
  <c r="Z3371" i="1"/>
  <c r="Z3388" i="1"/>
  <c r="Z3411" i="1"/>
  <c r="Z3434" i="1"/>
  <c r="Z3451" i="1"/>
  <c r="Z3474" i="1"/>
  <c r="Z3491" i="1"/>
  <c r="Z3514" i="1"/>
  <c r="Z3537" i="1"/>
  <c r="Z3554" i="1"/>
  <c r="Z3577" i="1"/>
  <c r="Z3594" i="1"/>
  <c r="Z3617" i="1"/>
  <c r="Z3637" i="1"/>
  <c r="Z3657" i="1"/>
  <c r="Z3677" i="1"/>
  <c r="Z3697" i="1"/>
  <c r="Z3717" i="1"/>
  <c r="Z3740" i="1"/>
  <c r="Z3757" i="1"/>
  <c r="Z3780" i="1"/>
  <c r="Z3797" i="1"/>
  <c r="Z3819" i="1"/>
  <c r="Z3837" i="1"/>
  <c r="Z3852" i="1"/>
  <c r="Z3872" i="1"/>
  <c r="Z3885" i="1"/>
  <c r="Z3905" i="1"/>
  <c r="Z3922" i="1"/>
  <c r="Z3935" i="1"/>
  <c r="Z3951" i="1"/>
  <c r="Z3963" i="1"/>
  <c r="Z3979" i="1"/>
  <c r="Z3995" i="1"/>
  <c r="Z4008" i="1"/>
  <c r="Z4024" i="1"/>
  <c r="Z4036" i="1"/>
  <c r="Z4052" i="1"/>
  <c r="Z4068" i="1"/>
  <c r="Z4081" i="1"/>
  <c r="Z4097" i="1"/>
  <c r="Z4109" i="1"/>
  <c r="Z4125" i="1"/>
  <c r="Z4141" i="1"/>
  <c r="Z4154" i="1"/>
  <c r="Z4170" i="1"/>
  <c r="Z4183" i="1"/>
  <c r="Z4199" i="1"/>
  <c r="Z4214" i="1"/>
  <c r="Z4225" i="1"/>
  <c r="Z4239" i="1"/>
  <c r="Z4250" i="1"/>
  <c r="Z4264" i="1"/>
  <c r="Z4278" i="1"/>
  <c r="Z4289" i="1"/>
  <c r="Z4303" i="1"/>
  <c r="Z4314" i="1"/>
  <c r="Z4328" i="1"/>
  <c r="Z4342" i="1"/>
  <c r="Z4353" i="1"/>
  <c r="Z4367" i="1"/>
  <c r="Z4378" i="1"/>
  <c r="Z4392" i="1"/>
  <c r="Z4406" i="1"/>
  <c r="Z4417" i="1"/>
  <c r="Z4431" i="1"/>
  <c r="Z4442" i="1"/>
  <c r="Z4456" i="1"/>
  <c r="Z4470" i="1"/>
  <c r="Z4481" i="1"/>
  <c r="Z4495" i="1"/>
  <c r="Z4506" i="1"/>
  <c r="Z4520" i="1"/>
  <c r="Z4534" i="1"/>
  <c r="Z4545" i="1"/>
  <c r="Z4559" i="1"/>
  <c r="Z4570" i="1"/>
  <c r="Z4584" i="1"/>
  <c r="Z4598" i="1"/>
  <c r="Z4609" i="1"/>
  <c r="Z4623" i="1"/>
  <c r="Z4634" i="1"/>
  <c r="Z976" i="1"/>
  <c r="Z1372" i="1"/>
  <c r="Z1641" i="1"/>
  <c r="Z1794" i="1"/>
  <c r="Z1902" i="1"/>
  <c r="Z1958" i="1"/>
  <c r="Z2034" i="1"/>
  <c r="Z2108" i="1"/>
  <c r="Z2163" i="1"/>
  <c r="Z2213" i="1"/>
  <c r="Z2266" i="1"/>
  <c r="Z2306" i="1"/>
  <c r="Z2349" i="1"/>
  <c r="Z2389" i="1"/>
  <c r="Z2429" i="1"/>
  <c r="Z2469" i="1"/>
  <c r="Z2509" i="1"/>
  <c r="Z2555" i="1"/>
  <c r="Z2595" i="1"/>
  <c r="Z2635" i="1"/>
  <c r="Z2675" i="1"/>
  <c r="Z2715" i="1"/>
  <c r="Z2758" i="1"/>
  <c r="Z2796" i="1"/>
  <c r="Z2829" i="1"/>
  <c r="Z2862" i="1"/>
  <c r="Z2896" i="1"/>
  <c r="Z2932" i="1"/>
  <c r="Z2961" i="1"/>
  <c r="Z2989" i="1"/>
  <c r="Z3018" i="1"/>
  <c r="Z3046" i="1"/>
  <c r="Z3078" i="1"/>
  <c r="Z3106" i="1"/>
  <c r="Z3131" i="1"/>
  <c r="Z3156" i="1"/>
  <c r="Z3181" i="1"/>
  <c r="Z3209" i="1"/>
  <c r="Z3229" i="1"/>
  <c r="Z3249" i="1"/>
  <c r="Z3269" i="1"/>
  <c r="Z3292" i="1"/>
  <c r="Z3309" i="1"/>
  <c r="Z3332" i="1"/>
  <c r="Z3349" i="1"/>
  <c r="Z3372" i="1"/>
  <c r="Z3395" i="1"/>
  <c r="Z3412" i="1"/>
  <c r="Z3435" i="1"/>
  <c r="Z3452" i="1"/>
  <c r="Z3475" i="1"/>
  <c r="Z3498" i="1"/>
  <c r="Z3515" i="1"/>
  <c r="Z3538" i="1"/>
  <c r="Z3555" i="1"/>
  <c r="Z3578" i="1"/>
  <c r="Z3601" i="1"/>
  <c r="Z3618" i="1"/>
  <c r="Z3641" i="1"/>
  <c r="Z3658" i="1"/>
  <c r="Z3681" i="1"/>
  <c r="Z3701" i="1"/>
  <c r="Z3721" i="1"/>
  <c r="Z3741" i="1"/>
  <c r="Z3761" i="1"/>
  <c r="Z3781" i="1"/>
  <c r="Z3804" i="1"/>
  <c r="Z3820" i="1"/>
  <c r="Z3840" i="1"/>
  <c r="Z3853" i="1"/>
  <c r="Z3873" i="1"/>
  <c r="Z3891" i="1"/>
  <c r="Z3906" i="1"/>
  <c r="Z3923" i="1"/>
  <c r="Z3936" i="1"/>
  <c r="Z3952" i="1"/>
  <c r="Z3968" i="1"/>
  <c r="Z3980" i="1"/>
  <c r="Z3996" i="1"/>
  <c r="Z4009" i="1"/>
  <c r="Z4025" i="1"/>
  <c r="Z4041" i="1"/>
  <c r="Z4053" i="1"/>
  <c r="Z4069" i="1"/>
  <c r="Z1013" i="1"/>
  <c r="Z1391" i="1"/>
  <c r="Z1655" i="1"/>
  <c r="Z1796" i="1"/>
  <c r="Z1906" i="1"/>
  <c r="Z1980" i="1"/>
  <c r="Z2036" i="1"/>
  <c r="Z2109" i="1"/>
  <c r="Z2164" i="1"/>
  <c r="Z2214" i="1"/>
  <c r="Z2267" i="1"/>
  <c r="Z2310" i="1"/>
  <c r="Z2350" i="1"/>
  <c r="Z2390" i="1"/>
  <c r="Z2430" i="1"/>
  <c r="Z2470" i="1"/>
  <c r="Z2516" i="1"/>
  <c r="Z2556" i="1"/>
  <c r="Z2596" i="1"/>
  <c r="Z2636" i="1"/>
  <c r="Z2676" i="1"/>
  <c r="Z2722" i="1"/>
  <c r="Z2762" i="1"/>
  <c r="Z2797" i="1"/>
  <c r="Z2830" i="1"/>
  <c r="Z2864" i="1"/>
  <c r="Z2901" i="1"/>
  <c r="Z2933" i="1"/>
  <c r="Z2962" i="1"/>
  <c r="Z2990" i="1"/>
  <c r="Z3019" i="1"/>
  <c r="Z3051" i="1"/>
  <c r="Z3080" i="1"/>
  <c r="Z3107" i="1"/>
  <c r="Z3132" i="1"/>
  <c r="Z3157" i="1"/>
  <c r="Z3185" i="1"/>
  <c r="Z3210" i="1"/>
  <c r="Z3233" i="1"/>
  <c r="Z3253" i="1"/>
  <c r="Z3273" i="1"/>
  <c r="Z3293" i="1"/>
  <c r="Z3313" i="1"/>
  <c r="Z3333" i="1"/>
  <c r="Z3356" i="1"/>
  <c r="Z3373" i="1"/>
  <c r="Z3396" i="1"/>
  <c r="Z3413" i="1"/>
  <c r="Z3436" i="1"/>
  <c r="Z3459" i="1"/>
  <c r="Z3476" i="1"/>
  <c r="Z3499" i="1"/>
  <c r="Z3516" i="1"/>
  <c r="Z3539" i="1"/>
  <c r="Z3562" i="1"/>
  <c r="Z3579" i="1"/>
  <c r="Z3602" i="1"/>
  <c r="Z3619" i="1"/>
  <c r="Z3642" i="1"/>
  <c r="Z3665" i="1"/>
  <c r="Z3682" i="1"/>
  <c r="Z3705" i="1"/>
  <c r="Z3722" i="1"/>
  <c r="Z3745" i="1"/>
  <c r="Z3765" i="1"/>
  <c r="Z3785" i="1"/>
  <c r="Z3805" i="1"/>
  <c r="Z3821" i="1"/>
  <c r="Z3841" i="1"/>
  <c r="Z1121" i="1"/>
  <c r="Z1448" i="1"/>
  <c r="Z1692" i="1"/>
  <c r="Z1822" i="1"/>
  <c r="Z1908" i="1"/>
  <c r="Z1981" i="1"/>
  <c r="Z2058" i="1"/>
  <c r="Z2114" i="1"/>
  <c r="Z2186" i="1"/>
  <c r="Z2236" i="1"/>
  <c r="Z2278" i="1"/>
  <c r="Z2324" i="1"/>
  <c r="Z2364" i="1"/>
  <c r="Z2404" i="1"/>
  <c r="Z2444" i="1"/>
  <c r="Z2484" i="1"/>
  <c r="Z2530" i="1"/>
  <c r="Z2570" i="1"/>
  <c r="Z2610" i="1"/>
  <c r="Z2650" i="1"/>
  <c r="Z2690" i="1"/>
  <c r="Z2733" i="1"/>
  <c r="Z2773" i="1"/>
  <c r="Z2808" i="1"/>
  <c r="Z2842" i="1"/>
  <c r="Z2875" i="1"/>
  <c r="Z2912" i="1"/>
  <c r="Z2942" i="1"/>
  <c r="Z2971" i="1"/>
  <c r="Z3000" i="1"/>
  <c r="Z3028" i="1"/>
  <c r="Z3060" i="1"/>
  <c r="Z3089" i="1"/>
  <c r="Z3115" i="1"/>
  <c r="Z1144" i="1"/>
  <c r="Z1476" i="1"/>
  <c r="Z1694" i="1"/>
  <c r="Z1824" i="1"/>
  <c r="Z1930" i="1"/>
  <c r="Z1986" i="1"/>
  <c r="Z2059" i="1"/>
  <c r="Z2133" i="1"/>
  <c r="Z2187" i="1"/>
  <c r="Z2237" i="1"/>
  <c r="Z2285" i="1"/>
  <c r="Z2325" i="1"/>
  <c r="Z2365" i="1"/>
  <c r="Z2405" i="1"/>
  <c r="Z2445" i="1"/>
  <c r="Z2491" i="1"/>
  <c r="Z2531" i="1"/>
  <c r="Z2571" i="1"/>
  <c r="Z2611" i="1"/>
  <c r="Z2651" i="1"/>
  <c r="Z2694" i="1"/>
  <c r="Z2734" i="1"/>
  <c r="Z2774" i="1"/>
  <c r="Z2810" i="1"/>
  <c r="Z2843" i="1"/>
  <c r="Z2880" i="1"/>
  <c r="Z2914" i="1"/>
  <c r="Z2944" i="1"/>
  <c r="Z2972" i="1"/>
  <c r="Z3001" i="1"/>
  <c r="Z3169" i="1"/>
  <c r="Z3258" i="1"/>
  <c r="Z3338" i="1"/>
  <c r="Z3421" i="1"/>
  <c r="Z3501" i="1"/>
  <c r="Z3587" i="1"/>
  <c r="Z3667" i="1"/>
  <c r="Z3747" i="1"/>
  <c r="Z3828" i="1"/>
  <c r="Z3881" i="1"/>
  <c r="Z3925" i="1"/>
  <c r="Z3969" i="1"/>
  <c r="Z4000" i="1"/>
  <c r="Z4043" i="1"/>
  <c r="Z4082" i="1"/>
  <c r="Z4114" i="1"/>
  <c r="Z4143" i="1"/>
  <c r="Z4171" i="1"/>
  <c r="Z4200" i="1"/>
  <c r="Z4226" i="1"/>
  <c r="Z4254" i="1"/>
  <c r="Z4279" i="1"/>
  <c r="Z4304" i="1"/>
  <c r="Z4329" i="1"/>
  <c r="Z4354" i="1"/>
  <c r="Z4382" i="1"/>
  <c r="Z4407" i="1"/>
  <c r="Z4432" i="1"/>
  <c r="Z4457" i="1"/>
  <c r="Z4482" i="1"/>
  <c r="Z4510" i="1"/>
  <c r="Z4535" i="1"/>
  <c r="Z4560" i="1"/>
  <c r="Z4585" i="1"/>
  <c r="Z4610" i="1"/>
  <c r="Z4638" i="1"/>
  <c r="Z4655" i="1"/>
  <c r="Z4678" i="1"/>
  <c r="Z4698" i="1"/>
  <c r="Z4718" i="1"/>
  <c r="Z4738" i="1"/>
  <c r="Z4758" i="1"/>
  <c r="Z4778" i="1"/>
  <c r="Z4801" i="1"/>
  <c r="Z4818" i="1"/>
  <c r="Z4841" i="1"/>
  <c r="Z4856" i="1"/>
  <c r="Z4874" i="1"/>
  <c r="Z4894" i="1"/>
  <c r="Z4909" i="1"/>
  <c r="Z4927" i="1"/>
  <c r="Z4942" i="1"/>
  <c r="Z4960" i="1"/>
  <c r="Z4978" i="1"/>
  <c r="Z4993" i="1"/>
  <c r="Z5013" i="1"/>
  <c r="Z5026" i="1"/>
  <c r="Z5046" i="1"/>
  <c r="Z5064" i="1"/>
  <c r="Z5079" i="1"/>
  <c r="Z5097" i="1"/>
  <c r="Z5112" i="1"/>
  <c r="Z5130" i="1"/>
  <c r="Z5150" i="1"/>
  <c r="Z5165" i="1"/>
  <c r="Z5183" i="1"/>
  <c r="Z5198" i="1"/>
  <c r="Z5214" i="1"/>
  <c r="Z5230" i="1"/>
  <c r="Z5242" i="1"/>
  <c r="Z5258" i="1"/>
  <c r="Z5271" i="1"/>
  <c r="Z5287" i="1"/>
  <c r="Z5303" i="1"/>
  <c r="Z5316" i="1"/>
  <c r="Z5332" i="1"/>
  <c r="Z5344" i="1"/>
  <c r="Z5360" i="1"/>
  <c r="Z5376" i="1"/>
  <c r="Z5389" i="1"/>
  <c r="Z5405" i="1"/>
  <c r="Z5417" i="1"/>
  <c r="Z5433" i="1"/>
  <c r="Z5449" i="1"/>
  <c r="Z5462" i="1"/>
  <c r="Z5478" i="1"/>
  <c r="Z5490" i="1"/>
  <c r="Z5506" i="1"/>
  <c r="Z5522" i="1"/>
  <c r="Z5535" i="1"/>
  <c r="Z5551" i="1"/>
  <c r="Z5564" i="1"/>
  <c r="Z5580" i="1"/>
  <c r="Z5596" i="1"/>
  <c r="Z5608" i="1"/>
  <c r="Z5624" i="1"/>
  <c r="Z5637" i="1"/>
  <c r="Z5653" i="1"/>
  <c r="Z5669" i="1"/>
  <c r="Z5681" i="1"/>
  <c r="Z5697" i="1"/>
  <c r="Z5710" i="1"/>
  <c r="Z5726" i="1"/>
  <c r="Z5742" i="1"/>
  <c r="Z5754" i="1"/>
  <c r="Z5770" i="1"/>
  <c r="Z5783" i="1"/>
  <c r="Z5799" i="1"/>
  <c r="Z5815" i="1"/>
  <c r="Z5828" i="1"/>
  <c r="Z5844" i="1"/>
  <c r="Z5856" i="1"/>
  <c r="Z5872" i="1"/>
  <c r="Z5888" i="1"/>
  <c r="Z5901" i="1"/>
  <c r="Z5917" i="1"/>
  <c r="Z5929" i="1"/>
  <c r="Z5945" i="1"/>
  <c r="Z5961" i="1"/>
  <c r="Z5974" i="1"/>
  <c r="Z5990" i="1"/>
  <c r="Z6002" i="1"/>
  <c r="Z6018" i="1"/>
  <c r="Z6034" i="1"/>
  <c r="Z6047" i="1"/>
  <c r="Z6063" i="1"/>
  <c r="Z6074" i="1"/>
  <c r="Z6088" i="1"/>
  <c r="Z6102" i="1"/>
  <c r="Z6113" i="1"/>
  <c r="Z6127" i="1"/>
  <c r="Z6138" i="1"/>
  <c r="Z6152" i="1"/>
  <c r="Z6166" i="1"/>
  <c r="Z6177" i="1"/>
  <c r="Z6191" i="1"/>
  <c r="Z6202" i="1"/>
  <c r="Z6216" i="1"/>
  <c r="Z6230" i="1"/>
  <c r="Z6241" i="1"/>
  <c r="Z6255" i="1"/>
  <c r="Z6266" i="1"/>
  <c r="Z6280" i="1"/>
  <c r="Z6294" i="1"/>
  <c r="Z6305" i="1"/>
  <c r="Z6319" i="1"/>
  <c r="Z6330" i="1"/>
  <c r="Z6344" i="1"/>
  <c r="Z6358" i="1"/>
  <c r="Z6369" i="1"/>
  <c r="Z6383" i="1"/>
  <c r="Z6394" i="1"/>
  <c r="Z6408" i="1"/>
  <c r="Z6422" i="1"/>
  <c r="Z6433" i="1"/>
  <c r="Z6447" i="1"/>
  <c r="Z6458" i="1"/>
  <c r="Z6472" i="1"/>
  <c r="Z6486" i="1"/>
  <c r="Z6497" i="1"/>
  <c r="Z6511" i="1"/>
  <c r="Z6522" i="1"/>
  <c r="Z6536" i="1"/>
  <c r="Z6550" i="1"/>
  <c r="Z6561" i="1"/>
  <c r="Z6575" i="1"/>
  <c r="Z6586" i="1"/>
  <c r="Z6600" i="1"/>
  <c r="Z6614" i="1"/>
  <c r="Z6625" i="1"/>
  <c r="Z6639" i="1"/>
  <c r="Z6650" i="1"/>
  <c r="Z6664" i="1"/>
  <c r="Z6678" i="1"/>
  <c r="Z6689" i="1"/>
  <c r="Z6703" i="1"/>
  <c r="Z6714" i="1"/>
  <c r="Z6728" i="1"/>
  <c r="Z6742" i="1"/>
  <c r="Z6753" i="1"/>
  <c r="Z6767" i="1"/>
  <c r="Z6777" i="1"/>
  <c r="Z6789" i="1"/>
  <c r="Z6799" i="1"/>
  <c r="Z6809" i="1"/>
  <c r="Z6821" i="1"/>
  <c r="Z6831" i="1"/>
  <c r="Z6841" i="1"/>
  <c r="Z6853" i="1"/>
  <c r="Z6863" i="1"/>
  <c r="Z6873" i="1"/>
  <c r="Z6885" i="1"/>
  <c r="Z6895" i="1"/>
  <c r="Z6905" i="1"/>
  <c r="Z6917" i="1"/>
  <c r="Z6927" i="1"/>
  <c r="Z6937" i="1"/>
  <c r="Z6949" i="1"/>
  <c r="Z6959" i="1"/>
  <c r="Z6969" i="1"/>
  <c r="Z6981" i="1"/>
  <c r="Z6991" i="1"/>
  <c r="Z7001" i="1"/>
  <c r="Z7013" i="1"/>
  <c r="Z7023" i="1"/>
  <c r="Z7033" i="1"/>
  <c r="Z7045" i="1"/>
  <c r="Z7055" i="1"/>
  <c r="Z7065" i="1"/>
  <c r="Z7077" i="1"/>
  <c r="Z7087" i="1"/>
  <c r="Z7097" i="1"/>
  <c r="Z7109" i="1"/>
  <c r="Z7119" i="1"/>
  <c r="Z7129" i="1"/>
  <c r="Z7141" i="1"/>
  <c r="Z7151" i="1"/>
  <c r="Z7161" i="1"/>
  <c r="Z7173" i="1"/>
  <c r="Z7183" i="1"/>
  <c r="Z7193" i="1"/>
  <c r="Z7202" i="1"/>
  <c r="Z7212" i="1"/>
  <c r="Z7221" i="1"/>
  <c r="Z7230" i="1"/>
  <c r="Z7239" i="1"/>
  <c r="Z7248" i="1"/>
  <c r="Z7257" i="1"/>
  <c r="Z7266" i="1"/>
  <c r="Z7276" i="1"/>
  <c r="Z7285" i="1"/>
  <c r="Z7294" i="1"/>
  <c r="Z7303" i="1"/>
  <c r="Z7312" i="1"/>
  <c r="Z7321" i="1"/>
  <c r="Z7330" i="1"/>
  <c r="Z7340" i="1"/>
  <c r="Z7349" i="1"/>
  <c r="Z7358" i="1"/>
  <c r="Z7367" i="1"/>
  <c r="Z7376" i="1"/>
  <c r="Z7385" i="1"/>
  <c r="Z7394" i="1"/>
  <c r="Z7404" i="1"/>
  <c r="Z7413" i="1"/>
  <c r="Z7422" i="1"/>
  <c r="Z7431" i="1"/>
  <c r="Z7440" i="1"/>
  <c r="Z7449" i="1"/>
  <c r="Z7458" i="1"/>
  <c r="Z7468" i="1"/>
  <c r="Z7477" i="1"/>
  <c r="Z7486" i="1"/>
  <c r="Z7495" i="1"/>
  <c r="Z7504" i="1"/>
  <c r="Z7513" i="1"/>
  <c r="Z7522" i="1"/>
  <c r="Z7532" i="1"/>
  <c r="Z7541" i="1"/>
  <c r="Z7550" i="1"/>
  <c r="Z7559" i="1"/>
  <c r="Z7568" i="1"/>
  <c r="Z7577" i="1"/>
  <c r="Z7586" i="1"/>
  <c r="Z7596" i="1"/>
  <c r="Z7605" i="1"/>
  <c r="Z7614" i="1"/>
  <c r="Z7623" i="1"/>
  <c r="Z7632" i="1"/>
  <c r="Z7641" i="1"/>
  <c r="Z7650" i="1"/>
  <c r="Z7660" i="1"/>
  <c r="Z7669" i="1"/>
  <c r="Z7678" i="1"/>
  <c r="Z7687" i="1"/>
  <c r="Z7696" i="1"/>
  <c r="Z7705" i="1"/>
  <c r="Z7714" i="1"/>
  <c r="Z7724" i="1"/>
  <c r="Z7733" i="1"/>
  <c r="Z7742" i="1"/>
  <c r="Z7751" i="1"/>
  <c r="Z7760" i="1"/>
  <c r="Z7769" i="1"/>
  <c r="Z7778" i="1"/>
  <c r="Z7788" i="1"/>
  <c r="Z7797" i="1"/>
  <c r="Z7806" i="1"/>
  <c r="Z7815" i="1"/>
  <c r="Z7824" i="1"/>
  <c r="Z7833" i="1"/>
  <c r="Z7842" i="1"/>
  <c r="Z7852" i="1"/>
  <c r="Z7861" i="1"/>
  <c r="Z7870" i="1"/>
  <c r="Z7879" i="1"/>
  <c r="Z7888" i="1"/>
  <c r="Z7897" i="1"/>
  <c r="Z7906" i="1"/>
  <c r="Z7916" i="1"/>
  <c r="Z7925" i="1"/>
  <c r="Z7934" i="1"/>
  <c r="Z7943" i="1"/>
  <c r="Z7952" i="1"/>
  <c r="Z7961" i="1"/>
  <c r="Z7970" i="1"/>
  <c r="Z7979" i="1"/>
  <c r="Z7987" i="1"/>
  <c r="Z7995" i="1"/>
  <c r="Z8003" i="1"/>
  <c r="Z8011" i="1"/>
  <c r="Z8019" i="1"/>
  <c r="Z8027" i="1"/>
  <c r="Z8035" i="1"/>
  <c r="Z8043" i="1"/>
  <c r="Z8051" i="1"/>
  <c r="Z8059" i="1"/>
  <c r="Z8067" i="1"/>
  <c r="Z8075" i="1"/>
  <c r="Z8083" i="1"/>
  <c r="Z8091" i="1"/>
  <c r="Z8099" i="1"/>
  <c r="Z8107" i="1"/>
  <c r="Z8115" i="1"/>
  <c r="Z8123" i="1"/>
  <c r="Z8131" i="1"/>
  <c r="Z8139" i="1"/>
  <c r="Z8147" i="1"/>
  <c r="Z8155" i="1"/>
  <c r="Z8163" i="1"/>
  <c r="Z8171" i="1"/>
  <c r="Z8179" i="1"/>
  <c r="Z8187" i="1"/>
  <c r="Z8195" i="1"/>
  <c r="Z8203" i="1"/>
  <c r="Z8211" i="1"/>
  <c r="Z8219" i="1"/>
  <c r="Z8227" i="1"/>
  <c r="Z8235" i="1"/>
  <c r="Z8243" i="1"/>
  <c r="Z8251" i="1"/>
  <c r="Z8259" i="1"/>
  <c r="Z8267" i="1"/>
  <c r="Z8275" i="1"/>
  <c r="Z8283" i="1"/>
  <c r="Z8291" i="1"/>
  <c r="Z8299" i="1"/>
  <c r="Z8307" i="1"/>
  <c r="Z8315" i="1"/>
  <c r="Z8323" i="1"/>
  <c r="Z8331" i="1"/>
  <c r="Z8339" i="1"/>
  <c r="Z8347" i="1"/>
  <c r="Z8355" i="1"/>
  <c r="Z8363" i="1"/>
  <c r="Z8371" i="1"/>
  <c r="Z8379" i="1"/>
  <c r="Z8387" i="1"/>
  <c r="Z8395" i="1"/>
  <c r="Z8403" i="1"/>
  <c r="Z8411" i="1"/>
  <c r="Z8419" i="1"/>
  <c r="Z8427" i="1"/>
  <c r="Z8435" i="1"/>
  <c r="Z8443" i="1"/>
  <c r="Z8451" i="1"/>
  <c r="Z8459" i="1"/>
  <c r="Z8467" i="1"/>
  <c r="Z8475" i="1"/>
  <c r="Z8483" i="1"/>
  <c r="Z8491" i="1"/>
  <c r="Z8499" i="1"/>
  <c r="Z8507" i="1"/>
  <c r="Z8515" i="1"/>
  <c r="Z8523" i="1"/>
  <c r="Z8531" i="1"/>
  <c r="Z8539" i="1"/>
  <c r="Z8547" i="1"/>
  <c r="Z8555" i="1"/>
  <c r="Z8563" i="1"/>
  <c r="Z8571" i="1"/>
  <c r="Z8579" i="1"/>
  <c r="Z8587" i="1"/>
  <c r="Z8595" i="1"/>
  <c r="Z8603" i="1"/>
  <c r="Z8611" i="1"/>
  <c r="Z8619" i="1"/>
  <c r="Z8627" i="1"/>
  <c r="Z8635" i="1"/>
  <c r="Z8643" i="1"/>
  <c r="Z8651" i="1"/>
  <c r="Z8659" i="1"/>
  <c r="Z8667" i="1"/>
  <c r="Z8675" i="1"/>
  <c r="Z8683" i="1"/>
  <c r="Z8691" i="1"/>
  <c r="Z8699" i="1"/>
  <c r="Z8707" i="1"/>
  <c r="Z8715" i="1"/>
  <c r="Z8723" i="1"/>
  <c r="Z8731" i="1"/>
  <c r="Z8739" i="1"/>
  <c r="Z8747" i="1"/>
  <c r="Z8755" i="1"/>
  <c r="Z8763" i="1"/>
  <c r="Z8771" i="1"/>
  <c r="Z8779" i="1"/>
  <c r="Z8787" i="1"/>
  <c r="Z8795" i="1"/>
  <c r="Z8803" i="1"/>
  <c r="Z8811" i="1"/>
  <c r="Z8819" i="1"/>
  <c r="Z8827" i="1"/>
  <c r="Z8835" i="1"/>
  <c r="Z8843" i="1"/>
  <c r="Z8851" i="1"/>
  <c r="Z8859" i="1"/>
  <c r="Z8867" i="1"/>
  <c r="Z8875" i="1"/>
  <c r="Z8883" i="1"/>
  <c r="Z8891" i="1"/>
  <c r="Z8899" i="1"/>
  <c r="Z8907" i="1"/>
  <c r="Z8915" i="1"/>
  <c r="Z8923" i="1"/>
  <c r="Z8931" i="1"/>
  <c r="Z8939" i="1"/>
  <c r="Z8947" i="1"/>
  <c r="Z8955" i="1"/>
  <c r="Z8963" i="1"/>
  <c r="Z8971" i="1"/>
  <c r="Z8979" i="1"/>
  <c r="Z8987" i="1"/>
  <c r="Z8995" i="1"/>
  <c r="Z9003" i="1"/>
  <c r="Z9011" i="1"/>
  <c r="Z9019" i="1"/>
  <c r="Z9027" i="1"/>
  <c r="Z9035" i="1"/>
  <c r="Z9043" i="1"/>
  <c r="Z9051" i="1"/>
  <c r="Z9059" i="1"/>
  <c r="Z9067" i="1"/>
  <c r="Z9075" i="1"/>
  <c r="Z9083" i="1"/>
  <c r="Z9091" i="1"/>
  <c r="Z9099" i="1"/>
  <c r="Z9107" i="1"/>
  <c r="Z9115" i="1"/>
  <c r="Z9123" i="1"/>
  <c r="Z9131" i="1"/>
  <c r="Z9139" i="1"/>
  <c r="Z9147" i="1"/>
  <c r="Z9155" i="1"/>
  <c r="Z9163" i="1"/>
  <c r="Z9171" i="1"/>
  <c r="Z9179" i="1"/>
  <c r="Z9187" i="1"/>
  <c r="Z9195" i="1"/>
  <c r="Z9203" i="1"/>
  <c r="Z9211" i="1"/>
  <c r="Z9219" i="1"/>
  <c r="Z9227" i="1"/>
  <c r="Z9235" i="1"/>
  <c r="Z9243" i="1"/>
  <c r="Z9251" i="1"/>
  <c r="Z9259" i="1"/>
  <c r="Z9267" i="1"/>
  <c r="Z9275" i="1"/>
  <c r="Z9283" i="1"/>
  <c r="Z9291" i="1"/>
  <c r="Z9299" i="1"/>
  <c r="Z9307" i="1"/>
  <c r="Z9315" i="1"/>
  <c r="Z9323" i="1"/>
  <c r="Z9331" i="1"/>
  <c r="Z9339" i="1"/>
  <c r="Z9347" i="1"/>
  <c r="Z9355" i="1"/>
  <c r="Z9363" i="1"/>
  <c r="Z9371" i="1"/>
  <c r="Z9379" i="1"/>
  <c r="Z9387" i="1"/>
  <c r="Z9395" i="1"/>
  <c r="Z9403" i="1"/>
  <c r="Z9411" i="1"/>
  <c r="Z9419" i="1"/>
  <c r="Z9427" i="1"/>
  <c r="Z9435" i="1"/>
  <c r="Z9443" i="1"/>
  <c r="Z9451" i="1"/>
  <c r="Z9459" i="1"/>
  <c r="Z9467" i="1"/>
  <c r="Z9475" i="1"/>
  <c r="Z9483" i="1"/>
  <c r="Z9491" i="1"/>
  <c r="Z9499" i="1"/>
  <c r="Z9507" i="1"/>
  <c r="Z9515" i="1"/>
  <c r="Z9523" i="1"/>
  <c r="Z9531" i="1"/>
  <c r="Z9539" i="1"/>
  <c r="Z9547" i="1"/>
  <c r="Z9555" i="1"/>
  <c r="Z9563" i="1"/>
  <c r="Z9571" i="1"/>
  <c r="Z9579" i="1"/>
  <c r="Z9587" i="1"/>
  <c r="Z9595" i="1"/>
  <c r="Z9603" i="1"/>
  <c r="Z3033" i="1"/>
  <c r="Z3193" i="1"/>
  <c r="Z3274" i="1"/>
  <c r="Z3357" i="1"/>
  <c r="Z3437" i="1"/>
  <c r="Z3523" i="1"/>
  <c r="Z3603" i="1"/>
  <c r="Z3683" i="1"/>
  <c r="Z3769" i="1"/>
  <c r="Z3842" i="1"/>
  <c r="Z3892" i="1"/>
  <c r="Z3927" i="1"/>
  <c r="Z3970" i="1"/>
  <c r="Z4013" i="1"/>
  <c r="Z4044" i="1"/>
  <c r="Z4087" i="1"/>
  <c r="Z4115" i="1"/>
  <c r="Z4144" i="1"/>
  <c r="Z4172" i="1"/>
  <c r="Z4201" i="1"/>
  <c r="Z4230" i="1"/>
  <c r="Z4255" i="1"/>
  <c r="Z4280" i="1"/>
  <c r="Z4305" i="1"/>
  <c r="Z4330" i="1"/>
  <c r="Z4358" i="1"/>
  <c r="Z4383" i="1"/>
  <c r="Z4408" i="1"/>
  <c r="Z4433" i="1"/>
  <c r="Z4458" i="1"/>
  <c r="Z4486" i="1"/>
  <c r="Z4511" i="1"/>
  <c r="Z4536" i="1"/>
  <c r="Z4561" i="1"/>
  <c r="Z4586" i="1"/>
  <c r="Z4614" i="1"/>
  <c r="Z4639" i="1"/>
  <c r="Z4662" i="1"/>
  <c r="Z4679" i="1"/>
  <c r="Z4702" i="1"/>
  <c r="Z4719" i="1"/>
  <c r="Z4742" i="1"/>
  <c r="Z4762" i="1"/>
  <c r="Z4782" i="1"/>
  <c r="Z4802" i="1"/>
  <c r="Z4822" i="1"/>
  <c r="Z4842" i="1"/>
  <c r="Z4862" i="1"/>
  <c r="Z4877" i="1"/>
  <c r="Z4895" i="1"/>
  <c r="Z4910" i="1"/>
  <c r="Z4928" i="1"/>
  <c r="Z4946" i="1"/>
  <c r="Z4961" i="1"/>
  <c r="Z4981" i="1"/>
  <c r="Z4994" i="1"/>
  <c r="Z5014" i="1"/>
  <c r="Z5032" i="1"/>
  <c r="Z5047" i="1"/>
  <c r="Z5065" i="1"/>
  <c r="Z5080" i="1"/>
  <c r="Z5098" i="1"/>
  <c r="Z5118" i="1"/>
  <c r="Z5133" i="1"/>
  <c r="Z5151" i="1"/>
  <c r="Z5166" i="1"/>
  <c r="Z5184" i="1"/>
  <c r="Z5202" i="1"/>
  <c r="Z5215" i="1"/>
  <c r="Z5231" i="1"/>
  <c r="Z5244" i="1"/>
  <c r="Z5260" i="1"/>
  <c r="Z5276" i="1"/>
  <c r="Z5288" i="1"/>
  <c r="Z5304" i="1"/>
  <c r="Z5317" i="1"/>
  <c r="Z5333" i="1"/>
  <c r="Z5349" i="1"/>
  <c r="Z5361" i="1"/>
  <c r="Z5377" i="1"/>
  <c r="Z5390" i="1"/>
  <c r="Z5406" i="1"/>
  <c r="Z5422" i="1"/>
  <c r="Z5434" i="1"/>
  <c r="Z5450" i="1"/>
  <c r="Z5463" i="1"/>
  <c r="Z5479" i="1"/>
  <c r="Z5495" i="1"/>
  <c r="Z5508" i="1"/>
  <c r="Z5524" i="1"/>
  <c r="Z5536" i="1"/>
  <c r="Z5552" i="1"/>
  <c r="Z5568" i="1"/>
  <c r="Z5581" i="1"/>
  <c r="Z5597" i="1"/>
  <c r="Z5609" i="1"/>
  <c r="Z5625" i="1"/>
  <c r="Z5641" i="1"/>
  <c r="Z5654" i="1"/>
  <c r="Z5670" i="1"/>
  <c r="Z5682" i="1"/>
  <c r="Z5698" i="1"/>
  <c r="Z5714" i="1"/>
  <c r="Z5727" i="1"/>
  <c r="Z5743" i="1"/>
  <c r="Z5756" i="1"/>
  <c r="Z5772" i="1"/>
  <c r="Z5788" i="1"/>
  <c r="Z5800" i="1"/>
  <c r="Z5816" i="1"/>
  <c r="Z5829" i="1"/>
  <c r="Z5845" i="1"/>
  <c r="Z5861" i="1"/>
  <c r="Z5873" i="1"/>
  <c r="Z5889" i="1"/>
  <c r="Z5902" i="1"/>
  <c r="Z5918" i="1"/>
  <c r="Z5934" i="1"/>
  <c r="Z5946" i="1"/>
  <c r="Z5962" i="1"/>
  <c r="Z5975" i="1"/>
  <c r="Z5991" i="1"/>
  <c r="Z6007" i="1"/>
  <c r="Z6020" i="1"/>
  <c r="Z6036" i="1"/>
  <c r="Z6048" i="1"/>
  <c r="Z6064" i="1"/>
  <c r="Z6078" i="1"/>
  <c r="Z6089" i="1"/>
  <c r="Z6103" i="1"/>
  <c r="Z6114" i="1"/>
  <c r="Z6128" i="1"/>
  <c r="Z6142" i="1"/>
  <c r="Z6153" i="1"/>
  <c r="Z6167" i="1"/>
  <c r="Z6178" i="1"/>
  <c r="Z6192" i="1"/>
  <c r="Z6206" i="1"/>
  <c r="Z6217" i="1"/>
  <c r="Z6231" i="1"/>
  <c r="Z6242" i="1"/>
  <c r="Z6256" i="1"/>
  <c r="Z6270" i="1"/>
  <c r="Z6281" i="1"/>
  <c r="Z6295" i="1"/>
  <c r="Z6306" i="1"/>
  <c r="Z6320" i="1"/>
  <c r="Z6334" i="1"/>
  <c r="Z6345" i="1"/>
  <c r="Z6359" i="1"/>
  <c r="Z6370" i="1"/>
  <c r="Z6384" i="1"/>
  <c r="Z6398" i="1"/>
  <c r="Z6409" i="1"/>
  <c r="Z6423" i="1"/>
  <c r="Z6434" i="1"/>
  <c r="Z6448" i="1"/>
  <c r="Z6462" i="1"/>
  <c r="Z6473" i="1"/>
  <c r="Z6487" i="1"/>
  <c r="Z6498" i="1"/>
  <c r="Z6512" i="1"/>
  <c r="Z6526" i="1"/>
  <c r="Z6537" i="1"/>
  <c r="Z6551" i="1"/>
  <c r="Z6562" i="1"/>
  <c r="Z6576" i="1"/>
  <c r="Z6590" i="1"/>
  <c r="Z6601" i="1"/>
  <c r="Z6615" i="1"/>
  <c r="Z6626" i="1"/>
  <c r="Z6640" i="1"/>
  <c r="Z6654" i="1"/>
  <c r="Z6665" i="1"/>
  <c r="Z6679" i="1"/>
  <c r="Z6690" i="1"/>
  <c r="Z6704" i="1"/>
  <c r="Z6718" i="1"/>
  <c r="Z6729" i="1"/>
  <c r="Z6743" i="1"/>
  <c r="Z6754" i="1"/>
  <c r="Z6768" i="1"/>
  <c r="Z6778" i="1"/>
  <c r="Z6790" i="1"/>
  <c r="Z6800" i="1"/>
  <c r="Z6810" i="1"/>
  <c r="Z6822" i="1"/>
  <c r="Z6832" i="1"/>
  <c r="Z6842" i="1"/>
  <c r="Z6854" i="1"/>
  <c r="Z6864" i="1"/>
  <c r="Z6874" i="1"/>
  <c r="Z6886" i="1"/>
  <c r="Z6896" i="1"/>
  <c r="Z6906" i="1"/>
  <c r="Z6918" i="1"/>
  <c r="Z6928" i="1"/>
  <c r="Z6938" i="1"/>
  <c r="Z6950" i="1"/>
  <c r="Z6960" i="1"/>
  <c r="Z6970" i="1"/>
  <c r="Z6982" i="1"/>
  <c r="Z6992" i="1"/>
  <c r="Z7002" i="1"/>
  <c r="Z7014" i="1"/>
  <c r="Z7024" i="1"/>
  <c r="Z7034" i="1"/>
  <c r="Z7046" i="1"/>
  <c r="Z7056" i="1"/>
  <c r="Z7066" i="1"/>
  <c r="Z7078" i="1"/>
  <c r="Z7088" i="1"/>
  <c r="Z7098" i="1"/>
  <c r="Z7110" i="1"/>
  <c r="Z7120" i="1"/>
  <c r="Z7130" i="1"/>
  <c r="Z7142" i="1"/>
  <c r="Z7152" i="1"/>
  <c r="Z7162" i="1"/>
  <c r="Z7174" i="1"/>
  <c r="Z7184" i="1"/>
  <c r="Z7194" i="1"/>
  <c r="Z7204" i="1"/>
  <c r="Z7213" i="1"/>
  <c r="Z7222" i="1"/>
  <c r="Z7231" i="1"/>
  <c r="Z7240" i="1"/>
  <c r="Z7249" i="1"/>
  <c r="Z7258" i="1"/>
  <c r="Z7268" i="1"/>
  <c r="Z7277" i="1"/>
  <c r="Z7286" i="1"/>
  <c r="Z7295" i="1"/>
  <c r="Z7304" i="1"/>
  <c r="Z7313" i="1"/>
  <c r="Z7322" i="1"/>
  <c r="Z7332" i="1"/>
  <c r="Z7341" i="1"/>
  <c r="Z7350" i="1"/>
  <c r="Z7359" i="1"/>
  <c r="Z7368" i="1"/>
  <c r="Z7377" i="1"/>
  <c r="Z7386" i="1"/>
  <c r="Z7396" i="1"/>
  <c r="Z7405" i="1"/>
  <c r="Z7414" i="1"/>
  <c r="Z7423" i="1"/>
  <c r="Z7432" i="1"/>
  <c r="Z7441" i="1"/>
  <c r="Z7450" i="1"/>
  <c r="Z7460" i="1"/>
  <c r="Z7469" i="1"/>
  <c r="Z7478" i="1"/>
  <c r="Z7487" i="1"/>
  <c r="Z7496" i="1"/>
  <c r="Z7505" i="1"/>
  <c r="Z7514" i="1"/>
  <c r="Z7524" i="1"/>
  <c r="Z7533" i="1"/>
  <c r="Z7542" i="1"/>
  <c r="Z7551" i="1"/>
  <c r="Z7560" i="1"/>
  <c r="Z7569" i="1"/>
  <c r="Z7578" i="1"/>
  <c r="Z7588" i="1"/>
  <c r="Z7597" i="1"/>
  <c r="Z7606" i="1"/>
  <c r="Z7615" i="1"/>
  <c r="Z7624" i="1"/>
  <c r="Z7633" i="1"/>
  <c r="Z7642" i="1"/>
  <c r="Z7652" i="1"/>
  <c r="Z7661" i="1"/>
  <c r="Z7670" i="1"/>
  <c r="Z7679" i="1"/>
  <c r="Z7688" i="1"/>
  <c r="Z7697" i="1"/>
  <c r="Z7706" i="1"/>
  <c r="Z7716" i="1"/>
  <c r="Z7725" i="1"/>
  <c r="Z7734" i="1"/>
  <c r="Z7743" i="1"/>
  <c r="Z7752" i="1"/>
  <c r="Z7761" i="1"/>
  <c r="Z7770" i="1"/>
  <c r="Z7780" i="1"/>
  <c r="Z7789" i="1"/>
  <c r="Z7798" i="1"/>
  <c r="Z7807" i="1"/>
  <c r="Z7816" i="1"/>
  <c r="Z7825" i="1"/>
  <c r="Z7834" i="1"/>
  <c r="Z7844" i="1"/>
  <c r="Z7853" i="1"/>
  <c r="Z7862" i="1"/>
  <c r="Z7871" i="1"/>
  <c r="Z7880" i="1"/>
  <c r="Z7889" i="1"/>
  <c r="Z7898" i="1"/>
  <c r="Z7908" i="1"/>
  <c r="Z7917" i="1"/>
  <c r="Z7926" i="1"/>
  <c r="Z7935" i="1"/>
  <c r="Z7944" i="1"/>
  <c r="Z7953" i="1"/>
  <c r="Z7962" i="1"/>
  <c r="Z7972" i="1"/>
  <c r="Z7980" i="1"/>
  <c r="Z7988" i="1"/>
  <c r="Z7996" i="1"/>
  <c r="Z8004" i="1"/>
  <c r="Z8012" i="1"/>
  <c r="Z8020" i="1"/>
  <c r="Z8028" i="1"/>
  <c r="Z8036" i="1"/>
  <c r="Z8044" i="1"/>
  <c r="Z8052" i="1"/>
  <c r="Z8060" i="1"/>
  <c r="Z8068" i="1"/>
  <c r="Z8076" i="1"/>
  <c r="Z8084" i="1"/>
  <c r="Z8092" i="1"/>
  <c r="Z8100" i="1"/>
  <c r="Z8108" i="1"/>
  <c r="Z8116" i="1"/>
  <c r="Z8124" i="1"/>
  <c r="Z8132" i="1"/>
  <c r="Z8140" i="1"/>
  <c r="Z8148" i="1"/>
  <c r="Z8156" i="1"/>
  <c r="Z8164" i="1"/>
  <c r="Z8172" i="1"/>
  <c r="Z8180" i="1"/>
  <c r="Z8188" i="1"/>
  <c r="Z8196" i="1"/>
  <c r="Z8204" i="1"/>
  <c r="Z8212" i="1"/>
  <c r="Z8220" i="1"/>
  <c r="Z8228" i="1"/>
  <c r="Z8236" i="1"/>
  <c r="Z8244" i="1"/>
  <c r="Z8252" i="1"/>
  <c r="Z8260" i="1"/>
  <c r="Z8268" i="1"/>
  <c r="Z8276" i="1"/>
  <c r="Z8284" i="1"/>
  <c r="Z8292" i="1"/>
  <c r="Z8300" i="1"/>
  <c r="Z8308" i="1"/>
  <c r="Z8316" i="1"/>
  <c r="Z8324" i="1"/>
  <c r="Z8332" i="1"/>
  <c r="Z8340" i="1"/>
  <c r="Z8348" i="1"/>
  <c r="Z8356" i="1"/>
  <c r="Z8364" i="1"/>
  <c r="Z8372" i="1"/>
  <c r="Z8380" i="1"/>
  <c r="Z8388" i="1"/>
  <c r="Z8396" i="1"/>
  <c r="Z8404" i="1"/>
  <c r="Z8412" i="1"/>
  <c r="Z8420" i="1"/>
  <c r="Z8428" i="1"/>
  <c r="Z8436" i="1"/>
  <c r="Z8444" i="1"/>
  <c r="Z8452" i="1"/>
  <c r="Z8460" i="1"/>
  <c r="Z8468" i="1"/>
  <c r="Z8476" i="1"/>
  <c r="Z8484" i="1"/>
  <c r="Z8492" i="1"/>
  <c r="Z8500" i="1"/>
  <c r="Z8508" i="1"/>
  <c r="Z8516" i="1"/>
  <c r="Z8524" i="1"/>
  <c r="Z8532" i="1"/>
  <c r="Z8540" i="1"/>
  <c r="Z8548" i="1"/>
  <c r="Z8556" i="1"/>
  <c r="Z8564" i="1"/>
  <c r="Z8572" i="1"/>
  <c r="Z8580" i="1"/>
  <c r="Z8588" i="1"/>
  <c r="Z8596" i="1"/>
  <c r="Z8604" i="1"/>
  <c r="Z8612" i="1"/>
  <c r="Z8620" i="1"/>
  <c r="Z8628" i="1"/>
  <c r="Z8636" i="1"/>
  <c r="Z8644" i="1"/>
  <c r="Z8652" i="1"/>
  <c r="Z8660" i="1"/>
  <c r="Z8668" i="1"/>
  <c r="Z8676" i="1"/>
  <c r="Z8684" i="1"/>
  <c r="Z8692" i="1"/>
  <c r="Z8700" i="1"/>
  <c r="Z8708" i="1"/>
  <c r="Z8716" i="1"/>
  <c r="Z8724" i="1"/>
  <c r="Z8732" i="1"/>
  <c r="Z8740" i="1"/>
  <c r="Z3061" i="1"/>
  <c r="Z3194" i="1"/>
  <c r="Z3281" i="1"/>
  <c r="Z3361" i="1"/>
  <c r="Z3441" i="1"/>
  <c r="Z3524" i="1"/>
  <c r="Z3604" i="1"/>
  <c r="Z3690" i="1"/>
  <c r="Z3770" i="1"/>
  <c r="Z3843" i="1"/>
  <c r="Z3893" i="1"/>
  <c r="Z3940" i="1"/>
  <c r="Z3971" i="1"/>
  <c r="Z4015" i="1"/>
  <c r="Z4055" i="1"/>
  <c r="Z4088" i="1"/>
  <c r="Z4116" i="1"/>
  <c r="Z4145" i="1"/>
  <c r="Z4173" i="1"/>
  <c r="Z4205" i="1"/>
  <c r="Z4231" i="1"/>
  <c r="Z4256" i="1"/>
  <c r="Z4281" i="1"/>
  <c r="Z4306" i="1"/>
  <c r="Z4334" i="1"/>
  <c r="Z4359" i="1"/>
  <c r="Z4384" i="1"/>
  <c r="Z4409" i="1"/>
  <c r="Z4434" i="1"/>
  <c r="Z4462" i="1"/>
  <c r="Z4487" i="1"/>
  <c r="Z4512" i="1"/>
  <c r="Z4537" i="1"/>
  <c r="Z4562" i="1"/>
  <c r="Z4590" i="1"/>
  <c r="Z4615" i="1"/>
  <c r="Z4640" i="1"/>
  <c r="Z4663" i="1"/>
  <c r="Z4680" i="1"/>
  <c r="Z4703" i="1"/>
  <c r="Z4726" i="1"/>
  <c r="Z4743" i="1"/>
  <c r="Z4766" i="1"/>
  <c r="Z4783" i="1"/>
  <c r="Z4806" i="1"/>
  <c r="Z4826" i="1"/>
  <c r="Z4845" i="1"/>
  <c r="Z4863" i="1"/>
  <c r="Z4878" i="1"/>
  <c r="Z4896" i="1"/>
  <c r="Z4914" i="1"/>
  <c r="Z4929" i="1"/>
  <c r="Z4949" i="1"/>
  <c r="Z4962" i="1"/>
  <c r="Z4982" i="1"/>
  <c r="Z5000" i="1"/>
  <c r="Z5015" i="1"/>
  <c r="Z5033" i="1"/>
  <c r="Z5048" i="1"/>
  <c r="Z5066" i="1"/>
  <c r="Z5086" i="1"/>
  <c r="Z5101" i="1"/>
  <c r="Z5119" i="1"/>
  <c r="Z5134" i="1"/>
  <c r="Z5152" i="1"/>
  <c r="Z5170" i="1"/>
  <c r="Z5185" i="1"/>
  <c r="Z5204" i="1"/>
  <c r="Z5216" i="1"/>
  <c r="Z5232" i="1"/>
  <c r="Z5248" i="1"/>
  <c r="Z5261" i="1"/>
  <c r="Z5277" i="1"/>
  <c r="Z5289" i="1"/>
  <c r="Z5305" i="1"/>
  <c r="Z5321" i="1"/>
  <c r="Z5334" i="1"/>
  <c r="Z5350" i="1"/>
  <c r="Z5362" i="1"/>
  <c r="Z5378" i="1"/>
  <c r="Z5394" i="1"/>
  <c r="Z5407" i="1"/>
  <c r="Z5423" i="1"/>
  <c r="Z5436" i="1"/>
  <c r="Z5452" i="1"/>
  <c r="Z5468" i="1"/>
  <c r="Z5480" i="1"/>
  <c r="Z5496" i="1"/>
  <c r="Z5509" i="1"/>
  <c r="Z5525" i="1"/>
  <c r="Z5541" i="1"/>
  <c r="Z5553" i="1"/>
  <c r="Z5569" i="1"/>
  <c r="Z5582" i="1"/>
  <c r="Z5598" i="1"/>
  <c r="Z5614" i="1"/>
  <c r="Z5626" i="1"/>
  <c r="Z5642" i="1"/>
  <c r="Z5655" i="1"/>
  <c r="Z5671" i="1"/>
  <c r="Z5687" i="1"/>
  <c r="Z5700" i="1"/>
  <c r="Z5716" i="1"/>
  <c r="Z5728" i="1"/>
  <c r="Z5744" i="1"/>
  <c r="Z5760" i="1"/>
  <c r="Z5773" i="1"/>
  <c r="Z5789" i="1"/>
  <c r="Z5801" i="1"/>
  <c r="Z5817" i="1"/>
  <c r="Z5833" i="1"/>
  <c r="Z5846" i="1"/>
  <c r="Z5862" i="1"/>
  <c r="Z5874" i="1"/>
  <c r="Z5890" i="1"/>
  <c r="Z5906" i="1"/>
  <c r="Z5919" i="1"/>
  <c r="Z5935" i="1"/>
  <c r="Z5948" i="1"/>
  <c r="Z5964" i="1"/>
  <c r="Z5980" i="1"/>
  <c r="Z5992" i="1"/>
  <c r="Z6008" i="1"/>
  <c r="Z6021" i="1"/>
  <c r="Z6037" i="1"/>
  <c r="Z6053" i="1"/>
  <c r="Z6065" i="1"/>
  <c r="Z6079" i="1"/>
  <c r="Z6090" i="1"/>
  <c r="Z6104" i="1"/>
  <c r="Z6118" i="1"/>
  <c r="Z6129" i="1"/>
  <c r="Z6143" i="1"/>
  <c r="Z6154" i="1"/>
  <c r="Z6168" i="1"/>
  <c r="Z6182" i="1"/>
  <c r="Z6193" i="1"/>
  <c r="Z6207" i="1"/>
  <c r="Z6218" i="1"/>
  <c r="Z6232" i="1"/>
  <c r="Z6246" i="1"/>
  <c r="Z6257" i="1"/>
  <c r="Z6271" i="1"/>
  <c r="Z6282" i="1"/>
  <c r="Z6296" i="1"/>
  <c r="Z6310" i="1"/>
  <c r="Z6321" i="1"/>
  <c r="Z6335" i="1"/>
  <c r="Z6346" i="1"/>
  <c r="Z6360" i="1"/>
  <c r="Z6374" i="1"/>
  <c r="Z6385" i="1"/>
  <c r="Z6399" i="1"/>
  <c r="Z6410" i="1"/>
  <c r="Z6424" i="1"/>
  <c r="Z6438" i="1"/>
  <c r="Z6449" i="1"/>
  <c r="Z6463" i="1"/>
  <c r="Z6474" i="1"/>
  <c r="Z6488" i="1"/>
  <c r="Z6502" i="1"/>
  <c r="Z6513" i="1"/>
  <c r="Z6527" i="1"/>
  <c r="Z6538" i="1"/>
  <c r="Z6552" i="1"/>
  <c r="Z6566" i="1"/>
  <c r="Z6577" i="1"/>
  <c r="Z6591" i="1"/>
  <c r="Z6602" i="1"/>
  <c r="Z6616" i="1"/>
  <c r="Z6630" i="1"/>
  <c r="Z6641" i="1"/>
  <c r="Z6655" i="1"/>
  <c r="Z6666" i="1"/>
  <c r="Z6680" i="1"/>
  <c r="Z6694" i="1"/>
  <c r="Z6705" i="1"/>
  <c r="Z6719" i="1"/>
  <c r="Z6730" i="1"/>
  <c r="Z6744" i="1"/>
  <c r="Z6758" i="1"/>
  <c r="Z6769" i="1"/>
  <c r="Z6781" i="1"/>
  <c r="Z6791" i="1"/>
  <c r="Z6801" i="1"/>
  <c r="Z6813" i="1"/>
  <c r="Z6823" i="1"/>
  <c r="Z6833" i="1"/>
  <c r="Z6845" i="1"/>
  <c r="Z6855" i="1"/>
  <c r="Z6865" i="1"/>
  <c r="Z6877" i="1"/>
  <c r="Z6887" i="1"/>
  <c r="Z6897" i="1"/>
  <c r="Z6909" i="1"/>
  <c r="Z6919" i="1"/>
  <c r="Z6929" i="1"/>
  <c r="Z6941" i="1"/>
  <c r="Z6951" i="1"/>
  <c r="Z6961" i="1"/>
  <c r="Z6973" i="1"/>
  <c r="Z6983" i="1"/>
  <c r="Z6993" i="1"/>
  <c r="Z7005" i="1"/>
  <c r="Z7015" i="1"/>
  <c r="Z7025" i="1"/>
  <c r="Z7037" i="1"/>
  <c r="Z7047" i="1"/>
  <c r="Z7057" i="1"/>
  <c r="Z7069" i="1"/>
  <c r="Z7079" i="1"/>
  <c r="Z7089" i="1"/>
  <c r="Z7101" i="1"/>
  <c r="Z7111" i="1"/>
  <c r="Z7121" i="1"/>
  <c r="Z7133" i="1"/>
  <c r="Z7143" i="1"/>
  <c r="Z7153" i="1"/>
  <c r="Z7165" i="1"/>
  <c r="Z7175" i="1"/>
  <c r="Z7185" i="1"/>
  <c r="Z7196" i="1"/>
  <c r="Z7205" i="1"/>
  <c r="Z7214" i="1"/>
  <c r="Z7223" i="1"/>
  <c r="Z7232" i="1"/>
  <c r="Z7241" i="1"/>
  <c r="Z7250" i="1"/>
  <c r="Z7260" i="1"/>
  <c r="Z7269" i="1"/>
  <c r="Z7278" i="1"/>
  <c r="Z7287" i="1"/>
  <c r="Z7296" i="1"/>
  <c r="Z7305" i="1"/>
  <c r="Z7314" i="1"/>
  <c r="Z7324" i="1"/>
  <c r="Z7333" i="1"/>
  <c r="Z7342" i="1"/>
  <c r="Z7351" i="1"/>
  <c r="Z7360" i="1"/>
  <c r="Z7369" i="1"/>
  <c r="Z7378" i="1"/>
  <c r="Z7388" i="1"/>
  <c r="Z7397" i="1"/>
  <c r="Z7406" i="1"/>
  <c r="Z7415" i="1"/>
  <c r="Z7424" i="1"/>
  <c r="Z7433" i="1"/>
  <c r="Z7442" i="1"/>
  <c r="Z7452" i="1"/>
  <c r="Z7461" i="1"/>
  <c r="Z7470" i="1"/>
  <c r="Z7479" i="1"/>
  <c r="Z7488" i="1"/>
  <c r="Z7497" i="1"/>
  <c r="Z7506" i="1"/>
  <c r="Z7516" i="1"/>
  <c r="Z7525" i="1"/>
  <c r="Z7534" i="1"/>
  <c r="Z7543" i="1"/>
  <c r="Z7552" i="1"/>
  <c r="Z7561" i="1"/>
  <c r="Z7570" i="1"/>
  <c r="Z7580" i="1"/>
  <c r="Z7589" i="1"/>
  <c r="Z7598" i="1"/>
  <c r="Z7607" i="1"/>
  <c r="Z7616" i="1"/>
  <c r="Z7625" i="1"/>
  <c r="Z7634" i="1"/>
  <c r="Z7644" i="1"/>
  <c r="Z7653" i="1"/>
  <c r="Z7662" i="1"/>
  <c r="Z7671" i="1"/>
  <c r="Z7680" i="1"/>
  <c r="Z7689" i="1"/>
  <c r="Z7698" i="1"/>
  <c r="Z7708" i="1"/>
  <c r="Z7717" i="1"/>
  <c r="Z7726" i="1"/>
  <c r="Z7735" i="1"/>
  <c r="Z7744" i="1"/>
  <c r="Z7753" i="1"/>
  <c r="Z7762" i="1"/>
  <c r="Z7772" i="1"/>
  <c r="Z7781" i="1"/>
  <c r="Z7790" i="1"/>
  <c r="Z7799" i="1"/>
  <c r="Z7808" i="1"/>
  <c r="Z7817" i="1"/>
  <c r="Z7826" i="1"/>
  <c r="Z7836" i="1"/>
  <c r="Z7845" i="1"/>
  <c r="Z7854" i="1"/>
  <c r="Z7863" i="1"/>
  <c r="Z7872" i="1"/>
  <c r="Z7881" i="1"/>
  <c r="Z7890" i="1"/>
  <c r="Z7900" i="1"/>
  <c r="Z7909" i="1"/>
  <c r="Z7918" i="1"/>
  <c r="Z7927" i="1"/>
  <c r="Z7936" i="1"/>
  <c r="Z7945" i="1"/>
  <c r="Z7954" i="1"/>
  <c r="Z7964" i="1"/>
  <c r="Z7973" i="1"/>
  <c r="Z7981" i="1"/>
  <c r="Z7989" i="1"/>
  <c r="Z7997" i="1"/>
  <c r="Z8005" i="1"/>
  <c r="Z8013" i="1"/>
  <c r="Z8021" i="1"/>
  <c r="Z8029" i="1"/>
  <c r="Z8037" i="1"/>
  <c r="Z8045" i="1"/>
  <c r="Z8053" i="1"/>
  <c r="Z8061" i="1"/>
  <c r="Z8069" i="1"/>
  <c r="Z8077" i="1"/>
  <c r="Z8085" i="1"/>
  <c r="Z8093" i="1"/>
  <c r="Z8101" i="1"/>
  <c r="Z8109" i="1"/>
  <c r="Z8117" i="1"/>
  <c r="Z8125" i="1"/>
  <c r="Z8133" i="1"/>
  <c r="Z8141" i="1"/>
  <c r="Z8149" i="1"/>
  <c r="Z8157" i="1"/>
  <c r="Z8165" i="1"/>
  <c r="Z8173" i="1"/>
  <c r="Z8181" i="1"/>
  <c r="Z8189" i="1"/>
  <c r="Z8197" i="1"/>
  <c r="Z8205" i="1"/>
  <c r="Z8213" i="1"/>
  <c r="Z8221" i="1"/>
  <c r="Z8229" i="1"/>
  <c r="Z8237" i="1"/>
  <c r="Z8245" i="1"/>
  <c r="Z8253" i="1"/>
  <c r="Z8261" i="1"/>
  <c r="Z8269" i="1"/>
  <c r="Z8277" i="1"/>
  <c r="Z8285" i="1"/>
  <c r="Z8293" i="1"/>
  <c r="Z8301" i="1"/>
  <c r="Z8309" i="1"/>
  <c r="Z8317" i="1"/>
  <c r="Z8325" i="1"/>
  <c r="Z8333" i="1"/>
  <c r="Z8341" i="1"/>
  <c r="Z8349" i="1"/>
  <c r="Z8357" i="1"/>
  <c r="Z8365" i="1"/>
  <c r="Z8373" i="1"/>
  <c r="Z8381" i="1"/>
  <c r="Z8389" i="1"/>
  <c r="Z8397" i="1"/>
  <c r="Z8405" i="1"/>
  <c r="Z8413" i="1"/>
  <c r="Z8421" i="1"/>
  <c r="Z8429" i="1"/>
  <c r="Z8437" i="1"/>
  <c r="Z8445" i="1"/>
  <c r="Z3090" i="1"/>
  <c r="Z3217" i="1"/>
  <c r="Z3297" i="1"/>
  <c r="Z3377" i="1"/>
  <c r="Z3460" i="1"/>
  <c r="Z3540" i="1"/>
  <c r="Z3626" i="1"/>
  <c r="Z3706" i="1"/>
  <c r="Z3786" i="1"/>
  <c r="Z3859" i="1"/>
  <c r="Z3896" i="1"/>
  <c r="Z3941" i="1"/>
  <c r="Z3981" i="1"/>
  <c r="Z4016" i="1"/>
  <c r="Z4059" i="1"/>
  <c r="Z4089" i="1"/>
  <c r="Z4117" i="1"/>
  <c r="Z4146" i="1"/>
  <c r="Z4178" i="1"/>
  <c r="Z4207" i="1"/>
  <c r="Z4232" i="1"/>
  <c r="Z4257" i="1"/>
  <c r="Z4282" i="1"/>
  <c r="Z4310" i="1"/>
  <c r="Z4335" i="1"/>
  <c r="Z4360" i="1"/>
  <c r="Z4385" i="1"/>
  <c r="Z4410" i="1"/>
  <c r="Z4438" i="1"/>
  <c r="Z4463" i="1"/>
  <c r="Z4488" i="1"/>
  <c r="Z4513" i="1"/>
  <c r="Z4538" i="1"/>
  <c r="Z4566" i="1"/>
  <c r="Z4591" i="1"/>
  <c r="Z4616" i="1"/>
  <c r="Z4641" i="1"/>
  <c r="Z4664" i="1"/>
  <c r="Z4687" i="1"/>
  <c r="Z4704" i="1"/>
  <c r="Z4727" i="1"/>
  <c r="Z4744" i="1"/>
  <c r="Z4767" i="1"/>
  <c r="Z4790" i="1"/>
  <c r="Z4807" i="1"/>
  <c r="Z4830" i="1"/>
  <c r="Z4846" i="1"/>
  <c r="Z4864" i="1"/>
  <c r="Z4882" i="1"/>
  <c r="Z4897" i="1"/>
  <c r="Z4917" i="1"/>
  <c r="Z4930" i="1"/>
  <c r="Z4950" i="1"/>
  <c r="Z4968" i="1"/>
  <c r="Z4983" i="1"/>
  <c r="Z5001" i="1"/>
  <c r="Z5016" i="1"/>
  <c r="Z5034" i="1"/>
  <c r="Z5054" i="1"/>
  <c r="Z5069" i="1"/>
  <c r="Z5087" i="1"/>
  <c r="Z5102" i="1"/>
  <c r="Z5120" i="1"/>
  <c r="Z5138" i="1"/>
  <c r="Z5153" i="1"/>
  <c r="Z5173" i="1"/>
  <c r="Z5186" i="1"/>
  <c r="Z5205" i="1"/>
  <c r="Z5221" i="1"/>
  <c r="Z5233" i="1"/>
  <c r="Z5249" i="1"/>
  <c r="Z5262" i="1"/>
  <c r="Z5278" i="1"/>
  <c r="Z5294" i="1"/>
  <c r="Z5306" i="1"/>
  <c r="Z5322" i="1"/>
  <c r="Z5335" i="1"/>
  <c r="Z5351" i="1"/>
  <c r="Z5367" i="1"/>
  <c r="Z5380" i="1"/>
  <c r="Z5396" i="1"/>
  <c r="Z5408" i="1"/>
  <c r="Z5424" i="1"/>
  <c r="Z5440" i="1"/>
  <c r="Z5453" i="1"/>
  <c r="Z5469" i="1"/>
  <c r="Z5481" i="1"/>
  <c r="Z5497" i="1"/>
  <c r="Z5513" i="1"/>
  <c r="Z5526" i="1"/>
  <c r="Z5542" i="1"/>
  <c r="Z5554" i="1"/>
  <c r="Z5570" i="1"/>
  <c r="Z5586" i="1"/>
  <c r="Z5599" i="1"/>
  <c r="Z5615" i="1"/>
  <c r="Z5628" i="1"/>
  <c r="Z5644" i="1"/>
  <c r="Z5660" i="1"/>
  <c r="Z5672" i="1"/>
  <c r="Z5688" i="1"/>
  <c r="Z5701" i="1"/>
  <c r="Z5717" i="1"/>
  <c r="Z5733" i="1"/>
  <c r="Z5745" i="1"/>
  <c r="Z5761" i="1"/>
  <c r="Z5774" i="1"/>
  <c r="Z5790" i="1"/>
  <c r="Z5806" i="1"/>
  <c r="Z5818" i="1"/>
  <c r="Z5834" i="1"/>
  <c r="Z5847" i="1"/>
  <c r="Z5863" i="1"/>
  <c r="Z5879" i="1"/>
  <c r="Z5892" i="1"/>
  <c r="Z5908" i="1"/>
  <c r="Z5920" i="1"/>
  <c r="Z5936" i="1"/>
  <c r="Z5952" i="1"/>
  <c r="Z5965" i="1"/>
  <c r="Z5981" i="1"/>
  <c r="Z3116" i="1"/>
  <c r="Z3218" i="1"/>
  <c r="Z3298" i="1"/>
  <c r="Z3381" i="1"/>
  <c r="Z3461" i="1"/>
  <c r="Z3541" i="1"/>
  <c r="Z3627" i="1"/>
  <c r="Z3707" i="1"/>
  <c r="Z3793" i="1"/>
  <c r="Z3860" i="1"/>
  <c r="Z3907" i="1"/>
  <c r="Z3943" i="1"/>
  <c r="Z3986" i="1"/>
  <c r="Z4026" i="1"/>
  <c r="Z4060" i="1"/>
  <c r="Z4098" i="1"/>
  <c r="Z4127" i="1"/>
  <c r="Z4155" i="1"/>
  <c r="Z4187" i="1"/>
  <c r="Z4215" i="1"/>
  <c r="Z4240" i="1"/>
  <c r="Z4265" i="1"/>
  <c r="Z4290" i="1"/>
  <c r="Z4318" i="1"/>
  <c r="Z4343" i="1"/>
  <c r="Z4368" i="1"/>
  <c r="Z4393" i="1"/>
  <c r="Z4418" i="1"/>
  <c r="Z4446" i="1"/>
  <c r="Z4471" i="1"/>
  <c r="Z4496" i="1"/>
  <c r="Z4521" i="1"/>
  <c r="Z4546" i="1"/>
  <c r="Z4574" i="1"/>
  <c r="Z4599" i="1"/>
  <c r="Z4624" i="1"/>
  <c r="Z4648" i="1"/>
  <c r="Z4665" i="1"/>
  <c r="Z4688" i="1"/>
  <c r="Z4705" i="1"/>
  <c r="Z4728" i="1"/>
  <c r="Z4751" i="1"/>
  <c r="Z4768" i="1"/>
  <c r="Z4791" i="1"/>
  <c r="Z4808" i="1"/>
  <c r="Z4831" i="1"/>
  <c r="Z4850" i="1"/>
  <c r="Z4865" i="1"/>
  <c r="Z4885" i="1"/>
  <c r="Z4898" i="1"/>
  <c r="Z4918" i="1"/>
  <c r="Z4936" i="1"/>
  <c r="Z4951" i="1"/>
  <c r="Z4969" i="1"/>
  <c r="Z4984" i="1"/>
  <c r="Z5002" i="1"/>
  <c r="Z5022" i="1"/>
  <c r="Z5037" i="1"/>
  <c r="Z5055" i="1"/>
  <c r="Z5070" i="1"/>
  <c r="Z5088" i="1"/>
  <c r="Z5106" i="1"/>
  <c r="Z5121" i="1"/>
  <c r="Z5141" i="1"/>
  <c r="Z5154" i="1"/>
  <c r="Z5174" i="1"/>
  <c r="Z5192" i="1"/>
  <c r="Z5206" i="1"/>
  <c r="Z5222" i="1"/>
  <c r="Z5234" i="1"/>
  <c r="Z5250" i="1"/>
  <c r="Z5266" i="1"/>
  <c r="Z5279" i="1"/>
  <c r="Z5295" i="1"/>
  <c r="Z5308" i="1"/>
  <c r="Z5324" i="1"/>
  <c r="Z5340" i="1"/>
  <c r="Z5352" i="1"/>
  <c r="Z5368" i="1"/>
  <c r="Z3140" i="1"/>
  <c r="Z3234" i="1"/>
  <c r="Z3317" i="1"/>
  <c r="Z3397" i="1"/>
  <c r="Z3477" i="1"/>
  <c r="Z3563" i="1"/>
  <c r="Z3643" i="1"/>
  <c r="Z3729" i="1"/>
  <c r="Z3809" i="1"/>
  <c r="Z3861" i="1"/>
  <c r="Z3913" i="1"/>
  <c r="Z3953" i="1"/>
  <c r="Z3987" i="1"/>
  <c r="Z4027" i="1"/>
  <c r="Z4071" i="1"/>
  <c r="Z4099" i="1"/>
  <c r="Z4128" i="1"/>
  <c r="Z4160" i="1"/>
  <c r="Z4188" i="1"/>
  <c r="Z4216" i="1"/>
  <c r="Z4241" i="1"/>
  <c r="Z4266" i="1"/>
  <c r="Z4294" i="1"/>
  <c r="Z4319" i="1"/>
  <c r="Z4344" i="1"/>
  <c r="Z4369" i="1"/>
  <c r="Z4394" i="1"/>
  <c r="Z4422" i="1"/>
  <c r="Z4447" i="1"/>
  <c r="Z4472" i="1"/>
  <c r="Z4497" i="1"/>
  <c r="Z4522" i="1"/>
  <c r="Z4550" i="1"/>
  <c r="Z4575" i="1"/>
  <c r="Z4600" i="1"/>
  <c r="Z4625" i="1"/>
  <c r="Z4649" i="1"/>
  <c r="Z4666" i="1"/>
  <c r="Z4689" i="1"/>
  <c r="Z4712" i="1"/>
  <c r="Z4729" i="1"/>
  <c r="Z4752" i="1"/>
  <c r="Z4769" i="1"/>
  <c r="Z4792" i="1"/>
  <c r="Z4815" i="1"/>
  <c r="Z4832" i="1"/>
  <c r="Z4853" i="1"/>
  <c r="Z4866" i="1"/>
  <c r="Z4886" i="1"/>
  <c r="Z4904" i="1"/>
  <c r="Z4919" i="1"/>
  <c r="Z4937" i="1"/>
  <c r="Z4952" i="1"/>
  <c r="Z4970" i="1"/>
  <c r="Z4990" i="1"/>
  <c r="Z5005" i="1"/>
  <c r="Z5023" i="1"/>
  <c r="Z5038" i="1"/>
  <c r="Z5056" i="1"/>
  <c r="Z5074" i="1"/>
  <c r="Z5089" i="1"/>
  <c r="Z5109" i="1"/>
  <c r="Z5122" i="1"/>
  <c r="Z5142" i="1"/>
  <c r="Z5160" i="1"/>
  <c r="Z5175" i="1"/>
  <c r="Z5193" i="1"/>
  <c r="Z5207" i="1"/>
  <c r="Z5223" i="1"/>
  <c r="Z5239" i="1"/>
  <c r="Z3141" i="1"/>
  <c r="Z3235" i="1"/>
  <c r="Z3321" i="1"/>
  <c r="Z3401" i="1"/>
  <c r="Z3484" i="1"/>
  <c r="Z3564" i="1"/>
  <c r="Z3644" i="1"/>
  <c r="Z3730" i="1"/>
  <c r="Z3810" i="1"/>
  <c r="Z3874" i="1"/>
  <c r="Z3914" i="1"/>
  <c r="Z3954" i="1"/>
  <c r="Z3997" i="1"/>
  <c r="Z4032" i="1"/>
  <c r="Z4072" i="1"/>
  <c r="Z4100" i="1"/>
  <c r="Z4132" i="1"/>
  <c r="Z4161" i="1"/>
  <c r="Z4189" i="1"/>
  <c r="Z4217" i="1"/>
  <c r="Z4242" i="1"/>
  <c r="Z4270" i="1"/>
  <c r="Z4295" i="1"/>
  <c r="Z4320" i="1"/>
  <c r="Z4345" i="1"/>
  <c r="Z4370" i="1"/>
  <c r="Z4398" i="1"/>
  <c r="Z4423" i="1"/>
  <c r="Z4448" i="1"/>
  <c r="Z4473" i="1"/>
  <c r="Z4498" i="1"/>
  <c r="Z3165" i="1"/>
  <c r="Z3257" i="1"/>
  <c r="Z3337" i="1"/>
  <c r="Z3420" i="1"/>
  <c r="Z3500" i="1"/>
  <c r="Z3580" i="1"/>
  <c r="Z3666" i="1"/>
  <c r="Z3746" i="1"/>
  <c r="Z3827" i="1"/>
  <c r="Z3875" i="1"/>
  <c r="Z3924" i="1"/>
  <c r="Z3959" i="1"/>
  <c r="Z3999" i="1"/>
  <c r="Z4042" i="1"/>
  <c r="Z4073" i="1"/>
  <c r="Z4105" i="1"/>
  <c r="Z4133" i="1"/>
  <c r="Z4162" i="1"/>
  <c r="Z4191" i="1"/>
  <c r="Z4218" i="1"/>
  <c r="Z4246" i="1"/>
  <c r="Z4271" i="1"/>
  <c r="Z4296" i="1"/>
  <c r="Z4321" i="1"/>
  <c r="Z4346" i="1"/>
  <c r="Z4374" i="1"/>
  <c r="Z4399" i="1"/>
  <c r="Z4424" i="1"/>
  <c r="Z4449" i="1"/>
  <c r="Z4474" i="1"/>
  <c r="Z4502" i="1"/>
  <c r="Z4526" i="1"/>
  <c r="Z4626" i="1"/>
  <c r="Z4713" i="1"/>
  <c r="Z4793" i="1"/>
  <c r="Z4872" i="1"/>
  <c r="Z4938" i="1"/>
  <c r="Z5006" i="1"/>
  <c r="Z5077" i="1"/>
  <c r="Z5143" i="1"/>
  <c r="Z5212" i="1"/>
  <c r="Z5257" i="1"/>
  <c r="Z5297" i="1"/>
  <c r="Z5341" i="1"/>
  <c r="Z5372" i="1"/>
  <c r="Z5404" i="1"/>
  <c r="Z5432" i="1"/>
  <c r="Z5461" i="1"/>
  <c r="Z5489" i="1"/>
  <c r="Z5518" i="1"/>
  <c r="Z5550" i="1"/>
  <c r="Z5578" i="1"/>
  <c r="Z5607" i="1"/>
  <c r="Z5636" i="1"/>
  <c r="Z5664" i="1"/>
  <c r="Z5696" i="1"/>
  <c r="Z5725" i="1"/>
  <c r="Z5753" i="1"/>
  <c r="Z5782" i="1"/>
  <c r="Z5810" i="1"/>
  <c r="Z5842" i="1"/>
  <c r="Z5871" i="1"/>
  <c r="Z5900" i="1"/>
  <c r="Z5928" i="1"/>
  <c r="Z5957" i="1"/>
  <c r="Z5989" i="1"/>
  <c r="Z6012" i="1"/>
  <c r="Z6038" i="1"/>
  <c r="Z6057" i="1"/>
  <c r="Z6081" i="1"/>
  <c r="Z6098" i="1"/>
  <c r="Z6121" i="1"/>
  <c r="Z6144" i="1"/>
  <c r="Z6161" i="1"/>
  <c r="Z6184" i="1"/>
  <c r="Z6201" i="1"/>
  <c r="Z6224" i="1"/>
  <c r="Z6247" i="1"/>
  <c r="Z6264" i="1"/>
  <c r="Z6287" i="1"/>
  <c r="Z6304" i="1"/>
  <c r="Z6327" i="1"/>
  <c r="Z6350" i="1"/>
  <c r="Z6367" i="1"/>
  <c r="Z6390" i="1"/>
  <c r="Z6407" i="1"/>
  <c r="Z6430" i="1"/>
  <c r="Z6450" i="1"/>
  <c r="Z6470" i="1"/>
  <c r="Z6490" i="1"/>
  <c r="Z6510" i="1"/>
  <c r="Z6530" i="1"/>
  <c r="Z6553" i="1"/>
  <c r="Z6570" i="1"/>
  <c r="Z6593" i="1"/>
  <c r="Z6610" i="1"/>
  <c r="Z6633" i="1"/>
  <c r="Z6656" i="1"/>
  <c r="Z6673" i="1"/>
  <c r="Z6696" i="1"/>
  <c r="Z6713" i="1"/>
  <c r="Z6736" i="1"/>
  <c r="Z6759" i="1"/>
  <c r="Z6775" i="1"/>
  <c r="Z6793" i="1"/>
  <c r="Z6808" i="1"/>
  <c r="Z6826" i="1"/>
  <c r="Z6846" i="1"/>
  <c r="Z6861" i="1"/>
  <c r="Z6879" i="1"/>
  <c r="Z6894" i="1"/>
  <c r="Z6912" i="1"/>
  <c r="Z6930" i="1"/>
  <c r="Z6945" i="1"/>
  <c r="Z6965" i="1"/>
  <c r="Z6978" i="1"/>
  <c r="Z6998" i="1"/>
  <c r="Z7016" i="1"/>
  <c r="Z7031" i="1"/>
  <c r="Z7049" i="1"/>
  <c r="Z7064" i="1"/>
  <c r="Z7082" i="1"/>
  <c r="Z7102" i="1"/>
  <c r="Z7117" i="1"/>
  <c r="Z7135" i="1"/>
  <c r="Z7150" i="1"/>
  <c r="Z7168" i="1"/>
  <c r="Z7186" i="1"/>
  <c r="Z7200" i="1"/>
  <c r="Z7216" i="1"/>
  <c r="Z7229" i="1"/>
  <c r="Z7245" i="1"/>
  <c r="Z7261" i="1"/>
  <c r="Z7273" i="1"/>
  <c r="Z7289" i="1"/>
  <c r="Z7302" i="1"/>
  <c r="Z7318" i="1"/>
  <c r="Z7334" i="1"/>
  <c r="Z7346" i="1"/>
  <c r="Z7362" i="1"/>
  <c r="Z7375" i="1"/>
  <c r="Z7391" i="1"/>
  <c r="Z7407" i="1"/>
  <c r="Z7420" i="1"/>
  <c r="Z7436" i="1"/>
  <c r="Z7448" i="1"/>
  <c r="Z7464" i="1"/>
  <c r="Z7480" i="1"/>
  <c r="Z7493" i="1"/>
  <c r="Z7509" i="1"/>
  <c r="Z7521" i="1"/>
  <c r="Z7537" i="1"/>
  <c r="Z7553" i="1"/>
  <c r="Z7566" i="1"/>
  <c r="Z7582" i="1"/>
  <c r="Z7594" i="1"/>
  <c r="Z7610" i="1"/>
  <c r="Z7626" i="1"/>
  <c r="Z7639" i="1"/>
  <c r="Z7655" i="1"/>
  <c r="Z7668" i="1"/>
  <c r="Z7684" i="1"/>
  <c r="Z7700" i="1"/>
  <c r="Z7712" i="1"/>
  <c r="Z7728" i="1"/>
  <c r="Z7741" i="1"/>
  <c r="Z7757" i="1"/>
  <c r="Z7773" i="1"/>
  <c r="Z7785" i="1"/>
  <c r="Z7801" i="1"/>
  <c r="Z7814" i="1"/>
  <c r="Z7830" i="1"/>
  <c r="Z7846" i="1"/>
  <c r="Z7858" i="1"/>
  <c r="Z7874" i="1"/>
  <c r="Z7887" i="1"/>
  <c r="Z7903" i="1"/>
  <c r="Z7919" i="1"/>
  <c r="Z7932" i="1"/>
  <c r="Z7948" i="1"/>
  <c r="Z7960" i="1"/>
  <c r="Z7976" i="1"/>
  <c r="Z7990" i="1"/>
  <c r="Z8001" i="1"/>
  <c r="Z8015" i="1"/>
  <c r="Z8026" i="1"/>
  <c r="Z8040" i="1"/>
  <c r="Z8054" i="1"/>
  <c r="Z8065" i="1"/>
  <c r="Z8079" i="1"/>
  <c r="Z8090" i="1"/>
  <c r="Z8104" i="1"/>
  <c r="Z8118" i="1"/>
  <c r="Z8129" i="1"/>
  <c r="Z8143" i="1"/>
  <c r="Z8154" i="1"/>
  <c r="Z8168" i="1"/>
  <c r="Z8182" i="1"/>
  <c r="Z8193" i="1"/>
  <c r="Z8207" i="1"/>
  <c r="Z8218" i="1"/>
  <c r="Z8232" i="1"/>
  <c r="Z8246" i="1"/>
  <c r="Z8257" i="1"/>
  <c r="Z8271" i="1"/>
  <c r="Z8282" i="1"/>
  <c r="Z8296" i="1"/>
  <c r="Z8310" i="1"/>
  <c r="Z8321" i="1"/>
  <c r="Z8335" i="1"/>
  <c r="Z8346" i="1"/>
  <c r="Z8360" i="1"/>
  <c r="Z8374" i="1"/>
  <c r="Z8385" i="1"/>
  <c r="Z8399" i="1"/>
  <c r="Z8410" i="1"/>
  <c r="Z8424" i="1"/>
  <c r="Z8438" i="1"/>
  <c r="Z8449" i="1"/>
  <c r="Z8461" i="1"/>
  <c r="Z8471" i="1"/>
  <c r="Z8481" i="1"/>
  <c r="Z8493" i="1"/>
  <c r="Z8503" i="1"/>
  <c r="Z8513" i="1"/>
  <c r="Z8525" i="1"/>
  <c r="Z8535" i="1"/>
  <c r="Z8545" i="1"/>
  <c r="Z8557" i="1"/>
  <c r="Z8567" i="1"/>
  <c r="Z8577" i="1"/>
  <c r="Z8589" i="1"/>
  <c r="Z8599" i="1"/>
  <c r="Z8609" i="1"/>
  <c r="Z8621" i="1"/>
  <c r="Z8631" i="1"/>
  <c r="Z8641" i="1"/>
  <c r="Z8653" i="1"/>
  <c r="Z8663" i="1"/>
  <c r="Z8673" i="1"/>
  <c r="Z8685" i="1"/>
  <c r="Z8695" i="1"/>
  <c r="Z8705" i="1"/>
  <c r="Z8717" i="1"/>
  <c r="Z8727" i="1"/>
  <c r="Z8737" i="1"/>
  <c r="Z8748" i="1"/>
  <c r="Z8757" i="1"/>
  <c r="Z8766" i="1"/>
  <c r="Z8775" i="1"/>
  <c r="Z8784" i="1"/>
  <c r="Z8793" i="1"/>
  <c r="Z8802" i="1"/>
  <c r="Z8812" i="1"/>
  <c r="Z8821" i="1"/>
  <c r="Z8830" i="1"/>
  <c r="Z8839" i="1"/>
  <c r="Z8848" i="1"/>
  <c r="Z8857" i="1"/>
  <c r="Z8866" i="1"/>
  <c r="Z8876" i="1"/>
  <c r="Z8885" i="1"/>
  <c r="Z8894" i="1"/>
  <c r="Z8903" i="1"/>
  <c r="Z8912" i="1"/>
  <c r="Z8921" i="1"/>
  <c r="Z8930" i="1"/>
  <c r="Z8940" i="1"/>
  <c r="Z8949" i="1"/>
  <c r="Z8958" i="1"/>
  <c r="Z8967" i="1"/>
  <c r="Z8976" i="1"/>
  <c r="Z8985" i="1"/>
  <c r="Z8994" i="1"/>
  <c r="Z9004" i="1"/>
  <c r="Z9013" i="1"/>
  <c r="Z9022" i="1"/>
  <c r="Z9031" i="1"/>
  <c r="Z9040" i="1"/>
  <c r="Z9049" i="1"/>
  <c r="Z9058" i="1"/>
  <c r="Z9068" i="1"/>
  <c r="Z9077" i="1"/>
  <c r="Z9086" i="1"/>
  <c r="Z9095" i="1"/>
  <c r="Z9104" i="1"/>
  <c r="Z9113" i="1"/>
  <c r="Z9122" i="1"/>
  <c r="Z9132" i="1"/>
  <c r="Z9141" i="1"/>
  <c r="Z9150" i="1"/>
  <c r="Z9159" i="1"/>
  <c r="Z9168" i="1"/>
  <c r="Z9177" i="1"/>
  <c r="Z9186" i="1"/>
  <c r="Z9196" i="1"/>
  <c r="Z9205" i="1"/>
  <c r="Z9214" i="1"/>
  <c r="Z9223" i="1"/>
  <c r="Z9232" i="1"/>
  <c r="Z9241" i="1"/>
  <c r="Z9250" i="1"/>
  <c r="Z9260" i="1"/>
  <c r="Z9269" i="1"/>
  <c r="Z9278" i="1"/>
  <c r="Z9287" i="1"/>
  <c r="Z9296" i="1"/>
  <c r="Z9305" i="1"/>
  <c r="Z9314" i="1"/>
  <c r="Z9324" i="1"/>
  <c r="Z9333" i="1"/>
  <c r="Z9342" i="1"/>
  <c r="Z9351" i="1"/>
  <c r="Z9360" i="1"/>
  <c r="Z9369" i="1"/>
  <c r="Z9378" i="1"/>
  <c r="Z9388" i="1"/>
  <c r="Z9397" i="1"/>
  <c r="Z9406" i="1"/>
  <c r="Z9415" i="1"/>
  <c r="Z9424" i="1"/>
  <c r="Z9433" i="1"/>
  <c r="Z9442" i="1"/>
  <c r="Z9452" i="1"/>
  <c r="Z9461" i="1"/>
  <c r="Z9470" i="1"/>
  <c r="Z9479" i="1"/>
  <c r="Z9488" i="1"/>
  <c r="Z9497" i="1"/>
  <c r="Z9506" i="1"/>
  <c r="Z9516" i="1"/>
  <c r="Z9525" i="1"/>
  <c r="Z9534" i="1"/>
  <c r="Z9543" i="1"/>
  <c r="Z9552" i="1"/>
  <c r="Z9561" i="1"/>
  <c r="Z9570" i="1"/>
  <c r="Z9580" i="1"/>
  <c r="Z9589" i="1"/>
  <c r="Z9598" i="1"/>
  <c r="Z9607" i="1"/>
  <c r="Z9615" i="1"/>
  <c r="Z9623" i="1"/>
  <c r="Z9631" i="1"/>
  <c r="Z9639" i="1"/>
  <c r="Z9647" i="1"/>
  <c r="Z9655" i="1"/>
  <c r="Z9663" i="1"/>
  <c r="Z9671" i="1"/>
  <c r="Z9679" i="1"/>
  <c r="Z9687" i="1"/>
  <c r="Z9695" i="1"/>
  <c r="Z9703" i="1"/>
  <c r="Z9711" i="1"/>
  <c r="Z9719" i="1"/>
  <c r="Z9727" i="1"/>
  <c r="Z9735" i="1"/>
  <c r="Z9743" i="1"/>
  <c r="Z9751" i="1"/>
  <c r="Z9759" i="1"/>
  <c r="Z9767" i="1"/>
  <c r="Z9775" i="1"/>
  <c r="Z9783" i="1"/>
  <c r="Z9791" i="1"/>
  <c r="Z9799" i="1"/>
  <c r="Z9807" i="1"/>
  <c r="Z9815" i="1"/>
  <c r="Z9823" i="1"/>
  <c r="Z9831" i="1"/>
  <c r="Z9839" i="1"/>
  <c r="Z9847" i="1"/>
  <c r="Z9855" i="1"/>
  <c r="Z9863" i="1"/>
  <c r="Z9871" i="1"/>
  <c r="Z9879" i="1"/>
  <c r="Z9887" i="1"/>
  <c r="Z9895" i="1"/>
  <c r="Z9903" i="1"/>
  <c r="Z9911" i="1"/>
  <c r="Z9919" i="1"/>
  <c r="Z9927" i="1"/>
  <c r="Z9935" i="1"/>
  <c r="Z9943" i="1"/>
  <c r="Z9951" i="1"/>
  <c r="Z9959" i="1"/>
  <c r="Z9967" i="1"/>
  <c r="Z9975" i="1"/>
  <c r="Z9983" i="1"/>
  <c r="Z9991" i="1"/>
  <c r="Z9999" i="1"/>
  <c r="Z10007" i="1"/>
  <c r="Z10015" i="1"/>
  <c r="Z10023" i="1"/>
  <c r="Z10031" i="1"/>
  <c r="Z10039" i="1"/>
  <c r="Z10047" i="1"/>
  <c r="Z10055" i="1"/>
  <c r="Z10063" i="1"/>
  <c r="Z10071" i="1"/>
  <c r="Z10079" i="1"/>
  <c r="Z10087" i="1"/>
  <c r="Z10095" i="1"/>
  <c r="Z10103" i="1"/>
  <c r="Z10111" i="1"/>
  <c r="Z10119" i="1"/>
  <c r="Z10127" i="1"/>
  <c r="Z10135" i="1"/>
  <c r="Z10143" i="1"/>
  <c r="Z10151" i="1"/>
  <c r="Z10159" i="1"/>
  <c r="Z10167" i="1"/>
  <c r="Z10175" i="1"/>
  <c r="Z10183" i="1"/>
  <c r="Z10191" i="1"/>
  <c r="Z10199" i="1"/>
  <c r="Z10207" i="1"/>
  <c r="Z10215" i="1"/>
  <c r="Z10223" i="1"/>
  <c r="Z10231" i="1"/>
  <c r="Z10239" i="1"/>
  <c r="Z10247" i="1"/>
  <c r="Z10255" i="1"/>
  <c r="Z10263" i="1"/>
  <c r="Z10271" i="1"/>
  <c r="Z10279" i="1"/>
  <c r="Z10287" i="1"/>
  <c r="Z10295" i="1"/>
  <c r="Z10303" i="1"/>
  <c r="Z10311" i="1"/>
  <c r="Z10319" i="1"/>
  <c r="Z10327" i="1"/>
  <c r="Z10335" i="1"/>
  <c r="Z10343" i="1"/>
  <c r="Z10351" i="1"/>
  <c r="Z10359" i="1"/>
  <c r="Z10367" i="1"/>
  <c r="Z10375" i="1"/>
  <c r="Z10383" i="1"/>
  <c r="Z10391" i="1"/>
  <c r="Z10399" i="1"/>
  <c r="Z10407" i="1"/>
  <c r="Z10415" i="1"/>
  <c r="Z10423" i="1"/>
  <c r="Z10431" i="1"/>
  <c r="Z10439" i="1"/>
  <c r="Z10447" i="1"/>
  <c r="Z10455" i="1"/>
  <c r="Z10463" i="1"/>
  <c r="Z10471" i="1"/>
  <c r="Z10479" i="1"/>
  <c r="Z10487" i="1"/>
  <c r="Z10495" i="1"/>
  <c r="Z10503" i="1"/>
  <c r="Z10511" i="1"/>
  <c r="Z10519" i="1"/>
  <c r="Z10527" i="1"/>
  <c r="Z10535" i="1"/>
  <c r="Z10543" i="1"/>
  <c r="Z10551" i="1"/>
  <c r="Z10559" i="1"/>
  <c r="Z10567" i="1"/>
  <c r="Z10575" i="1"/>
  <c r="Z10583" i="1"/>
  <c r="Z10591" i="1"/>
  <c r="Z10599" i="1"/>
  <c r="Z10607" i="1"/>
  <c r="Z10615" i="1"/>
  <c r="Z10623" i="1"/>
  <c r="Z10631" i="1"/>
  <c r="Z10639" i="1"/>
  <c r="Z10647" i="1"/>
  <c r="Z10655" i="1"/>
  <c r="Z10663" i="1"/>
  <c r="Z10671" i="1"/>
  <c r="Z10679" i="1"/>
  <c r="Z10687" i="1"/>
  <c r="Z10695" i="1"/>
  <c r="Z10703" i="1"/>
  <c r="Z10711" i="1"/>
  <c r="Z10719" i="1"/>
  <c r="Z10727" i="1"/>
  <c r="Z10735" i="1"/>
  <c r="Z10743" i="1"/>
  <c r="Z10751" i="1"/>
  <c r="Z10759" i="1"/>
  <c r="Z10767" i="1"/>
  <c r="Z10775" i="1"/>
  <c r="Z10783" i="1"/>
  <c r="Z10791" i="1"/>
  <c r="Z10799" i="1"/>
  <c r="Z10807" i="1"/>
  <c r="Z10815" i="1"/>
  <c r="Z10823" i="1"/>
  <c r="Z10831" i="1"/>
  <c r="Z10839" i="1"/>
  <c r="Z10847" i="1"/>
  <c r="Z10855" i="1"/>
  <c r="Z10863" i="1"/>
  <c r="Z10871" i="1"/>
  <c r="Z10879" i="1"/>
  <c r="Z10887" i="1"/>
  <c r="Z10895" i="1"/>
  <c r="Z10903" i="1"/>
  <c r="Z10911" i="1"/>
  <c r="Z10919" i="1"/>
  <c r="Z10927" i="1"/>
  <c r="Z10935" i="1"/>
  <c r="Z10943" i="1"/>
  <c r="Z10951" i="1"/>
  <c r="Z10959" i="1"/>
  <c r="Z10967" i="1"/>
  <c r="Z10975" i="1"/>
  <c r="Z10983" i="1"/>
  <c r="Z10991" i="1"/>
  <c r="Z10999" i="1"/>
  <c r="Z11007" i="1"/>
  <c r="Z11015" i="1"/>
  <c r="Z11023" i="1"/>
  <c r="Z11031" i="1"/>
  <c r="Z11039" i="1"/>
  <c r="Z11047" i="1"/>
  <c r="Z11055" i="1"/>
  <c r="Z11063" i="1"/>
  <c r="Z11071" i="1"/>
  <c r="Z11079" i="1"/>
  <c r="Z11087" i="1"/>
  <c r="Z11095" i="1"/>
  <c r="Z11103" i="1"/>
  <c r="Z11111" i="1"/>
  <c r="Z11119" i="1"/>
  <c r="Z11127" i="1"/>
  <c r="Z11135" i="1"/>
  <c r="Z11143" i="1"/>
  <c r="Z11151" i="1"/>
  <c r="Z11159" i="1"/>
  <c r="Z11167" i="1"/>
  <c r="Z11175" i="1"/>
  <c r="Z11183" i="1"/>
  <c r="Z11191" i="1"/>
  <c r="Z11199" i="1"/>
  <c r="Z11207" i="1"/>
  <c r="Z11215" i="1"/>
  <c r="Z11223" i="1"/>
  <c r="Z11231" i="1"/>
  <c r="Z11239" i="1"/>
  <c r="Z11247" i="1"/>
  <c r="Z11255" i="1"/>
  <c r="Z11263" i="1"/>
  <c r="Z11271" i="1"/>
  <c r="Z11279" i="1"/>
  <c r="Z11287" i="1"/>
  <c r="Z11295" i="1"/>
  <c r="Z11303" i="1"/>
  <c r="Z11311" i="1"/>
  <c r="Z11319" i="1"/>
  <c r="Z11327" i="1"/>
  <c r="Z11335" i="1"/>
  <c r="Z11343" i="1"/>
  <c r="Z11351" i="1"/>
  <c r="Z11359" i="1"/>
  <c r="Z11367" i="1"/>
  <c r="Z11375" i="1"/>
  <c r="Z11383" i="1"/>
  <c r="Z11391" i="1"/>
  <c r="Z11399" i="1"/>
  <c r="Z11407" i="1"/>
  <c r="Z11415" i="1"/>
  <c r="Z11423" i="1"/>
  <c r="Z11431" i="1"/>
  <c r="Z11439" i="1"/>
  <c r="Z11447" i="1"/>
  <c r="Z11455" i="1"/>
  <c r="Z11463" i="1"/>
  <c r="Z11471" i="1"/>
  <c r="Z11479" i="1"/>
  <c r="Z11487" i="1"/>
  <c r="Z11495" i="1"/>
  <c r="Z11503" i="1"/>
  <c r="Z11511" i="1"/>
  <c r="Z11519" i="1"/>
  <c r="Z11527" i="1"/>
  <c r="Z11535" i="1"/>
  <c r="Z11543" i="1"/>
  <c r="Z11551" i="1"/>
  <c r="Z11559" i="1"/>
  <c r="Z11567" i="1"/>
  <c r="Z11575" i="1"/>
  <c r="Z11583" i="1"/>
  <c r="Z11591" i="1"/>
  <c r="Z11599" i="1"/>
  <c r="Z11607" i="1"/>
  <c r="Z11615" i="1"/>
  <c r="Z11623" i="1"/>
  <c r="Z11631" i="1"/>
  <c r="Z11639" i="1"/>
  <c r="Z11647" i="1"/>
  <c r="Z11655" i="1"/>
  <c r="Z11663" i="1"/>
  <c r="Z11671" i="1"/>
  <c r="Z11679" i="1"/>
  <c r="Z11687" i="1"/>
  <c r="Z11695" i="1"/>
  <c r="Z11703" i="1"/>
  <c r="Z11711" i="1"/>
  <c r="Z11719" i="1"/>
  <c r="Z11727" i="1"/>
  <c r="Z11735" i="1"/>
  <c r="Z11743" i="1"/>
  <c r="Z11751" i="1"/>
  <c r="Z11759" i="1"/>
  <c r="Z11767" i="1"/>
  <c r="Z11775" i="1"/>
  <c r="Z11783" i="1"/>
  <c r="Z11791" i="1"/>
  <c r="Z11799" i="1"/>
  <c r="Z11807" i="1"/>
  <c r="Z11815" i="1"/>
  <c r="Z11823" i="1"/>
  <c r="Z11831" i="1"/>
  <c r="Z11839" i="1"/>
  <c r="Z11847" i="1"/>
  <c r="Z11855" i="1"/>
  <c r="Z11863" i="1"/>
  <c r="Z11871" i="1"/>
  <c r="Z11879" i="1"/>
  <c r="Z11887" i="1"/>
  <c r="Z11895" i="1"/>
  <c r="Z11903" i="1"/>
  <c r="Z11911" i="1"/>
  <c r="Z11919" i="1"/>
  <c r="Z11927" i="1"/>
  <c r="Z11935" i="1"/>
  <c r="Z11943" i="1"/>
  <c r="Z11951" i="1"/>
  <c r="Z11959" i="1"/>
  <c r="Z11967" i="1"/>
  <c r="Z11975" i="1"/>
  <c r="Z11983" i="1"/>
  <c r="Z11991" i="1"/>
  <c r="Z11999" i="1"/>
  <c r="Z12007" i="1"/>
  <c r="Z12015" i="1"/>
  <c r="Z12023" i="1"/>
  <c r="Z12031" i="1"/>
  <c r="Z12039" i="1"/>
  <c r="Z12047" i="1"/>
  <c r="Z12055" i="1"/>
  <c r="Z12063" i="1"/>
  <c r="Z12071" i="1"/>
  <c r="Z12079" i="1"/>
  <c r="Z12087" i="1"/>
  <c r="Z12095" i="1"/>
  <c r="Z12103" i="1"/>
  <c r="Z12111" i="1"/>
  <c r="Z12119" i="1"/>
  <c r="Z12127" i="1"/>
  <c r="Z4527" i="1"/>
  <c r="Z4630" i="1"/>
  <c r="Z4714" i="1"/>
  <c r="Z4794" i="1"/>
  <c r="Z4873" i="1"/>
  <c r="Z4941" i="1"/>
  <c r="Z5010" i="1"/>
  <c r="Z5078" i="1"/>
  <c r="Z5144" i="1"/>
  <c r="Z5213" i="1"/>
  <c r="Z5268" i="1"/>
  <c r="Z5298" i="1"/>
  <c r="Z5342" i="1"/>
  <c r="Z5381" i="1"/>
  <c r="Z5413" i="1"/>
  <c r="Z5441" i="1"/>
  <c r="Z5470" i="1"/>
  <c r="Z5498" i="1"/>
  <c r="Z5527" i="1"/>
  <c r="Z5559" i="1"/>
  <c r="Z5588" i="1"/>
  <c r="Z5616" i="1"/>
  <c r="Z5645" i="1"/>
  <c r="Z5673" i="1"/>
  <c r="Z5705" i="1"/>
  <c r="Z5734" i="1"/>
  <c r="Z5762" i="1"/>
  <c r="Z5791" i="1"/>
  <c r="Z5820" i="1"/>
  <c r="Z5852" i="1"/>
  <c r="Z5880" i="1"/>
  <c r="Z5909" i="1"/>
  <c r="Z5937" i="1"/>
  <c r="Z5966" i="1"/>
  <c r="Z5993" i="1"/>
  <c r="Z6016" i="1"/>
  <c r="Z6039" i="1"/>
  <c r="Z6062" i="1"/>
  <c r="Z6082" i="1"/>
  <c r="Z6105" i="1"/>
  <c r="Z6122" i="1"/>
  <c r="Z6145" i="1"/>
  <c r="Z6162" i="1"/>
  <c r="Z6185" i="1"/>
  <c r="Z6208" i="1"/>
  <c r="Z6225" i="1"/>
  <c r="Z6248" i="1"/>
  <c r="Z6265" i="1"/>
  <c r="Z6288" i="1"/>
  <c r="Z6311" i="1"/>
  <c r="Z6328" i="1"/>
  <c r="Z6351" i="1"/>
  <c r="Z6368" i="1"/>
  <c r="Z6391" i="1"/>
  <c r="Z6414" i="1"/>
  <c r="Z6431" i="1"/>
  <c r="Z6454" i="1"/>
  <c r="Z6471" i="1"/>
  <c r="Z6494" i="1"/>
  <c r="Z6514" i="1"/>
  <c r="Z6534" i="1"/>
  <c r="Z6554" i="1"/>
  <c r="Z6574" i="1"/>
  <c r="Z6594" i="1"/>
  <c r="Z6617" i="1"/>
  <c r="Z6634" i="1"/>
  <c r="Z6657" i="1"/>
  <c r="Z6674" i="1"/>
  <c r="Z6697" i="1"/>
  <c r="Z6720" i="1"/>
  <c r="Z6737" i="1"/>
  <c r="Z6760" i="1"/>
  <c r="Z6776" i="1"/>
  <c r="Z6794" i="1"/>
  <c r="Z6814" i="1"/>
  <c r="Z6829" i="1"/>
  <c r="Z6847" i="1"/>
  <c r="Z6862" i="1"/>
  <c r="Z6880" i="1"/>
  <c r="Z6898" i="1"/>
  <c r="Z6913" i="1"/>
  <c r="Z6933" i="1"/>
  <c r="Z6946" i="1"/>
  <c r="Z6966" i="1"/>
  <c r="Z6984" i="1"/>
  <c r="Z6999" i="1"/>
  <c r="Z7017" i="1"/>
  <c r="Z7032" i="1"/>
  <c r="Z7050" i="1"/>
  <c r="Z7070" i="1"/>
  <c r="Z7085" i="1"/>
  <c r="Z7103" i="1"/>
  <c r="Z7118" i="1"/>
  <c r="Z7136" i="1"/>
  <c r="Z7154" i="1"/>
  <c r="Z7169" i="1"/>
  <c r="Z7189" i="1"/>
  <c r="Z7201" i="1"/>
  <c r="Z7217" i="1"/>
  <c r="Z7233" i="1"/>
  <c r="Z7246" i="1"/>
  <c r="Z7262" i="1"/>
  <c r="Z7274" i="1"/>
  <c r="Z7290" i="1"/>
  <c r="Z7306" i="1"/>
  <c r="Z7319" i="1"/>
  <c r="Z7335" i="1"/>
  <c r="Z7348" i="1"/>
  <c r="Z7364" i="1"/>
  <c r="Z7380" i="1"/>
  <c r="Z7392" i="1"/>
  <c r="Z7408" i="1"/>
  <c r="Z7421" i="1"/>
  <c r="Z7437" i="1"/>
  <c r="Z7453" i="1"/>
  <c r="Z7465" i="1"/>
  <c r="Z7481" i="1"/>
  <c r="Z7494" i="1"/>
  <c r="Z7510" i="1"/>
  <c r="Z7526" i="1"/>
  <c r="Z7538" i="1"/>
  <c r="Z7554" i="1"/>
  <c r="Z7567" i="1"/>
  <c r="Z7583" i="1"/>
  <c r="Z7599" i="1"/>
  <c r="Z7612" i="1"/>
  <c r="Z7628" i="1"/>
  <c r="Z7640" i="1"/>
  <c r="Z7656" i="1"/>
  <c r="Z7672" i="1"/>
  <c r="Z7685" i="1"/>
  <c r="Z7701" i="1"/>
  <c r="Z7713" i="1"/>
  <c r="Z7729" i="1"/>
  <c r="Z7745" i="1"/>
  <c r="Z7758" i="1"/>
  <c r="Z7774" i="1"/>
  <c r="Z7786" i="1"/>
  <c r="Z7802" i="1"/>
  <c r="Z7818" i="1"/>
  <c r="Z7831" i="1"/>
  <c r="Z7847" i="1"/>
  <c r="Z7860" i="1"/>
  <c r="Z7876" i="1"/>
  <c r="Z7892" i="1"/>
  <c r="Z7904" i="1"/>
  <c r="Z7920" i="1"/>
  <c r="Z7933" i="1"/>
  <c r="Z7949" i="1"/>
  <c r="Z7965" i="1"/>
  <c r="Z7977" i="1"/>
  <c r="Z7991" i="1"/>
  <c r="Z8002" i="1"/>
  <c r="Z8016" i="1"/>
  <c r="Z8030" i="1"/>
  <c r="Z8041" i="1"/>
  <c r="Z8055" i="1"/>
  <c r="Z8066" i="1"/>
  <c r="Z8080" i="1"/>
  <c r="Z8094" i="1"/>
  <c r="Z8105" i="1"/>
  <c r="Z8119" i="1"/>
  <c r="Z8130" i="1"/>
  <c r="Z8144" i="1"/>
  <c r="Z8158" i="1"/>
  <c r="Z8169" i="1"/>
  <c r="Z8183" i="1"/>
  <c r="Z8194" i="1"/>
  <c r="Z8208" i="1"/>
  <c r="Z8222" i="1"/>
  <c r="Z8233" i="1"/>
  <c r="Z8247" i="1"/>
  <c r="Z8258" i="1"/>
  <c r="Z8272" i="1"/>
  <c r="Z8286" i="1"/>
  <c r="Z8297" i="1"/>
  <c r="Z8311" i="1"/>
  <c r="Z8322" i="1"/>
  <c r="Z8336" i="1"/>
  <c r="Z8350" i="1"/>
  <c r="Z8361" i="1"/>
  <c r="Z8375" i="1"/>
  <c r="Z8386" i="1"/>
  <c r="Z8400" i="1"/>
  <c r="Z8414" i="1"/>
  <c r="Z8425" i="1"/>
  <c r="Z8439" i="1"/>
  <c r="Z8450" i="1"/>
  <c r="Z8462" i="1"/>
  <c r="Z8472" i="1"/>
  <c r="Z8482" i="1"/>
  <c r="Z8494" i="1"/>
  <c r="Z8504" i="1"/>
  <c r="Z8514" i="1"/>
  <c r="Z8526" i="1"/>
  <c r="Z8536" i="1"/>
  <c r="Z8546" i="1"/>
  <c r="Z8558" i="1"/>
  <c r="Z8568" i="1"/>
  <c r="Z8578" i="1"/>
  <c r="Z8590" i="1"/>
  <c r="Z8600" i="1"/>
  <c r="Z8610" i="1"/>
  <c r="Z8622" i="1"/>
  <c r="Z8632" i="1"/>
  <c r="Z8642" i="1"/>
  <c r="Z8654" i="1"/>
  <c r="Z8664" i="1"/>
  <c r="Z8674" i="1"/>
  <c r="Z8686" i="1"/>
  <c r="Z8696" i="1"/>
  <c r="Z8706" i="1"/>
  <c r="Z8718" i="1"/>
  <c r="Z8728" i="1"/>
  <c r="Z8738" i="1"/>
  <c r="Z8749" i="1"/>
  <c r="Z8758" i="1"/>
  <c r="Z8767" i="1"/>
  <c r="Z8776" i="1"/>
  <c r="Z8785" i="1"/>
  <c r="Z8794" i="1"/>
  <c r="Z8804" i="1"/>
  <c r="Z8813" i="1"/>
  <c r="Z8822" i="1"/>
  <c r="Z8831" i="1"/>
  <c r="Z8840" i="1"/>
  <c r="Z8849" i="1"/>
  <c r="Z8858" i="1"/>
  <c r="Z8868" i="1"/>
  <c r="Z8877" i="1"/>
  <c r="Z8886" i="1"/>
  <c r="Z8895" i="1"/>
  <c r="Z8904" i="1"/>
  <c r="Z8913" i="1"/>
  <c r="Z8922" i="1"/>
  <c r="Z8932" i="1"/>
  <c r="Z8941" i="1"/>
  <c r="Z8950" i="1"/>
  <c r="Z8959" i="1"/>
  <c r="Z8968" i="1"/>
  <c r="Z8977" i="1"/>
  <c r="Z8986" i="1"/>
  <c r="Z8996" i="1"/>
  <c r="Z9005" i="1"/>
  <c r="Z9014" i="1"/>
  <c r="Z9023" i="1"/>
  <c r="Z9032" i="1"/>
  <c r="Z9041" i="1"/>
  <c r="Z9050" i="1"/>
  <c r="Z9060" i="1"/>
  <c r="Z9069" i="1"/>
  <c r="Z9078" i="1"/>
  <c r="Z9087" i="1"/>
  <c r="Z9096" i="1"/>
  <c r="Z9105" i="1"/>
  <c r="Z9114" i="1"/>
  <c r="Z9124" i="1"/>
  <c r="Z9133" i="1"/>
  <c r="Z9142" i="1"/>
  <c r="Z9151" i="1"/>
  <c r="Z9160" i="1"/>
  <c r="Z9169" i="1"/>
  <c r="Z9178" i="1"/>
  <c r="Z9188" i="1"/>
  <c r="Z9197" i="1"/>
  <c r="Z9206" i="1"/>
  <c r="Z9215" i="1"/>
  <c r="Z9224" i="1"/>
  <c r="Z9233" i="1"/>
  <c r="Z9242" i="1"/>
  <c r="Z9252" i="1"/>
  <c r="Z9261" i="1"/>
  <c r="Z9270" i="1"/>
  <c r="Z9279" i="1"/>
  <c r="Z9288" i="1"/>
  <c r="Z9297" i="1"/>
  <c r="Z9306" i="1"/>
  <c r="Z9316" i="1"/>
  <c r="Z9325" i="1"/>
  <c r="Z9334" i="1"/>
  <c r="Z9343" i="1"/>
  <c r="Z9352" i="1"/>
  <c r="Z9361" i="1"/>
  <c r="Z9370" i="1"/>
  <c r="Z9380" i="1"/>
  <c r="Z9389" i="1"/>
  <c r="Z9398" i="1"/>
  <c r="Z9407" i="1"/>
  <c r="Z9416" i="1"/>
  <c r="Z9425" i="1"/>
  <c r="Z9434" i="1"/>
  <c r="Z9444" i="1"/>
  <c r="Z9453" i="1"/>
  <c r="Z9462" i="1"/>
  <c r="Z9471" i="1"/>
  <c r="Z9480" i="1"/>
  <c r="Z9489" i="1"/>
  <c r="Z9498" i="1"/>
  <c r="Z9508" i="1"/>
  <c r="Z9517" i="1"/>
  <c r="Z9526" i="1"/>
  <c r="Z9535" i="1"/>
  <c r="Z9544" i="1"/>
  <c r="Z9553" i="1"/>
  <c r="Z9562" i="1"/>
  <c r="Z9572" i="1"/>
  <c r="Z9581" i="1"/>
  <c r="Z9590" i="1"/>
  <c r="Z9599" i="1"/>
  <c r="Z9608" i="1"/>
  <c r="Z9616" i="1"/>
  <c r="Z9624" i="1"/>
  <c r="Z9632" i="1"/>
  <c r="Z9640" i="1"/>
  <c r="Z9648" i="1"/>
  <c r="Z9656" i="1"/>
  <c r="Z9664" i="1"/>
  <c r="Z9672" i="1"/>
  <c r="Z9680" i="1"/>
  <c r="Z9688" i="1"/>
  <c r="Z9696" i="1"/>
  <c r="Z9704" i="1"/>
  <c r="Z9712" i="1"/>
  <c r="Z9720" i="1"/>
  <c r="Z9728" i="1"/>
  <c r="Z9736" i="1"/>
  <c r="Z9744" i="1"/>
  <c r="Z9752" i="1"/>
  <c r="Z9760" i="1"/>
  <c r="Z9768" i="1"/>
  <c r="Z9776" i="1"/>
  <c r="Z9784" i="1"/>
  <c r="Z9792" i="1"/>
  <c r="Z9800" i="1"/>
  <c r="Z9808" i="1"/>
  <c r="Z9816" i="1"/>
  <c r="Z9824" i="1"/>
  <c r="Z9832" i="1"/>
  <c r="Z9840" i="1"/>
  <c r="Z9848" i="1"/>
  <c r="Z9856" i="1"/>
  <c r="Z9864" i="1"/>
  <c r="Z9872" i="1"/>
  <c r="Z9880" i="1"/>
  <c r="Z9888" i="1"/>
  <c r="Z9896" i="1"/>
  <c r="Z9904" i="1"/>
  <c r="Z9912" i="1"/>
  <c r="Z9920" i="1"/>
  <c r="Z9928" i="1"/>
  <c r="Z9936" i="1"/>
  <c r="Z9944" i="1"/>
  <c r="Z9952" i="1"/>
  <c r="Z9960" i="1"/>
  <c r="Z9968" i="1"/>
  <c r="Z9976" i="1"/>
  <c r="Z9984" i="1"/>
  <c r="Z9992" i="1"/>
  <c r="Z10000" i="1"/>
  <c r="Z10008" i="1"/>
  <c r="Z10016" i="1"/>
  <c r="Z10024" i="1"/>
  <c r="Z10032" i="1"/>
  <c r="Z10040" i="1"/>
  <c r="Z10048" i="1"/>
  <c r="Z10056" i="1"/>
  <c r="Z10064" i="1"/>
  <c r="Z10072" i="1"/>
  <c r="Z10080" i="1"/>
  <c r="Z10088" i="1"/>
  <c r="Z10096" i="1"/>
  <c r="Z10104" i="1"/>
  <c r="Z10112" i="1"/>
  <c r="Z10120" i="1"/>
  <c r="Z10128" i="1"/>
  <c r="Z10136" i="1"/>
  <c r="Z10144" i="1"/>
  <c r="Z10152" i="1"/>
  <c r="Z10160" i="1"/>
  <c r="Z10168" i="1"/>
  <c r="Z10176" i="1"/>
  <c r="Z10184" i="1"/>
  <c r="Z10192" i="1"/>
  <c r="Z10200" i="1"/>
  <c r="Z10208" i="1"/>
  <c r="Z10216" i="1"/>
  <c r="Z10224" i="1"/>
  <c r="Z10232" i="1"/>
  <c r="Z10240" i="1"/>
  <c r="Z10248" i="1"/>
  <c r="Z10256" i="1"/>
  <c r="Z10264" i="1"/>
  <c r="Z10272" i="1"/>
  <c r="Z10280" i="1"/>
  <c r="Z10288" i="1"/>
  <c r="Z10296" i="1"/>
  <c r="Z10304" i="1"/>
  <c r="Z10312" i="1"/>
  <c r="Z10320" i="1"/>
  <c r="Z10328" i="1"/>
  <c r="Z10336" i="1"/>
  <c r="Z10344" i="1"/>
  <c r="Z10352" i="1"/>
  <c r="Z10360" i="1"/>
  <c r="Z10368" i="1"/>
  <c r="Z10376" i="1"/>
  <c r="Z10384" i="1"/>
  <c r="Z10392" i="1"/>
  <c r="Z10400" i="1"/>
  <c r="Z10408" i="1"/>
  <c r="Z10416" i="1"/>
  <c r="Z10424" i="1"/>
  <c r="Z10432" i="1"/>
  <c r="Z10440" i="1"/>
  <c r="Z10448" i="1"/>
  <c r="Z10456" i="1"/>
  <c r="Z10464" i="1"/>
  <c r="Z10472" i="1"/>
  <c r="Z10480" i="1"/>
  <c r="Z10488" i="1"/>
  <c r="Z10496" i="1"/>
  <c r="Z10504" i="1"/>
  <c r="Z10512" i="1"/>
  <c r="Z10520" i="1"/>
  <c r="Z10528" i="1"/>
  <c r="Z10536" i="1"/>
  <c r="Z10544" i="1"/>
  <c r="Z10552" i="1"/>
  <c r="Z10560" i="1"/>
  <c r="Z10568" i="1"/>
  <c r="Z10576" i="1"/>
  <c r="Z10584" i="1"/>
  <c r="Z10592" i="1"/>
  <c r="Z10600" i="1"/>
  <c r="Z10608" i="1"/>
  <c r="Z10616" i="1"/>
  <c r="Z10624" i="1"/>
  <c r="Z10632" i="1"/>
  <c r="Z10640" i="1"/>
  <c r="Z10648" i="1"/>
  <c r="Z10656" i="1"/>
  <c r="Z10664" i="1"/>
  <c r="Z10672" i="1"/>
  <c r="Z10680" i="1"/>
  <c r="Z10688" i="1"/>
  <c r="Z10696" i="1"/>
  <c r="Z10704" i="1"/>
  <c r="Z10712" i="1"/>
  <c r="Z10720" i="1"/>
  <c r="Z10728" i="1"/>
  <c r="Z10736" i="1"/>
  <c r="Z10744" i="1"/>
  <c r="Z10752" i="1"/>
  <c r="Z10760" i="1"/>
  <c r="Z10768" i="1"/>
  <c r="Z10776" i="1"/>
  <c r="Z10784" i="1"/>
  <c r="Z10792" i="1"/>
  <c r="Z10800" i="1"/>
  <c r="Z10808" i="1"/>
  <c r="Z10816" i="1"/>
  <c r="Z10824" i="1"/>
  <c r="Z10832" i="1"/>
  <c r="Z10840" i="1"/>
  <c r="Z10848" i="1"/>
  <c r="Z10856" i="1"/>
  <c r="Z10864" i="1"/>
  <c r="Z10872" i="1"/>
  <c r="Z10880" i="1"/>
  <c r="Z10888" i="1"/>
  <c r="Z10896" i="1"/>
  <c r="Z10904" i="1"/>
  <c r="Z10912" i="1"/>
  <c r="Z10920" i="1"/>
  <c r="Z10928" i="1"/>
  <c r="Z10936" i="1"/>
  <c r="Z10944" i="1"/>
  <c r="Z10952" i="1"/>
  <c r="Z10960" i="1"/>
  <c r="Z10968" i="1"/>
  <c r="Z10976" i="1"/>
  <c r="Z10984" i="1"/>
  <c r="Z10992" i="1"/>
  <c r="Z11000" i="1"/>
  <c r="Z11008" i="1"/>
  <c r="Z11016" i="1"/>
  <c r="Z11024" i="1"/>
  <c r="Z11032" i="1"/>
  <c r="Z11040" i="1"/>
  <c r="Z11048" i="1"/>
  <c r="Z11056" i="1"/>
  <c r="Z11064" i="1"/>
  <c r="Z11072" i="1"/>
  <c r="Z11080" i="1"/>
  <c r="Z11088" i="1"/>
  <c r="Z11096" i="1"/>
  <c r="Z11104" i="1"/>
  <c r="Z11112" i="1"/>
  <c r="Z11120" i="1"/>
  <c r="Z11128" i="1"/>
  <c r="Z11136" i="1"/>
  <c r="Z11144" i="1"/>
  <c r="Z11152" i="1"/>
  <c r="Z11160" i="1"/>
  <c r="Z11168" i="1"/>
  <c r="Z11176" i="1"/>
  <c r="Z11184" i="1"/>
  <c r="Z11192" i="1"/>
  <c r="Z11200" i="1"/>
  <c r="Z11208" i="1"/>
  <c r="Z11216" i="1"/>
  <c r="Z4551" i="1"/>
  <c r="Z4650" i="1"/>
  <c r="Z4730" i="1"/>
  <c r="Z4816" i="1"/>
  <c r="Z4887" i="1"/>
  <c r="Z4958" i="1"/>
  <c r="Z5024" i="1"/>
  <c r="Z5090" i="1"/>
  <c r="Z5161" i="1"/>
  <c r="Z5224" i="1"/>
  <c r="Z5269" i="1"/>
  <c r="Z5312" i="1"/>
  <c r="Z5343" i="1"/>
  <c r="Z5385" i="1"/>
  <c r="Z5414" i="1"/>
  <c r="Z5442" i="1"/>
  <c r="Z5471" i="1"/>
  <c r="Z5500" i="1"/>
  <c r="Z5532" i="1"/>
  <c r="Z5560" i="1"/>
  <c r="Z5589" i="1"/>
  <c r="Z5617" i="1"/>
  <c r="Z5646" i="1"/>
  <c r="Z5678" i="1"/>
  <c r="Z5706" i="1"/>
  <c r="Z5735" i="1"/>
  <c r="Z5764" i="1"/>
  <c r="Z5792" i="1"/>
  <c r="Z5824" i="1"/>
  <c r="Z5853" i="1"/>
  <c r="Z5881" i="1"/>
  <c r="Z5910" i="1"/>
  <c r="Z5938" i="1"/>
  <c r="Z5970" i="1"/>
  <c r="Z5998" i="1"/>
  <c r="Z6017" i="1"/>
  <c r="Z6044" i="1"/>
  <c r="Z6066" i="1"/>
  <c r="Z6086" i="1"/>
  <c r="Z6106" i="1"/>
  <c r="Z6126" i="1"/>
  <c r="Z6146" i="1"/>
  <c r="Z6169" i="1"/>
  <c r="Z6186" i="1"/>
  <c r="Z6209" i="1"/>
  <c r="Z6226" i="1"/>
  <c r="Z6249" i="1"/>
  <c r="Z6272" i="1"/>
  <c r="Z6289" i="1"/>
  <c r="Z6312" i="1"/>
  <c r="Z6329" i="1"/>
  <c r="Z6352" i="1"/>
  <c r="Z6375" i="1"/>
  <c r="Z6392" i="1"/>
  <c r="Z6415" i="1"/>
  <c r="Z6432" i="1"/>
  <c r="Z6455" i="1"/>
  <c r="Z6478" i="1"/>
  <c r="Z6495" i="1"/>
  <c r="Z6518" i="1"/>
  <c r="Z6535" i="1"/>
  <c r="Z6558" i="1"/>
  <c r="Z6578" i="1"/>
  <c r="Z6598" i="1"/>
  <c r="Z6618" i="1"/>
  <c r="Z6638" i="1"/>
  <c r="Z6658" i="1"/>
  <c r="Z6681" i="1"/>
  <c r="Z6698" i="1"/>
  <c r="Z6721" i="1"/>
  <c r="Z6738" i="1"/>
  <c r="Z6761" i="1"/>
  <c r="Z6782" i="1"/>
  <c r="Z6797" i="1"/>
  <c r="Z6815" i="1"/>
  <c r="Z6830" i="1"/>
  <c r="Z6848" i="1"/>
  <c r="Z6866" i="1"/>
  <c r="Z6881" i="1"/>
  <c r="Z6901" i="1"/>
  <c r="Z6914" i="1"/>
  <c r="Z6934" i="1"/>
  <c r="Z6952" i="1"/>
  <c r="Z6967" i="1"/>
  <c r="Z6985" i="1"/>
  <c r="Z7000" i="1"/>
  <c r="Z7018" i="1"/>
  <c r="Z7038" i="1"/>
  <c r="Z7053" i="1"/>
  <c r="Z7071" i="1"/>
  <c r="Z7086" i="1"/>
  <c r="Z7104" i="1"/>
  <c r="Z7122" i="1"/>
  <c r="Z7137" i="1"/>
  <c r="Z7157" i="1"/>
  <c r="Z7170" i="1"/>
  <c r="Z7190" i="1"/>
  <c r="Z7206" i="1"/>
  <c r="Z7218" i="1"/>
  <c r="Z7234" i="1"/>
  <c r="Z7247" i="1"/>
  <c r="Z7263" i="1"/>
  <c r="Z7279" i="1"/>
  <c r="Z7292" i="1"/>
  <c r="Z7308" i="1"/>
  <c r="Z7320" i="1"/>
  <c r="Z7336" i="1"/>
  <c r="Z7352" i="1"/>
  <c r="Z7365" i="1"/>
  <c r="Z7381" i="1"/>
  <c r="Z7393" i="1"/>
  <c r="Z7409" i="1"/>
  <c r="Z7425" i="1"/>
  <c r="Z7438" i="1"/>
  <c r="Z7454" i="1"/>
  <c r="Z7466" i="1"/>
  <c r="Z7482" i="1"/>
  <c r="Z7498" i="1"/>
  <c r="Z7511" i="1"/>
  <c r="Z7527" i="1"/>
  <c r="Z7540" i="1"/>
  <c r="Z7556" i="1"/>
  <c r="Z7572" i="1"/>
  <c r="Z7584" i="1"/>
  <c r="Z7600" i="1"/>
  <c r="Z7613" i="1"/>
  <c r="Z7629" i="1"/>
  <c r="Z7645" i="1"/>
  <c r="Z7657" i="1"/>
  <c r="Z7673" i="1"/>
  <c r="Z7686" i="1"/>
  <c r="Z7702" i="1"/>
  <c r="Z7718" i="1"/>
  <c r="Z7730" i="1"/>
  <c r="Z7746" i="1"/>
  <c r="Z7759" i="1"/>
  <c r="Z7775" i="1"/>
  <c r="Z7791" i="1"/>
  <c r="Z7804" i="1"/>
  <c r="Z7820" i="1"/>
  <c r="Z7832" i="1"/>
  <c r="Z7848" i="1"/>
  <c r="Z7864" i="1"/>
  <c r="Z7877" i="1"/>
  <c r="Z7893" i="1"/>
  <c r="Z7905" i="1"/>
  <c r="Z7921" i="1"/>
  <c r="Z7937" i="1"/>
  <c r="Z7950" i="1"/>
  <c r="Z7966" i="1"/>
  <c r="Z7978" i="1"/>
  <c r="Z7992" i="1"/>
  <c r="Z8006" i="1"/>
  <c r="Z8017" i="1"/>
  <c r="Z8031" i="1"/>
  <c r="Z8042" i="1"/>
  <c r="Z8056" i="1"/>
  <c r="Z8070" i="1"/>
  <c r="Z8081" i="1"/>
  <c r="Z8095" i="1"/>
  <c r="Z8106" i="1"/>
  <c r="Z8120" i="1"/>
  <c r="Z8134" i="1"/>
  <c r="Z8145" i="1"/>
  <c r="Z8159" i="1"/>
  <c r="Z8170" i="1"/>
  <c r="Z8184" i="1"/>
  <c r="Z8198" i="1"/>
  <c r="Z8209" i="1"/>
  <c r="Z8223" i="1"/>
  <c r="Z8234" i="1"/>
  <c r="Z8248" i="1"/>
  <c r="Z8262" i="1"/>
  <c r="Z8273" i="1"/>
  <c r="Z8287" i="1"/>
  <c r="Z8298" i="1"/>
  <c r="Z8312" i="1"/>
  <c r="Z8326" i="1"/>
  <c r="Z8337" i="1"/>
  <c r="Z8351" i="1"/>
  <c r="Z8362" i="1"/>
  <c r="Z8376" i="1"/>
  <c r="Z8390" i="1"/>
  <c r="Z8401" i="1"/>
  <c r="Z8415" i="1"/>
  <c r="Z8426" i="1"/>
  <c r="Z8440" i="1"/>
  <c r="Z8453" i="1"/>
  <c r="Z8463" i="1"/>
  <c r="Z8473" i="1"/>
  <c r="Z8485" i="1"/>
  <c r="Z8495" i="1"/>
  <c r="Z8505" i="1"/>
  <c r="Z8517" i="1"/>
  <c r="Z8527" i="1"/>
  <c r="Z8537" i="1"/>
  <c r="Z8549" i="1"/>
  <c r="Z8559" i="1"/>
  <c r="Z8569" i="1"/>
  <c r="Z8581" i="1"/>
  <c r="Z8591" i="1"/>
  <c r="Z8601" i="1"/>
  <c r="Z8613" i="1"/>
  <c r="Z8623" i="1"/>
  <c r="Z8633" i="1"/>
  <c r="Z8645" i="1"/>
  <c r="Z8655" i="1"/>
  <c r="Z8665" i="1"/>
  <c r="Z8677" i="1"/>
  <c r="Z8687" i="1"/>
  <c r="Z8697" i="1"/>
  <c r="Z8709" i="1"/>
  <c r="Z8719" i="1"/>
  <c r="Z8729" i="1"/>
  <c r="Z8741" i="1"/>
  <c r="Z8750" i="1"/>
  <c r="Z8759" i="1"/>
  <c r="Z8768" i="1"/>
  <c r="Z8777" i="1"/>
  <c r="Z8786" i="1"/>
  <c r="Z8796" i="1"/>
  <c r="Z8805" i="1"/>
  <c r="Z8814" i="1"/>
  <c r="Z8823" i="1"/>
  <c r="Z8832" i="1"/>
  <c r="Z8841" i="1"/>
  <c r="Z8850" i="1"/>
  <c r="Z8860" i="1"/>
  <c r="Z8869" i="1"/>
  <c r="Z8878" i="1"/>
  <c r="Z8887" i="1"/>
  <c r="Z8896" i="1"/>
  <c r="Z8905" i="1"/>
  <c r="Z8914" i="1"/>
  <c r="Z8924" i="1"/>
  <c r="Z8933" i="1"/>
  <c r="Z8942" i="1"/>
  <c r="Z8951" i="1"/>
  <c r="Z8960" i="1"/>
  <c r="Z8969" i="1"/>
  <c r="Z8978" i="1"/>
  <c r="Z8988" i="1"/>
  <c r="Z8997" i="1"/>
  <c r="Z9006" i="1"/>
  <c r="Z9015" i="1"/>
  <c r="Z9024" i="1"/>
  <c r="Z9033" i="1"/>
  <c r="Z9042" i="1"/>
  <c r="Z9052" i="1"/>
  <c r="Z9061" i="1"/>
  <c r="Z9070" i="1"/>
  <c r="Z9079" i="1"/>
  <c r="Z9088" i="1"/>
  <c r="Z9097" i="1"/>
  <c r="Z9106" i="1"/>
  <c r="Z9116" i="1"/>
  <c r="Z9125" i="1"/>
  <c r="Z9134" i="1"/>
  <c r="Z9143" i="1"/>
  <c r="Z9152" i="1"/>
  <c r="Z9161" i="1"/>
  <c r="Z9170" i="1"/>
  <c r="Z9180" i="1"/>
  <c r="Z9189" i="1"/>
  <c r="Z9198" i="1"/>
  <c r="Z9207" i="1"/>
  <c r="Z9216" i="1"/>
  <c r="Z9225" i="1"/>
  <c r="Z9234" i="1"/>
  <c r="Z9244" i="1"/>
  <c r="Z9253" i="1"/>
  <c r="Z9262" i="1"/>
  <c r="Z9271" i="1"/>
  <c r="Z9280" i="1"/>
  <c r="Z9289" i="1"/>
  <c r="Z9298" i="1"/>
  <c r="Z9308" i="1"/>
  <c r="Z9317" i="1"/>
  <c r="Z9326" i="1"/>
  <c r="Z9335" i="1"/>
  <c r="Z9344" i="1"/>
  <c r="Z9353" i="1"/>
  <c r="Z9362" i="1"/>
  <c r="Z9372" i="1"/>
  <c r="Z9381" i="1"/>
  <c r="Z9390" i="1"/>
  <c r="Z9399" i="1"/>
  <c r="Z9408" i="1"/>
  <c r="Z9417" i="1"/>
  <c r="Z9426" i="1"/>
  <c r="Z9436" i="1"/>
  <c r="Z9445" i="1"/>
  <c r="Z9454" i="1"/>
  <c r="Z9463" i="1"/>
  <c r="Z9472" i="1"/>
  <c r="Z9481" i="1"/>
  <c r="Z9490" i="1"/>
  <c r="Z9500" i="1"/>
  <c r="Z9509" i="1"/>
  <c r="Z9518" i="1"/>
  <c r="Z9527" i="1"/>
  <c r="Z9536" i="1"/>
  <c r="Z9545" i="1"/>
  <c r="Z9554" i="1"/>
  <c r="Z9564" i="1"/>
  <c r="Z9573" i="1"/>
  <c r="Z9582" i="1"/>
  <c r="Z9591" i="1"/>
  <c r="Z9600" i="1"/>
  <c r="Z9609" i="1"/>
  <c r="Z9617" i="1"/>
  <c r="Z9625" i="1"/>
  <c r="Z9633" i="1"/>
  <c r="Z9641" i="1"/>
  <c r="Z9649" i="1"/>
  <c r="Z9657" i="1"/>
  <c r="Z9665" i="1"/>
  <c r="Z9673" i="1"/>
  <c r="Z9681" i="1"/>
  <c r="Z9689" i="1"/>
  <c r="Z9697" i="1"/>
  <c r="Z9705" i="1"/>
  <c r="Z9713" i="1"/>
  <c r="Z9721" i="1"/>
  <c r="Z9729" i="1"/>
  <c r="Z9737" i="1"/>
  <c r="Z9745" i="1"/>
  <c r="Z9753" i="1"/>
  <c r="Z9761" i="1"/>
  <c r="Z9769" i="1"/>
  <c r="Z9777" i="1"/>
  <c r="Z9785" i="1"/>
  <c r="Z9793" i="1"/>
  <c r="Z9801" i="1"/>
  <c r="Z9809" i="1"/>
  <c r="Z9817" i="1"/>
  <c r="Z9825" i="1"/>
  <c r="Z9833" i="1"/>
  <c r="Z9841" i="1"/>
  <c r="Z9849" i="1"/>
  <c r="Z9857" i="1"/>
  <c r="Z9865" i="1"/>
  <c r="Z9873" i="1"/>
  <c r="Z9881" i="1"/>
  <c r="Z9889" i="1"/>
  <c r="Z9897" i="1"/>
  <c r="Z9905" i="1"/>
  <c r="Z9913" i="1"/>
  <c r="Z9921" i="1"/>
  <c r="Z9929" i="1"/>
  <c r="Z9937" i="1"/>
  <c r="Z9945" i="1"/>
  <c r="Z9953" i="1"/>
  <c r="Z9961" i="1"/>
  <c r="Z9969" i="1"/>
  <c r="Z9977" i="1"/>
  <c r="Z9985" i="1"/>
  <c r="Z9993" i="1"/>
  <c r="Z10001" i="1"/>
  <c r="Z10009" i="1"/>
  <c r="Z10017" i="1"/>
  <c r="Z10025" i="1"/>
  <c r="Z10033" i="1"/>
  <c r="Z10041" i="1"/>
  <c r="Z10049" i="1"/>
  <c r="Z10057" i="1"/>
  <c r="Z10065" i="1"/>
  <c r="Z10073" i="1"/>
  <c r="Z10081" i="1"/>
  <c r="Z10089" i="1"/>
  <c r="Z10097" i="1"/>
  <c r="Z10105" i="1"/>
  <c r="Z10113" i="1"/>
  <c r="Z10121" i="1"/>
  <c r="Z10129" i="1"/>
  <c r="Z10137" i="1"/>
  <c r="Z10145" i="1"/>
  <c r="Z10153" i="1"/>
  <c r="Z10161" i="1"/>
  <c r="Z10169" i="1"/>
  <c r="Z10177" i="1"/>
  <c r="Z10185" i="1"/>
  <c r="Z10193" i="1"/>
  <c r="Z10201" i="1"/>
  <c r="Z10209" i="1"/>
  <c r="Z10217" i="1"/>
  <c r="Z10225" i="1"/>
  <c r="Z10233" i="1"/>
  <c r="Z10241" i="1"/>
  <c r="Z10249" i="1"/>
  <c r="Z10257" i="1"/>
  <c r="Z10265" i="1"/>
  <c r="Z10273" i="1"/>
  <c r="Z10281" i="1"/>
  <c r="Z10289" i="1"/>
  <c r="Z10297" i="1"/>
  <c r="Z10305" i="1"/>
  <c r="Z10313" i="1"/>
  <c r="Z10321" i="1"/>
  <c r="Z10329" i="1"/>
  <c r="Z10337" i="1"/>
  <c r="Z10345" i="1"/>
  <c r="Z10353" i="1"/>
  <c r="Z10361" i="1"/>
  <c r="Z10369" i="1"/>
  <c r="Z10377" i="1"/>
  <c r="Z10385" i="1"/>
  <c r="Z10393" i="1"/>
  <c r="Z10401" i="1"/>
  <c r="Z10409" i="1"/>
  <c r="Z10417" i="1"/>
  <c r="Z10425" i="1"/>
  <c r="Z10433" i="1"/>
  <c r="Z10441" i="1"/>
  <c r="Z10449" i="1"/>
  <c r="Z10457" i="1"/>
  <c r="Z10465" i="1"/>
  <c r="Z10473" i="1"/>
  <c r="Z10481" i="1"/>
  <c r="Z10489" i="1"/>
  <c r="Z10497" i="1"/>
  <c r="Z10505" i="1"/>
  <c r="Z10513" i="1"/>
  <c r="Z10521" i="1"/>
  <c r="Z10529" i="1"/>
  <c r="Z10537" i="1"/>
  <c r="Z10545" i="1"/>
  <c r="Z10553" i="1"/>
  <c r="Z10561" i="1"/>
  <c r="Z10569" i="1"/>
  <c r="Z10577" i="1"/>
  <c r="Z10585" i="1"/>
  <c r="Z10593" i="1"/>
  <c r="Z10601" i="1"/>
  <c r="Z10609" i="1"/>
  <c r="Z10617" i="1"/>
  <c r="Z10625" i="1"/>
  <c r="Z10633" i="1"/>
  <c r="Z10641" i="1"/>
  <c r="Z10649" i="1"/>
  <c r="Z10657" i="1"/>
  <c r="Z10665" i="1"/>
  <c r="Z10673" i="1"/>
  <c r="Z10681" i="1"/>
  <c r="Z10689" i="1"/>
  <c r="Z10697" i="1"/>
  <c r="Z10705" i="1"/>
  <c r="Z10713" i="1"/>
  <c r="Z10721" i="1"/>
  <c r="Z10729" i="1"/>
  <c r="Z10737" i="1"/>
  <c r="Z10745" i="1"/>
  <c r="Z10753" i="1"/>
  <c r="Z10761" i="1"/>
  <c r="Z10769" i="1"/>
  <c r="Z10777" i="1"/>
  <c r="Z10785" i="1"/>
  <c r="Z10793" i="1"/>
  <c r="Z10801" i="1"/>
  <c r="Z10809" i="1"/>
  <c r="Z10817" i="1"/>
  <c r="Z10825" i="1"/>
  <c r="Z10833" i="1"/>
  <c r="Z10841" i="1"/>
  <c r="Z10849" i="1"/>
  <c r="Z10857" i="1"/>
  <c r="Z10865" i="1"/>
  <c r="Z10873" i="1"/>
  <c r="Z10881" i="1"/>
  <c r="Z10889" i="1"/>
  <c r="Z10897" i="1"/>
  <c r="Z10905" i="1"/>
  <c r="Z10913" i="1"/>
  <c r="Z10921" i="1"/>
  <c r="Z10929" i="1"/>
  <c r="Z10937" i="1"/>
  <c r="Z10945" i="1"/>
  <c r="Z10953" i="1"/>
  <c r="Z10961" i="1"/>
  <c r="Z10969" i="1"/>
  <c r="Z10977" i="1"/>
  <c r="Z10985" i="1"/>
  <c r="Z10993" i="1"/>
  <c r="Z11001" i="1"/>
  <c r="Z11009" i="1"/>
  <c r="Z11017" i="1"/>
  <c r="Z11025" i="1"/>
  <c r="Z11033" i="1"/>
  <c r="Z11041" i="1"/>
  <c r="Z4552" i="1"/>
  <c r="Z4654" i="1"/>
  <c r="Z4737" i="1"/>
  <c r="Z4817" i="1"/>
  <c r="Z4888" i="1"/>
  <c r="Z4959" i="1"/>
  <c r="Z5025" i="1"/>
  <c r="Z5096" i="1"/>
  <c r="Z5162" i="1"/>
  <c r="Z5225" i="1"/>
  <c r="Z5270" i="1"/>
  <c r="Z5313" i="1"/>
  <c r="Z5353" i="1"/>
  <c r="Z5386" i="1"/>
  <c r="Z5415" i="1"/>
  <c r="Z5444" i="1"/>
  <c r="Z5472" i="1"/>
  <c r="Z5504" i="1"/>
  <c r="Z5533" i="1"/>
  <c r="Z5561" i="1"/>
  <c r="Z5590" i="1"/>
  <c r="Z5618" i="1"/>
  <c r="Z5650" i="1"/>
  <c r="Z5679" i="1"/>
  <c r="Z5708" i="1"/>
  <c r="Z5736" i="1"/>
  <c r="Z5765" i="1"/>
  <c r="Z5797" i="1"/>
  <c r="Z5825" i="1"/>
  <c r="Z5854" i="1"/>
  <c r="Z5882" i="1"/>
  <c r="Z5911" i="1"/>
  <c r="Z5943" i="1"/>
  <c r="Z5972" i="1"/>
  <c r="Z5999" i="1"/>
  <c r="Z6025" i="1"/>
  <c r="Z6045" i="1"/>
  <c r="Z6070" i="1"/>
  <c r="Z6087" i="1"/>
  <c r="Z6110" i="1"/>
  <c r="Z6130" i="1"/>
  <c r="Z6150" i="1"/>
  <c r="Z6170" i="1"/>
  <c r="Z6190" i="1"/>
  <c r="Z6210" i="1"/>
  <c r="Z6233" i="1"/>
  <c r="Z6250" i="1"/>
  <c r="Z6273" i="1"/>
  <c r="Z6290" i="1"/>
  <c r="Z6313" i="1"/>
  <c r="Z6336" i="1"/>
  <c r="Z6353" i="1"/>
  <c r="Z6376" i="1"/>
  <c r="Z6393" i="1"/>
  <c r="Z6416" i="1"/>
  <c r="Z6439" i="1"/>
  <c r="Z6456" i="1"/>
  <c r="Z6479" i="1"/>
  <c r="Z6496" i="1"/>
  <c r="Z6519" i="1"/>
  <c r="Z6542" i="1"/>
  <c r="Z6559" i="1"/>
  <c r="Z6582" i="1"/>
  <c r="Z6599" i="1"/>
  <c r="Z6622" i="1"/>
  <c r="Z6642" i="1"/>
  <c r="Z6662" i="1"/>
  <c r="Z6682" i="1"/>
  <c r="Z6702" i="1"/>
  <c r="Z6722" i="1"/>
  <c r="Z6745" i="1"/>
  <c r="Z6762" i="1"/>
  <c r="Z6783" i="1"/>
  <c r="Z6798" i="1"/>
  <c r="Z6816" i="1"/>
  <c r="Z6834" i="1"/>
  <c r="Z6849" i="1"/>
  <c r="Z6869" i="1"/>
  <c r="Z6882" i="1"/>
  <c r="Z6902" i="1"/>
  <c r="Z6920" i="1"/>
  <c r="Z6935" i="1"/>
  <c r="Z6953" i="1"/>
  <c r="Z6968" i="1"/>
  <c r="Z6986" i="1"/>
  <c r="Z7006" i="1"/>
  <c r="Z7021" i="1"/>
  <c r="Z7039" i="1"/>
  <c r="Z7054" i="1"/>
  <c r="Z7072" i="1"/>
  <c r="Z7090" i="1"/>
  <c r="Z7105" i="1"/>
  <c r="Z7125" i="1"/>
  <c r="Z7138" i="1"/>
  <c r="Z7158" i="1"/>
  <c r="Z7176" i="1"/>
  <c r="Z7191" i="1"/>
  <c r="Z7207" i="1"/>
  <c r="Z7220" i="1"/>
  <c r="Z7236" i="1"/>
  <c r="Z7252" i="1"/>
  <c r="Z7264" i="1"/>
  <c r="Z7280" i="1"/>
  <c r="Z7293" i="1"/>
  <c r="Z7309" i="1"/>
  <c r="Z7325" i="1"/>
  <c r="Z7337" i="1"/>
  <c r="Z7353" i="1"/>
  <c r="Z7366" i="1"/>
  <c r="Z7382" i="1"/>
  <c r="Z7398" i="1"/>
  <c r="Z7410" i="1"/>
  <c r="Z7426" i="1"/>
  <c r="Z7439" i="1"/>
  <c r="Z7455" i="1"/>
  <c r="Z7471" i="1"/>
  <c r="Z7484" i="1"/>
  <c r="Z7500" i="1"/>
  <c r="Z7512" i="1"/>
  <c r="Z7528" i="1"/>
  <c r="Z7544" i="1"/>
  <c r="Z7557" i="1"/>
  <c r="Z7573" i="1"/>
  <c r="Z7585" i="1"/>
  <c r="Z7601" i="1"/>
  <c r="Z7617" i="1"/>
  <c r="Z7630" i="1"/>
  <c r="Z7646" i="1"/>
  <c r="Z7658" i="1"/>
  <c r="Z7674" i="1"/>
  <c r="Z7690" i="1"/>
  <c r="Z7703" i="1"/>
  <c r="Z7719" i="1"/>
  <c r="Z7732" i="1"/>
  <c r="Z7748" i="1"/>
  <c r="Z7764" i="1"/>
  <c r="Z7776" i="1"/>
  <c r="Z7792" i="1"/>
  <c r="Z7805" i="1"/>
  <c r="Z7821" i="1"/>
  <c r="Z7837" i="1"/>
  <c r="Z7849" i="1"/>
  <c r="Z7865" i="1"/>
  <c r="Z7878" i="1"/>
  <c r="Z7894" i="1"/>
  <c r="Z7910" i="1"/>
  <c r="Z7922" i="1"/>
  <c r="Z7938" i="1"/>
  <c r="Z7951" i="1"/>
  <c r="Z7967" i="1"/>
  <c r="Z7982" i="1"/>
  <c r="Z7993" i="1"/>
  <c r="Z8007" i="1"/>
  <c r="Z8018" i="1"/>
  <c r="Z8032" i="1"/>
  <c r="Z8046" i="1"/>
  <c r="Z8057" i="1"/>
  <c r="Z8071" i="1"/>
  <c r="Z8082" i="1"/>
  <c r="Z8096" i="1"/>
  <c r="Z8110" i="1"/>
  <c r="Z8121" i="1"/>
  <c r="Z8135" i="1"/>
  <c r="Z8146" i="1"/>
  <c r="Z8160" i="1"/>
  <c r="Z8174" i="1"/>
  <c r="Z8185" i="1"/>
  <c r="Z8199" i="1"/>
  <c r="Z8210" i="1"/>
  <c r="Z4576" i="1"/>
  <c r="Z4673" i="1"/>
  <c r="Z4753" i="1"/>
  <c r="Z4833" i="1"/>
  <c r="Z4905" i="1"/>
  <c r="Z4973" i="1"/>
  <c r="Z5042" i="1"/>
  <c r="Z5110" i="1"/>
  <c r="Z5176" i="1"/>
  <c r="Z5240" i="1"/>
  <c r="Z5280" i="1"/>
  <c r="Z5314" i="1"/>
  <c r="Z5358" i="1"/>
  <c r="Z5388" i="1"/>
  <c r="Z5416" i="1"/>
  <c r="Z5445" i="1"/>
  <c r="Z5477" i="1"/>
  <c r="Z5505" i="1"/>
  <c r="Z5534" i="1"/>
  <c r="Z5562" i="1"/>
  <c r="Z5591" i="1"/>
  <c r="Z5623" i="1"/>
  <c r="Z5652" i="1"/>
  <c r="Z5680" i="1"/>
  <c r="Z5709" i="1"/>
  <c r="Z5737" i="1"/>
  <c r="Z5769" i="1"/>
  <c r="Z5798" i="1"/>
  <c r="Z5826" i="1"/>
  <c r="Z5855" i="1"/>
  <c r="Z5884" i="1"/>
  <c r="Z5916" i="1"/>
  <c r="Z5944" i="1"/>
  <c r="Z5973" i="1"/>
  <c r="Z6000" i="1"/>
  <c r="Z6026" i="1"/>
  <c r="Z6046" i="1"/>
  <c r="Z6071" i="1"/>
  <c r="Z6094" i="1"/>
  <c r="Z6111" i="1"/>
  <c r="Z6134" i="1"/>
  <c r="Z6151" i="1"/>
  <c r="Z6174" i="1"/>
  <c r="Z6194" i="1"/>
  <c r="Z6214" i="1"/>
  <c r="Z6234" i="1"/>
  <c r="Z6254" i="1"/>
  <c r="Z6274" i="1"/>
  <c r="Z6297" i="1"/>
  <c r="Z6314" i="1"/>
  <c r="Z6337" i="1"/>
  <c r="Z6354" i="1"/>
  <c r="Z6377" i="1"/>
  <c r="Z6400" i="1"/>
  <c r="Z6417" i="1"/>
  <c r="Z6440" i="1"/>
  <c r="Z6457" i="1"/>
  <c r="Z6480" i="1"/>
  <c r="Z6503" i="1"/>
  <c r="Z6520" i="1"/>
  <c r="Z6543" i="1"/>
  <c r="Z6560" i="1"/>
  <c r="Z6583" i="1"/>
  <c r="Z6606" i="1"/>
  <c r="Z6623" i="1"/>
  <c r="Z6646" i="1"/>
  <c r="Z6663" i="1"/>
  <c r="Z6686" i="1"/>
  <c r="Z6706" i="1"/>
  <c r="Z6726" i="1"/>
  <c r="Z6746" i="1"/>
  <c r="Z6766" i="1"/>
  <c r="Z6784" i="1"/>
  <c r="Z6802" i="1"/>
  <c r="Z6817" i="1"/>
  <c r="Z6837" i="1"/>
  <c r="Z6850" i="1"/>
  <c r="Z6870" i="1"/>
  <c r="Z6888" i="1"/>
  <c r="Z6903" i="1"/>
  <c r="Z6921" i="1"/>
  <c r="Z6936" i="1"/>
  <c r="Z6954" i="1"/>
  <c r="Z6974" i="1"/>
  <c r="Z6989" i="1"/>
  <c r="Z7007" i="1"/>
  <c r="Z7022" i="1"/>
  <c r="Z7040" i="1"/>
  <c r="Z7058" i="1"/>
  <c r="Z7073" i="1"/>
  <c r="Z7093" i="1"/>
  <c r="Z7106" i="1"/>
  <c r="Z7126" i="1"/>
  <c r="Z7144" i="1"/>
  <c r="Z7159" i="1"/>
  <c r="Z7177" i="1"/>
  <c r="Z7192" i="1"/>
  <c r="Z7208" i="1"/>
  <c r="Z7224" i="1"/>
  <c r="Z7237" i="1"/>
  <c r="Z7253" i="1"/>
  <c r="Z7265" i="1"/>
  <c r="Z7281" i="1"/>
  <c r="Z7297" i="1"/>
  <c r="Z7310" i="1"/>
  <c r="Z7326" i="1"/>
  <c r="Z7338" i="1"/>
  <c r="Z7354" i="1"/>
  <c r="Z7370" i="1"/>
  <c r="Z7383" i="1"/>
  <c r="Z7399" i="1"/>
  <c r="Z7412" i="1"/>
  <c r="Z7428" i="1"/>
  <c r="Z7444" i="1"/>
  <c r="Z7456" i="1"/>
  <c r="Z7472" i="1"/>
  <c r="Z7485" i="1"/>
  <c r="Z7501" i="1"/>
  <c r="Z4577" i="1"/>
  <c r="Z4674" i="1"/>
  <c r="Z4754" i="1"/>
  <c r="Z4840" i="1"/>
  <c r="Z4906" i="1"/>
  <c r="Z4974" i="1"/>
  <c r="Z5045" i="1"/>
  <c r="Z5111" i="1"/>
  <c r="Z5182" i="1"/>
  <c r="Z5241" i="1"/>
  <c r="Z5285" i="1"/>
  <c r="Z5325" i="1"/>
  <c r="Z5359" i="1"/>
  <c r="Z5397" i="1"/>
  <c r="Z5425" i="1"/>
  <c r="Z5454" i="1"/>
  <c r="Z5486" i="1"/>
  <c r="Z5514" i="1"/>
  <c r="Z5543" i="1"/>
  <c r="Z5572" i="1"/>
  <c r="Z5600" i="1"/>
  <c r="Z5632" i="1"/>
  <c r="Z5661" i="1"/>
  <c r="Z5689" i="1"/>
  <c r="Z5718" i="1"/>
  <c r="Z5746" i="1"/>
  <c r="Z5778" i="1"/>
  <c r="Z5807" i="1"/>
  <c r="Z5836" i="1"/>
  <c r="Z5864" i="1"/>
  <c r="Z5893" i="1"/>
  <c r="Z5925" i="1"/>
  <c r="Z5953" i="1"/>
  <c r="Z5982" i="1"/>
  <c r="Z6001" i="1"/>
  <c r="Z6028" i="1"/>
  <c r="Z6054" i="1"/>
  <c r="Z6072" i="1"/>
  <c r="Z6095" i="1"/>
  <c r="Z6112" i="1"/>
  <c r="Z6135" i="1"/>
  <c r="Z6158" i="1"/>
  <c r="Z6175" i="1"/>
  <c r="Z6198" i="1"/>
  <c r="Z6215" i="1"/>
  <c r="Z6238" i="1"/>
  <c r="Z6258" i="1"/>
  <c r="Z6278" i="1"/>
  <c r="Z6298" i="1"/>
  <c r="Z6318" i="1"/>
  <c r="Z6338" i="1"/>
  <c r="Z6361" i="1"/>
  <c r="Z6378" i="1"/>
  <c r="Z6401" i="1"/>
  <c r="Z6418" i="1"/>
  <c r="Z6441" i="1"/>
  <c r="Z6464" i="1"/>
  <c r="Z6481" i="1"/>
  <c r="Z6504" i="1"/>
  <c r="Z6521" i="1"/>
  <c r="Z6544" i="1"/>
  <c r="Z6567" i="1"/>
  <c r="Z6584" i="1"/>
  <c r="Z6607" i="1"/>
  <c r="Z6624" i="1"/>
  <c r="Z6647" i="1"/>
  <c r="Z6670" i="1"/>
  <c r="Z6687" i="1"/>
  <c r="Z6710" i="1"/>
  <c r="Z6727" i="1"/>
  <c r="Z6750" i="1"/>
  <c r="Z6770" i="1"/>
  <c r="Z6785" i="1"/>
  <c r="Z6805" i="1"/>
  <c r="Z6818" i="1"/>
  <c r="Z6838" i="1"/>
  <c r="Z6856" i="1"/>
  <c r="Z6871" i="1"/>
  <c r="Z6889" i="1"/>
  <c r="Z6904" i="1"/>
  <c r="Z6922" i="1"/>
  <c r="Z6942" i="1"/>
  <c r="Z6957" i="1"/>
  <c r="Z6975" i="1"/>
  <c r="Z6990" i="1"/>
  <c r="Z7008" i="1"/>
  <c r="Z7026" i="1"/>
  <c r="Z7041" i="1"/>
  <c r="Z7061" i="1"/>
  <c r="Z7074" i="1"/>
  <c r="Z7094" i="1"/>
  <c r="Z7112" i="1"/>
  <c r="Z7127" i="1"/>
  <c r="Z7145" i="1"/>
  <c r="Z7160" i="1"/>
  <c r="Z7178" i="1"/>
  <c r="Z7197" i="1"/>
  <c r="Z7209" i="1"/>
  <c r="Z7225" i="1"/>
  <c r="Z7238" i="1"/>
  <c r="Z7254" i="1"/>
  <c r="Z7270" i="1"/>
  <c r="Z7282" i="1"/>
  <c r="Z7298" i="1"/>
  <c r="Z7311" i="1"/>
  <c r="Z7327" i="1"/>
  <c r="Z7343" i="1"/>
  <c r="Z7356" i="1"/>
  <c r="Z7372" i="1"/>
  <c r="Z7384" i="1"/>
  <c r="Z7400" i="1"/>
  <c r="Z7416" i="1"/>
  <c r="Z7429" i="1"/>
  <c r="Z7445" i="1"/>
  <c r="Z7457" i="1"/>
  <c r="Z7473" i="1"/>
  <c r="Z7489" i="1"/>
  <c r="Z7502" i="1"/>
  <c r="Z7518" i="1"/>
  <c r="Z7530" i="1"/>
  <c r="Z7546" i="1"/>
  <c r="Z7562" i="1"/>
  <c r="Z4601" i="1"/>
  <c r="Z4690" i="1"/>
  <c r="Z4776" i="1"/>
  <c r="Z4854" i="1"/>
  <c r="Z4920" i="1"/>
  <c r="Z4991" i="1"/>
  <c r="Z5057" i="1"/>
  <c r="Z5128" i="1"/>
  <c r="Z5194" i="1"/>
  <c r="Z5252" i="1"/>
  <c r="Z5286" i="1"/>
  <c r="Z5326" i="1"/>
  <c r="Z5369" i="1"/>
  <c r="Z5398" i="1"/>
  <c r="Z5426" i="1"/>
  <c r="Z5458" i="1"/>
  <c r="Z5487" i="1"/>
  <c r="Z5516" i="1"/>
  <c r="Z5544" i="1"/>
  <c r="Z5573" i="1"/>
  <c r="Z5605" i="1"/>
  <c r="Z5633" i="1"/>
  <c r="Z5662" i="1"/>
  <c r="Z5690" i="1"/>
  <c r="Z5719" i="1"/>
  <c r="Z5751" i="1"/>
  <c r="Z5780" i="1"/>
  <c r="Z5808" i="1"/>
  <c r="Z5837" i="1"/>
  <c r="Z5865" i="1"/>
  <c r="Z5897" i="1"/>
  <c r="Z5926" i="1"/>
  <c r="Z5954" i="1"/>
  <c r="Z5983" i="1"/>
  <c r="Z6009" i="1"/>
  <c r="Z6029" i="1"/>
  <c r="Z6055" i="1"/>
  <c r="Z6073" i="1"/>
  <c r="Z6096" i="1"/>
  <c r="Z6119" i="1"/>
  <c r="Z6136" i="1"/>
  <c r="Z6159" i="1"/>
  <c r="Z6176" i="1"/>
  <c r="Z6199" i="1"/>
  <c r="Z6222" i="1"/>
  <c r="Z6239" i="1"/>
  <c r="Z6262" i="1"/>
  <c r="Z6279" i="1"/>
  <c r="Z6302" i="1"/>
  <c r="Z6322" i="1"/>
  <c r="Z6342" i="1"/>
  <c r="Z6362" i="1"/>
  <c r="Z6382" i="1"/>
  <c r="Z6402" i="1"/>
  <c r="Z6425" i="1"/>
  <c r="Z6442" i="1"/>
  <c r="Z6465" i="1"/>
  <c r="Z6482" i="1"/>
  <c r="Z6505" i="1"/>
  <c r="Z6528" i="1"/>
  <c r="Z6545" i="1"/>
  <c r="Z6568" i="1"/>
  <c r="Z6585" i="1"/>
  <c r="Z6608" i="1"/>
  <c r="Z6631" i="1"/>
  <c r="Z6648" i="1"/>
  <c r="Z6671" i="1"/>
  <c r="Z6688" i="1"/>
  <c r="Z6711" i="1"/>
  <c r="Z6734" i="1"/>
  <c r="Z6751" i="1"/>
  <c r="Z6773" i="1"/>
  <c r="Z6786" i="1"/>
  <c r="Z6806" i="1"/>
  <c r="Z6824" i="1"/>
  <c r="Z6839" i="1"/>
  <c r="Z6857" i="1"/>
  <c r="Z6872" i="1"/>
  <c r="Z6890" i="1"/>
  <c r="Z6910" i="1"/>
  <c r="Z6925" i="1"/>
  <c r="Z6943" i="1"/>
  <c r="Z6958" i="1"/>
  <c r="Z6976" i="1"/>
  <c r="Z6994" i="1"/>
  <c r="Z4602" i="1"/>
  <c r="Z4694" i="1"/>
  <c r="Z4777" i="1"/>
  <c r="Z4855" i="1"/>
  <c r="Z4926" i="1"/>
  <c r="Z4992" i="1"/>
  <c r="Z5058" i="1"/>
  <c r="Z5129" i="1"/>
  <c r="Z5197" i="1"/>
  <c r="Z5253" i="1"/>
  <c r="Z5296" i="1"/>
  <c r="Z5330" i="1"/>
  <c r="Z5370" i="1"/>
  <c r="Z5399" i="1"/>
  <c r="Z5431" i="1"/>
  <c r="Z5460" i="1"/>
  <c r="Z5488" i="1"/>
  <c r="Z5517" i="1"/>
  <c r="Z5545" i="1"/>
  <c r="Z5577" i="1"/>
  <c r="Z5606" i="1"/>
  <c r="Z5634" i="1"/>
  <c r="Z5663" i="1"/>
  <c r="Z5692" i="1"/>
  <c r="Z5724" i="1"/>
  <c r="Z5752" i="1"/>
  <c r="Z5781" i="1"/>
  <c r="Z5809" i="1"/>
  <c r="Z5838" i="1"/>
  <c r="Z5870" i="1"/>
  <c r="Z5898" i="1"/>
  <c r="Z5927" i="1"/>
  <c r="Z5956" i="1"/>
  <c r="Z5984" i="1"/>
  <c r="Z6010" i="1"/>
  <c r="Z6030" i="1"/>
  <c r="Z6056" i="1"/>
  <c r="Z6080" i="1"/>
  <c r="Z6097" i="1"/>
  <c r="Z6120" i="1"/>
  <c r="Z6137" i="1"/>
  <c r="Z6160" i="1"/>
  <c r="Z6183" i="1"/>
  <c r="Z6200" i="1"/>
  <c r="Z6223" i="1"/>
  <c r="Z6240" i="1"/>
  <c r="Z6263" i="1"/>
  <c r="Z6286" i="1"/>
  <c r="Z6303" i="1"/>
  <c r="Z6326" i="1"/>
  <c r="Z6343" i="1"/>
  <c r="Z6366" i="1"/>
  <c r="Z6386" i="1"/>
  <c r="Z6406" i="1"/>
  <c r="Z6426" i="1"/>
  <c r="Z6446" i="1"/>
  <c r="Z6466" i="1"/>
  <c r="Z6489" i="1"/>
  <c r="Z6506" i="1"/>
  <c r="Z6529" i="1"/>
  <c r="Z6546" i="1"/>
  <c r="Z6569" i="1"/>
  <c r="Z6592" i="1"/>
  <c r="Z6609" i="1"/>
  <c r="Z6632" i="1"/>
  <c r="Z6649" i="1"/>
  <c r="Z6672" i="1"/>
  <c r="Z6695" i="1"/>
  <c r="Z6712" i="1"/>
  <c r="Z6735" i="1"/>
  <c r="Z6752" i="1"/>
  <c r="Z6774" i="1"/>
  <c r="Z6792" i="1"/>
  <c r="Z6807" i="1"/>
  <c r="Z6825" i="1"/>
  <c r="Z6840" i="1"/>
  <c r="Z6858" i="1"/>
  <c r="Z6878" i="1"/>
  <c r="Z6893" i="1"/>
  <c r="Z6911" i="1"/>
  <c r="Z6926" i="1"/>
  <c r="Z6944" i="1"/>
  <c r="Z6962" i="1"/>
  <c r="Z6977" i="1"/>
  <c r="Z6997" i="1"/>
  <c r="Z7010" i="1"/>
  <c r="Z7030" i="1"/>
  <c r="Z7009" i="1"/>
  <c r="Z7095" i="1"/>
  <c r="Z7166" i="1"/>
  <c r="Z7226" i="1"/>
  <c r="Z7284" i="1"/>
  <c r="Z7344" i="1"/>
  <c r="Z7401" i="1"/>
  <c r="Z7462" i="1"/>
  <c r="Z7517" i="1"/>
  <c r="Z7549" i="1"/>
  <c r="Z7590" i="1"/>
  <c r="Z7618" i="1"/>
  <c r="Z7647" i="1"/>
  <c r="Z7676" i="1"/>
  <c r="Z7704" i="1"/>
  <c r="Z7736" i="1"/>
  <c r="Z7765" i="1"/>
  <c r="Z7793" i="1"/>
  <c r="Z7822" i="1"/>
  <c r="Z7850" i="1"/>
  <c r="Z7882" i="1"/>
  <c r="Z7911" i="1"/>
  <c r="Z7940" i="1"/>
  <c r="Z7968" i="1"/>
  <c r="Z7994" i="1"/>
  <c r="Z8022" i="1"/>
  <c r="Z8047" i="1"/>
  <c r="Z8072" i="1"/>
  <c r="Z8097" i="1"/>
  <c r="Z8122" i="1"/>
  <c r="Z8150" i="1"/>
  <c r="Z8175" i="1"/>
  <c r="Z8200" i="1"/>
  <c r="Z8224" i="1"/>
  <c r="Z8241" i="1"/>
  <c r="Z8264" i="1"/>
  <c r="Z8281" i="1"/>
  <c r="Z8304" i="1"/>
  <c r="Z8327" i="1"/>
  <c r="Z8344" i="1"/>
  <c r="Z8367" i="1"/>
  <c r="Z8384" i="1"/>
  <c r="Z8407" i="1"/>
  <c r="Z8430" i="1"/>
  <c r="Z8447" i="1"/>
  <c r="Z8465" i="1"/>
  <c r="Z8480" i="1"/>
  <c r="Z8498" i="1"/>
  <c r="Z8518" i="1"/>
  <c r="Z8533" i="1"/>
  <c r="Z8551" i="1"/>
  <c r="Z8566" i="1"/>
  <c r="Z8584" i="1"/>
  <c r="Z8602" i="1"/>
  <c r="Z8617" i="1"/>
  <c r="Z8637" i="1"/>
  <c r="Z8650" i="1"/>
  <c r="Z8670" i="1"/>
  <c r="Z8688" i="1"/>
  <c r="Z8703" i="1"/>
  <c r="Z8721" i="1"/>
  <c r="Z8736" i="1"/>
  <c r="Z8753" i="1"/>
  <c r="Z8769" i="1"/>
  <c r="Z8782" i="1"/>
  <c r="Z8798" i="1"/>
  <c r="Z8810" i="1"/>
  <c r="Z8826" i="1"/>
  <c r="Z8842" i="1"/>
  <c r="Z8855" i="1"/>
  <c r="Z8871" i="1"/>
  <c r="Z8884" i="1"/>
  <c r="Z8900" i="1"/>
  <c r="Z8916" i="1"/>
  <c r="Z8928" i="1"/>
  <c r="Z8944" i="1"/>
  <c r="Z8957" i="1"/>
  <c r="Z8973" i="1"/>
  <c r="Z8989" i="1"/>
  <c r="Z9001" i="1"/>
  <c r="Z9017" i="1"/>
  <c r="Z9030" i="1"/>
  <c r="Z9046" i="1"/>
  <c r="Z9062" i="1"/>
  <c r="Z9074" i="1"/>
  <c r="Z9090" i="1"/>
  <c r="Z9103" i="1"/>
  <c r="Z9119" i="1"/>
  <c r="Z9135" i="1"/>
  <c r="Z9148" i="1"/>
  <c r="Z9164" i="1"/>
  <c r="Z9176" i="1"/>
  <c r="Z9192" i="1"/>
  <c r="Z9208" i="1"/>
  <c r="Z9221" i="1"/>
  <c r="Z9237" i="1"/>
  <c r="Z9249" i="1"/>
  <c r="Z9265" i="1"/>
  <c r="Z9281" i="1"/>
  <c r="Z9294" i="1"/>
  <c r="Z9310" i="1"/>
  <c r="Z9322" i="1"/>
  <c r="Z9338" i="1"/>
  <c r="Z9354" i="1"/>
  <c r="Z9367" i="1"/>
  <c r="Z9383" i="1"/>
  <c r="Z9396" i="1"/>
  <c r="Z9412" i="1"/>
  <c r="Z9428" i="1"/>
  <c r="Z9440" i="1"/>
  <c r="Z9456" i="1"/>
  <c r="Z9469" i="1"/>
  <c r="Z9485" i="1"/>
  <c r="Z9501" i="1"/>
  <c r="Z9513" i="1"/>
  <c r="Z9529" i="1"/>
  <c r="Z9542" i="1"/>
  <c r="Z9558" i="1"/>
  <c r="Z9574" i="1"/>
  <c r="Z9586" i="1"/>
  <c r="Z9602" i="1"/>
  <c r="Z9614" i="1"/>
  <c r="Z9628" i="1"/>
  <c r="Z9642" i="1"/>
  <c r="Z9653" i="1"/>
  <c r="Z9667" i="1"/>
  <c r="Z9678" i="1"/>
  <c r="Z9692" i="1"/>
  <c r="Z9706" i="1"/>
  <c r="Z9717" i="1"/>
  <c r="Z9731" i="1"/>
  <c r="Z9742" i="1"/>
  <c r="Z9756" i="1"/>
  <c r="Z9770" i="1"/>
  <c r="Z9781" i="1"/>
  <c r="Z9795" i="1"/>
  <c r="Z9806" i="1"/>
  <c r="Z9820" i="1"/>
  <c r="Z9834" i="1"/>
  <c r="Z9845" i="1"/>
  <c r="Z9859" i="1"/>
  <c r="Z9870" i="1"/>
  <c r="Z9884" i="1"/>
  <c r="Z9898" i="1"/>
  <c r="Z9909" i="1"/>
  <c r="Z9923" i="1"/>
  <c r="Z9934" i="1"/>
  <c r="Z9948" i="1"/>
  <c r="Z9962" i="1"/>
  <c r="Z9973" i="1"/>
  <c r="Z9987" i="1"/>
  <c r="Z9998" i="1"/>
  <c r="Z10012" i="1"/>
  <c r="Z10026" i="1"/>
  <c r="Z10037" i="1"/>
  <c r="Z10051" i="1"/>
  <c r="Z10062" i="1"/>
  <c r="Z10076" i="1"/>
  <c r="Z10090" i="1"/>
  <c r="Z10101" i="1"/>
  <c r="Z10115" i="1"/>
  <c r="Z10126" i="1"/>
  <c r="Z10140" i="1"/>
  <c r="Z10154" i="1"/>
  <c r="Z10165" i="1"/>
  <c r="Z10179" i="1"/>
  <c r="Z10190" i="1"/>
  <c r="Z10204" i="1"/>
  <c r="Z10218" i="1"/>
  <c r="Z10229" i="1"/>
  <c r="Z10243" i="1"/>
  <c r="Z10254" i="1"/>
  <c r="Z10268" i="1"/>
  <c r="Z10282" i="1"/>
  <c r="Z10293" i="1"/>
  <c r="Z10307" i="1"/>
  <c r="Z10318" i="1"/>
  <c r="Z10332" i="1"/>
  <c r="Z10346" i="1"/>
  <c r="Z10357" i="1"/>
  <c r="Z10371" i="1"/>
  <c r="Z10382" i="1"/>
  <c r="Z10396" i="1"/>
  <c r="Z10410" i="1"/>
  <c r="Z10421" i="1"/>
  <c r="Z10435" i="1"/>
  <c r="Z10446" i="1"/>
  <c r="Z10460" i="1"/>
  <c r="Z10474" i="1"/>
  <c r="Z10485" i="1"/>
  <c r="Z10499" i="1"/>
  <c r="Z10510" i="1"/>
  <c r="Z10524" i="1"/>
  <c r="Z10538" i="1"/>
  <c r="Z10549" i="1"/>
  <c r="Z10563" i="1"/>
  <c r="Z10574" i="1"/>
  <c r="Z10588" i="1"/>
  <c r="Z10602" i="1"/>
  <c r="Z10613" i="1"/>
  <c r="Z10627" i="1"/>
  <c r="Z10638" i="1"/>
  <c r="Z10652" i="1"/>
  <c r="Z10666" i="1"/>
  <c r="Z10677" i="1"/>
  <c r="Z10691" i="1"/>
  <c r="Z10702" i="1"/>
  <c r="Z10716" i="1"/>
  <c r="Z10730" i="1"/>
  <c r="Z10741" i="1"/>
  <c r="Z10755" i="1"/>
  <c r="Z10766" i="1"/>
  <c r="Z10780" i="1"/>
  <c r="Z10794" i="1"/>
  <c r="Z10805" i="1"/>
  <c r="Z10819" i="1"/>
  <c r="Z10830" i="1"/>
  <c r="Z10844" i="1"/>
  <c r="Z10858" i="1"/>
  <c r="Z10869" i="1"/>
  <c r="Z10883" i="1"/>
  <c r="Z10894" i="1"/>
  <c r="Z10908" i="1"/>
  <c r="Z10922" i="1"/>
  <c r="Z10933" i="1"/>
  <c r="Z10947" i="1"/>
  <c r="Z10958" i="1"/>
  <c r="Z10972" i="1"/>
  <c r="Z10986" i="1"/>
  <c r="Z10997" i="1"/>
  <c r="Z11011" i="1"/>
  <c r="Z11022" i="1"/>
  <c r="Z11036" i="1"/>
  <c r="Z11049" i="1"/>
  <c r="Z11059" i="1"/>
  <c r="Z11069" i="1"/>
  <c r="Z11081" i="1"/>
  <c r="Z11091" i="1"/>
  <c r="Z11101" i="1"/>
  <c r="Z11113" i="1"/>
  <c r="Z11123" i="1"/>
  <c r="Z11133" i="1"/>
  <c r="Z11145" i="1"/>
  <c r="Z11155" i="1"/>
  <c r="Z11165" i="1"/>
  <c r="Z11177" i="1"/>
  <c r="Z11187" i="1"/>
  <c r="Z11197" i="1"/>
  <c r="Z11209" i="1"/>
  <c r="Z11219" i="1"/>
  <c r="Z11228" i="1"/>
  <c r="Z11237" i="1"/>
  <c r="Z11246" i="1"/>
  <c r="Z11256" i="1"/>
  <c r="Z11265" i="1"/>
  <c r="Z11274" i="1"/>
  <c r="Z11283" i="1"/>
  <c r="Z11292" i="1"/>
  <c r="Z11301" i="1"/>
  <c r="Z11310" i="1"/>
  <c r="Z11320" i="1"/>
  <c r="Z11329" i="1"/>
  <c r="Z11338" i="1"/>
  <c r="Z11347" i="1"/>
  <c r="Z11356" i="1"/>
  <c r="Z11365" i="1"/>
  <c r="Z11374" i="1"/>
  <c r="Z11384" i="1"/>
  <c r="Z11393" i="1"/>
  <c r="Z11402" i="1"/>
  <c r="Z11411" i="1"/>
  <c r="Z11420" i="1"/>
  <c r="Z11429" i="1"/>
  <c r="Z11438" i="1"/>
  <c r="Z11448" i="1"/>
  <c r="Z11457" i="1"/>
  <c r="Z11466" i="1"/>
  <c r="Z11475" i="1"/>
  <c r="Z11484" i="1"/>
  <c r="Z11493" i="1"/>
  <c r="Z11502" i="1"/>
  <c r="Z11512" i="1"/>
  <c r="Z11521" i="1"/>
  <c r="Z11530" i="1"/>
  <c r="Z11539" i="1"/>
  <c r="Z11548" i="1"/>
  <c r="Z11557" i="1"/>
  <c r="Z11566" i="1"/>
  <c r="Z11576" i="1"/>
  <c r="Z11585" i="1"/>
  <c r="Z11594" i="1"/>
  <c r="Z11603" i="1"/>
  <c r="Z11612" i="1"/>
  <c r="Z11621" i="1"/>
  <c r="Z11630" i="1"/>
  <c r="Z11640" i="1"/>
  <c r="Z11649" i="1"/>
  <c r="Z11658" i="1"/>
  <c r="Z11667" i="1"/>
  <c r="Z11676" i="1"/>
  <c r="Z11685" i="1"/>
  <c r="Z11694" i="1"/>
  <c r="Z11704" i="1"/>
  <c r="Z11713" i="1"/>
  <c r="Z11722" i="1"/>
  <c r="Z11731" i="1"/>
  <c r="Z11740" i="1"/>
  <c r="Z11749" i="1"/>
  <c r="Z11758" i="1"/>
  <c r="Z11768" i="1"/>
  <c r="Z11777" i="1"/>
  <c r="Z11786" i="1"/>
  <c r="Z11795" i="1"/>
  <c r="Z11804" i="1"/>
  <c r="Z11813" i="1"/>
  <c r="Z11822" i="1"/>
  <c r="Z11832" i="1"/>
  <c r="Z11841" i="1"/>
  <c r="Z11850" i="1"/>
  <c r="Z11859" i="1"/>
  <c r="Z11868" i="1"/>
  <c r="Z11877" i="1"/>
  <c r="Z11886" i="1"/>
  <c r="Z11896" i="1"/>
  <c r="Z11905" i="1"/>
  <c r="Z11914" i="1"/>
  <c r="Z11923" i="1"/>
  <c r="Z11932" i="1"/>
  <c r="Z11941" i="1"/>
  <c r="Z11950" i="1"/>
  <c r="Z11960" i="1"/>
  <c r="Z11969" i="1"/>
  <c r="Z11978" i="1"/>
  <c r="Z11987" i="1"/>
  <c r="Z11996" i="1"/>
  <c r="Z12005" i="1"/>
  <c r="Z12014" i="1"/>
  <c r="Z12024" i="1"/>
  <c r="Z12033" i="1"/>
  <c r="Z12042" i="1"/>
  <c r="Z12051" i="1"/>
  <c r="Z12060" i="1"/>
  <c r="Z12069" i="1"/>
  <c r="Z12078" i="1"/>
  <c r="Z12088" i="1"/>
  <c r="Z12097" i="1"/>
  <c r="Z12106" i="1"/>
  <c r="Z12115" i="1"/>
  <c r="Z12124" i="1"/>
  <c r="Z12133" i="1"/>
  <c r="Z12141" i="1"/>
  <c r="Z12149" i="1"/>
  <c r="Z12157" i="1"/>
  <c r="Z12165" i="1"/>
  <c r="Z12173" i="1"/>
  <c r="Z12181" i="1"/>
  <c r="Z12189" i="1"/>
  <c r="Z12197" i="1"/>
  <c r="Z12205" i="1"/>
  <c r="Z12213" i="1"/>
  <c r="Z12221" i="1"/>
  <c r="Z12229" i="1"/>
  <c r="Z12237" i="1"/>
  <c r="Z12245" i="1"/>
  <c r="Z12253" i="1"/>
  <c r="Z12261" i="1"/>
  <c r="Z12269" i="1"/>
  <c r="Z12277" i="1"/>
  <c r="Z12285" i="1"/>
  <c r="Z12293" i="1"/>
  <c r="Z12301" i="1"/>
  <c r="Z12309" i="1"/>
  <c r="Z12317" i="1"/>
  <c r="Z12325" i="1"/>
  <c r="Z12333" i="1"/>
  <c r="Z12341" i="1"/>
  <c r="Z12349" i="1"/>
  <c r="Z12357" i="1"/>
  <c r="Z12365" i="1"/>
  <c r="Z12373" i="1"/>
  <c r="Z12381" i="1"/>
  <c r="Z12389" i="1"/>
  <c r="Z12397" i="1"/>
  <c r="Z12405" i="1"/>
  <c r="Z12413" i="1"/>
  <c r="Z12421" i="1"/>
  <c r="Z12429" i="1"/>
  <c r="Z12437" i="1"/>
  <c r="Z12445" i="1"/>
  <c r="Z12453" i="1"/>
  <c r="Z12461" i="1"/>
  <c r="Z12469" i="1"/>
  <c r="Z12477" i="1"/>
  <c r="Z12485" i="1"/>
  <c r="Z12493" i="1"/>
  <c r="Z12501" i="1"/>
  <c r="Z12509" i="1"/>
  <c r="Z12517" i="1"/>
  <c r="Z12525" i="1"/>
  <c r="Z12533" i="1"/>
  <c r="Z12541" i="1"/>
  <c r="Z12549" i="1"/>
  <c r="Z12557" i="1"/>
  <c r="Z12565" i="1"/>
  <c r="Z12573" i="1"/>
  <c r="Z12581" i="1"/>
  <c r="Z12589" i="1"/>
  <c r="Z12597" i="1"/>
  <c r="Z12605" i="1"/>
  <c r="Z12613" i="1"/>
  <c r="Z12621" i="1"/>
  <c r="Z12629" i="1"/>
  <c r="Z12637" i="1"/>
  <c r="Z12645" i="1"/>
  <c r="Z12653" i="1"/>
  <c r="Z12661" i="1"/>
  <c r="Z12669" i="1"/>
  <c r="Z12677" i="1"/>
  <c r="Z12685" i="1"/>
  <c r="Z12693" i="1"/>
  <c r="Z12701" i="1"/>
  <c r="Z12709" i="1"/>
  <c r="Z12717" i="1"/>
  <c r="Z12725" i="1"/>
  <c r="Z12733" i="1"/>
  <c r="Z12741" i="1"/>
  <c r="Z12749" i="1"/>
  <c r="Z12757" i="1"/>
  <c r="Z12765" i="1"/>
  <c r="Z12773" i="1"/>
  <c r="Z12781" i="1"/>
  <c r="Z12789" i="1"/>
  <c r="Z12797" i="1"/>
  <c r="Z12805" i="1"/>
  <c r="Z12813" i="1"/>
  <c r="Z12821" i="1"/>
  <c r="Z12829" i="1"/>
  <c r="Z12837" i="1"/>
  <c r="Z12845" i="1"/>
  <c r="Z12853" i="1"/>
  <c r="Z12861" i="1"/>
  <c r="Z12869" i="1"/>
  <c r="Z12877" i="1"/>
  <c r="Z12885" i="1"/>
  <c r="Z12893" i="1"/>
  <c r="Z12901" i="1"/>
  <c r="Z12909" i="1"/>
  <c r="Z12917" i="1"/>
  <c r="Z12925" i="1"/>
  <c r="Z12933" i="1"/>
  <c r="Z12941" i="1"/>
  <c r="Z12949" i="1"/>
  <c r="Z12957" i="1"/>
  <c r="Z12965" i="1"/>
  <c r="Z12973" i="1"/>
  <c r="Z12981" i="1"/>
  <c r="Z12989" i="1"/>
  <c r="Z12997" i="1"/>
  <c r="Z13005" i="1"/>
  <c r="Z13013" i="1"/>
  <c r="Z13021" i="1"/>
  <c r="Z13029" i="1"/>
  <c r="Z13037" i="1"/>
  <c r="Z13045" i="1"/>
  <c r="Z13053" i="1"/>
  <c r="Z13061" i="1"/>
  <c r="Z13069" i="1"/>
  <c r="Z13077" i="1"/>
  <c r="Z13085" i="1"/>
  <c r="Z13093" i="1"/>
  <c r="Z13101" i="1"/>
  <c r="Z13109" i="1"/>
  <c r="Z13117" i="1"/>
  <c r="Z13125" i="1"/>
  <c r="Z13133" i="1"/>
  <c r="Z13141" i="1"/>
  <c r="Z13149" i="1"/>
  <c r="Z13157" i="1"/>
  <c r="Z13165" i="1"/>
  <c r="Z13173" i="1"/>
  <c r="Z13181" i="1"/>
  <c r="Z13189" i="1"/>
  <c r="Z13197" i="1"/>
  <c r="Z13205" i="1"/>
  <c r="Z13213" i="1"/>
  <c r="Z13221" i="1"/>
  <c r="Z13229" i="1"/>
  <c r="Z13237" i="1"/>
  <c r="Z13245" i="1"/>
  <c r="Z13253" i="1"/>
  <c r="Z13261" i="1"/>
  <c r="Z13269" i="1"/>
  <c r="Z13277" i="1"/>
  <c r="Z13285" i="1"/>
  <c r="Z13293" i="1"/>
  <c r="Z13301" i="1"/>
  <c r="Z13309" i="1"/>
  <c r="Z13317" i="1"/>
  <c r="Z13325" i="1"/>
  <c r="Z13333" i="1"/>
  <c r="Z13341" i="1"/>
  <c r="Z13349" i="1"/>
  <c r="Z13357" i="1"/>
  <c r="Z13365" i="1"/>
  <c r="Z13373" i="1"/>
  <c r="Z13381" i="1"/>
  <c r="Z13389" i="1"/>
  <c r="Z13397" i="1"/>
  <c r="Z13405" i="1"/>
  <c r="Z13413" i="1"/>
  <c r="Z13421" i="1"/>
  <c r="Z13429" i="1"/>
  <c r="Z13437" i="1"/>
  <c r="Z13445" i="1"/>
  <c r="Z13453" i="1"/>
  <c r="Z13461" i="1"/>
  <c r="Z13469" i="1"/>
  <c r="Z13477" i="1"/>
  <c r="Z13485" i="1"/>
  <c r="Z13493" i="1"/>
  <c r="Z13501" i="1"/>
  <c r="Z13509" i="1"/>
  <c r="Z13517" i="1"/>
  <c r="Z13525" i="1"/>
  <c r="Z13533" i="1"/>
  <c r="Z13541" i="1"/>
  <c r="Z13549" i="1"/>
  <c r="Z13557" i="1"/>
  <c r="Z13565" i="1"/>
  <c r="Z13573" i="1"/>
  <c r="Z13581" i="1"/>
  <c r="Z13589" i="1"/>
  <c r="Z13597" i="1"/>
  <c r="Z13605" i="1"/>
  <c r="Z13613" i="1"/>
  <c r="Z13621" i="1"/>
  <c r="Z13629" i="1"/>
  <c r="Z13637" i="1"/>
  <c r="Z13645" i="1"/>
  <c r="Z13653" i="1"/>
  <c r="Z13661" i="1"/>
  <c r="Z13669" i="1"/>
  <c r="Z13677" i="1"/>
  <c r="Z13685" i="1"/>
  <c r="Z13693" i="1"/>
  <c r="Z13701" i="1"/>
  <c r="Z13709" i="1"/>
  <c r="Z13717" i="1"/>
  <c r="Z13725" i="1"/>
  <c r="Z13733" i="1"/>
  <c r="Z13741" i="1"/>
  <c r="Z13749" i="1"/>
  <c r="Z13757" i="1"/>
  <c r="Z13765" i="1"/>
  <c r="Z13773" i="1"/>
  <c r="Z13781" i="1"/>
  <c r="Z13789" i="1"/>
  <c r="Z13797" i="1"/>
  <c r="Z13805" i="1"/>
  <c r="Z13813" i="1"/>
  <c r="Z7029" i="1"/>
  <c r="Z7096" i="1"/>
  <c r="Z7167" i="1"/>
  <c r="Z7228" i="1"/>
  <c r="Z7288" i="1"/>
  <c r="Z7345" i="1"/>
  <c r="Z7402" i="1"/>
  <c r="Z7463" i="1"/>
  <c r="Z7519" i="1"/>
  <c r="Z7558" i="1"/>
  <c r="Z7591" i="1"/>
  <c r="Z7620" i="1"/>
  <c r="Z7648" i="1"/>
  <c r="Z7677" i="1"/>
  <c r="Z7709" i="1"/>
  <c r="Z7737" i="1"/>
  <c r="Z7766" i="1"/>
  <c r="Z7794" i="1"/>
  <c r="Z7823" i="1"/>
  <c r="Z7855" i="1"/>
  <c r="Z7884" i="1"/>
  <c r="Z7912" i="1"/>
  <c r="Z7941" i="1"/>
  <c r="Z7969" i="1"/>
  <c r="Z7998" i="1"/>
  <c r="Z8023" i="1"/>
  <c r="Z8048" i="1"/>
  <c r="Z8073" i="1"/>
  <c r="Z8098" i="1"/>
  <c r="Z8126" i="1"/>
  <c r="Z8151" i="1"/>
  <c r="Z8176" i="1"/>
  <c r="Z8201" i="1"/>
  <c r="Z8225" i="1"/>
  <c r="Z8242" i="1"/>
  <c r="Z8265" i="1"/>
  <c r="Z8288" i="1"/>
  <c r="Z8305" i="1"/>
  <c r="Z8328" i="1"/>
  <c r="Z8345" i="1"/>
  <c r="Z8368" i="1"/>
  <c r="Z8391" i="1"/>
  <c r="Z8408" i="1"/>
  <c r="Z8431" i="1"/>
  <c r="Z8448" i="1"/>
  <c r="Z8466" i="1"/>
  <c r="Z8486" i="1"/>
  <c r="Z8501" i="1"/>
  <c r="Z8519" i="1"/>
  <c r="Z8534" i="1"/>
  <c r="Z8552" i="1"/>
  <c r="Z8570" i="1"/>
  <c r="Z8585" i="1"/>
  <c r="Z8605" i="1"/>
  <c r="Z8618" i="1"/>
  <c r="Z8638" i="1"/>
  <c r="Z8656" i="1"/>
  <c r="Z8671" i="1"/>
  <c r="Z8689" i="1"/>
  <c r="Z8704" i="1"/>
  <c r="Z8722" i="1"/>
  <c r="Z8742" i="1"/>
  <c r="Z8754" i="1"/>
  <c r="Z8770" i="1"/>
  <c r="Z8783" i="1"/>
  <c r="Z8799" i="1"/>
  <c r="Z8815" i="1"/>
  <c r="Z8828" i="1"/>
  <c r="Z8844" i="1"/>
  <c r="Z8856" i="1"/>
  <c r="Z8872" i="1"/>
  <c r="Z8888" i="1"/>
  <c r="Z8901" i="1"/>
  <c r="Z8917" i="1"/>
  <c r="Z8929" i="1"/>
  <c r="Z8945" i="1"/>
  <c r="Z8961" i="1"/>
  <c r="Z8974" i="1"/>
  <c r="Z8990" i="1"/>
  <c r="Z9002" i="1"/>
  <c r="Z9018" i="1"/>
  <c r="Z9034" i="1"/>
  <c r="Z9047" i="1"/>
  <c r="Z9063" i="1"/>
  <c r="Z9076" i="1"/>
  <c r="Z9092" i="1"/>
  <c r="Z9108" i="1"/>
  <c r="Z9120" i="1"/>
  <c r="Z9136" i="1"/>
  <c r="Z9149" i="1"/>
  <c r="Z9165" i="1"/>
  <c r="Z9181" i="1"/>
  <c r="Z9193" i="1"/>
  <c r="Z9209" i="1"/>
  <c r="Z9222" i="1"/>
  <c r="Z9238" i="1"/>
  <c r="Z9254" i="1"/>
  <c r="Z9266" i="1"/>
  <c r="Z9282" i="1"/>
  <c r="Z9295" i="1"/>
  <c r="Z9311" i="1"/>
  <c r="Z9327" i="1"/>
  <c r="Z9340" i="1"/>
  <c r="Z9356" i="1"/>
  <c r="Z9368" i="1"/>
  <c r="Z9384" i="1"/>
  <c r="Z9400" i="1"/>
  <c r="Z9413" i="1"/>
  <c r="Z9429" i="1"/>
  <c r="Z9441" i="1"/>
  <c r="Z9457" i="1"/>
  <c r="Z9473" i="1"/>
  <c r="Z9486" i="1"/>
  <c r="Z9502" i="1"/>
  <c r="Z9514" i="1"/>
  <c r="Z9530" i="1"/>
  <c r="Z9546" i="1"/>
  <c r="Z9559" i="1"/>
  <c r="Z9575" i="1"/>
  <c r="Z9588" i="1"/>
  <c r="Z9604" i="1"/>
  <c r="Z9618" i="1"/>
  <c r="Z9629" i="1"/>
  <c r="Z9643" i="1"/>
  <c r="Z9654" i="1"/>
  <c r="Z9668" i="1"/>
  <c r="Z9682" i="1"/>
  <c r="Z9693" i="1"/>
  <c r="Z9707" i="1"/>
  <c r="Z9718" i="1"/>
  <c r="Z9732" i="1"/>
  <c r="Z9746" i="1"/>
  <c r="Z9757" i="1"/>
  <c r="Z9771" i="1"/>
  <c r="Z9782" i="1"/>
  <c r="Z9796" i="1"/>
  <c r="Z9810" i="1"/>
  <c r="Z9821" i="1"/>
  <c r="Z9835" i="1"/>
  <c r="Z9846" i="1"/>
  <c r="Z9860" i="1"/>
  <c r="Z9874" i="1"/>
  <c r="Z9885" i="1"/>
  <c r="Z9899" i="1"/>
  <c r="Z9910" i="1"/>
  <c r="Z9924" i="1"/>
  <c r="Z9938" i="1"/>
  <c r="Z9949" i="1"/>
  <c r="Z9963" i="1"/>
  <c r="Z9974" i="1"/>
  <c r="Z9988" i="1"/>
  <c r="Z10002" i="1"/>
  <c r="Z10013" i="1"/>
  <c r="Z10027" i="1"/>
  <c r="Z10038" i="1"/>
  <c r="Z10052" i="1"/>
  <c r="Z10066" i="1"/>
  <c r="Z10077" i="1"/>
  <c r="Z10091" i="1"/>
  <c r="Z10102" i="1"/>
  <c r="Z10116" i="1"/>
  <c r="Z10130" i="1"/>
  <c r="Z10141" i="1"/>
  <c r="Z10155" i="1"/>
  <c r="Z10166" i="1"/>
  <c r="Z10180" i="1"/>
  <c r="Z10194" i="1"/>
  <c r="Z10205" i="1"/>
  <c r="Z10219" i="1"/>
  <c r="Z10230" i="1"/>
  <c r="Z10244" i="1"/>
  <c r="Z10258" i="1"/>
  <c r="Z10269" i="1"/>
  <c r="Z10283" i="1"/>
  <c r="Z10294" i="1"/>
  <c r="Z10308" i="1"/>
  <c r="Z10322" i="1"/>
  <c r="Z10333" i="1"/>
  <c r="Z10347" i="1"/>
  <c r="Z10358" i="1"/>
  <c r="Z10372" i="1"/>
  <c r="Z10386" i="1"/>
  <c r="Z10397" i="1"/>
  <c r="Z10411" i="1"/>
  <c r="Z10422" i="1"/>
  <c r="Z10436" i="1"/>
  <c r="Z10450" i="1"/>
  <c r="Z10461" i="1"/>
  <c r="Z10475" i="1"/>
  <c r="Z10486" i="1"/>
  <c r="Z10500" i="1"/>
  <c r="Z10514" i="1"/>
  <c r="Z10525" i="1"/>
  <c r="Z10539" i="1"/>
  <c r="Z10550" i="1"/>
  <c r="Z10564" i="1"/>
  <c r="Z10578" i="1"/>
  <c r="Z10589" i="1"/>
  <c r="Z10603" i="1"/>
  <c r="Z10614" i="1"/>
  <c r="Z10628" i="1"/>
  <c r="Z10642" i="1"/>
  <c r="Z10653" i="1"/>
  <c r="Z10667" i="1"/>
  <c r="Z10678" i="1"/>
  <c r="Z10692" i="1"/>
  <c r="Z10706" i="1"/>
  <c r="Z10717" i="1"/>
  <c r="Z10731" i="1"/>
  <c r="Z10742" i="1"/>
  <c r="Z10756" i="1"/>
  <c r="Z10770" i="1"/>
  <c r="Z10781" i="1"/>
  <c r="Z10795" i="1"/>
  <c r="Z10806" i="1"/>
  <c r="Z10820" i="1"/>
  <c r="Z10834" i="1"/>
  <c r="Z10845" i="1"/>
  <c r="Z10859" i="1"/>
  <c r="Z10870" i="1"/>
  <c r="Z10884" i="1"/>
  <c r="Z10898" i="1"/>
  <c r="Z10909" i="1"/>
  <c r="Z10923" i="1"/>
  <c r="Z10934" i="1"/>
  <c r="Z10948" i="1"/>
  <c r="Z10962" i="1"/>
  <c r="Z10973" i="1"/>
  <c r="Z10987" i="1"/>
  <c r="Z10998" i="1"/>
  <c r="Z11012" i="1"/>
  <c r="Z11026" i="1"/>
  <c r="Z11037" i="1"/>
  <c r="Z11050" i="1"/>
  <c r="Z11060" i="1"/>
  <c r="Z11070" i="1"/>
  <c r="Z11082" i="1"/>
  <c r="Z11092" i="1"/>
  <c r="Z11102" i="1"/>
  <c r="Z11114" i="1"/>
  <c r="Z11124" i="1"/>
  <c r="Z11134" i="1"/>
  <c r="Z11146" i="1"/>
  <c r="Z11156" i="1"/>
  <c r="Z11166" i="1"/>
  <c r="Z11178" i="1"/>
  <c r="Z11188" i="1"/>
  <c r="Z11198" i="1"/>
  <c r="Z11210" i="1"/>
  <c r="Z11220" i="1"/>
  <c r="Z11229" i="1"/>
  <c r="Z11238" i="1"/>
  <c r="Z11248" i="1"/>
  <c r="Z11257" i="1"/>
  <c r="Z11266" i="1"/>
  <c r="Z11275" i="1"/>
  <c r="Z11284" i="1"/>
  <c r="Z11293" i="1"/>
  <c r="Z11302" i="1"/>
  <c r="Z11312" i="1"/>
  <c r="Z11321" i="1"/>
  <c r="Z11330" i="1"/>
  <c r="Z11339" i="1"/>
  <c r="Z11348" i="1"/>
  <c r="Z11357" i="1"/>
  <c r="Z11366" i="1"/>
  <c r="Z11376" i="1"/>
  <c r="Z11385" i="1"/>
  <c r="Z11394" i="1"/>
  <c r="Z11403" i="1"/>
  <c r="Z11412" i="1"/>
  <c r="Z11421" i="1"/>
  <c r="Z11430" i="1"/>
  <c r="Z11440" i="1"/>
  <c r="Z11449" i="1"/>
  <c r="Z11458" i="1"/>
  <c r="Z11467" i="1"/>
  <c r="Z11476" i="1"/>
  <c r="Z11485" i="1"/>
  <c r="Z11494" i="1"/>
  <c r="Z11504" i="1"/>
  <c r="Z11513" i="1"/>
  <c r="Z11522" i="1"/>
  <c r="Z11531" i="1"/>
  <c r="Z11540" i="1"/>
  <c r="Z11549" i="1"/>
  <c r="Z11558" i="1"/>
  <c r="Z11568" i="1"/>
  <c r="Z11577" i="1"/>
  <c r="Z11586" i="1"/>
  <c r="Z11595" i="1"/>
  <c r="Z11604" i="1"/>
  <c r="Z11613" i="1"/>
  <c r="Z11622" i="1"/>
  <c r="Z11632" i="1"/>
  <c r="Z11641" i="1"/>
  <c r="Z11650" i="1"/>
  <c r="Z11659" i="1"/>
  <c r="Z11668" i="1"/>
  <c r="Z11677" i="1"/>
  <c r="Z11686" i="1"/>
  <c r="Z11696" i="1"/>
  <c r="Z11705" i="1"/>
  <c r="Z11714" i="1"/>
  <c r="Z11723" i="1"/>
  <c r="Z11732" i="1"/>
  <c r="Z11741" i="1"/>
  <c r="Z11750" i="1"/>
  <c r="Z11760" i="1"/>
  <c r="Z11769" i="1"/>
  <c r="Z11778" i="1"/>
  <c r="Z11787" i="1"/>
  <c r="Z11796" i="1"/>
  <c r="Z11805" i="1"/>
  <c r="Z11814" i="1"/>
  <c r="Z11824" i="1"/>
  <c r="Z11833" i="1"/>
  <c r="Z11842" i="1"/>
  <c r="Z11851" i="1"/>
  <c r="Z11860" i="1"/>
  <c r="Z11869" i="1"/>
  <c r="Z11878" i="1"/>
  <c r="Z11888" i="1"/>
  <c r="Z11897" i="1"/>
  <c r="Z11906" i="1"/>
  <c r="Z11915" i="1"/>
  <c r="Z11924" i="1"/>
  <c r="Z11933" i="1"/>
  <c r="Z11942" i="1"/>
  <c r="Z11952" i="1"/>
  <c r="Z11961" i="1"/>
  <c r="Z11970" i="1"/>
  <c r="Z11979" i="1"/>
  <c r="Z11988" i="1"/>
  <c r="Z11997" i="1"/>
  <c r="Z12006" i="1"/>
  <c r="Z12016" i="1"/>
  <c r="Z12025" i="1"/>
  <c r="Z12034" i="1"/>
  <c r="Z12043" i="1"/>
  <c r="Z12052" i="1"/>
  <c r="Z12061" i="1"/>
  <c r="Z12070" i="1"/>
  <c r="Z12080" i="1"/>
  <c r="Z12089" i="1"/>
  <c r="Z12098" i="1"/>
  <c r="Z12107" i="1"/>
  <c r="Z12116" i="1"/>
  <c r="Z12125" i="1"/>
  <c r="Z12134" i="1"/>
  <c r="Z12142" i="1"/>
  <c r="Z12150" i="1"/>
  <c r="Z12158" i="1"/>
  <c r="Z12166" i="1"/>
  <c r="Z12174" i="1"/>
  <c r="Z12182" i="1"/>
  <c r="Z12190" i="1"/>
  <c r="Z12198" i="1"/>
  <c r="Z12206" i="1"/>
  <c r="Z12214" i="1"/>
  <c r="Z12222" i="1"/>
  <c r="Z12230" i="1"/>
  <c r="Z12238" i="1"/>
  <c r="Z12246" i="1"/>
  <c r="Z12254" i="1"/>
  <c r="Z12262" i="1"/>
  <c r="Z12270" i="1"/>
  <c r="Z12278" i="1"/>
  <c r="Z12286" i="1"/>
  <c r="Z12294" i="1"/>
  <c r="Z12302" i="1"/>
  <c r="Z12310" i="1"/>
  <c r="Z12318" i="1"/>
  <c r="Z12326" i="1"/>
  <c r="Z12334" i="1"/>
  <c r="Z12342" i="1"/>
  <c r="Z12350" i="1"/>
  <c r="Z12358" i="1"/>
  <c r="Z12366" i="1"/>
  <c r="Z12374" i="1"/>
  <c r="Z12382" i="1"/>
  <c r="Z12390" i="1"/>
  <c r="Z12398" i="1"/>
  <c r="Z12406" i="1"/>
  <c r="Z12414" i="1"/>
  <c r="Z12422" i="1"/>
  <c r="Z12430" i="1"/>
  <c r="Z12438" i="1"/>
  <c r="Z12446" i="1"/>
  <c r="Z12454" i="1"/>
  <c r="Z12462" i="1"/>
  <c r="Z12470" i="1"/>
  <c r="Z12478" i="1"/>
  <c r="Z12486" i="1"/>
  <c r="Z12494" i="1"/>
  <c r="Z12502" i="1"/>
  <c r="Z12510" i="1"/>
  <c r="Z12518" i="1"/>
  <c r="Z12526" i="1"/>
  <c r="Z12534" i="1"/>
  <c r="Z12542" i="1"/>
  <c r="Z12550" i="1"/>
  <c r="Z12558" i="1"/>
  <c r="Z12566" i="1"/>
  <c r="Z12574" i="1"/>
  <c r="Z12582" i="1"/>
  <c r="Z12590" i="1"/>
  <c r="Z12598" i="1"/>
  <c r="Z12606" i="1"/>
  <c r="Z12614" i="1"/>
  <c r="Z12622" i="1"/>
  <c r="Z12630" i="1"/>
  <c r="Z12638" i="1"/>
  <c r="Z12646" i="1"/>
  <c r="Z12654" i="1"/>
  <c r="Z12662" i="1"/>
  <c r="Z12670" i="1"/>
  <c r="Z12678" i="1"/>
  <c r="Z12686" i="1"/>
  <c r="Z12694" i="1"/>
  <c r="Z12702" i="1"/>
  <c r="Z12710" i="1"/>
  <c r="Z12718" i="1"/>
  <c r="Z12726" i="1"/>
  <c r="Z12734" i="1"/>
  <c r="Z12742" i="1"/>
  <c r="Z12750" i="1"/>
  <c r="Z12758" i="1"/>
  <c r="Z12766" i="1"/>
  <c r="Z12774" i="1"/>
  <c r="Z12782" i="1"/>
  <c r="Z12790" i="1"/>
  <c r="Z12798" i="1"/>
  <c r="Z12806" i="1"/>
  <c r="Z12814" i="1"/>
  <c r="Z12822" i="1"/>
  <c r="Z12830" i="1"/>
  <c r="Z12838" i="1"/>
  <c r="Z12846" i="1"/>
  <c r="Z12854" i="1"/>
  <c r="Z12862" i="1"/>
  <c r="Z12870" i="1"/>
  <c r="Z12878" i="1"/>
  <c r="Z12886" i="1"/>
  <c r="Z12894" i="1"/>
  <c r="Z12902" i="1"/>
  <c r="Z12910" i="1"/>
  <c r="Z12918" i="1"/>
  <c r="Z12926" i="1"/>
  <c r="Z12934" i="1"/>
  <c r="Z12942" i="1"/>
  <c r="Z12950" i="1"/>
  <c r="Z12958" i="1"/>
  <c r="Z12966" i="1"/>
  <c r="Z12974" i="1"/>
  <c r="Z12982" i="1"/>
  <c r="Z12990" i="1"/>
  <c r="Z12998" i="1"/>
  <c r="Z13006" i="1"/>
  <c r="Z13014" i="1"/>
  <c r="Z13022" i="1"/>
  <c r="Z13030" i="1"/>
  <c r="Z13038" i="1"/>
  <c r="Z13046" i="1"/>
  <c r="Z13054" i="1"/>
  <c r="Z13062" i="1"/>
  <c r="Z13070" i="1"/>
  <c r="Z13078" i="1"/>
  <c r="Z13086" i="1"/>
  <c r="Z13094" i="1"/>
  <c r="Z13102" i="1"/>
  <c r="Z13110" i="1"/>
  <c r="Z13118" i="1"/>
  <c r="Z13126" i="1"/>
  <c r="Z13134" i="1"/>
  <c r="Z7042" i="1"/>
  <c r="Z7113" i="1"/>
  <c r="Z7181" i="1"/>
  <c r="Z7242" i="1"/>
  <c r="Z7300" i="1"/>
  <c r="Z7357" i="1"/>
  <c r="Z7417" i="1"/>
  <c r="Z7474" i="1"/>
  <c r="Z7520" i="1"/>
  <c r="Z7564" i="1"/>
  <c r="Z7592" i="1"/>
  <c r="Z7621" i="1"/>
  <c r="Z7649" i="1"/>
  <c r="Z7681" i="1"/>
  <c r="Z7710" i="1"/>
  <c r="Z7738" i="1"/>
  <c r="Z7767" i="1"/>
  <c r="Z7796" i="1"/>
  <c r="Z7828" i="1"/>
  <c r="Z7856" i="1"/>
  <c r="Z7885" i="1"/>
  <c r="Z7913" i="1"/>
  <c r="Z7942" i="1"/>
  <c r="Z7974" i="1"/>
  <c r="Z7999" i="1"/>
  <c r="Z8024" i="1"/>
  <c r="Z8049" i="1"/>
  <c r="Z8074" i="1"/>
  <c r="Z8102" i="1"/>
  <c r="Z8127" i="1"/>
  <c r="Z8152" i="1"/>
  <c r="Z8177" i="1"/>
  <c r="Z8202" i="1"/>
  <c r="Z8226" i="1"/>
  <c r="Z8249" i="1"/>
  <c r="Z8266" i="1"/>
  <c r="Z8289" i="1"/>
  <c r="Z8306" i="1"/>
  <c r="Z8329" i="1"/>
  <c r="Z8352" i="1"/>
  <c r="Z8369" i="1"/>
  <c r="Z8392" i="1"/>
  <c r="Z8409" i="1"/>
  <c r="Z8432" i="1"/>
  <c r="Z8454" i="1"/>
  <c r="Z8469" i="1"/>
  <c r="Z8487" i="1"/>
  <c r="Z8502" i="1"/>
  <c r="Z8520" i="1"/>
  <c r="Z8538" i="1"/>
  <c r="Z8553" i="1"/>
  <c r="Z8573" i="1"/>
  <c r="Z8586" i="1"/>
  <c r="Z8606" i="1"/>
  <c r="Z8624" i="1"/>
  <c r="Z8639" i="1"/>
  <c r="Z8657" i="1"/>
  <c r="Z8672" i="1"/>
  <c r="Z8690" i="1"/>
  <c r="Z8710" i="1"/>
  <c r="Z8725" i="1"/>
  <c r="Z8743" i="1"/>
  <c r="Z8756" i="1"/>
  <c r="Z8772" i="1"/>
  <c r="Z8788" i="1"/>
  <c r="Z8800" i="1"/>
  <c r="Z8816" i="1"/>
  <c r="Z8829" i="1"/>
  <c r="Z8845" i="1"/>
  <c r="Z8861" i="1"/>
  <c r="Z8873" i="1"/>
  <c r="Z8889" i="1"/>
  <c r="Z8902" i="1"/>
  <c r="Z8918" i="1"/>
  <c r="Z8934" i="1"/>
  <c r="Z8946" i="1"/>
  <c r="Z8962" i="1"/>
  <c r="Z8975" i="1"/>
  <c r="Z8991" i="1"/>
  <c r="Z9007" i="1"/>
  <c r="Z9020" i="1"/>
  <c r="Z9036" i="1"/>
  <c r="Z9048" i="1"/>
  <c r="Z9064" i="1"/>
  <c r="Z9080" i="1"/>
  <c r="Z9093" i="1"/>
  <c r="Z9109" i="1"/>
  <c r="Z9121" i="1"/>
  <c r="Z9137" i="1"/>
  <c r="Z9153" i="1"/>
  <c r="Z9166" i="1"/>
  <c r="Z9182" i="1"/>
  <c r="Z9194" i="1"/>
  <c r="Z9210" i="1"/>
  <c r="Z9226" i="1"/>
  <c r="Z9239" i="1"/>
  <c r="Z9255" i="1"/>
  <c r="Z9268" i="1"/>
  <c r="Z9284" i="1"/>
  <c r="Z9300" i="1"/>
  <c r="Z9312" i="1"/>
  <c r="Z9328" i="1"/>
  <c r="Z9341" i="1"/>
  <c r="Z9357" i="1"/>
  <c r="Z9373" i="1"/>
  <c r="Z9385" i="1"/>
  <c r="Z9401" i="1"/>
  <c r="Z9414" i="1"/>
  <c r="Z9430" i="1"/>
  <c r="Z9446" i="1"/>
  <c r="Z9458" i="1"/>
  <c r="Z9474" i="1"/>
  <c r="Z9487" i="1"/>
  <c r="Z9503" i="1"/>
  <c r="Z9519" i="1"/>
  <c r="Z9532" i="1"/>
  <c r="Z9548" i="1"/>
  <c r="Z9560" i="1"/>
  <c r="Z9576" i="1"/>
  <c r="Z9592" i="1"/>
  <c r="Z9605" i="1"/>
  <c r="Z9619" i="1"/>
  <c r="Z9630" i="1"/>
  <c r="Z9644" i="1"/>
  <c r="Z9658" i="1"/>
  <c r="Z9669" i="1"/>
  <c r="Z9683" i="1"/>
  <c r="Z9694" i="1"/>
  <c r="Z9708" i="1"/>
  <c r="Z9722" i="1"/>
  <c r="Z9733" i="1"/>
  <c r="Z9747" i="1"/>
  <c r="Z9758" i="1"/>
  <c r="Z9772" i="1"/>
  <c r="Z9786" i="1"/>
  <c r="Z9797" i="1"/>
  <c r="Z9811" i="1"/>
  <c r="Z9822" i="1"/>
  <c r="Z9836" i="1"/>
  <c r="Z9850" i="1"/>
  <c r="Z9861" i="1"/>
  <c r="Z9875" i="1"/>
  <c r="Z9886" i="1"/>
  <c r="Z9900" i="1"/>
  <c r="Z9914" i="1"/>
  <c r="Z9925" i="1"/>
  <c r="Z9939" i="1"/>
  <c r="Z9950" i="1"/>
  <c r="Z9964" i="1"/>
  <c r="Z9978" i="1"/>
  <c r="Z9989" i="1"/>
  <c r="Z10003" i="1"/>
  <c r="Z10014" i="1"/>
  <c r="Z10028" i="1"/>
  <c r="Z10042" i="1"/>
  <c r="Z10053" i="1"/>
  <c r="Z10067" i="1"/>
  <c r="Z10078" i="1"/>
  <c r="Z10092" i="1"/>
  <c r="Z10106" i="1"/>
  <c r="Z10117" i="1"/>
  <c r="Z10131" i="1"/>
  <c r="Z10142" i="1"/>
  <c r="Z10156" i="1"/>
  <c r="Z10170" i="1"/>
  <c r="Z10181" i="1"/>
  <c r="Z10195" i="1"/>
  <c r="Z10206" i="1"/>
  <c r="Z10220" i="1"/>
  <c r="Z10234" i="1"/>
  <c r="Z10245" i="1"/>
  <c r="Z10259" i="1"/>
  <c r="Z10270" i="1"/>
  <c r="Z10284" i="1"/>
  <c r="Z10298" i="1"/>
  <c r="Z10309" i="1"/>
  <c r="Z10323" i="1"/>
  <c r="Z10334" i="1"/>
  <c r="Z10348" i="1"/>
  <c r="Z10362" i="1"/>
  <c r="Z10373" i="1"/>
  <c r="Z10387" i="1"/>
  <c r="Z10398" i="1"/>
  <c r="Z10412" i="1"/>
  <c r="Z10426" i="1"/>
  <c r="Z10437" i="1"/>
  <c r="Z10451" i="1"/>
  <c r="Z10462" i="1"/>
  <c r="Z10476" i="1"/>
  <c r="Z10490" i="1"/>
  <c r="Z10501" i="1"/>
  <c r="Z10515" i="1"/>
  <c r="Z10526" i="1"/>
  <c r="Z10540" i="1"/>
  <c r="Z10554" i="1"/>
  <c r="Z10565" i="1"/>
  <c r="Z10579" i="1"/>
  <c r="Z10590" i="1"/>
  <c r="Z10604" i="1"/>
  <c r="Z10618" i="1"/>
  <c r="Z10629" i="1"/>
  <c r="Z10643" i="1"/>
  <c r="Z10654" i="1"/>
  <c r="Z10668" i="1"/>
  <c r="Z10682" i="1"/>
  <c r="Z10693" i="1"/>
  <c r="Z10707" i="1"/>
  <c r="Z10718" i="1"/>
  <c r="Z10732" i="1"/>
  <c r="Z10746" i="1"/>
  <c r="Z10757" i="1"/>
  <c r="Z10771" i="1"/>
  <c r="Z10782" i="1"/>
  <c r="Z10796" i="1"/>
  <c r="Z10810" i="1"/>
  <c r="Z10821" i="1"/>
  <c r="Z10835" i="1"/>
  <c r="Z10846" i="1"/>
  <c r="Z10860" i="1"/>
  <c r="Z10874" i="1"/>
  <c r="Z10885" i="1"/>
  <c r="Z10899" i="1"/>
  <c r="Z10910" i="1"/>
  <c r="Z10924" i="1"/>
  <c r="Z10938" i="1"/>
  <c r="Z10949" i="1"/>
  <c r="Z10963" i="1"/>
  <c r="Z10974" i="1"/>
  <c r="Z10988" i="1"/>
  <c r="Z11002" i="1"/>
  <c r="Z11013" i="1"/>
  <c r="Z11027" i="1"/>
  <c r="Z11038" i="1"/>
  <c r="Z11051" i="1"/>
  <c r="Z11061" i="1"/>
  <c r="Z11073" i="1"/>
  <c r="Z11083" i="1"/>
  <c r="Z11093" i="1"/>
  <c r="Z11105" i="1"/>
  <c r="Z11115" i="1"/>
  <c r="Z11125" i="1"/>
  <c r="Z11137" i="1"/>
  <c r="Z11147" i="1"/>
  <c r="Z11157" i="1"/>
  <c r="Z11169" i="1"/>
  <c r="Z11179" i="1"/>
  <c r="Z11189" i="1"/>
  <c r="Z11201" i="1"/>
  <c r="Z11211" i="1"/>
  <c r="Z11221" i="1"/>
  <c r="Z11230" i="1"/>
  <c r="Z11240" i="1"/>
  <c r="Z11249" i="1"/>
  <c r="Z11258" i="1"/>
  <c r="Z11267" i="1"/>
  <c r="Z11276" i="1"/>
  <c r="Z11285" i="1"/>
  <c r="Z11294" i="1"/>
  <c r="Z11304" i="1"/>
  <c r="Z11313" i="1"/>
  <c r="Z11322" i="1"/>
  <c r="Z11331" i="1"/>
  <c r="Z11340" i="1"/>
  <c r="Z11349" i="1"/>
  <c r="Z11358" i="1"/>
  <c r="Z11368" i="1"/>
  <c r="Z11377" i="1"/>
  <c r="Z11386" i="1"/>
  <c r="Z11395" i="1"/>
  <c r="Z11404" i="1"/>
  <c r="Z11413" i="1"/>
  <c r="Z11422" i="1"/>
  <c r="Z11432" i="1"/>
  <c r="Z11441" i="1"/>
  <c r="Z11450" i="1"/>
  <c r="Z11459" i="1"/>
  <c r="Z11468" i="1"/>
  <c r="Z11477" i="1"/>
  <c r="Z11486" i="1"/>
  <c r="Z11496" i="1"/>
  <c r="Z11505" i="1"/>
  <c r="Z11514" i="1"/>
  <c r="Z11523" i="1"/>
  <c r="Z11532" i="1"/>
  <c r="Z11541" i="1"/>
  <c r="Z11550" i="1"/>
  <c r="Z11560" i="1"/>
  <c r="Z11569" i="1"/>
  <c r="Z11578" i="1"/>
  <c r="Z11587" i="1"/>
  <c r="Z11596" i="1"/>
  <c r="Z11605" i="1"/>
  <c r="Z11614" i="1"/>
  <c r="Z11624" i="1"/>
  <c r="Z11633" i="1"/>
  <c r="Z11642" i="1"/>
  <c r="Z11651" i="1"/>
  <c r="Z11660" i="1"/>
  <c r="Z11669" i="1"/>
  <c r="Z11678" i="1"/>
  <c r="Z11688" i="1"/>
  <c r="Z11697" i="1"/>
  <c r="Z11706" i="1"/>
  <c r="Z11715" i="1"/>
  <c r="Z11724" i="1"/>
  <c r="Z11733" i="1"/>
  <c r="Z11742" i="1"/>
  <c r="Z11752" i="1"/>
  <c r="Z11761" i="1"/>
  <c r="Z11770" i="1"/>
  <c r="Z11779" i="1"/>
  <c r="Z11788" i="1"/>
  <c r="Z11797" i="1"/>
  <c r="Z11806" i="1"/>
  <c r="Z11816" i="1"/>
  <c r="Z11825" i="1"/>
  <c r="Z11834" i="1"/>
  <c r="Z11843" i="1"/>
  <c r="Z11852" i="1"/>
  <c r="Z11861" i="1"/>
  <c r="Z11870" i="1"/>
  <c r="Z11880" i="1"/>
  <c r="Z11889" i="1"/>
  <c r="Z11898" i="1"/>
  <c r="Z11907" i="1"/>
  <c r="Z11916" i="1"/>
  <c r="Z11925" i="1"/>
  <c r="Z11934" i="1"/>
  <c r="Z11944" i="1"/>
  <c r="Z11953" i="1"/>
  <c r="Z11962" i="1"/>
  <c r="Z11971" i="1"/>
  <c r="Z11980" i="1"/>
  <c r="Z11989" i="1"/>
  <c r="Z11998" i="1"/>
  <c r="Z12008" i="1"/>
  <c r="Z12017" i="1"/>
  <c r="Z12026" i="1"/>
  <c r="Z12035" i="1"/>
  <c r="Z12044" i="1"/>
  <c r="Z12053" i="1"/>
  <c r="Z12062" i="1"/>
  <c r="Z12072" i="1"/>
  <c r="Z12081" i="1"/>
  <c r="Z12090" i="1"/>
  <c r="Z12099" i="1"/>
  <c r="Z12108" i="1"/>
  <c r="Z12117" i="1"/>
  <c r="Z12126" i="1"/>
  <c r="Z12135" i="1"/>
  <c r="Z12143" i="1"/>
  <c r="Z12151" i="1"/>
  <c r="Z12159" i="1"/>
  <c r="Z12167" i="1"/>
  <c r="Z12175" i="1"/>
  <c r="Z12183" i="1"/>
  <c r="Z12191" i="1"/>
  <c r="Z12199" i="1"/>
  <c r="Z12207" i="1"/>
  <c r="Z12215" i="1"/>
  <c r="Z12223" i="1"/>
  <c r="Z12231" i="1"/>
  <c r="Z12239" i="1"/>
  <c r="Z12247" i="1"/>
  <c r="Z12255" i="1"/>
  <c r="Z12263" i="1"/>
  <c r="Z12271" i="1"/>
  <c r="Z12279" i="1"/>
  <c r="Z12287" i="1"/>
  <c r="Z12295" i="1"/>
  <c r="Z12303" i="1"/>
  <c r="Z12311" i="1"/>
  <c r="Z12319" i="1"/>
  <c r="Z12327" i="1"/>
  <c r="Z12335" i="1"/>
  <c r="Z12343" i="1"/>
  <c r="Z12351" i="1"/>
  <c r="Z12359" i="1"/>
  <c r="Z12367" i="1"/>
  <c r="Z12375" i="1"/>
  <c r="Z12383" i="1"/>
  <c r="Z12391" i="1"/>
  <c r="Z12399" i="1"/>
  <c r="Z12407" i="1"/>
  <c r="Z12415" i="1"/>
  <c r="Z12423" i="1"/>
  <c r="Z12431" i="1"/>
  <c r="Z12439" i="1"/>
  <c r="Z12447" i="1"/>
  <c r="Z12455" i="1"/>
  <c r="Z12463" i="1"/>
  <c r="Z12471" i="1"/>
  <c r="Z12479" i="1"/>
  <c r="Z12487" i="1"/>
  <c r="Z12495" i="1"/>
  <c r="Z12503" i="1"/>
  <c r="Z12511" i="1"/>
  <c r="Z12519" i="1"/>
  <c r="Z12527" i="1"/>
  <c r="Z12535" i="1"/>
  <c r="Z12543" i="1"/>
  <c r="Z12551" i="1"/>
  <c r="Z12559" i="1"/>
  <c r="Z12567" i="1"/>
  <c r="Z12575" i="1"/>
  <c r="Z12583" i="1"/>
  <c r="Z12591" i="1"/>
  <c r="Z12599" i="1"/>
  <c r="Z12607" i="1"/>
  <c r="Z12615" i="1"/>
  <c r="Z12623" i="1"/>
  <c r="Z12631" i="1"/>
  <c r="Z12639" i="1"/>
  <c r="Z12647" i="1"/>
  <c r="Z12655" i="1"/>
  <c r="Z12663" i="1"/>
  <c r="Z12671" i="1"/>
  <c r="Z12679" i="1"/>
  <c r="Z12687" i="1"/>
  <c r="Z12695" i="1"/>
  <c r="Z12703" i="1"/>
  <c r="Z12711" i="1"/>
  <c r="Z12719" i="1"/>
  <c r="Z12727" i="1"/>
  <c r="Z12735" i="1"/>
  <c r="Z12743" i="1"/>
  <c r="Z12751" i="1"/>
  <c r="Z12759" i="1"/>
  <c r="Z12767" i="1"/>
  <c r="Z12775" i="1"/>
  <c r="Z12783" i="1"/>
  <c r="Z12791" i="1"/>
  <c r="Z12799" i="1"/>
  <c r="Z12807" i="1"/>
  <c r="Z12815" i="1"/>
  <c r="Z12823" i="1"/>
  <c r="Z12831" i="1"/>
  <c r="Z12839" i="1"/>
  <c r="Z12847" i="1"/>
  <c r="Z12855" i="1"/>
  <c r="Z12863" i="1"/>
  <c r="Z12871" i="1"/>
  <c r="Z12879" i="1"/>
  <c r="Z12887" i="1"/>
  <c r="Z12895" i="1"/>
  <c r="Z12903" i="1"/>
  <c r="Z12911" i="1"/>
  <c r="Z12919" i="1"/>
  <c r="Z12927" i="1"/>
  <c r="Z12935" i="1"/>
  <c r="Z12943" i="1"/>
  <c r="Z12951" i="1"/>
  <c r="Z12959" i="1"/>
  <c r="Z12967" i="1"/>
  <c r="Z12975" i="1"/>
  <c r="Z12983" i="1"/>
  <c r="Z12991" i="1"/>
  <c r="Z12999" i="1"/>
  <c r="Z13007" i="1"/>
  <c r="Z13015" i="1"/>
  <c r="Z13023" i="1"/>
  <c r="Z13031" i="1"/>
  <c r="Z13039" i="1"/>
  <c r="Z13047" i="1"/>
  <c r="Z13055" i="1"/>
  <c r="Z13063" i="1"/>
  <c r="Z13071" i="1"/>
  <c r="Z13079" i="1"/>
  <c r="Z13087" i="1"/>
  <c r="Z13095" i="1"/>
  <c r="Z13103" i="1"/>
  <c r="Z13111" i="1"/>
  <c r="Z13119" i="1"/>
  <c r="Z13127" i="1"/>
  <c r="Z13135" i="1"/>
  <c r="Z13143" i="1"/>
  <c r="Z13151" i="1"/>
  <c r="Z13159" i="1"/>
  <c r="Z13167" i="1"/>
  <c r="Z13175" i="1"/>
  <c r="Z13183" i="1"/>
  <c r="Z13191" i="1"/>
  <c r="Z13199" i="1"/>
  <c r="Z13207" i="1"/>
  <c r="Z13215" i="1"/>
  <c r="Z13223" i="1"/>
  <c r="Z13231" i="1"/>
  <c r="Z13239" i="1"/>
  <c r="Z13247" i="1"/>
  <c r="Z13255" i="1"/>
  <c r="Z13263" i="1"/>
  <c r="Z13271" i="1"/>
  <c r="Z13279" i="1"/>
  <c r="Z13287" i="1"/>
  <c r="Z13295" i="1"/>
  <c r="Z13303" i="1"/>
  <c r="Z7048" i="1"/>
  <c r="Z7114" i="1"/>
  <c r="Z7182" i="1"/>
  <c r="Z7244" i="1"/>
  <c r="Z7301" i="1"/>
  <c r="Z7361" i="1"/>
  <c r="Z7418" i="1"/>
  <c r="Z7476" i="1"/>
  <c r="Z7529" i="1"/>
  <c r="Z7565" i="1"/>
  <c r="Z7593" i="1"/>
  <c r="Z7622" i="1"/>
  <c r="Z7654" i="1"/>
  <c r="Z7682" i="1"/>
  <c r="Z7711" i="1"/>
  <c r="Z7740" i="1"/>
  <c r="Z7768" i="1"/>
  <c r="Z7800" i="1"/>
  <c r="Z7829" i="1"/>
  <c r="Z7857" i="1"/>
  <c r="Z7886" i="1"/>
  <c r="Z7914" i="1"/>
  <c r="Z7946" i="1"/>
  <c r="Z7975" i="1"/>
  <c r="Z8000" i="1"/>
  <c r="Z8025" i="1"/>
  <c r="Z8050" i="1"/>
  <c r="Z8078" i="1"/>
  <c r="Z8103" i="1"/>
  <c r="Z8128" i="1"/>
  <c r="Z8153" i="1"/>
  <c r="Z8178" i="1"/>
  <c r="Z8206" i="1"/>
  <c r="Z8230" i="1"/>
  <c r="Z8250" i="1"/>
  <c r="Z8270" i="1"/>
  <c r="Z8290" i="1"/>
  <c r="Z8313" i="1"/>
  <c r="Z8330" i="1"/>
  <c r="Z8353" i="1"/>
  <c r="Z8370" i="1"/>
  <c r="Z8393" i="1"/>
  <c r="Z8416" i="1"/>
  <c r="Z8433" i="1"/>
  <c r="Z8455" i="1"/>
  <c r="Z8470" i="1"/>
  <c r="Z8488" i="1"/>
  <c r="Z8506" i="1"/>
  <c r="Z8521" i="1"/>
  <c r="Z8541" i="1"/>
  <c r="Z8554" i="1"/>
  <c r="Z8574" i="1"/>
  <c r="Z8592" i="1"/>
  <c r="Z8607" i="1"/>
  <c r="Z8625" i="1"/>
  <c r="Z8640" i="1"/>
  <c r="Z8658" i="1"/>
  <c r="Z8678" i="1"/>
  <c r="Z8693" i="1"/>
  <c r="Z8711" i="1"/>
  <c r="Z8726" i="1"/>
  <c r="Z8744" i="1"/>
  <c r="Z8760" i="1"/>
  <c r="Z8773" i="1"/>
  <c r="Z8789" i="1"/>
  <c r="Z8801" i="1"/>
  <c r="Z8817" i="1"/>
  <c r="Z8833" i="1"/>
  <c r="Z8846" i="1"/>
  <c r="Z8862" i="1"/>
  <c r="Z8874" i="1"/>
  <c r="Z8890" i="1"/>
  <c r="Z8906" i="1"/>
  <c r="Z8919" i="1"/>
  <c r="Z8935" i="1"/>
  <c r="Z8948" i="1"/>
  <c r="Z8964" i="1"/>
  <c r="Z8980" i="1"/>
  <c r="Z8992" i="1"/>
  <c r="Z9008" i="1"/>
  <c r="Z9021" i="1"/>
  <c r="Z9037" i="1"/>
  <c r="Z9053" i="1"/>
  <c r="Z9065" i="1"/>
  <c r="Z9081" i="1"/>
  <c r="Z9094" i="1"/>
  <c r="Z9110" i="1"/>
  <c r="Z9126" i="1"/>
  <c r="Z9138" i="1"/>
  <c r="Z9154" i="1"/>
  <c r="Z9167" i="1"/>
  <c r="Z9183" i="1"/>
  <c r="Z9199" i="1"/>
  <c r="Z9212" i="1"/>
  <c r="Z9228" i="1"/>
  <c r="Z9240" i="1"/>
  <c r="Z9256" i="1"/>
  <c r="Z9272" i="1"/>
  <c r="Z9285" i="1"/>
  <c r="Z9301" i="1"/>
  <c r="Z9313" i="1"/>
  <c r="Z9329" i="1"/>
  <c r="Z9345" i="1"/>
  <c r="Z9358" i="1"/>
  <c r="Z9374" i="1"/>
  <c r="Z9386" i="1"/>
  <c r="Z9402" i="1"/>
  <c r="Z9418" i="1"/>
  <c r="Z9431" i="1"/>
  <c r="Z9447" i="1"/>
  <c r="Z9460" i="1"/>
  <c r="Z9476" i="1"/>
  <c r="Z9492" i="1"/>
  <c r="Z9504" i="1"/>
  <c r="Z9520" i="1"/>
  <c r="Z9533" i="1"/>
  <c r="Z9549" i="1"/>
  <c r="Z9565" i="1"/>
  <c r="Z9577" i="1"/>
  <c r="Z9593" i="1"/>
  <c r="Z9606" i="1"/>
  <c r="Z9620" i="1"/>
  <c r="Z9634" i="1"/>
  <c r="Z9645" i="1"/>
  <c r="Z9659" i="1"/>
  <c r="Z9670" i="1"/>
  <c r="Z9684" i="1"/>
  <c r="Z9698" i="1"/>
  <c r="Z9709" i="1"/>
  <c r="Z9723" i="1"/>
  <c r="Z9734" i="1"/>
  <c r="Z9748" i="1"/>
  <c r="Z9762" i="1"/>
  <c r="Z9773" i="1"/>
  <c r="Z9787" i="1"/>
  <c r="Z9798" i="1"/>
  <c r="Z9812" i="1"/>
  <c r="Z9826" i="1"/>
  <c r="Z9837" i="1"/>
  <c r="Z9851" i="1"/>
  <c r="Z9862" i="1"/>
  <c r="Z9876" i="1"/>
  <c r="Z9890" i="1"/>
  <c r="Z9901" i="1"/>
  <c r="Z9915" i="1"/>
  <c r="Z9926" i="1"/>
  <c r="Z9940" i="1"/>
  <c r="Z9954" i="1"/>
  <c r="Z9965" i="1"/>
  <c r="Z9979" i="1"/>
  <c r="Z9990" i="1"/>
  <c r="Z10004" i="1"/>
  <c r="Z10018" i="1"/>
  <c r="Z10029" i="1"/>
  <c r="Z10043" i="1"/>
  <c r="Z10054" i="1"/>
  <c r="Z10068" i="1"/>
  <c r="Z10082" i="1"/>
  <c r="Z10093" i="1"/>
  <c r="Z10107" i="1"/>
  <c r="Z10118" i="1"/>
  <c r="Z10132" i="1"/>
  <c r="Z10146" i="1"/>
  <c r="Z10157" i="1"/>
  <c r="Z10171" i="1"/>
  <c r="Z10182" i="1"/>
  <c r="Z10196" i="1"/>
  <c r="Z10210" i="1"/>
  <c r="Z10221" i="1"/>
  <c r="Z10235" i="1"/>
  <c r="Z10246" i="1"/>
  <c r="Z10260" i="1"/>
  <c r="Z10274" i="1"/>
  <c r="Z10285" i="1"/>
  <c r="Z7062" i="1"/>
  <c r="Z7128" i="1"/>
  <c r="Z7198" i="1"/>
  <c r="Z7255" i="1"/>
  <c r="Z7316" i="1"/>
  <c r="Z7373" i="1"/>
  <c r="Z7430" i="1"/>
  <c r="Z7490" i="1"/>
  <c r="Z7535" i="1"/>
  <c r="Z7574" i="1"/>
  <c r="Z7602" i="1"/>
  <c r="Z7631" i="1"/>
  <c r="Z7663" i="1"/>
  <c r="Z7692" i="1"/>
  <c r="Z7720" i="1"/>
  <c r="Z7749" i="1"/>
  <c r="Z7777" i="1"/>
  <c r="Z7809" i="1"/>
  <c r="Z7838" i="1"/>
  <c r="Z7866" i="1"/>
  <c r="Z7895" i="1"/>
  <c r="Z7924" i="1"/>
  <c r="Z7956" i="1"/>
  <c r="Z7983" i="1"/>
  <c r="Z8008" i="1"/>
  <c r="Z8033" i="1"/>
  <c r="Z8058" i="1"/>
  <c r="Z8086" i="1"/>
  <c r="Z8111" i="1"/>
  <c r="Z8136" i="1"/>
  <c r="Z8161" i="1"/>
  <c r="Z8186" i="1"/>
  <c r="Z8214" i="1"/>
  <c r="Z8231" i="1"/>
  <c r="Z8254" i="1"/>
  <c r="Z8274" i="1"/>
  <c r="Z8294" i="1"/>
  <c r="Z8314" i="1"/>
  <c r="Z8334" i="1"/>
  <c r="Z8354" i="1"/>
  <c r="Z8377" i="1"/>
  <c r="Z8394" i="1"/>
  <c r="Z8417" i="1"/>
  <c r="Z8434" i="1"/>
  <c r="Z8456" i="1"/>
  <c r="Z8474" i="1"/>
  <c r="Z8489" i="1"/>
  <c r="Z8509" i="1"/>
  <c r="Z8522" i="1"/>
  <c r="Z8542" i="1"/>
  <c r="Z8560" i="1"/>
  <c r="Z8575" i="1"/>
  <c r="Z8593" i="1"/>
  <c r="Z8608" i="1"/>
  <c r="Z8626" i="1"/>
  <c r="Z8646" i="1"/>
  <c r="Z8661" i="1"/>
  <c r="Z8679" i="1"/>
  <c r="Z8694" i="1"/>
  <c r="Z8712" i="1"/>
  <c r="Z8730" i="1"/>
  <c r="Z8745" i="1"/>
  <c r="Z8761" i="1"/>
  <c r="Z8774" i="1"/>
  <c r="Z8790" i="1"/>
  <c r="Z8806" i="1"/>
  <c r="Z8818" i="1"/>
  <c r="Z8834" i="1"/>
  <c r="Z8847" i="1"/>
  <c r="Z8863" i="1"/>
  <c r="Z8879" i="1"/>
  <c r="Z8892" i="1"/>
  <c r="Z8908" i="1"/>
  <c r="Z8920" i="1"/>
  <c r="Z8936" i="1"/>
  <c r="Z8952" i="1"/>
  <c r="Z8965" i="1"/>
  <c r="Z8981" i="1"/>
  <c r="Z8993" i="1"/>
  <c r="Z9009" i="1"/>
  <c r="Z9025" i="1"/>
  <c r="Z9038" i="1"/>
  <c r="Z9054" i="1"/>
  <c r="Z9066" i="1"/>
  <c r="Z9082" i="1"/>
  <c r="Z9098" i="1"/>
  <c r="Z9111" i="1"/>
  <c r="Z9127" i="1"/>
  <c r="Z9140" i="1"/>
  <c r="Z9156" i="1"/>
  <c r="Z9172" i="1"/>
  <c r="Z9184" i="1"/>
  <c r="Z9200" i="1"/>
  <c r="Z9213" i="1"/>
  <c r="Z9229" i="1"/>
  <c r="Z9245" i="1"/>
  <c r="Z9257" i="1"/>
  <c r="Z9273" i="1"/>
  <c r="Z9286" i="1"/>
  <c r="Z9302" i="1"/>
  <c r="Z9318" i="1"/>
  <c r="Z9330" i="1"/>
  <c r="Z9346" i="1"/>
  <c r="Z9359" i="1"/>
  <c r="Z9375" i="1"/>
  <c r="Z9391" i="1"/>
  <c r="Z9404" i="1"/>
  <c r="Z9420" i="1"/>
  <c r="Z9432" i="1"/>
  <c r="Z9448" i="1"/>
  <c r="Z9464" i="1"/>
  <c r="Z9477" i="1"/>
  <c r="Z9493" i="1"/>
  <c r="Z9505" i="1"/>
  <c r="Z9521" i="1"/>
  <c r="Z9537" i="1"/>
  <c r="Z9550" i="1"/>
  <c r="Z9566" i="1"/>
  <c r="Z9578" i="1"/>
  <c r="Z9594" i="1"/>
  <c r="Z9610" i="1"/>
  <c r="Z9621" i="1"/>
  <c r="Z9635" i="1"/>
  <c r="Z9646" i="1"/>
  <c r="Z9660" i="1"/>
  <c r="Z7063" i="1"/>
  <c r="Z7134" i="1"/>
  <c r="Z7199" i="1"/>
  <c r="Z7256" i="1"/>
  <c r="Z7317" i="1"/>
  <c r="Z7374" i="1"/>
  <c r="Z7434" i="1"/>
  <c r="Z7492" i="1"/>
  <c r="Z7536" i="1"/>
  <c r="Z7575" i="1"/>
  <c r="Z7604" i="1"/>
  <c r="Z7636" i="1"/>
  <c r="Z7664" i="1"/>
  <c r="Z7693" i="1"/>
  <c r="Z7721" i="1"/>
  <c r="Z7750" i="1"/>
  <c r="Z7782" i="1"/>
  <c r="Z7810" i="1"/>
  <c r="Z7839" i="1"/>
  <c r="Z7868" i="1"/>
  <c r="Z7896" i="1"/>
  <c r="Z7928" i="1"/>
  <c r="Z7957" i="1"/>
  <c r="Z7984" i="1"/>
  <c r="Z8009" i="1"/>
  <c r="Z8034" i="1"/>
  <c r="Z8062" i="1"/>
  <c r="Z8087" i="1"/>
  <c r="Z8112" i="1"/>
  <c r="Z8137" i="1"/>
  <c r="Z8162" i="1"/>
  <c r="Z8190" i="1"/>
  <c r="Z8215" i="1"/>
  <c r="Z8238" i="1"/>
  <c r="Z8255" i="1"/>
  <c r="Z8278" i="1"/>
  <c r="Z8295" i="1"/>
  <c r="Z8318" i="1"/>
  <c r="Z8338" i="1"/>
  <c r="Z8358" i="1"/>
  <c r="Z8378" i="1"/>
  <c r="Z8398" i="1"/>
  <c r="Z8418" i="1"/>
  <c r="Z8441" i="1"/>
  <c r="Z8457" i="1"/>
  <c r="Z8477" i="1"/>
  <c r="Z8490" i="1"/>
  <c r="Z8510" i="1"/>
  <c r="Z8528" i="1"/>
  <c r="Z8543" i="1"/>
  <c r="Z8561" i="1"/>
  <c r="Z8576" i="1"/>
  <c r="Z8594" i="1"/>
  <c r="Z8614" i="1"/>
  <c r="Z8629" i="1"/>
  <c r="Z8647" i="1"/>
  <c r="Z8662" i="1"/>
  <c r="Z8680" i="1"/>
  <c r="Z8698" i="1"/>
  <c r="Z8713" i="1"/>
  <c r="Z8733" i="1"/>
  <c r="Z8746" i="1"/>
  <c r="Z8762" i="1"/>
  <c r="Z8778" i="1"/>
  <c r="Z8791" i="1"/>
  <c r="Z8807" i="1"/>
  <c r="Z8820" i="1"/>
  <c r="Z8836" i="1"/>
  <c r="Z8852" i="1"/>
  <c r="Z8864" i="1"/>
  <c r="Z8880" i="1"/>
  <c r="Z8893" i="1"/>
  <c r="Z8909" i="1"/>
  <c r="Z8925" i="1"/>
  <c r="Z8937" i="1"/>
  <c r="Z8953" i="1"/>
  <c r="Z8966" i="1"/>
  <c r="Z8982" i="1"/>
  <c r="Z8998" i="1"/>
  <c r="Z9010" i="1"/>
  <c r="Z9026" i="1"/>
  <c r="Z9039" i="1"/>
  <c r="Z9055" i="1"/>
  <c r="Z9071" i="1"/>
  <c r="Z9084" i="1"/>
  <c r="Z9100" i="1"/>
  <c r="Z9112" i="1"/>
  <c r="Z9128" i="1"/>
  <c r="Z9144" i="1"/>
  <c r="Z9157" i="1"/>
  <c r="Z9173" i="1"/>
  <c r="Z9185" i="1"/>
  <c r="Z9201" i="1"/>
  <c r="Z9217" i="1"/>
  <c r="Z9230" i="1"/>
  <c r="Z9246" i="1"/>
  <c r="Z9258" i="1"/>
  <c r="Z9274" i="1"/>
  <c r="Z9290" i="1"/>
  <c r="Z9303" i="1"/>
  <c r="Z9319" i="1"/>
  <c r="Z9332" i="1"/>
  <c r="Z9348" i="1"/>
  <c r="Z9364" i="1"/>
  <c r="Z9376" i="1"/>
  <c r="Z9392" i="1"/>
  <c r="Z9405" i="1"/>
  <c r="Z9421" i="1"/>
  <c r="Z9437" i="1"/>
  <c r="Z9449" i="1"/>
  <c r="Z9465" i="1"/>
  <c r="Z9478" i="1"/>
  <c r="Z9494" i="1"/>
  <c r="Z9510" i="1"/>
  <c r="Z9522" i="1"/>
  <c r="Z9538" i="1"/>
  <c r="Z9551" i="1"/>
  <c r="Z9567" i="1"/>
  <c r="Z9583" i="1"/>
  <c r="Z9596" i="1"/>
  <c r="Z9611" i="1"/>
  <c r="Z9622" i="1"/>
  <c r="Z9636" i="1"/>
  <c r="Z9650" i="1"/>
  <c r="Z9661" i="1"/>
  <c r="Z9675" i="1"/>
  <c r="Z9686" i="1"/>
  <c r="Z7080" i="1"/>
  <c r="Z7146" i="1"/>
  <c r="Z7210" i="1"/>
  <c r="Z7271" i="1"/>
  <c r="Z7328" i="1"/>
  <c r="Z7389" i="1"/>
  <c r="Z7446" i="1"/>
  <c r="Z7503" i="1"/>
  <c r="Z7545" i="1"/>
  <c r="Z7576" i="1"/>
  <c r="Z7608" i="1"/>
  <c r="Z7637" i="1"/>
  <c r="Z7665" i="1"/>
  <c r="Z7694" i="1"/>
  <c r="Z7722" i="1"/>
  <c r="Z7754" i="1"/>
  <c r="Z7783" i="1"/>
  <c r="Z7812" i="1"/>
  <c r="Z7840" i="1"/>
  <c r="Z7869" i="1"/>
  <c r="Z7901" i="1"/>
  <c r="Z7929" i="1"/>
  <c r="Z7958" i="1"/>
  <c r="Z7985" i="1"/>
  <c r="Z8010" i="1"/>
  <c r="Z8038" i="1"/>
  <c r="Z8063" i="1"/>
  <c r="Z8088" i="1"/>
  <c r="Z8113" i="1"/>
  <c r="Z8138" i="1"/>
  <c r="Z8166" i="1"/>
  <c r="Z8191" i="1"/>
  <c r="Z8216" i="1"/>
  <c r="Z8239" i="1"/>
  <c r="Z8256" i="1"/>
  <c r="Z8279" i="1"/>
  <c r="Z8302" i="1"/>
  <c r="Z8319" i="1"/>
  <c r="Z8342" i="1"/>
  <c r="Z8359" i="1"/>
  <c r="Z8382" i="1"/>
  <c r="Z8402" i="1"/>
  <c r="Z8422" i="1"/>
  <c r="Z8442" i="1"/>
  <c r="Z8458" i="1"/>
  <c r="Z8478" i="1"/>
  <c r="Z8496" i="1"/>
  <c r="Z8511" i="1"/>
  <c r="Z8529" i="1"/>
  <c r="Z8544" i="1"/>
  <c r="Z8562" i="1"/>
  <c r="Z8582" i="1"/>
  <c r="Z8597" i="1"/>
  <c r="Z8615" i="1"/>
  <c r="Z8630" i="1"/>
  <c r="Z8648" i="1"/>
  <c r="Z8666" i="1"/>
  <c r="Z8681" i="1"/>
  <c r="Z8701" i="1"/>
  <c r="Z8714" i="1"/>
  <c r="Z8734" i="1"/>
  <c r="Z8751" i="1"/>
  <c r="Z8764" i="1"/>
  <c r="Z8780" i="1"/>
  <c r="Z8792" i="1"/>
  <c r="Z8808" i="1"/>
  <c r="Z8824" i="1"/>
  <c r="Z8837" i="1"/>
  <c r="Z8853" i="1"/>
  <c r="Z8865" i="1"/>
  <c r="Z8881" i="1"/>
  <c r="Z8897" i="1"/>
  <c r="Z8910" i="1"/>
  <c r="Z8926" i="1"/>
  <c r="Z8938" i="1"/>
  <c r="Z8954" i="1"/>
  <c r="Z8970" i="1"/>
  <c r="Z8983" i="1"/>
  <c r="Z8999" i="1"/>
  <c r="Z9012" i="1"/>
  <c r="Z9028" i="1"/>
  <c r="Z9044" i="1"/>
  <c r="Z9056" i="1"/>
  <c r="Z9072" i="1"/>
  <c r="Z9085" i="1"/>
  <c r="Z9101" i="1"/>
  <c r="Z9117" i="1"/>
  <c r="Z9129" i="1"/>
  <c r="Z9145" i="1"/>
  <c r="Z9158" i="1"/>
  <c r="Z7081" i="1"/>
  <c r="Z7149" i="1"/>
  <c r="Z7215" i="1"/>
  <c r="Z7272" i="1"/>
  <c r="Z7329" i="1"/>
  <c r="Z7390" i="1"/>
  <c r="Z7447" i="1"/>
  <c r="Z7508" i="1"/>
  <c r="Z7548" i="1"/>
  <c r="Z7581" i="1"/>
  <c r="Z7609" i="1"/>
  <c r="Z7638" i="1"/>
  <c r="Z7666" i="1"/>
  <c r="Z7695" i="1"/>
  <c r="Z7727" i="1"/>
  <c r="Z7756" i="1"/>
  <c r="Z7784" i="1"/>
  <c r="Z7813" i="1"/>
  <c r="Z7841" i="1"/>
  <c r="Z7873" i="1"/>
  <c r="Z7902" i="1"/>
  <c r="Z7930" i="1"/>
  <c r="Z7959" i="1"/>
  <c r="Z7986" i="1"/>
  <c r="Z8014" i="1"/>
  <c r="Z8039" i="1"/>
  <c r="Z8064" i="1"/>
  <c r="Z8089" i="1"/>
  <c r="Z8114" i="1"/>
  <c r="Z8142" i="1"/>
  <c r="Z8167" i="1"/>
  <c r="Z8192" i="1"/>
  <c r="Z8217" i="1"/>
  <c r="Z8240" i="1"/>
  <c r="Z8263" i="1"/>
  <c r="Z8280" i="1"/>
  <c r="Z8303" i="1"/>
  <c r="Z8320" i="1"/>
  <c r="Z8343" i="1"/>
  <c r="Z8366" i="1"/>
  <c r="Z8383" i="1"/>
  <c r="Z8406" i="1"/>
  <c r="Z8423" i="1"/>
  <c r="Z8446" i="1"/>
  <c r="Z8464" i="1"/>
  <c r="Z8479" i="1"/>
  <c r="Z8497" i="1"/>
  <c r="Z8512" i="1"/>
  <c r="Z8530" i="1"/>
  <c r="Z8550" i="1"/>
  <c r="Z8565" i="1"/>
  <c r="Z8583" i="1"/>
  <c r="Z8598" i="1"/>
  <c r="Z8616" i="1"/>
  <c r="Z8634" i="1"/>
  <c r="Z8649" i="1"/>
  <c r="Z8669" i="1"/>
  <c r="Z8682" i="1"/>
  <c r="Z8702" i="1"/>
  <c r="Z8720" i="1"/>
  <c r="Z8735" i="1"/>
  <c r="Z8752" i="1"/>
  <c r="Z8765" i="1"/>
  <c r="Z8781" i="1"/>
  <c r="Z8797" i="1"/>
  <c r="Z8809" i="1"/>
  <c r="Z8825" i="1"/>
  <c r="Z8838" i="1"/>
  <c r="Z8854" i="1"/>
  <c r="Z8870" i="1"/>
  <c r="Z8882" i="1"/>
  <c r="Z8898" i="1"/>
  <c r="Z8911" i="1"/>
  <c r="Z8927" i="1"/>
  <c r="Z8943" i="1"/>
  <c r="Z8956" i="1"/>
  <c r="Z8972" i="1"/>
  <c r="Z8984" i="1"/>
  <c r="Z9000" i="1"/>
  <c r="Z9016" i="1"/>
  <c r="Z9029" i="1"/>
  <c r="Z9045" i="1"/>
  <c r="Z9057" i="1"/>
  <c r="Z9073" i="1"/>
  <c r="Z9089" i="1"/>
  <c r="Z9102" i="1"/>
  <c r="Z9118" i="1"/>
  <c r="Z9130" i="1"/>
  <c r="Z9146" i="1"/>
  <c r="Z9162" i="1"/>
  <c r="Z9220" i="1"/>
  <c r="Z9277" i="1"/>
  <c r="Z9337" i="1"/>
  <c r="Z9394" i="1"/>
  <c r="Z9455" i="1"/>
  <c r="Z9512" i="1"/>
  <c r="Z9569" i="1"/>
  <c r="Z9627" i="1"/>
  <c r="Z9676" i="1"/>
  <c r="Z9702" i="1"/>
  <c r="Z9730" i="1"/>
  <c r="Z9755" i="1"/>
  <c r="Z9780" i="1"/>
  <c r="Z9805" i="1"/>
  <c r="Z9830" i="1"/>
  <c r="Z9858" i="1"/>
  <c r="Z9883" i="1"/>
  <c r="Z9908" i="1"/>
  <c r="Z9933" i="1"/>
  <c r="Z9958" i="1"/>
  <c r="Z9986" i="1"/>
  <c r="Z10011" i="1"/>
  <c r="Z10036" i="1"/>
  <c r="Z10061" i="1"/>
  <c r="Z10086" i="1"/>
  <c r="Z10114" i="1"/>
  <c r="Z10139" i="1"/>
  <c r="Z10164" i="1"/>
  <c r="Z10189" i="1"/>
  <c r="Z10214" i="1"/>
  <c r="Z10242" i="1"/>
  <c r="Z10267" i="1"/>
  <c r="Z10292" i="1"/>
  <c r="Z10315" i="1"/>
  <c r="Z10338" i="1"/>
  <c r="Z10355" i="1"/>
  <c r="Z10378" i="1"/>
  <c r="Z10395" i="1"/>
  <c r="Z10418" i="1"/>
  <c r="Z10438" i="1"/>
  <c r="Z10458" i="1"/>
  <c r="Z10478" i="1"/>
  <c r="Z10498" i="1"/>
  <c r="Z10518" i="1"/>
  <c r="Z10541" i="1"/>
  <c r="Z10558" i="1"/>
  <c r="Z10581" i="1"/>
  <c r="Z10598" i="1"/>
  <c r="Z10621" i="1"/>
  <c r="Z10644" i="1"/>
  <c r="Z10661" i="1"/>
  <c r="Z10684" i="1"/>
  <c r="Z10701" i="1"/>
  <c r="Z10724" i="1"/>
  <c r="Z10747" i="1"/>
  <c r="Z10764" i="1"/>
  <c r="Z10787" i="1"/>
  <c r="Z10804" i="1"/>
  <c r="Z10827" i="1"/>
  <c r="Z10850" i="1"/>
  <c r="Z10867" i="1"/>
  <c r="Z10890" i="1"/>
  <c r="Z10907" i="1"/>
  <c r="Z10930" i="1"/>
  <c r="Z10950" i="1"/>
  <c r="Z10970" i="1"/>
  <c r="Z10990" i="1"/>
  <c r="Z11010" i="1"/>
  <c r="Z11030" i="1"/>
  <c r="Z11052" i="1"/>
  <c r="Z11067" i="1"/>
  <c r="Z11085" i="1"/>
  <c r="Z11100" i="1"/>
  <c r="Z11118" i="1"/>
  <c r="Z11138" i="1"/>
  <c r="Z11153" i="1"/>
  <c r="Z11171" i="1"/>
  <c r="Z11186" i="1"/>
  <c r="Z11204" i="1"/>
  <c r="Z11222" i="1"/>
  <c r="Z11235" i="1"/>
  <c r="Z11251" i="1"/>
  <c r="Z11264" i="1"/>
  <c r="Z11280" i="1"/>
  <c r="Z11296" i="1"/>
  <c r="Z11308" i="1"/>
  <c r="Z11324" i="1"/>
  <c r="Z11337" i="1"/>
  <c r="Z11353" i="1"/>
  <c r="Z11369" i="1"/>
  <c r="Z11381" i="1"/>
  <c r="Z11397" i="1"/>
  <c r="Z11410" i="1"/>
  <c r="Z11426" i="1"/>
  <c r="Z11442" i="1"/>
  <c r="Z11454" i="1"/>
  <c r="Z11470" i="1"/>
  <c r="Z11483" i="1"/>
  <c r="Z11499" i="1"/>
  <c r="Z11515" i="1"/>
  <c r="Z11528" i="1"/>
  <c r="Z11544" i="1"/>
  <c r="Z11556" i="1"/>
  <c r="Z11572" i="1"/>
  <c r="Z11588" i="1"/>
  <c r="Z11601" i="1"/>
  <c r="Z11617" i="1"/>
  <c r="Z11629" i="1"/>
  <c r="Z11645" i="1"/>
  <c r="Z11661" i="1"/>
  <c r="Z11674" i="1"/>
  <c r="Z11690" i="1"/>
  <c r="Z11702" i="1"/>
  <c r="Z11718" i="1"/>
  <c r="Z11734" i="1"/>
  <c r="Z11747" i="1"/>
  <c r="Z11763" i="1"/>
  <c r="Z11776" i="1"/>
  <c r="Z11792" i="1"/>
  <c r="Z11808" i="1"/>
  <c r="Z11820" i="1"/>
  <c r="Z11836" i="1"/>
  <c r="Z11849" i="1"/>
  <c r="Z11865" i="1"/>
  <c r="Z11881" i="1"/>
  <c r="Z11893" i="1"/>
  <c r="Z11909" i="1"/>
  <c r="Z11922" i="1"/>
  <c r="Z11938" i="1"/>
  <c r="Z11954" i="1"/>
  <c r="Z11966" i="1"/>
  <c r="Z11982" i="1"/>
  <c r="Z11995" i="1"/>
  <c r="Z12011" i="1"/>
  <c r="Z12027" i="1"/>
  <c r="Z12040" i="1"/>
  <c r="Z12056" i="1"/>
  <c r="Z12068" i="1"/>
  <c r="Z12084" i="1"/>
  <c r="Z12100" i="1"/>
  <c r="Z12113" i="1"/>
  <c r="Z12129" i="1"/>
  <c r="Z12140" i="1"/>
  <c r="Z12154" i="1"/>
  <c r="Z12168" i="1"/>
  <c r="Z12179" i="1"/>
  <c r="Z12193" i="1"/>
  <c r="Z12204" i="1"/>
  <c r="Z12218" i="1"/>
  <c r="Z12232" i="1"/>
  <c r="Z12243" i="1"/>
  <c r="Z12257" i="1"/>
  <c r="Z12268" i="1"/>
  <c r="Z12282" i="1"/>
  <c r="Z12296" i="1"/>
  <c r="Z12307" i="1"/>
  <c r="Z12321" i="1"/>
  <c r="Z12332" i="1"/>
  <c r="Z12346" i="1"/>
  <c r="Z12360" i="1"/>
  <c r="Z12371" i="1"/>
  <c r="Z12385" i="1"/>
  <c r="Z12396" i="1"/>
  <c r="Z12410" i="1"/>
  <c r="Z12424" i="1"/>
  <c r="Z12435" i="1"/>
  <c r="Z12449" i="1"/>
  <c r="Z12460" i="1"/>
  <c r="Z12474" i="1"/>
  <c r="Z12488" i="1"/>
  <c r="Z12499" i="1"/>
  <c r="Z12513" i="1"/>
  <c r="Z12524" i="1"/>
  <c r="Z12538" i="1"/>
  <c r="Z12552" i="1"/>
  <c r="Z12563" i="1"/>
  <c r="Z12577" i="1"/>
  <c r="Z12588" i="1"/>
  <c r="Z12602" i="1"/>
  <c r="Z12616" i="1"/>
  <c r="Z12627" i="1"/>
  <c r="Z12641" i="1"/>
  <c r="Z12652" i="1"/>
  <c r="Z12666" i="1"/>
  <c r="Z12680" i="1"/>
  <c r="Z12691" i="1"/>
  <c r="Z12705" i="1"/>
  <c r="Z12716" i="1"/>
  <c r="Z12730" i="1"/>
  <c r="Z12744" i="1"/>
  <c r="Z12755" i="1"/>
  <c r="Z12769" i="1"/>
  <c r="Z12780" i="1"/>
  <c r="Z12794" i="1"/>
  <c r="Z12808" i="1"/>
  <c r="Z12819" i="1"/>
  <c r="Z12833" i="1"/>
  <c r="Z12844" i="1"/>
  <c r="Z12858" i="1"/>
  <c r="Z12872" i="1"/>
  <c r="Z12883" i="1"/>
  <c r="Z12897" i="1"/>
  <c r="Z12908" i="1"/>
  <c r="Z12922" i="1"/>
  <c r="Z12936" i="1"/>
  <c r="Z12947" i="1"/>
  <c r="Z12961" i="1"/>
  <c r="Z12972" i="1"/>
  <c r="Z12986" i="1"/>
  <c r="Z13000" i="1"/>
  <c r="Z13011" i="1"/>
  <c r="Z13025" i="1"/>
  <c r="Z13036" i="1"/>
  <c r="Z13050" i="1"/>
  <c r="Z13064" i="1"/>
  <c r="Z13075" i="1"/>
  <c r="Z13089" i="1"/>
  <c r="Z13100" i="1"/>
  <c r="Z13114" i="1"/>
  <c r="Z13128" i="1"/>
  <c r="Z13139" i="1"/>
  <c r="Z13150" i="1"/>
  <c r="Z13161" i="1"/>
  <c r="Z13171" i="1"/>
  <c r="Z13182" i="1"/>
  <c r="Z13193" i="1"/>
  <c r="Z13203" i="1"/>
  <c r="Z13214" i="1"/>
  <c r="Z13225" i="1"/>
  <c r="Z13235" i="1"/>
  <c r="Z13246" i="1"/>
  <c r="Z13257" i="1"/>
  <c r="Z13267" i="1"/>
  <c r="Z13278" i="1"/>
  <c r="Z13289" i="1"/>
  <c r="Z13299" i="1"/>
  <c r="Z13310" i="1"/>
  <c r="Z13319" i="1"/>
  <c r="Z13328" i="1"/>
  <c r="Z13337" i="1"/>
  <c r="Z13346" i="1"/>
  <c r="Z13355" i="1"/>
  <c r="Z13364" i="1"/>
  <c r="Z13374" i="1"/>
  <c r="Z13383" i="1"/>
  <c r="Z13392" i="1"/>
  <c r="Z13401" i="1"/>
  <c r="Z13410" i="1"/>
  <c r="Z13419" i="1"/>
  <c r="Z13428" i="1"/>
  <c r="Z13438" i="1"/>
  <c r="Z13447" i="1"/>
  <c r="Z13456" i="1"/>
  <c r="Z13465" i="1"/>
  <c r="Z13474" i="1"/>
  <c r="Z13483" i="1"/>
  <c r="Z13492" i="1"/>
  <c r="Z13502" i="1"/>
  <c r="Z13511" i="1"/>
  <c r="Z13520" i="1"/>
  <c r="Z13529" i="1"/>
  <c r="Z13538" i="1"/>
  <c r="Z13547" i="1"/>
  <c r="Z13556" i="1"/>
  <c r="Z13566" i="1"/>
  <c r="Z13575" i="1"/>
  <c r="Z13584" i="1"/>
  <c r="Z13593" i="1"/>
  <c r="Z13602" i="1"/>
  <c r="Z13611" i="1"/>
  <c r="Z13620" i="1"/>
  <c r="Z13630" i="1"/>
  <c r="Z13639" i="1"/>
  <c r="Z13648" i="1"/>
  <c r="Z13657" i="1"/>
  <c r="Z13666" i="1"/>
  <c r="Z13675" i="1"/>
  <c r="Z13684" i="1"/>
  <c r="Z13694" i="1"/>
  <c r="Z13703" i="1"/>
  <c r="Z13712" i="1"/>
  <c r="Z13721" i="1"/>
  <c r="Z13730" i="1"/>
  <c r="Z13739" i="1"/>
  <c r="Z13748" i="1"/>
  <c r="Z13758" i="1"/>
  <c r="Z13767" i="1"/>
  <c r="Z13776" i="1"/>
  <c r="Z13785" i="1"/>
  <c r="Z13794" i="1"/>
  <c r="Z13803" i="1"/>
  <c r="Z13812" i="1"/>
  <c r="Z13821" i="1"/>
  <c r="Z13829" i="1"/>
  <c r="Z13837" i="1"/>
  <c r="Z13845" i="1"/>
  <c r="Z13853" i="1"/>
  <c r="Z13861" i="1"/>
  <c r="Z13869" i="1"/>
  <c r="Z13877" i="1"/>
  <c r="Z13885" i="1"/>
  <c r="Z13893" i="1"/>
  <c r="Z13901" i="1"/>
  <c r="Z13909" i="1"/>
  <c r="Z13917" i="1"/>
  <c r="Z13925" i="1"/>
  <c r="Z13933" i="1"/>
  <c r="Z13941" i="1"/>
  <c r="Z13949" i="1"/>
  <c r="Z13957" i="1"/>
  <c r="Z13965" i="1"/>
  <c r="Z13973" i="1"/>
  <c r="Z13981" i="1"/>
  <c r="Z13989" i="1"/>
  <c r="Z13997" i="1"/>
  <c r="Z14005" i="1"/>
  <c r="Z14013" i="1"/>
  <c r="Z14021" i="1"/>
  <c r="Z14029" i="1"/>
  <c r="Z14037" i="1"/>
  <c r="Z14045" i="1"/>
  <c r="Z14053" i="1"/>
  <c r="Z14061" i="1"/>
  <c r="Z14069" i="1"/>
  <c r="Z14077" i="1"/>
  <c r="Z14085" i="1"/>
  <c r="Z14093" i="1"/>
  <c r="Z14101" i="1"/>
  <c r="Z14109" i="1"/>
  <c r="Z14117" i="1"/>
  <c r="Z14125" i="1"/>
  <c r="Z14133" i="1"/>
  <c r="Z14141" i="1"/>
  <c r="Z14149" i="1"/>
  <c r="Z14157" i="1"/>
  <c r="Z14165" i="1"/>
  <c r="Z14173" i="1"/>
  <c r="Z14181" i="1"/>
  <c r="Z14189" i="1"/>
  <c r="Z14197" i="1"/>
  <c r="Z14205" i="1"/>
  <c r="Z14213" i="1"/>
  <c r="Z14221" i="1"/>
  <c r="Z14229" i="1"/>
  <c r="Z14237" i="1"/>
  <c r="Z14245" i="1"/>
  <c r="Z14253" i="1"/>
  <c r="Z14261" i="1"/>
  <c r="Z14269" i="1"/>
  <c r="Z14277" i="1"/>
  <c r="Z14285" i="1"/>
  <c r="Z14293" i="1"/>
  <c r="Z14301" i="1"/>
  <c r="Z14309" i="1"/>
  <c r="Z14317" i="1"/>
  <c r="Z14325" i="1"/>
  <c r="Z14333" i="1"/>
  <c r="Z14341" i="1"/>
  <c r="Z14349" i="1"/>
  <c r="Z14357" i="1"/>
  <c r="Z14365" i="1"/>
  <c r="Z14373" i="1"/>
  <c r="Z14381" i="1"/>
  <c r="Z14389" i="1"/>
  <c r="Z14397" i="1"/>
  <c r="Z14405" i="1"/>
  <c r="Z14413" i="1"/>
  <c r="Z14421" i="1"/>
  <c r="Z14429" i="1"/>
  <c r="Z14437" i="1"/>
  <c r="Z14445" i="1"/>
  <c r="Z14453" i="1"/>
  <c r="Z14461" i="1"/>
  <c r="Z14469" i="1"/>
  <c r="Z14477" i="1"/>
  <c r="Z14485" i="1"/>
  <c r="Z14493" i="1"/>
  <c r="Z14501" i="1"/>
  <c r="Z14509" i="1"/>
  <c r="Z14517" i="1"/>
  <c r="Z14525" i="1"/>
  <c r="Z14533" i="1"/>
  <c r="Z14541" i="1"/>
  <c r="Z14549" i="1"/>
  <c r="Z14557" i="1"/>
  <c r="Z14565" i="1"/>
  <c r="Z14573" i="1"/>
  <c r="Z14581" i="1"/>
  <c r="Z14589" i="1"/>
  <c r="Z14597" i="1"/>
  <c r="Z14605" i="1"/>
  <c r="Z14613" i="1"/>
  <c r="Z14621" i="1"/>
  <c r="Z14629" i="1"/>
  <c r="Z14637" i="1"/>
  <c r="Z14645" i="1"/>
  <c r="Z14653" i="1"/>
  <c r="Z14661" i="1"/>
  <c r="Z14669" i="1"/>
  <c r="Z14677" i="1"/>
  <c r="Z14685" i="1"/>
  <c r="Z14693" i="1"/>
  <c r="Z14701" i="1"/>
  <c r="Z14709" i="1"/>
  <c r="Z14717" i="1"/>
  <c r="Z14725" i="1"/>
  <c r="Z14733" i="1"/>
  <c r="Z14741" i="1"/>
  <c r="Z14749" i="1"/>
  <c r="Z14757" i="1"/>
  <c r="Z14765" i="1"/>
  <c r="Z14773" i="1"/>
  <c r="Z14781" i="1"/>
  <c r="Z14789" i="1"/>
  <c r="Z14797" i="1"/>
  <c r="Z14805" i="1"/>
  <c r="Z14813" i="1"/>
  <c r="Z14821" i="1"/>
  <c r="Z14829" i="1"/>
  <c r="Z14837" i="1"/>
  <c r="Z14845" i="1"/>
  <c r="Z14853" i="1"/>
  <c r="Z14861" i="1"/>
  <c r="Z14869" i="1"/>
  <c r="Z14877" i="1"/>
  <c r="Z14885" i="1"/>
  <c r="Z14893" i="1"/>
  <c r="Z14901" i="1"/>
  <c r="Z14909" i="1"/>
  <c r="Z14917" i="1"/>
  <c r="Z14925" i="1"/>
  <c r="Z14933" i="1"/>
  <c r="Z14941" i="1"/>
  <c r="Z14949" i="1"/>
  <c r="Z14957" i="1"/>
  <c r="Z14965" i="1"/>
  <c r="Z14973" i="1"/>
  <c r="Z14981" i="1"/>
  <c r="Z14989" i="1"/>
  <c r="Z14997" i="1"/>
  <c r="Z15005" i="1"/>
  <c r="Z15013" i="1"/>
  <c r="Z15021" i="1"/>
  <c r="Z15029" i="1"/>
  <c r="Z15037" i="1"/>
  <c r="Z15045" i="1"/>
  <c r="Z15053" i="1"/>
  <c r="Z15061" i="1"/>
  <c r="Z15069" i="1"/>
  <c r="Z15077" i="1"/>
  <c r="Z15085" i="1"/>
  <c r="Z15093" i="1"/>
  <c r="Z15101" i="1"/>
  <c r="Z15109" i="1"/>
  <c r="Z15117" i="1"/>
  <c r="Z15125" i="1"/>
  <c r="Z15133" i="1"/>
  <c r="Z15141" i="1"/>
  <c r="Z15149" i="1"/>
  <c r="Z15157" i="1"/>
  <c r="Z15165" i="1"/>
  <c r="Z15173" i="1"/>
  <c r="Z15181" i="1"/>
  <c r="Z15189" i="1"/>
  <c r="Z15197" i="1"/>
  <c r="Z15205" i="1"/>
  <c r="Z15213" i="1"/>
  <c r="Z15221" i="1"/>
  <c r="Z15229" i="1"/>
  <c r="Z15237" i="1"/>
  <c r="Z15245" i="1"/>
  <c r="Z15253" i="1"/>
  <c r="Z15261" i="1"/>
  <c r="Z15269" i="1"/>
  <c r="Z15277" i="1"/>
  <c r="Z15285" i="1"/>
  <c r="Z15293" i="1"/>
  <c r="Z15301" i="1"/>
  <c r="Z15309" i="1"/>
  <c r="Z15317" i="1"/>
  <c r="Z15325" i="1"/>
  <c r="Z15333" i="1"/>
  <c r="Z15341" i="1"/>
  <c r="Z15349" i="1"/>
  <c r="Z15357" i="1"/>
  <c r="Z15365" i="1"/>
  <c r="Z15373" i="1"/>
  <c r="Z15381" i="1"/>
  <c r="Z15389" i="1"/>
  <c r="Z15397" i="1"/>
  <c r="Z15405" i="1"/>
  <c r="Z15413" i="1"/>
  <c r="Z15421" i="1"/>
  <c r="Z15429" i="1"/>
  <c r="Z15437" i="1"/>
  <c r="Z15445" i="1"/>
  <c r="Z15453" i="1"/>
  <c r="Z15461" i="1"/>
  <c r="Z15469" i="1"/>
  <c r="Z15477" i="1"/>
  <c r="Z15485" i="1"/>
  <c r="Z15493" i="1"/>
  <c r="Z15501" i="1"/>
  <c r="Z15509" i="1"/>
  <c r="Z15517" i="1"/>
  <c r="Z15525" i="1"/>
  <c r="Z15533" i="1"/>
  <c r="Z15541" i="1"/>
  <c r="Z15549" i="1"/>
  <c r="Z15557" i="1"/>
  <c r="Z15565" i="1"/>
  <c r="Z15573" i="1"/>
  <c r="Z15581" i="1"/>
  <c r="Z15589" i="1"/>
  <c r="Z15597" i="1"/>
  <c r="Z15605" i="1"/>
  <c r="Z15613" i="1"/>
  <c r="Z15621" i="1"/>
  <c r="Z15629" i="1"/>
  <c r="Z15637" i="1"/>
  <c r="Z15645" i="1"/>
  <c r="Z15653" i="1"/>
  <c r="Z15661" i="1"/>
  <c r="Z15669" i="1"/>
  <c r="Z15677" i="1"/>
  <c r="Z15685" i="1"/>
  <c r="Z15693" i="1"/>
  <c r="Z15701" i="1"/>
  <c r="Z15709" i="1"/>
  <c r="Z15717" i="1"/>
  <c r="Z15725" i="1"/>
  <c r="Z15733" i="1"/>
  <c r="Z15741" i="1"/>
  <c r="Z15749" i="1"/>
  <c r="Z15757" i="1"/>
  <c r="Z15765" i="1"/>
  <c r="Z15773" i="1"/>
  <c r="Z15781" i="1"/>
  <c r="Z15789" i="1"/>
  <c r="Z15797" i="1"/>
  <c r="Z15805" i="1"/>
  <c r="Z15813" i="1"/>
  <c r="Z15821" i="1"/>
  <c r="Z15829" i="1"/>
  <c r="Z15837" i="1"/>
  <c r="Z15845" i="1"/>
  <c r="Z15853" i="1"/>
  <c r="Z15861" i="1"/>
  <c r="Z15869" i="1"/>
  <c r="Z15877" i="1"/>
  <c r="Z15885" i="1"/>
  <c r="Z15893" i="1"/>
  <c r="Z15901" i="1"/>
  <c r="Z15909" i="1"/>
  <c r="Z15917" i="1"/>
  <c r="Z15925" i="1"/>
  <c r="Z15933" i="1"/>
  <c r="Z15941" i="1"/>
  <c r="Z15949" i="1"/>
  <c r="Z15957" i="1"/>
  <c r="Z15965" i="1"/>
  <c r="Z15973" i="1"/>
  <c r="Z15981" i="1"/>
  <c r="Z15989" i="1"/>
  <c r="Z15997" i="1"/>
  <c r="Z16005" i="1"/>
  <c r="Z16013" i="1"/>
  <c r="Z16021" i="1"/>
  <c r="Z16029" i="1"/>
  <c r="Z16037" i="1"/>
  <c r="Z16045" i="1"/>
  <c r="Z16053" i="1"/>
  <c r="Z16061" i="1"/>
  <c r="Z16069" i="1"/>
  <c r="Z16077" i="1"/>
  <c r="Z16085" i="1"/>
  <c r="Z16093" i="1"/>
  <c r="Z16101" i="1"/>
  <c r="Z16109" i="1"/>
  <c r="Z16117" i="1"/>
  <c r="Z16125" i="1"/>
  <c r="Z16133" i="1"/>
  <c r="Z16141" i="1"/>
  <c r="Z16149" i="1"/>
  <c r="Z16157" i="1"/>
  <c r="Z16165" i="1"/>
  <c r="Z16173" i="1"/>
  <c r="Z16181" i="1"/>
  <c r="Z16189" i="1"/>
  <c r="Z16197" i="1"/>
  <c r="Z16205" i="1"/>
  <c r="Z16213" i="1"/>
  <c r="Z16221" i="1"/>
  <c r="Z16229" i="1"/>
  <c r="Z16237" i="1"/>
  <c r="Z16245" i="1"/>
  <c r="Z16253" i="1"/>
  <c r="Z16261" i="1"/>
  <c r="Z16269" i="1"/>
  <c r="Z16277" i="1"/>
  <c r="Z16285" i="1"/>
  <c r="Z16293" i="1"/>
  <c r="Z16301" i="1"/>
  <c r="Z16309" i="1"/>
  <c r="Z16317" i="1"/>
  <c r="Z16325" i="1"/>
  <c r="Z16333" i="1"/>
  <c r="Z16341" i="1"/>
  <c r="Z16349" i="1"/>
  <c r="Z16357" i="1"/>
  <c r="Z16365" i="1"/>
  <c r="Z16373" i="1"/>
  <c r="Z16381" i="1"/>
  <c r="Z16389" i="1"/>
  <c r="Z16397" i="1"/>
  <c r="Z16405" i="1"/>
  <c r="Z16413" i="1"/>
  <c r="Z16421" i="1"/>
  <c r="Z16429" i="1"/>
  <c r="Z16437" i="1"/>
  <c r="Z16445" i="1"/>
  <c r="Z16453" i="1"/>
  <c r="Z16461" i="1"/>
  <c r="Z16469" i="1"/>
  <c r="Z9174" i="1"/>
  <c r="Z9231" i="1"/>
  <c r="Z9292" i="1"/>
  <c r="Z9349" i="1"/>
  <c r="Z9409" i="1"/>
  <c r="Z9466" i="1"/>
  <c r="Z9524" i="1"/>
  <c r="Z9584" i="1"/>
  <c r="Z9637" i="1"/>
  <c r="Z9677" i="1"/>
  <c r="Z9710" i="1"/>
  <c r="Z9738" i="1"/>
  <c r="Z9763" i="1"/>
  <c r="Z9788" i="1"/>
  <c r="Z9813" i="1"/>
  <c r="Z9838" i="1"/>
  <c r="Z9866" i="1"/>
  <c r="Z9891" i="1"/>
  <c r="Z9916" i="1"/>
  <c r="Z9941" i="1"/>
  <c r="Z9966" i="1"/>
  <c r="Z9994" i="1"/>
  <c r="Z10019" i="1"/>
  <c r="Z10044" i="1"/>
  <c r="Z10069" i="1"/>
  <c r="Z10094" i="1"/>
  <c r="Z10122" i="1"/>
  <c r="Z10147" i="1"/>
  <c r="Z10172" i="1"/>
  <c r="Z10197" i="1"/>
  <c r="Z10222" i="1"/>
  <c r="Z10250" i="1"/>
  <c r="Z10275" i="1"/>
  <c r="Z10299" i="1"/>
  <c r="Z10316" i="1"/>
  <c r="Z10339" i="1"/>
  <c r="Z10356" i="1"/>
  <c r="Z10379" i="1"/>
  <c r="Z10402" i="1"/>
  <c r="Z10419" i="1"/>
  <c r="Z10442" i="1"/>
  <c r="Z10459" i="1"/>
  <c r="Z10482" i="1"/>
  <c r="Z10502" i="1"/>
  <c r="Z10522" i="1"/>
  <c r="Z10542" i="1"/>
  <c r="Z10562" i="1"/>
  <c r="Z10582" i="1"/>
  <c r="Z10605" i="1"/>
  <c r="Z10622" i="1"/>
  <c r="Z10645" i="1"/>
  <c r="Z10662" i="1"/>
  <c r="Z10685" i="1"/>
  <c r="Z10708" i="1"/>
  <c r="Z10725" i="1"/>
  <c r="Z10748" i="1"/>
  <c r="Z10765" i="1"/>
  <c r="Z10788" i="1"/>
  <c r="Z10811" i="1"/>
  <c r="Z10828" i="1"/>
  <c r="Z10851" i="1"/>
  <c r="Z10868" i="1"/>
  <c r="Z10891" i="1"/>
  <c r="Z10914" i="1"/>
  <c r="Z10931" i="1"/>
  <c r="Z10954" i="1"/>
  <c r="Z10971" i="1"/>
  <c r="Z10994" i="1"/>
  <c r="Z11014" i="1"/>
  <c r="Z11034" i="1"/>
  <c r="Z11053" i="1"/>
  <c r="Z11068" i="1"/>
  <c r="Z11086" i="1"/>
  <c r="Z11106" i="1"/>
  <c r="Z11121" i="1"/>
  <c r="Z11139" i="1"/>
  <c r="Z11154" i="1"/>
  <c r="Z11172" i="1"/>
  <c r="Z11190" i="1"/>
  <c r="Z11205" i="1"/>
  <c r="Z11224" i="1"/>
  <c r="Z11236" i="1"/>
  <c r="Z11252" i="1"/>
  <c r="Z11268" i="1"/>
  <c r="Z11281" i="1"/>
  <c r="Z11297" i="1"/>
  <c r="Z11309" i="1"/>
  <c r="Z11325" i="1"/>
  <c r="Z11341" i="1"/>
  <c r="Z11354" i="1"/>
  <c r="Z11370" i="1"/>
  <c r="Z11382" i="1"/>
  <c r="Z11398" i="1"/>
  <c r="Z11414" i="1"/>
  <c r="Z11427" i="1"/>
  <c r="Z11443" i="1"/>
  <c r="Z11456" i="1"/>
  <c r="Z11472" i="1"/>
  <c r="Z11488" i="1"/>
  <c r="Z11500" i="1"/>
  <c r="Z11516" i="1"/>
  <c r="Z11529" i="1"/>
  <c r="Z11545" i="1"/>
  <c r="Z11561" i="1"/>
  <c r="Z11573" i="1"/>
  <c r="Z11589" i="1"/>
  <c r="Z11602" i="1"/>
  <c r="Z11618" i="1"/>
  <c r="Z11634" i="1"/>
  <c r="Z11646" i="1"/>
  <c r="Z11662" i="1"/>
  <c r="Z11675" i="1"/>
  <c r="Z11691" i="1"/>
  <c r="Z11707" i="1"/>
  <c r="Z11720" i="1"/>
  <c r="Z11736" i="1"/>
  <c r="Z11748" i="1"/>
  <c r="Z11764" i="1"/>
  <c r="Z11780" i="1"/>
  <c r="Z11793" i="1"/>
  <c r="Z11809" i="1"/>
  <c r="Z11821" i="1"/>
  <c r="Z11837" i="1"/>
  <c r="Z11853" i="1"/>
  <c r="Z11866" i="1"/>
  <c r="Z11882" i="1"/>
  <c r="Z11894" i="1"/>
  <c r="Z11910" i="1"/>
  <c r="Z11926" i="1"/>
  <c r="Z11939" i="1"/>
  <c r="Z11955" i="1"/>
  <c r="Z11968" i="1"/>
  <c r="Z11984" i="1"/>
  <c r="Z12000" i="1"/>
  <c r="Z12012" i="1"/>
  <c r="Z12028" i="1"/>
  <c r="Z12041" i="1"/>
  <c r="Z12057" i="1"/>
  <c r="Z12073" i="1"/>
  <c r="Z12085" i="1"/>
  <c r="Z12101" i="1"/>
  <c r="Z12114" i="1"/>
  <c r="Z12130" i="1"/>
  <c r="Z12144" i="1"/>
  <c r="Z12155" i="1"/>
  <c r="Z12169" i="1"/>
  <c r="Z12180" i="1"/>
  <c r="Z12194" i="1"/>
  <c r="Z12208" i="1"/>
  <c r="Z12219" i="1"/>
  <c r="Z12233" i="1"/>
  <c r="Z12244" i="1"/>
  <c r="Z12258" i="1"/>
  <c r="Z12272" i="1"/>
  <c r="Z12283" i="1"/>
  <c r="Z12297" i="1"/>
  <c r="Z12308" i="1"/>
  <c r="Z12322" i="1"/>
  <c r="Z12336" i="1"/>
  <c r="Z12347" i="1"/>
  <c r="Z12361" i="1"/>
  <c r="Z12372" i="1"/>
  <c r="Z12386" i="1"/>
  <c r="Z12400" i="1"/>
  <c r="Z12411" i="1"/>
  <c r="Z12425" i="1"/>
  <c r="Z12436" i="1"/>
  <c r="Z12450" i="1"/>
  <c r="Z12464" i="1"/>
  <c r="Z12475" i="1"/>
  <c r="Z12489" i="1"/>
  <c r="Z12500" i="1"/>
  <c r="Z12514" i="1"/>
  <c r="Z12528" i="1"/>
  <c r="Z12539" i="1"/>
  <c r="Z12553" i="1"/>
  <c r="Z12564" i="1"/>
  <c r="Z12578" i="1"/>
  <c r="Z12592" i="1"/>
  <c r="Z12603" i="1"/>
  <c r="Z12617" i="1"/>
  <c r="Z12628" i="1"/>
  <c r="Z12642" i="1"/>
  <c r="Z12656" i="1"/>
  <c r="Z12667" i="1"/>
  <c r="Z12681" i="1"/>
  <c r="Z12692" i="1"/>
  <c r="Z12706" i="1"/>
  <c r="Z12720" i="1"/>
  <c r="Z12731" i="1"/>
  <c r="Z12745" i="1"/>
  <c r="Z12756" i="1"/>
  <c r="Z12770" i="1"/>
  <c r="Z12784" i="1"/>
  <c r="Z12795" i="1"/>
  <c r="Z12809" i="1"/>
  <c r="Z12820" i="1"/>
  <c r="Z12834" i="1"/>
  <c r="Z12848" i="1"/>
  <c r="Z12859" i="1"/>
  <c r="Z12873" i="1"/>
  <c r="Z12884" i="1"/>
  <c r="Z12898" i="1"/>
  <c r="Z12912" i="1"/>
  <c r="Z12923" i="1"/>
  <c r="Z12937" i="1"/>
  <c r="Z12948" i="1"/>
  <c r="Z12962" i="1"/>
  <c r="Z12976" i="1"/>
  <c r="Z12987" i="1"/>
  <c r="Z13001" i="1"/>
  <c r="Z13012" i="1"/>
  <c r="Z13026" i="1"/>
  <c r="Z13040" i="1"/>
  <c r="Z13051" i="1"/>
  <c r="Z13065" i="1"/>
  <c r="Z13076" i="1"/>
  <c r="Z13090" i="1"/>
  <c r="Z13104" i="1"/>
  <c r="Z13115" i="1"/>
  <c r="Z13129" i="1"/>
  <c r="Z13140" i="1"/>
  <c r="Z13152" i="1"/>
  <c r="Z13162" i="1"/>
  <c r="Z13172" i="1"/>
  <c r="Z13184" i="1"/>
  <c r="Z13194" i="1"/>
  <c r="Z13204" i="1"/>
  <c r="Z13216" i="1"/>
  <c r="Z13226" i="1"/>
  <c r="Z13236" i="1"/>
  <c r="Z13248" i="1"/>
  <c r="Z13258" i="1"/>
  <c r="Z13268" i="1"/>
  <c r="Z13280" i="1"/>
  <c r="Z13290" i="1"/>
  <c r="Z13300" i="1"/>
  <c r="Z13311" i="1"/>
  <c r="Z13320" i="1"/>
  <c r="Z13329" i="1"/>
  <c r="Z13338" i="1"/>
  <c r="Z13347" i="1"/>
  <c r="Z13356" i="1"/>
  <c r="Z13366" i="1"/>
  <c r="Z13375" i="1"/>
  <c r="Z13384" i="1"/>
  <c r="Z13393" i="1"/>
  <c r="Z13402" i="1"/>
  <c r="Z13411" i="1"/>
  <c r="Z13420" i="1"/>
  <c r="Z13430" i="1"/>
  <c r="Z13439" i="1"/>
  <c r="Z13448" i="1"/>
  <c r="Z13457" i="1"/>
  <c r="Z13466" i="1"/>
  <c r="Z13475" i="1"/>
  <c r="Z13484" i="1"/>
  <c r="Z13494" i="1"/>
  <c r="Z13503" i="1"/>
  <c r="Z13512" i="1"/>
  <c r="Z13521" i="1"/>
  <c r="Z13530" i="1"/>
  <c r="Z13539" i="1"/>
  <c r="Z13548" i="1"/>
  <c r="Z13558" i="1"/>
  <c r="Z13567" i="1"/>
  <c r="Z13576" i="1"/>
  <c r="Z13585" i="1"/>
  <c r="Z13594" i="1"/>
  <c r="Z13603" i="1"/>
  <c r="Z13612" i="1"/>
  <c r="Z13622" i="1"/>
  <c r="Z13631" i="1"/>
  <c r="Z13640" i="1"/>
  <c r="Z13649" i="1"/>
  <c r="Z13658" i="1"/>
  <c r="Z13667" i="1"/>
  <c r="Z13676" i="1"/>
  <c r="Z13686" i="1"/>
  <c r="Z13695" i="1"/>
  <c r="Z13704" i="1"/>
  <c r="Z13713" i="1"/>
  <c r="Z13722" i="1"/>
  <c r="Z13731" i="1"/>
  <c r="Z13740" i="1"/>
  <c r="Z13750" i="1"/>
  <c r="Z13759" i="1"/>
  <c r="Z13768" i="1"/>
  <c r="Z13777" i="1"/>
  <c r="Z13786" i="1"/>
  <c r="Z13795" i="1"/>
  <c r="Z13804" i="1"/>
  <c r="Z13814" i="1"/>
  <c r="Z13822" i="1"/>
  <c r="Z13830" i="1"/>
  <c r="Z13838" i="1"/>
  <c r="Z13846" i="1"/>
  <c r="Z13854" i="1"/>
  <c r="Z13862" i="1"/>
  <c r="Z13870" i="1"/>
  <c r="Z13878" i="1"/>
  <c r="Z13886" i="1"/>
  <c r="Z13894" i="1"/>
  <c r="Z13902" i="1"/>
  <c r="Z13910" i="1"/>
  <c r="Z13918" i="1"/>
  <c r="Z13926" i="1"/>
  <c r="Z13934" i="1"/>
  <c r="Z13942" i="1"/>
  <c r="Z13950" i="1"/>
  <c r="Z13958" i="1"/>
  <c r="Z13966" i="1"/>
  <c r="Z13974" i="1"/>
  <c r="Z13982" i="1"/>
  <c r="Z13990" i="1"/>
  <c r="Z13998" i="1"/>
  <c r="Z14006" i="1"/>
  <c r="Z14014" i="1"/>
  <c r="Z14022" i="1"/>
  <c r="Z14030" i="1"/>
  <c r="Z14038" i="1"/>
  <c r="Z14046" i="1"/>
  <c r="Z14054" i="1"/>
  <c r="Z14062" i="1"/>
  <c r="Z14070" i="1"/>
  <c r="Z14078" i="1"/>
  <c r="Z14086" i="1"/>
  <c r="Z14094" i="1"/>
  <c r="Z14102" i="1"/>
  <c r="Z14110" i="1"/>
  <c r="Z14118" i="1"/>
  <c r="Z14126" i="1"/>
  <c r="Z14134" i="1"/>
  <c r="Z14142" i="1"/>
  <c r="Z14150" i="1"/>
  <c r="Z14158" i="1"/>
  <c r="Z14166" i="1"/>
  <c r="Z14174" i="1"/>
  <c r="Z14182" i="1"/>
  <c r="Z14190" i="1"/>
  <c r="Z14198" i="1"/>
  <c r="Z14206" i="1"/>
  <c r="Z14214" i="1"/>
  <c r="Z14222" i="1"/>
  <c r="Z14230" i="1"/>
  <c r="Z14238" i="1"/>
  <c r="Z14246" i="1"/>
  <c r="Z14254" i="1"/>
  <c r="Z14262" i="1"/>
  <c r="Z14270" i="1"/>
  <c r="Z14278" i="1"/>
  <c r="Z14286" i="1"/>
  <c r="Z14294" i="1"/>
  <c r="Z14302" i="1"/>
  <c r="Z14310" i="1"/>
  <c r="Z14318" i="1"/>
  <c r="Z14326" i="1"/>
  <c r="Z14334" i="1"/>
  <c r="Z14342" i="1"/>
  <c r="Z14350" i="1"/>
  <c r="Z14358" i="1"/>
  <c r="Z14366" i="1"/>
  <c r="Z14374" i="1"/>
  <c r="Z14382" i="1"/>
  <c r="Z14390" i="1"/>
  <c r="Z14398" i="1"/>
  <c r="Z14406" i="1"/>
  <c r="Z14414" i="1"/>
  <c r="Z14422" i="1"/>
  <c r="Z14430" i="1"/>
  <c r="Z14438" i="1"/>
  <c r="Z14446" i="1"/>
  <c r="Z14454" i="1"/>
  <c r="Z14462" i="1"/>
  <c r="Z14470" i="1"/>
  <c r="Z14478" i="1"/>
  <c r="Z14486" i="1"/>
  <c r="Z14494" i="1"/>
  <c r="Z14502" i="1"/>
  <c r="Z14510" i="1"/>
  <c r="Z14518" i="1"/>
  <c r="Z14526" i="1"/>
  <c r="Z14534" i="1"/>
  <c r="Z14542" i="1"/>
  <c r="Z14550" i="1"/>
  <c r="Z14558" i="1"/>
  <c r="Z14566" i="1"/>
  <c r="Z14574" i="1"/>
  <c r="Z14582" i="1"/>
  <c r="Z14590" i="1"/>
  <c r="Z14598" i="1"/>
  <c r="Z14606" i="1"/>
  <c r="Z14614" i="1"/>
  <c r="Z14622" i="1"/>
  <c r="Z14630" i="1"/>
  <c r="Z14638" i="1"/>
  <c r="Z14646" i="1"/>
  <c r="Z14654" i="1"/>
  <c r="Z14662" i="1"/>
  <c r="Z14670" i="1"/>
  <c r="Z14678" i="1"/>
  <c r="Z14686" i="1"/>
  <c r="Z14694" i="1"/>
  <c r="Z14702" i="1"/>
  <c r="Z14710" i="1"/>
  <c r="Z14718" i="1"/>
  <c r="Z14726" i="1"/>
  <c r="Z14734" i="1"/>
  <c r="Z14742" i="1"/>
  <c r="Z14750" i="1"/>
  <c r="Z14758" i="1"/>
  <c r="Z14766" i="1"/>
  <c r="Z14774" i="1"/>
  <c r="Z14782" i="1"/>
  <c r="Z14790" i="1"/>
  <c r="Z14798" i="1"/>
  <c r="Z14806" i="1"/>
  <c r="Z14814" i="1"/>
  <c r="Z14822" i="1"/>
  <c r="Z14830" i="1"/>
  <c r="Z14838" i="1"/>
  <c r="Z14846" i="1"/>
  <c r="Z14854" i="1"/>
  <c r="Z14862" i="1"/>
  <c r="Z14870" i="1"/>
  <c r="Z14878" i="1"/>
  <c r="Z14886" i="1"/>
  <c r="Z14894" i="1"/>
  <c r="Z14902" i="1"/>
  <c r="Z14910" i="1"/>
  <c r="Z14918" i="1"/>
  <c r="Z14926" i="1"/>
  <c r="Z14934" i="1"/>
  <c r="Z14942" i="1"/>
  <c r="Z14950" i="1"/>
  <c r="Z14958" i="1"/>
  <c r="Z14966" i="1"/>
  <c r="Z14974" i="1"/>
  <c r="Z14982" i="1"/>
  <c r="Z14990" i="1"/>
  <c r="Z14998" i="1"/>
  <c r="Z15006" i="1"/>
  <c r="Z15014" i="1"/>
  <c r="Z15022" i="1"/>
  <c r="Z15030" i="1"/>
  <c r="Z15038" i="1"/>
  <c r="Z15046" i="1"/>
  <c r="Z15054" i="1"/>
  <c r="Z15062" i="1"/>
  <c r="Z15070" i="1"/>
  <c r="Z15078" i="1"/>
  <c r="Z15086" i="1"/>
  <c r="Z15094" i="1"/>
  <c r="Z15102" i="1"/>
  <c r="Z15110" i="1"/>
  <c r="Z15118" i="1"/>
  <c r="Z15126" i="1"/>
  <c r="Z15134" i="1"/>
  <c r="Z15142" i="1"/>
  <c r="Z15150" i="1"/>
  <c r="Z15158" i="1"/>
  <c r="Z15166" i="1"/>
  <c r="Z15174" i="1"/>
  <c r="Z15182" i="1"/>
  <c r="Z15190" i="1"/>
  <c r="Z15198" i="1"/>
  <c r="Z15206" i="1"/>
  <c r="Z15214" i="1"/>
  <c r="Z15222" i="1"/>
  <c r="Z15230" i="1"/>
  <c r="Z15238" i="1"/>
  <c r="Z15246" i="1"/>
  <c r="Z15254" i="1"/>
  <c r="Z15262" i="1"/>
  <c r="Z15270" i="1"/>
  <c r="Z15278" i="1"/>
  <c r="Z15286" i="1"/>
  <c r="Z15294" i="1"/>
  <c r="Z15302" i="1"/>
  <c r="Z15310" i="1"/>
  <c r="Z15318" i="1"/>
  <c r="Z15326" i="1"/>
  <c r="Z15334" i="1"/>
  <c r="Z15342" i="1"/>
  <c r="Z15350" i="1"/>
  <c r="Z15358" i="1"/>
  <c r="Z15366" i="1"/>
  <c r="Z15374" i="1"/>
  <c r="Z15382" i="1"/>
  <c r="Z15390" i="1"/>
  <c r="Z15398" i="1"/>
  <c r="Z15406" i="1"/>
  <c r="Z15414" i="1"/>
  <c r="Z15422" i="1"/>
  <c r="Z15430" i="1"/>
  <c r="Z15438" i="1"/>
  <c r="Z15446" i="1"/>
  <c r="Z15454" i="1"/>
  <c r="Z15462" i="1"/>
  <c r="Z15470" i="1"/>
  <c r="Z15478" i="1"/>
  <c r="Z15486" i="1"/>
  <c r="Z15494" i="1"/>
  <c r="Z15502" i="1"/>
  <c r="Z15510" i="1"/>
  <c r="Z15518" i="1"/>
  <c r="Z15526" i="1"/>
  <c r="Z15534" i="1"/>
  <c r="Z15542" i="1"/>
  <c r="Z15550" i="1"/>
  <c r="Z15558" i="1"/>
  <c r="Z9175" i="1"/>
  <c r="Z9236" i="1"/>
  <c r="Z9293" i="1"/>
  <c r="Z9350" i="1"/>
  <c r="Z9410" i="1"/>
  <c r="Z9468" i="1"/>
  <c r="Z9528" i="1"/>
  <c r="Z9585" i="1"/>
  <c r="Z9638" i="1"/>
  <c r="Z9685" i="1"/>
  <c r="Z9714" i="1"/>
  <c r="Z9739" i="1"/>
  <c r="Z9764" i="1"/>
  <c r="Z9789" i="1"/>
  <c r="Z9814" i="1"/>
  <c r="Z9842" i="1"/>
  <c r="Z9867" i="1"/>
  <c r="Z9892" i="1"/>
  <c r="Z9917" i="1"/>
  <c r="Z9942" i="1"/>
  <c r="Z9970" i="1"/>
  <c r="Z9995" i="1"/>
  <c r="Z10020" i="1"/>
  <c r="Z10045" i="1"/>
  <c r="Z10070" i="1"/>
  <c r="Z10098" i="1"/>
  <c r="Z10123" i="1"/>
  <c r="Z10148" i="1"/>
  <c r="Z10173" i="1"/>
  <c r="Z10198" i="1"/>
  <c r="Z10226" i="1"/>
  <c r="Z10251" i="1"/>
  <c r="Z10276" i="1"/>
  <c r="Z10300" i="1"/>
  <c r="Z10317" i="1"/>
  <c r="Z10340" i="1"/>
  <c r="Z10363" i="1"/>
  <c r="Z10380" i="1"/>
  <c r="Z10403" i="1"/>
  <c r="Z10420" i="1"/>
  <c r="Z10443" i="1"/>
  <c r="Z10466" i="1"/>
  <c r="Z10483" i="1"/>
  <c r="Z10506" i="1"/>
  <c r="Z10523" i="1"/>
  <c r="Z10546" i="1"/>
  <c r="Z10566" i="1"/>
  <c r="Z10586" i="1"/>
  <c r="Z10606" i="1"/>
  <c r="Z10626" i="1"/>
  <c r="Z10646" i="1"/>
  <c r="Z10669" i="1"/>
  <c r="Z10686" i="1"/>
  <c r="Z10709" i="1"/>
  <c r="Z10726" i="1"/>
  <c r="Z10749" i="1"/>
  <c r="Z10772" i="1"/>
  <c r="Z10789" i="1"/>
  <c r="Z10812" i="1"/>
  <c r="Z10829" i="1"/>
  <c r="Z10852" i="1"/>
  <c r="Z10875" i="1"/>
  <c r="Z10892" i="1"/>
  <c r="Z10915" i="1"/>
  <c r="Z10932" i="1"/>
  <c r="Z10955" i="1"/>
  <c r="Z10978" i="1"/>
  <c r="Z10995" i="1"/>
  <c r="Z11018" i="1"/>
  <c r="Z11035" i="1"/>
  <c r="Z11054" i="1"/>
  <c r="Z11074" i="1"/>
  <c r="Z11089" i="1"/>
  <c r="Z11107" i="1"/>
  <c r="Z11122" i="1"/>
  <c r="Z11140" i="1"/>
  <c r="Z11158" i="1"/>
  <c r="Z11173" i="1"/>
  <c r="Z11193" i="1"/>
  <c r="Z11206" i="1"/>
  <c r="Z11225" i="1"/>
  <c r="Z11241" i="1"/>
  <c r="Z11253" i="1"/>
  <c r="Z11269" i="1"/>
  <c r="Z11282" i="1"/>
  <c r="Z11298" i="1"/>
  <c r="Z11314" i="1"/>
  <c r="Z11326" i="1"/>
  <c r="Z11342" i="1"/>
  <c r="Z11355" i="1"/>
  <c r="Z11371" i="1"/>
  <c r="Z11387" i="1"/>
  <c r="Z11400" i="1"/>
  <c r="Z11416" i="1"/>
  <c r="Z11428" i="1"/>
  <c r="Z11444" i="1"/>
  <c r="Z11460" i="1"/>
  <c r="Z11473" i="1"/>
  <c r="Z11489" i="1"/>
  <c r="Z11501" i="1"/>
  <c r="Z11517" i="1"/>
  <c r="Z11533" i="1"/>
  <c r="Z11546" i="1"/>
  <c r="Z11562" i="1"/>
  <c r="Z11574" i="1"/>
  <c r="Z11590" i="1"/>
  <c r="Z11606" i="1"/>
  <c r="Z11619" i="1"/>
  <c r="Z11635" i="1"/>
  <c r="Z11648" i="1"/>
  <c r="Z11664" i="1"/>
  <c r="Z11680" i="1"/>
  <c r="Z11692" i="1"/>
  <c r="Z11708" i="1"/>
  <c r="Z11721" i="1"/>
  <c r="Z11737" i="1"/>
  <c r="Z11753" i="1"/>
  <c r="Z11765" i="1"/>
  <c r="Z11781" i="1"/>
  <c r="Z11794" i="1"/>
  <c r="Z11810" i="1"/>
  <c r="Z11826" i="1"/>
  <c r="Z11838" i="1"/>
  <c r="Z11854" i="1"/>
  <c r="Z11867" i="1"/>
  <c r="Z11883" i="1"/>
  <c r="Z11899" i="1"/>
  <c r="Z11912" i="1"/>
  <c r="Z11928" i="1"/>
  <c r="Z11940" i="1"/>
  <c r="Z11956" i="1"/>
  <c r="Z11972" i="1"/>
  <c r="Z11985" i="1"/>
  <c r="Z12001" i="1"/>
  <c r="Z12013" i="1"/>
  <c r="Z12029" i="1"/>
  <c r="Z12045" i="1"/>
  <c r="Z12058" i="1"/>
  <c r="Z12074" i="1"/>
  <c r="Z12086" i="1"/>
  <c r="Z12102" i="1"/>
  <c r="Z12118" i="1"/>
  <c r="Z12131" i="1"/>
  <c r="Z12145" i="1"/>
  <c r="Z12156" i="1"/>
  <c r="Z12170" i="1"/>
  <c r="Z12184" i="1"/>
  <c r="Z12195" i="1"/>
  <c r="Z12209" i="1"/>
  <c r="Z12220" i="1"/>
  <c r="Z12234" i="1"/>
  <c r="Z12248" i="1"/>
  <c r="Z12259" i="1"/>
  <c r="Z12273" i="1"/>
  <c r="Z12284" i="1"/>
  <c r="Z12298" i="1"/>
  <c r="Z12312" i="1"/>
  <c r="Z12323" i="1"/>
  <c r="Z12337" i="1"/>
  <c r="Z12348" i="1"/>
  <c r="Z12362" i="1"/>
  <c r="Z12376" i="1"/>
  <c r="Z12387" i="1"/>
  <c r="Z12401" i="1"/>
  <c r="Z12412" i="1"/>
  <c r="Z12426" i="1"/>
  <c r="Z12440" i="1"/>
  <c r="Z12451" i="1"/>
  <c r="Z12465" i="1"/>
  <c r="Z12476" i="1"/>
  <c r="Z12490" i="1"/>
  <c r="Z12504" i="1"/>
  <c r="Z12515" i="1"/>
  <c r="Z12529" i="1"/>
  <c r="Z12540" i="1"/>
  <c r="Z12554" i="1"/>
  <c r="Z12568" i="1"/>
  <c r="Z12579" i="1"/>
  <c r="Z12593" i="1"/>
  <c r="Z12604" i="1"/>
  <c r="Z12618" i="1"/>
  <c r="Z12632" i="1"/>
  <c r="Z12643" i="1"/>
  <c r="Z12657" i="1"/>
  <c r="Z12668" i="1"/>
  <c r="Z12682" i="1"/>
  <c r="Z12696" i="1"/>
  <c r="Z12707" i="1"/>
  <c r="Z12721" i="1"/>
  <c r="Z12732" i="1"/>
  <c r="Z12746" i="1"/>
  <c r="Z12760" i="1"/>
  <c r="Z12771" i="1"/>
  <c r="Z12785" i="1"/>
  <c r="Z12796" i="1"/>
  <c r="Z12810" i="1"/>
  <c r="Z12824" i="1"/>
  <c r="Z12835" i="1"/>
  <c r="Z12849" i="1"/>
  <c r="Z12860" i="1"/>
  <c r="Z12874" i="1"/>
  <c r="Z12888" i="1"/>
  <c r="Z12899" i="1"/>
  <c r="Z12913" i="1"/>
  <c r="Z12924" i="1"/>
  <c r="Z12938" i="1"/>
  <c r="Z12952" i="1"/>
  <c r="Z12963" i="1"/>
  <c r="Z12977" i="1"/>
  <c r="Z12988" i="1"/>
  <c r="Z13002" i="1"/>
  <c r="Z13016" i="1"/>
  <c r="Z13027" i="1"/>
  <c r="Z13041" i="1"/>
  <c r="Z13052" i="1"/>
  <c r="Z13066" i="1"/>
  <c r="Z13080" i="1"/>
  <c r="Z13091" i="1"/>
  <c r="Z13105" i="1"/>
  <c r="Z13116" i="1"/>
  <c r="Z13130" i="1"/>
  <c r="Z13142" i="1"/>
  <c r="Z13153" i="1"/>
  <c r="Z13163" i="1"/>
  <c r="Z13174" i="1"/>
  <c r="Z13185" i="1"/>
  <c r="Z13195" i="1"/>
  <c r="Z13206" i="1"/>
  <c r="Z13217" i="1"/>
  <c r="Z13227" i="1"/>
  <c r="Z13238" i="1"/>
  <c r="Z13249" i="1"/>
  <c r="Z13259" i="1"/>
  <c r="Z13270" i="1"/>
  <c r="Z13281" i="1"/>
  <c r="Z13291" i="1"/>
  <c r="Z13302" i="1"/>
  <c r="Z13312" i="1"/>
  <c r="Z13321" i="1"/>
  <c r="Z13330" i="1"/>
  <c r="Z13339" i="1"/>
  <c r="Z13348" i="1"/>
  <c r="Z13358" i="1"/>
  <c r="Z13367" i="1"/>
  <c r="Z13376" i="1"/>
  <c r="Z13385" i="1"/>
  <c r="Z13394" i="1"/>
  <c r="Z13403" i="1"/>
  <c r="Z13412" i="1"/>
  <c r="Z13422" i="1"/>
  <c r="Z13431" i="1"/>
  <c r="Z13440" i="1"/>
  <c r="Z13449" i="1"/>
  <c r="Z13458" i="1"/>
  <c r="Z13467" i="1"/>
  <c r="Z13476" i="1"/>
  <c r="Z13486" i="1"/>
  <c r="Z13495" i="1"/>
  <c r="Z13504" i="1"/>
  <c r="Z13513" i="1"/>
  <c r="Z13522" i="1"/>
  <c r="Z13531" i="1"/>
  <c r="Z13540" i="1"/>
  <c r="Z13550" i="1"/>
  <c r="Z13559" i="1"/>
  <c r="Z13568" i="1"/>
  <c r="Z13577" i="1"/>
  <c r="Z13586" i="1"/>
  <c r="Z13595" i="1"/>
  <c r="Z13604" i="1"/>
  <c r="Z13614" i="1"/>
  <c r="Z13623" i="1"/>
  <c r="Z13632" i="1"/>
  <c r="Z13641" i="1"/>
  <c r="Z13650" i="1"/>
  <c r="Z13659" i="1"/>
  <c r="Z13668" i="1"/>
  <c r="Z13678" i="1"/>
  <c r="Z13687" i="1"/>
  <c r="Z13696" i="1"/>
  <c r="Z13705" i="1"/>
  <c r="Z13714" i="1"/>
  <c r="Z13723" i="1"/>
  <c r="Z13732" i="1"/>
  <c r="Z13742" i="1"/>
  <c r="Z13751" i="1"/>
  <c r="Z13760" i="1"/>
  <c r="Z13769" i="1"/>
  <c r="Z13778" i="1"/>
  <c r="Z13787" i="1"/>
  <c r="Z13796" i="1"/>
  <c r="Z13806" i="1"/>
  <c r="Z13815" i="1"/>
  <c r="Z13823" i="1"/>
  <c r="Z13831" i="1"/>
  <c r="Z13839" i="1"/>
  <c r="Z13847" i="1"/>
  <c r="Z13855" i="1"/>
  <c r="Z13863" i="1"/>
  <c r="Z13871" i="1"/>
  <c r="Z13879" i="1"/>
  <c r="Z13887" i="1"/>
  <c r="Z13895" i="1"/>
  <c r="Z13903" i="1"/>
  <c r="Z13911" i="1"/>
  <c r="Z13919" i="1"/>
  <c r="Z13927" i="1"/>
  <c r="Z13935" i="1"/>
  <c r="Z13943" i="1"/>
  <c r="Z13951" i="1"/>
  <c r="Z13959" i="1"/>
  <c r="Z13967" i="1"/>
  <c r="Z13975" i="1"/>
  <c r="Z13983" i="1"/>
  <c r="Z13991" i="1"/>
  <c r="Z13999" i="1"/>
  <c r="Z14007" i="1"/>
  <c r="Z14015" i="1"/>
  <c r="Z14023" i="1"/>
  <c r="Z14031" i="1"/>
  <c r="Z14039" i="1"/>
  <c r="Z14047" i="1"/>
  <c r="Z14055" i="1"/>
  <c r="Z14063" i="1"/>
  <c r="Z14071" i="1"/>
  <c r="Z14079" i="1"/>
  <c r="Z14087" i="1"/>
  <c r="Z14095" i="1"/>
  <c r="Z14103" i="1"/>
  <c r="Z14111" i="1"/>
  <c r="Z14119" i="1"/>
  <c r="Z14127" i="1"/>
  <c r="Z14135" i="1"/>
  <c r="Z14143" i="1"/>
  <c r="Z14151" i="1"/>
  <c r="Z14159" i="1"/>
  <c r="Z14167" i="1"/>
  <c r="Z14175" i="1"/>
  <c r="Z14183" i="1"/>
  <c r="Z14191" i="1"/>
  <c r="Z14199" i="1"/>
  <c r="Z14207" i="1"/>
  <c r="Z14215" i="1"/>
  <c r="Z14223" i="1"/>
  <c r="Z14231" i="1"/>
  <c r="Z14239" i="1"/>
  <c r="Z14247" i="1"/>
  <c r="Z14255" i="1"/>
  <c r="Z14263" i="1"/>
  <c r="Z14271" i="1"/>
  <c r="Z14279" i="1"/>
  <c r="Z14287" i="1"/>
  <c r="Z14295" i="1"/>
  <c r="Z14303" i="1"/>
  <c r="Z14311" i="1"/>
  <c r="Z14319" i="1"/>
  <c r="Z14327" i="1"/>
  <c r="Z14335" i="1"/>
  <c r="Z14343" i="1"/>
  <c r="Z14351" i="1"/>
  <c r="Z14359" i="1"/>
  <c r="Z14367" i="1"/>
  <c r="Z14375" i="1"/>
  <c r="Z14383" i="1"/>
  <c r="Z14391" i="1"/>
  <c r="Z14399" i="1"/>
  <c r="Z14407" i="1"/>
  <c r="Z14415" i="1"/>
  <c r="Z14423" i="1"/>
  <c r="Z14431" i="1"/>
  <c r="Z14439" i="1"/>
  <c r="Z14447" i="1"/>
  <c r="Z14455" i="1"/>
  <c r="Z14463" i="1"/>
  <c r="Z14471" i="1"/>
  <c r="Z14479" i="1"/>
  <c r="Z14487" i="1"/>
  <c r="Z14495" i="1"/>
  <c r="Z14503" i="1"/>
  <c r="Z14511" i="1"/>
  <c r="Z14519" i="1"/>
  <c r="Z14527" i="1"/>
  <c r="Z14535" i="1"/>
  <c r="Z14543" i="1"/>
  <c r="Z14551" i="1"/>
  <c r="Z14559" i="1"/>
  <c r="Z14567" i="1"/>
  <c r="Z14575" i="1"/>
  <c r="Z14583" i="1"/>
  <c r="Z14591" i="1"/>
  <c r="Z14599" i="1"/>
  <c r="Z14607" i="1"/>
  <c r="Z14615" i="1"/>
  <c r="Z14623" i="1"/>
  <c r="Z14631" i="1"/>
  <c r="Z14639" i="1"/>
  <c r="Z14647" i="1"/>
  <c r="Z14655" i="1"/>
  <c r="Z14663" i="1"/>
  <c r="Z14671" i="1"/>
  <c r="Z14679" i="1"/>
  <c r="Z14687" i="1"/>
  <c r="Z14695" i="1"/>
  <c r="Z14703" i="1"/>
  <c r="Z14711" i="1"/>
  <c r="Z14719" i="1"/>
  <c r="Z14727" i="1"/>
  <c r="Z14735" i="1"/>
  <c r="Z14743" i="1"/>
  <c r="Z14751" i="1"/>
  <c r="Z14759" i="1"/>
  <c r="Z14767" i="1"/>
  <c r="Z14775" i="1"/>
  <c r="Z14783" i="1"/>
  <c r="Z14791" i="1"/>
  <c r="Z14799" i="1"/>
  <c r="Z14807" i="1"/>
  <c r="Z14815" i="1"/>
  <c r="Z14823" i="1"/>
  <c r="Z14831" i="1"/>
  <c r="Z14839" i="1"/>
  <c r="Z14847" i="1"/>
  <c r="Z14855" i="1"/>
  <c r="Z14863" i="1"/>
  <c r="Z14871" i="1"/>
  <c r="Z14879" i="1"/>
  <c r="Z14887" i="1"/>
  <c r="Z14895" i="1"/>
  <c r="Z14903" i="1"/>
  <c r="Z14911" i="1"/>
  <c r="Z14919" i="1"/>
  <c r="Z14927" i="1"/>
  <c r="Z14935" i="1"/>
  <c r="Z14943" i="1"/>
  <c r="Z14951" i="1"/>
  <c r="Z14959" i="1"/>
  <c r="Z14967" i="1"/>
  <c r="Z14975" i="1"/>
  <c r="Z14983" i="1"/>
  <c r="Z14991" i="1"/>
  <c r="Z14999" i="1"/>
  <c r="Z15007" i="1"/>
  <c r="Z15015" i="1"/>
  <c r="Z15023" i="1"/>
  <c r="Z15031" i="1"/>
  <c r="Z15039" i="1"/>
  <c r="Z15047" i="1"/>
  <c r="Z15055" i="1"/>
  <c r="Z15063" i="1"/>
  <c r="Z15071" i="1"/>
  <c r="Z15079" i="1"/>
  <c r="Z15087" i="1"/>
  <c r="Z15095" i="1"/>
  <c r="Z15103" i="1"/>
  <c r="Z15111" i="1"/>
  <c r="Z15119" i="1"/>
  <c r="Z15127" i="1"/>
  <c r="Z15135" i="1"/>
  <c r="Z15143" i="1"/>
  <c r="Z15151" i="1"/>
  <c r="Z15159" i="1"/>
  <c r="Z15167" i="1"/>
  <c r="Z15175" i="1"/>
  <c r="Z15183" i="1"/>
  <c r="Z15191" i="1"/>
  <c r="Z15199" i="1"/>
  <c r="Z15207" i="1"/>
  <c r="Z15215" i="1"/>
  <c r="Z15223" i="1"/>
  <c r="Z15231" i="1"/>
  <c r="Z15239" i="1"/>
  <c r="Z15247" i="1"/>
  <c r="Z15255" i="1"/>
  <c r="Z15263" i="1"/>
  <c r="Z15271" i="1"/>
  <c r="Z15279" i="1"/>
  <c r="Z15287" i="1"/>
  <c r="Z15295" i="1"/>
  <c r="Z15303" i="1"/>
  <c r="Z15311" i="1"/>
  <c r="Z15319" i="1"/>
  <c r="Z15327" i="1"/>
  <c r="Z15335" i="1"/>
  <c r="Z15343" i="1"/>
  <c r="Z15351" i="1"/>
  <c r="Z15359" i="1"/>
  <c r="Z15367" i="1"/>
  <c r="Z15375" i="1"/>
  <c r="Z15383" i="1"/>
  <c r="Z15391" i="1"/>
  <c r="Z15399" i="1"/>
  <c r="Z15407" i="1"/>
  <c r="Z9190" i="1"/>
  <c r="Z9247" i="1"/>
  <c r="Z9304" i="1"/>
  <c r="Z9365" i="1"/>
  <c r="Z9422" i="1"/>
  <c r="Z9482" i="1"/>
  <c r="Z9540" i="1"/>
  <c r="Z9597" i="1"/>
  <c r="Z9651" i="1"/>
  <c r="Z9690" i="1"/>
  <c r="Z9715" i="1"/>
  <c r="Z9740" i="1"/>
  <c r="Z9765" i="1"/>
  <c r="Z9790" i="1"/>
  <c r="Z9818" i="1"/>
  <c r="Z9843" i="1"/>
  <c r="Z9868" i="1"/>
  <c r="Z9893" i="1"/>
  <c r="Z9918" i="1"/>
  <c r="Z9946" i="1"/>
  <c r="Z9971" i="1"/>
  <c r="Z9996" i="1"/>
  <c r="Z10021" i="1"/>
  <c r="Z10046" i="1"/>
  <c r="Z10074" i="1"/>
  <c r="Z10099" i="1"/>
  <c r="Z10124" i="1"/>
  <c r="Z10149" i="1"/>
  <c r="Z10174" i="1"/>
  <c r="Z10202" i="1"/>
  <c r="Z10227" i="1"/>
  <c r="Z10252" i="1"/>
  <c r="Z10277" i="1"/>
  <c r="Z10301" i="1"/>
  <c r="Z10324" i="1"/>
  <c r="Z10341" i="1"/>
  <c r="Z10364" i="1"/>
  <c r="Z10381" i="1"/>
  <c r="Z10404" i="1"/>
  <c r="Z10427" i="1"/>
  <c r="Z10444" i="1"/>
  <c r="Z10467" i="1"/>
  <c r="Z10484" i="1"/>
  <c r="Z10507" i="1"/>
  <c r="Z10530" i="1"/>
  <c r="Z10547" i="1"/>
  <c r="Z10570" i="1"/>
  <c r="Z10587" i="1"/>
  <c r="Z10610" i="1"/>
  <c r="Z10630" i="1"/>
  <c r="Z10650" i="1"/>
  <c r="Z10670" i="1"/>
  <c r="Z10690" i="1"/>
  <c r="Z10710" i="1"/>
  <c r="Z10733" i="1"/>
  <c r="Z10750" i="1"/>
  <c r="Z10773" i="1"/>
  <c r="Z10790" i="1"/>
  <c r="Z10813" i="1"/>
  <c r="Z10836" i="1"/>
  <c r="Z10853" i="1"/>
  <c r="Z10876" i="1"/>
  <c r="Z10893" i="1"/>
  <c r="Z10916" i="1"/>
  <c r="Z10939" i="1"/>
  <c r="Z10956" i="1"/>
  <c r="Z10979" i="1"/>
  <c r="Z10996" i="1"/>
  <c r="Z11019" i="1"/>
  <c r="Z11042" i="1"/>
  <c r="Z11057" i="1"/>
  <c r="Z11075" i="1"/>
  <c r="Z11090" i="1"/>
  <c r="Z11108" i="1"/>
  <c r="Z11126" i="1"/>
  <c r="Z11141" i="1"/>
  <c r="Z11161" i="1"/>
  <c r="Z11174" i="1"/>
  <c r="Z11194" i="1"/>
  <c r="Z11212" i="1"/>
  <c r="Z11226" i="1"/>
  <c r="Z11242" i="1"/>
  <c r="Z11254" i="1"/>
  <c r="Z11270" i="1"/>
  <c r="Z11286" i="1"/>
  <c r="Z11299" i="1"/>
  <c r="Z11315" i="1"/>
  <c r="Z11328" i="1"/>
  <c r="Z11344" i="1"/>
  <c r="Z11360" i="1"/>
  <c r="Z11372" i="1"/>
  <c r="Z11388" i="1"/>
  <c r="Z11401" i="1"/>
  <c r="Z11417" i="1"/>
  <c r="Z11433" i="1"/>
  <c r="Z11445" i="1"/>
  <c r="Z11461" i="1"/>
  <c r="Z11474" i="1"/>
  <c r="Z11490" i="1"/>
  <c r="Z11506" i="1"/>
  <c r="Z11518" i="1"/>
  <c r="Z11534" i="1"/>
  <c r="Z11547" i="1"/>
  <c r="Z11563" i="1"/>
  <c r="Z11579" i="1"/>
  <c r="Z11592" i="1"/>
  <c r="Z11608" i="1"/>
  <c r="Z11620" i="1"/>
  <c r="Z11636" i="1"/>
  <c r="Z11652" i="1"/>
  <c r="Z11665" i="1"/>
  <c r="Z11681" i="1"/>
  <c r="Z11693" i="1"/>
  <c r="Z11709" i="1"/>
  <c r="Z11725" i="1"/>
  <c r="Z11738" i="1"/>
  <c r="Z11754" i="1"/>
  <c r="Z11766" i="1"/>
  <c r="Z11782" i="1"/>
  <c r="Z11798" i="1"/>
  <c r="Z11811" i="1"/>
  <c r="Z11827" i="1"/>
  <c r="Z11840" i="1"/>
  <c r="Z11856" i="1"/>
  <c r="Z11872" i="1"/>
  <c r="Z11884" i="1"/>
  <c r="Z11900" i="1"/>
  <c r="Z11913" i="1"/>
  <c r="Z11929" i="1"/>
  <c r="Z11945" i="1"/>
  <c r="Z11957" i="1"/>
  <c r="Z11973" i="1"/>
  <c r="Z11986" i="1"/>
  <c r="Z12002" i="1"/>
  <c r="Z12018" i="1"/>
  <c r="Z12030" i="1"/>
  <c r="Z12046" i="1"/>
  <c r="Z12059" i="1"/>
  <c r="Z12075" i="1"/>
  <c r="Z12091" i="1"/>
  <c r="Z12104" i="1"/>
  <c r="Z12120" i="1"/>
  <c r="Z12132" i="1"/>
  <c r="Z12146" i="1"/>
  <c r="Z12160" i="1"/>
  <c r="Z12171" i="1"/>
  <c r="Z12185" i="1"/>
  <c r="Z12196" i="1"/>
  <c r="Z12210" i="1"/>
  <c r="Z12224" i="1"/>
  <c r="Z12235" i="1"/>
  <c r="Z12249" i="1"/>
  <c r="Z12260" i="1"/>
  <c r="Z12274" i="1"/>
  <c r="Z12288" i="1"/>
  <c r="Z12299" i="1"/>
  <c r="Z12313" i="1"/>
  <c r="Z12324" i="1"/>
  <c r="Z12338" i="1"/>
  <c r="Z12352" i="1"/>
  <c r="Z12363" i="1"/>
  <c r="Z12377" i="1"/>
  <c r="Z12388" i="1"/>
  <c r="Z12402" i="1"/>
  <c r="Z12416" i="1"/>
  <c r="Z12427" i="1"/>
  <c r="Z12441" i="1"/>
  <c r="Z12452" i="1"/>
  <c r="Z12466" i="1"/>
  <c r="Z12480" i="1"/>
  <c r="Z12491" i="1"/>
  <c r="Z12505" i="1"/>
  <c r="Z12516" i="1"/>
  <c r="Z12530" i="1"/>
  <c r="Z12544" i="1"/>
  <c r="Z12555" i="1"/>
  <c r="Z12569" i="1"/>
  <c r="Z12580" i="1"/>
  <c r="Z12594" i="1"/>
  <c r="Z12608" i="1"/>
  <c r="Z12619" i="1"/>
  <c r="Z12633" i="1"/>
  <c r="Z12644" i="1"/>
  <c r="Z12658" i="1"/>
  <c r="Z12672" i="1"/>
  <c r="Z12683" i="1"/>
  <c r="Z12697" i="1"/>
  <c r="Z9191" i="1"/>
  <c r="Z9248" i="1"/>
  <c r="Z9309" i="1"/>
  <c r="Z9366" i="1"/>
  <c r="Z9423" i="1"/>
  <c r="Z9484" i="1"/>
  <c r="Z9541" i="1"/>
  <c r="Z9601" i="1"/>
  <c r="Z9652" i="1"/>
  <c r="Z9691" i="1"/>
  <c r="Z9716" i="1"/>
  <c r="Z9741" i="1"/>
  <c r="Z9766" i="1"/>
  <c r="Z9794" i="1"/>
  <c r="Z9819" i="1"/>
  <c r="Z9844" i="1"/>
  <c r="Z9869" i="1"/>
  <c r="Z9894" i="1"/>
  <c r="Z9922" i="1"/>
  <c r="Z9947" i="1"/>
  <c r="Z9972" i="1"/>
  <c r="Z9997" i="1"/>
  <c r="Z10022" i="1"/>
  <c r="Z10050" i="1"/>
  <c r="Z10075" i="1"/>
  <c r="Z10100" i="1"/>
  <c r="Z10125" i="1"/>
  <c r="Z10150" i="1"/>
  <c r="Z10178" i="1"/>
  <c r="Z10203" i="1"/>
  <c r="Z10228" i="1"/>
  <c r="Z10253" i="1"/>
  <c r="Z10278" i="1"/>
  <c r="Z10302" i="1"/>
  <c r="Z10325" i="1"/>
  <c r="Z10342" i="1"/>
  <c r="Z10365" i="1"/>
  <c r="Z10388" i="1"/>
  <c r="Z10405" i="1"/>
  <c r="Z10428" i="1"/>
  <c r="Z10445" i="1"/>
  <c r="Z10468" i="1"/>
  <c r="Z10491" i="1"/>
  <c r="Z10508" i="1"/>
  <c r="Z10531" i="1"/>
  <c r="Z10548" i="1"/>
  <c r="Z10571" i="1"/>
  <c r="Z10594" i="1"/>
  <c r="Z10611" i="1"/>
  <c r="Z10634" i="1"/>
  <c r="Z10651" i="1"/>
  <c r="Z10674" i="1"/>
  <c r="Z10694" i="1"/>
  <c r="Z10714" i="1"/>
  <c r="Z10734" i="1"/>
  <c r="Z10754" i="1"/>
  <c r="Z10774" i="1"/>
  <c r="Z10797" i="1"/>
  <c r="Z10814" i="1"/>
  <c r="Z10837" i="1"/>
  <c r="Z10854" i="1"/>
  <c r="Z10877" i="1"/>
  <c r="Z10900" i="1"/>
  <c r="Z10917" i="1"/>
  <c r="Z10940" i="1"/>
  <c r="Z10957" i="1"/>
  <c r="Z10980" i="1"/>
  <c r="Z11003" i="1"/>
  <c r="Z11020" i="1"/>
  <c r="Z11043" i="1"/>
  <c r="Z11058" i="1"/>
  <c r="Z11076" i="1"/>
  <c r="Z11094" i="1"/>
  <c r="Z11109" i="1"/>
  <c r="Z11129" i="1"/>
  <c r="Z11142" i="1"/>
  <c r="Z11162" i="1"/>
  <c r="Z11180" i="1"/>
  <c r="Z11195" i="1"/>
  <c r="Z11213" i="1"/>
  <c r="Z11227" i="1"/>
  <c r="Z11243" i="1"/>
  <c r="Z11259" i="1"/>
  <c r="Z11272" i="1"/>
  <c r="Z11288" i="1"/>
  <c r="Z11300" i="1"/>
  <c r="Z11316" i="1"/>
  <c r="Z11332" i="1"/>
  <c r="Z11345" i="1"/>
  <c r="Z11361" i="1"/>
  <c r="Z11373" i="1"/>
  <c r="Z11389" i="1"/>
  <c r="Z11405" i="1"/>
  <c r="Z11418" i="1"/>
  <c r="Z11434" i="1"/>
  <c r="Z11446" i="1"/>
  <c r="Z11462" i="1"/>
  <c r="Z11478" i="1"/>
  <c r="Z11491" i="1"/>
  <c r="Z11507" i="1"/>
  <c r="Z11520" i="1"/>
  <c r="Z11536" i="1"/>
  <c r="Z11552" i="1"/>
  <c r="Z11564" i="1"/>
  <c r="Z11580" i="1"/>
  <c r="Z11593" i="1"/>
  <c r="Z11609" i="1"/>
  <c r="Z11625" i="1"/>
  <c r="Z11637" i="1"/>
  <c r="Z11653" i="1"/>
  <c r="Z11666" i="1"/>
  <c r="Z11682" i="1"/>
  <c r="Z11698" i="1"/>
  <c r="Z11710" i="1"/>
  <c r="Z11726" i="1"/>
  <c r="Z11739" i="1"/>
  <c r="Z11755" i="1"/>
  <c r="Z11771" i="1"/>
  <c r="Z11784" i="1"/>
  <c r="Z11800" i="1"/>
  <c r="Z11812" i="1"/>
  <c r="Z11828" i="1"/>
  <c r="Z11844" i="1"/>
  <c r="Z11857" i="1"/>
  <c r="Z11873" i="1"/>
  <c r="Z11885" i="1"/>
  <c r="Z11901" i="1"/>
  <c r="Z9202" i="1"/>
  <c r="Z9263" i="1"/>
  <c r="Z9320" i="1"/>
  <c r="Z9377" i="1"/>
  <c r="Z9438" i="1"/>
  <c r="Z9495" i="1"/>
  <c r="Z9556" i="1"/>
  <c r="Z9612" i="1"/>
  <c r="Z9662" i="1"/>
  <c r="Z9699" i="1"/>
  <c r="Z9724" i="1"/>
  <c r="Z9749" i="1"/>
  <c r="Z9774" i="1"/>
  <c r="Z9802" i="1"/>
  <c r="Z9827" i="1"/>
  <c r="Z9852" i="1"/>
  <c r="Z9877" i="1"/>
  <c r="Z9902" i="1"/>
  <c r="Z9930" i="1"/>
  <c r="Z9955" i="1"/>
  <c r="Z9980" i="1"/>
  <c r="Z10005" i="1"/>
  <c r="Z10030" i="1"/>
  <c r="Z10058" i="1"/>
  <c r="Z10083" i="1"/>
  <c r="Z10108" i="1"/>
  <c r="Z10133" i="1"/>
  <c r="Z10158" i="1"/>
  <c r="Z10186" i="1"/>
  <c r="Z10211" i="1"/>
  <c r="Z10236" i="1"/>
  <c r="Z10261" i="1"/>
  <c r="Z10286" i="1"/>
  <c r="Z10306" i="1"/>
  <c r="Z10326" i="1"/>
  <c r="Z10349" i="1"/>
  <c r="Z10366" i="1"/>
  <c r="Z10389" i="1"/>
  <c r="Z10406" i="1"/>
  <c r="Z10429" i="1"/>
  <c r="Z10452" i="1"/>
  <c r="Z10469" i="1"/>
  <c r="Z10492" i="1"/>
  <c r="Z10509" i="1"/>
  <c r="Z10532" i="1"/>
  <c r="Z10555" i="1"/>
  <c r="Z10572" i="1"/>
  <c r="Z10595" i="1"/>
  <c r="Z10612" i="1"/>
  <c r="Z10635" i="1"/>
  <c r="Z10658" i="1"/>
  <c r="Z10675" i="1"/>
  <c r="Z10698" i="1"/>
  <c r="Z10715" i="1"/>
  <c r="Z10738" i="1"/>
  <c r="Z10758" i="1"/>
  <c r="Z10778" i="1"/>
  <c r="Z10798" i="1"/>
  <c r="Z10818" i="1"/>
  <c r="Z10838" i="1"/>
  <c r="Z10861" i="1"/>
  <c r="Z10878" i="1"/>
  <c r="Z10901" i="1"/>
  <c r="Z10918" i="1"/>
  <c r="Z10941" i="1"/>
  <c r="Z10964" i="1"/>
  <c r="Z10981" i="1"/>
  <c r="Z11004" i="1"/>
  <c r="Z11021" i="1"/>
  <c r="Z11044" i="1"/>
  <c r="Z11062" i="1"/>
  <c r="Z11077" i="1"/>
  <c r="Z11097" i="1"/>
  <c r="Z11110" i="1"/>
  <c r="Z11130" i="1"/>
  <c r="Z11148" i="1"/>
  <c r="Z11163" i="1"/>
  <c r="Z11181" i="1"/>
  <c r="Z11196" i="1"/>
  <c r="Z11214" i="1"/>
  <c r="Z11232" i="1"/>
  <c r="Z11244" i="1"/>
  <c r="Z11260" i="1"/>
  <c r="Z11273" i="1"/>
  <c r="Z11289" i="1"/>
  <c r="Z11305" i="1"/>
  <c r="Z11317" i="1"/>
  <c r="Z11333" i="1"/>
  <c r="Z11346" i="1"/>
  <c r="Z11362" i="1"/>
  <c r="Z11378" i="1"/>
  <c r="Z11390" i="1"/>
  <c r="Z11406" i="1"/>
  <c r="Z11419" i="1"/>
  <c r="Z11435" i="1"/>
  <c r="Z11451" i="1"/>
  <c r="Z11464" i="1"/>
  <c r="Z11480" i="1"/>
  <c r="Z11492" i="1"/>
  <c r="Z11508" i="1"/>
  <c r="Z11524" i="1"/>
  <c r="Z11537" i="1"/>
  <c r="Z11553" i="1"/>
  <c r="Z11565" i="1"/>
  <c r="Z11581" i="1"/>
  <c r="Z11597" i="1"/>
  <c r="Z11610" i="1"/>
  <c r="Z11626" i="1"/>
  <c r="Z11638" i="1"/>
  <c r="Z11654" i="1"/>
  <c r="Z11670" i="1"/>
  <c r="Z11683" i="1"/>
  <c r="Z11699" i="1"/>
  <c r="Z11712" i="1"/>
  <c r="Z11728" i="1"/>
  <c r="Z11744" i="1"/>
  <c r="Z11756" i="1"/>
  <c r="Z11772" i="1"/>
  <c r="Z11785" i="1"/>
  <c r="Z11801" i="1"/>
  <c r="Z11817" i="1"/>
  <c r="Z11829" i="1"/>
  <c r="Z11845" i="1"/>
  <c r="Z11858" i="1"/>
  <c r="Z11874" i="1"/>
  <c r="Z11890" i="1"/>
  <c r="Z11902" i="1"/>
  <c r="Z11918" i="1"/>
  <c r="Z11931" i="1"/>
  <c r="Z11947" i="1"/>
  <c r="Z11963" i="1"/>
  <c r="Z11976" i="1"/>
  <c r="Z11992" i="1"/>
  <c r="Z9204" i="1"/>
  <c r="Z9264" i="1"/>
  <c r="Z9321" i="1"/>
  <c r="Z9382" i="1"/>
  <c r="Z9439" i="1"/>
  <c r="Z9496" i="1"/>
  <c r="Z9557" i="1"/>
  <c r="Z9613" i="1"/>
  <c r="Z9666" i="1"/>
  <c r="Z9700" i="1"/>
  <c r="Z9725" i="1"/>
  <c r="Z9750" i="1"/>
  <c r="Z9778" i="1"/>
  <c r="Z9803" i="1"/>
  <c r="Z9828" i="1"/>
  <c r="Z9853" i="1"/>
  <c r="Z9878" i="1"/>
  <c r="Z9906" i="1"/>
  <c r="Z9931" i="1"/>
  <c r="Z9956" i="1"/>
  <c r="Z9981" i="1"/>
  <c r="Z10006" i="1"/>
  <c r="Z10034" i="1"/>
  <c r="Z10059" i="1"/>
  <c r="Z10084" i="1"/>
  <c r="Z10109" i="1"/>
  <c r="Z10134" i="1"/>
  <c r="Z10162" i="1"/>
  <c r="Z10187" i="1"/>
  <c r="Z10212" i="1"/>
  <c r="Z10237" i="1"/>
  <c r="Z10262" i="1"/>
  <c r="Z10290" i="1"/>
  <c r="Z10310" i="1"/>
  <c r="Z10330" i="1"/>
  <c r="Z10350" i="1"/>
  <c r="Z10370" i="1"/>
  <c r="Z10390" i="1"/>
  <c r="Z10413" i="1"/>
  <c r="Z10430" i="1"/>
  <c r="Z10453" i="1"/>
  <c r="Z10470" i="1"/>
  <c r="Z10493" i="1"/>
  <c r="Z10516" i="1"/>
  <c r="Z10533" i="1"/>
  <c r="Z10556" i="1"/>
  <c r="Z10573" i="1"/>
  <c r="Z10596" i="1"/>
  <c r="Z10619" i="1"/>
  <c r="Z10636" i="1"/>
  <c r="Z10659" i="1"/>
  <c r="Z10676" i="1"/>
  <c r="Z10699" i="1"/>
  <c r="Z10722" i="1"/>
  <c r="Z10739" i="1"/>
  <c r="Z10762" i="1"/>
  <c r="Z10779" i="1"/>
  <c r="Z10802" i="1"/>
  <c r="Z10822" i="1"/>
  <c r="Z10842" i="1"/>
  <c r="Z10862" i="1"/>
  <c r="Z10882" i="1"/>
  <c r="Z10902" i="1"/>
  <c r="Z10925" i="1"/>
  <c r="Z10942" i="1"/>
  <c r="Z10965" i="1"/>
  <c r="Z10982" i="1"/>
  <c r="Z11005" i="1"/>
  <c r="Z11028" i="1"/>
  <c r="Z11045" i="1"/>
  <c r="Z11065" i="1"/>
  <c r="Z11078" i="1"/>
  <c r="Z11098" i="1"/>
  <c r="Z11116" i="1"/>
  <c r="Z11131" i="1"/>
  <c r="Z11149" i="1"/>
  <c r="Z11164" i="1"/>
  <c r="Z11182" i="1"/>
  <c r="Z11202" i="1"/>
  <c r="Z11217" i="1"/>
  <c r="Z11233" i="1"/>
  <c r="Z11245" i="1"/>
  <c r="Z11261" i="1"/>
  <c r="Z11277" i="1"/>
  <c r="Z11290" i="1"/>
  <c r="Z11306" i="1"/>
  <c r="Z11318" i="1"/>
  <c r="Z11334" i="1"/>
  <c r="Z11350" i="1"/>
  <c r="Z11363" i="1"/>
  <c r="Z11379" i="1"/>
  <c r="Z11392" i="1"/>
  <c r="Z11408" i="1"/>
  <c r="Z9218" i="1"/>
  <c r="Z9276" i="1"/>
  <c r="Z9336" i="1"/>
  <c r="Z9393" i="1"/>
  <c r="Z9450" i="1"/>
  <c r="Z9511" i="1"/>
  <c r="Z9568" i="1"/>
  <c r="Z9626" i="1"/>
  <c r="Z9674" i="1"/>
  <c r="Z9701" i="1"/>
  <c r="Z9726" i="1"/>
  <c r="Z9754" i="1"/>
  <c r="Z9779" i="1"/>
  <c r="Z9804" i="1"/>
  <c r="Z9829" i="1"/>
  <c r="Z9854" i="1"/>
  <c r="Z9882" i="1"/>
  <c r="Z9907" i="1"/>
  <c r="Z9932" i="1"/>
  <c r="Z9957" i="1"/>
  <c r="Z9982" i="1"/>
  <c r="Z10010" i="1"/>
  <c r="Z10035" i="1"/>
  <c r="Z10060" i="1"/>
  <c r="Z10085" i="1"/>
  <c r="Z10110" i="1"/>
  <c r="Z10138" i="1"/>
  <c r="Z10163" i="1"/>
  <c r="Z10188" i="1"/>
  <c r="Z10213" i="1"/>
  <c r="Z10238" i="1"/>
  <c r="Z10266" i="1"/>
  <c r="Z10291" i="1"/>
  <c r="Z10314" i="1"/>
  <c r="Z10331" i="1"/>
  <c r="Z10354" i="1"/>
  <c r="Z10374" i="1"/>
  <c r="Z10394" i="1"/>
  <c r="Z10414" i="1"/>
  <c r="Z10434" i="1"/>
  <c r="Z10454" i="1"/>
  <c r="Z10477" i="1"/>
  <c r="Z10494" i="1"/>
  <c r="Z10517" i="1"/>
  <c r="Z10534" i="1"/>
  <c r="Z10557" i="1"/>
  <c r="Z10580" i="1"/>
  <c r="Z10597" i="1"/>
  <c r="Z10620" i="1"/>
  <c r="Z10637" i="1"/>
  <c r="Z10660" i="1"/>
  <c r="Z10683" i="1"/>
  <c r="Z10700" i="1"/>
  <c r="Z10723" i="1"/>
  <c r="Z10740" i="1"/>
  <c r="Z10763" i="1"/>
  <c r="Z10786" i="1"/>
  <c r="Z10803" i="1"/>
  <c r="Z10826" i="1"/>
  <c r="Z10843" i="1"/>
  <c r="Z10866" i="1"/>
  <c r="Z10886" i="1"/>
  <c r="Z10906" i="1"/>
  <c r="Z10926" i="1"/>
  <c r="Z10946" i="1"/>
  <c r="Z10966" i="1"/>
  <c r="Z10989" i="1"/>
  <c r="Z11006" i="1"/>
  <c r="Z11029" i="1"/>
  <c r="Z11046" i="1"/>
  <c r="Z11066" i="1"/>
  <c r="Z11084" i="1"/>
  <c r="Z11099" i="1"/>
  <c r="Z11117" i="1"/>
  <c r="Z11132" i="1"/>
  <c r="Z11150" i="1"/>
  <c r="Z11170" i="1"/>
  <c r="Z11185" i="1"/>
  <c r="Z11203" i="1"/>
  <c r="Z11218" i="1"/>
  <c r="Z11234" i="1"/>
  <c r="Z11250" i="1"/>
  <c r="Z11262" i="1"/>
  <c r="Z11278" i="1"/>
  <c r="Z11291" i="1"/>
  <c r="Z11307" i="1"/>
  <c r="Z11323" i="1"/>
  <c r="Z11336" i="1"/>
  <c r="Z11352" i="1"/>
  <c r="Z11364" i="1"/>
  <c r="Z11380" i="1"/>
  <c r="Z11396" i="1"/>
  <c r="Z11409" i="1"/>
  <c r="Z11425" i="1"/>
  <c r="Z11437" i="1"/>
  <c r="Z11453" i="1"/>
  <c r="Z11469" i="1"/>
  <c r="Z11424" i="1"/>
  <c r="Z11509" i="1"/>
  <c r="Z11570" i="1"/>
  <c r="Z11627" i="1"/>
  <c r="Z11684" i="1"/>
  <c r="Z11745" i="1"/>
  <c r="Z11802" i="1"/>
  <c r="Z11862" i="1"/>
  <c r="Z11917" i="1"/>
  <c r="Z11949" i="1"/>
  <c r="Z11993" i="1"/>
  <c r="Z12021" i="1"/>
  <c r="Z12050" i="1"/>
  <c r="Z12082" i="1"/>
  <c r="Z12110" i="1"/>
  <c r="Z12138" i="1"/>
  <c r="Z12163" i="1"/>
  <c r="Z12188" i="1"/>
  <c r="Z12216" i="1"/>
  <c r="Z12241" i="1"/>
  <c r="Z12266" i="1"/>
  <c r="Z12291" i="1"/>
  <c r="Z12316" i="1"/>
  <c r="Z12344" i="1"/>
  <c r="Z12369" i="1"/>
  <c r="Z12394" i="1"/>
  <c r="Z12419" i="1"/>
  <c r="Z12444" i="1"/>
  <c r="Z12472" i="1"/>
  <c r="Z12497" i="1"/>
  <c r="Z12522" i="1"/>
  <c r="Z12547" i="1"/>
  <c r="Z12572" i="1"/>
  <c r="Z12600" i="1"/>
  <c r="Z12625" i="1"/>
  <c r="Z12650" i="1"/>
  <c r="Z12675" i="1"/>
  <c r="Z12700" i="1"/>
  <c r="Z12723" i="1"/>
  <c r="Z12740" i="1"/>
  <c r="Z12763" i="1"/>
  <c r="Z12786" i="1"/>
  <c r="Z12803" i="1"/>
  <c r="Z12826" i="1"/>
  <c r="Z12843" i="1"/>
  <c r="Z12866" i="1"/>
  <c r="Z12889" i="1"/>
  <c r="Z12906" i="1"/>
  <c r="Z12929" i="1"/>
  <c r="Z12946" i="1"/>
  <c r="Z12969" i="1"/>
  <c r="Z12992" i="1"/>
  <c r="Z13009" i="1"/>
  <c r="Z13032" i="1"/>
  <c r="Z13049" i="1"/>
  <c r="Z13072" i="1"/>
  <c r="Z13092" i="1"/>
  <c r="Z13112" i="1"/>
  <c r="Z13132" i="1"/>
  <c r="Z13148" i="1"/>
  <c r="Z13168" i="1"/>
  <c r="Z13186" i="1"/>
  <c r="Z13201" i="1"/>
  <c r="Z13219" i="1"/>
  <c r="Z13234" i="1"/>
  <c r="Z13252" i="1"/>
  <c r="Z13272" i="1"/>
  <c r="Z13286" i="1"/>
  <c r="Z13305" i="1"/>
  <c r="Z13318" i="1"/>
  <c r="Z13334" i="1"/>
  <c r="Z13350" i="1"/>
  <c r="Z13362" i="1"/>
  <c r="Z13378" i="1"/>
  <c r="Z13391" i="1"/>
  <c r="Z13407" i="1"/>
  <c r="Z13423" i="1"/>
  <c r="Z13435" i="1"/>
  <c r="Z13451" i="1"/>
  <c r="Z13464" i="1"/>
  <c r="Z13480" i="1"/>
  <c r="Z13496" i="1"/>
  <c r="Z13508" i="1"/>
  <c r="Z13524" i="1"/>
  <c r="Z13537" i="1"/>
  <c r="Z13553" i="1"/>
  <c r="Z13569" i="1"/>
  <c r="Z13582" i="1"/>
  <c r="Z13598" i="1"/>
  <c r="Z13610" i="1"/>
  <c r="Z13626" i="1"/>
  <c r="Z13642" i="1"/>
  <c r="Z13655" i="1"/>
  <c r="Z13671" i="1"/>
  <c r="Z13683" i="1"/>
  <c r="Z13699" i="1"/>
  <c r="Z13715" i="1"/>
  <c r="Z13728" i="1"/>
  <c r="Z13744" i="1"/>
  <c r="Z13756" i="1"/>
  <c r="Z13772" i="1"/>
  <c r="Z13788" i="1"/>
  <c r="Z13801" i="1"/>
  <c r="Z13817" i="1"/>
  <c r="Z13828" i="1"/>
  <c r="Z13842" i="1"/>
  <c r="Z13856" i="1"/>
  <c r="Z13867" i="1"/>
  <c r="Z13881" i="1"/>
  <c r="Z13892" i="1"/>
  <c r="Z13906" i="1"/>
  <c r="Z13920" i="1"/>
  <c r="Z13931" i="1"/>
  <c r="Z13945" i="1"/>
  <c r="Z13956" i="1"/>
  <c r="Z13970" i="1"/>
  <c r="Z13984" i="1"/>
  <c r="Z13995" i="1"/>
  <c r="Z14009" i="1"/>
  <c r="Z14020" i="1"/>
  <c r="Z14034" i="1"/>
  <c r="Z14048" i="1"/>
  <c r="Z14059" i="1"/>
  <c r="Z14073" i="1"/>
  <c r="Z14084" i="1"/>
  <c r="Z14098" i="1"/>
  <c r="Z14112" i="1"/>
  <c r="Z14123" i="1"/>
  <c r="Z14137" i="1"/>
  <c r="Z14148" i="1"/>
  <c r="Z14162" i="1"/>
  <c r="Z14176" i="1"/>
  <c r="Z14187" i="1"/>
  <c r="Z14201" i="1"/>
  <c r="Z14212" i="1"/>
  <c r="Z14226" i="1"/>
  <c r="Z14240" i="1"/>
  <c r="Z14251" i="1"/>
  <c r="Z14265" i="1"/>
  <c r="Z14276" i="1"/>
  <c r="Z14290" i="1"/>
  <c r="Z14304" i="1"/>
  <c r="Z14315" i="1"/>
  <c r="Z14329" i="1"/>
  <c r="Z14340" i="1"/>
  <c r="Z14354" i="1"/>
  <c r="Z14368" i="1"/>
  <c r="Z14379" i="1"/>
  <c r="Z14393" i="1"/>
  <c r="Z14404" i="1"/>
  <c r="Z14418" i="1"/>
  <c r="Z14432" i="1"/>
  <c r="Z14443" i="1"/>
  <c r="Z14457" i="1"/>
  <c r="Z14468" i="1"/>
  <c r="Z14482" i="1"/>
  <c r="Z14496" i="1"/>
  <c r="Z14507" i="1"/>
  <c r="Z14521" i="1"/>
  <c r="Z14532" i="1"/>
  <c r="Z14546" i="1"/>
  <c r="Z14560" i="1"/>
  <c r="Z14571" i="1"/>
  <c r="Z14585" i="1"/>
  <c r="Z14596" i="1"/>
  <c r="Z14610" i="1"/>
  <c r="Z14624" i="1"/>
  <c r="Z14635" i="1"/>
  <c r="Z14649" i="1"/>
  <c r="Z14660" i="1"/>
  <c r="Z14674" i="1"/>
  <c r="Z14688" i="1"/>
  <c r="Z14699" i="1"/>
  <c r="Z14713" i="1"/>
  <c r="Z14724" i="1"/>
  <c r="Z14738" i="1"/>
  <c r="Z14752" i="1"/>
  <c r="Z14763" i="1"/>
  <c r="Z14777" i="1"/>
  <c r="Z14788" i="1"/>
  <c r="Z14802" i="1"/>
  <c r="Z14816" i="1"/>
  <c r="Z14827" i="1"/>
  <c r="Z14841" i="1"/>
  <c r="Z14852" i="1"/>
  <c r="Z14866" i="1"/>
  <c r="Z14880" i="1"/>
  <c r="Z14891" i="1"/>
  <c r="Z14905" i="1"/>
  <c r="Z14916" i="1"/>
  <c r="Z14930" i="1"/>
  <c r="Z14944" i="1"/>
  <c r="Z14955" i="1"/>
  <c r="Z14969" i="1"/>
  <c r="Z14980" i="1"/>
  <c r="Z14994" i="1"/>
  <c r="Z15008" i="1"/>
  <c r="Z15019" i="1"/>
  <c r="Z15033" i="1"/>
  <c r="Z15044" i="1"/>
  <c r="Z15058" i="1"/>
  <c r="Z15072" i="1"/>
  <c r="Z15083" i="1"/>
  <c r="Z15097" i="1"/>
  <c r="Z15108" i="1"/>
  <c r="Z15122" i="1"/>
  <c r="Z15136" i="1"/>
  <c r="Z15147" i="1"/>
  <c r="Z15161" i="1"/>
  <c r="Z15172" i="1"/>
  <c r="Z15186" i="1"/>
  <c r="Z15200" i="1"/>
  <c r="Z15211" i="1"/>
  <c r="Z15225" i="1"/>
  <c r="Z15236" i="1"/>
  <c r="Z15250" i="1"/>
  <c r="Z15264" i="1"/>
  <c r="Z15275" i="1"/>
  <c r="Z15289" i="1"/>
  <c r="Z15300" i="1"/>
  <c r="Z15314" i="1"/>
  <c r="Z15328" i="1"/>
  <c r="Z15339" i="1"/>
  <c r="Z15353" i="1"/>
  <c r="Z15364" i="1"/>
  <c r="Z15378" i="1"/>
  <c r="Z15392" i="1"/>
  <c r="Z15403" i="1"/>
  <c r="Z15416" i="1"/>
  <c r="Z15426" i="1"/>
  <c r="Z15436" i="1"/>
  <c r="Z15448" i="1"/>
  <c r="Z15458" i="1"/>
  <c r="Z15468" i="1"/>
  <c r="Z15480" i="1"/>
  <c r="Z15490" i="1"/>
  <c r="Z15500" i="1"/>
  <c r="Z15512" i="1"/>
  <c r="Z15522" i="1"/>
  <c r="Z15532" i="1"/>
  <c r="Z15544" i="1"/>
  <c r="Z15554" i="1"/>
  <c r="Z15564" i="1"/>
  <c r="Z15574" i="1"/>
  <c r="Z15583" i="1"/>
  <c r="Z15592" i="1"/>
  <c r="Z15601" i="1"/>
  <c r="Z15610" i="1"/>
  <c r="Z15619" i="1"/>
  <c r="Z15628" i="1"/>
  <c r="Z15638" i="1"/>
  <c r="Z15647" i="1"/>
  <c r="Z15656" i="1"/>
  <c r="Z15665" i="1"/>
  <c r="Z15674" i="1"/>
  <c r="Z15683" i="1"/>
  <c r="Z15692" i="1"/>
  <c r="Z15702" i="1"/>
  <c r="Z15711" i="1"/>
  <c r="Z15720" i="1"/>
  <c r="Z15729" i="1"/>
  <c r="Z15738" i="1"/>
  <c r="Z15747" i="1"/>
  <c r="Z15756" i="1"/>
  <c r="Z15766" i="1"/>
  <c r="Z15775" i="1"/>
  <c r="Z15784" i="1"/>
  <c r="Z15793" i="1"/>
  <c r="Z15802" i="1"/>
  <c r="Z15811" i="1"/>
  <c r="Z15820" i="1"/>
  <c r="Z15830" i="1"/>
  <c r="Z15839" i="1"/>
  <c r="Z15848" i="1"/>
  <c r="Z15857" i="1"/>
  <c r="Z15866" i="1"/>
  <c r="Z15875" i="1"/>
  <c r="Z15884" i="1"/>
  <c r="Z15894" i="1"/>
  <c r="Z15903" i="1"/>
  <c r="Z15912" i="1"/>
  <c r="Z15921" i="1"/>
  <c r="Z15930" i="1"/>
  <c r="Z15939" i="1"/>
  <c r="Z15948" i="1"/>
  <c r="Z15958" i="1"/>
  <c r="Z15967" i="1"/>
  <c r="Z15976" i="1"/>
  <c r="Z15985" i="1"/>
  <c r="Z15994" i="1"/>
  <c r="Z16003" i="1"/>
  <c r="Z16012" i="1"/>
  <c r="Z16022" i="1"/>
  <c r="Z16031" i="1"/>
  <c r="Z16040" i="1"/>
  <c r="Z16049" i="1"/>
  <c r="Z16058" i="1"/>
  <c r="Z16067" i="1"/>
  <c r="Z16076" i="1"/>
  <c r="Z16086" i="1"/>
  <c r="Z16095" i="1"/>
  <c r="Z16104" i="1"/>
  <c r="Z16113" i="1"/>
  <c r="Z16122" i="1"/>
  <c r="Z16131" i="1"/>
  <c r="Z16140" i="1"/>
  <c r="Z16150" i="1"/>
  <c r="Z16159" i="1"/>
  <c r="Z16168" i="1"/>
  <c r="Z16177" i="1"/>
  <c r="Z16186" i="1"/>
  <c r="Z16195" i="1"/>
  <c r="Z16204" i="1"/>
  <c r="Z16214" i="1"/>
  <c r="Z16223" i="1"/>
  <c r="Z16232" i="1"/>
  <c r="Z16241" i="1"/>
  <c r="Z16250" i="1"/>
  <c r="Z16259" i="1"/>
  <c r="Z16268" i="1"/>
  <c r="Z16278" i="1"/>
  <c r="Z16287" i="1"/>
  <c r="Z16296" i="1"/>
  <c r="Z16305" i="1"/>
  <c r="Z16314" i="1"/>
  <c r="Z16323" i="1"/>
  <c r="Z16332" i="1"/>
  <c r="Z16342" i="1"/>
  <c r="Z16351" i="1"/>
  <c r="Z16360" i="1"/>
  <c r="Z16369" i="1"/>
  <c r="Z16378" i="1"/>
  <c r="Z16387" i="1"/>
  <c r="Z16396" i="1"/>
  <c r="Z16406" i="1"/>
  <c r="Z16415" i="1"/>
  <c r="Z16424" i="1"/>
  <c r="Z16433" i="1"/>
  <c r="Z16442" i="1"/>
  <c r="Z16451" i="1"/>
  <c r="Z16460" i="1"/>
  <c r="Z16470" i="1"/>
  <c r="Z16478" i="1"/>
  <c r="Z16486" i="1"/>
  <c r="Z16494" i="1"/>
  <c r="Z16502" i="1"/>
  <c r="Z16510" i="1"/>
  <c r="Z16518" i="1"/>
  <c r="Z16526" i="1"/>
  <c r="Z16534" i="1"/>
  <c r="Z16542" i="1"/>
  <c r="Z16550" i="1"/>
  <c r="Z16558" i="1"/>
  <c r="Z16566" i="1"/>
  <c r="Z16574" i="1"/>
  <c r="Z16582" i="1"/>
  <c r="Z16590" i="1"/>
  <c r="Z16598" i="1"/>
  <c r="Z16606" i="1"/>
  <c r="Z16614" i="1"/>
  <c r="Z16622" i="1"/>
  <c r="Z16630" i="1"/>
  <c r="Z16638" i="1"/>
  <c r="Z16646" i="1"/>
  <c r="Z16654" i="1"/>
  <c r="Z16662" i="1"/>
  <c r="Z16670" i="1"/>
  <c r="Z16678" i="1"/>
  <c r="Z16686" i="1"/>
  <c r="Z16694" i="1"/>
  <c r="Z16702" i="1"/>
  <c r="Z16710" i="1"/>
  <c r="Z16718" i="1"/>
  <c r="Z16726" i="1"/>
  <c r="Z16734" i="1"/>
  <c r="Z16742" i="1"/>
  <c r="Z16750" i="1"/>
  <c r="Z16758" i="1"/>
  <c r="Z16766" i="1"/>
  <c r="Z16774" i="1"/>
  <c r="Z16782" i="1"/>
  <c r="Z16790" i="1"/>
  <c r="Z16798" i="1"/>
  <c r="Z16806" i="1"/>
  <c r="Z16814" i="1"/>
  <c r="Z16822" i="1"/>
  <c r="Z16830" i="1"/>
  <c r="Z16838" i="1"/>
  <c r="Z16846" i="1"/>
  <c r="Z16854" i="1"/>
  <c r="Z16862" i="1"/>
  <c r="Z16870" i="1"/>
  <c r="Z16878" i="1"/>
  <c r="Z16886" i="1"/>
  <c r="Z16894" i="1"/>
  <c r="Z16902" i="1"/>
  <c r="Z16910" i="1"/>
  <c r="Z16918" i="1"/>
  <c r="Z16926" i="1"/>
  <c r="Z16934" i="1"/>
  <c r="Z16942" i="1"/>
  <c r="Z16950" i="1"/>
  <c r="Z16958" i="1"/>
  <c r="Z16966" i="1"/>
  <c r="Z16974" i="1"/>
  <c r="Z16982" i="1"/>
  <c r="Z16990" i="1"/>
  <c r="Z16998" i="1"/>
  <c r="Z17006" i="1"/>
  <c r="Z17014" i="1"/>
  <c r="Z17022" i="1"/>
  <c r="Z17030" i="1"/>
  <c r="Z17038" i="1"/>
  <c r="Z17046" i="1"/>
  <c r="Z17054" i="1"/>
  <c r="Z17062" i="1"/>
  <c r="Z17070" i="1"/>
  <c r="Z17078" i="1"/>
  <c r="Z17086" i="1"/>
  <c r="Z17094" i="1"/>
  <c r="Z17102" i="1"/>
  <c r="Z17110" i="1"/>
  <c r="Z17118" i="1"/>
  <c r="Z17126" i="1"/>
  <c r="Z17134" i="1"/>
  <c r="Z17142" i="1"/>
  <c r="Z17150" i="1"/>
  <c r="Z17158" i="1"/>
  <c r="Z17166" i="1"/>
  <c r="Z17174" i="1"/>
  <c r="Z17182" i="1"/>
  <c r="Z17190" i="1"/>
  <c r="Z17198" i="1"/>
  <c r="Z17206" i="1"/>
  <c r="Z17214" i="1"/>
  <c r="Z17222" i="1"/>
  <c r="Z17230" i="1"/>
  <c r="Z17238" i="1"/>
  <c r="Z17246" i="1"/>
  <c r="Z17254" i="1"/>
  <c r="Z17262" i="1"/>
  <c r="Z17270" i="1"/>
  <c r="Z17278" i="1"/>
  <c r="Z17286" i="1"/>
  <c r="Z17294" i="1"/>
  <c r="Z17302" i="1"/>
  <c r="Z17310" i="1"/>
  <c r="Z17318" i="1"/>
  <c r="Z17326" i="1"/>
  <c r="Z17334" i="1"/>
  <c r="Z17342" i="1"/>
  <c r="Z17350" i="1"/>
  <c r="Z17358" i="1"/>
  <c r="Z17366" i="1"/>
  <c r="Z17374" i="1"/>
  <c r="Z17382" i="1"/>
  <c r="Z17390" i="1"/>
  <c r="Z17398" i="1"/>
  <c r="Z17406" i="1"/>
  <c r="Z17414" i="1"/>
  <c r="Z17422" i="1"/>
  <c r="Z17430" i="1"/>
  <c r="Z17438" i="1"/>
  <c r="Z17446" i="1"/>
  <c r="Z17454" i="1"/>
  <c r="Z17462" i="1"/>
  <c r="Z17470" i="1"/>
  <c r="Z17478" i="1"/>
  <c r="Z17486" i="1"/>
  <c r="Z17494" i="1"/>
  <c r="Z17502" i="1"/>
  <c r="Z17510" i="1"/>
  <c r="Z17518" i="1"/>
  <c r="Z17526" i="1"/>
  <c r="Z17534" i="1"/>
  <c r="Z17542" i="1"/>
  <c r="Z17550" i="1"/>
  <c r="Z17558" i="1"/>
  <c r="Z17566" i="1"/>
  <c r="Z17574" i="1"/>
  <c r="Z17582" i="1"/>
  <c r="Z17590" i="1"/>
  <c r="Z17598" i="1"/>
  <c r="Z17606" i="1"/>
  <c r="Z17614" i="1"/>
  <c r="Z17622" i="1"/>
  <c r="Z17630" i="1"/>
  <c r="Z17638" i="1"/>
  <c r="Z17646" i="1"/>
  <c r="Z17654" i="1"/>
  <c r="Z17662" i="1"/>
  <c r="Z17670" i="1"/>
  <c r="Z17678" i="1"/>
  <c r="Z17686" i="1"/>
  <c r="Z17694" i="1"/>
  <c r="Z17702" i="1"/>
  <c r="Z17710" i="1"/>
  <c r="Z17718" i="1"/>
  <c r="Z17726" i="1"/>
  <c r="Z17734" i="1"/>
  <c r="Z17742" i="1"/>
  <c r="Z17750" i="1"/>
  <c r="Z17758" i="1"/>
  <c r="Z17766" i="1"/>
  <c r="Z17774" i="1"/>
  <c r="Z17782" i="1"/>
  <c r="Z17790" i="1"/>
  <c r="Z17798" i="1"/>
  <c r="Z17806" i="1"/>
  <c r="Z17814" i="1"/>
  <c r="Z17822" i="1"/>
  <c r="Z17830" i="1"/>
  <c r="Z17838" i="1"/>
  <c r="Z17846" i="1"/>
  <c r="Z17854" i="1"/>
  <c r="Z17862" i="1"/>
  <c r="Z17870" i="1"/>
  <c r="Z17878" i="1"/>
  <c r="Z17886" i="1"/>
  <c r="Z17894" i="1"/>
  <c r="Z17902" i="1"/>
  <c r="Z17910" i="1"/>
  <c r="Z17918" i="1"/>
  <c r="Z17926" i="1"/>
  <c r="Z17934" i="1"/>
  <c r="Z17942" i="1"/>
  <c r="Z17950" i="1"/>
  <c r="Z17958" i="1"/>
  <c r="Z17966" i="1"/>
  <c r="Z17974" i="1"/>
  <c r="Z17982" i="1"/>
  <c r="Z17990" i="1"/>
  <c r="Z17998" i="1"/>
  <c r="Z18006" i="1"/>
  <c r="Z18014" i="1"/>
  <c r="Z18022" i="1"/>
  <c r="Z18030" i="1"/>
  <c r="Z18038" i="1"/>
  <c r="Z18046" i="1"/>
  <c r="Z18054" i="1"/>
  <c r="Z18062" i="1"/>
  <c r="Z18070" i="1"/>
  <c r="Z18078" i="1"/>
  <c r="Z18086" i="1"/>
  <c r="Z18094" i="1"/>
  <c r="Z18102" i="1"/>
  <c r="Z18110" i="1"/>
  <c r="Z18118" i="1"/>
  <c r="Z18126" i="1"/>
  <c r="Z18134" i="1"/>
  <c r="Z18142" i="1"/>
  <c r="Z18150" i="1"/>
  <c r="Z18158" i="1"/>
  <c r="Z18166" i="1"/>
  <c r="Z18174" i="1"/>
  <c r="Z18182" i="1"/>
  <c r="Z18190" i="1"/>
  <c r="Z18198" i="1"/>
  <c r="Z18206" i="1"/>
  <c r="Z18214" i="1"/>
  <c r="Z18222" i="1"/>
  <c r="Z18230" i="1"/>
  <c r="Z18238" i="1"/>
  <c r="Z18246" i="1"/>
  <c r="Z18254" i="1"/>
  <c r="Z18262" i="1"/>
  <c r="Z18270" i="1"/>
  <c r="Z18278" i="1"/>
  <c r="Z18286" i="1"/>
  <c r="Z18294" i="1"/>
  <c r="Z18302" i="1"/>
  <c r="Z18310" i="1"/>
  <c r="Z18318" i="1"/>
  <c r="Z18326" i="1"/>
  <c r="Z18334" i="1"/>
  <c r="Z18342" i="1"/>
  <c r="Z18350" i="1"/>
  <c r="Z18358" i="1"/>
  <c r="Z18366" i="1"/>
  <c r="Z18374" i="1"/>
  <c r="Z18382" i="1"/>
  <c r="Z18390" i="1"/>
  <c r="Z18398" i="1"/>
  <c r="Z18406" i="1"/>
  <c r="Z18414" i="1"/>
  <c r="Z18422" i="1"/>
  <c r="Z18430" i="1"/>
  <c r="Z18438" i="1"/>
  <c r="Z18446" i="1"/>
  <c r="Z18454" i="1"/>
  <c r="Z18462" i="1"/>
  <c r="Z18470" i="1"/>
  <c r="Z18478" i="1"/>
  <c r="Z18486" i="1"/>
  <c r="Z18494" i="1"/>
  <c r="Z18502" i="1"/>
  <c r="Z18510" i="1"/>
  <c r="Z18518" i="1"/>
  <c r="Z18526" i="1"/>
  <c r="Z18534" i="1"/>
  <c r="Z18542" i="1"/>
  <c r="Z18550" i="1"/>
  <c r="Z18558" i="1"/>
  <c r="Z18566" i="1"/>
  <c r="Z18574" i="1"/>
  <c r="Z18582" i="1"/>
  <c r="Z18590" i="1"/>
  <c r="Z18598" i="1"/>
  <c r="Z18606" i="1"/>
  <c r="Z18614" i="1"/>
  <c r="Z18622" i="1"/>
  <c r="Z18630" i="1"/>
  <c r="Z18638" i="1"/>
  <c r="Z18646" i="1"/>
  <c r="Z18654" i="1"/>
  <c r="Z18662" i="1"/>
  <c r="Z18670" i="1"/>
  <c r="Z18678" i="1"/>
  <c r="Z18686" i="1"/>
  <c r="Z18694" i="1"/>
  <c r="Z18702" i="1"/>
  <c r="Z18710" i="1"/>
  <c r="Z18718" i="1"/>
  <c r="Z18726" i="1"/>
  <c r="Z18734" i="1"/>
  <c r="Z18742" i="1"/>
  <c r="Z18750" i="1"/>
  <c r="Z18758" i="1"/>
  <c r="Z18766" i="1"/>
  <c r="Z18774" i="1"/>
  <c r="Z18782" i="1"/>
  <c r="Z18790" i="1"/>
  <c r="Z18798" i="1"/>
  <c r="Z18806" i="1"/>
  <c r="Z18814" i="1"/>
  <c r="Z18822" i="1"/>
  <c r="Z18830" i="1"/>
  <c r="Z18838" i="1"/>
  <c r="Z18846" i="1"/>
  <c r="Z18854" i="1"/>
  <c r="Z18862" i="1"/>
  <c r="Z18870" i="1"/>
  <c r="Z18878" i="1"/>
  <c r="Z18886" i="1"/>
  <c r="Z18894" i="1"/>
  <c r="Z11436" i="1"/>
  <c r="Z11510" i="1"/>
  <c r="Z11571" i="1"/>
  <c r="Z11628" i="1"/>
  <c r="Z11689" i="1"/>
  <c r="Z11746" i="1"/>
  <c r="Z11803" i="1"/>
  <c r="Z11864" i="1"/>
  <c r="Z11920" i="1"/>
  <c r="Z11958" i="1"/>
  <c r="Z11994" i="1"/>
  <c r="Z12022" i="1"/>
  <c r="Z12054" i="1"/>
  <c r="Z12083" i="1"/>
  <c r="Z12112" i="1"/>
  <c r="Z12139" i="1"/>
  <c r="Z12164" i="1"/>
  <c r="Z12192" i="1"/>
  <c r="Z12217" i="1"/>
  <c r="Z12242" i="1"/>
  <c r="Z12267" i="1"/>
  <c r="Z12292" i="1"/>
  <c r="Z12320" i="1"/>
  <c r="Z12345" i="1"/>
  <c r="Z12370" i="1"/>
  <c r="Z12395" i="1"/>
  <c r="Z12420" i="1"/>
  <c r="Z12448" i="1"/>
  <c r="Z12473" i="1"/>
  <c r="Z12498" i="1"/>
  <c r="Z12523" i="1"/>
  <c r="Z12548" i="1"/>
  <c r="Z12576" i="1"/>
  <c r="Z12601" i="1"/>
  <c r="Z12626" i="1"/>
  <c r="Z12651" i="1"/>
  <c r="Z12676" i="1"/>
  <c r="Z12704" i="1"/>
  <c r="Z12724" i="1"/>
  <c r="Z12747" i="1"/>
  <c r="Z12764" i="1"/>
  <c r="Z12787" i="1"/>
  <c r="Z12804" i="1"/>
  <c r="Z12827" i="1"/>
  <c r="Z12850" i="1"/>
  <c r="Z12867" i="1"/>
  <c r="Z12890" i="1"/>
  <c r="Z12907" i="1"/>
  <c r="Z12930" i="1"/>
  <c r="Z12953" i="1"/>
  <c r="Z12970" i="1"/>
  <c r="Z12993" i="1"/>
  <c r="Z13010" i="1"/>
  <c r="Z13033" i="1"/>
  <c r="Z13056" i="1"/>
  <c r="Z13073" i="1"/>
  <c r="Z13096" i="1"/>
  <c r="Z13113" i="1"/>
  <c r="Z13136" i="1"/>
  <c r="Z13154" i="1"/>
  <c r="Z13169" i="1"/>
  <c r="Z13187" i="1"/>
  <c r="Z13202" i="1"/>
  <c r="Z13220" i="1"/>
  <c r="Z13240" i="1"/>
  <c r="Z13254" i="1"/>
  <c r="Z13273" i="1"/>
  <c r="Z13288" i="1"/>
  <c r="Z13306" i="1"/>
  <c r="Z13322" i="1"/>
  <c r="Z13335" i="1"/>
  <c r="Z13351" i="1"/>
  <c r="Z13363" i="1"/>
  <c r="Z13379" i="1"/>
  <c r="Z13395" i="1"/>
  <c r="Z13408" i="1"/>
  <c r="Z13424" i="1"/>
  <c r="Z13436" i="1"/>
  <c r="Z13452" i="1"/>
  <c r="Z13468" i="1"/>
  <c r="Z13481" i="1"/>
  <c r="Z13497" i="1"/>
  <c r="Z13510" i="1"/>
  <c r="Z13526" i="1"/>
  <c r="Z13542" i="1"/>
  <c r="Z13554" i="1"/>
  <c r="Z13570" i="1"/>
  <c r="Z13583" i="1"/>
  <c r="Z13599" i="1"/>
  <c r="Z13615" i="1"/>
  <c r="Z13627" i="1"/>
  <c r="Z13643" i="1"/>
  <c r="Z13656" i="1"/>
  <c r="Z13672" i="1"/>
  <c r="Z13688" i="1"/>
  <c r="Z13700" i="1"/>
  <c r="Z13716" i="1"/>
  <c r="Z13729" i="1"/>
  <c r="Z13745" i="1"/>
  <c r="Z13761" i="1"/>
  <c r="Z13774" i="1"/>
  <c r="Z13790" i="1"/>
  <c r="Z13802" i="1"/>
  <c r="Z13818" i="1"/>
  <c r="Z13832" i="1"/>
  <c r="Z13843" i="1"/>
  <c r="Z13857" i="1"/>
  <c r="Z13868" i="1"/>
  <c r="Z13882" i="1"/>
  <c r="Z13896" i="1"/>
  <c r="Z13907" i="1"/>
  <c r="Z13921" i="1"/>
  <c r="Z13932" i="1"/>
  <c r="Z13946" i="1"/>
  <c r="Z13960" i="1"/>
  <c r="Z13971" i="1"/>
  <c r="Z13985" i="1"/>
  <c r="Z13996" i="1"/>
  <c r="Z14010" i="1"/>
  <c r="Z14024" i="1"/>
  <c r="Z14035" i="1"/>
  <c r="Z14049" i="1"/>
  <c r="Z14060" i="1"/>
  <c r="Z14074" i="1"/>
  <c r="Z14088" i="1"/>
  <c r="Z14099" i="1"/>
  <c r="Z14113" i="1"/>
  <c r="Z14124" i="1"/>
  <c r="Z14138" i="1"/>
  <c r="Z14152" i="1"/>
  <c r="Z14163" i="1"/>
  <c r="Z14177" i="1"/>
  <c r="Z14188" i="1"/>
  <c r="Z14202" i="1"/>
  <c r="Z14216" i="1"/>
  <c r="Z14227" i="1"/>
  <c r="Z14241" i="1"/>
  <c r="Z14252" i="1"/>
  <c r="Z14266" i="1"/>
  <c r="Z14280" i="1"/>
  <c r="Z14291" i="1"/>
  <c r="Z14305" i="1"/>
  <c r="Z14316" i="1"/>
  <c r="Z14330" i="1"/>
  <c r="Z14344" i="1"/>
  <c r="Z14355" i="1"/>
  <c r="Z14369" i="1"/>
  <c r="Z14380" i="1"/>
  <c r="Z14394" i="1"/>
  <c r="Z14408" i="1"/>
  <c r="Z14419" i="1"/>
  <c r="Z14433" i="1"/>
  <c r="Z14444" i="1"/>
  <c r="Z14458" i="1"/>
  <c r="Z14472" i="1"/>
  <c r="Z14483" i="1"/>
  <c r="Z14497" i="1"/>
  <c r="Z14508" i="1"/>
  <c r="Z14522" i="1"/>
  <c r="Z14536" i="1"/>
  <c r="Z14547" i="1"/>
  <c r="Z14561" i="1"/>
  <c r="Z14572" i="1"/>
  <c r="Z14586" i="1"/>
  <c r="Z14600" i="1"/>
  <c r="Z14611" i="1"/>
  <c r="Z14625" i="1"/>
  <c r="Z14636" i="1"/>
  <c r="Z14650" i="1"/>
  <c r="Z14664" i="1"/>
  <c r="Z14675" i="1"/>
  <c r="Z14689" i="1"/>
  <c r="Z14700" i="1"/>
  <c r="Z14714" i="1"/>
  <c r="Z14728" i="1"/>
  <c r="Z14739" i="1"/>
  <c r="Z14753" i="1"/>
  <c r="Z14764" i="1"/>
  <c r="Z14778" i="1"/>
  <c r="Z14792" i="1"/>
  <c r="Z14803" i="1"/>
  <c r="Z14817" i="1"/>
  <c r="Z14828" i="1"/>
  <c r="Z14842" i="1"/>
  <c r="Z14856" i="1"/>
  <c r="Z14867" i="1"/>
  <c r="Z14881" i="1"/>
  <c r="Z14892" i="1"/>
  <c r="Z14906" i="1"/>
  <c r="Z14920" i="1"/>
  <c r="Z14931" i="1"/>
  <c r="Z14945" i="1"/>
  <c r="Z14956" i="1"/>
  <c r="Z14970" i="1"/>
  <c r="Z14984" i="1"/>
  <c r="Z14995" i="1"/>
  <c r="Z15009" i="1"/>
  <c r="Z15020" i="1"/>
  <c r="Z15034" i="1"/>
  <c r="Z15048" i="1"/>
  <c r="Z15059" i="1"/>
  <c r="Z15073" i="1"/>
  <c r="Z15084" i="1"/>
  <c r="Z15098" i="1"/>
  <c r="Z15112" i="1"/>
  <c r="Z15123" i="1"/>
  <c r="Z15137" i="1"/>
  <c r="Z15148" i="1"/>
  <c r="Z15162" i="1"/>
  <c r="Z15176" i="1"/>
  <c r="Z15187" i="1"/>
  <c r="Z15201" i="1"/>
  <c r="Z15212" i="1"/>
  <c r="Z15226" i="1"/>
  <c r="Z15240" i="1"/>
  <c r="Z15251" i="1"/>
  <c r="Z15265" i="1"/>
  <c r="Z15276" i="1"/>
  <c r="Z15290" i="1"/>
  <c r="Z15304" i="1"/>
  <c r="Z15315" i="1"/>
  <c r="Z15329" i="1"/>
  <c r="Z15340" i="1"/>
  <c r="Z15354" i="1"/>
  <c r="Z15368" i="1"/>
  <c r="Z15379" i="1"/>
  <c r="Z15393" i="1"/>
  <c r="Z15404" i="1"/>
  <c r="Z15417" i="1"/>
  <c r="Z15427" i="1"/>
  <c r="Z15439" i="1"/>
  <c r="Z15449" i="1"/>
  <c r="Z15459" i="1"/>
  <c r="Z15471" i="1"/>
  <c r="Z15481" i="1"/>
  <c r="Z15491" i="1"/>
  <c r="Z15503" i="1"/>
  <c r="Z15513" i="1"/>
  <c r="Z15523" i="1"/>
  <c r="Z15535" i="1"/>
  <c r="Z15545" i="1"/>
  <c r="Z15555" i="1"/>
  <c r="Z15566" i="1"/>
  <c r="Z15575" i="1"/>
  <c r="Z15584" i="1"/>
  <c r="Z15593" i="1"/>
  <c r="Z15602" i="1"/>
  <c r="Z15611" i="1"/>
  <c r="Z15620" i="1"/>
  <c r="Z15630" i="1"/>
  <c r="Z15639" i="1"/>
  <c r="Z15648" i="1"/>
  <c r="Z15657" i="1"/>
  <c r="Z15666" i="1"/>
  <c r="Z15675" i="1"/>
  <c r="Z15684" i="1"/>
  <c r="Z15694" i="1"/>
  <c r="Z15703" i="1"/>
  <c r="Z15712" i="1"/>
  <c r="Z15721" i="1"/>
  <c r="Z15730" i="1"/>
  <c r="Z15739" i="1"/>
  <c r="Z15748" i="1"/>
  <c r="Z15758" i="1"/>
  <c r="Z15767" i="1"/>
  <c r="Z15776" i="1"/>
  <c r="Z15785" i="1"/>
  <c r="Z15794" i="1"/>
  <c r="Z15803" i="1"/>
  <c r="Z15812" i="1"/>
  <c r="Z15822" i="1"/>
  <c r="Z15831" i="1"/>
  <c r="Z15840" i="1"/>
  <c r="Z15849" i="1"/>
  <c r="Z15858" i="1"/>
  <c r="Z15867" i="1"/>
  <c r="Z15876" i="1"/>
  <c r="Z15886" i="1"/>
  <c r="Z15895" i="1"/>
  <c r="Z15904" i="1"/>
  <c r="Z15913" i="1"/>
  <c r="Z15922" i="1"/>
  <c r="Z15931" i="1"/>
  <c r="Z15940" i="1"/>
  <c r="Z15950" i="1"/>
  <c r="Z15959" i="1"/>
  <c r="Z15968" i="1"/>
  <c r="Z15977" i="1"/>
  <c r="Z15986" i="1"/>
  <c r="Z15995" i="1"/>
  <c r="Z16004" i="1"/>
  <c r="Z16014" i="1"/>
  <c r="Z16023" i="1"/>
  <c r="Z16032" i="1"/>
  <c r="Z16041" i="1"/>
  <c r="Z16050" i="1"/>
  <c r="Z16059" i="1"/>
  <c r="Z16068" i="1"/>
  <c r="Z16078" i="1"/>
  <c r="Z16087" i="1"/>
  <c r="Z16096" i="1"/>
  <c r="Z16105" i="1"/>
  <c r="Z16114" i="1"/>
  <c r="Z16123" i="1"/>
  <c r="Z16132" i="1"/>
  <c r="Z16142" i="1"/>
  <c r="Z16151" i="1"/>
  <c r="Z16160" i="1"/>
  <c r="Z16169" i="1"/>
  <c r="Z16178" i="1"/>
  <c r="Z16187" i="1"/>
  <c r="Z16196" i="1"/>
  <c r="Z16206" i="1"/>
  <c r="Z16215" i="1"/>
  <c r="Z16224" i="1"/>
  <c r="Z16233" i="1"/>
  <c r="Z16242" i="1"/>
  <c r="Z16251" i="1"/>
  <c r="Z16260" i="1"/>
  <c r="Z16270" i="1"/>
  <c r="Z16279" i="1"/>
  <c r="Z16288" i="1"/>
  <c r="Z16297" i="1"/>
  <c r="Z16306" i="1"/>
  <c r="Z16315" i="1"/>
  <c r="Z16324" i="1"/>
  <c r="Z16334" i="1"/>
  <c r="Z16343" i="1"/>
  <c r="Z16352" i="1"/>
  <c r="Z16361" i="1"/>
  <c r="Z16370" i="1"/>
  <c r="Z16379" i="1"/>
  <c r="Z16388" i="1"/>
  <c r="Z16398" i="1"/>
  <c r="Z16407" i="1"/>
  <c r="Z16416" i="1"/>
  <c r="Z16425" i="1"/>
  <c r="Z16434" i="1"/>
  <c r="Z16443" i="1"/>
  <c r="Z16452" i="1"/>
  <c r="Z16462" i="1"/>
  <c r="Z16471" i="1"/>
  <c r="Z16479" i="1"/>
  <c r="Z16487" i="1"/>
  <c r="Z16495" i="1"/>
  <c r="Z16503" i="1"/>
  <c r="Z16511" i="1"/>
  <c r="Z16519" i="1"/>
  <c r="Z16527" i="1"/>
  <c r="Z16535" i="1"/>
  <c r="Z16543" i="1"/>
  <c r="Z16551" i="1"/>
  <c r="Z16559" i="1"/>
  <c r="Z16567" i="1"/>
  <c r="Z16575" i="1"/>
  <c r="Z16583" i="1"/>
  <c r="Z16591" i="1"/>
  <c r="Z16599" i="1"/>
  <c r="Z16607" i="1"/>
  <c r="Z16615" i="1"/>
  <c r="Z16623" i="1"/>
  <c r="Z16631" i="1"/>
  <c r="Z16639" i="1"/>
  <c r="Z16647" i="1"/>
  <c r="Z16655" i="1"/>
  <c r="Z16663" i="1"/>
  <c r="Z16671" i="1"/>
  <c r="Z16679" i="1"/>
  <c r="Z16687" i="1"/>
  <c r="Z16695" i="1"/>
  <c r="Z16703" i="1"/>
  <c r="Z16711" i="1"/>
  <c r="Z16719" i="1"/>
  <c r="Z16727" i="1"/>
  <c r="Z16735" i="1"/>
  <c r="Z16743" i="1"/>
  <c r="Z16751" i="1"/>
  <c r="Z16759" i="1"/>
  <c r="Z16767" i="1"/>
  <c r="Z16775" i="1"/>
  <c r="Z16783" i="1"/>
  <c r="Z16791" i="1"/>
  <c r="Z16799" i="1"/>
  <c r="Z16807" i="1"/>
  <c r="Z16815" i="1"/>
  <c r="Z16823" i="1"/>
  <c r="Z16831" i="1"/>
  <c r="Z16839" i="1"/>
  <c r="Z16847" i="1"/>
  <c r="Z16855" i="1"/>
  <c r="Z16863" i="1"/>
  <c r="Z16871" i="1"/>
  <c r="Z16879" i="1"/>
  <c r="Z16887" i="1"/>
  <c r="Z16895" i="1"/>
  <c r="Z16903" i="1"/>
  <c r="Z16911" i="1"/>
  <c r="Z16919" i="1"/>
  <c r="Z16927" i="1"/>
  <c r="Z16935" i="1"/>
  <c r="Z16943" i="1"/>
  <c r="Z16951" i="1"/>
  <c r="Z16959" i="1"/>
  <c r="Z16967" i="1"/>
  <c r="Z16975" i="1"/>
  <c r="Z16983" i="1"/>
  <c r="Z16991" i="1"/>
  <c r="Z16999" i="1"/>
  <c r="Z17007" i="1"/>
  <c r="Z17015" i="1"/>
  <c r="Z17023" i="1"/>
  <c r="Z17031" i="1"/>
  <c r="Z17039" i="1"/>
  <c r="Z17047" i="1"/>
  <c r="Z17055" i="1"/>
  <c r="Z17063" i="1"/>
  <c r="Z17071" i="1"/>
  <c r="Z17079" i="1"/>
  <c r="Z17087" i="1"/>
  <c r="Z17095" i="1"/>
  <c r="Z17103" i="1"/>
  <c r="Z17111" i="1"/>
  <c r="Z17119" i="1"/>
  <c r="Z17127" i="1"/>
  <c r="Z17135" i="1"/>
  <c r="Z17143" i="1"/>
  <c r="Z17151" i="1"/>
  <c r="Z17159" i="1"/>
  <c r="Z17167" i="1"/>
  <c r="Z17175" i="1"/>
  <c r="Z17183" i="1"/>
  <c r="Z17191" i="1"/>
  <c r="Z17199" i="1"/>
  <c r="Z17207" i="1"/>
  <c r="Z17215" i="1"/>
  <c r="Z17223" i="1"/>
  <c r="Z17231" i="1"/>
  <c r="Z17239" i="1"/>
  <c r="Z17247" i="1"/>
  <c r="Z17255" i="1"/>
  <c r="Z17263" i="1"/>
  <c r="Z17271" i="1"/>
  <c r="Z17279" i="1"/>
  <c r="Z17287" i="1"/>
  <c r="Z17295" i="1"/>
  <c r="Z17303" i="1"/>
  <c r="Z17311" i="1"/>
  <c r="Z17319" i="1"/>
  <c r="Z17327" i="1"/>
  <c r="Z17335" i="1"/>
  <c r="Z17343" i="1"/>
  <c r="Z17351" i="1"/>
  <c r="Z17359" i="1"/>
  <c r="Z17367" i="1"/>
  <c r="Z17375" i="1"/>
  <c r="Z17383" i="1"/>
  <c r="Z17391" i="1"/>
  <c r="Z17399" i="1"/>
  <c r="Z17407" i="1"/>
  <c r="Z17415" i="1"/>
  <c r="Z17423" i="1"/>
  <c r="Z17431" i="1"/>
  <c r="Z17439" i="1"/>
  <c r="Z17447" i="1"/>
  <c r="Z17455" i="1"/>
  <c r="Z17463" i="1"/>
  <c r="Z17471" i="1"/>
  <c r="Z17479" i="1"/>
  <c r="Z17487" i="1"/>
  <c r="Z17495" i="1"/>
  <c r="Z17503" i="1"/>
  <c r="Z17511" i="1"/>
  <c r="Z17519" i="1"/>
  <c r="Z17527" i="1"/>
  <c r="Z17535" i="1"/>
  <c r="Z17543" i="1"/>
  <c r="Z17551" i="1"/>
  <c r="Z17559" i="1"/>
  <c r="Z17567" i="1"/>
  <c r="Z17575" i="1"/>
  <c r="Z17583" i="1"/>
  <c r="Z17591" i="1"/>
  <c r="Z17599" i="1"/>
  <c r="Z17607" i="1"/>
  <c r="Z17615" i="1"/>
  <c r="Z17623" i="1"/>
  <c r="Z17631" i="1"/>
  <c r="Z17639" i="1"/>
  <c r="Z17647" i="1"/>
  <c r="Z17655" i="1"/>
  <c r="Z17663" i="1"/>
  <c r="Z17671" i="1"/>
  <c r="Z17679" i="1"/>
  <c r="Z17687" i="1"/>
  <c r="Z17695" i="1"/>
  <c r="Z17703" i="1"/>
  <c r="Z17711" i="1"/>
  <c r="Z17719" i="1"/>
  <c r="Z17727" i="1"/>
  <c r="Z17735" i="1"/>
  <c r="Z17743" i="1"/>
  <c r="Z17751" i="1"/>
  <c r="Z17759" i="1"/>
  <c r="Z17767" i="1"/>
  <c r="Z17775" i="1"/>
  <c r="Z17783" i="1"/>
  <c r="Z17791" i="1"/>
  <c r="Z17799" i="1"/>
  <c r="Z17807" i="1"/>
  <c r="Z17815" i="1"/>
  <c r="Z17823" i="1"/>
  <c r="Z17831" i="1"/>
  <c r="Z17839" i="1"/>
  <c r="Z17847" i="1"/>
  <c r="Z17855" i="1"/>
  <c r="Z17863" i="1"/>
  <c r="Z17871" i="1"/>
  <c r="Z17879" i="1"/>
  <c r="Z17887" i="1"/>
  <c r="Z17895" i="1"/>
  <c r="Z17903" i="1"/>
  <c r="Z17911" i="1"/>
  <c r="Z17919" i="1"/>
  <c r="Z17927" i="1"/>
  <c r="Z17935" i="1"/>
  <c r="Z17943" i="1"/>
  <c r="Z17951" i="1"/>
  <c r="Z17959" i="1"/>
  <c r="Z17967" i="1"/>
  <c r="Z17975" i="1"/>
  <c r="Z17983" i="1"/>
  <c r="Z11452" i="1"/>
  <c r="Z11525" i="1"/>
  <c r="Z11582" i="1"/>
  <c r="Z11643" i="1"/>
  <c r="Z11700" i="1"/>
  <c r="Z11757" i="1"/>
  <c r="Z11818" i="1"/>
  <c r="Z11875" i="1"/>
  <c r="Z11921" i="1"/>
  <c r="Z11964" i="1"/>
  <c r="Z12003" i="1"/>
  <c r="Z12032" i="1"/>
  <c r="Z12064" i="1"/>
  <c r="Z12092" i="1"/>
  <c r="Z12121" i="1"/>
  <c r="Z12147" i="1"/>
  <c r="Z12172" i="1"/>
  <c r="Z12200" i="1"/>
  <c r="Z12225" i="1"/>
  <c r="Z12250" i="1"/>
  <c r="Z12275" i="1"/>
  <c r="Z12300" i="1"/>
  <c r="Z12328" i="1"/>
  <c r="Z12353" i="1"/>
  <c r="Z12378" i="1"/>
  <c r="Z12403" i="1"/>
  <c r="Z12428" i="1"/>
  <c r="Z12456" i="1"/>
  <c r="Z12481" i="1"/>
  <c r="Z12506" i="1"/>
  <c r="Z12531" i="1"/>
  <c r="Z12556" i="1"/>
  <c r="Z12584" i="1"/>
  <c r="Z12609" i="1"/>
  <c r="Z12634" i="1"/>
  <c r="Z12659" i="1"/>
  <c r="Z12684" i="1"/>
  <c r="Z12708" i="1"/>
  <c r="Z12728" i="1"/>
  <c r="Z12748" i="1"/>
  <c r="Z12768" i="1"/>
  <c r="Z12788" i="1"/>
  <c r="Z12811" i="1"/>
  <c r="Z12828" i="1"/>
  <c r="Z12851" i="1"/>
  <c r="Z12868" i="1"/>
  <c r="Z12891" i="1"/>
  <c r="Z12914" i="1"/>
  <c r="Z12931" i="1"/>
  <c r="Z12954" i="1"/>
  <c r="Z12971" i="1"/>
  <c r="Z12994" i="1"/>
  <c r="Z13017" i="1"/>
  <c r="Z13034" i="1"/>
  <c r="Z13057" i="1"/>
  <c r="Z13074" i="1"/>
  <c r="Z13097" i="1"/>
  <c r="Z13120" i="1"/>
  <c r="Z13137" i="1"/>
  <c r="Z13155" i="1"/>
  <c r="Z13170" i="1"/>
  <c r="Z13188" i="1"/>
  <c r="Z13208" i="1"/>
  <c r="Z13222" i="1"/>
  <c r="Z13241" i="1"/>
  <c r="Z13256" i="1"/>
  <c r="Z13274" i="1"/>
  <c r="Z13292" i="1"/>
  <c r="Z13307" i="1"/>
  <c r="Z13323" i="1"/>
  <c r="Z13336" i="1"/>
  <c r="Z13352" i="1"/>
  <c r="Z13368" i="1"/>
  <c r="Z13380" i="1"/>
  <c r="Z13396" i="1"/>
  <c r="Z13409" i="1"/>
  <c r="Z13425" i="1"/>
  <c r="Z13441" i="1"/>
  <c r="Z13454" i="1"/>
  <c r="Z13470" i="1"/>
  <c r="Z13482" i="1"/>
  <c r="Z13498" i="1"/>
  <c r="Z13514" i="1"/>
  <c r="Z13527" i="1"/>
  <c r="Z13543" i="1"/>
  <c r="Z13555" i="1"/>
  <c r="Z13571" i="1"/>
  <c r="Z13587" i="1"/>
  <c r="Z13600" i="1"/>
  <c r="Z13616" i="1"/>
  <c r="Z13628" i="1"/>
  <c r="Z13644" i="1"/>
  <c r="Z13660" i="1"/>
  <c r="Z13673" i="1"/>
  <c r="Z13689" i="1"/>
  <c r="Z13702" i="1"/>
  <c r="Z13718" i="1"/>
  <c r="Z13734" i="1"/>
  <c r="Z13746" i="1"/>
  <c r="Z13762" i="1"/>
  <c r="Z13775" i="1"/>
  <c r="Z13791" i="1"/>
  <c r="Z13807" i="1"/>
  <c r="Z13819" i="1"/>
  <c r="Z13833" i="1"/>
  <c r="Z13844" i="1"/>
  <c r="Z13858" i="1"/>
  <c r="Z13872" i="1"/>
  <c r="Z13883" i="1"/>
  <c r="Z13897" i="1"/>
  <c r="Z13908" i="1"/>
  <c r="Z13922" i="1"/>
  <c r="Z13936" i="1"/>
  <c r="Z13947" i="1"/>
  <c r="Z13961" i="1"/>
  <c r="Z13972" i="1"/>
  <c r="Z13986" i="1"/>
  <c r="Z14000" i="1"/>
  <c r="Z14011" i="1"/>
  <c r="Z14025" i="1"/>
  <c r="Z14036" i="1"/>
  <c r="Z14050" i="1"/>
  <c r="Z14064" i="1"/>
  <c r="Z14075" i="1"/>
  <c r="Z14089" i="1"/>
  <c r="Z14100" i="1"/>
  <c r="Z14114" i="1"/>
  <c r="Z14128" i="1"/>
  <c r="Z14139" i="1"/>
  <c r="Z14153" i="1"/>
  <c r="Z14164" i="1"/>
  <c r="Z14178" i="1"/>
  <c r="Z14192" i="1"/>
  <c r="Z14203" i="1"/>
  <c r="Z14217" i="1"/>
  <c r="Z14228" i="1"/>
  <c r="Z14242" i="1"/>
  <c r="Z14256" i="1"/>
  <c r="Z14267" i="1"/>
  <c r="Z14281" i="1"/>
  <c r="Z14292" i="1"/>
  <c r="Z14306" i="1"/>
  <c r="Z14320" i="1"/>
  <c r="Z14331" i="1"/>
  <c r="Z14345" i="1"/>
  <c r="Z14356" i="1"/>
  <c r="Z14370" i="1"/>
  <c r="Z14384" i="1"/>
  <c r="Z14395" i="1"/>
  <c r="Z14409" i="1"/>
  <c r="Z14420" i="1"/>
  <c r="Z14434" i="1"/>
  <c r="Z14448" i="1"/>
  <c r="Z14459" i="1"/>
  <c r="Z14473" i="1"/>
  <c r="Z14484" i="1"/>
  <c r="Z14498" i="1"/>
  <c r="Z14512" i="1"/>
  <c r="Z14523" i="1"/>
  <c r="Z14537" i="1"/>
  <c r="Z14548" i="1"/>
  <c r="Z14562" i="1"/>
  <c r="Z14576" i="1"/>
  <c r="Z14587" i="1"/>
  <c r="Z14601" i="1"/>
  <c r="Z14612" i="1"/>
  <c r="Z14626" i="1"/>
  <c r="Z14640" i="1"/>
  <c r="Z14651" i="1"/>
  <c r="Z14665" i="1"/>
  <c r="Z14676" i="1"/>
  <c r="Z14690" i="1"/>
  <c r="Z14704" i="1"/>
  <c r="Z14715" i="1"/>
  <c r="Z14729" i="1"/>
  <c r="Z14740" i="1"/>
  <c r="Z14754" i="1"/>
  <c r="Z14768" i="1"/>
  <c r="Z14779" i="1"/>
  <c r="Z14793" i="1"/>
  <c r="Z14804" i="1"/>
  <c r="Z14818" i="1"/>
  <c r="Z14832" i="1"/>
  <c r="Z14843" i="1"/>
  <c r="Z14857" i="1"/>
  <c r="Z14868" i="1"/>
  <c r="Z14882" i="1"/>
  <c r="Z14896" i="1"/>
  <c r="Z14907" i="1"/>
  <c r="Z14921" i="1"/>
  <c r="Z14932" i="1"/>
  <c r="Z14946" i="1"/>
  <c r="Z14960" i="1"/>
  <c r="Z14971" i="1"/>
  <c r="Z14985" i="1"/>
  <c r="Z14996" i="1"/>
  <c r="Z15010" i="1"/>
  <c r="Z15024" i="1"/>
  <c r="Z15035" i="1"/>
  <c r="Z15049" i="1"/>
  <c r="Z15060" i="1"/>
  <c r="Z15074" i="1"/>
  <c r="Z15088" i="1"/>
  <c r="Z15099" i="1"/>
  <c r="Z15113" i="1"/>
  <c r="Z15124" i="1"/>
  <c r="Z15138" i="1"/>
  <c r="Z15152" i="1"/>
  <c r="Z15163" i="1"/>
  <c r="Z15177" i="1"/>
  <c r="Z15188" i="1"/>
  <c r="Z15202" i="1"/>
  <c r="Z15216" i="1"/>
  <c r="Z15227" i="1"/>
  <c r="Z15241" i="1"/>
  <c r="Z15252" i="1"/>
  <c r="Z15266" i="1"/>
  <c r="Z15280" i="1"/>
  <c r="Z15291" i="1"/>
  <c r="Z15305" i="1"/>
  <c r="Z15316" i="1"/>
  <c r="Z15330" i="1"/>
  <c r="Z15344" i="1"/>
  <c r="Z15355" i="1"/>
  <c r="Z15369" i="1"/>
  <c r="Z15380" i="1"/>
  <c r="Z15394" i="1"/>
  <c r="Z15408" i="1"/>
  <c r="Z15418" i="1"/>
  <c r="Z15428" i="1"/>
  <c r="Z15440" i="1"/>
  <c r="Z15450" i="1"/>
  <c r="Z15460" i="1"/>
  <c r="Z15472" i="1"/>
  <c r="Z15482" i="1"/>
  <c r="Z15492" i="1"/>
  <c r="Z15504" i="1"/>
  <c r="Z15514" i="1"/>
  <c r="Z15524" i="1"/>
  <c r="Z15536" i="1"/>
  <c r="Z15546" i="1"/>
  <c r="Z15556" i="1"/>
  <c r="Z15567" i="1"/>
  <c r="Z15576" i="1"/>
  <c r="Z15585" i="1"/>
  <c r="Z15594" i="1"/>
  <c r="Z15603" i="1"/>
  <c r="Z15612" i="1"/>
  <c r="Z15622" i="1"/>
  <c r="Z15631" i="1"/>
  <c r="Z15640" i="1"/>
  <c r="Z15649" i="1"/>
  <c r="Z15658" i="1"/>
  <c r="Z15667" i="1"/>
  <c r="Z15676" i="1"/>
  <c r="Z15686" i="1"/>
  <c r="Z15695" i="1"/>
  <c r="Z15704" i="1"/>
  <c r="Z15713" i="1"/>
  <c r="Z15722" i="1"/>
  <c r="Z15731" i="1"/>
  <c r="Z15740" i="1"/>
  <c r="Z15750" i="1"/>
  <c r="Z15759" i="1"/>
  <c r="Z15768" i="1"/>
  <c r="Z15777" i="1"/>
  <c r="Z15786" i="1"/>
  <c r="Z15795" i="1"/>
  <c r="Z15804" i="1"/>
  <c r="Z15814" i="1"/>
  <c r="Z15823" i="1"/>
  <c r="Z15832" i="1"/>
  <c r="Z15841" i="1"/>
  <c r="Z15850" i="1"/>
  <c r="Z15859" i="1"/>
  <c r="Z15868" i="1"/>
  <c r="Z15878" i="1"/>
  <c r="Z15887" i="1"/>
  <c r="Z15896" i="1"/>
  <c r="Z15905" i="1"/>
  <c r="Z15914" i="1"/>
  <c r="Z15923" i="1"/>
  <c r="Z15932" i="1"/>
  <c r="Z15942" i="1"/>
  <c r="Z15951" i="1"/>
  <c r="Z15960" i="1"/>
  <c r="Z15969" i="1"/>
  <c r="Z15978" i="1"/>
  <c r="Z15987" i="1"/>
  <c r="Z15996" i="1"/>
  <c r="Z16006" i="1"/>
  <c r="Z16015" i="1"/>
  <c r="Z16024" i="1"/>
  <c r="Z16033" i="1"/>
  <c r="Z16042" i="1"/>
  <c r="Z16051" i="1"/>
  <c r="Z16060" i="1"/>
  <c r="Z16070" i="1"/>
  <c r="Z16079" i="1"/>
  <c r="Z16088" i="1"/>
  <c r="Z16097" i="1"/>
  <c r="Z16106" i="1"/>
  <c r="Z16115" i="1"/>
  <c r="Z16124" i="1"/>
  <c r="Z16134" i="1"/>
  <c r="Z16143" i="1"/>
  <c r="Z16152" i="1"/>
  <c r="Z16161" i="1"/>
  <c r="Z16170" i="1"/>
  <c r="Z16179" i="1"/>
  <c r="Z16188" i="1"/>
  <c r="Z16198" i="1"/>
  <c r="Z16207" i="1"/>
  <c r="Z16216" i="1"/>
  <c r="Z16225" i="1"/>
  <c r="Z16234" i="1"/>
  <c r="Z16243" i="1"/>
  <c r="Z16252" i="1"/>
  <c r="Z16262" i="1"/>
  <c r="Z16271" i="1"/>
  <c r="Z16280" i="1"/>
  <c r="Z16289" i="1"/>
  <c r="Z16298" i="1"/>
  <c r="Z16307" i="1"/>
  <c r="Z16316" i="1"/>
  <c r="Z16326" i="1"/>
  <c r="Z16335" i="1"/>
  <c r="Z16344" i="1"/>
  <c r="Z16353" i="1"/>
  <c r="Z16362" i="1"/>
  <c r="Z16371" i="1"/>
  <c r="Z16380" i="1"/>
  <c r="Z16390" i="1"/>
  <c r="Z16399" i="1"/>
  <c r="Z16408" i="1"/>
  <c r="Z16417" i="1"/>
  <c r="Z16426" i="1"/>
  <c r="Z16435" i="1"/>
  <c r="Z16444" i="1"/>
  <c r="Z16454" i="1"/>
  <c r="Z16463" i="1"/>
  <c r="Z16472" i="1"/>
  <c r="Z16480" i="1"/>
  <c r="Z16488" i="1"/>
  <c r="Z16496" i="1"/>
  <c r="Z16504" i="1"/>
  <c r="Z16512" i="1"/>
  <c r="Z16520" i="1"/>
  <c r="Z16528" i="1"/>
  <c r="Z16536" i="1"/>
  <c r="Z16544" i="1"/>
  <c r="Z16552" i="1"/>
  <c r="Z16560" i="1"/>
  <c r="Z16568" i="1"/>
  <c r="Z16576" i="1"/>
  <c r="Z16584" i="1"/>
  <c r="Z16592" i="1"/>
  <c r="Z16600" i="1"/>
  <c r="Z16608" i="1"/>
  <c r="Z16616" i="1"/>
  <c r="Z16624" i="1"/>
  <c r="Z16632" i="1"/>
  <c r="Z16640" i="1"/>
  <c r="Z16648" i="1"/>
  <c r="Z16656" i="1"/>
  <c r="Z16664" i="1"/>
  <c r="Z16672" i="1"/>
  <c r="Z16680" i="1"/>
  <c r="Z16688" i="1"/>
  <c r="Z16696" i="1"/>
  <c r="Z16704" i="1"/>
  <c r="Z16712" i="1"/>
  <c r="Z16720" i="1"/>
  <c r="Z16728" i="1"/>
  <c r="Z16736" i="1"/>
  <c r="Z16744" i="1"/>
  <c r="Z16752" i="1"/>
  <c r="Z16760" i="1"/>
  <c r="Z16768" i="1"/>
  <c r="Z16776" i="1"/>
  <c r="Z16784" i="1"/>
  <c r="Z16792" i="1"/>
  <c r="Z16800" i="1"/>
  <c r="Z16808" i="1"/>
  <c r="Z16816" i="1"/>
  <c r="Z16824" i="1"/>
  <c r="Z16832" i="1"/>
  <c r="Z16840" i="1"/>
  <c r="Z16848" i="1"/>
  <c r="Z16856" i="1"/>
  <c r="Z16864" i="1"/>
  <c r="Z16872" i="1"/>
  <c r="Z16880" i="1"/>
  <c r="Z16888" i="1"/>
  <c r="Z16896" i="1"/>
  <c r="Z16904" i="1"/>
  <c r="Z16912" i="1"/>
  <c r="Z16920" i="1"/>
  <c r="Z16928" i="1"/>
  <c r="Z16936" i="1"/>
  <c r="Z16944" i="1"/>
  <c r="Z16952" i="1"/>
  <c r="Z16960" i="1"/>
  <c r="Z16968" i="1"/>
  <c r="Z16976" i="1"/>
  <c r="Z16984" i="1"/>
  <c r="Z16992" i="1"/>
  <c r="Z17000" i="1"/>
  <c r="Z17008" i="1"/>
  <c r="Z17016" i="1"/>
  <c r="Z17024" i="1"/>
  <c r="Z17032" i="1"/>
  <c r="Z17040" i="1"/>
  <c r="Z17048" i="1"/>
  <c r="Z17056" i="1"/>
  <c r="Z17064" i="1"/>
  <c r="Z17072" i="1"/>
  <c r="Z17080" i="1"/>
  <c r="Z17088" i="1"/>
  <c r="Z17096" i="1"/>
  <c r="Z17104" i="1"/>
  <c r="Z17112" i="1"/>
  <c r="Z17120" i="1"/>
  <c r="Z17128" i="1"/>
  <c r="Z17136" i="1"/>
  <c r="Z17144" i="1"/>
  <c r="Z17152" i="1"/>
  <c r="Z17160" i="1"/>
  <c r="Z17168" i="1"/>
  <c r="Z17176" i="1"/>
  <c r="Z17184" i="1"/>
  <c r="Z17192" i="1"/>
  <c r="Z17200" i="1"/>
  <c r="Z17208" i="1"/>
  <c r="Z17216" i="1"/>
  <c r="Z17224" i="1"/>
  <c r="Z17232" i="1"/>
  <c r="Z17240" i="1"/>
  <c r="Z17248" i="1"/>
  <c r="Z17256" i="1"/>
  <c r="Z17264" i="1"/>
  <c r="Z17272" i="1"/>
  <c r="Z17280" i="1"/>
  <c r="Z17288" i="1"/>
  <c r="Z17296" i="1"/>
  <c r="Z17304" i="1"/>
  <c r="Z17312" i="1"/>
  <c r="Z17320" i="1"/>
  <c r="Z17328" i="1"/>
  <c r="Z17336" i="1"/>
  <c r="Z17344" i="1"/>
  <c r="Z17352" i="1"/>
  <c r="Z17360" i="1"/>
  <c r="Z17368" i="1"/>
  <c r="Z17376" i="1"/>
  <c r="Z17384" i="1"/>
  <c r="Z17392" i="1"/>
  <c r="Z17400" i="1"/>
  <c r="Z17408" i="1"/>
  <c r="Z17416" i="1"/>
  <c r="Z17424" i="1"/>
  <c r="Z17432" i="1"/>
  <c r="Z17440" i="1"/>
  <c r="Z17448" i="1"/>
  <c r="Z17456" i="1"/>
  <c r="Z17464" i="1"/>
  <c r="Z17472" i="1"/>
  <c r="Z17480" i="1"/>
  <c r="Z17488" i="1"/>
  <c r="Z17496" i="1"/>
  <c r="Z17504" i="1"/>
  <c r="Z17512" i="1"/>
  <c r="Z17520" i="1"/>
  <c r="Z17528" i="1"/>
  <c r="Z17536" i="1"/>
  <c r="Z17544" i="1"/>
  <c r="Z17552" i="1"/>
  <c r="Z17560" i="1"/>
  <c r="Z17568" i="1"/>
  <c r="Z17576" i="1"/>
  <c r="Z17584" i="1"/>
  <c r="Z17592" i="1"/>
  <c r="Z17600" i="1"/>
  <c r="Z17608" i="1"/>
  <c r="Z17616" i="1"/>
  <c r="Z17624" i="1"/>
  <c r="Z17632" i="1"/>
  <c r="Z17640" i="1"/>
  <c r="Z17648" i="1"/>
  <c r="Z17656" i="1"/>
  <c r="Z17664" i="1"/>
  <c r="Z17672" i="1"/>
  <c r="Z17680" i="1"/>
  <c r="Z17688" i="1"/>
  <c r="Z17696" i="1"/>
  <c r="Z17704" i="1"/>
  <c r="Z17712" i="1"/>
  <c r="Z17720" i="1"/>
  <c r="Z17728" i="1"/>
  <c r="Z17736" i="1"/>
  <c r="Z17744" i="1"/>
  <c r="Z17752" i="1"/>
  <c r="Z17760" i="1"/>
  <c r="Z17768" i="1"/>
  <c r="Z17776" i="1"/>
  <c r="Z17784" i="1"/>
  <c r="Z17792" i="1"/>
  <c r="Z17800" i="1"/>
  <c r="Z17808" i="1"/>
  <c r="Z17816" i="1"/>
  <c r="Z17824" i="1"/>
  <c r="Z11465" i="1"/>
  <c r="Z11526" i="1"/>
  <c r="Z11584" i="1"/>
  <c r="Z11644" i="1"/>
  <c r="Z11701" i="1"/>
  <c r="Z11762" i="1"/>
  <c r="Z11819" i="1"/>
  <c r="Z11876" i="1"/>
  <c r="Z11930" i="1"/>
  <c r="Z11965" i="1"/>
  <c r="Z12004" i="1"/>
  <c r="Z12036" i="1"/>
  <c r="Z12065" i="1"/>
  <c r="Z12093" i="1"/>
  <c r="Z12122" i="1"/>
  <c r="Z12148" i="1"/>
  <c r="Z12176" i="1"/>
  <c r="Z12201" i="1"/>
  <c r="Z12226" i="1"/>
  <c r="Z12251" i="1"/>
  <c r="Z12276" i="1"/>
  <c r="Z12304" i="1"/>
  <c r="Z12329" i="1"/>
  <c r="Z12354" i="1"/>
  <c r="Z12379" i="1"/>
  <c r="Z12404" i="1"/>
  <c r="Z12432" i="1"/>
  <c r="Z12457" i="1"/>
  <c r="Z12482" i="1"/>
  <c r="Z12507" i="1"/>
  <c r="Z12532" i="1"/>
  <c r="Z12560" i="1"/>
  <c r="Z12585" i="1"/>
  <c r="Z12610" i="1"/>
  <c r="Z12635" i="1"/>
  <c r="Z12660" i="1"/>
  <c r="Z12688" i="1"/>
  <c r="Z12712" i="1"/>
  <c r="Z12729" i="1"/>
  <c r="Z12752" i="1"/>
  <c r="Z12772" i="1"/>
  <c r="Z12792" i="1"/>
  <c r="Z12812" i="1"/>
  <c r="Z12832" i="1"/>
  <c r="Z12852" i="1"/>
  <c r="Z12875" i="1"/>
  <c r="Z12892" i="1"/>
  <c r="Z12915" i="1"/>
  <c r="Z12932" i="1"/>
  <c r="Z12955" i="1"/>
  <c r="Z12978" i="1"/>
  <c r="Z12995" i="1"/>
  <c r="Z13018" i="1"/>
  <c r="Z13035" i="1"/>
  <c r="Z13058" i="1"/>
  <c r="Z13081" i="1"/>
  <c r="Z13098" i="1"/>
  <c r="Z13121" i="1"/>
  <c r="Z13138" i="1"/>
  <c r="Z13156" i="1"/>
  <c r="Z13176" i="1"/>
  <c r="Z13190" i="1"/>
  <c r="Z13209" i="1"/>
  <c r="Z13224" i="1"/>
  <c r="Z13242" i="1"/>
  <c r="Z13260" i="1"/>
  <c r="Z13275" i="1"/>
  <c r="Z13294" i="1"/>
  <c r="Z13308" i="1"/>
  <c r="Z13324" i="1"/>
  <c r="Z13340" i="1"/>
  <c r="Z13353" i="1"/>
  <c r="Z13369" i="1"/>
  <c r="Z13382" i="1"/>
  <c r="Z13398" i="1"/>
  <c r="Z13414" i="1"/>
  <c r="Z13426" i="1"/>
  <c r="Z13442" i="1"/>
  <c r="Z13455" i="1"/>
  <c r="Z13471" i="1"/>
  <c r="Z13487" i="1"/>
  <c r="Z13499" i="1"/>
  <c r="Z13515" i="1"/>
  <c r="Z13528" i="1"/>
  <c r="Z13544" i="1"/>
  <c r="Z13560" i="1"/>
  <c r="Z13572" i="1"/>
  <c r="Z13588" i="1"/>
  <c r="Z13601" i="1"/>
  <c r="Z13617" i="1"/>
  <c r="Z13633" i="1"/>
  <c r="Z13646" i="1"/>
  <c r="Z13662" i="1"/>
  <c r="Z13674" i="1"/>
  <c r="Z13690" i="1"/>
  <c r="Z13706" i="1"/>
  <c r="Z13719" i="1"/>
  <c r="Z13735" i="1"/>
  <c r="Z13747" i="1"/>
  <c r="Z13763" i="1"/>
  <c r="Z13779" i="1"/>
  <c r="Z13792" i="1"/>
  <c r="Z13808" i="1"/>
  <c r="Z13820" i="1"/>
  <c r="Z13834" i="1"/>
  <c r="Z13848" i="1"/>
  <c r="Z13859" i="1"/>
  <c r="Z13873" i="1"/>
  <c r="Z13884" i="1"/>
  <c r="Z13898" i="1"/>
  <c r="Z13912" i="1"/>
  <c r="Z13923" i="1"/>
  <c r="Z13937" i="1"/>
  <c r="Z13948" i="1"/>
  <c r="Z13962" i="1"/>
  <c r="Z13976" i="1"/>
  <c r="Z13987" i="1"/>
  <c r="Z14001" i="1"/>
  <c r="Z14012" i="1"/>
  <c r="Z14026" i="1"/>
  <c r="Z14040" i="1"/>
  <c r="Z14051" i="1"/>
  <c r="Z14065" i="1"/>
  <c r="Z14076" i="1"/>
  <c r="Z14090" i="1"/>
  <c r="Z14104" i="1"/>
  <c r="Z14115" i="1"/>
  <c r="Z14129" i="1"/>
  <c r="Z14140" i="1"/>
  <c r="Z14154" i="1"/>
  <c r="Z14168" i="1"/>
  <c r="Z14179" i="1"/>
  <c r="Z14193" i="1"/>
  <c r="Z14204" i="1"/>
  <c r="Z14218" i="1"/>
  <c r="Z14232" i="1"/>
  <c r="Z14243" i="1"/>
  <c r="Z14257" i="1"/>
  <c r="Z14268" i="1"/>
  <c r="Z14282" i="1"/>
  <c r="Z14296" i="1"/>
  <c r="Z14307" i="1"/>
  <c r="Z14321" i="1"/>
  <c r="Z14332" i="1"/>
  <c r="Z14346" i="1"/>
  <c r="Z14360" i="1"/>
  <c r="Z14371" i="1"/>
  <c r="Z14385" i="1"/>
  <c r="Z14396" i="1"/>
  <c r="Z14410" i="1"/>
  <c r="Z14424" i="1"/>
  <c r="Z14435" i="1"/>
  <c r="Z14449" i="1"/>
  <c r="Z14460" i="1"/>
  <c r="Z14474" i="1"/>
  <c r="Z14488" i="1"/>
  <c r="Z14499" i="1"/>
  <c r="Z14513" i="1"/>
  <c r="Z14524" i="1"/>
  <c r="Z14538" i="1"/>
  <c r="Z14552" i="1"/>
  <c r="Z14563" i="1"/>
  <c r="Z14577" i="1"/>
  <c r="Z14588" i="1"/>
  <c r="Z14602" i="1"/>
  <c r="Z14616" i="1"/>
  <c r="Z14627" i="1"/>
  <c r="Z14641" i="1"/>
  <c r="Z14652" i="1"/>
  <c r="Z14666" i="1"/>
  <c r="Z14680" i="1"/>
  <c r="Z14691" i="1"/>
  <c r="Z14705" i="1"/>
  <c r="Z14716" i="1"/>
  <c r="Z14730" i="1"/>
  <c r="Z14744" i="1"/>
  <c r="Z14755" i="1"/>
  <c r="Z14769" i="1"/>
  <c r="Z14780" i="1"/>
  <c r="Z14794" i="1"/>
  <c r="Z14808" i="1"/>
  <c r="Z14819" i="1"/>
  <c r="Z14833" i="1"/>
  <c r="Z14844" i="1"/>
  <c r="Z14858" i="1"/>
  <c r="Z14872" i="1"/>
  <c r="Z14883" i="1"/>
  <c r="Z14897" i="1"/>
  <c r="Z14908" i="1"/>
  <c r="Z14922" i="1"/>
  <c r="Z14936" i="1"/>
  <c r="Z14947" i="1"/>
  <c r="Z14961" i="1"/>
  <c r="Z14972" i="1"/>
  <c r="Z14986" i="1"/>
  <c r="Z15000" i="1"/>
  <c r="Z15011" i="1"/>
  <c r="Z15025" i="1"/>
  <c r="Z15036" i="1"/>
  <c r="Z15050" i="1"/>
  <c r="Z11481" i="1"/>
  <c r="Z11538" i="1"/>
  <c r="Z11598" i="1"/>
  <c r="Z11656" i="1"/>
  <c r="Z11716" i="1"/>
  <c r="Z11773" i="1"/>
  <c r="Z11830" i="1"/>
  <c r="Z11891" i="1"/>
  <c r="Z11936" i="1"/>
  <c r="Z11974" i="1"/>
  <c r="Z12009" i="1"/>
  <c r="Z12037" i="1"/>
  <c r="Z12066" i="1"/>
  <c r="Z12094" i="1"/>
  <c r="Z12123" i="1"/>
  <c r="Z12152" i="1"/>
  <c r="Z12177" i="1"/>
  <c r="Z12202" i="1"/>
  <c r="Z12227" i="1"/>
  <c r="Z12252" i="1"/>
  <c r="Z12280" i="1"/>
  <c r="Z12305" i="1"/>
  <c r="Z12330" i="1"/>
  <c r="Z12355" i="1"/>
  <c r="Z12380" i="1"/>
  <c r="Z12408" i="1"/>
  <c r="Z12433" i="1"/>
  <c r="Z12458" i="1"/>
  <c r="Z12483" i="1"/>
  <c r="Z12508" i="1"/>
  <c r="Z12536" i="1"/>
  <c r="Z12561" i="1"/>
  <c r="Z12586" i="1"/>
  <c r="Z12611" i="1"/>
  <c r="Z12636" i="1"/>
  <c r="Z12664" i="1"/>
  <c r="Z12689" i="1"/>
  <c r="Z12713" i="1"/>
  <c r="Z12736" i="1"/>
  <c r="Z12753" i="1"/>
  <c r="Z12776" i="1"/>
  <c r="Z12793" i="1"/>
  <c r="Z12816" i="1"/>
  <c r="Z12836" i="1"/>
  <c r="Z12856" i="1"/>
  <c r="Z12876" i="1"/>
  <c r="Z12896" i="1"/>
  <c r="Z12916" i="1"/>
  <c r="Z12939" i="1"/>
  <c r="Z12956" i="1"/>
  <c r="Z12979" i="1"/>
  <c r="Z12996" i="1"/>
  <c r="Z13019" i="1"/>
  <c r="Z13042" i="1"/>
  <c r="Z13059" i="1"/>
  <c r="Z13082" i="1"/>
  <c r="Z13099" i="1"/>
  <c r="Z13122" i="1"/>
  <c r="Z13144" i="1"/>
  <c r="Z13158" i="1"/>
  <c r="Z13177" i="1"/>
  <c r="Z13192" i="1"/>
  <c r="Z13210" i="1"/>
  <c r="Z13228" i="1"/>
  <c r="Z13243" i="1"/>
  <c r="Z13262" i="1"/>
  <c r="Z13276" i="1"/>
  <c r="Z13296" i="1"/>
  <c r="Z13313" i="1"/>
  <c r="Z13326" i="1"/>
  <c r="Z13342" i="1"/>
  <c r="Z13354" i="1"/>
  <c r="Z13370" i="1"/>
  <c r="Z13386" i="1"/>
  <c r="Z13399" i="1"/>
  <c r="Z13415" i="1"/>
  <c r="Z13427" i="1"/>
  <c r="Z13443" i="1"/>
  <c r="Z13459" i="1"/>
  <c r="Z13472" i="1"/>
  <c r="Z13488" i="1"/>
  <c r="Z13500" i="1"/>
  <c r="Z13516" i="1"/>
  <c r="Z13532" i="1"/>
  <c r="Z13545" i="1"/>
  <c r="Z13561" i="1"/>
  <c r="Z13574" i="1"/>
  <c r="Z13590" i="1"/>
  <c r="Z13606" i="1"/>
  <c r="Z13618" i="1"/>
  <c r="Z13634" i="1"/>
  <c r="Z13647" i="1"/>
  <c r="Z13663" i="1"/>
  <c r="Z13679" i="1"/>
  <c r="Z13691" i="1"/>
  <c r="Z13707" i="1"/>
  <c r="Z13720" i="1"/>
  <c r="Z13736" i="1"/>
  <c r="Z13752" i="1"/>
  <c r="Z13764" i="1"/>
  <c r="Z13780" i="1"/>
  <c r="Z13793" i="1"/>
  <c r="Z13809" i="1"/>
  <c r="Z13824" i="1"/>
  <c r="Z13835" i="1"/>
  <c r="Z13849" i="1"/>
  <c r="Z13860" i="1"/>
  <c r="Z13874" i="1"/>
  <c r="Z13888" i="1"/>
  <c r="Z13899" i="1"/>
  <c r="Z13913" i="1"/>
  <c r="Z13924" i="1"/>
  <c r="Z13938" i="1"/>
  <c r="Z13952" i="1"/>
  <c r="Z13963" i="1"/>
  <c r="Z13977" i="1"/>
  <c r="Z13988" i="1"/>
  <c r="Z14002" i="1"/>
  <c r="Z14016" i="1"/>
  <c r="Z14027" i="1"/>
  <c r="Z14041" i="1"/>
  <c r="Z14052" i="1"/>
  <c r="Z14066" i="1"/>
  <c r="Z14080" i="1"/>
  <c r="Z14091" i="1"/>
  <c r="Z14105" i="1"/>
  <c r="Z14116" i="1"/>
  <c r="Z14130" i="1"/>
  <c r="Z14144" i="1"/>
  <c r="Z14155" i="1"/>
  <c r="Z14169" i="1"/>
  <c r="Z11482" i="1"/>
  <c r="Z11542" i="1"/>
  <c r="Z11600" i="1"/>
  <c r="Z11657" i="1"/>
  <c r="Z11717" i="1"/>
  <c r="Z11774" i="1"/>
  <c r="Z11835" i="1"/>
  <c r="Z11892" i="1"/>
  <c r="Z11937" i="1"/>
  <c r="Z11977" i="1"/>
  <c r="Z12010" i="1"/>
  <c r="Z12038" i="1"/>
  <c r="Z12067" i="1"/>
  <c r="Z12096" i="1"/>
  <c r="Z12128" i="1"/>
  <c r="Z12153" i="1"/>
  <c r="Z12178" i="1"/>
  <c r="Z12203" i="1"/>
  <c r="Z12228" i="1"/>
  <c r="Z12256" i="1"/>
  <c r="Z12281" i="1"/>
  <c r="Z12306" i="1"/>
  <c r="Z12331" i="1"/>
  <c r="Z12356" i="1"/>
  <c r="Z12384" i="1"/>
  <c r="Z12409" i="1"/>
  <c r="Z12434" i="1"/>
  <c r="Z12459" i="1"/>
  <c r="Z12484" i="1"/>
  <c r="Z12512" i="1"/>
  <c r="Z12537" i="1"/>
  <c r="Z12562" i="1"/>
  <c r="Z12587" i="1"/>
  <c r="Z12612" i="1"/>
  <c r="Z12640" i="1"/>
  <c r="Z12665" i="1"/>
  <c r="Z12690" i="1"/>
  <c r="Z12714" i="1"/>
  <c r="Z12737" i="1"/>
  <c r="Z12754" i="1"/>
  <c r="Z12777" i="1"/>
  <c r="Z12800" i="1"/>
  <c r="Z12817" i="1"/>
  <c r="Z12840" i="1"/>
  <c r="Z12857" i="1"/>
  <c r="Z12880" i="1"/>
  <c r="Z12900" i="1"/>
  <c r="Z12920" i="1"/>
  <c r="Z12940" i="1"/>
  <c r="Z12960" i="1"/>
  <c r="Z12980" i="1"/>
  <c r="Z13003" i="1"/>
  <c r="Z13020" i="1"/>
  <c r="Z13043" i="1"/>
  <c r="Z13060" i="1"/>
  <c r="Z13083" i="1"/>
  <c r="Z13106" i="1"/>
  <c r="Z13123" i="1"/>
  <c r="Z13145" i="1"/>
  <c r="Z13160" i="1"/>
  <c r="Z13178" i="1"/>
  <c r="Z13196" i="1"/>
  <c r="Z13211" i="1"/>
  <c r="Z13230" i="1"/>
  <c r="Z13244" i="1"/>
  <c r="Z13264" i="1"/>
  <c r="Z13282" i="1"/>
  <c r="Z13297" i="1"/>
  <c r="Z13314" i="1"/>
  <c r="Z13327" i="1"/>
  <c r="Z13343" i="1"/>
  <c r="Z13359" i="1"/>
  <c r="Z13371" i="1"/>
  <c r="Z13387" i="1"/>
  <c r="Z13400" i="1"/>
  <c r="Z13416" i="1"/>
  <c r="Z13432" i="1"/>
  <c r="Z13444" i="1"/>
  <c r="Z13460" i="1"/>
  <c r="Z13473" i="1"/>
  <c r="Z13489" i="1"/>
  <c r="Z13505" i="1"/>
  <c r="Z13518" i="1"/>
  <c r="Z13534" i="1"/>
  <c r="Z13546" i="1"/>
  <c r="Z13562" i="1"/>
  <c r="Z13578" i="1"/>
  <c r="Z13591" i="1"/>
  <c r="Z13607" i="1"/>
  <c r="Z13619" i="1"/>
  <c r="Z13635" i="1"/>
  <c r="Z13651" i="1"/>
  <c r="Z13664" i="1"/>
  <c r="Z13680" i="1"/>
  <c r="Z13692" i="1"/>
  <c r="Z13708" i="1"/>
  <c r="Z13724" i="1"/>
  <c r="Z13737" i="1"/>
  <c r="Z13753" i="1"/>
  <c r="Z13766" i="1"/>
  <c r="Z13782" i="1"/>
  <c r="Z13798" i="1"/>
  <c r="Z13810" i="1"/>
  <c r="Z13825" i="1"/>
  <c r="Z13836" i="1"/>
  <c r="Z13850" i="1"/>
  <c r="Z13864" i="1"/>
  <c r="Z13875" i="1"/>
  <c r="Z13889" i="1"/>
  <c r="Z13900" i="1"/>
  <c r="Z13914" i="1"/>
  <c r="Z13928" i="1"/>
  <c r="Z13939" i="1"/>
  <c r="Z13953" i="1"/>
  <c r="Z13964" i="1"/>
  <c r="Z13978" i="1"/>
  <c r="Z13992" i="1"/>
  <c r="Z14003" i="1"/>
  <c r="Z14017" i="1"/>
  <c r="Z14028" i="1"/>
  <c r="Z14042" i="1"/>
  <c r="Z14056" i="1"/>
  <c r="Z14067" i="1"/>
  <c r="Z14081" i="1"/>
  <c r="Z14092" i="1"/>
  <c r="Z14106" i="1"/>
  <c r="Z14120" i="1"/>
  <c r="Z14131" i="1"/>
  <c r="Z14145" i="1"/>
  <c r="Z14156" i="1"/>
  <c r="Z14170" i="1"/>
  <c r="Z14184" i="1"/>
  <c r="Z14195" i="1"/>
  <c r="Z14209" i="1"/>
  <c r="Z14220" i="1"/>
  <c r="Z14234" i="1"/>
  <c r="Z14248" i="1"/>
  <c r="Z14259" i="1"/>
  <c r="Z11497" i="1"/>
  <c r="Z11554" i="1"/>
  <c r="Z11611" i="1"/>
  <c r="Z11672" i="1"/>
  <c r="Z11729" i="1"/>
  <c r="Z11789" i="1"/>
  <c r="Z11846" i="1"/>
  <c r="Z11904" i="1"/>
  <c r="Z11946" i="1"/>
  <c r="Z11981" i="1"/>
  <c r="Z12019" i="1"/>
  <c r="Z12048" i="1"/>
  <c r="Z12076" i="1"/>
  <c r="Z12105" i="1"/>
  <c r="Z12136" i="1"/>
  <c r="Z12161" i="1"/>
  <c r="Z12186" i="1"/>
  <c r="Z12211" i="1"/>
  <c r="Z12236" i="1"/>
  <c r="Z12264" i="1"/>
  <c r="Z12289" i="1"/>
  <c r="Z12314" i="1"/>
  <c r="Z12339" i="1"/>
  <c r="Z12364" i="1"/>
  <c r="Z12392" i="1"/>
  <c r="Z12417" i="1"/>
  <c r="Z12442" i="1"/>
  <c r="Z12467" i="1"/>
  <c r="Z12492" i="1"/>
  <c r="Z12520" i="1"/>
  <c r="Z12545" i="1"/>
  <c r="Z12570" i="1"/>
  <c r="Z12595" i="1"/>
  <c r="Z12620" i="1"/>
  <c r="Z12648" i="1"/>
  <c r="Z12673" i="1"/>
  <c r="Z12698" i="1"/>
  <c r="Z12715" i="1"/>
  <c r="Z12738" i="1"/>
  <c r="Z12761" i="1"/>
  <c r="Z12778" i="1"/>
  <c r="Z12801" i="1"/>
  <c r="Z12818" i="1"/>
  <c r="Z12841" i="1"/>
  <c r="Z12864" i="1"/>
  <c r="Z12881" i="1"/>
  <c r="Z12904" i="1"/>
  <c r="Z12921" i="1"/>
  <c r="Z12944" i="1"/>
  <c r="Z12964" i="1"/>
  <c r="Z12984" i="1"/>
  <c r="Z13004" i="1"/>
  <c r="Z13024" i="1"/>
  <c r="Z13044" i="1"/>
  <c r="Z13067" i="1"/>
  <c r="Z13084" i="1"/>
  <c r="Z13107" i="1"/>
  <c r="Z13124" i="1"/>
  <c r="Z13146" i="1"/>
  <c r="Z13164" i="1"/>
  <c r="Z13179" i="1"/>
  <c r="Z13198" i="1"/>
  <c r="Z13212" i="1"/>
  <c r="Z13232" i="1"/>
  <c r="Z13250" i="1"/>
  <c r="Z13265" i="1"/>
  <c r="Z13283" i="1"/>
  <c r="Z13298" i="1"/>
  <c r="Z13315" i="1"/>
  <c r="Z13331" i="1"/>
  <c r="Z13344" i="1"/>
  <c r="Z13360" i="1"/>
  <c r="Z13372" i="1"/>
  <c r="Z13388" i="1"/>
  <c r="Z13404" i="1"/>
  <c r="Z13417" i="1"/>
  <c r="Z13433" i="1"/>
  <c r="Z13446" i="1"/>
  <c r="Z13462" i="1"/>
  <c r="Z13478" i="1"/>
  <c r="Z13490" i="1"/>
  <c r="Z13506" i="1"/>
  <c r="Z13519" i="1"/>
  <c r="Z13535" i="1"/>
  <c r="Z13551" i="1"/>
  <c r="Z13563" i="1"/>
  <c r="Z13579" i="1"/>
  <c r="Z13592" i="1"/>
  <c r="Z13608" i="1"/>
  <c r="Z13624" i="1"/>
  <c r="Z13636" i="1"/>
  <c r="Z13652" i="1"/>
  <c r="Z13665" i="1"/>
  <c r="Z13681" i="1"/>
  <c r="Z13697" i="1"/>
  <c r="Z13710" i="1"/>
  <c r="Z13726" i="1"/>
  <c r="Z13738" i="1"/>
  <c r="Z13754" i="1"/>
  <c r="Z11498" i="1"/>
  <c r="Z11555" i="1"/>
  <c r="Z11616" i="1"/>
  <c r="Z11673" i="1"/>
  <c r="Z11730" i="1"/>
  <c r="Z11790" i="1"/>
  <c r="Z11848" i="1"/>
  <c r="Z11908" i="1"/>
  <c r="Z11948" i="1"/>
  <c r="Z11990" i="1"/>
  <c r="Z12020" i="1"/>
  <c r="Z12049" i="1"/>
  <c r="Z12077" i="1"/>
  <c r="Z12109" i="1"/>
  <c r="Z12137" i="1"/>
  <c r="Z12162" i="1"/>
  <c r="Z12187" i="1"/>
  <c r="Z12212" i="1"/>
  <c r="Z12240" i="1"/>
  <c r="Z12265" i="1"/>
  <c r="Z12290" i="1"/>
  <c r="Z12315" i="1"/>
  <c r="Z12340" i="1"/>
  <c r="Z12368" i="1"/>
  <c r="Z12393" i="1"/>
  <c r="Z12418" i="1"/>
  <c r="Z12443" i="1"/>
  <c r="Z12468" i="1"/>
  <c r="Z12496" i="1"/>
  <c r="Z12521" i="1"/>
  <c r="Z12546" i="1"/>
  <c r="Z12571" i="1"/>
  <c r="Z12596" i="1"/>
  <c r="Z12624" i="1"/>
  <c r="Z12649" i="1"/>
  <c r="Z12674" i="1"/>
  <c r="Z12699" i="1"/>
  <c r="Z12722" i="1"/>
  <c r="Z12739" i="1"/>
  <c r="Z12762" i="1"/>
  <c r="Z12779" i="1"/>
  <c r="Z12802" i="1"/>
  <c r="Z12825" i="1"/>
  <c r="Z12842" i="1"/>
  <c r="Z12865" i="1"/>
  <c r="Z12882" i="1"/>
  <c r="Z12905" i="1"/>
  <c r="Z12928" i="1"/>
  <c r="Z12945" i="1"/>
  <c r="Z12968" i="1"/>
  <c r="Z12985" i="1"/>
  <c r="Z13008" i="1"/>
  <c r="Z13028" i="1"/>
  <c r="Z13048" i="1"/>
  <c r="Z13068" i="1"/>
  <c r="Z13088" i="1"/>
  <c r="Z13108" i="1"/>
  <c r="Z13131" i="1"/>
  <c r="Z13147" i="1"/>
  <c r="Z13166" i="1"/>
  <c r="Z13180" i="1"/>
  <c r="Z13200" i="1"/>
  <c r="Z13218" i="1"/>
  <c r="Z13233" i="1"/>
  <c r="Z13251" i="1"/>
  <c r="Z13266" i="1"/>
  <c r="Z13284" i="1"/>
  <c r="Z13304" i="1"/>
  <c r="Z13316" i="1"/>
  <c r="Z13332" i="1"/>
  <c r="Z13345" i="1"/>
  <c r="Z13361" i="1"/>
  <c r="Z13377" i="1"/>
  <c r="Z13390" i="1"/>
  <c r="Z13406" i="1"/>
  <c r="Z13418" i="1"/>
  <c r="Z13434" i="1"/>
  <c r="Z13450" i="1"/>
  <c r="Z13463" i="1"/>
  <c r="Z13479" i="1"/>
  <c r="Z13491" i="1"/>
  <c r="Z13507" i="1"/>
  <c r="Z13523" i="1"/>
  <c r="Z13536" i="1"/>
  <c r="Z13552" i="1"/>
  <c r="Z13564" i="1"/>
  <c r="Z13580" i="1"/>
  <c r="Z13596" i="1"/>
  <c r="Z13609" i="1"/>
  <c r="Z13625" i="1"/>
  <c r="Z13638" i="1"/>
  <c r="Z13654" i="1"/>
  <c r="Z13670" i="1"/>
  <c r="Z13682" i="1"/>
  <c r="Z13698" i="1"/>
  <c r="Z13711" i="1"/>
  <c r="Z13727" i="1"/>
  <c r="Z13743" i="1"/>
  <c r="Z13755" i="1"/>
  <c r="Z13770" i="1"/>
  <c r="Z13826" i="1"/>
  <c r="Z13876" i="1"/>
  <c r="Z13929" i="1"/>
  <c r="Z13979" i="1"/>
  <c r="Z14032" i="1"/>
  <c r="Z14082" i="1"/>
  <c r="Z14132" i="1"/>
  <c r="Z14180" i="1"/>
  <c r="Z14211" i="1"/>
  <c r="Z14249" i="1"/>
  <c r="Z14275" i="1"/>
  <c r="Z14300" i="1"/>
  <c r="Z14328" i="1"/>
  <c r="Z14353" i="1"/>
  <c r="Z14378" i="1"/>
  <c r="Z14403" i="1"/>
  <c r="Z14428" i="1"/>
  <c r="Z14456" i="1"/>
  <c r="Z14481" i="1"/>
  <c r="Z14506" i="1"/>
  <c r="Z14531" i="1"/>
  <c r="Z14556" i="1"/>
  <c r="Z14584" i="1"/>
  <c r="Z14609" i="1"/>
  <c r="Z14634" i="1"/>
  <c r="Z14659" i="1"/>
  <c r="Z14684" i="1"/>
  <c r="Z14712" i="1"/>
  <c r="Z14737" i="1"/>
  <c r="Z14762" i="1"/>
  <c r="Z14787" i="1"/>
  <c r="Z14812" i="1"/>
  <c r="Z14840" i="1"/>
  <c r="Z14865" i="1"/>
  <c r="Z14890" i="1"/>
  <c r="Z14915" i="1"/>
  <c r="Z14940" i="1"/>
  <c r="Z14968" i="1"/>
  <c r="Z14993" i="1"/>
  <c r="Z15018" i="1"/>
  <c r="Z15043" i="1"/>
  <c r="Z15067" i="1"/>
  <c r="Z15090" i="1"/>
  <c r="Z15107" i="1"/>
  <c r="Z15130" i="1"/>
  <c r="Z15153" i="1"/>
  <c r="Z15170" i="1"/>
  <c r="Z15193" i="1"/>
  <c r="Z15210" i="1"/>
  <c r="Z15233" i="1"/>
  <c r="Z15256" i="1"/>
  <c r="Z15273" i="1"/>
  <c r="Z15296" i="1"/>
  <c r="Z15313" i="1"/>
  <c r="Z15336" i="1"/>
  <c r="Z15356" i="1"/>
  <c r="Z15376" i="1"/>
  <c r="Z15396" i="1"/>
  <c r="Z15415" i="1"/>
  <c r="Z15433" i="1"/>
  <c r="Z15451" i="1"/>
  <c r="Z15466" i="1"/>
  <c r="Z15484" i="1"/>
  <c r="Z15499" i="1"/>
  <c r="Z15519" i="1"/>
  <c r="Z15537" i="1"/>
  <c r="Z15552" i="1"/>
  <c r="Z15569" i="1"/>
  <c r="Z15582" i="1"/>
  <c r="Z15598" i="1"/>
  <c r="Z15614" i="1"/>
  <c r="Z15626" i="1"/>
  <c r="Z15642" i="1"/>
  <c r="Z15655" i="1"/>
  <c r="Z15671" i="1"/>
  <c r="Z15687" i="1"/>
  <c r="Z15699" i="1"/>
  <c r="Z15715" i="1"/>
  <c r="Z15728" i="1"/>
  <c r="Z15744" i="1"/>
  <c r="Z15760" i="1"/>
  <c r="Z15772" i="1"/>
  <c r="Z15788" i="1"/>
  <c r="Z15801" i="1"/>
  <c r="Z15817" i="1"/>
  <c r="Z15833" i="1"/>
  <c r="Z15846" i="1"/>
  <c r="Z15862" i="1"/>
  <c r="Z15874" i="1"/>
  <c r="Z15890" i="1"/>
  <c r="Z15906" i="1"/>
  <c r="Z15919" i="1"/>
  <c r="Z15935" i="1"/>
  <c r="Z15947" i="1"/>
  <c r="Z15963" i="1"/>
  <c r="Z15979" i="1"/>
  <c r="Z15992" i="1"/>
  <c r="Z16008" i="1"/>
  <c r="Z16020" i="1"/>
  <c r="Z16036" i="1"/>
  <c r="Z16052" i="1"/>
  <c r="Z16065" i="1"/>
  <c r="Z16081" i="1"/>
  <c r="Z16094" i="1"/>
  <c r="Z16110" i="1"/>
  <c r="Z16126" i="1"/>
  <c r="Z16138" i="1"/>
  <c r="Z16154" i="1"/>
  <c r="Z16167" i="1"/>
  <c r="Z16183" i="1"/>
  <c r="Z16199" i="1"/>
  <c r="Z16211" i="1"/>
  <c r="Z16227" i="1"/>
  <c r="Z16240" i="1"/>
  <c r="Z16256" i="1"/>
  <c r="Z16272" i="1"/>
  <c r="Z16284" i="1"/>
  <c r="Z16300" i="1"/>
  <c r="Z16313" i="1"/>
  <c r="Z16329" i="1"/>
  <c r="Z16345" i="1"/>
  <c r="Z16358" i="1"/>
  <c r="Z16374" i="1"/>
  <c r="Z16386" i="1"/>
  <c r="Z16402" i="1"/>
  <c r="Z16418" i="1"/>
  <c r="Z16431" i="1"/>
  <c r="Z16447" i="1"/>
  <c r="Z16459" i="1"/>
  <c r="Z16475" i="1"/>
  <c r="Z16489" i="1"/>
  <c r="Z16500" i="1"/>
  <c r="Z16514" i="1"/>
  <c r="Z16525" i="1"/>
  <c r="Z16539" i="1"/>
  <c r="Z16553" i="1"/>
  <c r="Z16564" i="1"/>
  <c r="Z16578" i="1"/>
  <c r="Z16589" i="1"/>
  <c r="Z16603" i="1"/>
  <c r="Z16617" i="1"/>
  <c r="Z16628" i="1"/>
  <c r="Z16642" i="1"/>
  <c r="Z16653" i="1"/>
  <c r="Z16667" i="1"/>
  <c r="Z16681" i="1"/>
  <c r="Z16692" i="1"/>
  <c r="Z16706" i="1"/>
  <c r="Z16717" i="1"/>
  <c r="Z16731" i="1"/>
  <c r="Z16745" i="1"/>
  <c r="Z16756" i="1"/>
  <c r="Z16770" i="1"/>
  <c r="Z16781" i="1"/>
  <c r="Z16795" i="1"/>
  <c r="Z16809" i="1"/>
  <c r="Z16820" i="1"/>
  <c r="Z16834" i="1"/>
  <c r="Z16845" i="1"/>
  <c r="Z16859" i="1"/>
  <c r="Z16873" i="1"/>
  <c r="Z16884" i="1"/>
  <c r="Z16898" i="1"/>
  <c r="Z16909" i="1"/>
  <c r="Z16923" i="1"/>
  <c r="Z16937" i="1"/>
  <c r="Z16948" i="1"/>
  <c r="Z16962" i="1"/>
  <c r="Z16973" i="1"/>
  <c r="Z16987" i="1"/>
  <c r="Z17001" i="1"/>
  <c r="Z17012" i="1"/>
  <c r="Z17026" i="1"/>
  <c r="Z17037" i="1"/>
  <c r="Z17051" i="1"/>
  <c r="Z17065" i="1"/>
  <c r="Z17076" i="1"/>
  <c r="Z17090" i="1"/>
  <c r="Z17101" i="1"/>
  <c r="Z17115" i="1"/>
  <c r="Z17129" i="1"/>
  <c r="Z17140" i="1"/>
  <c r="Z17154" i="1"/>
  <c r="Z17165" i="1"/>
  <c r="Z17179" i="1"/>
  <c r="Z17193" i="1"/>
  <c r="Z17204" i="1"/>
  <c r="Z17218" i="1"/>
  <c r="Z17229" i="1"/>
  <c r="Z17243" i="1"/>
  <c r="Z17257" i="1"/>
  <c r="Z17268" i="1"/>
  <c r="Z17282" i="1"/>
  <c r="Z17293" i="1"/>
  <c r="Z17307" i="1"/>
  <c r="Z17321" i="1"/>
  <c r="Z17332" i="1"/>
  <c r="Z17346" i="1"/>
  <c r="Z17357" i="1"/>
  <c r="Z17371" i="1"/>
  <c r="Z17385" i="1"/>
  <c r="Z17396" i="1"/>
  <c r="Z17410" i="1"/>
  <c r="Z17421" i="1"/>
  <c r="Z17435" i="1"/>
  <c r="Z17449" i="1"/>
  <c r="Z17460" i="1"/>
  <c r="Z17474" i="1"/>
  <c r="Z17485" i="1"/>
  <c r="Z17499" i="1"/>
  <c r="Z17513" i="1"/>
  <c r="Z17524" i="1"/>
  <c r="Z17538" i="1"/>
  <c r="Z17549" i="1"/>
  <c r="Z17563" i="1"/>
  <c r="Z17577" i="1"/>
  <c r="Z17588" i="1"/>
  <c r="Z17602" i="1"/>
  <c r="Z17613" i="1"/>
  <c r="Z17627" i="1"/>
  <c r="Z17641" i="1"/>
  <c r="Z17652" i="1"/>
  <c r="Z17666" i="1"/>
  <c r="Z17677" i="1"/>
  <c r="Z17691" i="1"/>
  <c r="Z17705" i="1"/>
  <c r="Z17716" i="1"/>
  <c r="Z17730" i="1"/>
  <c r="Z17741" i="1"/>
  <c r="Z17755" i="1"/>
  <c r="Z17769" i="1"/>
  <c r="Z17780" i="1"/>
  <c r="Z17794" i="1"/>
  <c r="Z17805" i="1"/>
  <c r="Z17819" i="1"/>
  <c r="Z17832" i="1"/>
  <c r="Z17842" i="1"/>
  <c r="Z17852" i="1"/>
  <c r="Z17864" i="1"/>
  <c r="Z17874" i="1"/>
  <c r="Z17884" i="1"/>
  <c r="Z17896" i="1"/>
  <c r="Z17906" i="1"/>
  <c r="Z17916" i="1"/>
  <c r="Z17928" i="1"/>
  <c r="Z17938" i="1"/>
  <c r="Z17948" i="1"/>
  <c r="Z17960" i="1"/>
  <c r="Z17970" i="1"/>
  <c r="Z17980" i="1"/>
  <c r="Z17991" i="1"/>
  <c r="Z18000" i="1"/>
  <c r="Z18009" i="1"/>
  <c r="Z18018" i="1"/>
  <c r="Z18027" i="1"/>
  <c r="Z18036" i="1"/>
  <c r="Z18045" i="1"/>
  <c r="Z18055" i="1"/>
  <c r="Z18064" i="1"/>
  <c r="Z18073" i="1"/>
  <c r="Z18082" i="1"/>
  <c r="Z18091" i="1"/>
  <c r="Z18100" i="1"/>
  <c r="Z18109" i="1"/>
  <c r="Z18119" i="1"/>
  <c r="Z18128" i="1"/>
  <c r="Z18137" i="1"/>
  <c r="Z18146" i="1"/>
  <c r="Z18155" i="1"/>
  <c r="Z18164" i="1"/>
  <c r="Z18173" i="1"/>
  <c r="Z18183" i="1"/>
  <c r="Z18192" i="1"/>
  <c r="Z18201" i="1"/>
  <c r="Z18210" i="1"/>
  <c r="Z18219" i="1"/>
  <c r="Z18228" i="1"/>
  <c r="Z18237" i="1"/>
  <c r="Z18247" i="1"/>
  <c r="Z18256" i="1"/>
  <c r="Z18265" i="1"/>
  <c r="Z18274" i="1"/>
  <c r="Z18283" i="1"/>
  <c r="Z18292" i="1"/>
  <c r="Z18301" i="1"/>
  <c r="Z18311" i="1"/>
  <c r="Z18320" i="1"/>
  <c r="Z18329" i="1"/>
  <c r="Z18338" i="1"/>
  <c r="Z18347" i="1"/>
  <c r="Z18356" i="1"/>
  <c r="Z18365" i="1"/>
  <c r="Z18375" i="1"/>
  <c r="Z18384" i="1"/>
  <c r="Z18393" i="1"/>
  <c r="Z18402" i="1"/>
  <c r="Z18411" i="1"/>
  <c r="Z18420" i="1"/>
  <c r="Z18429" i="1"/>
  <c r="Z18439" i="1"/>
  <c r="Z18448" i="1"/>
  <c r="Z18457" i="1"/>
  <c r="Z18466" i="1"/>
  <c r="Z18475" i="1"/>
  <c r="Z18484" i="1"/>
  <c r="Z18493" i="1"/>
  <c r="Z18503" i="1"/>
  <c r="Z18512" i="1"/>
  <c r="Z18521" i="1"/>
  <c r="Z18530" i="1"/>
  <c r="Z18539" i="1"/>
  <c r="Z18548" i="1"/>
  <c r="Z18557" i="1"/>
  <c r="Z18567" i="1"/>
  <c r="Z18576" i="1"/>
  <c r="Z18585" i="1"/>
  <c r="Z18594" i="1"/>
  <c r="Z18603" i="1"/>
  <c r="Z18612" i="1"/>
  <c r="Z18621" i="1"/>
  <c r="Z18631" i="1"/>
  <c r="Z18640" i="1"/>
  <c r="Z18649" i="1"/>
  <c r="Z18658" i="1"/>
  <c r="Z18667" i="1"/>
  <c r="Z18676" i="1"/>
  <c r="Z18685" i="1"/>
  <c r="Z18695" i="1"/>
  <c r="Z18704" i="1"/>
  <c r="Z18713" i="1"/>
  <c r="Z18722" i="1"/>
  <c r="Z18731" i="1"/>
  <c r="Z18740" i="1"/>
  <c r="Z18749" i="1"/>
  <c r="Z18759" i="1"/>
  <c r="Z18768" i="1"/>
  <c r="Z18777" i="1"/>
  <c r="Z18786" i="1"/>
  <c r="Z18795" i="1"/>
  <c r="Z18804" i="1"/>
  <c r="Z18813" i="1"/>
  <c r="Z18823" i="1"/>
  <c r="Z18832" i="1"/>
  <c r="Z18841" i="1"/>
  <c r="Z18850" i="1"/>
  <c r="Z18859" i="1"/>
  <c r="Z18868" i="1"/>
  <c r="Z18877" i="1"/>
  <c r="Z18887" i="1"/>
  <c r="Z18896" i="1"/>
  <c r="Z18904" i="1"/>
  <c r="Z18912" i="1"/>
  <c r="Z18920" i="1"/>
  <c r="Z18928" i="1"/>
  <c r="Z18936" i="1"/>
  <c r="Z18944" i="1"/>
  <c r="Z18952" i="1"/>
  <c r="Z18960" i="1"/>
  <c r="Z18968" i="1"/>
  <c r="Z18976" i="1"/>
  <c r="Z18984" i="1"/>
  <c r="Z18992" i="1"/>
  <c r="Z19000" i="1"/>
  <c r="Z19008" i="1"/>
  <c r="Z19016" i="1"/>
  <c r="Z19024" i="1"/>
  <c r="Z19032" i="1"/>
  <c r="Z19040" i="1"/>
  <c r="Z19048" i="1"/>
  <c r="Z19056" i="1"/>
  <c r="Z19064" i="1"/>
  <c r="Z19072" i="1"/>
  <c r="Z19080" i="1"/>
  <c r="Z19088" i="1"/>
  <c r="Z19096" i="1"/>
  <c r="Z19104" i="1"/>
  <c r="Z19112" i="1"/>
  <c r="Z19120" i="1"/>
  <c r="Z19128" i="1"/>
  <c r="Z19136" i="1"/>
  <c r="Z19144" i="1"/>
  <c r="Z19152" i="1"/>
  <c r="Z19160" i="1"/>
  <c r="Z19168" i="1"/>
  <c r="Z19176" i="1"/>
  <c r="Z19184" i="1"/>
  <c r="Z19192" i="1"/>
  <c r="Z19200" i="1"/>
  <c r="Z19208" i="1"/>
  <c r="Z19216" i="1"/>
  <c r="Z19224" i="1"/>
  <c r="Z19232" i="1"/>
  <c r="Z19240" i="1"/>
  <c r="Z19248" i="1"/>
  <c r="Z19256" i="1"/>
  <c r="Z19264" i="1"/>
  <c r="Z19272" i="1"/>
  <c r="Z19280" i="1"/>
  <c r="Z19288" i="1"/>
  <c r="Z19296" i="1"/>
  <c r="Z19304" i="1"/>
  <c r="Z19312" i="1"/>
  <c r="Z19320" i="1"/>
  <c r="Z19328" i="1"/>
  <c r="Z19336" i="1"/>
  <c r="Z19344" i="1"/>
  <c r="Z19352" i="1"/>
  <c r="Z19360" i="1"/>
  <c r="Z19368" i="1"/>
  <c r="Z19376" i="1"/>
  <c r="Z19384" i="1"/>
  <c r="Z19392" i="1"/>
  <c r="Z19400" i="1"/>
  <c r="Z19408" i="1"/>
  <c r="Z19416" i="1"/>
  <c r="Z19424" i="1"/>
  <c r="Z19432" i="1"/>
  <c r="Z19440" i="1"/>
  <c r="Z19448" i="1"/>
  <c r="Z19456" i="1"/>
  <c r="Z19464" i="1"/>
  <c r="Z19472" i="1"/>
  <c r="Z19480" i="1"/>
  <c r="Z19488" i="1"/>
  <c r="Z19496" i="1"/>
  <c r="Z19504" i="1"/>
  <c r="Z19512" i="1"/>
  <c r="Z19520" i="1"/>
  <c r="Z19528" i="1"/>
  <c r="Z19536" i="1"/>
  <c r="Z19544" i="1"/>
  <c r="Z19552" i="1"/>
  <c r="Z19560" i="1"/>
  <c r="Z19568" i="1"/>
  <c r="Z19576" i="1"/>
  <c r="Z19584" i="1"/>
  <c r="Z19592" i="1"/>
  <c r="Z19600" i="1"/>
  <c r="Z19608" i="1"/>
  <c r="Z19616" i="1"/>
  <c r="Z19624" i="1"/>
  <c r="Z19632" i="1"/>
  <c r="Z19640" i="1"/>
  <c r="Z19648" i="1"/>
  <c r="Z19656" i="1"/>
  <c r="Z19664" i="1"/>
  <c r="Z19672" i="1"/>
  <c r="Z19680" i="1"/>
  <c r="Z19688" i="1"/>
  <c r="Z19696" i="1"/>
  <c r="Z19704" i="1"/>
  <c r="Z19712" i="1"/>
  <c r="Z19720" i="1"/>
  <c r="Z19728" i="1"/>
  <c r="Z19736" i="1"/>
  <c r="Z19744" i="1"/>
  <c r="Z19752" i="1"/>
  <c r="Z19760" i="1"/>
  <c r="Z19768" i="1"/>
  <c r="Z19776" i="1"/>
  <c r="Z19784" i="1"/>
  <c r="Z19792" i="1"/>
  <c r="Z19800" i="1"/>
  <c r="Z19808" i="1"/>
  <c r="Z19816" i="1"/>
  <c r="Z19824" i="1"/>
  <c r="Z19832" i="1"/>
  <c r="Z19840" i="1"/>
  <c r="Z19848" i="1"/>
  <c r="Z19856" i="1"/>
  <c r="Z19864" i="1"/>
  <c r="Z19872" i="1"/>
  <c r="Z19880" i="1"/>
  <c r="Z19888" i="1"/>
  <c r="Z19896" i="1"/>
  <c r="Z19904" i="1"/>
  <c r="Z19912" i="1"/>
  <c r="Z19920" i="1"/>
  <c r="Z19928" i="1"/>
  <c r="Z19936" i="1"/>
  <c r="Z19944" i="1"/>
  <c r="Z19952" i="1"/>
  <c r="Z19960" i="1"/>
  <c r="Z19968" i="1"/>
  <c r="Z19976" i="1"/>
  <c r="Z19984" i="1"/>
  <c r="Z19992" i="1"/>
  <c r="Z20000" i="1"/>
  <c r="Z20008" i="1"/>
  <c r="Z20016" i="1"/>
  <c r="Z20024" i="1"/>
  <c r="Z20032" i="1"/>
  <c r="Z20040" i="1"/>
  <c r="Z20048" i="1"/>
  <c r="Z20056" i="1"/>
  <c r="Z20064" i="1"/>
  <c r="Z20072" i="1"/>
  <c r="Z20080" i="1"/>
  <c r="Z20088" i="1"/>
  <c r="Z20096" i="1"/>
  <c r="Z20104" i="1"/>
  <c r="Z20112" i="1"/>
  <c r="Z20120" i="1"/>
  <c r="Z20128" i="1"/>
  <c r="Z20136" i="1"/>
  <c r="Z20144" i="1"/>
  <c r="Z20152" i="1"/>
  <c r="Z20160" i="1"/>
  <c r="Z20168" i="1"/>
  <c r="Z20176" i="1"/>
  <c r="Z20184" i="1"/>
  <c r="Z20192" i="1"/>
  <c r="Z20200" i="1"/>
  <c r="Z20208" i="1"/>
  <c r="Z20216" i="1"/>
  <c r="Z20224" i="1"/>
  <c r="Z20232" i="1"/>
  <c r="Z20240" i="1"/>
  <c r="Z20248" i="1"/>
  <c r="Z20256" i="1"/>
  <c r="Z20264" i="1"/>
  <c r="Z20272" i="1"/>
  <c r="Z20280" i="1"/>
  <c r="Z20288" i="1"/>
  <c r="Z20296" i="1"/>
  <c r="Z20304" i="1"/>
  <c r="Z20312" i="1"/>
  <c r="Z20320" i="1"/>
  <c r="Z20328" i="1"/>
  <c r="Z20336" i="1"/>
  <c r="Z20344" i="1"/>
  <c r="Z20352" i="1"/>
  <c r="Z20360" i="1"/>
  <c r="Z20368" i="1"/>
  <c r="Z20376" i="1"/>
  <c r="Z20384" i="1"/>
  <c r="Z20392" i="1"/>
  <c r="Z20400" i="1"/>
  <c r="Z20408" i="1"/>
  <c r="Z20416" i="1"/>
  <c r="Z20424" i="1"/>
  <c r="Z20432" i="1"/>
  <c r="Z20440" i="1"/>
  <c r="Z20448" i="1"/>
  <c r="Z20456" i="1"/>
  <c r="Z20464" i="1"/>
  <c r="Z20472" i="1"/>
  <c r="Z20480" i="1"/>
  <c r="Z20488" i="1"/>
  <c r="Z20496" i="1"/>
  <c r="Z20504" i="1"/>
  <c r="Z20512" i="1"/>
  <c r="Z20520" i="1"/>
  <c r="Z20528" i="1"/>
  <c r="Z20536" i="1"/>
  <c r="Z20544" i="1"/>
  <c r="Z20552" i="1"/>
  <c r="Z20560" i="1"/>
  <c r="Z20568" i="1"/>
  <c r="Z20576" i="1"/>
  <c r="Z20584" i="1"/>
  <c r="Z20592" i="1"/>
  <c r="Z20600" i="1"/>
  <c r="Z20608" i="1"/>
  <c r="Z20616" i="1"/>
  <c r="Z20624" i="1"/>
  <c r="Z20632" i="1"/>
  <c r="Z20640" i="1"/>
  <c r="Z20648" i="1"/>
  <c r="Z20656" i="1"/>
  <c r="Z20664" i="1"/>
  <c r="Z20672" i="1"/>
  <c r="Z20680" i="1"/>
  <c r="Z20688" i="1"/>
  <c r="Z20696" i="1"/>
  <c r="Z20704" i="1"/>
  <c r="Z20712" i="1"/>
  <c r="Z20720" i="1"/>
  <c r="Z20728" i="1"/>
  <c r="Z20736" i="1"/>
  <c r="Z20744" i="1"/>
  <c r="Z20752" i="1"/>
  <c r="Z20760" i="1"/>
  <c r="Z20768" i="1"/>
  <c r="Z13771" i="1"/>
  <c r="Z13827" i="1"/>
  <c r="Z13880" i="1"/>
  <c r="Z13930" i="1"/>
  <c r="Z13980" i="1"/>
  <c r="Z14033" i="1"/>
  <c r="Z14083" i="1"/>
  <c r="Z14136" i="1"/>
  <c r="Z14185" i="1"/>
  <c r="Z14219" i="1"/>
  <c r="Z14250" i="1"/>
  <c r="Z14283" i="1"/>
  <c r="Z14308" i="1"/>
  <c r="Z14336" i="1"/>
  <c r="Z14361" i="1"/>
  <c r="Z14386" i="1"/>
  <c r="Z14411" i="1"/>
  <c r="Z14436" i="1"/>
  <c r="Z14464" i="1"/>
  <c r="Z14489" i="1"/>
  <c r="Z14514" i="1"/>
  <c r="Z14539" i="1"/>
  <c r="Z14564" i="1"/>
  <c r="Z14592" i="1"/>
  <c r="Z14617" i="1"/>
  <c r="Z14642" i="1"/>
  <c r="Z14667" i="1"/>
  <c r="Z14692" i="1"/>
  <c r="Z14720" i="1"/>
  <c r="Z14745" i="1"/>
  <c r="Z14770" i="1"/>
  <c r="Z14795" i="1"/>
  <c r="Z14820" i="1"/>
  <c r="Z14848" i="1"/>
  <c r="Z14873" i="1"/>
  <c r="Z14898" i="1"/>
  <c r="Z14923" i="1"/>
  <c r="Z14948" i="1"/>
  <c r="Z14976" i="1"/>
  <c r="Z15001" i="1"/>
  <c r="Z15026" i="1"/>
  <c r="Z15051" i="1"/>
  <c r="Z15068" i="1"/>
  <c r="Z15091" i="1"/>
  <c r="Z15114" i="1"/>
  <c r="Z15131" i="1"/>
  <c r="Z15154" i="1"/>
  <c r="Z15171" i="1"/>
  <c r="Z15194" i="1"/>
  <c r="Z15217" i="1"/>
  <c r="Z15234" i="1"/>
  <c r="Z15257" i="1"/>
  <c r="Z15274" i="1"/>
  <c r="Z15297" i="1"/>
  <c r="Z15320" i="1"/>
  <c r="Z15337" i="1"/>
  <c r="Z15360" i="1"/>
  <c r="Z15377" i="1"/>
  <c r="Z15400" i="1"/>
  <c r="Z15419" i="1"/>
  <c r="Z15434" i="1"/>
  <c r="Z15452" i="1"/>
  <c r="Z15467" i="1"/>
  <c r="Z15487" i="1"/>
  <c r="Z15505" i="1"/>
  <c r="Z15520" i="1"/>
  <c r="Z15538" i="1"/>
  <c r="Z15553" i="1"/>
  <c r="Z15570" i="1"/>
  <c r="Z15586" i="1"/>
  <c r="Z15599" i="1"/>
  <c r="Z15615" i="1"/>
  <c r="Z15627" i="1"/>
  <c r="Z15643" i="1"/>
  <c r="Z15659" i="1"/>
  <c r="Z15672" i="1"/>
  <c r="Z15688" i="1"/>
  <c r="Z15700" i="1"/>
  <c r="Z15716" i="1"/>
  <c r="Z15732" i="1"/>
  <c r="Z15745" i="1"/>
  <c r="Z15761" i="1"/>
  <c r="Z15774" i="1"/>
  <c r="Z15790" i="1"/>
  <c r="Z15806" i="1"/>
  <c r="Z15818" i="1"/>
  <c r="Z15834" i="1"/>
  <c r="Z15847" i="1"/>
  <c r="Z15863" i="1"/>
  <c r="Z15879" i="1"/>
  <c r="Z15891" i="1"/>
  <c r="Z15907" i="1"/>
  <c r="Z15920" i="1"/>
  <c r="Z15936" i="1"/>
  <c r="Z15952" i="1"/>
  <c r="Z15964" i="1"/>
  <c r="Z15980" i="1"/>
  <c r="Z15993" i="1"/>
  <c r="Z16009" i="1"/>
  <c r="Z16025" i="1"/>
  <c r="Z16038" i="1"/>
  <c r="Z16054" i="1"/>
  <c r="Z16066" i="1"/>
  <c r="Z16082" i="1"/>
  <c r="Z16098" i="1"/>
  <c r="Z16111" i="1"/>
  <c r="Z16127" i="1"/>
  <c r="Z16139" i="1"/>
  <c r="Z16155" i="1"/>
  <c r="Z16171" i="1"/>
  <c r="Z16184" i="1"/>
  <c r="Z16200" i="1"/>
  <c r="Z16212" i="1"/>
  <c r="Z16228" i="1"/>
  <c r="Z16244" i="1"/>
  <c r="Z16257" i="1"/>
  <c r="Z16273" i="1"/>
  <c r="Z16286" i="1"/>
  <c r="Z16302" i="1"/>
  <c r="Z16318" i="1"/>
  <c r="Z16330" i="1"/>
  <c r="Z16346" i="1"/>
  <c r="Z16359" i="1"/>
  <c r="Z16375" i="1"/>
  <c r="Z16391" i="1"/>
  <c r="Z16403" i="1"/>
  <c r="Z16419" i="1"/>
  <c r="Z16432" i="1"/>
  <c r="Z16448" i="1"/>
  <c r="Z16464" i="1"/>
  <c r="Z16476" i="1"/>
  <c r="Z16490" i="1"/>
  <c r="Z16501" i="1"/>
  <c r="Z16515" i="1"/>
  <c r="Z16529" i="1"/>
  <c r="Z16540" i="1"/>
  <c r="Z16554" i="1"/>
  <c r="Z16565" i="1"/>
  <c r="Z16579" i="1"/>
  <c r="Z16593" i="1"/>
  <c r="Z16604" i="1"/>
  <c r="Z16618" i="1"/>
  <c r="Z16629" i="1"/>
  <c r="Z16643" i="1"/>
  <c r="Z16657" i="1"/>
  <c r="Z16668" i="1"/>
  <c r="Z16682" i="1"/>
  <c r="Z16693" i="1"/>
  <c r="Z16707" i="1"/>
  <c r="Z16721" i="1"/>
  <c r="Z16732" i="1"/>
  <c r="Z16746" i="1"/>
  <c r="Z16757" i="1"/>
  <c r="Z16771" i="1"/>
  <c r="Z16785" i="1"/>
  <c r="Z16796" i="1"/>
  <c r="Z16810" i="1"/>
  <c r="Z16821" i="1"/>
  <c r="Z16835" i="1"/>
  <c r="Z16849" i="1"/>
  <c r="Z16860" i="1"/>
  <c r="Z16874" i="1"/>
  <c r="Z16885" i="1"/>
  <c r="Z16899" i="1"/>
  <c r="Z16913" i="1"/>
  <c r="Z16924" i="1"/>
  <c r="Z16938" i="1"/>
  <c r="Z16949" i="1"/>
  <c r="Z16963" i="1"/>
  <c r="Z16977" i="1"/>
  <c r="Z16988" i="1"/>
  <c r="Z17002" i="1"/>
  <c r="Z17013" i="1"/>
  <c r="Z17027" i="1"/>
  <c r="Z17041" i="1"/>
  <c r="Z17052" i="1"/>
  <c r="Z17066" i="1"/>
  <c r="Z17077" i="1"/>
  <c r="Z17091" i="1"/>
  <c r="Z17105" i="1"/>
  <c r="Z17116" i="1"/>
  <c r="Z17130" i="1"/>
  <c r="Z17141" i="1"/>
  <c r="Z17155" i="1"/>
  <c r="Z17169" i="1"/>
  <c r="Z17180" i="1"/>
  <c r="Z17194" i="1"/>
  <c r="Z17205" i="1"/>
  <c r="Z17219" i="1"/>
  <c r="Z17233" i="1"/>
  <c r="Z17244" i="1"/>
  <c r="Z17258" i="1"/>
  <c r="Z17269" i="1"/>
  <c r="Z17283" i="1"/>
  <c r="Z17297" i="1"/>
  <c r="Z17308" i="1"/>
  <c r="Z17322" i="1"/>
  <c r="Z17333" i="1"/>
  <c r="Z17347" i="1"/>
  <c r="Z17361" i="1"/>
  <c r="Z17372" i="1"/>
  <c r="Z17386" i="1"/>
  <c r="Z17397" i="1"/>
  <c r="Z17411" i="1"/>
  <c r="Z17425" i="1"/>
  <c r="Z17436" i="1"/>
  <c r="Z17450" i="1"/>
  <c r="Z17461" i="1"/>
  <c r="Z17475" i="1"/>
  <c r="Z17489" i="1"/>
  <c r="Z17500" i="1"/>
  <c r="Z17514" i="1"/>
  <c r="Z17525" i="1"/>
  <c r="Z17539" i="1"/>
  <c r="Z17553" i="1"/>
  <c r="Z17564" i="1"/>
  <c r="Z17578" i="1"/>
  <c r="Z17589" i="1"/>
  <c r="Z17603" i="1"/>
  <c r="Z17617" i="1"/>
  <c r="Z17628" i="1"/>
  <c r="Z17642" i="1"/>
  <c r="Z17653" i="1"/>
  <c r="Z17667" i="1"/>
  <c r="Z17681" i="1"/>
  <c r="Z17692" i="1"/>
  <c r="Z17706" i="1"/>
  <c r="Z17717" i="1"/>
  <c r="Z17731" i="1"/>
  <c r="Z17745" i="1"/>
  <c r="Z17756" i="1"/>
  <c r="Z17770" i="1"/>
  <c r="Z17781" i="1"/>
  <c r="Z17795" i="1"/>
  <c r="Z17809" i="1"/>
  <c r="Z17820" i="1"/>
  <c r="Z17833" i="1"/>
  <c r="Z17843" i="1"/>
  <c r="Z17853" i="1"/>
  <c r="Z17865" i="1"/>
  <c r="Z17875" i="1"/>
  <c r="Z17885" i="1"/>
  <c r="Z17897" i="1"/>
  <c r="Z17907" i="1"/>
  <c r="Z17917" i="1"/>
  <c r="Z17929" i="1"/>
  <c r="Z17939" i="1"/>
  <c r="Z17949" i="1"/>
  <c r="Z17961" i="1"/>
  <c r="Z17971" i="1"/>
  <c r="Z17981" i="1"/>
  <c r="Z17992" i="1"/>
  <c r="Z18001" i="1"/>
  <c r="Z18010" i="1"/>
  <c r="Z18019" i="1"/>
  <c r="Z18028" i="1"/>
  <c r="Z18037" i="1"/>
  <c r="Z18047" i="1"/>
  <c r="Z18056" i="1"/>
  <c r="Z18065" i="1"/>
  <c r="Z18074" i="1"/>
  <c r="Z18083" i="1"/>
  <c r="Z18092" i="1"/>
  <c r="Z18101" i="1"/>
  <c r="Z18111" i="1"/>
  <c r="Z18120" i="1"/>
  <c r="Z18129" i="1"/>
  <c r="Z18138" i="1"/>
  <c r="Z18147" i="1"/>
  <c r="Z18156" i="1"/>
  <c r="Z18165" i="1"/>
  <c r="Z18175" i="1"/>
  <c r="Z18184" i="1"/>
  <c r="Z18193" i="1"/>
  <c r="Z18202" i="1"/>
  <c r="Z18211" i="1"/>
  <c r="Z18220" i="1"/>
  <c r="Z18229" i="1"/>
  <c r="Z18239" i="1"/>
  <c r="Z18248" i="1"/>
  <c r="Z18257" i="1"/>
  <c r="Z18266" i="1"/>
  <c r="Z18275" i="1"/>
  <c r="Z18284" i="1"/>
  <c r="Z18293" i="1"/>
  <c r="Z18303" i="1"/>
  <c r="Z18312" i="1"/>
  <c r="Z18321" i="1"/>
  <c r="Z18330" i="1"/>
  <c r="Z18339" i="1"/>
  <c r="Z18348" i="1"/>
  <c r="Z18357" i="1"/>
  <c r="Z18367" i="1"/>
  <c r="Z18376" i="1"/>
  <c r="Z18385" i="1"/>
  <c r="Z18394" i="1"/>
  <c r="Z18403" i="1"/>
  <c r="Z18412" i="1"/>
  <c r="Z18421" i="1"/>
  <c r="Z18431" i="1"/>
  <c r="Z18440" i="1"/>
  <c r="Z18449" i="1"/>
  <c r="Z18458" i="1"/>
  <c r="Z18467" i="1"/>
  <c r="Z18476" i="1"/>
  <c r="Z18485" i="1"/>
  <c r="Z18495" i="1"/>
  <c r="Z18504" i="1"/>
  <c r="Z18513" i="1"/>
  <c r="Z18522" i="1"/>
  <c r="Z18531" i="1"/>
  <c r="Z18540" i="1"/>
  <c r="Z18549" i="1"/>
  <c r="Z18559" i="1"/>
  <c r="Z18568" i="1"/>
  <c r="Z18577" i="1"/>
  <c r="Z18586" i="1"/>
  <c r="Z18595" i="1"/>
  <c r="Z18604" i="1"/>
  <c r="Z18613" i="1"/>
  <c r="Z18623" i="1"/>
  <c r="Z18632" i="1"/>
  <c r="Z18641" i="1"/>
  <c r="Z18650" i="1"/>
  <c r="Z18659" i="1"/>
  <c r="Z18668" i="1"/>
  <c r="Z18677" i="1"/>
  <c r="Z18687" i="1"/>
  <c r="Z18696" i="1"/>
  <c r="Z18705" i="1"/>
  <c r="Z18714" i="1"/>
  <c r="Z18723" i="1"/>
  <c r="Z18732" i="1"/>
  <c r="Z18741" i="1"/>
  <c r="Z18751" i="1"/>
  <c r="Z18760" i="1"/>
  <c r="Z18769" i="1"/>
  <c r="Z18778" i="1"/>
  <c r="Z18787" i="1"/>
  <c r="Z18796" i="1"/>
  <c r="Z18805" i="1"/>
  <c r="Z18815" i="1"/>
  <c r="Z18824" i="1"/>
  <c r="Z18833" i="1"/>
  <c r="Z18842" i="1"/>
  <c r="Z18851" i="1"/>
  <c r="Z18860" i="1"/>
  <c r="Z18869" i="1"/>
  <c r="Z18879" i="1"/>
  <c r="Z18888" i="1"/>
  <c r="Z18897" i="1"/>
  <c r="Z18905" i="1"/>
  <c r="Z18913" i="1"/>
  <c r="Z18921" i="1"/>
  <c r="Z18929" i="1"/>
  <c r="Z18937" i="1"/>
  <c r="Z18945" i="1"/>
  <c r="Z18953" i="1"/>
  <c r="Z18961" i="1"/>
  <c r="Z18969" i="1"/>
  <c r="Z18977" i="1"/>
  <c r="Z18985" i="1"/>
  <c r="Z18993" i="1"/>
  <c r="Z19001" i="1"/>
  <c r="Z19009" i="1"/>
  <c r="Z19017" i="1"/>
  <c r="Z19025" i="1"/>
  <c r="Z19033" i="1"/>
  <c r="Z19041" i="1"/>
  <c r="Z19049" i="1"/>
  <c r="Z19057" i="1"/>
  <c r="Z19065" i="1"/>
  <c r="Z19073" i="1"/>
  <c r="Z19081" i="1"/>
  <c r="Z19089" i="1"/>
  <c r="Z19097" i="1"/>
  <c r="Z19105" i="1"/>
  <c r="Z19113" i="1"/>
  <c r="Z19121" i="1"/>
  <c r="Z19129" i="1"/>
  <c r="Z19137" i="1"/>
  <c r="Z19145" i="1"/>
  <c r="Z19153" i="1"/>
  <c r="Z19161" i="1"/>
  <c r="Z19169" i="1"/>
  <c r="Z19177" i="1"/>
  <c r="Z19185" i="1"/>
  <c r="Z19193" i="1"/>
  <c r="Z19201" i="1"/>
  <c r="Z19209" i="1"/>
  <c r="Z19217" i="1"/>
  <c r="Z19225" i="1"/>
  <c r="Z19233" i="1"/>
  <c r="Z19241" i="1"/>
  <c r="Z19249" i="1"/>
  <c r="Z19257" i="1"/>
  <c r="Z19265" i="1"/>
  <c r="Z19273" i="1"/>
  <c r="Z19281" i="1"/>
  <c r="Z19289" i="1"/>
  <c r="Z19297" i="1"/>
  <c r="Z19305" i="1"/>
  <c r="Z19313" i="1"/>
  <c r="Z19321" i="1"/>
  <c r="Z19329" i="1"/>
  <c r="Z19337" i="1"/>
  <c r="Z19345" i="1"/>
  <c r="Z19353" i="1"/>
  <c r="Z19361" i="1"/>
  <c r="Z19369" i="1"/>
  <c r="Z19377" i="1"/>
  <c r="Z19385" i="1"/>
  <c r="Z19393" i="1"/>
  <c r="Z19401" i="1"/>
  <c r="Z19409" i="1"/>
  <c r="Z19417" i="1"/>
  <c r="Z19425" i="1"/>
  <c r="Z19433" i="1"/>
  <c r="Z19441" i="1"/>
  <c r="Z19449" i="1"/>
  <c r="Z19457" i="1"/>
  <c r="Z19465" i="1"/>
  <c r="Z19473" i="1"/>
  <c r="Z19481" i="1"/>
  <c r="Z19489" i="1"/>
  <c r="Z19497" i="1"/>
  <c r="Z19505" i="1"/>
  <c r="Z19513" i="1"/>
  <c r="Z19521" i="1"/>
  <c r="Z19529" i="1"/>
  <c r="Z19537" i="1"/>
  <c r="Z19545" i="1"/>
  <c r="Z19553" i="1"/>
  <c r="Z19561" i="1"/>
  <c r="Z19569" i="1"/>
  <c r="Z19577" i="1"/>
  <c r="Z19585" i="1"/>
  <c r="Z19593" i="1"/>
  <c r="Z19601" i="1"/>
  <c r="Z19609" i="1"/>
  <c r="Z19617" i="1"/>
  <c r="Z19625" i="1"/>
  <c r="Z19633" i="1"/>
  <c r="Z19641" i="1"/>
  <c r="Z19649" i="1"/>
  <c r="Z19657" i="1"/>
  <c r="Z19665" i="1"/>
  <c r="Z19673" i="1"/>
  <c r="Z19681" i="1"/>
  <c r="Z19689" i="1"/>
  <c r="Z19697" i="1"/>
  <c r="Z19705" i="1"/>
  <c r="Z19713" i="1"/>
  <c r="Z19721" i="1"/>
  <c r="Z19729" i="1"/>
  <c r="Z19737" i="1"/>
  <c r="Z19745" i="1"/>
  <c r="Z19753" i="1"/>
  <c r="Z19761" i="1"/>
  <c r="Z19769" i="1"/>
  <c r="Z19777" i="1"/>
  <c r="Z19785" i="1"/>
  <c r="Z19793" i="1"/>
  <c r="Z19801" i="1"/>
  <c r="Z19809" i="1"/>
  <c r="Z19817" i="1"/>
  <c r="Z19825" i="1"/>
  <c r="Z19833" i="1"/>
  <c r="Z19841" i="1"/>
  <c r="Z19849" i="1"/>
  <c r="Z19857" i="1"/>
  <c r="Z19865" i="1"/>
  <c r="Z19873" i="1"/>
  <c r="Z19881" i="1"/>
  <c r="Z19889" i="1"/>
  <c r="Z19897" i="1"/>
  <c r="Z19905" i="1"/>
  <c r="Z19913" i="1"/>
  <c r="Z19921" i="1"/>
  <c r="Z19929" i="1"/>
  <c r="Z19937" i="1"/>
  <c r="Z19945" i="1"/>
  <c r="Z19953" i="1"/>
  <c r="Z19961" i="1"/>
  <c r="Z19969" i="1"/>
  <c r="Z19977" i="1"/>
  <c r="Z19985" i="1"/>
  <c r="Z19993" i="1"/>
  <c r="Z20001" i="1"/>
  <c r="Z13783" i="1"/>
  <c r="Z13840" i="1"/>
  <c r="Z13890" i="1"/>
  <c r="Z13940" i="1"/>
  <c r="Z13993" i="1"/>
  <c r="Z14043" i="1"/>
  <c r="Z14096" i="1"/>
  <c r="Z14146" i="1"/>
  <c r="Z14186" i="1"/>
  <c r="Z14224" i="1"/>
  <c r="Z14258" i="1"/>
  <c r="Z14284" i="1"/>
  <c r="Z14312" i="1"/>
  <c r="Z14337" i="1"/>
  <c r="Z14362" i="1"/>
  <c r="Z14387" i="1"/>
  <c r="Z14412" i="1"/>
  <c r="Z14440" i="1"/>
  <c r="Z14465" i="1"/>
  <c r="Z14490" i="1"/>
  <c r="Z14515" i="1"/>
  <c r="Z14540" i="1"/>
  <c r="Z14568" i="1"/>
  <c r="Z14593" i="1"/>
  <c r="Z14618" i="1"/>
  <c r="Z14643" i="1"/>
  <c r="Z14668" i="1"/>
  <c r="Z14696" i="1"/>
  <c r="Z14721" i="1"/>
  <c r="Z14746" i="1"/>
  <c r="Z14771" i="1"/>
  <c r="Z14796" i="1"/>
  <c r="Z14824" i="1"/>
  <c r="Z14849" i="1"/>
  <c r="Z14874" i="1"/>
  <c r="Z14899" i="1"/>
  <c r="Z14924" i="1"/>
  <c r="Z14952" i="1"/>
  <c r="Z14977" i="1"/>
  <c r="Z15002" i="1"/>
  <c r="Z15027" i="1"/>
  <c r="Z15052" i="1"/>
  <c r="Z15075" i="1"/>
  <c r="Z15092" i="1"/>
  <c r="Z15115" i="1"/>
  <c r="Z15132" i="1"/>
  <c r="Z15155" i="1"/>
  <c r="Z15178" i="1"/>
  <c r="Z15195" i="1"/>
  <c r="Z15218" i="1"/>
  <c r="Z15235" i="1"/>
  <c r="Z15258" i="1"/>
  <c r="Z15281" i="1"/>
  <c r="Z15298" i="1"/>
  <c r="Z15321" i="1"/>
  <c r="Z15338" i="1"/>
  <c r="Z15361" i="1"/>
  <c r="Z15384" i="1"/>
  <c r="Z15401" i="1"/>
  <c r="Z15420" i="1"/>
  <c r="Z15435" i="1"/>
  <c r="Z15455" i="1"/>
  <c r="Z15473" i="1"/>
  <c r="Z15488" i="1"/>
  <c r="Z15506" i="1"/>
  <c r="Z15521" i="1"/>
  <c r="Z15539" i="1"/>
  <c r="Z15559" i="1"/>
  <c r="Z15571" i="1"/>
  <c r="Z15587" i="1"/>
  <c r="Z15600" i="1"/>
  <c r="Z15616" i="1"/>
  <c r="Z15632" i="1"/>
  <c r="Z15644" i="1"/>
  <c r="Z15660" i="1"/>
  <c r="Z15673" i="1"/>
  <c r="Z15689" i="1"/>
  <c r="Z15705" i="1"/>
  <c r="Z15718" i="1"/>
  <c r="Z15734" i="1"/>
  <c r="Z15746" i="1"/>
  <c r="Z15762" i="1"/>
  <c r="Z15778" i="1"/>
  <c r="Z15791" i="1"/>
  <c r="Z15807" i="1"/>
  <c r="Z15819" i="1"/>
  <c r="Z15835" i="1"/>
  <c r="Z15851" i="1"/>
  <c r="Z15864" i="1"/>
  <c r="Z15880" i="1"/>
  <c r="Z15892" i="1"/>
  <c r="Z15908" i="1"/>
  <c r="Z15924" i="1"/>
  <c r="Z15937" i="1"/>
  <c r="Z15953" i="1"/>
  <c r="Z15966" i="1"/>
  <c r="Z15982" i="1"/>
  <c r="Z15998" i="1"/>
  <c r="Z16010" i="1"/>
  <c r="Z16026" i="1"/>
  <c r="Z16039" i="1"/>
  <c r="Z16055" i="1"/>
  <c r="Z16071" i="1"/>
  <c r="Z16083" i="1"/>
  <c r="Z16099" i="1"/>
  <c r="Z16112" i="1"/>
  <c r="Z16128" i="1"/>
  <c r="Z16144" i="1"/>
  <c r="Z16156" i="1"/>
  <c r="Z16172" i="1"/>
  <c r="Z16185" i="1"/>
  <c r="Z16201" i="1"/>
  <c r="Z16217" i="1"/>
  <c r="Z16230" i="1"/>
  <c r="Z16246" i="1"/>
  <c r="Z16258" i="1"/>
  <c r="Z16274" i="1"/>
  <c r="Z16290" i="1"/>
  <c r="Z16303" i="1"/>
  <c r="Z16319" i="1"/>
  <c r="Z16331" i="1"/>
  <c r="Z16347" i="1"/>
  <c r="Z16363" i="1"/>
  <c r="Z16376" i="1"/>
  <c r="Z16392" i="1"/>
  <c r="Z16404" i="1"/>
  <c r="Z16420" i="1"/>
  <c r="Z16436" i="1"/>
  <c r="Z16449" i="1"/>
  <c r="Z16465" i="1"/>
  <c r="Z16477" i="1"/>
  <c r="Z16491" i="1"/>
  <c r="Z16505" i="1"/>
  <c r="Z16516" i="1"/>
  <c r="Z16530" i="1"/>
  <c r="Z16541" i="1"/>
  <c r="Z16555" i="1"/>
  <c r="Z16569" i="1"/>
  <c r="Z16580" i="1"/>
  <c r="Z16594" i="1"/>
  <c r="Z16605" i="1"/>
  <c r="Z16619" i="1"/>
  <c r="Z16633" i="1"/>
  <c r="Z16644" i="1"/>
  <c r="Z16658" i="1"/>
  <c r="Z16669" i="1"/>
  <c r="Z16683" i="1"/>
  <c r="Z16697" i="1"/>
  <c r="Z16708" i="1"/>
  <c r="Z16722" i="1"/>
  <c r="Z16733" i="1"/>
  <c r="Z16747" i="1"/>
  <c r="Z16761" i="1"/>
  <c r="Z16772" i="1"/>
  <c r="Z16786" i="1"/>
  <c r="Z16797" i="1"/>
  <c r="Z16811" i="1"/>
  <c r="Z16825" i="1"/>
  <c r="Z16836" i="1"/>
  <c r="Z16850" i="1"/>
  <c r="Z16861" i="1"/>
  <c r="Z16875" i="1"/>
  <c r="Z16889" i="1"/>
  <c r="Z16900" i="1"/>
  <c r="Z16914" i="1"/>
  <c r="Z16925" i="1"/>
  <c r="Z16939" i="1"/>
  <c r="Z16953" i="1"/>
  <c r="Z16964" i="1"/>
  <c r="Z16978" i="1"/>
  <c r="Z16989" i="1"/>
  <c r="Z17003" i="1"/>
  <c r="Z17017" i="1"/>
  <c r="Z17028" i="1"/>
  <c r="Z17042" i="1"/>
  <c r="Z17053" i="1"/>
  <c r="Z17067" i="1"/>
  <c r="Z17081" i="1"/>
  <c r="Z17092" i="1"/>
  <c r="Z17106" i="1"/>
  <c r="Z17117" i="1"/>
  <c r="Z17131" i="1"/>
  <c r="Z17145" i="1"/>
  <c r="Z17156" i="1"/>
  <c r="Z17170" i="1"/>
  <c r="Z17181" i="1"/>
  <c r="Z17195" i="1"/>
  <c r="Z17209" i="1"/>
  <c r="Z17220" i="1"/>
  <c r="Z17234" i="1"/>
  <c r="Z17245" i="1"/>
  <c r="Z17259" i="1"/>
  <c r="Z17273" i="1"/>
  <c r="Z17284" i="1"/>
  <c r="Z17298" i="1"/>
  <c r="Z17309" i="1"/>
  <c r="Z17323" i="1"/>
  <c r="Z17337" i="1"/>
  <c r="Z17348" i="1"/>
  <c r="Z17362" i="1"/>
  <c r="Z17373" i="1"/>
  <c r="Z17387" i="1"/>
  <c r="Z17401" i="1"/>
  <c r="Z17412" i="1"/>
  <c r="Z17426" i="1"/>
  <c r="Z17437" i="1"/>
  <c r="Z17451" i="1"/>
  <c r="Z17465" i="1"/>
  <c r="Z17476" i="1"/>
  <c r="Z17490" i="1"/>
  <c r="Z17501" i="1"/>
  <c r="Z17515" i="1"/>
  <c r="Z17529" i="1"/>
  <c r="Z17540" i="1"/>
  <c r="Z17554" i="1"/>
  <c r="Z17565" i="1"/>
  <c r="Z17579" i="1"/>
  <c r="Z17593" i="1"/>
  <c r="Z17604" i="1"/>
  <c r="Z17618" i="1"/>
  <c r="Z17629" i="1"/>
  <c r="Z17643" i="1"/>
  <c r="Z17657" i="1"/>
  <c r="Z17668" i="1"/>
  <c r="Z17682" i="1"/>
  <c r="Z17693" i="1"/>
  <c r="Z17707" i="1"/>
  <c r="Z17721" i="1"/>
  <c r="Z17732" i="1"/>
  <c r="Z17746" i="1"/>
  <c r="Z17757" i="1"/>
  <c r="Z17771" i="1"/>
  <c r="Z17785" i="1"/>
  <c r="Z17796" i="1"/>
  <c r="Z17810" i="1"/>
  <c r="Z17821" i="1"/>
  <c r="Z17834" i="1"/>
  <c r="Z17844" i="1"/>
  <c r="Z17856" i="1"/>
  <c r="Z17866" i="1"/>
  <c r="Z17876" i="1"/>
  <c r="Z17888" i="1"/>
  <c r="Z17898" i="1"/>
  <c r="Z17908" i="1"/>
  <c r="Z17920" i="1"/>
  <c r="Z17930" i="1"/>
  <c r="Z17940" i="1"/>
  <c r="Z17952" i="1"/>
  <c r="Z17962" i="1"/>
  <c r="Z17972" i="1"/>
  <c r="Z17984" i="1"/>
  <c r="Z17993" i="1"/>
  <c r="Z18002" i="1"/>
  <c r="Z18011" i="1"/>
  <c r="Z18020" i="1"/>
  <c r="Z18029" i="1"/>
  <c r="Z18039" i="1"/>
  <c r="Z18048" i="1"/>
  <c r="Z18057" i="1"/>
  <c r="Z18066" i="1"/>
  <c r="Z18075" i="1"/>
  <c r="Z18084" i="1"/>
  <c r="Z18093" i="1"/>
  <c r="Z18103" i="1"/>
  <c r="Z18112" i="1"/>
  <c r="Z18121" i="1"/>
  <c r="Z18130" i="1"/>
  <c r="Z18139" i="1"/>
  <c r="Z18148" i="1"/>
  <c r="Z18157" i="1"/>
  <c r="Z18167" i="1"/>
  <c r="Z18176" i="1"/>
  <c r="Z18185" i="1"/>
  <c r="Z18194" i="1"/>
  <c r="Z18203" i="1"/>
  <c r="Z18212" i="1"/>
  <c r="Z18221" i="1"/>
  <c r="Z18231" i="1"/>
  <c r="Z18240" i="1"/>
  <c r="Z18249" i="1"/>
  <c r="Z18258" i="1"/>
  <c r="Z18267" i="1"/>
  <c r="Z18276" i="1"/>
  <c r="Z18285" i="1"/>
  <c r="Z18295" i="1"/>
  <c r="Z18304" i="1"/>
  <c r="Z18313" i="1"/>
  <c r="Z18322" i="1"/>
  <c r="Z18331" i="1"/>
  <c r="Z18340" i="1"/>
  <c r="Z18349" i="1"/>
  <c r="Z18359" i="1"/>
  <c r="Z18368" i="1"/>
  <c r="Z18377" i="1"/>
  <c r="Z18386" i="1"/>
  <c r="Z18395" i="1"/>
  <c r="Z18404" i="1"/>
  <c r="Z18413" i="1"/>
  <c r="Z18423" i="1"/>
  <c r="Z18432" i="1"/>
  <c r="Z18441" i="1"/>
  <c r="Z18450" i="1"/>
  <c r="Z18459" i="1"/>
  <c r="Z18468" i="1"/>
  <c r="Z18477" i="1"/>
  <c r="Z18487" i="1"/>
  <c r="Z18496" i="1"/>
  <c r="Z18505" i="1"/>
  <c r="Z18514" i="1"/>
  <c r="Z18523" i="1"/>
  <c r="Z18532" i="1"/>
  <c r="Z18541" i="1"/>
  <c r="Z18551" i="1"/>
  <c r="Z18560" i="1"/>
  <c r="Z18569" i="1"/>
  <c r="Z18578" i="1"/>
  <c r="Z18587" i="1"/>
  <c r="Z18596" i="1"/>
  <c r="Z18605" i="1"/>
  <c r="Z18615" i="1"/>
  <c r="Z18624" i="1"/>
  <c r="Z18633" i="1"/>
  <c r="Z18642" i="1"/>
  <c r="Z18651" i="1"/>
  <c r="Z18660" i="1"/>
  <c r="Z18669" i="1"/>
  <c r="Z18679" i="1"/>
  <c r="Z18688" i="1"/>
  <c r="Z18697" i="1"/>
  <c r="Z18706" i="1"/>
  <c r="Z18715" i="1"/>
  <c r="Z18724" i="1"/>
  <c r="Z18733" i="1"/>
  <c r="Z18743" i="1"/>
  <c r="Z18752" i="1"/>
  <c r="Z18761" i="1"/>
  <c r="Z18770" i="1"/>
  <c r="Z18779" i="1"/>
  <c r="Z18788" i="1"/>
  <c r="Z18797" i="1"/>
  <c r="Z18807" i="1"/>
  <c r="Z18816" i="1"/>
  <c r="Z18825" i="1"/>
  <c r="Z18834" i="1"/>
  <c r="Z18843" i="1"/>
  <c r="Z18852" i="1"/>
  <c r="Z18861" i="1"/>
  <c r="Z18871" i="1"/>
  <c r="Z18880" i="1"/>
  <c r="Z18889" i="1"/>
  <c r="Z18898" i="1"/>
  <c r="Z18906" i="1"/>
  <c r="Z18914" i="1"/>
  <c r="Z18922" i="1"/>
  <c r="Z18930" i="1"/>
  <c r="Z18938" i="1"/>
  <c r="Z18946" i="1"/>
  <c r="Z18954" i="1"/>
  <c r="Z18962" i="1"/>
  <c r="Z18970" i="1"/>
  <c r="Z18978" i="1"/>
  <c r="Z18986" i="1"/>
  <c r="Z18994" i="1"/>
  <c r="Z19002" i="1"/>
  <c r="Z19010" i="1"/>
  <c r="Z19018" i="1"/>
  <c r="Z19026" i="1"/>
  <c r="Z19034" i="1"/>
  <c r="Z19042" i="1"/>
  <c r="Z19050" i="1"/>
  <c r="Z19058" i="1"/>
  <c r="Z19066" i="1"/>
  <c r="Z19074" i="1"/>
  <c r="Z19082" i="1"/>
  <c r="Z19090" i="1"/>
  <c r="Z19098" i="1"/>
  <c r="Z19106" i="1"/>
  <c r="Z19114" i="1"/>
  <c r="Z19122" i="1"/>
  <c r="Z19130" i="1"/>
  <c r="Z19138" i="1"/>
  <c r="Z19146" i="1"/>
  <c r="Z19154" i="1"/>
  <c r="Z19162" i="1"/>
  <c r="Z19170" i="1"/>
  <c r="Z19178" i="1"/>
  <c r="Z19186" i="1"/>
  <c r="Z19194" i="1"/>
  <c r="Z19202" i="1"/>
  <c r="Z19210" i="1"/>
  <c r="Z19218" i="1"/>
  <c r="Z19226" i="1"/>
  <c r="Z19234" i="1"/>
  <c r="Z19242" i="1"/>
  <c r="Z19250" i="1"/>
  <c r="Z19258" i="1"/>
  <c r="Z19266" i="1"/>
  <c r="Z19274" i="1"/>
  <c r="Z19282" i="1"/>
  <c r="Z19290" i="1"/>
  <c r="Z19298" i="1"/>
  <c r="Z19306" i="1"/>
  <c r="Z19314" i="1"/>
  <c r="Z19322" i="1"/>
  <c r="Z19330" i="1"/>
  <c r="Z19338" i="1"/>
  <c r="Z19346" i="1"/>
  <c r="Z19354" i="1"/>
  <c r="Z19362" i="1"/>
  <c r="Z19370" i="1"/>
  <c r="Z19378" i="1"/>
  <c r="Z19386" i="1"/>
  <c r="Z19394" i="1"/>
  <c r="Z19402" i="1"/>
  <c r="Z19410" i="1"/>
  <c r="Z19418" i="1"/>
  <c r="Z19426" i="1"/>
  <c r="Z19434" i="1"/>
  <c r="Z19442" i="1"/>
  <c r="Z19450" i="1"/>
  <c r="Z19458" i="1"/>
  <c r="Z19466" i="1"/>
  <c r="Z19474" i="1"/>
  <c r="Z19482" i="1"/>
  <c r="Z19490" i="1"/>
  <c r="Z19498" i="1"/>
  <c r="Z19506" i="1"/>
  <c r="Z19514" i="1"/>
  <c r="Z19522" i="1"/>
  <c r="Z19530" i="1"/>
  <c r="Z19538" i="1"/>
  <c r="Z19546" i="1"/>
  <c r="Z19554" i="1"/>
  <c r="Z19562" i="1"/>
  <c r="Z19570" i="1"/>
  <c r="Z19578" i="1"/>
  <c r="Z19586" i="1"/>
  <c r="Z19594" i="1"/>
  <c r="Z19602" i="1"/>
  <c r="Z19610" i="1"/>
  <c r="Z19618" i="1"/>
  <c r="Z19626" i="1"/>
  <c r="Z19634" i="1"/>
  <c r="Z19642" i="1"/>
  <c r="Z19650" i="1"/>
  <c r="Z19658" i="1"/>
  <c r="Z19666" i="1"/>
  <c r="Z19674" i="1"/>
  <c r="Z19682" i="1"/>
  <c r="Z19690" i="1"/>
  <c r="Z19698" i="1"/>
  <c r="Z19706" i="1"/>
  <c r="Z19714" i="1"/>
  <c r="Z19722" i="1"/>
  <c r="Z19730" i="1"/>
  <c r="Z19738" i="1"/>
  <c r="Z19746" i="1"/>
  <c r="Z19754" i="1"/>
  <c r="Z19762" i="1"/>
  <c r="Z19770" i="1"/>
  <c r="Z19778" i="1"/>
  <c r="Z19786" i="1"/>
  <c r="Z19794" i="1"/>
  <c r="Z19802" i="1"/>
  <c r="Z19810" i="1"/>
  <c r="Z19818" i="1"/>
  <c r="Z19826" i="1"/>
  <c r="Z19834" i="1"/>
  <c r="Z19842" i="1"/>
  <c r="Z19850" i="1"/>
  <c r="Z19858" i="1"/>
  <c r="Z19866" i="1"/>
  <c r="Z19874" i="1"/>
  <c r="Z19882" i="1"/>
  <c r="Z19890" i="1"/>
  <c r="Z19898" i="1"/>
  <c r="Z19906" i="1"/>
  <c r="Z19914" i="1"/>
  <c r="Z19922" i="1"/>
  <c r="Z19930" i="1"/>
  <c r="Z19938" i="1"/>
  <c r="Z19946" i="1"/>
  <c r="Z19954" i="1"/>
  <c r="Z19962" i="1"/>
  <c r="Z19970" i="1"/>
  <c r="Z19978" i="1"/>
  <c r="Z13784" i="1"/>
  <c r="Z13841" i="1"/>
  <c r="Z13891" i="1"/>
  <c r="Z13944" i="1"/>
  <c r="Z13994" i="1"/>
  <c r="Z14044" i="1"/>
  <c r="Z14097" i="1"/>
  <c r="Z14147" i="1"/>
  <c r="Z14194" i="1"/>
  <c r="Z14225" i="1"/>
  <c r="Z14260" i="1"/>
  <c r="Z14288" i="1"/>
  <c r="Z14313" i="1"/>
  <c r="Z14338" i="1"/>
  <c r="Z14363" i="1"/>
  <c r="Z14388" i="1"/>
  <c r="Z14416" i="1"/>
  <c r="Z14441" i="1"/>
  <c r="Z14466" i="1"/>
  <c r="Z14491" i="1"/>
  <c r="Z14516" i="1"/>
  <c r="Z14544" i="1"/>
  <c r="Z14569" i="1"/>
  <c r="Z14594" i="1"/>
  <c r="Z14619" i="1"/>
  <c r="Z14644" i="1"/>
  <c r="Z14672" i="1"/>
  <c r="Z14697" i="1"/>
  <c r="Z14722" i="1"/>
  <c r="Z14747" i="1"/>
  <c r="Z14772" i="1"/>
  <c r="Z14800" i="1"/>
  <c r="Z14825" i="1"/>
  <c r="Z14850" i="1"/>
  <c r="Z14875" i="1"/>
  <c r="Z14900" i="1"/>
  <c r="Z14928" i="1"/>
  <c r="Z14953" i="1"/>
  <c r="Z14978" i="1"/>
  <c r="Z15003" i="1"/>
  <c r="Z15028" i="1"/>
  <c r="Z15056" i="1"/>
  <c r="Z15076" i="1"/>
  <c r="Z15096" i="1"/>
  <c r="Z15116" i="1"/>
  <c r="Z15139" i="1"/>
  <c r="Z15156" i="1"/>
  <c r="Z15179" i="1"/>
  <c r="Z15196" i="1"/>
  <c r="Z15219" i="1"/>
  <c r="Z15242" i="1"/>
  <c r="Z15259" i="1"/>
  <c r="Z15282" i="1"/>
  <c r="Z15299" i="1"/>
  <c r="Z15322" i="1"/>
  <c r="Z15345" i="1"/>
  <c r="Z15362" i="1"/>
  <c r="Z15385" i="1"/>
  <c r="Z15402" i="1"/>
  <c r="Z15423" i="1"/>
  <c r="Z15441" i="1"/>
  <c r="Z15456" i="1"/>
  <c r="Z15474" i="1"/>
  <c r="Z15489" i="1"/>
  <c r="Z15507" i="1"/>
  <c r="Z15527" i="1"/>
  <c r="Z15540" i="1"/>
  <c r="Z15560" i="1"/>
  <c r="Z15572" i="1"/>
  <c r="Z15588" i="1"/>
  <c r="Z15604" i="1"/>
  <c r="Z15617" i="1"/>
  <c r="Z15633" i="1"/>
  <c r="Z15646" i="1"/>
  <c r="Z15662" i="1"/>
  <c r="Z15678" i="1"/>
  <c r="Z15690" i="1"/>
  <c r="Z15706" i="1"/>
  <c r="Z15719" i="1"/>
  <c r="Z15735" i="1"/>
  <c r="Z15751" i="1"/>
  <c r="Z15763" i="1"/>
  <c r="Z15779" i="1"/>
  <c r="Z15792" i="1"/>
  <c r="Z15808" i="1"/>
  <c r="Z15824" i="1"/>
  <c r="Z15836" i="1"/>
  <c r="Z15852" i="1"/>
  <c r="Z15865" i="1"/>
  <c r="Z15881" i="1"/>
  <c r="Z15897" i="1"/>
  <c r="Z15910" i="1"/>
  <c r="Z15926" i="1"/>
  <c r="Z15938" i="1"/>
  <c r="Z15954" i="1"/>
  <c r="Z15970" i="1"/>
  <c r="Z15983" i="1"/>
  <c r="Z15999" i="1"/>
  <c r="Z16011" i="1"/>
  <c r="Z16027" i="1"/>
  <c r="Z16043" i="1"/>
  <c r="Z16056" i="1"/>
  <c r="Z16072" i="1"/>
  <c r="Z16084" i="1"/>
  <c r="Z16100" i="1"/>
  <c r="Z16116" i="1"/>
  <c r="Z16129" i="1"/>
  <c r="Z16145" i="1"/>
  <c r="Z16158" i="1"/>
  <c r="Z16174" i="1"/>
  <c r="Z16190" i="1"/>
  <c r="Z16202" i="1"/>
  <c r="Z16218" i="1"/>
  <c r="Z16231" i="1"/>
  <c r="Z16247" i="1"/>
  <c r="Z16263" i="1"/>
  <c r="Z16275" i="1"/>
  <c r="Z16291" i="1"/>
  <c r="Z16304" i="1"/>
  <c r="Z16320" i="1"/>
  <c r="Z16336" i="1"/>
  <c r="Z16348" i="1"/>
  <c r="Z16364" i="1"/>
  <c r="Z16377" i="1"/>
  <c r="Z16393" i="1"/>
  <c r="Z16409" i="1"/>
  <c r="Z16422" i="1"/>
  <c r="Z16438" i="1"/>
  <c r="Z16450" i="1"/>
  <c r="Z16466" i="1"/>
  <c r="Z16481" i="1"/>
  <c r="Z16492" i="1"/>
  <c r="Z16506" i="1"/>
  <c r="Z16517" i="1"/>
  <c r="Z16531" i="1"/>
  <c r="Z16545" i="1"/>
  <c r="Z16556" i="1"/>
  <c r="Z16570" i="1"/>
  <c r="Z16581" i="1"/>
  <c r="Z16595" i="1"/>
  <c r="Z16609" i="1"/>
  <c r="Z16620" i="1"/>
  <c r="Z16634" i="1"/>
  <c r="Z16645" i="1"/>
  <c r="Z16659" i="1"/>
  <c r="Z16673" i="1"/>
  <c r="Z16684" i="1"/>
  <c r="Z16698" i="1"/>
  <c r="Z16709" i="1"/>
  <c r="Z16723" i="1"/>
  <c r="Z16737" i="1"/>
  <c r="Z16748" i="1"/>
  <c r="Z16762" i="1"/>
  <c r="Z16773" i="1"/>
  <c r="Z16787" i="1"/>
  <c r="Z16801" i="1"/>
  <c r="Z16812" i="1"/>
  <c r="Z16826" i="1"/>
  <c r="Z16837" i="1"/>
  <c r="Z16851" i="1"/>
  <c r="Z16865" i="1"/>
  <c r="Z16876" i="1"/>
  <c r="Z16890" i="1"/>
  <c r="Z16901" i="1"/>
  <c r="Z16915" i="1"/>
  <c r="Z16929" i="1"/>
  <c r="Z16940" i="1"/>
  <c r="Z16954" i="1"/>
  <c r="Z16965" i="1"/>
  <c r="Z16979" i="1"/>
  <c r="Z16993" i="1"/>
  <c r="Z17004" i="1"/>
  <c r="Z17018" i="1"/>
  <c r="Z17029" i="1"/>
  <c r="Z17043" i="1"/>
  <c r="Z17057" i="1"/>
  <c r="Z17068" i="1"/>
  <c r="Z17082" i="1"/>
  <c r="Z17093" i="1"/>
  <c r="Z17107" i="1"/>
  <c r="Z17121" i="1"/>
  <c r="Z17132" i="1"/>
  <c r="Z17146" i="1"/>
  <c r="Z17157" i="1"/>
  <c r="Z17171" i="1"/>
  <c r="Z17185" i="1"/>
  <c r="Z17196" i="1"/>
  <c r="Z17210" i="1"/>
  <c r="Z17221" i="1"/>
  <c r="Z17235" i="1"/>
  <c r="Z17249" i="1"/>
  <c r="Z17260" i="1"/>
  <c r="Z17274" i="1"/>
  <c r="Z17285" i="1"/>
  <c r="Z17299" i="1"/>
  <c r="Z17313" i="1"/>
  <c r="Z17324" i="1"/>
  <c r="Z17338" i="1"/>
  <c r="Z17349" i="1"/>
  <c r="Z17363" i="1"/>
  <c r="Z17377" i="1"/>
  <c r="Z17388" i="1"/>
  <c r="Z17402" i="1"/>
  <c r="Z17413" i="1"/>
  <c r="Z17427" i="1"/>
  <c r="Z17441" i="1"/>
  <c r="Z17452" i="1"/>
  <c r="Z13799" i="1"/>
  <c r="Z13851" i="1"/>
  <c r="Z13904" i="1"/>
  <c r="Z13954" i="1"/>
  <c r="Z14004" i="1"/>
  <c r="Z14057" i="1"/>
  <c r="Z14107" i="1"/>
  <c r="Z14160" i="1"/>
  <c r="Z14196" i="1"/>
  <c r="Z14233" i="1"/>
  <c r="Z14264" i="1"/>
  <c r="Z14289" i="1"/>
  <c r="Z14314" i="1"/>
  <c r="Z14339" i="1"/>
  <c r="Z14364" i="1"/>
  <c r="Z14392" i="1"/>
  <c r="Z14417" i="1"/>
  <c r="Z14442" i="1"/>
  <c r="Z14467" i="1"/>
  <c r="Z14492" i="1"/>
  <c r="Z14520" i="1"/>
  <c r="Z14545" i="1"/>
  <c r="Z14570" i="1"/>
  <c r="Z14595" i="1"/>
  <c r="Z14620" i="1"/>
  <c r="Z14648" i="1"/>
  <c r="Z14673" i="1"/>
  <c r="Z14698" i="1"/>
  <c r="Z14723" i="1"/>
  <c r="Z14748" i="1"/>
  <c r="Z14776" i="1"/>
  <c r="Z14801" i="1"/>
  <c r="Z14826" i="1"/>
  <c r="Z14851" i="1"/>
  <c r="Z14876" i="1"/>
  <c r="Z14904" i="1"/>
  <c r="Z14929" i="1"/>
  <c r="Z14954" i="1"/>
  <c r="Z14979" i="1"/>
  <c r="Z15004" i="1"/>
  <c r="Z15032" i="1"/>
  <c r="Z15057" i="1"/>
  <c r="Z15080" i="1"/>
  <c r="Z15100" i="1"/>
  <c r="Z15120" i="1"/>
  <c r="Z15140" i="1"/>
  <c r="Z15160" i="1"/>
  <c r="Z15180" i="1"/>
  <c r="Z15203" i="1"/>
  <c r="Z15220" i="1"/>
  <c r="Z15243" i="1"/>
  <c r="Z15260" i="1"/>
  <c r="Z15283" i="1"/>
  <c r="Z15306" i="1"/>
  <c r="Z15323" i="1"/>
  <c r="Z15346" i="1"/>
  <c r="Z13800" i="1"/>
  <c r="Z13852" i="1"/>
  <c r="Z13905" i="1"/>
  <c r="Z13955" i="1"/>
  <c r="Z14008" i="1"/>
  <c r="Z14058" i="1"/>
  <c r="Z14108" i="1"/>
  <c r="Z14161" i="1"/>
  <c r="Z14200" i="1"/>
  <c r="Z14235" i="1"/>
  <c r="Z14272" i="1"/>
  <c r="Z14297" i="1"/>
  <c r="Z14322" i="1"/>
  <c r="Z14347" i="1"/>
  <c r="Z14372" i="1"/>
  <c r="Z14400" i="1"/>
  <c r="Z14425" i="1"/>
  <c r="Z14450" i="1"/>
  <c r="Z14475" i="1"/>
  <c r="Z14500" i="1"/>
  <c r="Z14528" i="1"/>
  <c r="Z14553" i="1"/>
  <c r="Z14578" i="1"/>
  <c r="Z14603" i="1"/>
  <c r="Z14628" i="1"/>
  <c r="Z14656" i="1"/>
  <c r="Z14681" i="1"/>
  <c r="Z14706" i="1"/>
  <c r="Z14731" i="1"/>
  <c r="Z14756" i="1"/>
  <c r="Z14784" i="1"/>
  <c r="Z14809" i="1"/>
  <c r="Z14834" i="1"/>
  <c r="Z14859" i="1"/>
  <c r="Z14884" i="1"/>
  <c r="Z14912" i="1"/>
  <c r="Z14937" i="1"/>
  <c r="Z14962" i="1"/>
  <c r="Z14987" i="1"/>
  <c r="Z15012" i="1"/>
  <c r="Z15040" i="1"/>
  <c r="Z15064" i="1"/>
  <c r="Z15081" i="1"/>
  <c r="Z15104" i="1"/>
  <c r="Z15121" i="1"/>
  <c r="Z15144" i="1"/>
  <c r="Z15164" i="1"/>
  <c r="Z15184" i="1"/>
  <c r="Z15204" i="1"/>
  <c r="Z15224" i="1"/>
  <c r="Z15244" i="1"/>
  <c r="Z15267" i="1"/>
  <c r="Z15284" i="1"/>
  <c r="Z15307" i="1"/>
  <c r="Z15324" i="1"/>
  <c r="Z15347" i="1"/>
  <c r="Z15370" i="1"/>
  <c r="Z15387" i="1"/>
  <c r="Z15410" i="1"/>
  <c r="Z15425" i="1"/>
  <c r="Z15443" i="1"/>
  <c r="Z15463" i="1"/>
  <c r="Z15476" i="1"/>
  <c r="Z15496" i="1"/>
  <c r="Z15511" i="1"/>
  <c r="Z15529" i="1"/>
  <c r="Z15547" i="1"/>
  <c r="Z15562" i="1"/>
  <c r="Z15578" i="1"/>
  <c r="Z15591" i="1"/>
  <c r="Z15607" i="1"/>
  <c r="Z15623" i="1"/>
  <c r="Z15635" i="1"/>
  <c r="Z15651" i="1"/>
  <c r="Z15664" i="1"/>
  <c r="Z15680" i="1"/>
  <c r="Z15696" i="1"/>
  <c r="Z15708" i="1"/>
  <c r="Z15724" i="1"/>
  <c r="Z15737" i="1"/>
  <c r="Z15753" i="1"/>
  <c r="Z15769" i="1"/>
  <c r="Z15782" i="1"/>
  <c r="Z15798" i="1"/>
  <c r="Z15810" i="1"/>
  <c r="Z15826" i="1"/>
  <c r="Z15842" i="1"/>
  <c r="Z15855" i="1"/>
  <c r="Z15871" i="1"/>
  <c r="Z15883" i="1"/>
  <c r="Z15899" i="1"/>
  <c r="Z15915" i="1"/>
  <c r="Z15928" i="1"/>
  <c r="Z15944" i="1"/>
  <c r="Z15956" i="1"/>
  <c r="Z15972" i="1"/>
  <c r="Z15988" i="1"/>
  <c r="Z16001" i="1"/>
  <c r="Z16017" i="1"/>
  <c r="Z16030" i="1"/>
  <c r="Z16046" i="1"/>
  <c r="Z16062" i="1"/>
  <c r="Z16074" i="1"/>
  <c r="Z16090" i="1"/>
  <c r="Z16103" i="1"/>
  <c r="Z16119" i="1"/>
  <c r="Z16135" i="1"/>
  <c r="Z16147" i="1"/>
  <c r="Z16163" i="1"/>
  <c r="Z16176" i="1"/>
  <c r="Z16192" i="1"/>
  <c r="Z16208" i="1"/>
  <c r="Z16220" i="1"/>
  <c r="Z16236" i="1"/>
  <c r="Z16249" i="1"/>
  <c r="Z16265" i="1"/>
  <c r="Z16281" i="1"/>
  <c r="Z16294" i="1"/>
  <c r="Z16310" i="1"/>
  <c r="Z16322" i="1"/>
  <c r="Z16338" i="1"/>
  <c r="Z16354" i="1"/>
  <c r="Z16367" i="1"/>
  <c r="Z16383" i="1"/>
  <c r="Z16395" i="1"/>
  <c r="Z16411" i="1"/>
  <c r="Z16427" i="1"/>
  <c r="Z13811" i="1"/>
  <c r="Z13865" i="1"/>
  <c r="Z13915" i="1"/>
  <c r="Z13968" i="1"/>
  <c r="Z14018" i="1"/>
  <c r="Z14068" i="1"/>
  <c r="Z14121" i="1"/>
  <c r="Z14171" i="1"/>
  <c r="Z14208" i="1"/>
  <c r="Z14236" i="1"/>
  <c r="Z14273" i="1"/>
  <c r="Z14298" i="1"/>
  <c r="Z14323" i="1"/>
  <c r="Z14348" i="1"/>
  <c r="Z14376" i="1"/>
  <c r="Z14401" i="1"/>
  <c r="Z14426" i="1"/>
  <c r="Z14451" i="1"/>
  <c r="Z14476" i="1"/>
  <c r="Z14504" i="1"/>
  <c r="Z14529" i="1"/>
  <c r="Z14554" i="1"/>
  <c r="Z14579" i="1"/>
  <c r="Z14604" i="1"/>
  <c r="Z14632" i="1"/>
  <c r="Z14657" i="1"/>
  <c r="Z14682" i="1"/>
  <c r="Z14707" i="1"/>
  <c r="Z14732" i="1"/>
  <c r="Z14760" i="1"/>
  <c r="Z14785" i="1"/>
  <c r="Z14810" i="1"/>
  <c r="Z14835" i="1"/>
  <c r="Z14860" i="1"/>
  <c r="Z14888" i="1"/>
  <c r="Z14913" i="1"/>
  <c r="Z14938" i="1"/>
  <c r="Z14963" i="1"/>
  <c r="Z14988" i="1"/>
  <c r="Z15016" i="1"/>
  <c r="Z15041" i="1"/>
  <c r="Z15065" i="1"/>
  <c r="Z15082" i="1"/>
  <c r="Z15105" i="1"/>
  <c r="Z15128" i="1"/>
  <c r="Z15145" i="1"/>
  <c r="Z15168" i="1"/>
  <c r="Z15185" i="1"/>
  <c r="Z15208" i="1"/>
  <c r="Z15228" i="1"/>
  <c r="Z15248" i="1"/>
  <c r="Z15268" i="1"/>
  <c r="Z15288" i="1"/>
  <c r="Z15308" i="1"/>
  <c r="Z15331" i="1"/>
  <c r="Z15348" i="1"/>
  <c r="Z15371" i="1"/>
  <c r="Z15388" i="1"/>
  <c r="Z15411" i="1"/>
  <c r="Z15431" i="1"/>
  <c r="Z15444" i="1"/>
  <c r="Z15464" i="1"/>
  <c r="Z15479" i="1"/>
  <c r="Z15497" i="1"/>
  <c r="Z15515" i="1"/>
  <c r="Z15530" i="1"/>
  <c r="Z15548" i="1"/>
  <c r="Z15563" i="1"/>
  <c r="Z15579" i="1"/>
  <c r="Z15595" i="1"/>
  <c r="Z15608" i="1"/>
  <c r="Z15624" i="1"/>
  <c r="Z15636" i="1"/>
  <c r="Z15652" i="1"/>
  <c r="Z15668" i="1"/>
  <c r="Z15681" i="1"/>
  <c r="Z15697" i="1"/>
  <c r="Z15710" i="1"/>
  <c r="Z15726" i="1"/>
  <c r="Z15742" i="1"/>
  <c r="Z15754" i="1"/>
  <c r="Z15770" i="1"/>
  <c r="Z15783" i="1"/>
  <c r="Z15799" i="1"/>
  <c r="Z15815" i="1"/>
  <c r="Z15827" i="1"/>
  <c r="Z15843" i="1"/>
  <c r="Z15856" i="1"/>
  <c r="Z15872" i="1"/>
  <c r="Z15888" i="1"/>
  <c r="Z15900" i="1"/>
  <c r="Z15916" i="1"/>
  <c r="Z15929" i="1"/>
  <c r="Z15945" i="1"/>
  <c r="Z15961" i="1"/>
  <c r="Z15974" i="1"/>
  <c r="Z15990" i="1"/>
  <c r="Z16002" i="1"/>
  <c r="Z16018" i="1"/>
  <c r="Z16034" i="1"/>
  <c r="Z16047" i="1"/>
  <c r="Z16063" i="1"/>
  <c r="Z16075" i="1"/>
  <c r="Z16091" i="1"/>
  <c r="Z16107" i="1"/>
  <c r="Z16120" i="1"/>
  <c r="Z16136" i="1"/>
  <c r="Z16148" i="1"/>
  <c r="Z16164" i="1"/>
  <c r="Z16180" i="1"/>
  <c r="Z16193" i="1"/>
  <c r="Z16209" i="1"/>
  <c r="Z16222" i="1"/>
  <c r="Z16238" i="1"/>
  <c r="Z16254" i="1"/>
  <c r="Z16266" i="1"/>
  <c r="Z16282" i="1"/>
  <c r="Z16295" i="1"/>
  <c r="Z16311" i="1"/>
  <c r="Z16327" i="1"/>
  <c r="Z16339" i="1"/>
  <c r="Z16355" i="1"/>
  <c r="Z16368" i="1"/>
  <c r="Z16384" i="1"/>
  <c r="Z16400" i="1"/>
  <c r="Z16412" i="1"/>
  <c r="Z16428" i="1"/>
  <c r="Z13816" i="1"/>
  <c r="Z14210" i="1"/>
  <c r="Z14427" i="1"/>
  <c r="Z14633" i="1"/>
  <c r="Z14836" i="1"/>
  <c r="Z15042" i="1"/>
  <c r="Z15209" i="1"/>
  <c r="Z15363" i="1"/>
  <c r="Z15442" i="1"/>
  <c r="Z15508" i="1"/>
  <c r="Z15577" i="1"/>
  <c r="Z15634" i="1"/>
  <c r="Z15691" i="1"/>
  <c r="Z15752" i="1"/>
  <c r="Z15809" i="1"/>
  <c r="Z15870" i="1"/>
  <c r="Z15927" i="1"/>
  <c r="Z15984" i="1"/>
  <c r="Z16044" i="1"/>
  <c r="Z16102" i="1"/>
  <c r="Z16162" i="1"/>
  <c r="Z16219" i="1"/>
  <c r="Z16276" i="1"/>
  <c r="Z16337" i="1"/>
  <c r="Z16394" i="1"/>
  <c r="Z16441" i="1"/>
  <c r="Z16473" i="1"/>
  <c r="Z16498" i="1"/>
  <c r="Z16523" i="1"/>
  <c r="Z16548" i="1"/>
  <c r="Z16573" i="1"/>
  <c r="Z16601" i="1"/>
  <c r="Z16626" i="1"/>
  <c r="Z16651" i="1"/>
  <c r="Z16676" i="1"/>
  <c r="Z16701" i="1"/>
  <c r="Z16729" i="1"/>
  <c r="Z16754" i="1"/>
  <c r="Z16779" i="1"/>
  <c r="Z16804" i="1"/>
  <c r="Z16829" i="1"/>
  <c r="Z16857" i="1"/>
  <c r="Z16882" i="1"/>
  <c r="Z16907" i="1"/>
  <c r="Z16932" i="1"/>
  <c r="Z16957" i="1"/>
  <c r="Z16985" i="1"/>
  <c r="Z17010" i="1"/>
  <c r="Z17035" i="1"/>
  <c r="Z17060" i="1"/>
  <c r="Z17085" i="1"/>
  <c r="Z17113" i="1"/>
  <c r="Z17138" i="1"/>
  <c r="Z17163" i="1"/>
  <c r="Z17188" i="1"/>
  <c r="Z17213" i="1"/>
  <c r="Z17241" i="1"/>
  <c r="Z17266" i="1"/>
  <c r="Z17291" i="1"/>
  <c r="Z17316" i="1"/>
  <c r="Z17341" i="1"/>
  <c r="Z17369" i="1"/>
  <c r="Z17394" i="1"/>
  <c r="Z17419" i="1"/>
  <c r="Z17444" i="1"/>
  <c r="Z17468" i="1"/>
  <c r="Z17491" i="1"/>
  <c r="Z17508" i="1"/>
  <c r="Z17531" i="1"/>
  <c r="Z17548" i="1"/>
  <c r="Z17571" i="1"/>
  <c r="Z17594" i="1"/>
  <c r="Z17611" i="1"/>
  <c r="Z17634" i="1"/>
  <c r="Z17651" i="1"/>
  <c r="Z17674" i="1"/>
  <c r="Z17697" i="1"/>
  <c r="Z17714" i="1"/>
  <c r="Z17737" i="1"/>
  <c r="Z17754" i="1"/>
  <c r="Z17777" i="1"/>
  <c r="Z17797" i="1"/>
  <c r="Z17817" i="1"/>
  <c r="Z17836" i="1"/>
  <c r="Z17851" i="1"/>
  <c r="Z17869" i="1"/>
  <c r="Z17889" i="1"/>
  <c r="Z17904" i="1"/>
  <c r="Z17922" i="1"/>
  <c r="Z17937" i="1"/>
  <c r="Z17955" i="1"/>
  <c r="Z17973" i="1"/>
  <c r="Z17988" i="1"/>
  <c r="Z18004" i="1"/>
  <c r="Z18017" i="1"/>
  <c r="Z18033" i="1"/>
  <c r="Z18049" i="1"/>
  <c r="Z18061" i="1"/>
  <c r="Z18077" i="1"/>
  <c r="Z18090" i="1"/>
  <c r="Z18106" i="1"/>
  <c r="Z18122" i="1"/>
  <c r="Z18135" i="1"/>
  <c r="Z18151" i="1"/>
  <c r="Z18163" i="1"/>
  <c r="Z18179" i="1"/>
  <c r="Z18195" i="1"/>
  <c r="Z18208" i="1"/>
  <c r="Z18224" i="1"/>
  <c r="Z18236" i="1"/>
  <c r="Z18252" i="1"/>
  <c r="Z18268" i="1"/>
  <c r="Z18281" i="1"/>
  <c r="Z18297" i="1"/>
  <c r="Z18309" i="1"/>
  <c r="Z18325" i="1"/>
  <c r="Z18341" i="1"/>
  <c r="Z18354" i="1"/>
  <c r="Z18370" i="1"/>
  <c r="Z18383" i="1"/>
  <c r="Z18399" i="1"/>
  <c r="Z18415" i="1"/>
  <c r="Z18427" i="1"/>
  <c r="Z18443" i="1"/>
  <c r="Z18456" i="1"/>
  <c r="Z18472" i="1"/>
  <c r="Z18488" i="1"/>
  <c r="Z18500" i="1"/>
  <c r="Z18516" i="1"/>
  <c r="Z18529" i="1"/>
  <c r="Z18545" i="1"/>
  <c r="Z18561" i="1"/>
  <c r="Z18573" i="1"/>
  <c r="Z18589" i="1"/>
  <c r="Z18602" i="1"/>
  <c r="Z18618" i="1"/>
  <c r="Z18634" i="1"/>
  <c r="Z18647" i="1"/>
  <c r="Z18663" i="1"/>
  <c r="Z18675" i="1"/>
  <c r="Z18691" i="1"/>
  <c r="Z18707" i="1"/>
  <c r="Z18720" i="1"/>
  <c r="Z18736" i="1"/>
  <c r="Z18748" i="1"/>
  <c r="Z18764" i="1"/>
  <c r="Z18780" i="1"/>
  <c r="Z18793" i="1"/>
  <c r="Z18809" i="1"/>
  <c r="Z18821" i="1"/>
  <c r="Z18837" i="1"/>
  <c r="Z18853" i="1"/>
  <c r="Z18866" i="1"/>
  <c r="Z18882" i="1"/>
  <c r="Z18895" i="1"/>
  <c r="Z18909" i="1"/>
  <c r="Z18923" i="1"/>
  <c r="Z18934" i="1"/>
  <c r="Z18948" i="1"/>
  <c r="Z18959" i="1"/>
  <c r="Z18973" i="1"/>
  <c r="Z18987" i="1"/>
  <c r="Z18998" i="1"/>
  <c r="Z19012" i="1"/>
  <c r="Z19023" i="1"/>
  <c r="Z19037" i="1"/>
  <c r="Z19051" i="1"/>
  <c r="Z19062" i="1"/>
  <c r="Z19076" i="1"/>
  <c r="Z19087" i="1"/>
  <c r="Z19101" i="1"/>
  <c r="Z19115" i="1"/>
  <c r="Z19126" i="1"/>
  <c r="Z19140" i="1"/>
  <c r="Z19151" i="1"/>
  <c r="Z19165" i="1"/>
  <c r="Z19179" i="1"/>
  <c r="Z19190" i="1"/>
  <c r="Z19204" i="1"/>
  <c r="Z19215" i="1"/>
  <c r="Z19229" i="1"/>
  <c r="Z19243" i="1"/>
  <c r="Z19254" i="1"/>
  <c r="Z19268" i="1"/>
  <c r="Z19279" i="1"/>
  <c r="Z19293" i="1"/>
  <c r="Z19307" i="1"/>
  <c r="Z19318" i="1"/>
  <c r="Z19332" i="1"/>
  <c r="Z19343" i="1"/>
  <c r="Z19357" i="1"/>
  <c r="Z19371" i="1"/>
  <c r="Z19382" i="1"/>
  <c r="Z19396" i="1"/>
  <c r="Z19407" i="1"/>
  <c r="Z19421" i="1"/>
  <c r="Z19435" i="1"/>
  <c r="Z19446" i="1"/>
  <c r="Z19460" i="1"/>
  <c r="Z19471" i="1"/>
  <c r="Z19485" i="1"/>
  <c r="Z19499" i="1"/>
  <c r="Z19510" i="1"/>
  <c r="Z19524" i="1"/>
  <c r="Z19535" i="1"/>
  <c r="Z19549" i="1"/>
  <c r="Z19563" i="1"/>
  <c r="Z19574" i="1"/>
  <c r="Z19588" i="1"/>
  <c r="Z19599" i="1"/>
  <c r="Z19613" i="1"/>
  <c r="Z19627" i="1"/>
  <c r="Z19638" i="1"/>
  <c r="Z19652" i="1"/>
  <c r="Z19663" i="1"/>
  <c r="Z19677" i="1"/>
  <c r="Z19691" i="1"/>
  <c r="Z19702" i="1"/>
  <c r="Z19716" i="1"/>
  <c r="Z19727" i="1"/>
  <c r="Z19741" i="1"/>
  <c r="Z19755" i="1"/>
  <c r="Z19766" i="1"/>
  <c r="Z19780" i="1"/>
  <c r="Z19791" i="1"/>
  <c r="Z19805" i="1"/>
  <c r="Z19819" i="1"/>
  <c r="Z19830" i="1"/>
  <c r="Z19844" i="1"/>
  <c r="Z19855" i="1"/>
  <c r="Z19869" i="1"/>
  <c r="Z19883" i="1"/>
  <c r="Z19894" i="1"/>
  <c r="Z19908" i="1"/>
  <c r="Z19919" i="1"/>
  <c r="Z19933" i="1"/>
  <c r="Z19947" i="1"/>
  <c r="Z19958" i="1"/>
  <c r="Z19972" i="1"/>
  <c r="Z19983" i="1"/>
  <c r="Z19995" i="1"/>
  <c r="Z20005" i="1"/>
  <c r="Z20014" i="1"/>
  <c r="Z20023" i="1"/>
  <c r="Z20033" i="1"/>
  <c r="Z20042" i="1"/>
  <c r="Z20051" i="1"/>
  <c r="Z20060" i="1"/>
  <c r="Z20069" i="1"/>
  <c r="Z20078" i="1"/>
  <c r="Z20087" i="1"/>
  <c r="Z20097" i="1"/>
  <c r="Z20106" i="1"/>
  <c r="Z20115" i="1"/>
  <c r="Z20124" i="1"/>
  <c r="Z20133" i="1"/>
  <c r="Z20142" i="1"/>
  <c r="Z20151" i="1"/>
  <c r="Z20161" i="1"/>
  <c r="Z20170" i="1"/>
  <c r="Z20179" i="1"/>
  <c r="Z20188" i="1"/>
  <c r="Z20197" i="1"/>
  <c r="Z20206" i="1"/>
  <c r="Z20215" i="1"/>
  <c r="Z20225" i="1"/>
  <c r="Z20234" i="1"/>
  <c r="Z20243" i="1"/>
  <c r="Z20252" i="1"/>
  <c r="Z20261" i="1"/>
  <c r="Z20270" i="1"/>
  <c r="Z20279" i="1"/>
  <c r="Z20289" i="1"/>
  <c r="Z20298" i="1"/>
  <c r="Z20307" i="1"/>
  <c r="Z20316" i="1"/>
  <c r="Z20325" i="1"/>
  <c r="Z20334" i="1"/>
  <c r="Z20343" i="1"/>
  <c r="Z20353" i="1"/>
  <c r="Z20362" i="1"/>
  <c r="Z20371" i="1"/>
  <c r="Z20380" i="1"/>
  <c r="Z20389" i="1"/>
  <c r="Z20398" i="1"/>
  <c r="Z20407" i="1"/>
  <c r="Z20417" i="1"/>
  <c r="Z20426" i="1"/>
  <c r="Z20435" i="1"/>
  <c r="Z20444" i="1"/>
  <c r="Z20453" i="1"/>
  <c r="Z20462" i="1"/>
  <c r="Z20471" i="1"/>
  <c r="Z20481" i="1"/>
  <c r="Z20490" i="1"/>
  <c r="Z20499" i="1"/>
  <c r="Z20508" i="1"/>
  <c r="Z20517" i="1"/>
  <c r="Z20526" i="1"/>
  <c r="Z20535" i="1"/>
  <c r="Z20545" i="1"/>
  <c r="Z20554" i="1"/>
  <c r="Z20563" i="1"/>
  <c r="Z20572" i="1"/>
  <c r="Z20581" i="1"/>
  <c r="Z20590" i="1"/>
  <c r="Z20599" i="1"/>
  <c r="Z20609" i="1"/>
  <c r="Z20618" i="1"/>
  <c r="Z20627" i="1"/>
  <c r="Z20636" i="1"/>
  <c r="Z20645" i="1"/>
  <c r="Z20654" i="1"/>
  <c r="Z20663" i="1"/>
  <c r="Z20673" i="1"/>
  <c r="Z20682" i="1"/>
  <c r="Z20691" i="1"/>
  <c r="Z20700" i="1"/>
  <c r="Z20709" i="1"/>
  <c r="Z20718" i="1"/>
  <c r="Z20727" i="1"/>
  <c r="Z20737" i="1"/>
  <c r="Z20746" i="1"/>
  <c r="Z20755" i="1"/>
  <c r="Z20764" i="1"/>
  <c r="Z20773" i="1"/>
  <c r="Z20781" i="1"/>
  <c r="Z20789" i="1"/>
  <c r="Z20797" i="1"/>
  <c r="Z20805" i="1"/>
  <c r="Z20813" i="1"/>
  <c r="Z20821" i="1"/>
  <c r="Z20829" i="1"/>
  <c r="Z20837" i="1"/>
  <c r="Z20845" i="1"/>
  <c r="Z20853" i="1"/>
  <c r="Z20861" i="1"/>
  <c r="Z20869" i="1"/>
  <c r="Z20877" i="1"/>
  <c r="Z20885" i="1"/>
  <c r="Z20893" i="1"/>
  <c r="Z20901" i="1"/>
  <c r="Z20909" i="1"/>
  <c r="Z20917" i="1"/>
  <c r="Z20925" i="1"/>
  <c r="Z20933" i="1"/>
  <c r="Z20941" i="1"/>
  <c r="Z20949" i="1"/>
  <c r="Z20957" i="1"/>
  <c r="Z20965" i="1"/>
  <c r="Z20973" i="1"/>
  <c r="Z20981" i="1"/>
  <c r="Z20989" i="1"/>
  <c r="Z20997" i="1"/>
  <c r="Z21005" i="1"/>
  <c r="Z21013" i="1"/>
  <c r="Z21021" i="1"/>
  <c r="Z21029" i="1"/>
  <c r="Z21037" i="1"/>
  <c r="Z21045" i="1"/>
  <c r="Z21053" i="1"/>
  <c r="Z21061" i="1"/>
  <c r="Z21069" i="1"/>
  <c r="Z21077" i="1"/>
  <c r="Z21085" i="1"/>
  <c r="Z21093" i="1"/>
  <c r="Z21101" i="1"/>
  <c r="Z21109" i="1"/>
  <c r="Z21117" i="1"/>
  <c r="Z21125" i="1"/>
  <c r="Z21133" i="1"/>
  <c r="Z21141" i="1"/>
  <c r="Z21149" i="1"/>
  <c r="Z21157" i="1"/>
  <c r="Z21165" i="1"/>
  <c r="Z21173" i="1"/>
  <c r="Z21181" i="1"/>
  <c r="Z21189" i="1"/>
  <c r="Z21197" i="1"/>
  <c r="Z21205" i="1"/>
  <c r="Z21213" i="1"/>
  <c r="Z21221" i="1"/>
  <c r="Z21229" i="1"/>
  <c r="Z21237" i="1"/>
  <c r="Z21245" i="1"/>
  <c r="Z21253" i="1"/>
  <c r="Z21261" i="1"/>
  <c r="Z21269" i="1"/>
  <c r="Z21277" i="1"/>
  <c r="Z21285" i="1"/>
  <c r="Z21293" i="1"/>
  <c r="Z21301" i="1"/>
  <c r="Z21309" i="1"/>
  <c r="Z21317" i="1"/>
  <c r="Z21325" i="1"/>
  <c r="Z21333" i="1"/>
  <c r="Z21341" i="1"/>
  <c r="Z21349" i="1"/>
  <c r="Z21357" i="1"/>
  <c r="Z21365" i="1"/>
  <c r="Z21373" i="1"/>
  <c r="Z21381" i="1"/>
  <c r="Z21389" i="1"/>
  <c r="Z21397" i="1"/>
  <c r="Z21405" i="1"/>
  <c r="Z21413" i="1"/>
  <c r="Z21421" i="1"/>
  <c r="Z21429" i="1"/>
  <c r="Z21437" i="1"/>
  <c r="Z21445" i="1"/>
  <c r="Z21453" i="1"/>
  <c r="Z21461" i="1"/>
  <c r="Z21469" i="1"/>
  <c r="Z21477" i="1"/>
  <c r="Z21485" i="1"/>
  <c r="Z21493" i="1"/>
  <c r="Z21501" i="1"/>
  <c r="Z21509" i="1"/>
  <c r="Z21517" i="1"/>
  <c r="Z21525" i="1"/>
  <c r="Z21533" i="1"/>
  <c r="Z21541" i="1"/>
  <c r="Z21549" i="1"/>
  <c r="Z21557" i="1"/>
  <c r="Z21565" i="1"/>
  <c r="Z21573" i="1"/>
  <c r="Z21581" i="1"/>
  <c r="Z21589" i="1"/>
  <c r="Z21597" i="1"/>
  <c r="Z21605" i="1"/>
  <c r="Z21613" i="1"/>
  <c r="Z21621" i="1"/>
  <c r="Z21629" i="1"/>
  <c r="Z21637" i="1"/>
  <c r="Z21645" i="1"/>
  <c r="Z21653" i="1"/>
  <c r="Z21661" i="1"/>
  <c r="Z21669" i="1"/>
  <c r="Z21677" i="1"/>
  <c r="Z21685" i="1"/>
  <c r="Z21693" i="1"/>
  <c r="Z21701" i="1"/>
  <c r="Z21709" i="1"/>
  <c r="Z21717" i="1"/>
  <c r="Z21725" i="1"/>
  <c r="Z21733" i="1"/>
  <c r="Z21741" i="1"/>
  <c r="Z21749" i="1"/>
  <c r="Z21757" i="1"/>
  <c r="Z21765" i="1"/>
  <c r="Z21773" i="1"/>
  <c r="Z21781" i="1"/>
  <c r="Z21789" i="1"/>
  <c r="Z21797" i="1"/>
  <c r="Z21805" i="1"/>
  <c r="Z21813" i="1"/>
  <c r="Z21821" i="1"/>
  <c r="Z21829" i="1"/>
  <c r="Z21837" i="1"/>
  <c r="Z21845" i="1"/>
  <c r="Z21853" i="1"/>
  <c r="Z21861" i="1"/>
  <c r="Z21869" i="1"/>
  <c r="Z21877" i="1"/>
  <c r="Z21885" i="1"/>
  <c r="Z21893" i="1"/>
  <c r="Z21901" i="1"/>
  <c r="Z21909" i="1"/>
  <c r="Z21917" i="1"/>
  <c r="Z21925" i="1"/>
  <c r="Z21933" i="1"/>
  <c r="Z21941" i="1"/>
  <c r="Z21422" i="1"/>
  <c r="Z21454" i="1"/>
  <c r="Z21470" i="1"/>
  <c r="Z21486" i="1"/>
  <c r="Z21502" i="1"/>
  <c r="Z21510" i="1"/>
  <c r="Z21526" i="1"/>
  <c r="Z21542" i="1"/>
  <c r="Z21558" i="1"/>
  <c r="Z21574" i="1"/>
  <c r="Z21582" i="1"/>
  <c r="Z21598" i="1"/>
  <c r="Z21614" i="1"/>
  <c r="Z21630" i="1"/>
  <c r="Z21646" i="1"/>
  <c r="Z21662" i="1"/>
  <c r="Z21670" i="1"/>
  <c r="Z21686" i="1"/>
  <c r="Z21702" i="1"/>
  <c r="Z21718" i="1"/>
  <c r="Z21734" i="1"/>
  <c r="Z21750" i="1"/>
  <c r="Z21758" i="1"/>
  <c r="Z21774" i="1"/>
  <c r="Z21790" i="1"/>
  <c r="Z21806" i="1"/>
  <c r="Z21822" i="1"/>
  <c r="Z21830" i="1"/>
  <c r="Z21846" i="1"/>
  <c r="Z21862" i="1"/>
  <c r="Z21878" i="1"/>
  <c r="Z21894" i="1"/>
  <c r="Z21910" i="1"/>
  <c r="Z21918" i="1"/>
  <c r="Z21934" i="1"/>
  <c r="Z21815" i="1"/>
  <c r="Z21847" i="1"/>
  <c r="Z21871" i="1"/>
  <c r="Z21895" i="1"/>
  <c r="Z21919" i="1"/>
  <c r="Z21935" i="1"/>
  <c r="Z19004" i="1"/>
  <c r="Z19235" i="1"/>
  <c r="Z19271" i="1"/>
  <c r="Z19299" i="1"/>
  <c r="Z19349" i="1"/>
  <c r="Z19374" i="1"/>
  <c r="Z19413" i="1"/>
  <c r="Z19463" i="1"/>
  <c r="Z19502" i="1"/>
  <c r="Z19527" i="1"/>
  <c r="Z19580" i="1"/>
  <c r="Z19630" i="1"/>
  <c r="Z19669" i="1"/>
  <c r="Z19694" i="1"/>
  <c r="Z19747" i="1"/>
  <c r="Z19783" i="1"/>
  <c r="Z19822" i="1"/>
  <c r="Z19861" i="1"/>
  <c r="Z19911" i="1"/>
  <c r="Z19950" i="1"/>
  <c r="Z19988" i="1"/>
  <c r="Z20018" i="1"/>
  <c r="Z20045" i="1"/>
  <c r="Z20073" i="1"/>
  <c r="Z20100" i="1"/>
  <c r="Z20127" i="1"/>
  <c r="Z20164" i="1"/>
  <c r="Z20201" i="1"/>
  <c r="Z20228" i="1"/>
  <c r="Z20265" i="1"/>
  <c r="Z20301" i="1"/>
  <c r="Z20329" i="1"/>
  <c r="Z20356" i="1"/>
  <c r="Z20383" i="1"/>
  <c r="Z20411" i="1"/>
  <c r="Z20438" i="1"/>
  <c r="Z20457" i="1"/>
  <c r="Z20484" i="1"/>
  <c r="Z20511" i="1"/>
  <c r="Z20548" i="1"/>
  <c r="Z20575" i="1"/>
  <c r="Z20630" i="1"/>
  <c r="Z20658" i="1"/>
  <c r="Z20676" i="1"/>
  <c r="Z20713" i="1"/>
  <c r="Z20740" i="1"/>
  <c r="Z20767" i="1"/>
  <c r="Z20800" i="1"/>
  <c r="Z20824" i="1"/>
  <c r="Z20840" i="1"/>
  <c r="Z20872" i="1"/>
  <c r="Z20904" i="1"/>
  <c r="Z20920" i="1"/>
  <c r="Z20944" i="1"/>
  <c r="Z20976" i="1"/>
  <c r="Z21008" i="1"/>
  <c r="Z21032" i="1"/>
  <c r="Z21056" i="1"/>
  <c r="Z21088" i="1"/>
  <c r="Z21128" i="1"/>
  <c r="Z21160" i="1"/>
  <c r="Z21192" i="1"/>
  <c r="Z21216" i="1"/>
  <c r="Z21224" i="1"/>
  <c r="Z21256" i="1"/>
  <c r="Z21280" i="1"/>
  <c r="Z21304" i="1"/>
  <c r="Z21336" i="1"/>
  <c r="Z21360" i="1"/>
  <c r="Z21392" i="1"/>
  <c r="Z21408" i="1"/>
  <c r="Z21432" i="1"/>
  <c r="Z21464" i="1"/>
  <c r="Z21504" i="1"/>
  <c r="Z21528" i="1"/>
  <c r="Z21552" i="1"/>
  <c r="Z21576" i="1"/>
  <c r="Z21600" i="1"/>
  <c r="Z21632" i="1"/>
  <c r="Z21656" i="1"/>
  <c r="Z21680" i="1"/>
  <c r="Z21712" i="1"/>
  <c r="Z13866" i="1"/>
  <c r="Z14244" i="1"/>
  <c r="Z14452" i="1"/>
  <c r="Z14658" i="1"/>
  <c r="Z14864" i="1"/>
  <c r="Z15066" i="1"/>
  <c r="Z15232" i="1"/>
  <c r="Z15372" i="1"/>
  <c r="Z15447" i="1"/>
  <c r="Z15516" i="1"/>
  <c r="Z15580" i="1"/>
  <c r="Z15641" i="1"/>
  <c r="Z15698" i="1"/>
  <c r="Z15755" i="1"/>
  <c r="Z15816" i="1"/>
  <c r="Z15873" i="1"/>
  <c r="Z15934" i="1"/>
  <c r="Z15991" i="1"/>
  <c r="Z16048" i="1"/>
  <c r="Z16108" i="1"/>
  <c r="Z16166" i="1"/>
  <c r="Z16226" i="1"/>
  <c r="Z16283" i="1"/>
  <c r="Z16340" i="1"/>
  <c r="Z16401" i="1"/>
  <c r="Z16446" i="1"/>
  <c r="Z16474" i="1"/>
  <c r="Z16499" i="1"/>
  <c r="Z16524" i="1"/>
  <c r="Z16549" i="1"/>
  <c r="Z16577" i="1"/>
  <c r="Z16602" i="1"/>
  <c r="Z16627" i="1"/>
  <c r="Z16652" i="1"/>
  <c r="Z16677" i="1"/>
  <c r="Z16705" i="1"/>
  <c r="Z16730" i="1"/>
  <c r="Z16755" i="1"/>
  <c r="Z16780" i="1"/>
  <c r="Z16805" i="1"/>
  <c r="Z16833" i="1"/>
  <c r="Z16858" i="1"/>
  <c r="Z16883" i="1"/>
  <c r="Z16908" i="1"/>
  <c r="Z16933" i="1"/>
  <c r="Z16961" i="1"/>
  <c r="Z16986" i="1"/>
  <c r="Z17011" i="1"/>
  <c r="Z17036" i="1"/>
  <c r="Z17061" i="1"/>
  <c r="Z17089" i="1"/>
  <c r="Z17114" i="1"/>
  <c r="Z17139" i="1"/>
  <c r="Z17164" i="1"/>
  <c r="Z17189" i="1"/>
  <c r="Z17217" i="1"/>
  <c r="Z17242" i="1"/>
  <c r="Z17267" i="1"/>
  <c r="Z17292" i="1"/>
  <c r="Z17317" i="1"/>
  <c r="Z17345" i="1"/>
  <c r="Z17370" i="1"/>
  <c r="Z17395" i="1"/>
  <c r="Z17420" i="1"/>
  <c r="Z17445" i="1"/>
  <c r="Z17469" i="1"/>
  <c r="Z17492" i="1"/>
  <c r="Z17509" i="1"/>
  <c r="Z17532" i="1"/>
  <c r="Z17555" i="1"/>
  <c r="Z17572" i="1"/>
  <c r="Z17595" i="1"/>
  <c r="Z17612" i="1"/>
  <c r="Z17635" i="1"/>
  <c r="Z17658" i="1"/>
  <c r="Z17675" i="1"/>
  <c r="Z17698" i="1"/>
  <c r="Z17715" i="1"/>
  <c r="Z17738" i="1"/>
  <c r="Z17761" i="1"/>
  <c r="Z17778" i="1"/>
  <c r="Z17801" i="1"/>
  <c r="Z17818" i="1"/>
  <c r="Z17837" i="1"/>
  <c r="Z17857" i="1"/>
  <c r="Z17872" i="1"/>
  <c r="Z17890" i="1"/>
  <c r="Z17905" i="1"/>
  <c r="Z17923" i="1"/>
  <c r="Z17941" i="1"/>
  <c r="Z17956" i="1"/>
  <c r="Z17976" i="1"/>
  <c r="Z17989" i="1"/>
  <c r="Z18005" i="1"/>
  <c r="Z18021" i="1"/>
  <c r="Z18034" i="1"/>
  <c r="Z18050" i="1"/>
  <c r="Z18063" i="1"/>
  <c r="Z18079" i="1"/>
  <c r="Z18095" i="1"/>
  <c r="Z18107" i="1"/>
  <c r="Z18123" i="1"/>
  <c r="Z18136" i="1"/>
  <c r="Z18152" i="1"/>
  <c r="Z18168" i="1"/>
  <c r="Z18180" i="1"/>
  <c r="Z18196" i="1"/>
  <c r="Z18209" i="1"/>
  <c r="Z18225" i="1"/>
  <c r="Z18241" i="1"/>
  <c r="Z18253" i="1"/>
  <c r="Z18269" i="1"/>
  <c r="Z18282" i="1"/>
  <c r="Z18298" i="1"/>
  <c r="Z18314" i="1"/>
  <c r="Z18327" i="1"/>
  <c r="Z18343" i="1"/>
  <c r="Z18355" i="1"/>
  <c r="Z18371" i="1"/>
  <c r="Z18387" i="1"/>
  <c r="Z18400" i="1"/>
  <c r="Z18416" i="1"/>
  <c r="Z18428" i="1"/>
  <c r="Z18444" i="1"/>
  <c r="Z18460" i="1"/>
  <c r="Z18473" i="1"/>
  <c r="Z18489" i="1"/>
  <c r="Z18501" i="1"/>
  <c r="Z18517" i="1"/>
  <c r="Z18533" i="1"/>
  <c r="Z18546" i="1"/>
  <c r="Z18562" i="1"/>
  <c r="Z18575" i="1"/>
  <c r="Z18591" i="1"/>
  <c r="Z18607" i="1"/>
  <c r="Z18619" i="1"/>
  <c r="Z18635" i="1"/>
  <c r="Z18648" i="1"/>
  <c r="Z18664" i="1"/>
  <c r="Z18680" i="1"/>
  <c r="Z18692" i="1"/>
  <c r="Z18708" i="1"/>
  <c r="Z18721" i="1"/>
  <c r="Z18737" i="1"/>
  <c r="Z18753" i="1"/>
  <c r="Z18765" i="1"/>
  <c r="Z18781" i="1"/>
  <c r="Z18794" i="1"/>
  <c r="Z18810" i="1"/>
  <c r="Z18826" i="1"/>
  <c r="Z18839" i="1"/>
  <c r="Z18855" i="1"/>
  <c r="Z18867" i="1"/>
  <c r="Z18883" i="1"/>
  <c r="Z18899" i="1"/>
  <c r="Z18910" i="1"/>
  <c r="Z18924" i="1"/>
  <c r="Z18935" i="1"/>
  <c r="Z18949" i="1"/>
  <c r="Z18963" i="1"/>
  <c r="Z18974" i="1"/>
  <c r="Z18988" i="1"/>
  <c r="Z18999" i="1"/>
  <c r="Z19013" i="1"/>
  <c r="Z19027" i="1"/>
  <c r="Z19038" i="1"/>
  <c r="Z19052" i="1"/>
  <c r="Z19063" i="1"/>
  <c r="Z19077" i="1"/>
  <c r="Z19091" i="1"/>
  <c r="Z19102" i="1"/>
  <c r="Z19116" i="1"/>
  <c r="Z19127" i="1"/>
  <c r="Z19141" i="1"/>
  <c r="Z19155" i="1"/>
  <c r="Z19166" i="1"/>
  <c r="Z19180" i="1"/>
  <c r="Z19191" i="1"/>
  <c r="Z19205" i="1"/>
  <c r="Z19219" i="1"/>
  <c r="Z19230" i="1"/>
  <c r="Z19244" i="1"/>
  <c r="Z19255" i="1"/>
  <c r="Z19269" i="1"/>
  <c r="Z19283" i="1"/>
  <c r="Z19294" i="1"/>
  <c r="Z19308" i="1"/>
  <c r="Z19319" i="1"/>
  <c r="Z19333" i="1"/>
  <c r="Z19347" i="1"/>
  <c r="Z19358" i="1"/>
  <c r="Z19372" i="1"/>
  <c r="Z19383" i="1"/>
  <c r="Z19397" i="1"/>
  <c r="Z19411" i="1"/>
  <c r="Z19422" i="1"/>
  <c r="Z19436" i="1"/>
  <c r="Z19447" i="1"/>
  <c r="Z19461" i="1"/>
  <c r="Z19475" i="1"/>
  <c r="Z19486" i="1"/>
  <c r="Z19500" i="1"/>
  <c r="Z19511" i="1"/>
  <c r="Z19525" i="1"/>
  <c r="Z19539" i="1"/>
  <c r="Z19550" i="1"/>
  <c r="Z19564" i="1"/>
  <c r="Z19575" i="1"/>
  <c r="Z19589" i="1"/>
  <c r="Z19603" i="1"/>
  <c r="Z19614" i="1"/>
  <c r="Z19628" i="1"/>
  <c r="Z19639" i="1"/>
  <c r="Z19653" i="1"/>
  <c r="Z19667" i="1"/>
  <c r="Z19678" i="1"/>
  <c r="Z19692" i="1"/>
  <c r="Z19703" i="1"/>
  <c r="Z19717" i="1"/>
  <c r="Z19731" i="1"/>
  <c r="Z19742" i="1"/>
  <c r="Z19756" i="1"/>
  <c r="Z19767" i="1"/>
  <c r="Z19781" i="1"/>
  <c r="Z19795" i="1"/>
  <c r="Z19806" i="1"/>
  <c r="Z19820" i="1"/>
  <c r="Z19831" i="1"/>
  <c r="Z19845" i="1"/>
  <c r="Z19859" i="1"/>
  <c r="Z19870" i="1"/>
  <c r="Z19884" i="1"/>
  <c r="Z19895" i="1"/>
  <c r="Z19909" i="1"/>
  <c r="Z19923" i="1"/>
  <c r="Z19934" i="1"/>
  <c r="Z19948" i="1"/>
  <c r="Z19959" i="1"/>
  <c r="Z19973" i="1"/>
  <c r="Z19986" i="1"/>
  <c r="Z19996" i="1"/>
  <c r="Z20006" i="1"/>
  <c r="Z20015" i="1"/>
  <c r="Z20025" i="1"/>
  <c r="Z20034" i="1"/>
  <c r="Z20043" i="1"/>
  <c r="Z20052" i="1"/>
  <c r="Z20061" i="1"/>
  <c r="Z20070" i="1"/>
  <c r="Z20079" i="1"/>
  <c r="Z20089" i="1"/>
  <c r="Z20098" i="1"/>
  <c r="Z20107" i="1"/>
  <c r="Z20116" i="1"/>
  <c r="Z20125" i="1"/>
  <c r="Z20134" i="1"/>
  <c r="Z20143" i="1"/>
  <c r="Z20153" i="1"/>
  <c r="Z20162" i="1"/>
  <c r="Z20171" i="1"/>
  <c r="Z20180" i="1"/>
  <c r="Z20189" i="1"/>
  <c r="Z20198" i="1"/>
  <c r="Z20207" i="1"/>
  <c r="Z20217" i="1"/>
  <c r="Z20226" i="1"/>
  <c r="Z20235" i="1"/>
  <c r="Z20244" i="1"/>
  <c r="Z20253" i="1"/>
  <c r="Z20262" i="1"/>
  <c r="Z20271" i="1"/>
  <c r="Z20281" i="1"/>
  <c r="Z20290" i="1"/>
  <c r="Z20299" i="1"/>
  <c r="Z20308" i="1"/>
  <c r="Z20317" i="1"/>
  <c r="Z20326" i="1"/>
  <c r="Z20335" i="1"/>
  <c r="Z20345" i="1"/>
  <c r="Z20354" i="1"/>
  <c r="Z20363" i="1"/>
  <c r="Z20372" i="1"/>
  <c r="Z20381" i="1"/>
  <c r="Z20390" i="1"/>
  <c r="Z20399" i="1"/>
  <c r="Z20409" i="1"/>
  <c r="Z20418" i="1"/>
  <c r="Z20427" i="1"/>
  <c r="Z20436" i="1"/>
  <c r="Z20445" i="1"/>
  <c r="Z20454" i="1"/>
  <c r="Z20463" i="1"/>
  <c r="Z20473" i="1"/>
  <c r="Z20482" i="1"/>
  <c r="Z20491" i="1"/>
  <c r="Z20500" i="1"/>
  <c r="Z20509" i="1"/>
  <c r="Z20518" i="1"/>
  <c r="Z20527" i="1"/>
  <c r="Z20537" i="1"/>
  <c r="Z20546" i="1"/>
  <c r="Z20555" i="1"/>
  <c r="Z20564" i="1"/>
  <c r="Z20573" i="1"/>
  <c r="Z20582" i="1"/>
  <c r="Z20591" i="1"/>
  <c r="Z20601" i="1"/>
  <c r="Z20610" i="1"/>
  <c r="Z20619" i="1"/>
  <c r="Z20628" i="1"/>
  <c r="Z20637" i="1"/>
  <c r="Z20646" i="1"/>
  <c r="Z20655" i="1"/>
  <c r="Z20665" i="1"/>
  <c r="Z20674" i="1"/>
  <c r="Z20683" i="1"/>
  <c r="Z20692" i="1"/>
  <c r="Z20701" i="1"/>
  <c r="Z20710" i="1"/>
  <c r="Z20719" i="1"/>
  <c r="Z20729" i="1"/>
  <c r="Z20738" i="1"/>
  <c r="Z20747" i="1"/>
  <c r="Z20756" i="1"/>
  <c r="Z20765" i="1"/>
  <c r="Z20774" i="1"/>
  <c r="Z20782" i="1"/>
  <c r="Z20790" i="1"/>
  <c r="Z20798" i="1"/>
  <c r="Z20806" i="1"/>
  <c r="Z20814" i="1"/>
  <c r="Z20822" i="1"/>
  <c r="Z20830" i="1"/>
  <c r="Z20838" i="1"/>
  <c r="Z20846" i="1"/>
  <c r="Z20854" i="1"/>
  <c r="Z20862" i="1"/>
  <c r="Z20870" i="1"/>
  <c r="Z20878" i="1"/>
  <c r="Z20886" i="1"/>
  <c r="Z20894" i="1"/>
  <c r="Z20902" i="1"/>
  <c r="Z20910" i="1"/>
  <c r="Z20918" i="1"/>
  <c r="Z20926" i="1"/>
  <c r="Z20934" i="1"/>
  <c r="Z20942" i="1"/>
  <c r="Z20950" i="1"/>
  <c r="Z20958" i="1"/>
  <c r="Z20966" i="1"/>
  <c r="Z20974" i="1"/>
  <c r="Z20982" i="1"/>
  <c r="Z20990" i="1"/>
  <c r="Z20998" i="1"/>
  <c r="Z21006" i="1"/>
  <c r="Z21014" i="1"/>
  <c r="Z21022" i="1"/>
  <c r="Z21030" i="1"/>
  <c r="Z21038" i="1"/>
  <c r="Z21046" i="1"/>
  <c r="Z21054" i="1"/>
  <c r="Z21062" i="1"/>
  <c r="Z21070" i="1"/>
  <c r="Z21078" i="1"/>
  <c r="Z21086" i="1"/>
  <c r="Z21094" i="1"/>
  <c r="Z21102" i="1"/>
  <c r="Z21110" i="1"/>
  <c r="Z21118" i="1"/>
  <c r="Z21126" i="1"/>
  <c r="Z21134" i="1"/>
  <c r="Z21142" i="1"/>
  <c r="Z21150" i="1"/>
  <c r="Z21158" i="1"/>
  <c r="Z21166" i="1"/>
  <c r="Z21174" i="1"/>
  <c r="Z21182" i="1"/>
  <c r="Z21190" i="1"/>
  <c r="Z21198" i="1"/>
  <c r="Z21206" i="1"/>
  <c r="Z21214" i="1"/>
  <c r="Z21222" i="1"/>
  <c r="Z21230" i="1"/>
  <c r="Z21238" i="1"/>
  <c r="Z21246" i="1"/>
  <c r="Z21254" i="1"/>
  <c r="Z21262" i="1"/>
  <c r="Z21270" i="1"/>
  <c r="Z21278" i="1"/>
  <c r="Z21286" i="1"/>
  <c r="Z21294" i="1"/>
  <c r="Z21302" i="1"/>
  <c r="Z21310" i="1"/>
  <c r="Z21318" i="1"/>
  <c r="Z21326" i="1"/>
  <c r="Z21334" i="1"/>
  <c r="Z21342" i="1"/>
  <c r="Z21350" i="1"/>
  <c r="Z21358" i="1"/>
  <c r="Z21366" i="1"/>
  <c r="Z21374" i="1"/>
  <c r="Z21382" i="1"/>
  <c r="Z21390" i="1"/>
  <c r="Z21398" i="1"/>
  <c r="Z21406" i="1"/>
  <c r="Z21414" i="1"/>
  <c r="Z21430" i="1"/>
  <c r="Z21438" i="1"/>
  <c r="Z21446" i="1"/>
  <c r="Z21462" i="1"/>
  <c r="Z21478" i="1"/>
  <c r="Z21494" i="1"/>
  <c r="Z21518" i="1"/>
  <c r="Z21534" i="1"/>
  <c r="Z21550" i="1"/>
  <c r="Z21566" i="1"/>
  <c r="Z21590" i="1"/>
  <c r="Z21606" i="1"/>
  <c r="Z21622" i="1"/>
  <c r="Z21638" i="1"/>
  <c r="Z21654" i="1"/>
  <c r="Z21678" i="1"/>
  <c r="Z21694" i="1"/>
  <c r="Z21710" i="1"/>
  <c r="Z21726" i="1"/>
  <c r="Z21742" i="1"/>
  <c r="Z21766" i="1"/>
  <c r="Z21782" i="1"/>
  <c r="Z21798" i="1"/>
  <c r="Z21814" i="1"/>
  <c r="Z21838" i="1"/>
  <c r="Z21854" i="1"/>
  <c r="Z21870" i="1"/>
  <c r="Z21886" i="1"/>
  <c r="Z21902" i="1"/>
  <c r="Z21926" i="1"/>
  <c r="Z21942" i="1"/>
  <c r="Z21823" i="1"/>
  <c r="Z21855" i="1"/>
  <c r="Z21879" i="1"/>
  <c r="Z21911" i="1"/>
  <c r="Z21943" i="1"/>
  <c r="Z19029" i="1"/>
  <c r="Z19207" i="1"/>
  <c r="Z19260" i="1"/>
  <c r="Z19310" i="1"/>
  <c r="Z19363" i="1"/>
  <c r="Z19399" i="1"/>
  <c r="Z19438" i="1"/>
  <c r="Z19491" i="1"/>
  <c r="Z19541" i="1"/>
  <c r="Z19591" i="1"/>
  <c r="Z19619" i="1"/>
  <c r="Z19655" i="1"/>
  <c r="Z19708" i="1"/>
  <c r="Z19772" i="1"/>
  <c r="Z19811" i="1"/>
  <c r="Z19847" i="1"/>
  <c r="Z19900" i="1"/>
  <c r="Z19939" i="1"/>
  <c r="Z19975" i="1"/>
  <c r="Z20009" i="1"/>
  <c r="Z20054" i="1"/>
  <c r="Z20091" i="1"/>
  <c r="Z20118" i="1"/>
  <c r="Z20155" i="1"/>
  <c r="Z20182" i="1"/>
  <c r="Z20210" i="1"/>
  <c r="Z20237" i="1"/>
  <c r="Z20274" i="1"/>
  <c r="Z20292" i="1"/>
  <c r="Z20319" i="1"/>
  <c r="Z20365" i="1"/>
  <c r="Z20402" i="1"/>
  <c r="Z20447" i="1"/>
  <c r="Z20466" i="1"/>
  <c r="Z20493" i="1"/>
  <c r="Z20530" i="1"/>
  <c r="Z20566" i="1"/>
  <c r="Z20594" i="1"/>
  <c r="Z20612" i="1"/>
  <c r="Z20649" i="1"/>
  <c r="Z20694" i="1"/>
  <c r="Z20731" i="1"/>
  <c r="Z20758" i="1"/>
  <c r="Z20784" i="1"/>
  <c r="Z20816" i="1"/>
  <c r="Z20848" i="1"/>
  <c r="Z20880" i="1"/>
  <c r="Z20896" i="1"/>
  <c r="Z20936" i="1"/>
  <c r="Z20960" i="1"/>
  <c r="Z20984" i="1"/>
  <c r="Z21016" i="1"/>
  <c r="Z21048" i="1"/>
  <c r="Z21080" i="1"/>
  <c r="Z21112" i="1"/>
  <c r="Z21152" i="1"/>
  <c r="Z21184" i="1"/>
  <c r="Z21240" i="1"/>
  <c r="Z21272" i="1"/>
  <c r="Z21296" i="1"/>
  <c r="Z21328" i="1"/>
  <c r="Z21352" i="1"/>
  <c r="Z21384" i="1"/>
  <c r="Z21416" i="1"/>
  <c r="Z21456" i="1"/>
  <c r="Z21480" i="1"/>
  <c r="Z21496" i="1"/>
  <c r="Z21520" i="1"/>
  <c r="Z21560" i="1"/>
  <c r="Z21584" i="1"/>
  <c r="Z21608" i="1"/>
  <c r="Z21640" i="1"/>
  <c r="Z21664" i="1"/>
  <c r="Z21696" i="1"/>
  <c r="Z21720" i="1"/>
  <c r="Z13916" i="1"/>
  <c r="Z14274" i="1"/>
  <c r="Z14480" i="1"/>
  <c r="Z14683" i="1"/>
  <c r="Z14889" i="1"/>
  <c r="Z15089" i="1"/>
  <c r="Z15249" i="1"/>
  <c r="Z15386" i="1"/>
  <c r="Z15457" i="1"/>
  <c r="Z15528" i="1"/>
  <c r="Z15590" i="1"/>
  <c r="Z15650" i="1"/>
  <c r="Z15707" i="1"/>
  <c r="Z15764" i="1"/>
  <c r="Z15825" i="1"/>
  <c r="Z15882" i="1"/>
  <c r="Z15943" i="1"/>
  <c r="Z16000" i="1"/>
  <c r="Z16057" i="1"/>
  <c r="Z16118" i="1"/>
  <c r="Z16175" i="1"/>
  <c r="Z16235" i="1"/>
  <c r="Z16292" i="1"/>
  <c r="Z16350" i="1"/>
  <c r="Z16410" i="1"/>
  <c r="Z16455" i="1"/>
  <c r="Z16482" i="1"/>
  <c r="Z16507" i="1"/>
  <c r="Z16532" i="1"/>
  <c r="Z16557" i="1"/>
  <c r="Z16585" i="1"/>
  <c r="Z16610" i="1"/>
  <c r="Z16635" i="1"/>
  <c r="Z16660" i="1"/>
  <c r="Z16685" i="1"/>
  <c r="Z16713" i="1"/>
  <c r="Z16738" i="1"/>
  <c r="Z16763" i="1"/>
  <c r="Z16788" i="1"/>
  <c r="Z16813" i="1"/>
  <c r="Z16841" i="1"/>
  <c r="Z16866" i="1"/>
  <c r="Z16891" i="1"/>
  <c r="Z16916" i="1"/>
  <c r="Z16941" i="1"/>
  <c r="Z16969" i="1"/>
  <c r="Z16994" i="1"/>
  <c r="Z17019" i="1"/>
  <c r="Z17044" i="1"/>
  <c r="Z17069" i="1"/>
  <c r="Z17097" i="1"/>
  <c r="Z17122" i="1"/>
  <c r="Z17147" i="1"/>
  <c r="Z17172" i="1"/>
  <c r="Z17197" i="1"/>
  <c r="Z17225" i="1"/>
  <c r="Z17250" i="1"/>
  <c r="Z17275" i="1"/>
  <c r="Z17300" i="1"/>
  <c r="Z17325" i="1"/>
  <c r="Z17353" i="1"/>
  <c r="Z17378" i="1"/>
  <c r="Z17403" i="1"/>
  <c r="Z17428" i="1"/>
  <c r="Z17453" i="1"/>
  <c r="Z17473" i="1"/>
  <c r="Z17493" i="1"/>
  <c r="Z17516" i="1"/>
  <c r="Z17533" i="1"/>
  <c r="Z17556" i="1"/>
  <c r="Z17573" i="1"/>
  <c r="Z17596" i="1"/>
  <c r="Z17619" i="1"/>
  <c r="Z17636" i="1"/>
  <c r="Z17659" i="1"/>
  <c r="Z17676" i="1"/>
  <c r="Z17699" i="1"/>
  <c r="Z17722" i="1"/>
  <c r="Z17739" i="1"/>
  <c r="Z17762" i="1"/>
  <c r="Z17779" i="1"/>
  <c r="Z17802" i="1"/>
  <c r="Z17825" i="1"/>
  <c r="Z17840" i="1"/>
  <c r="Z17858" i="1"/>
  <c r="Z17873" i="1"/>
  <c r="Z17891" i="1"/>
  <c r="Z17909" i="1"/>
  <c r="Z17924" i="1"/>
  <c r="Z17944" i="1"/>
  <c r="Z17957" i="1"/>
  <c r="Z17977" i="1"/>
  <c r="Z17994" i="1"/>
  <c r="Z18007" i="1"/>
  <c r="Z18023" i="1"/>
  <c r="Z18035" i="1"/>
  <c r="Z18051" i="1"/>
  <c r="Z18067" i="1"/>
  <c r="Z18080" i="1"/>
  <c r="Z18096" i="1"/>
  <c r="Z18108" i="1"/>
  <c r="Z18124" i="1"/>
  <c r="Z18140" i="1"/>
  <c r="Z18153" i="1"/>
  <c r="Z18169" i="1"/>
  <c r="Z18181" i="1"/>
  <c r="Z18197" i="1"/>
  <c r="Z18213" i="1"/>
  <c r="Z18226" i="1"/>
  <c r="Z18242" i="1"/>
  <c r="Z18255" i="1"/>
  <c r="Z18271" i="1"/>
  <c r="Z18287" i="1"/>
  <c r="Z18299" i="1"/>
  <c r="Z18315" i="1"/>
  <c r="Z18328" i="1"/>
  <c r="Z18344" i="1"/>
  <c r="Z18360" i="1"/>
  <c r="Z18372" i="1"/>
  <c r="Z18388" i="1"/>
  <c r="Z18401" i="1"/>
  <c r="Z18417" i="1"/>
  <c r="Z18433" i="1"/>
  <c r="Z18445" i="1"/>
  <c r="Z18461" i="1"/>
  <c r="Z18474" i="1"/>
  <c r="Z18490" i="1"/>
  <c r="Z18506" i="1"/>
  <c r="Z18519" i="1"/>
  <c r="Z18535" i="1"/>
  <c r="Z18547" i="1"/>
  <c r="Z18563" i="1"/>
  <c r="Z18579" i="1"/>
  <c r="Z18592" i="1"/>
  <c r="Z18608" i="1"/>
  <c r="Z18620" i="1"/>
  <c r="Z18636" i="1"/>
  <c r="Z18652" i="1"/>
  <c r="Z18665" i="1"/>
  <c r="Z18681" i="1"/>
  <c r="Z18693" i="1"/>
  <c r="Z18709" i="1"/>
  <c r="Z18725" i="1"/>
  <c r="Z18738" i="1"/>
  <c r="Z18754" i="1"/>
  <c r="Z18767" i="1"/>
  <c r="Z18783" i="1"/>
  <c r="Z18799" i="1"/>
  <c r="Z18811" i="1"/>
  <c r="Z18827" i="1"/>
  <c r="Z18840" i="1"/>
  <c r="Z18856" i="1"/>
  <c r="Z18872" i="1"/>
  <c r="Z18884" i="1"/>
  <c r="Z18900" i="1"/>
  <c r="Z18911" i="1"/>
  <c r="Z18925" i="1"/>
  <c r="Z18939" i="1"/>
  <c r="Z18950" i="1"/>
  <c r="Z18964" i="1"/>
  <c r="Z18975" i="1"/>
  <c r="Z18989" i="1"/>
  <c r="Z19003" i="1"/>
  <c r="Z19014" i="1"/>
  <c r="Z19028" i="1"/>
  <c r="Z19039" i="1"/>
  <c r="Z19053" i="1"/>
  <c r="Z19067" i="1"/>
  <c r="Z19078" i="1"/>
  <c r="Z19092" i="1"/>
  <c r="Z19103" i="1"/>
  <c r="Z19117" i="1"/>
  <c r="Z19131" i="1"/>
  <c r="Z19142" i="1"/>
  <c r="Z19156" i="1"/>
  <c r="Z19167" i="1"/>
  <c r="Z19181" i="1"/>
  <c r="Z19195" i="1"/>
  <c r="Z19206" i="1"/>
  <c r="Z19220" i="1"/>
  <c r="Z19231" i="1"/>
  <c r="Z19245" i="1"/>
  <c r="Z19259" i="1"/>
  <c r="Z19270" i="1"/>
  <c r="Z19284" i="1"/>
  <c r="Z19295" i="1"/>
  <c r="Z19309" i="1"/>
  <c r="Z19323" i="1"/>
  <c r="Z19334" i="1"/>
  <c r="Z19348" i="1"/>
  <c r="Z19359" i="1"/>
  <c r="Z19373" i="1"/>
  <c r="Z19387" i="1"/>
  <c r="Z19398" i="1"/>
  <c r="Z19412" i="1"/>
  <c r="Z19423" i="1"/>
  <c r="Z19437" i="1"/>
  <c r="Z19451" i="1"/>
  <c r="Z19462" i="1"/>
  <c r="Z19476" i="1"/>
  <c r="Z19487" i="1"/>
  <c r="Z19501" i="1"/>
  <c r="Z19515" i="1"/>
  <c r="Z19526" i="1"/>
  <c r="Z19540" i="1"/>
  <c r="Z19551" i="1"/>
  <c r="Z19565" i="1"/>
  <c r="Z19579" i="1"/>
  <c r="Z19590" i="1"/>
  <c r="Z19604" i="1"/>
  <c r="Z19615" i="1"/>
  <c r="Z19629" i="1"/>
  <c r="Z19643" i="1"/>
  <c r="Z19654" i="1"/>
  <c r="Z19668" i="1"/>
  <c r="Z19679" i="1"/>
  <c r="Z19693" i="1"/>
  <c r="Z19707" i="1"/>
  <c r="Z19718" i="1"/>
  <c r="Z19732" i="1"/>
  <c r="Z19743" i="1"/>
  <c r="Z19757" i="1"/>
  <c r="Z19771" i="1"/>
  <c r="Z19782" i="1"/>
  <c r="Z19796" i="1"/>
  <c r="Z19807" i="1"/>
  <c r="Z19821" i="1"/>
  <c r="Z19835" i="1"/>
  <c r="Z19846" i="1"/>
  <c r="Z19860" i="1"/>
  <c r="Z19871" i="1"/>
  <c r="Z19885" i="1"/>
  <c r="Z19899" i="1"/>
  <c r="Z19910" i="1"/>
  <c r="Z19924" i="1"/>
  <c r="Z19935" i="1"/>
  <c r="Z19949" i="1"/>
  <c r="Z19963" i="1"/>
  <c r="Z19974" i="1"/>
  <c r="Z19987" i="1"/>
  <c r="Z19997" i="1"/>
  <c r="Z20007" i="1"/>
  <c r="Z20017" i="1"/>
  <c r="Z20026" i="1"/>
  <c r="Z20035" i="1"/>
  <c r="Z20044" i="1"/>
  <c r="Z20053" i="1"/>
  <c r="Z20062" i="1"/>
  <c r="Z20071" i="1"/>
  <c r="Z20081" i="1"/>
  <c r="Z20090" i="1"/>
  <c r="Z20099" i="1"/>
  <c r="Z20108" i="1"/>
  <c r="Z20117" i="1"/>
  <c r="Z20126" i="1"/>
  <c r="Z20135" i="1"/>
  <c r="Z20145" i="1"/>
  <c r="Z20154" i="1"/>
  <c r="Z20163" i="1"/>
  <c r="Z20172" i="1"/>
  <c r="Z20181" i="1"/>
  <c r="Z20190" i="1"/>
  <c r="Z20199" i="1"/>
  <c r="Z20209" i="1"/>
  <c r="Z20218" i="1"/>
  <c r="Z20227" i="1"/>
  <c r="Z20236" i="1"/>
  <c r="Z20245" i="1"/>
  <c r="Z20254" i="1"/>
  <c r="Z20263" i="1"/>
  <c r="Z20273" i="1"/>
  <c r="Z20282" i="1"/>
  <c r="Z20291" i="1"/>
  <c r="Z20300" i="1"/>
  <c r="Z20309" i="1"/>
  <c r="Z20318" i="1"/>
  <c r="Z20327" i="1"/>
  <c r="Z20337" i="1"/>
  <c r="Z20346" i="1"/>
  <c r="Z20355" i="1"/>
  <c r="Z20364" i="1"/>
  <c r="Z20373" i="1"/>
  <c r="Z20382" i="1"/>
  <c r="Z20391" i="1"/>
  <c r="Z20401" i="1"/>
  <c r="Z20410" i="1"/>
  <c r="Z20419" i="1"/>
  <c r="Z20428" i="1"/>
  <c r="Z20437" i="1"/>
  <c r="Z20446" i="1"/>
  <c r="Z20455" i="1"/>
  <c r="Z20465" i="1"/>
  <c r="Z20474" i="1"/>
  <c r="Z20483" i="1"/>
  <c r="Z20492" i="1"/>
  <c r="Z20501" i="1"/>
  <c r="Z20510" i="1"/>
  <c r="Z20519" i="1"/>
  <c r="Z20529" i="1"/>
  <c r="Z20538" i="1"/>
  <c r="Z20547" i="1"/>
  <c r="Z20556" i="1"/>
  <c r="Z20565" i="1"/>
  <c r="Z20574" i="1"/>
  <c r="Z20583" i="1"/>
  <c r="Z20593" i="1"/>
  <c r="Z20602" i="1"/>
  <c r="Z20611" i="1"/>
  <c r="Z20620" i="1"/>
  <c r="Z20629" i="1"/>
  <c r="Z20638" i="1"/>
  <c r="Z20647" i="1"/>
  <c r="Z20657" i="1"/>
  <c r="Z20666" i="1"/>
  <c r="Z20675" i="1"/>
  <c r="Z20684" i="1"/>
  <c r="Z20693" i="1"/>
  <c r="Z20702" i="1"/>
  <c r="Z20711" i="1"/>
  <c r="Z20721" i="1"/>
  <c r="Z20730" i="1"/>
  <c r="Z20739" i="1"/>
  <c r="Z20748" i="1"/>
  <c r="Z20757" i="1"/>
  <c r="Z20766" i="1"/>
  <c r="Z20775" i="1"/>
  <c r="Z20783" i="1"/>
  <c r="Z20791" i="1"/>
  <c r="Z20799" i="1"/>
  <c r="Z20807" i="1"/>
  <c r="Z20815" i="1"/>
  <c r="Z20823" i="1"/>
  <c r="Z20831" i="1"/>
  <c r="Z20839" i="1"/>
  <c r="Z20847" i="1"/>
  <c r="Z20855" i="1"/>
  <c r="Z20863" i="1"/>
  <c r="Z20871" i="1"/>
  <c r="Z20879" i="1"/>
  <c r="Z20887" i="1"/>
  <c r="Z20895" i="1"/>
  <c r="Z20903" i="1"/>
  <c r="Z20911" i="1"/>
  <c r="Z20919" i="1"/>
  <c r="Z20927" i="1"/>
  <c r="Z20935" i="1"/>
  <c r="Z20943" i="1"/>
  <c r="Z20951" i="1"/>
  <c r="Z20959" i="1"/>
  <c r="Z20967" i="1"/>
  <c r="Z20975" i="1"/>
  <c r="Z20983" i="1"/>
  <c r="Z20991" i="1"/>
  <c r="Z20999" i="1"/>
  <c r="Z21007" i="1"/>
  <c r="Z21015" i="1"/>
  <c r="Z21023" i="1"/>
  <c r="Z21031" i="1"/>
  <c r="Z21039" i="1"/>
  <c r="Z21047" i="1"/>
  <c r="Z21055" i="1"/>
  <c r="Z21063" i="1"/>
  <c r="Z21071" i="1"/>
  <c r="Z21079" i="1"/>
  <c r="Z21087" i="1"/>
  <c r="Z21095" i="1"/>
  <c r="Z21103" i="1"/>
  <c r="Z21111" i="1"/>
  <c r="Z21119" i="1"/>
  <c r="Z21127" i="1"/>
  <c r="Z21135" i="1"/>
  <c r="Z21143" i="1"/>
  <c r="Z21151" i="1"/>
  <c r="Z21159" i="1"/>
  <c r="Z21167" i="1"/>
  <c r="Z21175" i="1"/>
  <c r="Z21183" i="1"/>
  <c r="Z21191" i="1"/>
  <c r="Z21199" i="1"/>
  <c r="Z21207" i="1"/>
  <c r="Z21215" i="1"/>
  <c r="Z21223" i="1"/>
  <c r="Z21231" i="1"/>
  <c r="Z21239" i="1"/>
  <c r="Z21247" i="1"/>
  <c r="Z21255" i="1"/>
  <c r="Z21263" i="1"/>
  <c r="Z21271" i="1"/>
  <c r="Z21279" i="1"/>
  <c r="Z21287" i="1"/>
  <c r="Z21295" i="1"/>
  <c r="Z21303" i="1"/>
  <c r="Z21311" i="1"/>
  <c r="Z21319" i="1"/>
  <c r="Z21327" i="1"/>
  <c r="Z21335" i="1"/>
  <c r="Z21343" i="1"/>
  <c r="Z21351" i="1"/>
  <c r="Z21359" i="1"/>
  <c r="Z21367" i="1"/>
  <c r="Z21375" i="1"/>
  <c r="Z21383" i="1"/>
  <c r="Z21391" i="1"/>
  <c r="Z21399" i="1"/>
  <c r="Z21407" i="1"/>
  <c r="Z21415" i="1"/>
  <c r="Z21423" i="1"/>
  <c r="Z21431" i="1"/>
  <c r="Z21439" i="1"/>
  <c r="Z21447" i="1"/>
  <c r="Z21455" i="1"/>
  <c r="Z21463" i="1"/>
  <c r="Z21471" i="1"/>
  <c r="Z21479" i="1"/>
  <c r="Z21487" i="1"/>
  <c r="Z21495" i="1"/>
  <c r="Z21503" i="1"/>
  <c r="Z21511" i="1"/>
  <c r="Z21519" i="1"/>
  <c r="Z21527" i="1"/>
  <c r="Z21535" i="1"/>
  <c r="Z21543" i="1"/>
  <c r="Z21551" i="1"/>
  <c r="Z21559" i="1"/>
  <c r="Z21567" i="1"/>
  <c r="Z21575" i="1"/>
  <c r="Z21583" i="1"/>
  <c r="Z21591" i="1"/>
  <c r="Z21599" i="1"/>
  <c r="Z21607" i="1"/>
  <c r="Z21615" i="1"/>
  <c r="Z21623" i="1"/>
  <c r="Z21631" i="1"/>
  <c r="Z21639" i="1"/>
  <c r="Z21647" i="1"/>
  <c r="Z21655" i="1"/>
  <c r="Z21663" i="1"/>
  <c r="Z21671" i="1"/>
  <c r="Z21679" i="1"/>
  <c r="Z21687" i="1"/>
  <c r="Z21695" i="1"/>
  <c r="Z21703" i="1"/>
  <c r="Z21711" i="1"/>
  <c r="Z21719" i="1"/>
  <c r="Z21727" i="1"/>
  <c r="Z21735" i="1"/>
  <c r="Z21743" i="1"/>
  <c r="Z21751" i="1"/>
  <c r="Z21759" i="1"/>
  <c r="Z21767" i="1"/>
  <c r="Z21775" i="1"/>
  <c r="Z21783" i="1"/>
  <c r="Z21791" i="1"/>
  <c r="Z21799" i="1"/>
  <c r="Z21807" i="1"/>
  <c r="Z21831" i="1"/>
  <c r="Z21839" i="1"/>
  <c r="Z21863" i="1"/>
  <c r="Z21887" i="1"/>
  <c r="Z21903" i="1"/>
  <c r="Z21927" i="1"/>
  <c r="Z19015" i="1"/>
  <c r="Z19196" i="1"/>
  <c r="Z19246" i="1"/>
  <c r="Z19285" i="1"/>
  <c r="Z19335" i="1"/>
  <c r="Z19388" i="1"/>
  <c r="Z19452" i="1"/>
  <c r="Z19477" i="1"/>
  <c r="Z19516" i="1"/>
  <c r="Z19566" i="1"/>
  <c r="Z19605" i="1"/>
  <c r="Z19644" i="1"/>
  <c r="Z19683" i="1"/>
  <c r="Z19733" i="1"/>
  <c r="Z19758" i="1"/>
  <c r="Z19797" i="1"/>
  <c r="Z19836" i="1"/>
  <c r="Z19886" i="1"/>
  <c r="Z19925" i="1"/>
  <c r="Z19964" i="1"/>
  <c r="Z19998" i="1"/>
  <c r="Z20027" i="1"/>
  <c r="Z20063" i="1"/>
  <c r="Z20082" i="1"/>
  <c r="Z20109" i="1"/>
  <c r="Z20137" i="1"/>
  <c r="Z20173" i="1"/>
  <c r="Z20191" i="1"/>
  <c r="Z20219" i="1"/>
  <c r="Z20255" i="1"/>
  <c r="Z20283" i="1"/>
  <c r="Z20310" i="1"/>
  <c r="Z20338" i="1"/>
  <c r="Z20374" i="1"/>
  <c r="Z20393" i="1"/>
  <c r="Z20429" i="1"/>
  <c r="Z20475" i="1"/>
  <c r="Z20502" i="1"/>
  <c r="Z20521" i="1"/>
  <c r="Z20557" i="1"/>
  <c r="Z20585" i="1"/>
  <c r="Z20603" i="1"/>
  <c r="Z20639" i="1"/>
  <c r="Z20667" i="1"/>
  <c r="Z20685" i="1"/>
  <c r="Z20722" i="1"/>
  <c r="Z20749" i="1"/>
  <c r="Z20776" i="1"/>
  <c r="Z20808" i="1"/>
  <c r="Z20832" i="1"/>
  <c r="Z20856" i="1"/>
  <c r="Z20888" i="1"/>
  <c r="Z20928" i="1"/>
  <c r="Z20968" i="1"/>
  <c r="Z20992" i="1"/>
  <c r="Z21024" i="1"/>
  <c r="Z21040" i="1"/>
  <c r="Z21064" i="1"/>
  <c r="Z21096" i="1"/>
  <c r="Z21120" i="1"/>
  <c r="Z21136" i="1"/>
  <c r="Z21144" i="1"/>
  <c r="Z21168" i="1"/>
  <c r="Z21200" i="1"/>
  <c r="Z21208" i="1"/>
  <c r="Z21232" i="1"/>
  <c r="Z21264" i="1"/>
  <c r="Z21288" i="1"/>
  <c r="Z21312" i="1"/>
  <c r="Z21344" i="1"/>
  <c r="Z21368" i="1"/>
  <c r="Z21400" i="1"/>
  <c r="Z21424" i="1"/>
  <c r="Z21440" i="1"/>
  <c r="Z21472" i="1"/>
  <c r="Z21488" i="1"/>
  <c r="Z21512" i="1"/>
  <c r="Z21544" i="1"/>
  <c r="Z21568" i="1"/>
  <c r="Z21592" i="1"/>
  <c r="Z21624" i="1"/>
  <c r="Z21648" i="1"/>
  <c r="Z21672" i="1"/>
  <c r="Z21704" i="1"/>
  <c r="Z13969" i="1"/>
  <c r="Z14299" i="1"/>
  <c r="Z14505" i="1"/>
  <c r="Z14708" i="1"/>
  <c r="Z14914" i="1"/>
  <c r="Z15106" i="1"/>
  <c r="Z15272" i="1"/>
  <c r="Z15395" i="1"/>
  <c r="Z15465" i="1"/>
  <c r="Z15531" i="1"/>
  <c r="Z15596" i="1"/>
  <c r="Z15654" i="1"/>
  <c r="Z15714" i="1"/>
  <c r="Z15771" i="1"/>
  <c r="Z15828" i="1"/>
  <c r="Z15889" i="1"/>
  <c r="Z15946" i="1"/>
  <c r="Z16007" i="1"/>
  <c r="Z16064" i="1"/>
  <c r="Z16121" i="1"/>
  <c r="Z16182" i="1"/>
  <c r="Z16239" i="1"/>
  <c r="Z16299" i="1"/>
  <c r="Z16356" i="1"/>
  <c r="Z16414" i="1"/>
  <c r="Z16456" i="1"/>
  <c r="Z16483" i="1"/>
  <c r="Z16508" i="1"/>
  <c r="Z16533" i="1"/>
  <c r="Z16561" i="1"/>
  <c r="Z16586" i="1"/>
  <c r="Z16611" i="1"/>
  <c r="Z16636" i="1"/>
  <c r="Z16661" i="1"/>
  <c r="Z16689" i="1"/>
  <c r="Z16714" i="1"/>
  <c r="Z16739" i="1"/>
  <c r="Z16764" i="1"/>
  <c r="Z16789" i="1"/>
  <c r="Z16817" i="1"/>
  <c r="Z16842" i="1"/>
  <c r="Z16867" i="1"/>
  <c r="Z16892" i="1"/>
  <c r="Z16917" i="1"/>
  <c r="Z16945" i="1"/>
  <c r="Z16970" i="1"/>
  <c r="Z16995" i="1"/>
  <c r="Z17020" i="1"/>
  <c r="Z17045" i="1"/>
  <c r="Z17073" i="1"/>
  <c r="Z17098" i="1"/>
  <c r="Z17123" i="1"/>
  <c r="Z17148" i="1"/>
  <c r="Z17173" i="1"/>
  <c r="Z17201" i="1"/>
  <c r="Z17226" i="1"/>
  <c r="Z17251" i="1"/>
  <c r="Z17276" i="1"/>
  <c r="Z17301" i="1"/>
  <c r="Z17329" i="1"/>
  <c r="Z17354" i="1"/>
  <c r="Z17379" i="1"/>
  <c r="Z17404" i="1"/>
  <c r="Z17429" i="1"/>
  <c r="Z17457" i="1"/>
  <c r="Z17477" i="1"/>
  <c r="Z17497" i="1"/>
  <c r="Z17517" i="1"/>
  <c r="Z17537" i="1"/>
  <c r="Z17557" i="1"/>
  <c r="Z17580" i="1"/>
  <c r="Z17597" i="1"/>
  <c r="Z17620" i="1"/>
  <c r="Z17637" i="1"/>
  <c r="Z17660" i="1"/>
  <c r="Z17683" i="1"/>
  <c r="Z17700" i="1"/>
  <c r="Z17723" i="1"/>
  <c r="Z17740" i="1"/>
  <c r="Z17763" i="1"/>
  <c r="Z17786" i="1"/>
  <c r="Z17803" i="1"/>
  <c r="Z17826" i="1"/>
  <c r="Z17841" i="1"/>
  <c r="Z17859" i="1"/>
  <c r="Z17877" i="1"/>
  <c r="Z17892" i="1"/>
  <c r="Z17912" i="1"/>
  <c r="Z17925" i="1"/>
  <c r="Z17945" i="1"/>
  <c r="Z17963" i="1"/>
  <c r="Z17978" i="1"/>
  <c r="Z17995" i="1"/>
  <c r="Z18008" i="1"/>
  <c r="Z18024" i="1"/>
  <c r="Z18040" i="1"/>
  <c r="Z18052" i="1"/>
  <c r="Z18068" i="1"/>
  <c r="Z18081" i="1"/>
  <c r="Z18097" i="1"/>
  <c r="Z18113" i="1"/>
  <c r="Z18125" i="1"/>
  <c r="Z18141" i="1"/>
  <c r="Z18154" i="1"/>
  <c r="Z18170" i="1"/>
  <c r="Z18186" i="1"/>
  <c r="Z18199" i="1"/>
  <c r="Z18215" i="1"/>
  <c r="Z18227" i="1"/>
  <c r="Z18243" i="1"/>
  <c r="Z18259" i="1"/>
  <c r="Z18272" i="1"/>
  <c r="Z18288" i="1"/>
  <c r="Z18300" i="1"/>
  <c r="Z18316" i="1"/>
  <c r="Z18332" i="1"/>
  <c r="Z18345" i="1"/>
  <c r="Z18361" i="1"/>
  <c r="Z18373" i="1"/>
  <c r="Z18389" i="1"/>
  <c r="Z18405" i="1"/>
  <c r="Z18418" i="1"/>
  <c r="Z18434" i="1"/>
  <c r="Z18447" i="1"/>
  <c r="Z18463" i="1"/>
  <c r="Z18479" i="1"/>
  <c r="Z18491" i="1"/>
  <c r="Z18507" i="1"/>
  <c r="Z18520" i="1"/>
  <c r="Z18536" i="1"/>
  <c r="Z18552" i="1"/>
  <c r="Z18564" i="1"/>
  <c r="Z18580" i="1"/>
  <c r="Z18593" i="1"/>
  <c r="Z18609" i="1"/>
  <c r="Z18625" i="1"/>
  <c r="Z18637" i="1"/>
  <c r="Z18653" i="1"/>
  <c r="Z18666" i="1"/>
  <c r="Z18682" i="1"/>
  <c r="Z18698" i="1"/>
  <c r="Z18711" i="1"/>
  <c r="Z18727" i="1"/>
  <c r="Z18739" i="1"/>
  <c r="Z18755" i="1"/>
  <c r="Z18771" i="1"/>
  <c r="Z18784" i="1"/>
  <c r="Z18800" i="1"/>
  <c r="Z18812" i="1"/>
  <c r="Z18828" i="1"/>
  <c r="Z18844" i="1"/>
  <c r="Z18857" i="1"/>
  <c r="Z18873" i="1"/>
  <c r="Z18885" i="1"/>
  <c r="Z18901" i="1"/>
  <c r="Z18915" i="1"/>
  <c r="Z18926" i="1"/>
  <c r="Z18940" i="1"/>
  <c r="Z18951" i="1"/>
  <c r="Z18965" i="1"/>
  <c r="Z18979" i="1"/>
  <c r="Z18990" i="1"/>
  <c r="Z19043" i="1"/>
  <c r="Z19054" i="1"/>
  <c r="Z19068" i="1"/>
  <c r="Z19079" i="1"/>
  <c r="Z19093" i="1"/>
  <c r="Z19107" i="1"/>
  <c r="Z19118" i="1"/>
  <c r="Z19132" i="1"/>
  <c r="Z19143" i="1"/>
  <c r="Z19157" i="1"/>
  <c r="Z19171" i="1"/>
  <c r="Z19182" i="1"/>
  <c r="Z19221" i="1"/>
  <c r="Z19324" i="1"/>
  <c r="Z19427" i="1"/>
  <c r="Z19555" i="1"/>
  <c r="Z19719" i="1"/>
  <c r="Z19875" i="1"/>
  <c r="Z20036" i="1"/>
  <c r="Z20146" i="1"/>
  <c r="Z20246" i="1"/>
  <c r="Z20347" i="1"/>
  <c r="Z20420" i="1"/>
  <c r="Z20539" i="1"/>
  <c r="Z20621" i="1"/>
  <c r="Z20703" i="1"/>
  <c r="Z20792" i="1"/>
  <c r="Z20864" i="1"/>
  <c r="Z20912" i="1"/>
  <c r="Z20952" i="1"/>
  <c r="Z21000" i="1"/>
  <c r="Z21072" i="1"/>
  <c r="Z21104" i="1"/>
  <c r="Z21176" i="1"/>
  <c r="Z21248" i="1"/>
  <c r="Z21320" i="1"/>
  <c r="Z21376" i="1"/>
  <c r="Z21448" i="1"/>
  <c r="Z21536" i="1"/>
  <c r="Z21616" i="1"/>
  <c r="Z21688" i="1"/>
  <c r="Z14019" i="1"/>
  <c r="Z14324" i="1"/>
  <c r="Z14530" i="1"/>
  <c r="Z14736" i="1"/>
  <c r="Z14939" i="1"/>
  <c r="Z15129" i="1"/>
  <c r="Z15292" i="1"/>
  <c r="Z15409" i="1"/>
  <c r="Z15475" i="1"/>
  <c r="Z15543" i="1"/>
  <c r="Z15606" i="1"/>
  <c r="Z15663" i="1"/>
  <c r="Z15723" i="1"/>
  <c r="Z15780" i="1"/>
  <c r="Z15838" i="1"/>
  <c r="Z15898" i="1"/>
  <c r="Z15955" i="1"/>
  <c r="Z16016" i="1"/>
  <c r="Z16073" i="1"/>
  <c r="Z16130" i="1"/>
  <c r="Z16191" i="1"/>
  <c r="Z16248" i="1"/>
  <c r="Z16308" i="1"/>
  <c r="Z16366" i="1"/>
  <c r="Z16423" i="1"/>
  <c r="Z16457" i="1"/>
  <c r="Z16484" i="1"/>
  <c r="Z16509" i="1"/>
  <c r="Z16537" i="1"/>
  <c r="Z16562" i="1"/>
  <c r="Z16587" i="1"/>
  <c r="Z16612" i="1"/>
  <c r="Z16637" i="1"/>
  <c r="Z16665" i="1"/>
  <c r="Z16690" i="1"/>
  <c r="Z16715" i="1"/>
  <c r="Z16740" i="1"/>
  <c r="Z16765" i="1"/>
  <c r="Z16793" i="1"/>
  <c r="Z16818" i="1"/>
  <c r="Z16843" i="1"/>
  <c r="Z16868" i="1"/>
  <c r="Z16893" i="1"/>
  <c r="Z16921" i="1"/>
  <c r="Z16946" i="1"/>
  <c r="Z16971" i="1"/>
  <c r="Z16996" i="1"/>
  <c r="Z17021" i="1"/>
  <c r="Z17049" i="1"/>
  <c r="Z17074" i="1"/>
  <c r="Z17099" i="1"/>
  <c r="Z17124" i="1"/>
  <c r="Z17149" i="1"/>
  <c r="Z17177" i="1"/>
  <c r="Z17202" i="1"/>
  <c r="Z17227" i="1"/>
  <c r="Z17252" i="1"/>
  <c r="Z17277" i="1"/>
  <c r="Z17305" i="1"/>
  <c r="Z17330" i="1"/>
  <c r="Z17355" i="1"/>
  <c r="Z17380" i="1"/>
  <c r="Z17405" i="1"/>
  <c r="Z17433" i="1"/>
  <c r="Z17458" i="1"/>
  <c r="Z17481" i="1"/>
  <c r="Z17498" i="1"/>
  <c r="Z17521" i="1"/>
  <c r="Z17541" i="1"/>
  <c r="Z17561" i="1"/>
  <c r="Z17581" i="1"/>
  <c r="Z17601" i="1"/>
  <c r="Z17621" i="1"/>
  <c r="Z17644" i="1"/>
  <c r="Z17661" i="1"/>
  <c r="Z17684" i="1"/>
  <c r="Z17701" i="1"/>
  <c r="Z17724" i="1"/>
  <c r="Z17747" i="1"/>
  <c r="Z17764" i="1"/>
  <c r="Z17787" i="1"/>
  <c r="Z17804" i="1"/>
  <c r="Z17827" i="1"/>
  <c r="Z17845" i="1"/>
  <c r="Z17860" i="1"/>
  <c r="Z17880" i="1"/>
  <c r="Z17893" i="1"/>
  <c r="Z17913" i="1"/>
  <c r="Z17931" i="1"/>
  <c r="Z17946" i="1"/>
  <c r="Z17964" i="1"/>
  <c r="Z17979" i="1"/>
  <c r="Z17996" i="1"/>
  <c r="Z18012" i="1"/>
  <c r="Z18025" i="1"/>
  <c r="Z18041" i="1"/>
  <c r="Z18053" i="1"/>
  <c r="Z18069" i="1"/>
  <c r="Z18085" i="1"/>
  <c r="Z18098" i="1"/>
  <c r="Z18114" i="1"/>
  <c r="Z18127" i="1"/>
  <c r="Z18143" i="1"/>
  <c r="Z18159" i="1"/>
  <c r="Z18171" i="1"/>
  <c r="Z18187" i="1"/>
  <c r="Z18200" i="1"/>
  <c r="Z18216" i="1"/>
  <c r="Z18232" i="1"/>
  <c r="Z18244" i="1"/>
  <c r="Z18260" i="1"/>
  <c r="Z18273" i="1"/>
  <c r="Z18289" i="1"/>
  <c r="Z18305" i="1"/>
  <c r="Z18317" i="1"/>
  <c r="Z18333" i="1"/>
  <c r="Z18346" i="1"/>
  <c r="Z18362" i="1"/>
  <c r="Z18378" i="1"/>
  <c r="Z18391" i="1"/>
  <c r="Z18407" i="1"/>
  <c r="Z18419" i="1"/>
  <c r="Z18435" i="1"/>
  <c r="Z18451" i="1"/>
  <c r="Z18464" i="1"/>
  <c r="Z18480" i="1"/>
  <c r="Z18492" i="1"/>
  <c r="Z18508" i="1"/>
  <c r="Z18524" i="1"/>
  <c r="Z18537" i="1"/>
  <c r="Z18553" i="1"/>
  <c r="Z18565" i="1"/>
  <c r="Z18581" i="1"/>
  <c r="Z18597" i="1"/>
  <c r="Z18610" i="1"/>
  <c r="Z18626" i="1"/>
  <c r="Z18639" i="1"/>
  <c r="Z18655" i="1"/>
  <c r="Z18671" i="1"/>
  <c r="Z18683" i="1"/>
  <c r="Z18699" i="1"/>
  <c r="Z18712" i="1"/>
  <c r="Z18728" i="1"/>
  <c r="Z18744" i="1"/>
  <c r="Z18756" i="1"/>
  <c r="Z18772" i="1"/>
  <c r="Z18785" i="1"/>
  <c r="Z18801" i="1"/>
  <c r="Z18817" i="1"/>
  <c r="Z18829" i="1"/>
  <c r="Z18845" i="1"/>
  <c r="Z18858" i="1"/>
  <c r="Z18874" i="1"/>
  <c r="Z18890" i="1"/>
  <c r="Z18902" i="1"/>
  <c r="Z18916" i="1"/>
  <c r="Z18927" i="1"/>
  <c r="Z18941" i="1"/>
  <c r="Z18955" i="1"/>
  <c r="Z18966" i="1"/>
  <c r="Z18980" i="1"/>
  <c r="Z18991" i="1"/>
  <c r="Z19005" i="1"/>
  <c r="Z19019" i="1"/>
  <c r="Z19030" i="1"/>
  <c r="Z19044" i="1"/>
  <c r="Z19055" i="1"/>
  <c r="Z19069" i="1"/>
  <c r="Z19083" i="1"/>
  <c r="Z19094" i="1"/>
  <c r="Z19108" i="1"/>
  <c r="Z19119" i="1"/>
  <c r="Z19133" i="1"/>
  <c r="Z14072" i="1"/>
  <c r="Z14352" i="1"/>
  <c r="Z14555" i="1"/>
  <c r="Z14761" i="1"/>
  <c r="Z14964" i="1"/>
  <c r="Z15146" i="1"/>
  <c r="Z15312" i="1"/>
  <c r="Z15412" i="1"/>
  <c r="Z15483" i="1"/>
  <c r="Z15551" i="1"/>
  <c r="Z15609" i="1"/>
  <c r="Z15670" i="1"/>
  <c r="Z15727" i="1"/>
  <c r="Z15787" i="1"/>
  <c r="Z15844" i="1"/>
  <c r="Z15902" i="1"/>
  <c r="Z15962" i="1"/>
  <c r="Z16019" i="1"/>
  <c r="Z16080" i="1"/>
  <c r="Z16137" i="1"/>
  <c r="Z16194" i="1"/>
  <c r="Z16255" i="1"/>
  <c r="Z16312" i="1"/>
  <c r="Z16372" i="1"/>
  <c r="Z16430" i="1"/>
  <c r="Z16458" i="1"/>
  <c r="Z16485" i="1"/>
  <c r="Z16513" i="1"/>
  <c r="Z16538" i="1"/>
  <c r="Z16563" i="1"/>
  <c r="Z16588" i="1"/>
  <c r="Z16613" i="1"/>
  <c r="Z16641" i="1"/>
  <c r="Z16666" i="1"/>
  <c r="Z16691" i="1"/>
  <c r="Z16716" i="1"/>
  <c r="Z16741" i="1"/>
  <c r="Z16769" i="1"/>
  <c r="Z16794" i="1"/>
  <c r="Z16819" i="1"/>
  <c r="Z16844" i="1"/>
  <c r="Z16869" i="1"/>
  <c r="Z16897" i="1"/>
  <c r="Z16922" i="1"/>
  <c r="Z16947" i="1"/>
  <c r="Z16972" i="1"/>
  <c r="Z16997" i="1"/>
  <c r="Z17025" i="1"/>
  <c r="Z17050" i="1"/>
  <c r="Z17075" i="1"/>
  <c r="Z17100" i="1"/>
  <c r="Z17125" i="1"/>
  <c r="Z17153" i="1"/>
  <c r="Z17178" i="1"/>
  <c r="Z17203" i="1"/>
  <c r="Z17228" i="1"/>
  <c r="Z17253" i="1"/>
  <c r="Z17281" i="1"/>
  <c r="Z17306" i="1"/>
  <c r="Z17331" i="1"/>
  <c r="Z17356" i="1"/>
  <c r="Z17381" i="1"/>
  <c r="Z17409" i="1"/>
  <c r="Z17434" i="1"/>
  <c r="Z17459" i="1"/>
  <c r="Z17482" i="1"/>
  <c r="Z17505" i="1"/>
  <c r="Z17522" i="1"/>
  <c r="Z17545" i="1"/>
  <c r="Z17562" i="1"/>
  <c r="Z17585" i="1"/>
  <c r="Z17605" i="1"/>
  <c r="Z17625" i="1"/>
  <c r="Z17645" i="1"/>
  <c r="Z17665" i="1"/>
  <c r="Z17685" i="1"/>
  <c r="Z17708" i="1"/>
  <c r="Z17725" i="1"/>
  <c r="Z17748" i="1"/>
  <c r="Z17765" i="1"/>
  <c r="Z17788" i="1"/>
  <c r="Z17811" i="1"/>
  <c r="Z17828" i="1"/>
  <c r="Z17848" i="1"/>
  <c r="Z17861" i="1"/>
  <c r="Z17881" i="1"/>
  <c r="Z17899" i="1"/>
  <c r="Z17914" i="1"/>
  <c r="Z17932" i="1"/>
  <c r="Z17947" i="1"/>
  <c r="Z17965" i="1"/>
  <c r="Z17985" i="1"/>
  <c r="Z17997" i="1"/>
  <c r="Z18013" i="1"/>
  <c r="Z18026" i="1"/>
  <c r="Z18042" i="1"/>
  <c r="Z18058" i="1"/>
  <c r="Z18071" i="1"/>
  <c r="Z18087" i="1"/>
  <c r="Z18099" i="1"/>
  <c r="Z18115" i="1"/>
  <c r="Z18131" i="1"/>
  <c r="Z18144" i="1"/>
  <c r="Z18160" i="1"/>
  <c r="Z18172" i="1"/>
  <c r="Z18188" i="1"/>
  <c r="Z18204" i="1"/>
  <c r="Z18217" i="1"/>
  <c r="Z18233" i="1"/>
  <c r="Z18245" i="1"/>
  <c r="Z18261" i="1"/>
  <c r="Z18277" i="1"/>
  <c r="Z18290" i="1"/>
  <c r="Z18306" i="1"/>
  <c r="Z18319" i="1"/>
  <c r="Z18335" i="1"/>
  <c r="Z18351" i="1"/>
  <c r="Z18363" i="1"/>
  <c r="Z18379" i="1"/>
  <c r="Z18392" i="1"/>
  <c r="Z18408" i="1"/>
  <c r="Z18424" i="1"/>
  <c r="Z18436" i="1"/>
  <c r="Z18452" i="1"/>
  <c r="Z18465" i="1"/>
  <c r="Z18481" i="1"/>
  <c r="Z18497" i="1"/>
  <c r="Z18509" i="1"/>
  <c r="Z18525" i="1"/>
  <c r="Z18538" i="1"/>
  <c r="Z18554" i="1"/>
  <c r="Z18570" i="1"/>
  <c r="Z18583" i="1"/>
  <c r="Z18599" i="1"/>
  <c r="Z18611" i="1"/>
  <c r="Z18627" i="1"/>
  <c r="Z18643" i="1"/>
  <c r="Z18656" i="1"/>
  <c r="Z18672" i="1"/>
  <c r="Z18684" i="1"/>
  <c r="Z18700" i="1"/>
  <c r="Z18716" i="1"/>
  <c r="Z18729" i="1"/>
  <c r="Z18745" i="1"/>
  <c r="Z18757" i="1"/>
  <c r="Z18773" i="1"/>
  <c r="Z18789" i="1"/>
  <c r="Z18802" i="1"/>
  <c r="Z18818" i="1"/>
  <c r="Z18831" i="1"/>
  <c r="Z18847" i="1"/>
  <c r="Z18863" i="1"/>
  <c r="Z18875" i="1"/>
  <c r="Z18891" i="1"/>
  <c r="Z18903" i="1"/>
  <c r="Z18917" i="1"/>
  <c r="Z18931" i="1"/>
  <c r="Z18942" i="1"/>
  <c r="Z18956" i="1"/>
  <c r="Z18967" i="1"/>
  <c r="Z18981" i="1"/>
  <c r="Z18995" i="1"/>
  <c r="Z19006" i="1"/>
  <c r="Z19020" i="1"/>
  <c r="Z19031" i="1"/>
  <c r="Z19045" i="1"/>
  <c r="Z19059" i="1"/>
  <c r="Z19070" i="1"/>
  <c r="Z19084" i="1"/>
  <c r="Z19095" i="1"/>
  <c r="Z19109" i="1"/>
  <c r="Z19123" i="1"/>
  <c r="Z19134" i="1"/>
  <c r="Z19148" i="1"/>
  <c r="Z19159" i="1"/>
  <c r="Z19173" i="1"/>
  <c r="Z19187" i="1"/>
  <c r="Z19198" i="1"/>
  <c r="Z19212" i="1"/>
  <c r="Z19223" i="1"/>
  <c r="Z19237" i="1"/>
  <c r="Z19251" i="1"/>
  <c r="Z19262" i="1"/>
  <c r="Z19276" i="1"/>
  <c r="Z19287" i="1"/>
  <c r="Z19301" i="1"/>
  <c r="Z19315" i="1"/>
  <c r="Z19326" i="1"/>
  <c r="Z14122" i="1"/>
  <c r="Z14377" i="1"/>
  <c r="Z14580" i="1"/>
  <c r="Z14786" i="1"/>
  <c r="Z14992" i="1"/>
  <c r="Z15169" i="1"/>
  <c r="Z15332" i="1"/>
  <c r="Z15424" i="1"/>
  <c r="Z15495" i="1"/>
  <c r="Z15561" i="1"/>
  <c r="Z15618" i="1"/>
  <c r="Z15679" i="1"/>
  <c r="Z15736" i="1"/>
  <c r="Z15796" i="1"/>
  <c r="Z15854" i="1"/>
  <c r="Z15911" i="1"/>
  <c r="Z15971" i="1"/>
  <c r="Z16028" i="1"/>
  <c r="Z16089" i="1"/>
  <c r="Z16146" i="1"/>
  <c r="Z16203" i="1"/>
  <c r="Z16264" i="1"/>
  <c r="Z16321" i="1"/>
  <c r="Z16382" i="1"/>
  <c r="Z16439" i="1"/>
  <c r="Z16467" i="1"/>
  <c r="Z16493" i="1"/>
  <c r="Z16521" i="1"/>
  <c r="Z16546" i="1"/>
  <c r="Z16571" i="1"/>
  <c r="Z16596" i="1"/>
  <c r="Z16621" i="1"/>
  <c r="Z16649" i="1"/>
  <c r="Z16674" i="1"/>
  <c r="Z16699" i="1"/>
  <c r="Z16724" i="1"/>
  <c r="Z16749" i="1"/>
  <c r="Z16777" i="1"/>
  <c r="Z16802" i="1"/>
  <c r="Z16827" i="1"/>
  <c r="Z16852" i="1"/>
  <c r="Z16877" i="1"/>
  <c r="Z16905" i="1"/>
  <c r="Z16930" i="1"/>
  <c r="Z16955" i="1"/>
  <c r="Z16980" i="1"/>
  <c r="Z17005" i="1"/>
  <c r="Z17033" i="1"/>
  <c r="Z17058" i="1"/>
  <c r="Z17083" i="1"/>
  <c r="Z17108" i="1"/>
  <c r="Z17133" i="1"/>
  <c r="Z17161" i="1"/>
  <c r="Z17186" i="1"/>
  <c r="Z17211" i="1"/>
  <c r="Z17236" i="1"/>
  <c r="Z17261" i="1"/>
  <c r="Z17289" i="1"/>
  <c r="Z17314" i="1"/>
  <c r="Z17339" i="1"/>
  <c r="Z17364" i="1"/>
  <c r="Z17389" i="1"/>
  <c r="Z17417" i="1"/>
  <c r="Z17442" i="1"/>
  <c r="Z17466" i="1"/>
  <c r="Z17483" i="1"/>
  <c r="Z17506" i="1"/>
  <c r="Z17523" i="1"/>
  <c r="Z17546" i="1"/>
  <c r="Z17569" i="1"/>
  <c r="Z17586" i="1"/>
  <c r="Z17609" i="1"/>
  <c r="Z17626" i="1"/>
  <c r="Z17649" i="1"/>
  <c r="Z17669" i="1"/>
  <c r="Z17689" i="1"/>
  <c r="Z17709" i="1"/>
  <c r="Z17729" i="1"/>
  <c r="Z17749" i="1"/>
  <c r="Z17772" i="1"/>
  <c r="Z17789" i="1"/>
  <c r="Z17812" i="1"/>
  <c r="Z17829" i="1"/>
  <c r="Z17849" i="1"/>
  <c r="Z17867" i="1"/>
  <c r="Z17882" i="1"/>
  <c r="Z17900" i="1"/>
  <c r="Z17915" i="1"/>
  <c r="Z17933" i="1"/>
  <c r="Z17953" i="1"/>
  <c r="Z17968" i="1"/>
  <c r="Z17986" i="1"/>
  <c r="Z17999" i="1"/>
  <c r="Z18015" i="1"/>
  <c r="Z18031" i="1"/>
  <c r="Z18043" i="1"/>
  <c r="Z18059" i="1"/>
  <c r="Z18072" i="1"/>
  <c r="Z18088" i="1"/>
  <c r="Z18104" i="1"/>
  <c r="Z18116" i="1"/>
  <c r="Z18132" i="1"/>
  <c r="Z18145" i="1"/>
  <c r="Z18161" i="1"/>
  <c r="Z18177" i="1"/>
  <c r="Z18189" i="1"/>
  <c r="Z18205" i="1"/>
  <c r="Z18218" i="1"/>
  <c r="Z18234" i="1"/>
  <c r="Z18250" i="1"/>
  <c r="Z18263" i="1"/>
  <c r="Z18279" i="1"/>
  <c r="Z18291" i="1"/>
  <c r="Z18307" i="1"/>
  <c r="Z18323" i="1"/>
  <c r="Z18336" i="1"/>
  <c r="Z18352" i="1"/>
  <c r="Z18364" i="1"/>
  <c r="Z18380" i="1"/>
  <c r="Z18396" i="1"/>
  <c r="Z18409" i="1"/>
  <c r="Z18425" i="1"/>
  <c r="Z18437" i="1"/>
  <c r="Z18453" i="1"/>
  <c r="Z18469" i="1"/>
  <c r="Z18482" i="1"/>
  <c r="Z18498" i="1"/>
  <c r="Z18511" i="1"/>
  <c r="Z18527" i="1"/>
  <c r="Z18543" i="1"/>
  <c r="Z18555" i="1"/>
  <c r="Z18571" i="1"/>
  <c r="Z18584" i="1"/>
  <c r="Z18600" i="1"/>
  <c r="Z18616" i="1"/>
  <c r="Z18628" i="1"/>
  <c r="Z18644" i="1"/>
  <c r="Z18657" i="1"/>
  <c r="Z18673" i="1"/>
  <c r="Z18689" i="1"/>
  <c r="Z18701" i="1"/>
  <c r="Z18717" i="1"/>
  <c r="Z18730" i="1"/>
  <c r="Z18746" i="1"/>
  <c r="Z18762" i="1"/>
  <c r="Z18775" i="1"/>
  <c r="Z14172" i="1"/>
  <c r="Z14402" i="1"/>
  <c r="Z14608" i="1"/>
  <c r="Z14811" i="1"/>
  <c r="Z15017" i="1"/>
  <c r="Z15192" i="1"/>
  <c r="Z15352" i="1"/>
  <c r="Z15432" i="1"/>
  <c r="Z15498" i="1"/>
  <c r="Z15568" i="1"/>
  <c r="Z15625" i="1"/>
  <c r="Z15682" i="1"/>
  <c r="Z15743" i="1"/>
  <c r="Z15800" i="1"/>
  <c r="Z15860" i="1"/>
  <c r="Z15918" i="1"/>
  <c r="Z15975" i="1"/>
  <c r="Z16035" i="1"/>
  <c r="Z16092" i="1"/>
  <c r="Z16153" i="1"/>
  <c r="Z16210" i="1"/>
  <c r="Z16267" i="1"/>
  <c r="Z16328" i="1"/>
  <c r="Z16385" i="1"/>
  <c r="Z16440" i="1"/>
  <c r="Z16468" i="1"/>
  <c r="Z16497" i="1"/>
  <c r="Z16522" i="1"/>
  <c r="Z16547" i="1"/>
  <c r="Z16572" i="1"/>
  <c r="Z16597" i="1"/>
  <c r="Z16625" i="1"/>
  <c r="Z16650" i="1"/>
  <c r="Z16675" i="1"/>
  <c r="Z16700" i="1"/>
  <c r="Z16725" i="1"/>
  <c r="Z16753" i="1"/>
  <c r="Z16778" i="1"/>
  <c r="Z16803" i="1"/>
  <c r="Z16828" i="1"/>
  <c r="Z16853" i="1"/>
  <c r="Z16881" i="1"/>
  <c r="Z16906" i="1"/>
  <c r="Z16931" i="1"/>
  <c r="Z16956" i="1"/>
  <c r="Z16981" i="1"/>
  <c r="Z17009" i="1"/>
  <c r="Z17034" i="1"/>
  <c r="Z17059" i="1"/>
  <c r="Z17084" i="1"/>
  <c r="Z17109" i="1"/>
  <c r="Z17137" i="1"/>
  <c r="Z17162" i="1"/>
  <c r="Z17187" i="1"/>
  <c r="Z17212" i="1"/>
  <c r="Z17237" i="1"/>
  <c r="Z17265" i="1"/>
  <c r="Z17290" i="1"/>
  <c r="Z17315" i="1"/>
  <c r="Z17340" i="1"/>
  <c r="Z17365" i="1"/>
  <c r="Z17393" i="1"/>
  <c r="Z17418" i="1"/>
  <c r="Z17443" i="1"/>
  <c r="Z17467" i="1"/>
  <c r="Z17484" i="1"/>
  <c r="Z17507" i="1"/>
  <c r="Z17530" i="1"/>
  <c r="Z17547" i="1"/>
  <c r="Z17570" i="1"/>
  <c r="Z17587" i="1"/>
  <c r="Z17610" i="1"/>
  <c r="Z17633" i="1"/>
  <c r="Z17650" i="1"/>
  <c r="Z17673" i="1"/>
  <c r="Z17690" i="1"/>
  <c r="Z17713" i="1"/>
  <c r="Z17733" i="1"/>
  <c r="Z17753" i="1"/>
  <c r="Z17773" i="1"/>
  <c r="Z17793" i="1"/>
  <c r="Z17813" i="1"/>
  <c r="Z17835" i="1"/>
  <c r="Z17850" i="1"/>
  <c r="Z17868" i="1"/>
  <c r="Z17883" i="1"/>
  <c r="Z17901" i="1"/>
  <c r="Z17921" i="1"/>
  <c r="Z17936" i="1"/>
  <c r="Z17954" i="1"/>
  <c r="Z17969" i="1"/>
  <c r="Z17987" i="1"/>
  <c r="Z18003" i="1"/>
  <c r="Z18016" i="1"/>
  <c r="Z18032" i="1"/>
  <c r="Z18044" i="1"/>
  <c r="Z18060" i="1"/>
  <c r="Z18076" i="1"/>
  <c r="Z18089" i="1"/>
  <c r="Z18105" i="1"/>
  <c r="Z18117" i="1"/>
  <c r="Z18133" i="1"/>
  <c r="Z18149" i="1"/>
  <c r="Z18162" i="1"/>
  <c r="Z18178" i="1"/>
  <c r="Z18191" i="1"/>
  <c r="Z18207" i="1"/>
  <c r="Z18223" i="1"/>
  <c r="Z18235" i="1"/>
  <c r="Z18251" i="1"/>
  <c r="Z18264" i="1"/>
  <c r="Z18280" i="1"/>
  <c r="Z18296" i="1"/>
  <c r="Z18308" i="1"/>
  <c r="Z18324" i="1"/>
  <c r="Z18337" i="1"/>
  <c r="Z18353" i="1"/>
  <c r="Z18369" i="1"/>
  <c r="Z18381" i="1"/>
  <c r="Z18397" i="1"/>
  <c r="Z18410" i="1"/>
  <c r="Z18426" i="1"/>
  <c r="Z18442" i="1"/>
  <c r="Z18455" i="1"/>
  <c r="Z18471" i="1"/>
  <c r="Z18483" i="1"/>
  <c r="Z18499" i="1"/>
  <c r="Z18515" i="1"/>
  <c r="Z18629" i="1"/>
  <c r="Z18747" i="1"/>
  <c r="Z18820" i="1"/>
  <c r="Z18881" i="1"/>
  <c r="Z18933" i="1"/>
  <c r="Z18983" i="1"/>
  <c r="Z19036" i="1"/>
  <c r="Z19086" i="1"/>
  <c r="Z19139" i="1"/>
  <c r="Z19174" i="1"/>
  <c r="Z19211" i="1"/>
  <c r="Z19239" i="1"/>
  <c r="Z19277" i="1"/>
  <c r="Z19311" i="1"/>
  <c r="Z19341" i="1"/>
  <c r="Z19366" i="1"/>
  <c r="Z19391" i="1"/>
  <c r="Z19419" i="1"/>
  <c r="Z19444" i="1"/>
  <c r="Z19469" i="1"/>
  <c r="Z19494" i="1"/>
  <c r="Z19519" i="1"/>
  <c r="Z19547" i="1"/>
  <c r="Z19572" i="1"/>
  <c r="Z19597" i="1"/>
  <c r="Z19622" i="1"/>
  <c r="Z19647" i="1"/>
  <c r="Z19675" i="1"/>
  <c r="Z19700" i="1"/>
  <c r="Z19725" i="1"/>
  <c r="Z19750" i="1"/>
  <c r="Z19775" i="1"/>
  <c r="Z19803" i="1"/>
  <c r="Z19828" i="1"/>
  <c r="Z19853" i="1"/>
  <c r="Z19878" i="1"/>
  <c r="Z19903" i="1"/>
  <c r="Z19931" i="1"/>
  <c r="Z19956" i="1"/>
  <c r="Z19981" i="1"/>
  <c r="Z20003" i="1"/>
  <c r="Z20021" i="1"/>
  <c r="Z20039" i="1"/>
  <c r="Z20058" i="1"/>
  <c r="Z20076" i="1"/>
  <c r="Z20094" i="1"/>
  <c r="Z20113" i="1"/>
  <c r="Z20131" i="1"/>
  <c r="Z20149" i="1"/>
  <c r="Z20167" i="1"/>
  <c r="Z20186" i="1"/>
  <c r="Z20204" i="1"/>
  <c r="Z20222" i="1"/>
  <c r="Z20241" i="1"/>
  <c r="Z20259" i="1"/>
  <c r="Z20277" i="1"/>
  <c r="Z20295" i="1"/>
  <c r="Z20314" i="1"/>
  <c r="Z20332" i="1"/>
  <c r="Z20350" i="1"/>
  <c r="Z20369" i="1"/>
  <c r="Z20387" i="1"/>
  <c r="Z20405" i="1"/>
  <c r="Z20423" i="1"/>
  <c r="Z20442" i="1"/>
  <c r="Z20460" i="1"/>
  <c r="Z20478" i="1"/>
  <c r="Z20497" i="1"/>
  <c r="Z20515" i="1"/>
  <c r="Z20533" i="1"/>
  <c r="Z20551" i="1"/>
  <c r="Z20570" i="1"/>
  <c r="Z20588" i="1"/>
  <c r="Z20606" i="1"/>
  <c r="Z20625" i="1"/>
  <c r="Z20643" i="1"/>
  <c r="Z20661" i="1"/>
  <c r="Z20679" i="1"/>
  <c r="Z20698" i="1"/>
  <c r="Z20716" i="1"/>
  <c r="Z20734" i="1"/>
  <c r="Z20753" i="1"/>
  <c r="Z20771" i="1"/>
  <c r="Z20787" i="1"/>
  <c r="Z20803" i="1"/>
  <c r="Z20819" i="1"/>
  <c r="Z20835" i="1"/>
  <c r="Z20851" i="1"/>
  <c r="Z20867" i="1"/>
  <c r="Z20883" i="1"/>
  <c r="Z20899" i="1"/>
  <c r="Z20915" i="1"/>
  <c r="Z20931" i="1"/>
  <c r="Z20947" i="1"/>
  <c r="Z20963" i="1"/>
  <c r="Z20979" i="1"/>
  <c r="Z20995" i="1"/>
  <c r="Z21011" i="1"/>
  <c r="Z21027" i="1"/>
  <c r="Z21043" i="1"/>
  <c r="Z21059" i="1"/>
  <c r="Z21075" i="1"/>
  <c r="Z21091" i="1"/>
  <c r="Z21107" i="1"/>
  <c r="Z21123" i="1"/>
  <c r="Z21139" i="1"/>
  <c r="Z21155" i="1"/>
  <c r="Z21171" i="1"/>
  <c r="Z21187" i="1"/>
  <c r="Z21203" i="1"/>
  <c r="Z21219" i="1"/>
  <c r="Z21235" i="1"/>
  <c r="Z21251" i="1"/>
  <c r="Z21267" i="1"/>
  <c r="Z21283" i="1"/>
  <c r="Z21299" i="1"/>
  <c r="Z21315" i="1"/>
  <c r="Z21331" i="1"/>
  <c r="Z21347" i="1"/>
  <c r="Z21363" i="1"/>
  <c r="Z21379" i="1"/>
  <c r="Z21395" i="1"/>
  <c r="Z21411" i="1"/>
  <c r="Z21427" i="1"/>
  <c r="Z21443" i="1"/>
  <c r="Z21459" i="1"/>
  <c r="Z21475" i="1"/>
  <c r="Z21491" i="1"/>
  <c r="Z21507" i="1"/>
  <c r="Z21523" i="1"/>
  <c r="Z21539" i="1"/>
  <c r="Z21555" i="1"/>
  <c r="Z21571" i="1"/>
  <c r="Z21587" i="1"/>
  <c r="Z21603" i="1"/>
  <c r="Z21619" i="1"/>
  <c r="Z21635" i="1"/>
  <c r="Z21651" i="1"/>
  <c r="Z21667" i="1"/>
  <c r="Z21683" i="1"/>
  <c r="Z21699" i="1"/>
  <c r="Z21715" i="1"/>
  <c r="Z21730" i="1"/>
  <c r="Z21744" i="1"/>
  <c r="Z21755" i="1"/>
  <c r="Z21769" i="1"/>
  <c r="Z21780" i="1"/>
  <c r="Z21794" i="1"/>
  <c r="Z21808" i="1"/>
  <c r="Z21819" i="1"/>
  <c r="Z21833" i="1"/>
  <c r="Z21844" i="1"/>
  <c r="Z21858" i="1"/>
  <c r="Z21872" i="1"/>
  <c r="Z21883" i="1"/>
  <c r="Z21897" i="1"/>
  <c r="Z21908" i="1"/>
  <c r="Z21922" i="1"/>
  <c r="Z21936" i="1"/>
  <c r="Z20571" i="1"/>
  <c r="Z20735" i="1"/>
  <c r="Z20772" i="1"/>
  <c r="Z20804" i="1"/>
  <c r="Z20836" i="1"/>
  <c r="Z20868" i="1"/>
  <c r="Z20900" i="1"/>
  <c r="Z20932" i="1"/>
  <c r="Z20964" i="1"/>
  <c r="Z20980" i="1"/>
  <c r="Z21012" i="1"/>
  <c r="Z21044" i="1"/>
  <c r="Z21076" i="1"/>
  <c r="Z21108" i="1"/>
  <c r="Z21140" i="1"/>
  <c r="Z21156" i="1"/>
  <c r="Z21188" i="1"/>
  <c r="Z21220" i="1"/>
  <c r="Z21252" i="1"/>
  <c r="Z21284" i="1"/>
  <c r="Z21300" i="1"/>
  <c r="Z21332" i="1"/>
  <c r="Z21364" i="1"/>
  <c r="Z21396" i="1"/>
  <c r="Z21428" i="1"/>
  <c r="Z21460" i="1"/>
  <c r="Z21492" i="1"/>
  <c r="Z21524" i="1"/>
  <c r="Z21556" i="1"/>
  <c r="Z21588" i="1"/>
  <c r="Z21620" i="1"/>
  <c r="Z21652" i="1"/>
  <c r="Z21668" i="1"/>
  <c r="Z21700" i="1"/>
  <c r="Z21731" i="1"/>
  <c r="Z21756" i="1"/>
  <c r="Z21784" i="1"/>
  <c r="Z21795" i="1"/>
  <c r="Z21820" i="1"/>
  <c r="Z21848" i="1"/>
  <c r="Z21873" i="1"/>
  <c r="Z21898" i="1"/>
  <c r="Z21923" i="1"/>
  <c r="Z20375" i="1"/>
  <c r="Z20613" i="1"/>
  <c r="Z20668" i="1"/>
  <c r="Z20741" i="1"/>
  <c r="Z20793" i="1"/>
  <c r="Z20841" i="1"/>
  <c r="Z20889" i="1"/>
  <c r="Z20937" i="1"/>
  <c r="Z20969" i="1"/>
  <c r="Z21001" i="1"/>
  <c r="Z21049" i="1"/>
  <c r="Z21097" i="1"/>
  <c r="Z21145" i="1"/>
  <c r="Z21177" i="1"/>
  <c r="Z21225" i="1"/>
  <c r="Z21257" i="1"/>
  <c r="Z21305" i="1"/>
  <c r="Z21353" i="1"/>
  <c r="Z21401" i="1"/>
  <c r="Z21449" i="1"/>
  <c r="Z21497" i="1"/>
  <c r="Z21545" i="1"/>
  <c r="Z21593" i="1"/>
  <c r="Z21641" i="1"/>
  <c r="Z21689" i="1"/>
  <c r="Z21732" i="1"/>
  <c r="Z21771" i="1"/>
  <c r="Z21810" i="1"/>
  <c r="Z21849" i="1"/>
  <c r="Z21888" i="1"/>
  <c r="Z21913" i="1"/>
  <c r="Z19735" i="1"/>
  <c r="Z20084" i="1"/>
  <c r="Z20139" i="1"/>
  <c r="Z20194" i="1"/>
  <c r="Z20285" i="1"/>
  <c r="Z20340" i="1"/>
  <c r="Z20431" i="1"/>
  <c r="Z20486" i="1"/>
  <c r="Z20541" i="1"/>
  <c r="Z20614" i="1"/>
  <c r="Z20669" i="1"/>
  <c r="Z20724" i="1"/>
  <c r="Z20794" i="1"/>
  <c r="Z20842" i="1"/>
  <c r="Z20874" i="1"/>
  <c r="Z20922" i="1"/>
  <c r="Z20986" i="1"/>
  <c r="Z21034" i="1"/>
  <c r="Z21082" i="1"/>
  <c r="Z21130" i="1"/>
  <c r="Z21178" i="1"/>
  <c r="Z21226" i="1"/>
  <c r="Z21290" i="1"/>
  <c r="Z21322" i="1"/>
  <c r="Z21370" i="1"/>
  <c r="Z21418" i="1"/>
  <c r="Z21482" i="1"/>
  <c r="Z21530" i="1"/>
  <c r="Z21578" i="1"/>
  <c r="Z21626" i="1"/>
  <c r="Z21674" i="1"/>
  <c r="Z21722" i="1"/>
  <c r="Z21772" i="1"/>
  <c r="Z21825" i="1"/>
  <c r="Z21864" i="1"/>
  <c r="Z21900" i="1"/>
  <c r="Z19508" i="1"/>
  <c r="Z20451" i="1"/>
  <c r="Z20579" i="1"/>
  <c r="Z20670" i="1"/>
  <c r="Z20762" i="1"/>
  <c r="Z20843" i="1"/>
  <c r="Z20939" i="1"/>
  <c r="Z20987" i="1"/>
  <c r="Z21051" i="1"/>
  <c r="Z21115" i="1"/>
  <c r="Z21195" i="1"/>
  <c r="Z21259" i="1"/>
  <c r="Z21323" i="1"/>
  <c r="Z21387" i="1"/>
  <c r="Z21419" i="1"/>
  <c r="Z21499" i="1"/>
  <c r="Z21579" i="1"/>
  <c r="Z21643" i="1"/>
  <c r="Z21707" i="1"/>
  <c r="Z21776" i="1"/>
  <c r="Z21812" i="1"/>
  <c r="Z21865" i="1"/>
  <c r="Z21915" i="1"/>
  <c r="Z19943" i="1"/>
  <c r="Z20379" i="1"/>
  <c r="Z20525" i="1"/>
  <c r="Z20653" i="1"/>
  <c r="Z20708" i="1"/>
  <c r="Z20812" i="1"/>
  <c r="Z20876" i="1"/>
  <c r="Z20972" i="1"/>
  <c r="Z21068" i="1"/>
  <c r="Z21148" i="1"/>
  <c r="Z21212" i="1"/>
  <c r="Z21260" i="1"/>
  <c r="Z21340" i="1"/>
  <c r="Z21420" i="1"/>
  <c r="Z21468" i="1"/>
  <c r="Z21564" i="1"/>
  <c r="Z21612" i="1"/>
  <c r="Z21660" i="1"/>
  <c r="Z21752" i="1"/>
  <c r="Z21788" i="1"/>
  <c r="Z21841" i="1"/>
  <c r="Z21891" i="1"/>
  <c r="Z19670" i="1"/>
  <c r="Z20165" i="1"/>
  <c r="Z20348" i="1"/>
  <c r="Z20476" i="1"/>
  <c r="Z20604" i="1"/>
  <c r="Z20732" i="1"/>
  <c r="Z20833" i="1"/>
  <c r="Z20913" i="1"/>
  <c r="Z21025" i="1"/>
  <c r="Z21153" i="1"/>
  <c r="Z21201" i="1"/>
  <c r="Z21297" i="1"/>
  <c r="Z21361" i="1"/>
  <c r="Z21409" i="1"/>
  <c r="Z21521" i="1"/>
  <c r="Z21569" i="1"/>
  <c r="Z21649" i="1"/>
  <c r="Z21728" i="1"/>
  <c r="Z21792" i="1"/>
  <c r="Z21828" i="1"/>
  <c r="Z21892" i="1"/>
  <c r="Z20532" i="1"/>
  <c r="Z21026" i="1"/>
  <c r="Z21186" i="1"/>
  <c r="Z21314" i="1"/>
  <c r="Z21442" i="1"/>
  <c r="Z21570" i="1"/>
  <c r="Z21650" i="1"/>
  <c r="Z21740" i="1"/>
  <c r="Z21818" i="1"/>
  <c r="Z21896" i="1"/>
  <c r="Z18528" i="1"/>
  <c r="Z18645" i="1"/>
  <c r="Z18763" i="1"/>
  <c r="Z18835" i="1"/>
  <c r="Z18892" i="1"/>
  <c r="Z18943" i="1"/>
  <c r="Z18996" i="1"/>
  <c r="Z19046" i="1"/>
  <c r="Z19099" i="1"/>
  <c r="Z19147" i="1"/>
  <c r="Z19175" i="1"/>
  <c r="Z19213" i="1"/>
  <c r="Z19247" i="1"/>
  <c r="Z19278" i="1"/>
  <c r="Z19316" i="1"/>
  <c r="Z19342" i="1"/>
  <c r="Z19367" i="1"/>
  <c r="Z19395" i="1"/>
  <c r="Z19420" i="1"/>
  <c r="Z19445" i="1"/>
  <c r="Z19470" i="1"/>
  <c r="Z19495" i="1"/>
  <c r="Z19523" i="1"/>
  <c r="Z19548" i="1"/>
  <c r="Z19573" i="1"/>
  <c r="Z19598" i="1"/>
  <c r="Z19623" i="1"/>
  <c r="Z19651" i="1"/>
  <c r="Z19676" i="1"/>
  <c r="Z19701" i="1"/>
  <c r="Z19726" i="1"/>
  <c r="Z19751" i="1"/>
  <c r="Z19779" i="1"/>
  <c r="Z19804" i="1"/>
  <c r="Z19829" i="1"/>
  <c r="Z19854" i="1"/>
  <c r="Z19879" i="1"/>
  <c r="Z19907" i="1"/>
  <c r="Z19932" i="1"/>
  <c r="Z19957" i="1"/>
  <c r="Z19982" i="1"/>
  <c r="Z20004" i="1"/>
  <c r="Z20022" i="1"/>
  <c r="Z20041" i="1"/>
  <c r="Z20059" i="1"/>
  <c r="Z20077" i="1"/>
  <c r="Z20095" i="1"/>
  <c r="Z20114" i="1"/>
  <c r="Z20132" i="1"/>
  <c r="Z20150" i="1"/>
  <c r="Z20169" i="1"/>
  <c r="Z20187" i="1"/>
  <c r="Z20205" i="1"/>
  <c r="Z20223" i="1"/>
  <c r="Z20242" i="1"/>
  <c r="Z20260" i="1"/>
  <c r="Z20278" i="1"/>
  <c r="Z20297" i="1"/>
  <c r="Z20315" i="1"/>
  <c r="Z20333" i="1"/>
  <c r="Z20351" i="1"/>
  <c r="Z20370" i="1"/>
  <c r="Z20388" i="1"/>
  <c r="Z20406" i="1"/>
  <c r="Z20425" i="1"/>
  <c r="Z20443" i="1"/>
  <c r="Z20461" i="1"/>
  <c r="Z20479" i="1"/>
  <c r="Z20498" i="1"/>
  <c r="Z20516" i="1"/>
  <c r="Z20534" i="1"/>
  <c r="Z20553" i="1"/>
  <c r="Z20589" i="1"/>
  <c r="Z20607" i="1"/>
  <c r="Z20626" i="1"/>
  <c r="Z20644" i="1"/>
  <c r="Z20662" i="1"/>
  <c r="Z20681" i="1"/>
  <c r="Z20699" i="1"/>
  <c r="Z20717" i="1"/>
  <c r="Z20754" i="1"/>
  <c r="Z20788" i="1"/>
  <c r="Z20820" i="1"/>
  <c r="Z20852" i="1"/>
  <c r="Z20884" i="1"/>
  <c r="Z20916" i="1"/>
  <c r="Z20948" i="1"/>
  <c r="Z20996" i="1"/>
  <c r="Z21028" i="1"/>
  <c r="Z21060" i="1"/>
  <c r="Z21092" i="1"/>
  <c r="Z21124" i="1"/>
  <c r="Z21172" i="1"/>
  <c r="Z21204" i="1"/>
  <c r="Z21236" i="1"/>
  <c r="Z21268" i="1"/>
  <c r="Z21316" i="1"/>
  <c r="Z21348" i="1"/>
  <c r="Z21380" i="1"/>
  <c r="Z21412" i="1"/>
  <c r="Z21444" i="1"/>
  <c r="Z21476" i="1"/>
  <c r="Z21508" i="1"/>
  <c r="Z21540" i="1"/>
  <c r="Z21572" i="1"/>
  <c r="Z21604" i="1"/>
  <c r="Z21636" i="1"/>
  <c r="Z21684" i="1"/>
  <c r="Z21716" i="1"/>
  <c r="Z21745" i="1"/>
  <c r="Z21770" i="1"/>
  <c r="Z21809" i="1"/>
  <c r="Z21834" i="1"/>
  <c r="Z21859" i="1"/>
  <c r="Z21884" i="1"/>
  <c r="Z21912" i="1"/>
  <c r="Z21937" i="1"/>
  <c r="Z20412" i="1"/>
  <c r="Z20631" i="1"/>
  <c r="Z20705" i="1"/>
  <c r="Z20759" i="1"/>
  <c r="Z20809" i="1"/>
  <c r="Z20857" i="1"/>
  <c r="Z20905" i="1"/>
  <c r="Z20953" i="1"/>
  <c r="Z21017" i="1"/>
  <c r="Z21065" i="1"/>
  <c r="Z21113" i="1"/>
  <c r="Z21161" i="1"/>
  <c r="Z21209" i="1"/>
  <c r="Z21273" i="1"/>
  <c r="Z21337" i="1"/>
  <c r="Z21385" i="1"/>
  <c r="Z21433" i="1"/>
  <c r="Z21481" i="1"/>
  <c r="Z21529" i="1"/>
  <c r="Z21577" i="1"/>
  <c r="Z21625" i="1"/>
  <c r="Z21673" i="1"/>
  <c r="Z21721" i="1"/>
  <c r="Z21760" i="1"/>
  <c r="Z21796" i="1"/>
  <c r="Z21835" i="1"/>
  <c r="Z21874" i="1"/>
  <c r="Z21924" i="1"/>
  <c r="Z19763" i="1"/>
  <c r="Z20066" i="1"/>
  <c r="Z20157" i="1"/>
  <c r="Z20212" i="1"/>
  <c r="Z20267" i="1"/>
  <c r="Z20322" i="1"/>
  <c r="Z20358" i="1"/>
  <c r="Z20413" i="1"/>
  <c r="Z20468" i="1"/>
  <c r="Z20523" i="1"/>
  <c r="Z20596" i="1"/>
  <c r="Z20651" i="1"/>
  <c r="Z20706" i="1"/>
  <c r="Z20778" i="1"/>
  <c r="Z20826" i="1"/>
  <c r="Z20890" i="1"/>
  <c r="Z20938" i="1"/>
  <c r="Z21002" i="1"/>
  <c r="Z21050" i="1"/>
  <c r="Z21098" i="1"/>
  <c r="Z21146" i="1"/>
  <c r="Z21210" i="1"/>
  <c r="Z21274" i="1"/>
  <c r="Z21338" i="1"/>
  <c r="Z21386" i="1"/>
  <c r="Z21450" i="1"/>
  <c r="Z21514" i="1"/>
  <c r="Z21562" i="1"/>
  <c r="Z21610" i="1"/>
  <c r="Z21690" i="1"/>
  <c r="Z21747" i="1"/>
  <c r="Z21800" i="1"/>
  <c r="Z21850" i="1"/>
  <c r="Z21889" i="1"/>
  <c r="Z21939" i="1"/>
  <c r="Z19558" i="1"/>
  <c r="Z20414" i="1"/>
  <c r="Z20561" i="1"/>
  <c r="Z20652" i="1"/>
  <c r="Z20743" i="1"/>
  <c r="Z20827" i="1"/>
  <c r="Z20923" i="1"/>
  <c r="Z21003" i="1"/>
  <c r="Z21083" i="1"/>
  <c r="Z21163" i="1"/>
  <c r="Z21243" i="1"/>
  <c r="Z21307" i="1"/>
  <c r="Z21371" i="1"/>
  <c r="Z21435" i="1"/>
  <c r="Z21515" i="1"/>
  <c r="Z21595" i="1"/>
  <c r="Z21659" i="1"/>
  <c r="Z21723" i="1"/>
  <c r="Z21787" i="1"/>
  <c r="Z21840" i="1"/>
  <c r="Z21876" i="1"/>
  <c r="Z21940" i="1"/>
  <c r="Z19971" i="1"/>
  <c r="Z20361" i="1"/>
  <c r="Z20489" i="1"/>
  <c r="Z20617" i="1"/>
  <c r="Z20745" i="1"/>
  <c r="Z20844" i="1"/>
  <c r="Z20940" i="1"/>
  <c r="Z21020" i="1"/>
  <c r="Z21116" i="1"/>
  <c r="Z21228" i="1"/>
  <c r="Z21324" i="1"/>
  <c r="Z21436" i="1"/>
  <c r="Z21500" i="1"/>
  <c r="Z21596" i="1"/>
  <c r="Z21644" i="1"/>
  <c r="Z21708" i="1"/>
  <c r="Z21777" i="1"/>
  <c r="Z21866" i="1"/>
  <c r="Z21944" i="1"/>
  <c r="Z19723" i="1"/>
  <c r="Z20147" i="1"/>
  <c r="Z20330" i="1"/>
  <c r="Z20458" i="1"/>
  <c r="Z20586" i="1"/>
  <c r="Z20750" i="1"/>
  <c r="Z20881" i="1"/>
  <c r="Z20977" i="1"/>
  <c r="Z21041" i="1"/>
  <c r="Z21121" i="1"/>
  <c r="Z21185" i="1"/>
  <c r="Z21281" i="1"/>
  <c r="Z21345" i="1"/>
  <c r="Z21393" i="1"/>
  <c r="Z21505" i="1"/>
  <c r="Z21553" i="1"/>
  <c r="Z21633" i="1"/>
  <c r="Z21713" i="1"/>
  <c r="Z21778" i="1"/>
  <c r="Z21867" i="1"/>
  <c r="Z21945" i="1"/>
  <c r="Z20587" i="1"/>
  <c r="Z21074" i="1"/>
  <c r="Z21202" i="1"/>
  <c r="Z21330" i="1"/>
  <c r="Z21394" i="1"/>
  <c r="Z21458" i="1"/>
  <c r="Z21554" i="1"/>
  <c r="Z21634" i="1"/>
  <c r="Z21698" i="1"/>
  <c r="Z21804" i="1"/>
  <c r="Z21932" i="1"/>
  <c r="Z18544" i="1"/>
  <c r="Z18661" i="1"/>
  <c r="Z18776" i="1"/>
  <c r="Z18836" i="1"/>
  <c r="Z18893" i="1"/>
  <c r="Z18947" i="1"/>
  <c r="Z18997" i="1"/>
  <c r="Z19047" i="1"/>
  <c r="Z19100" i="1"/>
  <c r="Z19149" i="1"/>
  <c r="Z19183" i="1"/>
  <c r="Z19214" i="1"/>
  <c r="Z19252" i="1"/>
  <c r="Z19286" i="1"/>
  <c r="Z19317" i="1"/>
  <c r="Z19350" i="1"/>
  <c r="Z19375" i="1"/>
  <c r="Z19403" i="1"/>
  <c r="Z19428" i="1"/>
  <c r="Z19453" i="1"/>
  <c r="Z19478" i="1"/>
  <c r="Z19503" i="1"/>
  <c r="Z19531" i="1"/>
  <c r="Z19556" i="1"/>
  <c r="Z19581" i="1"/>
  <c r="Z19606" i="1"/>
  <c r="Z19631" i="1"/>
  <c r="Z19659" i="1"/>
  <c r="Z19684" i="1"/>
  <c r="Z19709" i="1"/>
  <c r="Z19734" i="1"/>
  <c r="Z19759" i="1"/>
  <c r="Z19787" i="1"/>
  <c r="Z19812" i="1"/>
  <c r="Z19837" i="1"/>
  <c r="Z19862" i="1"/>
  <c r="Z19887" i="1"/>
  <c r="Z19915" i="1"/>
  <c r="Z19940" i="1"/>
  <c r="Z19965" i="1"/>
  <c r="Z19989" i="1"/>
  <c r="Z20010" i="1"/>
  <c r="Z20028" i="1"/>
  <c r="Z20046" i="1"/>
  <c r="Z20065" i="1"/>
  <c r="Z20083" i="1"/>
  <c r="Z20101" i="1"/>
  <c r="Z20119" i="1"/>
  <c r="Z20138" i="1"/>
  <c r="Z20156" i="1"/>
  <c r="Z20174" i="1"/>
  <c r="Z20193" i="1"/>
  <c r="Z20211" i="1"/>
  <c r="Z20229" i="1"/>
  <c r="Z20247" i="1"/>
  <c r="Z20266" i="1"/>
  <c r="Z20284" i="1"/>
  <c r="Z20302" i="1"/>
  <c r="Z20321" i="1"/>
  <c r="Z20339" i="1"/>
  <c r="Z20357" i="1"/>
  <c r="Z20394" i="1"/>
  <c r="Z20430" i="1"/>
  <c r="Z20449" i="1"/>
  <c r="Z20467" i="1"/>
  <c r="Z20485" i="1"/>
  <c r="Z20503" i="1"/>
  <c r="Z20522" i="1"/>
  <c r="Z20540" i="1"/>
  <c r="Z20558" i="1"/>
  <c r="Z20577" i="1"/>
  <c r="Z20595" i="1"/>
  <c r="Z20650" i="1"/>
  <c r="Z20686" i="1"/>
  <c r="Z20723" i="1"/>
  <c r="Z20777" i="1"/>
  <c r="Z20825" i="1"/>
  <c r="Z20873" i="1"/>
  <c r="Z20921" i="1"/>
  <c r="Z20985" i="1"/>
  <c r="Z21033" i="1"/>
  <c r="Z21081" i="1"/>
  <c r="Z21129" i="1"/>
  <c r="Z21193" i="1"/>
  <c r="Z21241" i="1"/>
  <c r="Z21289" i="1"/>
  <c r="Z21321" i="1"/>
  <c r="Z21369" i="1"/>
  <c r="Z21417" i="1"/>
  <c r="Z21465" i="1"/>
  <c r="Z21513" i="1"/>
  <c r="Z21561" i="1"/>
  <c r="Z21609" i="1"/>
  <c r="Z21657" i="1"/>
  <c r="Z21705" i="1"/>
  <c r="Z21746" i="1"/>
  <c r="Z21785" i="1"/>
  <c r="Z21824" i="1"/>
  <c r="Z21860" i="1"/>
  <c r="Z21899" i="1"/>
  <c r="Z21938" i="1"/>
  <c r="Z19788" i="1"/>
  <c r="Z20029" i="1"/>
  <c r="Z20121" i="1"/>
  <c r="Z20230" i="1"/>
  <c r="Z20303" i="1"/>
  <c r="Z20395" i="1"/>
  <c r="Z20450" i="1"/>
  <c r="Z20505" i="1"/>
  <c r="Z20578" i="1"/>
  <c r="Z20633" i="1"/>
  <c r="Z20687" i="1"/>
  <c r="Z20761" i="1"/>
  <c r="Z20810" i="1"/>
  <c r="Z20858" i="1"/>
  <c r="Z20906" i="1"/>
  <c r="Z20970" i="1"/>
  <c r="Z21018" i="1"/>
  <c r="Z21066" i="1"/>
  <c r="Z21114" i="1"/>
  <c r="Z21162" i="1"/>
  <c r="Z21194" i="1"/>
  <c r="Z21242" i="1"/>
  <c r="Z21306" i="1"/>
  <c r="Z21354" i="1"/>
  <c r="Z21402" i="1"/>
  <c r="Z21434" i="1"/>
  <c r="Z21498" i="1"/>
  <c r="Z21546" i="1"/>
  <c r="Z21594" i="1"/>
  <c r="Z21642" i="1"/>
  <c r="Z21706" i="1"/>
  <c r="Z21736" i="1"/>
  <c r="Z21761" i="1"/>
  <c r="Z21811" i="1"/>
  <c r="Z21836" i="1"/>
  <c r="Z21875" i="1"/>
  <c r="Z21914" i="1"/>
  <c r="Z19483" i="1"/>
  <c r="Z20469" i="1"/>
  <c r="Z20597" i="1"/>
  <c r="Z20707" i="1"/>
  <c r="Z20795" i="1"/>
  <c r="Z20859" i="1"/>
  <c r="Z20907" i="1"/>
  <c r="Z20955" i="1"/>
  <c r="Z21035" i="1"/>
  <c r="Z21067" i="1"/>
  <c r="Z21131" i="1"/>
  <c r="Z21179" i="1"/>
  <c r="Z21211" i="1"/>
  <c r="Z21275" i="1"/>
  <c r="Z21339" i="1"/>
  <c r="Z21403" i="1"/>
  <c r="Z21467" i="1"/>
  <c r="Z21531" i="1"/>
  <c r="Z21547" i="1"/>
  <c r="Z21627" i="1"/>
  <c r="Z21691" i="1"/>
  <c r="Z21762" i="1"/>
  <c r="Z21826" i="1"/>
  <c r="Z21890" i="1"/>
  <c r="Z19893" i="1"/>
  <c r="Z20415" i="1"/>
  <c r="Z20543" i="1"/>
  <c r="Z20635" i="1"/>
  <c r="Z20726" i="1"/>
  <c r="Z20828" i="1"/>
  <c r="Z20924" i="1"/>
  <c r="Z20988" i="1"/>
  <c r="Z21036" i="1"/>
  <c r="Z21100" i="1"/>
  <c r="Z21180" i="1"/>
  <c r="Z21244" i="1"/>
  <c r="Z21308" i="1"/>
  <c r="Z21372" i="1"/>
  <c r="Z21452" i="1"/>
  <c r="Z21484" i="1"/>
  <c r="Z21580" i="1"/>
  <c r="Z21628" i="1"/>
  <c r="Z21692" i="1"/>
  <c r="Z21763" i="1"/>
  <c r="Z21802" i="1"/>
  <c r="Z21852" i="1"/>
  <c r="Z21905" i="1"/>
  <c r="Z19595" i="1"/>
  <c r="Z20220" i="1"/>
  <c r="Z20366" i="1"/>
  <c r="Z20494" i="1"/>
  <c r="Z20622" i="1"/>
  <c r="Z20695" i="1"/>
  <c r="Z20769" i="1"/>
  <c r="Z20865" i="1"/>
  <c r="Z20897" i="1"/>
  <c r="Z20993" i="1"/>
  <c r="Z21057" i="1"/>
  <c r="Z21137" i="1"/>
  <c r="Z21217" i="1"/>
  <c r="Z21329" i="1"/>
  <c r="Z21377" i="1"/>
  <c r="Z21425" i="1"/>
  <c r="Z21537" i="1"/>
  <c r="Z21617" i="1"/>
  <c r="Z21697" i="1"/>
  <c r="Z21764" i="1"/>
  <c r="Z21842" i="1"/>
  <c r="Z21920" i="1"/>
  <c r="Z20605" i="1"/>
  <c r="Z21042" i="1"/>
  <c r="Z21170" i="1"/>
  <c r="Z21282" i="1"/>
  <c r="Z21410" i="1"/>
  <c r="Z21490" i="1"/>
  <c r="Z21586" i="1"/>
  <c r="Z21666" i="1"/>
  <c r="Z21768" i="1"/>
  <c r="Z21832" i="1"/>
  <c r="Z21907" i="1"/>
  <c r="Z18556" i="1"/>
  <c r="Z18674" i="1"/>
  <c r="Z18791" i="1"/>
  <c r="Z18848" i="1"/>
  <c r="Z18907" i="1"/>
  <c r="Z18957" i="1"/>
  <c r="Z19007" i="1"/>
  <c r="Z19060" i="1"/>
  <c r="Z19110" i="1"/>
  <c r="Z19150" i="1"/>
  <c r="Z19188" i="1"/>
  <c r="Z19222" i="1"/>
  <c r="Z19253" i="1"/>
  <c r="Z19291" i="1"/>
  <c r="Z19325" i="1"/>
  <c r="Z19351" i="1"/>
  <c r="Z19379" i="1"/>
  <c r="Z19404" i="1"/>
  <c r="Z19429" i="1"/>
  <c r="Z19454" i="1"/>
  <c r="Z19479" i="1"/>
  <c r="Z19507" i="1"/>
  <c r="Z19532" i="1"/>
  <c r="Z19557" i="1"/>
  <c r="Z19582" i="1"/>
  <c r="Z19607" i="1"/>
  <c r="Z19635" i="1"/>
  <c r="Z19660" i="1"/>
  <c r="Z19685" i="1"/>
  <c r="Z19710" i="1"/>
  <c r="Z19813" i="1"/>
  <c r="Z19838" i="1"/>
  <c r="Z19863" i="1"/>
  <c r="Z19891" i="1"/>
  <c r="Z19916" i="1"/>
  <c r="Z19941" i="1"/>
  <c r="Z19966" i="1"/>
  <c r="Z19990" i="1"/>
  <c r="Z20011" i="1"/>
  <c r="Z20047" i="1"/>
  <c r="Z20102" i="1"/>
  <c r="Z20175" i="1"/>
  <c r="Z20249" i="1"/>
  <c r="Z20377" i="1"/>
  <c r="Z20559" i="1"/>
  <c r="Z20742" i="1"/>
  <c r="Z20954" i="1"/>
  <c r="Z21258" i="1"/>
  <c r="Z21466" i="1"/>
  <c r="Z21658" i="1"/>
  <c r="Z21786" i="1"/>
  <c r="Z21928" i="1"/>
  <c r="Z19611" i="1"/>
  <c r="Z20049" i="1"/>
  <c r="Z20103" i="1"/>
  <c r="Z20140" i="1"/>
  <c r="Z20177" i="1"/>
  <c r="Z20213" i="1"/>
  <c r="Z20231" i="1"/>
  <c r="Z20268" i="1"/>
  <c r="Z20305" i="1"/>
  <c r="Z20341" i="1"/>
  <c r="Z20378" i="1"/>
  <c r="Z20433" i="1"/>
  <c r="Z20506" i="1"/>
  <c r="Z20542" i="1"/>
  <c r="Z20615" i="1"/>
  <c r="Z20689" i="1"/>
  <c r="Z20779" i="1"/>
  <c r="Z20875" i="1"/>
  <c r="Z20971" i="1"/>
  <c r="Z21099" i="1"/>
  <c r="Z21227" i="1"/>
  <c r="Z21355" i="1"/>
  <c r="Z21483" i="1"/>
  <c r="Z21611" i="1"/>
  <c r="Z21737" i="1"/>
  <c r="Z21801" i="1"/>
  <c r="Z21904" i="1"/>
  <c r="Z19868" i="1"/>
  <c r="Z20324" i="1"/>
  <c r="Z20434" i="1"/>
  <c r="Z20507" i="1"/>
  <c r="Z20598" i="1"/>
  <c r="Z20763" i="1"/>
  <c r="Z20892" i="1"/>
  <c r="Z21004" i="1"/>
  <c r="Z21132" i="1"/>
  <c r="Z21276" i="1"/>
  <c r="Z21388" i="1"/>
  <c r="Z21532" i="1"/>
  <c r="Z21676" i="1"/>
  <c r="Z21816" i="1"/>
  <c r="Z21916" i="1"/>
  <c r="Z19620" i="1"/>
  <c r="Z19926" i="1"/>
  <c r="Z19999" i="1"/>
  <c r="Z20074" i="1"/>
  <c r="Z20202" i="1"/>
  <c r="Z20311" i="1"/>
  <c r="Z20439" i="1"/>
  <c r="Z20513" i="1"/>
  <c r="Z20641" i="1"/>
  <c r="Z20801" i="1"/>
  <c r="Z20961" i="1"/>
  <c r="Z21073" i="1"/>
  <c r="Z21233" i="1"/>
  <c r="Z21441" i="1"/>
  <c r="Z21665" i="1"/>
  <c r="Z21803" i="1"/>
  <c r="Z21906" i="1"/>
  <c r="Z20642" i="1"/>
  <c r="Z20914" i="1"/>
  <c r="Z21010" i="1"/>
  <c r="Z21122" i="1"/>
  <c r="Z21234" i="1"/>
  <c r="Z21362" i="1"/>
  <c r="Z21506" i="1"/>
  <c r="Z21682" i="1"/>
  <c r="Z21793" i="1"/>
  <c r="Z21946" i="1"/>
  <c r="Z18572" i="1"/>
  <c r="Z18690" i="1"/>
  <c r="Z18792" i="1"/>
  <c r="Z18849" i="1"/>
  <c r="Z18908" i="1"/>
  <c r="Z18958" i="1"/>
  <c r="Z19011" i="1"/>
  <c r="Z19061" i="1"/>
  <c r="Z19111" i="1"/>
  <c r="Z19158" i="1"/>
  <c r="Z19189" i="1"/>
  <c r="Z19227" i="1"/>
  <c r="Z19261" i="1"/>
  <c r="Z19292" i="1"/>
  <c r="Z19327" i="1"/>
  <c r="Z19355" i="1"/>
  <c r="Z19380" i="1"/>
  <c r="Z19405" i="1"/>
  <c r="Z19430" i="1"/>
  <c r="Z19455" i="1"/>
  <c r="Z19533" i="1"/>
  <c r="Z19583" i="1"/>
  <c r="Z19636" i="1"/>
  <c r="Z19661" i="1"/>
  <c r="Z19686" i="1"/>
  <c r="Z19711" i="1"/>
  <c r="Z19739" i="1"/>
  <c r="Z19764" i="1"/>
  <c r="Z19789" i="1"/>
  <c r="Z19814" i="1"/>
  <c r="Z19839" i="1"/>
  <c r="Z19867" i="1"/>
  <c r="Z19892" i="1"/>
  <c r="Z19917" i="1"/>
  <c r="Z19942" i="1"/>
  <c r="Z19967" i="1"/>
  <c r="Z19991" i="1"/>
  <c r="Z20012" i="1"/>
  <c r="Z20030" i="1"/>
  <c r="Z20067" i="1"/>
  <c r="Z20085" i="1"/>
  <c r="Z20122" i="1"/>
  <c r="Z20158" i="1"/>
  <c r="Z20195" i="1"/>
  <c r="Z20250" i="1"/>
  <c r="Z20286" i="1"/>
  <c r="Z20323" i="1"/>
  <c r="Z20359" i="1"/>
  <c r="Z20396" i="1"/>
  <c r="Z20487" i="1"/>
  <c r="Z20524" i="1"/>
  <c r="Z20634" i="1"/>
  <c r="Z20725" i="1"/>
  <c r="Z20811" i="1"/>
  <c r="Z20891" i="1"/>
  <c r="Z21019" i="1"/>
  <c r="Z21147" i="1"/>
  <c r="Z21291" i="1"/>
  <c r="Z21451" i="1"/>
  <c r="Z21563" i="1"/>
  <c r="Z21675" i="1"/>
  <c r="Z21748" i="1"/>
  <c r="Z21851" i="1"/>
  <c r="Z21929" i="1"/>
  <c r="Z19994" i="1"/>
  <c r="Z20287" i="1"/>
  <c r="Z20397" i="1"/>
  <c r="Z20470" i="1"/>
  <c r="Z20562" i="1"/>
  <c r="Z20671" i="1"/>
  <c r="Z20780" i="1"/>
  <c r="Z20908" i="1"/>
  <c r="Z21052" i="1"/>
  <c r="Z21164" i="1"/>
  <c r="Z21292" i="1"/>
  <c r="Z21404" i="1"/>
  <c r="Z21548" i="1"/>
  <c r="Z21738" i="1"/>
  <c r="Z21880" i="1"/>
  <c r="Z19567" i="1"/>
  <c r="Z19951" i="1"/>
  <c r="Z20055" i="1"/>
  <c r="Z20110" i="1"/>
  <c r="Z20238" i="1"/>
  <c r="Z20293" i="1"/>
  <c r="Z20403" i="1"/>
  <c r="Z20549" i="1"/>
  <c r="Z20677" i="1"/>
  <c r="Z20785" i="1"/>
  <c r="Z20929" i="1"/>
  <c r="Z21089" i="1"/>
  <c r="Z21249" i="1"/>
  <c r="Z21489" i="1"/>
  <c r="Z21681" i="1"/>
  <c r="Z21817" i="1"/>
  <c r="Z21931" i="1"/>
  <c r="Z20678" i="1"/>
  <c r="Z20930" i="1"/>
  <c r="Z20994" i="1"/>
  <c r="Z21138" i="1"/>
  <c r="Z21266" i="1"/>
  <c r="Z21426" i="1"/>
  <c r="Z21602" i="1"/>
  <c r="Z21754" i="1"/>
  <c r="Z21868" i="1"/>
  <c r="Z18588" i="1"/>
  <c r="Z18703" i="1"/>
  <c r="Z18803" i="1"/>
  <c r="Z18864" i="1"/>
  <c r="Z18918" i="1"/>
  <c r="Z18971" i="1"/>
  <c r="Z19021" i="1"/>
  <c r="Z19071" i="1"/>
  <c r="Z19124" i="1"/>
  <c r="Z19163" i="1"/>
  <c r="Z19197" i="1"/>
  <c r="Z19228" i="1"/>
  <c r="Z19263" i="1"/>
  <c r="Z19300" i="1"/>
  <c r="Z19331" i="1"/>
  <c r="Z19356" i="1"/>
  <c r="Z19381" i="1"/>
  <c r="Z19406" i="1"/>
  <c r="Z19431" i="1"/>
  <c r="Z19459" i="1"/>
  <c r="Z19484" i="1"/>
  <c r="Z19509" i="1"/>
  <c r="Z19534" i="1"/>
  <c r="Z19559" i="1"/>
  <c r="Z19587" i="1"/>
  <c r="Z19612" i="1"/>
  <c r="Z19637" i="1"/>
  <c r="Z19662" i="1"/>
  <c r="Z19687" i="1"/>
  <c r="Z19715" i="1"/>
  <c r="Z19740" i="1"/>
  <c r="Z19765" i="1"/>
  <c r="Z19790" i="1"/>
  <c r="Z19815" i="1"/>
  <c r="Z19843" i="1"/>
  <c r="Z19918" i="1"/>
  <c r="Z20013" i="1"/>
  <c r="Z20031" i="1"/>
  <c r="Z20050" i="1"/>
  <c r="Z20068" i="1"/>
  <c r="Z20086" i="1"/>
  <c r="Z20105" i="1"/>
  <c r="Z20123" i="1"/>
  <c r="Z20141" i="1"/>
  <c r="Z20159" i="1"/>
  <c r="Z20178" i="1"/>
  <c r="Z20196" i="1"/>
  <c r="Z20214" i="1"/>
  <c r="Z20233" i="1"/>
  <c r="Z20251" i="1"/>
  <c r="Z20269" i="1"/>
  <c r="Z20306" i="1"/>
  <c r="Z20342" i="1"/>
  <c r="Z20452" i="1"/>
  <c r="Z20580" i="1"/>
  <c r="Z20690" i="1"/>
  <c r="Z20796" i="1"/>
  <c r="Z20860" i="1"/>
  <c r="Z20956" i="1"/>
  <c r="Z21084" i="1"/>
  <c r="Z21196" i="1"/>
  <c r="Z21356" i="1"/>
  <c r="Z21516" i="1"/>
  <c r="Z21724" i="1"/>
  <c r="Z21827" i="1"/>
  <c r="Z21930" i="1"/>
  <c r="Z19695" i="1"/>
  <c r="Z20019" i="1"/>
  <c r="Z20092" i="1"/>
  <c r="Z20183" i="1"/>
  <c r="Z20275" i="1"/>
  <c r="Z20421" i="1"/>
  <c r="Z20531" i="1"/>
  <c r="Z20659" i="1"/>
  <c r="Z20817" i="1"/>
  <c r="Z20945" i="1"/>
  <c r="Z21105" i="1"/>
  <c r="Z21265" i="1"/>
  <c r="Z21457" i="1"/>
  <c r="Z21585" i="1"/>
  <c r="Z21739" i="1"/>
  <c r="Z21856" i="1"/>
  <c r="Z20569" i="1"/>
  <c r="Z20882" i="1"/>
  <c r="Z20978" i="1"/>
  <c r="Z21106" i="1"/>
  <c r="Z21218" i="1"/>
  <c r="Z21346" i="1"/>
  <c r="Z21538" i="1"/>
  <c r="Z21714" i="1"/>
  <c r="Z21843" i="1"/>
  <c r="Z18601" i="1"/>
  <c r="Z18719" i="1"/>
  <c r="Z18808" i="1"/>
  <c r="Z18865" i="1"/>
  <c r="Z18919" i="1"/>
  <c r="Z18972" i="1"/>
  <c r="Z19022" i="1"/>
  <c r="Z19075" i="1"/>
  <c r="Z19125" i="1"/>
  <c r="Z19164" i="1"/>
  <c r="Z19199" i="1"/>
  <c r="Z19236" i="1"/>
  <c r="Z19267" i="1"/>
  <c r="Z19302" i="1"/>
  <c r="Z19339" i="1"/>
  <c r="Z19364" i="1"/>
  <c r="Z19389" i="1"/>
  <c r="Z19414" i="1"/>
  <c r="Z19439" i="1"/>
  <c r="Z19467" i="1"/>
  <c r="Z19492" i="1"/>
  <c r="Z19517" i="1"/>
  <c r="Z19542" i="1"/>
  <c r="Z19645" i="1"/>
  <c r="Z19748" i="1"/>
  <c r="Z19773" i="1"/>
  <c r="Z19798" i="1"/>
  <c r="Z19823" i="1"/>
  <c r="Z19851" i="1"/>
  <c r="Z19876" i="1"/>
  <c r="Z19901" i="1"/>
  <c r="Z19979" i="1"/>
  <c r="Z20037" i="1"/>
  <c r="Z20129" i="1"/>
  <c r="Z20257" i="1"/>
  <c r="Z20385" i="1"/>
  <c r="Z20567" i="1"/>
  <c r="Z20714" i="1"/>
  <c r="Z20849" i="1"/>
  <c r="Z21009" i="1"/>
  <c r="Z21169" i="1"/>
  <c r="Z21313" i="1"/>
  <c r="Z21473" i="1"/>
  <c r="Z21601" i="1"/>
  <c r="Z21753" i="1"/>
  <c r="Z21881" i="1"/>
  <c r="Z20660" i="1"/>
  <c r="Z20946" i="1"/>
  <c r="Z21090" i="1"/>
  <c r="Z21250" i="1"/>
  <c r="Z21378" i="1"/>
  <c r="Z21522" i="1"/>
  <c r="Z21729" i="1"/>
  <c r="Z21882" i="1"/>
  <c r="Z18617" i="1"/>
  <c r="Z18735" i="1"/>
  <c r="Z18819" i="1"/>
  <c r="Z18876" i="1"/>
  <c r="Z18932" i="1"/>
  <c r="Z18982" i="1"/>
  <c r="Z19035" i="1"/>
  <c r="Z19085" i="1"/>
  <c r="Z19135" i="1"/>
  <c r="Z19172" i="1"/>
  <c r="Z19203" i="1"/>
  <c r="Z19238" i="1"/>
  <c r="Z19275" i="1"/>
  <c r="Z19303" i="1"/>
  <c r="Z19340" i="1"/>
  <c r="Z19365" i="1"/>
  <c r="Z19390" i="1"/>
  <c r="Z19415" i="1"/>
  <c r="Z19443" i="1"/>
  <c r="Z19468" i="1"/>
  <c r="Z19493" i="1"/>
  <c r="Z19518" i="1"/>
  <c r="Z19543" i="1"/>
  <c r="Z19571" i="1"/>
  <c r="Z19596" i="1"/>
  <c r="Z19621" i="1"/>
  <c r="Z19646" i="1"/>
  <c r="Z19671" i="1"/>
  <c r="Z19699" i="1"/>
  <c r="Z19724" i="1"/>
  <c r="Z19749" i="1"/>
  <c r="Z19774" i="1"/>
  <c r="Z19799" i="1"/>
  <c r="Z19827" i="1"/>
  <c r="Z19852" i="1"/>
  <c r="Z19877" i="1"/>
  <c r="Z19902" i="1"/>
  <c r="Z19927" i="1"/>
  <c r="Z19955" i="1"/>
  <c r="Z19980" i="1"/>
  <c r="Z20002" i="1"/>
  <c r="Z20020" i="1"/>
  <c r="Z20038" i="1"/>
  <c r="Z20057" i="1"/>
  <c r="Z20075" i="1"/>
  <c r="Z20093" i="1"/>
  <c r="Z20111" i="1"/>
  <c r="Z20130" i="1"/>
  <c r="Z20148" i="1"/>
  <c r="Z20166" i="1"/>
  <c r="Z20185" i="1"/>
  <c r="Z20203" i="1"/>
  <c r="Z20221" i="1"/>
  <c r="Z20239" i="1"/>
  <c r="Z20258" i="1"/>
  <c r="Z20276" i="1"/>
  <c r="Z20294" i="1"/>
  <c r="Z20313" i="1"/>
  <c r="Z20331" i="1"/>
  <c r="Z20349" i="1"/>
  <c r="Z20367" i="1"/>
  <c r="Z20386" i="1"/>
  <c r="Z20404" i="1"/>
  <c r="Z20422" i="1"/>
  <c r="Z20441" i="1"/>
  <c r="Z20459" i="1"/>
  <c r="Z20477" i="1"/>
  <c r="Z20495" i="1"/>
  <c r="Z20514" i="1"/>
  <c r="Z20550" i="1"/>
  <c r="Z20623" i="1"/>
  <c r="Z20697" i="1"/>
  <c r="Z20715" i="1"/>
  <c r="Z20733" i="1"/>
  <c r="Z20751" i="1"/>
  <c r="Z20770" i="1"/>
  <c r="Z20786" i="1"/>
  <c r="Z20802" i="1"/>
  <c r="Z20818" i="1"/>
  <c r="Z20834" i="1"/>
  <c r="Z20850" i="1"/>
  <c r="Z20866" i="1"/>
  <c r="Z20898" i="1"/>
  <c r="Z20962" i="1"/>
  <c r="Z21058" i="1"/>
  <c r="Z21154" i="1"/>
  <c r="Z21298" i="1"/>
  <c r="Z21474" i="1"/>
  <c r="Z21618" i="1"/>
  <c r="Z21779" i="1"/>
  <c r="Z21857" i="1"/>
  <c r="Z21921" i="1"/>
  <c r="Z29" i="1"/>
  <c r="Z11" i="1" a="1"/>
  <c r="Y11" i="1" a="1"/>
  <c r="U35" i="1"/>
  <c r="U15" i="1" a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K25" i="1"/>
  <c r="K14" i="1"/>
  <c r="K18" i="1"/>
  <c r="K22" i="1"/>
  <c r="K26" i="1"/>
  <c r="M7" i="1"/>
  <c r="K15" i="1"/>
  <c r="K19" i="1"/>
  <c r="K23" i="1"/>
  <c r="K27" i="1"/>
  <c r="K12" i="1"/>
  <c r="K16" i="1"/>
  <c r="K11" i="1"/>
  <c r="K20" i="1"/>
  <c r="K24" i="1"/>
  <c r="E12" i="2"/>
  <c r="K13" i="1"/>
  <c r="K17" i="1"/>
  <c r="E9" i="2"/>
  <c r="K21" i="1"/>
  <c r="M25" i="1"/>
  <c r="M14" i="1"/>
  <c r="M18" i="1"/>
  <c r="M22" i="1"/>
  <c r="M26" i="1"/>
  <c r="M15" i="1"/>
  <c r="M19" i="1"/>
  <c r="M23" i="1"/>
  <c r="M27" i="1"/>
  <c r="M12" i="1"/>
  <c r="M16" i="1"/>
  <c r="M11" i="1"/>
  <c r="M20" i="1"/>
  <c r="M24" i="1"/>
  <c r="M13" i="1"/>
  <c r="M17" i="1"/>
  <c r="M21" i="1"/>
  <c r="Z18" i="1" l="1"/>
  <c r="Z26" i="1"/>
  <c r="Z11" i="1"/>
  <c r="Z19" i="1"/>
  <c r="Z12" i="1"/>
  <c r="Z20" i="1"/>
  <c r="Z13" i="1"/>
  <c r="Z21" i="1"/>
  <c r="Z14" i="1"/>
  <c r="Z22" i="1"/>
  <c r="Z15" i="1"/>
  <c r="Z23" i="1"/>
  <c r="Z16" i="1"/>
  <c r="Z24" i="1"/>
  <c r="Z17" i="1"/>
  <c r="Z25" i="1"/>
  <c r="Y18" i="1"/>
  <c r="Y26" i="1"/>
  <c r="Y11" i="1"/>
  <c r="Y19" i="1"/>
  <c r="Y12" i="1"/>
  <c r="Y20" i="1"/>
  <c r="Y13" i="1"/>
  <c r="Y21" i="1"/>
  <c r="Y14" i="1"/>
  <c r="Y22" i="1"/>
  <c r="Y15" i="1"/>
  <c r="Y23" i="1"/>
  <c r="Y16" i="1"/>
  <c r="Y24" i="1"/>
  <c r="Y17" i="1"/>
  <c r="Y25" i="1"/>
  <c r="U22" i="1"/>
  <c r="U15" i="1"/>
  <c r="U23" i="1"/>
  <c r="U16" i="1"/>
  <c r="U24" i="1"/>
  <c r="U17" i="1"/>
  <c r="U25" i="1"/>
  <c r="U18" i="1"/>
  <c r="U26" i="1"/>
  <c r="U19" i="1"/>
  <c r="U27" i="1"/>
  <c r="U20" i="1"/>
  <c r="U28" i="1"/>
  <c r="U21" i="1"/>
  <c r="U29" i="1"/>
  <c r="N31" i="1"/>
</calcChain>
</file>

<file path=xl/sharedStrings.xml><?xml version="1.0" encoding="utf-8"?>
<sst xmlns="http://schemas.openxmlformats.org/spreadsheetml/2006/main" count="110" uniqueCount="78">
  <si>
    <t>Instrument</t>
  </si>
  <si>
    <t>Maturity</t>
  </si>
  <si>
    <t>OIS</t>
  </si>
  <si>
    <t>ON</t>
  </si>
  <si>
    <t>TN</t>
  </si>
  <si>
    <t>1W</t>
  </si>
  <si>
    <t>2W</t>
  </si>
  <si>
    <t>3W</t>
  </si>
  <si>
    <t>1M</t>
  </si>
  <si>
    <t>3M</t>
  </si>
  <si>
    <t>6M</t>
  </si>
  <si>
    <t>1Y</t>
  </si>
  <si>
    <t>2Y</t>
  </si>
  <si>
    <t>3Y</t>
  </si>
  <si>
    <t>4Y</t>
  </si>
  <si>
    <t>5Y</t>
  </si>
  <si>
    <t>10Y</t>
  </si>
  <si>
    <t>20Y</t>
  </si>
  <si>
    <t>30Y</t>
  </si>
  <si>
    <t>60Y</t>
  </si>
  <si>
    <t>QuoteID</t>
  </si>
  <si>
    <t>OisOn</t>
  </si>
  <si>
    <t>OisTn</t>
  </si>
  <si>
    <t>Trigger</t>
  </si>
  <si>
    <t>EvaluationDate</t>
  </si>
  <si>
    <t>SetEvaluationDate</t>
  </si>
  <si>
    <t>Calendar</t>
  </si>
  <si>
    <t>TARGET</t>
  </si>
  <si>
    <t>SettlementDays</t>
  </si>
  <si>
    <t>SettlementDay</t>
  </si>
  <si>
    <t>Currency</t>
  </si>
  <si>
    <t>EUR</t>
  </si>
  <si>
    <t>Compounding</t>
  </si>
  <si>
    <t>Continuous</t>
  </si>
  <si>
    <t>Frequency</t>
  </si>
  <si>
    <t>Semiannual</t>
  </si>
  <si>
    <t>DayCountConvention</t>
  </si>
  <si>
    <t>Act/360</t>
  </si>
  <si>
    <t>BusinessDayConvention</t>
  </si>
  <si>
    <t>Following</t>
  </si>
  <si>
    <t>qlEonia</t>
  </si>
  <si>
    <t>qlSimpleQuote</t>
  </si>
  <si>
    <t>qlSimpleQuoteSetValue</t>
  </si>
  <si>
    <t>qlOISRateHelper</t>
  </si>
  <si>
    <t>Priority</t>
  </si>
  <si>
    <t>Min Dist</t>
  </si>
  <si>
    <t>Selection</t>
  </si>
  <si>
    <t>MarketValue</t>
  </si>
  <si>
    <t>Select Rate Helpers</t>
  </si>
  <si>
    <t>nIMMFutures</t>
  </si>
  <si>
    <t>nSerialFutures</t>
  </si>
  <si>
    <t>Discount Curve Definition</t>
  </si>
  <si>
    <t>Traits</t>
  </si>
  <si>
    <t>Discount</t>
  </si>
  <si>
    <t>Interpolator</t>
  </si>
  <si>
    <t>MonotonicCubicNaturalSpline</t>
  </si>
  <si>
    <t>Ois1wk</t>
  </si>
  <si>
    <t>Ois2wk</t>
  </si>
  <si>
    <t>Ois3wk</t>
  </si>
  <si>
    <t>Ois1mt</t>
  </si>
  <si>
    <t>Ois3mt</t>
  </si>
  <si>
    <t>Ois6mt</t>
  </si>
  <si>
    <t>Ois1yr</t>
  </si>
  <si>
    <t>Ois2yr</t>
  </si>
  <si>
    <t>Ois3yr</t>
  </si>
  <si>
    <t>Ois4yr</t>
  </si>
  <si>
    <t>Ois5yr</t>
  </si>
  <si>
    <t>Ois10yr</t>
  </si>
  <si>
    <t>Ois20yr</t>
  </si>
  <si>
    <t>Ois30yr</t>
  </si>
  <si>
    <t>Ois60yr</t>
  </si>
  <si>
    <t>AllDepos</t>
  </si>
  <si>
    <t>DepoInclusion</t>
  </si>
  <si>
    <t>FutureRollDays</t>
  </si>
  <si>
    <t>qlRateHelperSelection</t>
  </si>
  <si>
    <t>qlPiecewiseYieldCurve</t>
  </si>
  <si>
    <t>qlPiecewiseYieldCurveData</t>
  </si>
  <si>
    <t>qlPiecewiseYieldCurveDates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</si>
</sst>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[$-410]dd\-mmm\-yy;@"/>
    <numFmt numFmtId="168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4">
    <xf numFmtId="0" fontId="0" fillId="0" borderId="0" xfId="0"/>
    <xf numFmtId="0" fontId="0" fillId="2" borderId="0" xfId="0" applyFill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0" borderId="5" xfId="0" applyBorder="1"/>
    <xf numFmtId="0" fontId="0" fillId="2" borderId="12" xfId="0" applyFill="1" applyBorder="1" applyAlignment="1">
      <alignment horizontal="right"/>
    </xf>
    <xf numFmtId="15" fontId="0" fillId="2" borderId="12" xfId="0" applyNumberFormat="1" applyFill="1" applyBorder="1" applyAlignment="1">
      <alignment horizontal="right"/>
    </xf>
    <xf numFmtId="165" fontId="0" fillId="2" borderId="12" xfId="0" applyNumberFormat="1" applyFill="1" applyBorder="1" applyAlignment="1">
      <alignment horizontal="right"/>
    </xf>
    <xf numFmtId="0" fontId="0" fillId="4" borderId="1" xfId="0" applyFill="1" applyBorder="1"/>
    <xf numFmtId="0" fontId="2" fillId="5" borderId="11" xfId="0" applyFont="1" applyFill="1" applyBorder="1"/>
    <xf numFmtId="0" fontId="2" fillId="5" borderId="12" xfId="0" applyFont="1" applyFill="1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9" xfId="0" applyBorder="1"/>
    <xf numFmtId="0" fontId="0" fillId="2" borderId="0" xfId="0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0" fontId="0" fillId="3" borderId="0" xfId="0" applyNumberForma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0" fontId="0" fillId="3" borderId="5" xfId="0" applyNumberFormat="1" applyFill="1" applyBorder="1" applyAlignment="1">
      <alignment horizontal="center" vertical="center"/>
    </xf>
    <xf numFmtId="10" fontId="0" fillId="3" borderId="7" xfId="0" applyNumberFormat="1" applyFill="1" applyBorder="1" applyAlignment="1">
      <alignment horizontal="center" vertical="center"/>
    </xf>
    <xf numFmtId="10" fontId="0" fillId="3" borderId="8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0" fontId="0" fillId="3" borderId="6" xfId="0" applyNumberFormat="1" applyFill="1" applyBorder="1" applyAlignment="1">
      <alignment horizontal="left" vertical="center"/>
    </xf>
    <xf numFmtId="10" fontId="0" fillId="3" borderId="9" xfId="0" applyNumberFormat="1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0" fontId="0" fillId="3" borderId="7" xfId="0" applyFill="1" applyBorder="1" applyAlignment="1">
      <alignment horizontal="left" vertical="center"/>
    </xf>
    <xf numFmtId="0" fontId="0" fillId="3" borderId="8" xfId="0" applyFill="1" applyBorder="1" applyAlignment="1">
      <alignment horizontal="left" vertical="center"/>
    </xf>
    <xf numFmtId="0" fontId="0" fillId="2" borderId="11" xfId="0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3" xfId="0" applyFill="1" applyBorder="1" applyAlignment="1">
      <alignment horizontal="right" vertical="center"/>
    </xf>
    <xf numFmtId="0" fontId="0" fillId="2" borderId="0" xfId="0" applyFill="1" applyBorder="1"/>
    <xf numFmtId="0" fontId="0" fillId="0" borderId="0" xfId="0" applyBorder="1"/>
    <xf numFmtId="0" fontId="0" fillId="0" borderId="8" xfId="0" applyBorder="1"/>
    <xf numFmtId="0" fontId="3" fillId="2" borderId="0" xfId="0" applyFont="1" applyFill="1"/>
    <xf numFmtId="0" fontId="0" fillId="2" borderId="11" xfId="0" applyFill="1" applyBorder="1" applyAlignment="1">
      <alignment horizontal="right" vertical="center"/>
    </xf>
    <xf numFmtId="0" fontId="0" fillId="2" borderId="12" xfId="0" applyFill="1" applyBorder="1" applyAlignment="1">
      <alignment horizontal="right" vertical="center"/>
    </xf>
    <xf numFmtId="0" fontId="0" fillId="5" borderId="1" xfId="0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168" fontId="0" fillId="3" borderId="2" xfId="0" applyNumberFormat="1" applyFill="1" applyBorder="1" applyAlignment="1">
      <alignment horizontal="left" vertical="center"/>
    </xf>
    <xf numFmtId="168" fontId="0" fillId="3" borderId="5" xfId="0" applyNumberFormat="1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168" fontId="0" fillId="2" borderId="0" xfId="0" applyNumberFormat="1" applyFill="1" applyBorder="1" applyAlignment="1">
      <alignment horizontal="left" vertical="center"/>
    </xf>
  </cellXfs>
  <cellStyles count="2">
    <cellStyle name="Comma 2" xfId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34102"/>
  <sheetViews>
    <sheetView showGridLines="0" tabSelected="1" topLeftCell="M4" zoomScale="96" zoomScaleNormal="96" workbookViewId="0">
      <selection activeCell="T40" sqref="T40"/>
    </sheetView>
  </sheetViews>
  <sheetFormatPr defaultRowHeight="15" x14ac:dyDescent="0.25"/>
  <cols>
    <col min="2" max="2" width="3.28515625" customWidth="1"/>
    <col min="3" max="3" width="2.140625" customWidth="1"/>
    <col min="4" max="4" width="10.85546875" bestFit="1" customWidth="1"/>
    <col min="6" max="6" width="12.85546875" bestFit="1" customWidth="1"/>
    <col min="7" max="7" width="2.28515625" customWidth="1"/>
    <col min="8" max="8" width="4.5703125" customWidth="1"/>
    <col min="9" max="9" width="2.28515625" customWidth="1"/>
    <col min="11" max="11" width="14.5703125" bestFit="1" customWidth="1"/>
    <col min="12" max="12" width="22.85546875" bestFit="1" customWidth="1"/>
    <col min="13" max="13" width="15.85546875" bestFit="1" customWidth="1"/>
    <col min="14" max="14" width="9.28515625" bestFit="1" customWidth="1"/>
    <col min="15" max="15" width="9.28515625" customWidth="1"/>
    <col min="16" max="16" width="9.28515625" bestFit="1" customWidth="1"/>
    <col min="17" max="17" width="2.42578125" customWidth="1"/>
    <col min="18" max="18" width="6.7109375" customWidth="1"/>
    <col min="19" max="19" width="2" customWidth="1"/>
    <col min="20" max="20" width="24.140625" bestFit="1" customWidth="1"/>
    <col min="21" max="21" width="27.5703125" customWidth="1"/>
    <col min="22" max="22" width="2" customWidth="1"/>
    <col min="23" max="23" width="5" customWidth="1"/>
    <col min="24" max="24" width="2.140625" customWidth="1"/>
    <col min="25" max="25" width="30.42578125" bestFit="1" customWidth="1"/>
    <col min="26" max="26" width="25.85546875" bestFit="1" customWidth="1"/>
    <col min="27" max="27" width="2" customWidth="1"/>
  </cols>
  <sheetData>
    <row r="1" spans="1:28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8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8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8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8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8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8" x14ac:dyDescent="0.25">
      <c r="A7" s="1"/>
      <c r="B7" s="1"/>
      <c r="C7" s="1"/>
      <c r="D7" s="1"/>
      <c r="E7" s="1"/>
      <c r="F7" s="1"/>
      <c r="G7" s="1"/>
      <c r="H7" s="1"/>
      <c r="I7" s="1"/>
      <c r="J7" s="24"/>
      <c r="K7" s="24"/>
      <c r="L7" s="25" t="s">
        <v>40</v>
      </c>
      <c r="M7" s="26" t="str">
        <f>_xll.qlEonia("Eonia",,,Trigger)</f>
        <v>Eonia#0002</v>
      </c>
      <c r="N7" s="1"/>
      <c r="O7" s="1"/>
      <c r="P7" s="1"/>
      <c r="Q7" s="1"/>
      <c r="R7" s="1"/>
      <c r="S7" s="1"/>
      <c r="T7" s="1"/>
      <c r="U7" s="1"/>
    </row>
    <row r="8" spans="1:28" x14ac:dyDescent="0.25">
      <c r="A8" s="1"/>
      <c r="B8" s="1"/>
      <c r="C8" s="1"/>
      <c r="D8" s="1"/>
      <c r="E8" s="1"/>
      <c r="F8" s="1"/>
      <c r="G8" s="1"/>
      <c r="H8" s="1"/>
      <c r="I8" s="1"/>
      <c r="J8" s="24"/>
      <c r="K8" s="24"/>
      <c r="L8" s="24"/>
      <c r="M8" s="24"/>
      <c r="N8" s="1"/>
      <c r="O8" s="1"/>
      <c r="P8" s="1"/>
      <c r="Q8" s="1"/>
      <c r="R8" s="1"/>
      <c r="S8" s="1"/>
      <c r="T8" s="1"/>
      <c r="U8" s="1"/>
    </row>
    <row r="9" spans="1:28" ht="10.5" customHeight="1" x14ac:dyDescent="0.25">
      <c r="A9" s="1"/>
      <c r="B9" s="1"/>
      <c r="C9" s="2"/>
      <c r="D9" s="3"/>
      <c r="E9" s="3"/>
      <c r="F9" s="3"/>
      <c r="G9" s="4"/>
      <c r="H9" s="1"/>
      <c r="I9" s="2"/>
      <c r="J9" s="27"/>
      <c r="K9" s="27"/>
      <c r="L9" s="27"/>
      <c r="M9" s="27"/>
      <c r="N9" s="27"/>
      <c r="O9" s="27"/>
      <c r="P9" s="27"/>
      <c r="Q9" s="4"/>
      <c r="R9" s="1"/>
      <c r="S9" s="2"/>
      <c r="T9" s="3"/>
      <c r="U9" s="3"/>
      <c r="V9" s="19"/>
      <c r="X9" s="18"/>
      <c r="Y9" s="17"/>
      <c r="Z9" s="17"/>
      <c r="AA9" s="17"/>
      <c r="AB9" s="10"/>
    </row>
    <row r="10" spans="1:28" x14ac:dyDescent="0.25">
      <c r="A10" s="1"/>
      <c r="B10" s="1"/>
      <c r="C10" s="5"/>
      <c r="D10" s="25" t="s">
        <v>0</v>
      </c>
      <c r="E10" s="25" t="s">
        <v>1</v>
      </c>
      <c r="F10" s="25" t="s">
        <v>47</v>
      </c>
      <c r="G10" s="6"/>
      <c r="H10" s="1"/>
      <c r="I10" s="5"/>
      <c r="J10" s="25" t="s">
        <v>20</v>
      </c>
      <c r="K10" s="25" t="s">
        <v>41</v>
      </c>
      <c r="L10" s="25" t="s">
        <v>42</v>
      </c>
      <c r="M10" s="25" t="s">
        <v>43</v>
      </c>
      <c r="N10" s="25" t="s">
        <v>46</v>
      </c>
      <c r="O10" s="25" t="s">
        <v>44</v>
      </c>
      <c r="P10" s="25" t="s">
        <v>45</v>
      </c>
      <c r="Q10" s="6"/>
      <c r="R10" s="1"/>
      <c r="S10" s="5"/>
      <c r="T10" s="51" t="s">
        <v>48</v>
      </c>
      <c r="U10" s="25"/>
      <c r="V10" s="20"/>
      <c r="X10" s="10"/>
      <c r="Y10" s="51" t="s">
        <v>77</v>
      </c>
      <c r="Z10" s="51" t="s">
        <v>76</v>
      </c>
      <c r="AA10" s="20"/>
    </row>
    <row r="11" spans="1:28" x14ac:dyDescent="0.25">
      <c r="A11" s="1"/>
      <c r="B11" s="1"/>
      <c r="C11" s="5"/>
      <c r="D11" s="38" t="s">
        <v>2</v>
      </c>
      <c r="E11" s="39" t="s">
        <v>3</v>
      </c>
      <c r="F11" s="36">
        <v>9.7000000000000003E-3</v>
      </c>
      <c r="G11" s="6"/>
      <c r="H11" s="1"/>
      <c r="I11" s="5"/>
      <c r="J11" s="31" t="s">
        <v>21</v>
      </c>
      <c r="K11" s="28" t="str">
        <f>_xll.qlSimpleQuote(J11,,,,Trigger)</f>
        <v>OisOn#0002</v>
      </c>
      <c r="L11" s="28">
        <f>_xll.qlSimpleQuoteSetValue(K11,F11,Trigger)</f>
        <v>0</v>
      </c>
      <c r="M11" s="28" t="str">
        <f>_xll.qlOISRateHelper(,2,"1D",K11,M7,,,Trigger)</f>
        <v>obj_00060#0003</v>
      </c>
      <c r="N11" s="28" t="b">
        <v>0</v>
      </c>
      <c r="O11" s="35">
        <v>50</v>
      </c>
      <c r="P11" s="34">
        <v>1</v>
      </c>
      <c r="Q11" s="6"/>
      <c r="R11" s="1"/>
      <c r="S11" s="5"/>
      <c r="T11" s="52" t="s">
        <v>49</v>
      </c>
      <c r="U11" s="42">
        <v>0</v>
      </c>
      <c r="V11" s="20"/>
      <c r="X11" s="10"/>
      <c r="Y11" s="57">
        <f t="array" ref="Y11:Y26">_xll.qlPiecewiseYieldCurveDates(U35,Trigger)</f>
        <v>42562</v>
      </c>
      <c r="Z11" s="59">
        <f t="array" ref="Z11:Z26">_xll.qlPiecewiseYieldCurveData(U35,Trigger)</f>
        <v>1</v>
      </c>
      <c r="AA11" s="20"/>
    </row>
    <row r="12" spans="1:28" x14ac:dyDescent="0.25">
      <c r="A12" s="1"/>
      <c r="B12" s="1"/>
      <c r="C12" s="5"/>
      <c r="D12" s="38" t="s">
        <v>2</v>
      </c>
      <c r="E12" s="39" t="s">
        <v>4</v>
      </c>
      <c r="F12" s="36">
        <v>9.75E-3</v>
      </c>
      <c r="G12" s="6"/>
      <c r="H12" s="1"/>
      <c r="I12" s="5"/>
      <c r="J12" s="31" t="s">
        <v>22</v>
      </c>
      <c r="K12" s="28" t="str">
        <f>_xll.qlSimpleQuote(J12,,,,Trigger)</f>
        <v>OisTn#0002</v>
      </c>
      <c r="L12" s="28">
        <f>_xll.qlSimpleQuoteSetValue(K12,F12,Trigger)</f>
        <v>0</v>
      </c>
      <c r="M12" s="28" t="str">
        <f>_xll.qlOISRateHelper(,2,"2D",K12,M7,,,Trigger)</f>
        <v>obj_0005c#0003</v>
      </c>
      <c r="N12" s="28" t="b">
        <v>0</v>
      </c>
      <c r="O12" s="35">
        <v>50</v>
      </c>
      <c r="P12" s="34">
        <v>1</v>
      </c>
      <c r="Q12" s="6"/>
      <c r="R12" s="1"/>
      <c r="S12" s="5"/>
      <c r="T12" s="38" t="s">
        <v>50</v>
      </c>
      <c r="U12" s="43">
        <v>0</v>
      </c>
      <c r="V12" s="20"/>
      <c r="X12" s="10"/>
      <c r="Y12" s="58">
        <v>42571</v>
      </c>
      <c r="Z12" s="60">
        <v>0.99975094441536128</v>
      </c>
      <c r="AA12" s="20"/>
    </row>
    <row r="13" spans="1:28" x14ac:dyDescent="0.25">
      <c r="A13" s="1"/>
      <c r="B13" s="1"/>
      <c r="C13" s="5"/>
      <c r="D13" s="38" t="s">
        <v>2</v>
      </c>
      <c r="E13" s="39" t="s">
        <v>5</v>
      </c>
      <c r="F13" s="36">
        <v>9.9100000000000004E-3</v>
      </c>
      <c r="G13" s="6"/>
      <c r="H13" s="1"/>
      <c r="I13" s="5"/>
      <c r="J13" s="31" t="s">
        <v>56</v>
      </c>
      <c r="K13" s="28" t="str">
        <f>_xll.qlSimpleQuote(J13,,,,Trigger)</f>
        <v>Ois1wk#0003</v>
      </c>
      <c r="L13" s="28">
        <f>_xll.qlSimpleQuoteSetValue(K13,F13,Trigger)</f>
        <v>0</v>
      </c>
      <c r="M13" s="28" t="str">
        <f>_xll.qlOISRateHelper(,2,E13,K13,$M$7,,,Trigger)</f>
        <v>obj_00067#0004</v>
      </c>
      <c r="N13" s="28" t="b">
        <v>1</v>
      </c>
      <c r="O13" s="35">
        <v>50</v>
      </c>
      <c r="P13" s="34">
        <v>1</v>
      </c>
      <c r="Q13" s="6"/>
      <c r="R13" s="1"/>
      <c r="S13" s="5"/>
      <c r="T13" s="38" t="s">
        <v>73</v>
      </c>
      <c r="U13" s="43">
        <v>0</v>
      </c>
      <c r="V13" s="20"/>
      <c r="X13" s="10"/>
      <c r="Y13" s="58">
        <v>42578</v>
      </c>
      <c r="Z13" s="60">
        <v>0.99956458929473946</v>
      </c>
      <c r="AA13" s="20"/>
    </row>
    <row r="14" spans="1:28" x14ac:dyDescent="0.25">
      <c r="A14" s="1"/>
      <c r="B14" s="1"/>
      <c r="C14" s="5"/>
      <c r="D14" s="38" t="s">
        <v>2</v>
      </c>
      <c r="E14" s="39" t="s">
        <v>6</v>
      </c>
      <c r="F14" s="36">
        <v>9.75E-3</v>
      </c>
      <c r="G14" s="6"/>
      <c r="H14" s="1"/>
      <c r="I14" s="5"/>
      <c r="J14" s="31" t="s">
        <v>57</v>
      </c>
      <c r="K14" s="28" t="str">
        <f>_xll.qlSimpleQuote(J14,,,,Trigger)</f>
        <v>Ois2wk#0002</v>
      </c>
      <c r="L14" s="28">
        <f>_xll.qlSimpleQuoteSetValue(K14,F14,Trigger)</f>
        <v>0</v>
      </c>
      <c r="M14" s="28" t="str">
        <f>_xll.qlOISRateHelper(,2,E14,K14,$M$7,,,Trigger)</f>
        <v>obj_00068#0003</v>
      </c>
      <c r="N14" s="28" t="b">
        <v>1</v>
      </c>
      <c r="O14" s="35">
        <v>50</v>
      </c>
      <c r="P14" s="34">
        <v>1</v>
      </c>
      <c r="Q14" s="6"/>
      <c r="R14" s="1"/>
      <c r="S14" s="5"/>
      <c r="T14" s="40" t="s">
        <v>72</v>
      </c>
      <c r="U14" s="44" t="s">
        <v>71</v>
      </c>
      <c r="V14" s="20"/>
      <c r="X14" s="10"/>
      <c r="Y14" s="58">
        <v>42585</v>
      </c>
      <c r="Z14" s="60">
        <v>0.99935946526119313</v>
      </c>
      <c r="AA14" s="20"/>
    </row>
    <row r="15" spans="1:28" x14ac:dyDescent="0.25">
      <c r="A15" s="1"/>
      <c r="B15" s="1"/>
      <c r="C15" s="5"/>
      <c r="D15" s="38" t="s">
        <v>2</v>
      </c>
      <c r="E15" s="39" t="s">
        <v>7</v>
      </c>
      <c r="F15" s="36">
        <v>1.0019999999999999E-2</v>
      </c>
      <c r="G15" s="6"/>
      <c r="H15" s="1"/>
      <c r="I15" s="5"/>
      <c r="J15" s="31" t="s">
        <v>58</v>
      </c>
      <c r="K15" s="28" t="str">
        <f>_xll.qlSimpleQuote(J15,,,,Trigger)</f>
        <v>Ois3wk#0002</v>
      </c>
      <c r="L15" s="28">
        <f>_xll.qlSimpleQuoteSetValue(K15,F15,Trigger)</f>
        <v>0</v>
      </c>
      <c r="M15" s="28" t="str">
        <f>_xll.qlOISRateHelper(,2,E15,K15,$M$7,,,Trigger)</f>
        <v>obj_00069#0003</v>
      </c>
      <c r="N15" s="28" t="b">
        <v>1</v>
      </c>
      <c r="O15" s="35">
        <v>50</v>
      </c>
      <c r="P15" s="34">
        <v>1</v>
      </c>
      <c r="Q15" s="6"/>
      <c r="R15" s="1"/>
      <c r="S15" s="5"/>
      <c r="T15" s="52" t="s">
        <v>74</v>
      </c>
      <c r="U15" s="49" t="str">
        <f t="array" ref="U15:U29">_xll.qlRateHelperSelection(_xll.ohFilter(M11:M27,N11:N27),_xll.ohFilter(O11:O27,N11:N27),U11,U12,U13,U14,_xll.ohFilter(P11:P27,N11:N27),Trigger)</f>
        <v>obj_00067</v>
      </c>
      <c r="V15" s="20"/>
      <c r="X15" s="10"/>
      <c r="Y15" s="58">
        <v>42597</v>
      </c>
      <c r="Z15" s="60">
        <v>0.99903604987045702</v>
      </c>
      <c r="AA15" s="20"/>
    </row>
    <row r="16" spans="1:28" x14ac:dyDescent="0.25">
      <c r="A16" s="1"/>
      <c r="B16" s="1"/>
      <c r="C16" s="5"/>
      <c r="D16" s="38" t="s">
        <v>2</v>
      </c>
      <c r="E16" s="39" t="s">
        <v>8</v>
      </c>
      <c r="F16" s="36">
        <v>9.9100000000000004E-3</v>
      </c>
      <c r="G16" s="6"/>
      <c r="H16" s="1"/>
      <c r="I16" s="5"/>
      <c r="J16" s="31" t="s">
        <v>59</v>
      </c>
      <c r="K16" s="28" t="str">
        <f>_xll.qlSimpleQuote(J16,,,,Trigger)</f>
        <v>Ois1mt#0002</v>
      </c>
      <c r="L16" s="28">
        <f>_xll.qlSimpleQuoteSetValue(K16,F16,Trigger)</f>
        <v>0</v>
      </c>
      <c r="M16" s="28" t="str">
        <f>_xll.qlOISRateHelper(,2,E16,K16,$M$7,,,Trigger)</f>
        <v>obj_0006a#0003</v>
      </c>
      <c r="N16" s="28" t="b">
        <v>1</v>
      </c>
      <c r="O16" s="35">
        <v>50</v>
      </c>
      <c r="P16" s="34">
        <v>1</v>
      </c>
      <c r="Q16" s="6"/>
      <c r="R16" s="1"/>
      <c r="S16" s="5"/>
      <c r="T16" s="38" t="s">
        <v>74</v>
      </c>
      <c r="U16" s="50" t="str">
        <v>obj_00068</v>
      </c>
      <c r="V16" s="20"/>
      <c r="X16" s="10"/>
      <c r="Y16" s="58">
        <v>42656</v>
      </c>
      <c r="Z16" s="60">
        <v>0.99741757544627085</v>
      </c>
      <c r="AA16" s="20"/>
    </row>
    <row r="17" spans="1:28" x14ac:dyDescent="0.25">
      <c r="A17" s="1"/>
      <c r="B17" s="1"/>
      <c r="C17" s="5"/>
      <c r="D17" s="38" t="s">
        <v>2</v>
      </c>
      <c r="E17" s="39" t="s">
        <v>9</v>
      </c>
      <c r="F17" s="36">
        <v>9.9100000000000004E-3</v>
      </c>
      <c r="G17" s="6"/>
      <c r="H17" s="1"/>
      <c r="I17" s="5"/>
      <c r="J17" s="31" t="s">
        <v>60</v>
      </c>
      <c r="K17" s="28" t="str">
        <f>_xll.qlSimpleQuote(J17,,,,Trigger)</f>
        <v>Ois3mt#0002</v>
      </c>
      <c r="L17" s="28">
        <f>_xll.qlSimpleQuoteSetValue(K17,F17,Trigger)</f>
        <v>0</v>
      </c>
      <c r="M17" s="28" t="str">
        <f>_xll.qlOISRateHelper(,2,E17,K17,$M$7,,,Trigger)</f>
        <v>obj_0006b#0003</v>
      </c>
      <c r="N17" s="28" t="b">
        <v>1</v>
      </c>
      <c r="O17" s="35">
        <v>50</v>
      </c>
      <c r="P17" s="34">
        <v>1</v>
      </c>
      <c r="Q17" s="6"/>
      <c r="R17" s="1"/>
      <c r="S17" s="5"/>
      <c r="T17" s="38" t="s">
        <v>74</v>
      </c>
      <c r="U17" s="50" t="str">
        <v>obj_00069</v>
      </c>
      <c r="V17" s="20"/>
      <c r="X17" s="10"/>
      <c r="Y17" s="58">
        <v>42748</v>
      </c>
      <c r="Z17" s="60">
        <v>0.99499030800575849</v>
      </c>
      <c r="AA17" s="20"/>
    </row>
    <row r="18" spans="1:28" x14ac:dyDescent="0.25">
      <c r="A18" s="1"/>
      <c r="B18" s="1"/>
      <c r="C18" s="5"/>
      <c r="D18" s="38" t="s">
        <v>2</v>
      </c>
      <c r="E18" s="39" t="s">
        <v>10</v>
      </c>
      <c r="F18" s="36">
        <v>9.7400000000000004E-3</v>
      </c>
      <c r="G18" s="6"/>
      <c r="H18" s="1"/>
      <c r="I18" s="5"/>
      <c r="J18" s="31" t="s">
        <v>61</v>
      </c>
      <c r="K18" s="28" t="str">
        <f>_xll.qlSimpleQuote(J18,,,,Trigger)</f>
        <v>Ois6mt#0002</v>
      </c>
      <c r="L18" s="28">
        <f>_xll.qlSimpleQuoteSetValue(K18,F18,Trigger)</f>
        <v>0</v>
      </c>
      <c r="M18" s="28" t="str">
        <f>_xll.qlOISRateHelper(,2,E18,K18,$M$7,,,Trigger)</f>
        <v>obj_0006c#0003</v>
      </c>
      <c r="N18" s="28" t="b">
        <v>1</v>
      </c>
      <c r="O18" s="35">
        <v>50</v>
      </c>
      <c r="P18" s="34">
        <v>1</v>
      </c>
      <c r="Q18" s="6"/>
      <c r="R18" s="1"/>
      <c r="S18" s="5"/>
      <c r="T18" s="38" t="s">
        <v>74</v>
      </c>
      <c r="U18" s="50" t="str">
        <v>obj_0006a</v>
      </c>
      <c r="V18" s="20"/>
      <c r="X18" s="10"/>
      <c r="Y18" s="58">
        <v>42929</v>
      </c>
      <c r="Z18" s="60">
        <v>0.99033445814910004</v>
      </c>
      <c r="AA18" s="20"/>
    </row>
    <row r="19" spans="1:28" x14ac:dyDescent="0.25">
      <c r="A19" s="1"/>
      <c r="B19" s="1"/>
      <c r="C19" s="5"/>
      <c r="D19" s="38" t="s">
        <v>2</v>
      </c>
      <c r="E19" s="39" t="s">
        <v>11</v>
      </c>
      <c r="F19" s="36">
        <v>9.5700000000000004E-3</v>
      </c>
      <c r="G19" s="6"/>
      <c r="H19" s="1"/>
      <c r="I19" s="5"/>
      <c r="J19" s="31" t="s">
        <v>62</v>
      </c>
      <c r="K19" s="28" t="str">
        <f>_xll.qlSimpleQuote(J19,,,,Trigger)</f>
        <v>Ois1yr#0002</v>
      </c>
      <c r="L19" s="28">
        <f>_xll.qlSimpleQuoteSetValue(K19,F19,Trigger)</f>
        <v>0</v>
      </c>
      <c r="M19" s="28" t="str">
        <f>_xll.qlOISRateHelper(,2,E19,K19,$M$7,,,Trigger)</f>
        <v>obj_0006d#0003</v>
      </c>
      <c r="N19" s="28" t="b">
        <v>1</v>
      </c>
      <c r="O19" s="35">
        <v>50</v>
      </c>
      <c r="P19" s="34">
        <v>1</v>
      </c>
      <c r="Q19" s="6"/>
      <c r="R19" s="1"/>
      <c r="S19" s="5"/>
      <c r="T19" s="38" t="s">
        <v>74</v>
      </c>
      <c r="U19" s="50" t="str">
        <v>obj_0006b</v>
      </c>
      <c r="V19" s="20"/>
      <c r="X19" s="10"/>
      <c r="Y19" s="58">
        <v>43294</v>
      </c>
      <c r="Z19" s="60">
        <v>0.98065933286779483</v>
      </c>
      <c r="AA19" s="20"/>
    </row>
    <row r="20" spans="1:28" x14ac:dyDescent="0.25">
      <c r="A20" s="1"/>
      <c r="B20" s="1"/>
      <c r="C20" s="5"/>
      <c r="D20" s="38" t="s">
        <v>2</v>
      </c>
      <c r="E20" s="39" t="s">
        <v>12</v>
      </c>
      <c r="F20" s="36">
        <v>9.6500000000000006E-3</v>
      </c>
      <c r="G20" s="6"/>
      <c r="H20" s="1"/>
      <c r="I20" s="5"/>
      <c r="J20" s="31" t="s">
        <v>63</v>
      </c>
      <c r="K20" s="28" t="str">
        <f>_xll.qlSimpleQuote(J20,,,,Trigger)</f>
        <v>Ois2yr#0002</v>
      </c>
      <c r="L20" s="28">
        <f>_xll.qlSimpleQuoteSetValue(K20,F20,Trigger)</f>
        <v>0</v>
      </c>
      <c r="M20" s="28" t="str">
        <f>_xll.qlOISRateHelper(,2,E20,K20,$M$7,,,Trigger)</f>
        <v>obj_0006e#0003</v>
      </c>
      <c r="N20" s="28" t="b">
        <v>1</v>
      </c>
      <c r="O20" s="35">
        <v>50</v>
      </c>
      <c r="P20" s="34">
        <v>1</v>
      </c>
      <c r="Q20" s="6"/>
      <c r="R20" s="1"/>
      <c r="S20" s="5"/>
      <c r="T20" s="38" t="s">
        <v>74</v>
      </c>
      <c r="U20" s="50" t="str">
        <v>obj_0006c</v>
      </c>
      <c r="V20" s="20"/>
      <c r="X20" s="10"/>
      <c r="Y20" s="58">
        <v>43661</v>
      </c>
      <c r="Z20" s="60">
        <v>0.97018886423698658</v>
      </c>
      <c r="AA20" s="20"/>
    </row>
    <row r="21" spans="1:28" x14ac:dyDescent="0.25">
      <c r="A21" s="1"/>
      <c r="B21" s="1"/>
      <c r="C21" s="5"/>
      <c r="D21" s="38" t="s">
        <v>2</v>
      </c>
      <c r="E21" s="39" t="s">
        <v>13</v>
      </c>
      <c r="F21" s="36">
        <v>9.9600000000000001E-3</v>
      </c>
      <c r="G21" s="6"/>
      <c r="H21" s="1"/>
      <c r="I21" s="5"/>
      <c r="J21" s="31" t="s">
        <v>64</v>
      </c>
      <c r="K21" s="28" t="str">
        <f>_xll.qlSimpleQuote(J21,,,,Trigger)</f>
        <v>Ois3yr#0002</v>
      </c>
      <c r="L21" s="28">
        <f>_xll.qlSimpleQuoteSetValue(K21,F21,Trigger)</f>
        <v>0</v>
      </c>
      <c r="M21" s="28" t="str">
        <f>_xll.qlOISRateHelper(,2,E21,K21,$M$7,,,Trigger)</f>
        <v>obj_0006f#0003</v>
      </c>
      <c r="N21" s="28" t="b">
        <v>1</v>
      </c>
      <c r="O21" s="35">
        <v>50</v>
      </c>
      <c r="P21" s="34">
        <v>1</v>
      </c>
      <c r="Q21" s="6"/>
      <c r="R21" s="1"/>
      <c r="S21" s="5"/>
      <c r="T21" s="38" t="s">
        <v>74</v>
      </c>
      <c r="U21" s="50" t="str">
        <v>obj_0006d</v>
      </c>
      <c r="V21" s="20"/>
      <c r="X21" s="10"/>
      <c r="Y21" s="58">
        <v>44025</v>
      </c>
      <c r="Z21" s="60">
        <v>0.95871385383855456</v>
      </c>
      <c r="AA21" s="20"/>
    </row>
    <row r="22" spans="1:28" x14ac:dyDescent="0.25">
      <c r="A22" s="1"/>
      <c r="B22" s="1"/>
      <c r="C22" s="5"/>
      <c r="D22" s="38" t="s">
        <v>2</v>
      </c>
      <c r="E22" s="39" t="s">
        <v>14</v>
      </c>
      <c r="F22" s="36">
        <v>1.042E-2</v>
      </c>
      <c r="G22" s="6"/>
      <c r="H22" s="1"/>
      <c r="I22" s="5"/>
      <c r="J22" s="31" t="s">
        <v>65</v>
      </c>
      <c r="K22" s="28" t="str">
        <f>_xll.qlSimpleQuote(J22,,,,Trigger)</f>
        <v>Ois4yr#0002</v>
      </c>
      <c r="L22" s="28">
        <f>_xll.qlSimpleQuoteSetValue(K22,F22,Trigger)</f>
        <v>0</v>
      </c>
      <c r="M22" s="28" t="str">
        <f>_xll.qlOISRateHelper(,2,E22,K22,$M$7,,,Trigger)</f>
        <v>obj_00070#0003</v>
      </c>
      <c r="N22" s="28" t="b">
        <v>1</v>
      </c>
      <c r="O22" s="35">
        <v>50</v>
      </c>
      <c r="P22" s="34">
        <v>1</v>
      </c>
      <c r="Q22" s="6"/>
      <c r="R22" s="1"/>
      <c r="S22" s="5"/>
      <c r="T22" s="38" t="s">
        <v>74</v>
      </c>
      <c r="U22" s="50" t="str">
        <v>obj_0006e</v>
      </c>
      <c r="V22" s="20"/>
      <c r="X22" s="10"/>
      <c r="Y22" s="58">
        <v>44390</v>
      </c>
      <c r="Z22" s="60">
        <v>0.94548094548610073</v>
      </c>
      <c r="AA22" s="20"/>
    </row>
    <row r="23" spans="1:28" x14ac:dyDescent="0.25">
      <c r="A23" s="1"/>
      <c r="B23" s="1"/>
      <c r="C23" s="5"/>
      <c r="D23" s="38" t="s">
        <v>2</v>
      </c>
      <c r="E23" s="39" t="s">
        <v>15</v>
      </c>
      <c r="F23" s="36">
        <v>1.108E-2</v>
      </c>
      <c r="G23" s="6"/>
      <c r="H23" s="1"/>
      <c r="I23" s="5"/>
      <c r="J23" s="31" t="s">
        <v>66</v>
      </c>
      <c r="K23" s="28" t="str">
        <f>_xll.qlSimpleQuote(J23,,,,Trigger)</f>
        <v>Ois5yr#0002</v>
      </c>
      <c r="L23" s="28">
        <f>_xll.qlSimpleQuoteSetValue(K23,F23,Trigger)</f>
        <v>0</v>
      </c>
      <c r="M23" s="28" t="str">
        <f>_xll.qlOISRateHelper(,2,E23,K23,$M$7,,,Trigger)</f>
        <v>obj_00071#0003</v>
      </c>
      <c r="N23" s="28" t="b">
        <v>1</v>
      </c>
      <c r="O23" s="35">
        <v>50</v>
      </c>
      <c r="P23" s="34">
        <v>1</v>
      </c>
      <c r="Q23" s="6"/>
      <c r="R23" s="1"/>
      <c r="S23" s="5"/>
      <c r="T23" s="38" t="s">
        <v>74</v>
      </c>
      <c r="U23" s="50" t="str">
        <v>obj_0006f</v>
      </c>
      <c r="V23" s="20"/>
      <c r="X23" s="10"/>
      <c r="Y23" s="58">
        <v>46216</v>
      </c>
      <c r="Z23" s="60">
        <v>0.87635115043058309</v>
      </c>
      <c r="AA23" s="20"/>
    </row>
    <row r="24" spans="1:28" x14ac:dyDescent="0.25">
      <c r="A24" s="1"/>
      <c r="B24" s="1"/>
      <c r="C24" s="5"/>
      <c r="D24" s="38" t="s">
        <v>2</v>
      </c>
      <c r="E24" s="39" t="s">
        <v>16</v>
      </c>
      <c r="F24" s="36">
        <v>1.3010000000000001E-2</v>
      </c>
      <c r="G24" s="6"/>
      <c r="H24" s="1"/>
      <c r="I24" s="5"/>
      <c r="J24" s="31" t="s">
        <v>67</v>
      </c>
      <c r="K24" s="28" t="str">
        <f>_xll.qlSimpleQuote(J24,,,,Trigger)</f>
        <v>Ois10yr#0003</v>
      </c>
      <c r="L24" s="28">
        <f>_xll.qlSimpleQuoteSetValue(K24,F24,Trigger)</f>
        <v>0</v>
      </c>
      <c r="M24" s="28" t="str">
        <f>_xll.qlOISRateHelper(,2,E24,K24,$M$7,,,Trigger)</f>
        <v>obj_0005f#0004</v>
      </c>
      <c r="N24" s="28" t="b">
        <v>1</v>
      </c>
      <c r="O24" s="35">
        <v>50</v>
      </c>
      <c r="P24" s="34">
        <v>1</v>
      </c>
      <c r="Q24" s="6"/>
      <c r="R24" s="1"/>
      <c r="S24" s="5"/>
      <c r="T24" s="38" t="s">
        <v>74</v>
      </c>
      <c r="U24" s="50" t="str">
        <v>obj_00070</v>
      </c>
      <c r="V24" s="20"/>
      <c r="X24" s="10"/>
      <c r="Y24" s="58">
        <v>49870</v>
      </c>
      <c r="Z24" s="60">
        <v>0.74790937909534339</v>
      </c>
      <c r="AA24" s="20"/>
    </row>
    <row r="25" spans="1:28" x14ac:dyDescent="0.25">
      <c r="A25" s="1"/>
      <c r="B25" s="1"/>
      <c r="C25" s="5"/>
      <c r="D25" s="38" t="s">
        <v>2</v>
      </c>
      <c r="E25" s="39" t="s">
        <v>17</v>
      </c>
      <c r="F25" s="36">
        <v>1.4250000000000001E-2</v>
      </c>
      <c r="G25" s="6"/>
      <c r="H25" s="1"/>
      <c r="I25" s="5"/>
      <c r="J25" s="31" t="s">
        <v>68</v>
      </c>
      <c r="K25" s="28" t="str">
        <f>_xll.qlSimpleQuote(J25,,,,Trigger)</f>
        <v>Ois20yr#0003</v>
      </c>
      <c r="L25" s="28">
        <f>_xll.qlSimpleQuoteSetValue(K25,F25,Trigger)</f>
        <v>0</v>
      </c>
      <c r="M25" s="28" t="str">
        <f>_xll.qlOISRateHelper(,2,E25,K25,$M$7,,,Trigger)</f>
        <v>obj_00062#0004</v>
      </c>
      <c r="N25" s="28" t="b">
        <v>1</v>
      </c>
      <c r="O25" s="35">
        <v>50</v>
      </c>
      <c r="P25" s="34">
        <v>1</v>
      </c>
      <c r="Q25" s="6"/>
      <c r="R25" s="1"/>
      <c r="S25" s="5"/>
      <c r="T25" s="38" t="s">
        <v>74</v>
      </c>
      <c r="U25" s="50" t="str">
        <v>obj_00071</v>
      </c>
      <c r="V25" s="20"/>
      <c r="X25" s="10"/>
      <c r="Y25" s="58">
        <v>53521</v>
      </c>
      <c r="Z25" s="60">
        <v>0.59050925615588468</v>
      </c>
      <c r="AA25" s="20"/>
    </row>
    <row r="26" spans="1:28" x14ac:dyDescent="0.25">
      <c r="A26" s="1"/>
      <c r="B26" s="1"/>
      <c r="C26" s="5"/>
      <c r="D26" s="38" t="s">
        <v>2</v>
      </c>
      <c r="E26" s="39" t="s">
        <v>18</v>
      </c>
      <c r="F26" s="36">
        <v>1.678E-2</v>
      </c>
      <c r="G26" s="6"/>
      <c r="H26" s="1"/>
      <c r="I26" s="5"/>
      <c r="J26" s="31" t="s">
        <v>69</v>
      </c>
      <c r="K26" s="28" t="str">
        <f>_xll.qlSimpleQuote(J26,,,,Trigger)</f>
        <v>Ois30yr#0003</v>
      </c>
      <c r="L26" s="28">
        <f>_xll.qlSimpleQuoteSetValue(K26,F26,Trigger)</f>
        <v>0</v>
      </c>
      <c r="M26" s="28" t="str">
        <f>_xll.qlOISRateHelper(,2,E26,K26,$M$7,,,Trigger)</f>
        <v>obj_0005e#0004</v>
      </c>
      <c r="N26" s="28" t="b">
        <v>1</v>
      </c>
      <c r="O26" s="35">
        <v>50</v>
      </c>
      <c r="P26" s="34">
        <v>1</v>
      </c>
      <c r="Q26" s="6"/>
      <c r="R26" s="1"/>
      <c r="S26" s="5"/>
      <c r="T26" s="38" t="s">
        <v>74</v>
      </c>
      <c r="U26" s="50" t="str">
        <v>obj_0005f</v>
      </c>
      <c r="V26" s="20"/>
      <c r="X26" s="10"/>
      <c r="Y26" s="58">
        <v>64479</v>
      </c>
      <c r="Z26" s="60">
        <v>0.29764439370350221</v>
      </c>
      <c r="AA26" s="20"/>
    </row>
    <row r="27" spans="1:28" ht="15" customHeight="1" x14ac:dyDescent="0.25">
      <c r="A27" s="1"/>
      <c r="B27" s="1"/>
      <c r="C27" s="5"/>
      <c r="D27" s="40" t="s">
        <v>2</v>
      </c>
      <c r="E27" s="41" t="s">
        <v>19</v>
      </c>
      <c r="F27" s="37">
        <v>1.89E-2</v>
      </c>
      <c r="G27" s="6"/>
      <c r="H27" s="1"/>
      <c r="I27" s="5"/>
      <c r="J27" s="32" t="s">
        <v>70</v>
      </c>
      <c r="K27" s="33" t="str">
        <f>_xll.qlSimpleQuote(J27,,,,Trigger)</f>
        <v>Ois60yr#0003</v>
      </c>
      <c r="L27" s="33">
        <f>_xll.qlSimpleQuoteSetValue(K27,F27,Trigger)</f>
        <v>0</v>
      </c>
      <c r="M27" s="33" t="str">
        <f>_xll.qlOISRateHelper(,2,E27,K27,$M$7,,,Trigger)</f>
        <v>obj_00061#0004</v>
      </c>
      <c r="N27" s="28" t="b">
        <v>1</v>
      </c>
      <c r="O27" s="35">
        <v>50</v>
      </c>
      <c r="P27" s="34">
        <v>1</v>
      </c>
      <c r="Q27" s="6"/>
      <c r="R27" s="1"/>
      <c r="S27" s="5"/>
      <c r="T27" s="38" t="s">
        <v>74</v>
      </c>
      <c r="U27" s="50" t="str">
        <v>obj_00062</v>
      </c>
      <c r="V27" s="20"/>
      <c r="X27" s="21"/>
      <c r="Y27" s="62"/>
      <c r="Z27" s="62"/>
      <c r="AA27" s="23"/>
      <c r="AB27" s="46"/>
    </row>
    <row r="28" spans="1:28" ht="15.75" customHeight="1" x14ac:dyDescent="0.25">
      <c r="A28" s="1"/>
      <c r="B28" s="1"/>
      <c r="C28" s="7"/>
      <c r="D28" s="8"/>
      <c r="E28" s="8"/>
      <c r="F28" s="8"/>
      <c r="G28" s="9"/>
      <c r="H28" s="1"/>
      <c r="I28" s="7"/>
      <c r="J28" s="30"/>
      <c r="K28" s="30"/>
      <c r="L28" s="30"/>
      <c r="M28" s="30"/>
      <c r="N28" s="29"/>
      <c r="O28" s="29"/>
      <c r="P28" s="29"/>
      <c r="Q28" s="9"/>
      <c r="R28" s="1"/>
      <c r="S28" s="5"/>
      <c r="T28" s="38" t="s">
        <v>74</v>
      </c>
      <c r="U28" s="50" t="str">
        <v>obj_0005e</v>
      </c>
      <c r="V28" s="20"/>
      <c r="X28" s="46"/>
      <c r="Y28" s="61"/>
      <c r="Z28" s="61"/>
      <c r="AA28" s="46"/>
      <c r="AB28" s="46"/>
    </row>
    <row r="29" spans="1:28" ht="12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5"/>
      <c r="T29" s="40" t="s">
        <v>74</v>
      </c>
      <c r="U29" s="44" t="str">
        <v>obj_00061</v>
      </c>
      <c r="V29" s="20"/>
      <c r="X29" s="46"/>
      <c r="Y29" s="63">
        <v>42562</v>
      </c>
      <c r="Z29" s="61">
        <f>_xll.qlYieldTSDiscount($U$35,Y29,,Trigger)</f>
        <v>1</v>
      </c>
      <c r="AA29" s="46"/>
      <c r="AB29" s="46"/>
    </row>
    <row r="30" spans="1:28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5"/>
      <c r="T30" s="53"/>
      <c r="U30" s="45"/>
      <c r="V30" s="20"/>
      <c r="X30" s="46"/>
      <c r="Y30" s="63">
        <v>42563</v>
      </c>
      <c r="Z30" s="61">
        <f>_xll.qlYieldTSDiscount($U$35,Y30,,Trigger)</f>
        <v>0.99997177471768339</v>
      </c>
      <c r="AA30" s="46"/>
      <c r="AB30" s="46"/>
    </row>
    <row r="31" spans="1:28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48" t="str">
        <f>_xll.ohRangeRetrieveError(U15)</f>
        <v/>
      </c>
      <c r="O31" s="1"/>
      <c r="P31" s="1"/>
      <c r="Q31" s="1"/>
      <c r="R31" s="1"/>
      <c r="S31" s="5"/>
      <c r="T31" s="51" t="s">
        <v>51</v>
      </c>
      <c r="U31" s="25"/>
      <c r="V31" s="20"/>
      <c r="X31" s="46"/>
      <c r="Y31" s="63">
        <v>42564</v>
      </c>
      <c r="Z31" s="61">
        <f>_xll.qlYieldTSDiscount($U$35,Y31,,Trigger)</f>
        <v>0.99994359086833529</v>
      </c>
      <c r="AA31" s="46"/>
      <c r="AB31" s="46"/>
    </row>
    <row r="32" spans="1:28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5"/>
      <c r="T32" s="54" t="s">
        <v>36</v>
      </c>
      <c r="U32" s="4" t="s">
        <v>37</v>
      </c>
      <c r="V32" s="20"/>
      <c r="X32" s="46"/>
      <c r="Y32" s="63">
        <v>42565</v>
      </c>
      <c r="Z32" s="61">
        <f>_xll.qlYieldTSDiscount($U$35,Y32,,Trigger)</f>
        <v>0.99991548988492396</v>
      </c>
      <c r="AA32" s="46"/>
      <c r="AB32" s="46"/>
    </row>
    <row r="33" spans="19:28" x14ac:dyDescent="0.25">
      <c r="S33" s="10"/>
      <c r="T33" s="55" t="s">
        <v>52</v>
      </c>
      <c r="U33" s="20" t="s">
        <v>53</v>
      </c>
      <c r="V33" s="20"/>
      <c r="X33" s="46"/>
      <c r="Y33" s="63">
        <v>42566</v>
      </c>
      <c r="Z33" s="61">
        <f>_xll.qlYieldTSDiscount($U$35,Y33,,Trigger)</f>
        <v>0.99988751320041791</v>
      </c>
      <c r="AA33" s="46"/>
      <c r="AB33" s="46"/>
    </row>
    <row r="34" spans="19:28" x14ac:dyDescent="0.25">
      <c r="S34" s="10"/>
      <c r="T34" s="56" t="s">
        <v>54</v>
      </c>
      <c r="U34" s="23" t="s">
        <v>55</v>
      </c>
      <c r="V34" s="20"/>
      <c r="X34" s="46"/>
      <c r="Y34" s="63">
        <v>42567</v>
      </c>
      <c r="Z34" s="61">
        <f>_xll.qlYieldTSDiscount($U$35,Y34,,Trigger)</f>
        <v>0.99985970224778553</v>
      </c>
      <c r="AA34" s="46"/>
      <c r="AB34" s="46"/>
    </row>
    <row r="35" spans="19:28" x14ac:dyDescent="0.25">
      <c r="S35" s="10"/>
      <c r="T35" s="51" t="s">
        <v>75</v>
      </c>
      <c r="U35" s="51" t="str">
        <f>_xll.qlPiecewiseYieldCurve(,,Sheet2!E10,_xll.ohPack(U15:U29),U32,,,,U33,U34,,Trigger)</f>
        <v>obj_00072#0004</v>
      </c>
      <c r="V35" s="20"/>
      <c r="X35" s="46"/>
      <c r="Y35" s="63">
        <v>42568</v>
      </c>
      <c r="Z35" s="61">
        <f>_xll.qlYieldTSDiscount($U$35,Y35,,Trigger)</f>
        <v>0.99983209845999521</v>
      </c>
      <c r="AA35" s="46"/>
      <c r="AB35" s="46"/>
    </row>
    <row r="36" spans="19:28" ht="13.5" customHeight="1" x14ac:dyDescent="0.25">
      <c r="S36" s="21"/>
      <c r="T36" s="47"/>
      <c r="U36" s="47"/>
      <c r="V36" s="23"/>
      <c r="X36" s="46"/>
      <c r="Y36" s="63">
        <v>42569</v>
      </c>
      <c r="Z36" s="61">
        <f>_xll.qlYieldTSDiscount($U$35,Y36,,Trigger)</f>
        <v>0.99980474327001545</v>
      </c>
      <c r="AA36" s="46"/>
      <c r="AB36" s="46"/>
    </row>
    <row r="37" spans="19:28" ht="15" customHeight="1" x14ac:dyDescent="0.25">
      <c r="X37" s="46"/>
      <c r="Y37" s="63">
        <v>42570</v>
      </c>
      <c r="Z37" s="61">
        <f>_xll.qlYieldTSDiscount($U$35,Y37,,Trigger)</f>
        <v>0.99977767811081475</v>
      </c>
      <c r="AA37" s="46"/>
      <c r="AB37" s="46"/>
    </row>
    <row r="38" spans="19:28" x14ac:dyDescent="0.25">
      <c r="X38" s="46"/>
      <c r="Y38" s="63">
        <v>42571</v>
      </c>
      <c r="Z38" s="61">
        <f>_xll.qlYieldTSDiscount($U$35,Y38,,Trigger)</f>
        <v>0.99975094441536128</v>
      </c>
      <c r="AA38" s="46"/>
      <c r="AB38" s="46"/>
    </row>
    <row r="39" spans="19:28" x14ac:dyDescent="0.25">
      <c r="X39" s="46"/>
      <c r="Y39" s="63">
        <v>42572</v>
      </c>
      <c r="Z39" s="61">
        <f>_xll.qlYieldTSDiscount($U$35,Y39,,Trigger)</f>
        <v>0.99972454868774108</v>
      </c>
      <c r="AA39" s="46"/>
      <c r="AB39" s="46"/>
    </row>
    <row r="40" spans="19:28" x14ac:dyDescent="0.25">
      <c r="X40" s="46"/>
      <c r="Y40" s="63">
        <v>42573</v>
      </c>
      <c r="Z40" s="61">
        <f>_xll.qlYieldTSDiscount($U$35,Y40,,Trigger)</f>
        <v>0.99969835771650961</v>
      </c>
      <c r="AA40" s="46"/>
      <c r="AB40" s="46"/>
    </row>
    <row r="41" spans="19:28" x14ac:dyDescent="0.25">
      <c r="Y41" s="63">
        <v>42574</v>
      </c>
      <c r="Z41" s="61">
        <f>_xll.qlYieldTSDiscount($U$35,Y41,,Trigger)</f>
        <v>0.99967220336133999</v>
      </c>
    </row>
    <row r="42" spans="19:28" x14ac:dyDescent="0.25">
      <c r="Y42" s="63">
        <v>42575</v>
      </c>
      <c r="Z42" s="61">
        <f>_xll.qlYieldTSDiscount($U$35,Y42,,Trigger)</f>
        <v>0.99964591748190523</v>
      </c>
    </row>
    <row r="43" spans="19:28" x14ac:dyDescent="0.25">
      <c r="Y43" s="63">
        <v>42576</v>
      </c>
      <c r="Z43" s="61">
        <f>_xll.qlYieldTSDiscount($U$35,Y43,,Trigger)</f>
        <v>0.99961933193787811</v>
      </c>
    </row>
    <row r="44" spans="19:28" x14ac:dyDescent="0.25">
      <c r="Y44" s="63">
        <v>42577</v>
      </c>
      <c r="Z44" s="61">
        <f>_xll.qlYieldTSDiscount($U$35,Y44,,Trigger)</f>
        <v>0.99959227858893196</v>
      </c>
    </row>
    <row r="45" spans="19:28" x14ac:dyDescent="0.25">
      <c r="Y45" s="63">
        <v>42578</v>
      </c>
      <c r="Z45" s="61">
        <f>_xll.qlYieldTSDiscount($U$35,Y45,,Trigger)</f>
        <v>0.99956458929473946</v>
      </c>
    </row>
    <row r="46" spans="19:28" x14ac:dyDescent="0.25">
      <c r="Y46" s="63">
        <v>42579</v>
      </c>
      <c r="Z46" s="61">
        <f>_xll.qlYieldTSDiscount($U$35,Y46,,Trigger)</f>
        <v>0.99953615606447865</v>
      </c>
    </row>
    <row r="47" spans="19:28" x14ac:dyDescent="0.25">
      <c r="Y47" s="63">
        <v>42580</v>
      </c>
      <c r="Z47" s="61">
        <f>_xll.qlYieldTSDiscount($U$35,Y47,,Trigger)</f>
        <v>0.99950711150534677</v>
      </c>
    </row>
    <row r="48" spans="19:28" x14ac:dyDescent="0.25">
      <c r="Y48" s="63">
        <v>42581</v>
      </c>
      <c r="Z48" s="61">
        <f>_xll.qlYieldTSDiscount($U$35,Y48,,Trigger)</f>
        <v>0.99947764837404574</v>
      </c>
    </row>
    <row r="49" spans="25:26" x14ac:dyDescent="0.25">
      <c r="Y49" s="63">
        <v>42582</v>
      </c>
      <c r="Z49" s="61">
        <f>_xll.qlYieldTSDiscount($U$35,Y49,,Trigger)</f>
        <v>0.99944795942727782</v>
      </c>
    </row>
    <row r="50" spans="25:26" x14ac:dyDescent="0.25">
      <c r="Y50" s="63">
        <v>42583</v>
      </c>
      <c r="Z50" s="61">
        <f>_xll.qlYieldTSDiscount($U$35,Y50,,Trigger)</f>
        <v>0.99941823742174507</v>
      </c>
    </row>
    <row r="51" spans="25:26" x14ac:dyDescent="0.25">
      <c r="Y51" s="63">
        <v>42584</v>
      </c>
      <c r="Z51" s="61">
        <f>_xll.qlYieldTSDiscount($U$35,Y51,,Trigger)</f>
        <v>0.99938867511414942</v>
      </c>
    </row>
    <row r="52" spans="25:26" x14ac:dyDescent="0.25">
      <c r="Y52" s="63">
        <v>42585</v>
      </c>
      <c r="Z52" s="61">
        <f>_xll.qlYieldTSDiscount($U$35,Y52,,Trigger)</f>
        <v>0.99935946526119313</v>
      </c>
    </row>
    <row r="53" spans="25:26" x14ac:dyDescent="0.25">
      <c r="Y53" s="63">
        <v>42586</v>
      </c>
      <c r="Z53" s="61">
        <f>_xll.qlYieldTSDiscount($U$35,Y53,,Trigger)</f>
        <v>0.99933075979084163</v>
      </c>
    </row>
    <row r="54" spans="25:26" x14ac:dyDescent="0.25">
      <c r="Y54" s="63">
        <v>42587</v>
      </c>
      <c r="Z54" s="61">
        <f>_xll.qlYieldTSDiscount($U$35,Y54,,Trigger)</f>
        <v>0.99930254731611468</v>
      </c>
    </row>
    <row r="55" spans="25:26" x14ac:dyDescent="0.25">
      <c r="Y55" s="63">
        <v>42588</v>
      </c>
      <c r="Z55" s="61">
        <f>_xll.qlYieldTSDiscount($U$35,Y55,,Trigger)</f>
        <v>0.99927477562129507</v>
      </c>
    </row>
    <row r="56" spans="25:26" x14ac:dyDescent="0.25">
      <c r="Y56" s="63">
        <v>42589</v>
      </c>
      <c r="Z56" s="61">
        <f>_xll.qlYieldTSDiscount($U$35,Y56,,Trigger)</f>
        <v>0.99924739249066596</v>
      </c>
    </row>
    <row r="57" spans="25:26" x14ac:dyDescent="0.25">
      <c r="Y57" s="63">
        <v>42590</v>
      </c>
      <c r="Z57" s="61">
        <f>_xll.qlYieldTSDiscount($U$35,Y57,,Trigger)</f>
        <v>0.99922034570851048</v>
      </c>
    </row>
    <row r="58" spans="25:26" x14ac:dyDescent="0.25">
      <c r="Y58" s="63">
        <v>42591</v>
      </c>
      <c r="Z58" s="61">
        <f>_xll.qlYieldTSDiscount($U$35,Y58,,Trigger)</f>
        <v>0.99919358305911155</v>
      </c>
    </row>
    <row r="59" spans="25:26" x14ac:dyDescent="0.25">
      <c r="Y59" s="63">
        <v>42592</v>
      </c>
      <c r="Z59" s="61">
        <f>_xll.qlYieldTSDiscount($U$35,Y59,,Trigger)</f>
        <v>0.99916705232675218</v>
      </c>
    </row>
    <row r="60" spans="25:26" x14ac:dyDescent="0.25">
      <c r="Y60" s="63">
        <v>42593</v>
      </c>
      <c r="Z60" s="61">
        <f>_xll.qlYieldTSDiscount($U$35,Y60,,Trigger)</f>
        <v>0.99914070129571564</v>
      </c>
    </row>
    <row r="61" spans="25:26" x14ac:dyDescent="0.25">
      <c r="Y61" s="63">
        <v>42594</v>
      </c>
      <c r="Z61" s="61">
        <f>_xll.qlYieldTSDiscount($U$35,Y61,,Trigger)</f>
        <v>0.99911447775028472</v>
      </c>
    </row>
    <row r="62" spans="25:26" x14ac:dyDescent="0.25">
      <c r="Y62" s="63">
        <v>42595</v>
      </c>
      <c r="Z62" s="61">
        <f>_xll.qlYieldTSDiscount($U$35,Y62,,Trigger)</f>
        <v>0.99908832947474269</v>
      </c>
    </row>
    <row r="63" spans="25:26" x14ac:dyDescent="0.25">
      <c r="Y63" s="63">
        <v>42596</v>
      </c>
      <c r="Z63" s="61">
        <f>_xll.qlYieldTSDiscount($U$35,Y63,,Trigger)</f>
        <v>0.99906220425337244</v>
      </c>
    </row>
    <row r="64" spans="25:26" x14ac:dyDescent="0.25">
      <c r="Y64" s="63">
        <v>42597</v>
      </c>
      <c r="Z64" s="61">
        <f>_xll.qlYieldTSDiscount($U$35,Y64,,Trigger)</f>
        <v>0.99903604987045702</v>
      </c>
    </row>
    <row r="65" spans="25:26" x14ac:dyDescent="0.25">
      <c r="Y65" s="63">
        <v>42598</v>
      </c>
      <c r="Z65" s="61">
        <f>_xll.qlYieldTSDiscount($U$35,Y65,,Trigger)</f>
        <v>0.99900982314476583</v>
      </c>
    </row>
    <row r="66" spans="25:26" x14ac:dyDescent="0.25">
      <c r="Y66" s="63">
        <v>42599</v>
      </c>
      <c r="Z66" s="61">
        <f>_xll.qlYieldTSDiscount($U$35,Y66,,Trigger)</f>
        <v>0.99898351703301325</v>
      </c>
    </row>
    <row r="67" spans="25:26" x14ac:dyDescent="0.25">
      <c r="Y67" s="63">
        <v>42600</v>
      </c>
      <c r="Z67" s="61">
        <f>_xll.qlYieldTSDiscount($U$35,Y67,,Trigger)</f>
        <v>0.99895713352639992</v>
      </c>
    </row>
    <row r="68" spans="25:26" x14ac:dyDescent="0.25">
      <c r="Y68" s="63">
        <v>42601</v>
      </c>
      <c r="Z68" s="61">
        <f>_xll.qlYieldTSDiscount($U$35,Y68,,Trigger)</f>
        <v>0.9989306746161265</v>
      </c>
    </row>
    <row r="69" spans="25:26" x14ac:dyDescent="0.25">
      <c r="Y69" s="63">
        <v>42602</v>
      </c>
      <c r="Z69" s="61">
        <f>_xll.qlYieldTSDiscount($U$35,Y69,,Trigger)</f>
        <v>0.99890414229339364</v>
      </c>
    </row>
    <row r="70" spans="25:26" x14ac:dyDescent="0.25">
      <c r="Y70" s="63">
        <v>42603</v>
      </c>
      <c r="Z70" s="61">
        <f>_xll.qlYieldTSDiscount($U$35,Y70,,Trigger)</f>
        <v>0.9988775385494022</v>
      </c>
    </row>
    <row r="71" spans="25:26" x14ac:dyDescent="0.25">
      <c r="Y71" s="63">
        <v>42604</v>
      </c>
      <c r="Z71" s="61">
        <f>_xll.qlYieldTSDiscount($U$35,Y71,,Trigger)</f>
        <v>0.99885086537535261</v>
      </c>
    </row>
    <row r="72" spans="25:26" x14ac:dyDescent="0.25">
      <c r="Y72" s="63">
        <v>42605</v>
      </c>
      <c r="Z72" s="61">
        <f>_xll.qlYieldTSDiscount($U$35,Y72,,Trigger)</f>
        <v>0.99882412476244564</v>
      </c>
    </row>
    <row r="73" spans="25:26" x14ac:dyDescent="0.25">
      <c r="Y73" s="63">
        <v>42606</v>
      </c>
      <c r="Z73" s="61">
        <f>_xll.qlYieldTSDiscount($U$35,Y73,,Trigger)</f>
        <v>0.99879731870188204</v>
      </c>
    </row>
    <row r="74" spans="25:26" x14ac:dyDescent="0.25">
      <c r="Y74" s="63">
        <v>42607</v>
      </c>
      <c r="Z74" s="61">
        <f>_xll.qlYieldTSDiscount($U$35,Y74,,Trigger)</f>
        <v>0.99877044918486235</v>
      </c>
    </row>
    <row r="75" spans="25:26" x14ac:dyDescent="0.25">
      <c r="Y75" s="63">
        <v>42608</v>
      </c>
      <c r="Z75" s="61">
        <f>_xll.qlYieldTSDiscount($U$35,Y75,,Trigger)</f>
        <v>0.99874351820258733</v>
      </c>
    </row>
    <row r="76" spans="25:26" x14ac:dyDescent="0.25">
      <c r="Y76" s="63">
        <v>42609</v>
      </c>
      <c r="Z76" s="61">
        <f>_xll.qlYieldTSDiscount($U$35,Y76,,Trigger)</f>
        <v>0.99871652774625763</v>
      </c>
    </row>
    <row r="77" spans="25:26" x14ac:dyDescent="0.25">
      <c r="Y77" s="63">
        <v>42610</v>
      </c>
      <c r="Z77" s="61">
        <f>_xll.qlYieldTSDiscount($U$35,Y77,,Trigger)</f>
        <v>0.9986894798070739</v>
      </c>
    </row>
    <row r="78" spans="25:26" x14ac:dyDescent="0.25">
      <c r="Y78" s="63">
        <v>42611</v>
      </c>
      <c r="Z78" s="61">
        <f>_xll.qlYieldTSDiscount($U$35,Y78,,Trigger)</f>
        <v>0.99866237637623689</v>
      </c>
    </row>
    <row r="79" spans="25:26" x14ac:dyDescent="0.25">
      <c r="Y79" s="63">
        <v>42612</v>
      </c>
      <c r="Z79" s="61">
        <f>_xll.qlYieldTSDiscount($U$35,Y79,,Trigger)</f>
        <v>0.99863521944494715</v>
      </c>
    </row>
    <row r="80" spans="25:26" x14ac:dyDescent="0.25">
      <c r="Y80" s="63">
        <v>42613</v>
      </c>
      <c r="Z80" s="61">
        <f>_xll.qlYieldTSDiscount($U$35,Y80,,Trigger)</f>
        <v>0.99860801100440544</v>
      </c>
    </row>
    <row r="81" spans="25:26" x14ac:dyDescent="0.25">
      <c r="Y81" s="63">
        <v>42614</v>
      </c>
      <c r="Z81" s="61">
        <f>_xll.qlYieldTSDiscount($U$35,Y81,,Trigger)</f>
        <v>0.9985807530458124</v>
      </c>
    </row>
    <row r="82" spans="25:26" x14ac:dyDescent="0.25">
      <c r="Y82" s="63">
        <v>42615</v>
      </c>
      <c r="Z82" s="61">
        <f>_xll.qlYieldTSDiscount($U$35,Y82,,Trigger)</f>
        <v>0.99855344756036879</v>
      </c>
    </row>
    <row r="83" spans="25:26" x14ac:dyDescent="0.25">
      <c r="Y83" s="63">
        <v>42616</v>
      </c>
      <c r="Z83" s="61">
        <f>_xll.qlYieldTSDiscount($U$35,Y83,,Trigger)</f>
        <v>0.99852609653927515</v>
      </c>
    </row>
    <row r="84" spans="25:26" x14ac:dyDescent="0.25">
      <c r="Y84" s="63">
        <v>42617</v>
      </c>
      <c r="Z84" s="61">
        <f>_xll.qlYieldTSDiscount($U$35,Y84,,Trigger)</f>
        <v>0.99849870197373214</v>
      </c>
    </row>
    <row r="85" spans="25:26" x14ac:dyDescent="0.25">
      <c r="Y85" s="63">
        <v>42618</v>
      </c>
      <c r="Z85" s="61">
        <f>_xll.qlYieldTSDiscount($U$35,Y85,,Trigger)</f>
        <v>0.99847126585494062</v>
      </c>
    </row>
    <row r="86" spans="25:26" x14ac:dyDescent="0.25">
      <c r="Y86" s="63">
        <v>42619</v>
      </c>
      <c r="Z86" s="61">
        <f>_xll.qlYieldTSDiscount($U$35,Y86,,Trigger)</f>
        <v>0.99844379017410101</v>
      </c>
    </row>
    <row r="87" spans="25:26" x14ac:dyDescent="0.25">
      <c r="Y87" s="63">
        <v>42620</v>
      </c>
      <c r="Z87" s="61">
        <f>_xll.qlYieldTSDiscount($U$35,Y87,,Trigger)</f>
        <v>0.99841627692241419</v>
      </c>
    </row>
    <row r="88" spans="25:26" x14ac:dyDescent="0.25">
      <c r="Y88" s="63">
        <v>42621</v>
      </c>
      <c r="Z88" s="61">
        <f>_xll.qlYieldTSDiscount($U$35,Y88,,Trigger)</f>
        <v>0.99838872809108081</v>
      </c>
    </row>
    <row r="89" spans="25:26" x14ac:dyDescent="0.25">
      <c r="Y89" s="63">
        <v>42622</v>
      </c>
      <c r="Z89" s="61">
        <f>_xll.qlYieldTSDiscount($U$35,Y89,,Trigger)</f>
        <v>0.99836114567130141</v>
      </c>
    </row>
    <row r="90" spans="25:26" x14ac:dyDescent="0.25">
      <c r="Y90" s="63">
        <v>42623</v>
      </c>
      <c r="Z90" s="61">
        <f>_xll.qlYieldTSDiscount($U$35,Y90,,Trigger)</f>
        <v>0.99833353165427674</v>
      </c>
    </row>
    <row r="91" spans="25:26" x14ac:dyDescent="0.25">
      <c r="Y91" s="63">
        <v>42624</v>
      </c>
      <c r="Z91" s="61">
        <f>_xll.qlYieldTSDiscount($U$35,Y91,,Trigger)</f>
        <v>0.99830588803120757</v>
      </c>
    </row>
    <row r="92" spans="25:26" x14ac:dyDescent="0.25">
      <c r="Y92" s="63">
        <v>42625</v>
      </c>
      <c r="Z92" s="61">
        <f>_xll.qlYieldTSDiscount($U$35,Y92,,Trigger)</f>
        <v>0.99827821679329443</v>
      </c>
    </row>
    <row r="93" spans="25:26" x14ac:dyDescent="0.25">
      <c r="Y93" s="63">
        <v>42626</v>
      </c>
      <c r="Z93" s="61">
        <f>_xll.qlYieldTSDiscount($U$35,Y93,,Trigger)</f>
        <v>0.99825051993173797</v>
      </c>
    </row>
    <row r="94" spans="25:26" x14ac:dyDescent="0.25">
      <c r="Y94" s="63">
        <v>42627</v>
      </c>
      <c r="Z94" s="61">
        <f>_xll.qlYieldTSDiscount($U$35,Y94,,Trigger)</f>
        <v>0.99822279943773895</v>
      </c>
    </row>
    <row r="95" spans="25:26" x14ac:dyDescent="0.25">
      <c r="Y95" s="63">
        <v>42628</v>
      </c>
      <c r="Z95" s="61">
        <f>_xll.qlYieldTSDiscount($U$35,Y95,,Trigger)</f>
        <v>0.99819505730249813</v>
      </c>
    </row>
    <row r="96" spans="25:26" x14ac:dyDescent="0.25">
      <c r="Y96" s="63">
        <v>42629</v>
      </c>
      <c r="Z96" s="61">
        <f>_xll.qlYieldTSDiscount($U$35,Y96,,Trigger)</f>
        <v>0.99816729551721595</v>
      </c>
    </row>
    <row r="97" spans="25:26" x14ac:dyDescent="0.25">
      <c r="Y97" s="63">
        <v>42630</v>
      </c>
      <c r="Z97" s="61">
        <f>_xll.qlYieldTSDiscount($U$35,Y97,,Trigger)</f>
        <v>0.99813951607309326</v>
      </c>
    </row>
    <row r="98" spans="25:26" x14ac:dyDescent="0.25">
      <c r="Y98" s="63">
        <v>42631</v>
      </c>
      <c r="Z98" s="61">
        <f>_xll.qlYieldTSDiscount($U$35,Y98,,Trigger)</f>
        <v>0.99811172096133072</v>
      </c>
    </row>
    <row r="99" spans="25:26" x14ac:dyDescent="0.25">
      <c r="Y99" s="63">
        <v>42632</v>
      </c>
      <c r="Z99" s="61">
        <f>_xll.qlYieldTSDiscount($U$35,Y99,,Trigger)</f>
        <v>0.99808391217312897</v>
      </c>
    </row>
    <row r="100" spans="25:26" x14ac:dyDescent="0.25">
      <c r="Y100" s="63">
        <v>42633</v>
      </c>
      <c r="Z100" s="61">
        <f>_xll.qlYieldTSDiscount($U$35,Y100,,Trigger)</f>
        <v>0.99805609169968867</v>
      </c>
    </row>
    <row r="101" spans="25:26" x14ac:dyDescent="0.25">
      <c r="Y101" s="63">
        <v>42634</v>
      </c>
      <c r="Z101" s="61">
        <f>_xll.qlYieldTSDiscount($U$35,Y101,,Trigger)</f>
        <v>0.99802826153221047</v>
      </c>
    </row>
    <row r="102" spans="25:26" x14ac:dyDescent="0.25">
      <c r="Y102" s="63">
        <v>42635</v>
      </c>
      <c r="Z102" s="61">
        <f>_xll.qlYieldTSDiscount($U$35,Y102,,Trigger)</f>
        <v>0.99800042366189512</v>
      </c>
    </row>
    <row r="103" spans="25:26" x14ac:dyDescent="0.25">
      <c r="Y103" s="63">
        <v>42636</v>
      </c>
      <c r="Z103" s="61">
        <f>_xll.qlYieldTSDiscount($U$35,Y103,,Trigger)</f>
        <v>0.99797258007994316</v>
      </c>
    </row>
    <row r="104" spans="25:26" x14ac:dyDescent="0.25">
      <c r="Y104" s="63">
        <v>42637</v>
      </c>
      <c r="Z104" s="61">
        <f>_xll.qlYieldTSDiscount($U$35,Y104,,Trigger)</f>
        <v>0.99794473277755535</v>
      </c>
    </row>
    <row r="105" spans="25:26" x14ac:dyDescent="0.25">
      <c r="Y105" s="63">
        <v>42638</v>
      </c>
      <c r="Z105" s="61">
        <f>_xll.qlYieldTSDiscount($U$35,Y105,,Trigger)</f>
        <v>0.99791688374593246</v>
      </c>
    </row>
    <row r="106" spans="25:26" x14ac:dyDescent="0.25">
      <c r="Y106" s="63">
        <v>42639</v>
      </c>
      <c r="Z106" s="61">
        <f>_xll.qlYieldTSDiscount($U$35,Y106,,Trigger)</f>
        <v>0.99788903497627501</v>
      </c>
    </row>
    <row r="107" spans="25:26" x14ac:dyDescent="0.25">
      <c r="Y107" s="63">
        <v>42640</v>
      </c>
      <c r="Z107" s="61">
        <f>_xll.qlYieldTSDiscount($U$35,Y107,,Trigger)</f>
        <v>0.99786118845978378</v>
      </c>
    </row>
    <row r="108" spans="25:26" x14ac:dyDescent="0.25">
      <c r="Y108" s="63">
        <v>42641</v>
      </c>
      <c r="Z108" s="61">
        <f>_xll.qlYieldTSDiscount($U$35,Y108,,Trigger)</f>
        <v>0.99783334618765929</v>
      </c>
    </row>
    <row r="109" spans="25:26" x14ac:dyDescent="0.25">
      <c r="Y109" s="63">
        <v>42642</v>
      </c>
      <c r="Z109" s="61">
        <f>_xll.qlYieldTSDiscount($U$35,Y109,,Trigger)</f>
        <v>0.99780551015110241</v>
      </c>
    </row>
    <row r="110" spans="25:26" x14ac:dyDescent="0.25">
      <c r="Y110" s="63">
        <v>42643</v>
      </c>
      <c r="Z110" s="61">
        <f>_xll.qlYieldTSDiscount($U$35,Y110,,Trigger)</f>
        <v>0.9977776823413137</v>
      </c>
    </row>
    <row r="111" spans="25:26" x14ac:dyDescent="0.25">
      <c r="Y111" s="63">
        <v>42644</v>
      </c>
      <c r="Z111" s="61">
        <f>_xll.qlYieldTSDiscount($U$35,Y111,,Trigger)</f>
        <v>0.99774986474949379</v>
      </c>
    </row>
    <row r="112" spans="25:26" x14ac:dyDescent="0.25">
      <c r="Y112" s="63">
        <v>42645</v>
      </c>
      <c r="Z112" s="61">
        <f>_xll.qlYieldTSDiscount($U$35,Y112,,Trigger)</f>
        <v>0.99772205936684344</v>
      </c>
    </row>
    <row r="113" spans="25:26" x14ac:dyDescent="0.25">
      <c r="Y113" s="63">
        <v>42646</v>
      </c>
      <c r="Z113" s="61">
        <f>_xll.qlYieldTSDiscount($U$35,Y113,,Trigger)</f>
        <v>0.9976942681845633</v>
      </c>
    </row>
    <row r="114" spans="25:26" x14ac:dyDescent="0.25">
      <c r="Y114" s="63">
        <v>42647</v>
      </c>
      <c r="Z114" s="61">
        <f>_xll.qlYieldTSDiscount($U$35,Y114,,Trigger)</f>
        <v>0.99766649319385403</v>
      </c>
    </row>
    <row r="115" spans="25:26" x14ac:dyDescent="0.25">
      <c r="Y115" s="63">
        <v>42648</v>
      </c>
      <c r="Z115" s="61">
        <f>_xll.qlYieldTSDiscount($U$35,Y115,,Trigger)</f>
        <v>0.99763873638591627</v>
      </c>
    </row>
    <row r="116" spans="25:26" x14ac:dyDescent="0.25">
      <c r="Y116" s="63">
        <v>42649</v>
      </c>
      <c r="Z116" s="61">
        <f>_xll.qlYieldTSDiscount($U$35,Y116,,Trigger)</f>
        <v>0.99761099975195078</v>
      </c>
    </row>
    <row r="117" spans="25:26" x14ac:dyDescent="0.25">
      <c r="Y117" s="63">
        <v>42650</v>
      </c>
      <c r="Z117" s="61">
        <f>_xll.qlYieldTSDiscount($U$35,Y117,,Trigger)</f>
        <v>0.99758328528315809</v>
      </c>
    </row>
    <row r="118" spans="25:26" x14ac:dyDescent="0.25">
      <c r="Y118" s="63">
        <v>42651</v>
      </c>
      <c r="Z118" s="61">
        <f>_xll.qlYieldTSDiscount($U$35,Y118,,Trigger)</f>
        <v>0.99755559497073909</v>
      </c>
    </row>
    <row r="119" spans="25:26" x14ac:dyDescent="0.25">
      <c r="Y119" s="63">
        <v>42652</v>
      </c>
      <c r="Z119" s="61">
        <f>_xll.qlYieldTSDiscount($U$35,Y119,,Trigger)</f>
        <v>0.9975279308058943</v>
      </c>
    </row>
    <row r="120" spans="25:26" x14ac:dyDescent="0.25">
      <c r="Y120" s="63">
        <v>42653</v>
      </c>
      <c r="Z120" s="61">
        <f>_xll.qlYieldTSDiscount($U$35,Y120,,Trigger)</f>
        <v>0.99750029477982438</v>
      </c>
    </row>
    <row r="121" spans="25:26" x14ac:dyDescent="0.25">
      <c r="Y121" s="63">
        <v>42654</v>
      </c>
      <c r="Z121" s="61">
        <f>_xll.qlYieldTSDiscount($U$35,Y121,,Trigger)</f>
        <v>0.99747268888373009</v>
      </c>
    </row>
    <row r="122" spans="25:26" x14ac:dyDescent="0.25">
      <c r="Y122" s="63">
        <v>42655</v>
      </c>
      <c r="Z122" s="61">
        <f>_xll.qlYieldTSDiscount($U$35,Y122,,Trigger)</f>
        <v>0.99744511510881195</v>
      </c>
    </row>
    <row r="123" spans="25:26" x14ac:dyDescent="0.25">
      <c r="Y123" s="63">
        <v>42656</v>
      </c>
      <c r="Z123" s="61">
        <f>_xll.qlYieldTSDiscount($U$35,Y123,,Trigger)</f>
        <v>0.99741757544627085</v>
      </c>
    </row>
    <row r="124" spans="25:26" x14ac:dyDescent="0.25">
      <c r="Y124" s="63">
        <v>42657</v>
      </c>
      <c r="Z124" s="61">
        <f>_xll.qlYieldTSDiscount($U$35,Y124,,Trigger)</f>
        <v>0.99739007149374825</v>
      </c>
    </row>
    <row r="125" spans="25:26" x14ac:dyDescent="0.25">
      <c r="Y125" s="63">
        <v>42658</v>
      </c>
      <c r="Z125" s="61">
        <f>_xll.qlYieldTSDiscount($U$35,Y125,,Trigger)</f>
        <v>0.99736260327464932</v>
      </c>
    </row>
    <row r="126" spans="25:26" x14ac:dyDescent="0.25">
      <c r="Y126" s="63">
        <v>42659</v>
      </c>
      <c r="Z126" s="61">
        <f>_xll.qlYieldTSDiscount($U$35,Y126,,Trigger)</f>
        <v>0.99733517041882036</v>
      </c>
    </row>
    <row r="127" spans="25:26" x14ac:dyDescent="0.25">
      <c r="Y127" s="63">
        <v>42660</v>
      </c>
      <c r="Z127" s="61">
        <f>_xll.qlYieldTSDiscount($U$35,Y127,,Trigger)</f>
        <v>0.99730777255610747</v>
      </c>
    </row>
    <row r="128" spans="25:26" x14ac:dyDescent="0.25">
      <c r="Y128" s="63">
        <v>42661</v>
      </c>
      <c r="Z128" s="61">
        <f>_xll.qlYieldTSDiscount($U$35,Y128,,Trigger)</f>
        <v>0.99728040931635675</v>
      </c>
    </row>
    <row r="129" spans="25:26" x14ac:dyDescent="0.25">
      <c r="Y129" s="63">
        <v>42662</v>
      </c>
      <c r="Z129" s="61">
        <f>_xll.qlYieldTSDiscount($U$35,Y129,,Trigger)</f>
        <v>0.9972530803294144</v>
      </c>
    </row>
    <row r="130" spans="25:26" x14ac:dyDescent="0.25">
      <c r="Y130" s="63">
        <v>42663</v>
      </c>
      <c r="Z130" s="61">
        <f>_xll.qlYieldTSDiscount($U$35,Y130,,Trigger)</f>
        <v>0.99722578522512662</v>
      </c>
    </row>
    <row r="131" spans="25:26" x14ac:dyDescent="0.25">
      <c r="Y131" s="63">
        <v>42664</v>
      </c>
      <c r="Z131" s="61">
        <f>_xll.qlYieldTSDiscount($U$35,Y131,,Trigger)</f>
        <v>0.9971985236333395</v>
      </c>
    </row>
    <row r="132" spans="25:26" x14ac:dyDescent="0.25">
      <c r="Y132" s="63">
        <v>42665</v>
      </c>
      <c r="Z132" s="61">
        <f>_xll.qlYieldTSDiscount($U$35,Y132,,Trigger)</f>
        <v>0.99717129518389913</v>
      </c>
    </row>
    <row r="133" spans="25:26" x14ac:dyDescent="0.25">
      <c r="Y133" s="63">
        <v>42666</v>
      </c>
      <c r="Z133" s="61">
        <f>_xll.qlYieldTSDiscount($U$35,Y133,,Trigger)</f>
        <v>0.99714409950665173</v>
      </c>
    </row>
    <row r="134" spans="25:26" x14ac:dyDescent="0.25">
      <c r="Y134" s="63">
        <v>42667</v>
      </c>
      <c r="Z134" s="61">
        <f>_xll.qlYieldTSDiscount($U$35,Y134,,Trigger)</f>
        <v>0.99711693623144348</v>
      </c>
    </row>
    <row r="135" spans="25:26" x14ac:dyDescent="0.25">
      <c r="Y135" s="63">
        <v>42668</v>
      </c>
      <c r="Z135" s="61">
        <f>_xll.qlYieldTSDiscount($U$35,Y135,,Trigger)</f>
        <v>0.9970898049881205</v>
      </c>
    </row>
    <row r="136" spans="25:26" x14ac:dyDescent="0.25">
      <c r="Y136" s="63">
        <v>42669</v>
      </c>
      <c r="Z136" s="61">
        <f>_xll.qlYieldTSDiscount($U$35,Y136,,Trigger)</f>
        <v>0.99706270540652886</v>
      </c>
    </row>
    <row r="137" spans="25:26" x14ac:dyDescent="0.25">
      <c r="Y137" s="63">
        <v>42670</v>
      </c>
      <c r="Z137" s="61">
        <f>_xll.qlYieldTSDiscount($U$35,Y137,,Trigger)</f>
        <v>0.99703563711651488</v>
      </c>
    </row>
    <row r="138" spans="25:26" x14ac:dyDescent="0.25">
      <c r="Y138" s="63">
        <v>42671</v>
      </c>
      <c r="Z138" s="61">
        <f>_xll.qlYieldTSDiscount($U$35,Y138,,Trigger)</f>
        <v>0.99700859974792455</v>
      </c>
    </row>
    <row r="139" spans="25:26" x14ac:dyDescent="0.25">
      <c r="Y139" s="63">
        <v>42672</v>
      </c>
      <c r="Z139" s="61">
        <f>_xll.qlYieldTSDiscount($U$35,Y139,,Trigger)</f>
        <v>0.99698159293060418</v>
      </c>
    </row>
    <row r="140" spans="25:26" x14ac:dyDescent="0.25">
      <c r="Y140" s="63">
        <v>42673</v>
      </c>
      <c r="Z140" s="61">
        <f>_xll.qlYieldTSDiscount($U$35,Y140,,Trigger)</f>
        <v>0.99695461629439985</v>
      </c>
    </row>
    <row r="141" spans="25:26" x14ac:dyDescent="0.25">
      <c r="Y141" s="63">
        <v>42674</v>
      </c>
      <c r="Z141" s="61">
        <f>_xll.qlYieldTSDiscount($U$35,Y141,,Trigger)</f>
        <v>0.99692766946915767</v>
      </c>
    </row>
    <row r="142" spans="25:26" x14ac:dyDescent="0.25">
      <c r="Y142" s="63">
        <v>42675</v>
      </c>
      <c r="Z142" s="61">
        <f>_xll.qlYieldTSDiscount($U$35,Y142,,Trigger)</f>
        <v>0.99690075208472373</v>
      </c>
    </row>
    <row r="143" spans="25:26" x14ac:dyDescent="0.25">
      <c r="Y143" s="63">
        <v>42676</v>
      </c>
      <c r="Z143" s="61">
        <f>_xll.qlYieldTSDiscount($U$35,Y143,,Trigger)</f>
        <v>0.99687386377094445</v>
      </c>
    </row>
    <row r="144" spans="25:26" x14ac:dyDescent="0.25">
      <c r="Y144" s="63">
        <v>42677</v>
      </c>
      <c r="Z144" s="61">
        <f>_xll.qlYieldTSDiscount($U$35,Y144,,Trigger)</f>
        <v>0.99684700415766569</v>
      </c>
    </row>
    <row r="145" spans="25:26" x14ac:dyDescent="0.25">
      <c r="Y145" s="63">
        <v>42678</v>
      </c>
      <c r="Z145" s="61">
        <f>_xll.qlYieldTSDiscount($U$35,Y145,,Trigger)</f>
        <v>0.99682017287473368</v>
      </c>
    </row>
    <row r="146" spans="25:26" x14ac:dyDescent="0.25">
      <c r="Y146" s="63">
        <v>42679</v>
      </c>
      <c r="Z146" s="61">
        <f>_xll.qlYieldTSDiscount($U$35,Y146,,Trigger)</f>
        <v>0.99679336955199471</v>
      </c>
    </row>
    <row r="147" spans="25:26" x14ac:dyDescent="0.25">
      <c r="Y147" s="63">
        <v>42680</v>
      </c>
      <c r="Z147" s="61">
        <f>_xll.qlYieldTSDiscount($U$35,Y147,,Trigger)</f>
        <v>0.99676659381929478</v>
      </c>
    </row>
    <row r="148" spans="25:26" x14ac:dyDescent="0.25">
      <c r="Y148" s="63">
        <v>42681</v>
      </c>
      <c r="Z148" s="61">
        <f>_xll.qlYieldTSDiscount($U$35,Y148,,Trigger)</f>
        <v>0.99673984530648019</v>
      </c>
    </row>
    <row r="149" spans="25:26" x14ac:dyDescent="0.25">
      <c r="Y149" s="63">
        <v>42682</v>
      </c>
      <c r="Z149" s="61">
        <f>_xll.qlYieldTSDiscount($U$35,Y149,,Trigger)</f>
        <v>0.99671312364339681</v>
      </c>
    </row>
    <row r="150" spans="25:26" x14ac:dyDescent="0.25">
      <c r="Y150" s="63">
        <v>42683</v>
      </c>
      <c r="Z150" s="61">
        <f>_xll.qlYieldTSDiscount($U$35,Y150,,Trigger)</f>
        <v>0.99668642845989108</v>
      </c>
    </row>
    <row r="151" spans="25:26" x14ac:dyDescent="0.25">
      <c r="Y151" s="63">
        <v>42684</v>
      </c>
      <c r="Z151" s="61">
        <f>_xll.qlYieldTSDiscount($U$35,Y151,,Trigger)</f>
        <v>0.99665975938580909</v>
      </c>
    </row>
    <row r="152" spans="25:26" x14ac:dyDescent="0.25">
      <c r="Y152" s="63">
        <v>42685</v>
      </c>
      <c r="Z152" s="61">
        <f>_xll.qlYieldTSDiscount($U$35,Y152,,Trigger)</f>
        <v>0.99663311605099691</v>
      </c>
    </row>
    <row r="153" spans="25:26" x14ac:dyDescent="0.25">
      <c r="Y153" s="63">
        <v>42686</v>
      </c>
      <c r="Z153" s="61">
        <f>_xll.qlYieldTSDiscount($U$35,Y153,,Trigger)</f>
        <v>0.99660649808530077</v>
      </c>
    </row>
    <row r="154" spans="25:26" x14ac:dyDescent="0.25">
      <c r="Y154" s="63">
        <v>42687</v>
      </c>
      <c r="Z154" s="61">
        <f>_xll.qlYieldTSDiscount($U$35,Y154,,Trigger)</f>
        <v>0.99657990511856676</v>
      </c>
    </row>
    <row r="155" spans="25:26" x14ac:dyDescent="0.25">
      <c r="Y155" s="63">
        <v>42688</v>
      </c>
      <c r="Z155" s="61">
        <f>_xll.qlYieldTSDiscount($U$35,Y155,,Trigger)</f>
        <v>0.99655333678064106</v>
      </c>
    </row>
    <row r="156" spans="25:26" x14ac:dyDescent="0.25">
      <c r="Y156" s="63">
        <v>42689</v>
      </c>
      <c r="Z156" s="61">
        <f>_xll.qlYieldTSDiscount($U$35,Y156,,Trigger)</f>
        <v>0.99652679270136979</v>
      </c>
    </row>
    <row r="157" spans="25:26" x14ac:dyDescent="0.25">
      <c r="Y157" s="63">
        <v>42690</v>
      </c>
      <c r="Z157" s="61">
        <f>_xll.qlYieldTSDiscount($U$35,Y157,,Trigger)</f>
        <v>0.99650027251059914</v>
      </c>
    </row>
    <row r="158" spans="25:26" x14ac:dyDescent="0.25">
      <c r="Y158" s="63">
        <v>42691</v>
      </c>
      <c r="Z158" s="61">
        <f>_xll.qlYieldTSDiscount($U$35,Y158,,Trigger)</f>
        <v>0.9964737758381752</v>
      </c>
    </row>
    <row r="159" spans="25:26" x14ac:dyDescent="0.25">
      <c r="Y159" s="63">
        <v>42692</v>
      </c>
      <c r="Z159" s="61">
        <f>_xll.qlYieldTSDiscount($U$35,Y159,,Trigger)</f>
        <v>0.99644730231394429</v>
      </c>
    </row>
    <row r="160" spans="25:26" x14ac:dyDescent="0.25">
      <c r="Y160" s="63">
        <v>42693</v>
      </c>
      <c r="Z160" s="61">
        <f>_xll.qlYieldTSDiscount($U$35,Y160,,Trigger)</f>
        <v>0.99642085156775229</v>
      </c>
    </row>
    <row r="161" spans="25:26" x14ac:dyDescent="0.25">
      <c r="Y161" s="63">
        <v>42694</v>
      </c>
      <c r="Z161" s="61">
        <f>_xll.qlYieldTSDiscount($U$35,Y161,,Trigger)</f>
        <v>0.9963944232294456</v>
      </c>
    </row>
    <row r="162" spans="25:26" x14ac:dyDescent="0.25">
      <c r="Y162" s="63">
        <v>42695</v>
      </c>
      <c r="Z162" s="61">
        <f>_xll.qlYieldTSDiscount($U$35,Y162,,Trigger)</f>
        <v>0.99636801692887034</v>
      </c>
    </row>
    <row r="163" spans="25:26" x14ac:dyDescent="0.25">
      <c r="Y163" s="63">
        <v>42696</v>
      </c>
      <c r="Z163" s="61">
        <f>_xll.qlYieldTSDiscount($U$35,Y163,,Trigger)</f>
        <v>0.99634163229587247</v>
      </c>
    </row>
    <row r="164" spans="25:26" x14ac:dyDescent="0.25">
      <c r="Y164" s="63">
        <v>42697</v>
      </c>
      <c r="Z164" s="61">
        <f>_xll.qlYieldTSDiscount($U$35,Y164,,Trigger)</f>
        <v>0.99631526896029843</v>
      </c>
    </row>
    <row r="165" spans="25:26" x14ac:dyDescent="0.25">
      <c r="Y165" s="63">
        <v>42698</v>
      </c>
      <c r="Z165" s="61">
        <f>_xll.qlYieldTSDiscount($U$35,Y165,,Trigger)</f>
        <v>0.99628892655199408</v>
      </c>
    </row>
    <row r="166" spans="25:26" x14ac:dyDescent="0.25">
      <c r="Y166" s="63">
        <v>42699</v>
      </c>
      <c r="Z166" s="61">
        <f>_xll.qlYieldTSDiscount($U$35,Y166,,Trigger)</f>
        <v>0.99626260470080574</v>
      </c>
    </row>
    <row r="167" spans="25:26" x14ac:dyDescent="0.25">
      <c r="Y167" s="63">
        <v>42700</v>
      </c>
      <c r="Z167" s="61">
        <f>_xll.qlYieldTSDiscount($U$35,Y167,,Trigger)</f>
        <v>0.99623630303657951</v>
      </c>
    </row>
    <row r="168" spans="25:26" x14ac:dyDescent="0.25">
      <c r="Y168" s="63">
        <v>42701</v>
      </c>
      <c r="Z168" s="61">
        <f>_xll.qlYieldTSDiscount($U$35,Y168,,Trigger)</f>
        <v>0.99621002118916158</v>
      </c>
    </row>
    <row r="169" spans="25:26" x14ac:dyDescent="0.25">
      <c r="Y169" s="63">
        <v>42702</v>
      </c>
      <c r="Z169" s="61">
        <f>_xll.qlYieldTSDiscount($U$35,Y169,,Trigger)</f>
        <v>0.99618375878839815</v>
      </c>
    </row>
    <row r="170" spans="25:26" x14ac:dyDescent="0.25">
      <c r="Y170" s="63">
        <v>42703</v>
      </c>
      <c r="Z170" s="61">
        <f>_xll.qlYieldTSDiscount($U$35,Y170,,Trigger)</f>
        <v>0.99615751546413522</v>
      </c>
    </row>
    <row r="171" spans="25:26" x14ac:dyDescent="0.25">
      <c r="Y171" s="63">
        <v>42704</v>
      </c>
      <c r="Z171" s="61">
        <f>_xll.qlYieldTSDiscount($U$35,Y171,,Trigger)</f>
        <v>0.99613129084621899</v>
      </c>
    </row>
    <row r="172" spans="25:26" x14ac:dyDescent="0.25">
      <c r="Y172" s="63">
        <v>42705</v>
      </c>
      <c r="Z172" s="61">
        <f>_xll.qlYieldTSDiscount($U$35,Y172,,Trigger)</f>
        <v>0.99610508456449576</v>
      </c>
    </row>
    <row r="173" spans="25:26" x14ac:dyDescent="0.25">
      <c r="Y173" s="63">
        <v>42706</v>
      </c>
      <c r="Z173" s="61">
        <f>_xll.qlYieldTSDiscount($U$35,Y173,,Trigger)</f>
        <v>0.99607889624881152</v>
      </c>
    </row>
    <row r="174" spans="25:26" x14ac:dyDescent="0.25">
      <c r="Y174" s="63">
        <v>42707</v>
      </c>
      <c r="Z174" s="61">
        <f>_xll.qlYieldTSDiscount($U$35,Y174,,Trigger)</f>
        <v>0.99605272552901236</v>
      </c>
    </row>
    <row r="175" spans="25:26" x14ac:dyDescent="0.25">
      <c r="Y175" s="63">
        <v>42708</v>
      </c>
      <c r="Z175" s="61">
        <f>_xll.qlYieldTSDiscount($U$35,Y175,,Trigger)</f>
        <v>0.99602657203494471</v>
      </c>
    </row>
    <row r="176" spans="25:26" x14ac:dyDescent="0.25">
      <c r="Y176" s="63">
        <v>42709</v>
      </c>
      <c r="Z176" s="61">
        <f>_xll.qlYieldTSDiscount($U$35,Y176,,Trigger)</f>
        <v>0.99600043539645444</v>
      </c>
    </row>
    <row r="177" spans="25:26" x14ac:dyDescent="0.25">
      <c r="Y177" s="63">
        <v>42710</v>
      </c>
      <c r="Z177" s="61">
        <f>_xll.qlYieldTSDiscount($U$35,Y177,,Trigger)</f>
        <v>0.99597431524338786</v>
      </c>
    </row>
    <row r="178" spans="25:26" x14ac:dyDescent="0.25">
      <c r="Y178" s="63">
        <v>42711</v>
      </c>
      <c r="Z178" s="61">
        <f>_xll.qlYieldTSDiscount($U$35,Y178,,Trigger)</f>
        <v>0.99594821120559107</v>
      </c>
    </row>
    <row r="179" spans="25:26" x14ac:dyDescent="0.25">
      <c r="Y179" s="63">
        <v>42712</v>
      </c>
      <c r="Z179" s="61">
        <f>_xll.qlYieldTSDiscount($U$35,Y179,,Trigger)</f>
        <v>0.99592212291291027</v>
      </c>
    </row>
    <row r="180" spans="25:26" x14ac:dyDescent="0.25">
      <c r="Y180" s="63">
        <v>42713</v>
      </c>
      <c r="Z180" s="61">
        <f>_xll.qlYieldTSDiscount($U$35,Y180,,Trigger)</f>
        <v>0.99589604999519155</v>
      </c>
    </row>
    <row r="181" spans="25:26" x14ac:dyDescent="0.25">
      <c r="Y181" s="63">
        <v>42714</v>
      </c>
      <c r="Z181" s="61">
        <f>_xll.qlYieldTSDiscount($U$35,Y181,,Trigger)</f>
        <v>0.995869992082281</v>
      </c>
    </row>
    <row r="182" spans="25:26" x14ac:dyDescent="0.25">
      <c r="Y182" s="63">
        <v>42715</v>
      </c>
      <c r="Z182" s="61">
        <f>_xll.qlYieldTSDiscount($U$35,Y182,,Trigger)</f>
        <v>0.99584394880402494</v>
      </c>
    </row>
    <row r="183" spans="25:26" x14ac:dyDescent="0.25">
      <c r="Y183" s="63">
        <v>42716</v>
      </c>
      <c r="Z183" s="61">
        <f>_xll.qlYieldTSDiscount($U$35,Y183,,Trigger)</f>
        <v>0.99581791979026946</v>
      </c>
    </row>
    <row r="184" spans="25:26" x14ac:dyDescent="0.25">
      <c r="Y184" s="63">
        <v>42717</v>
      </c>
      <c r="Z184" s="61">
        <f>_xll.qlYieldTSDiscount($U$35,Y184,,Trigger)</f>
        <v>0.99579190467086065</v>
      </c>
    </row>
    <row r="185" spans="25:26" x14ac:dyDescent="0.25">
      <c r="Y185" s="63">
        <v>42718</v>
      </c>
      <c r="Z185" s="61">
        <f>_xll.qlYieldTSDiscount($U$35,Y185,,Trigger)</f>
        <v>0.99576590307564461</v>
      </c>
    </row>
    <row r="186" spans="25:26" x14ac:dyDescent="0.25">
      <c r="Y186" s="63">
        <v>42719</v>
      </c>
      <c r="Z186" s="61">
        <f>_xll.qlYieldTSDiscount($U$35,Y186,,Trigger)</f>
        <v>0.99573991463446765</v>
      </c>
    </row>
    <row r="187" spans="25:26" x14ac:dyDescent="0.25">
      <c r="Y187" s="63">
        <v>42720</v>
      </c>
      <c r="Z187" s="61">
        <f>_xll.qlYieldTSDiscount($U$35,Y187,,Trigger)</f>
        <v>0.99571393897717597</v>
      </c>
    </row>
    <row r="188" spans="25:26" x14ac:dyDescent="0.25">
      <c r="Y188" s="63">
        <v>42721</v>
      </c>
      <c r="Z188" s="61">
        <f>_xll.qlYieldTSDiscount($U$35,Y188,,Trigger)</f>
        <v>0.99568797573361545</v>
      </c>
    </row>
    <row r="189" spans="25:26" x14ac:dyDescent="0.25">
      <c r="Y189" s="63">
        <v>42722</v>
      </c>
      <c r="Z189" s="61">
        <f>_xll.qlYieldTSDiscount($U$35,Y189,,Trigger)</f>
        <v>0.99566202453363251</v>
      </c>
    </row>
    <row r="190" spans="25:26" x14ac:dyDescent="0.25">
      <c r="Y190" s="63">
        <v>42723</v>
      </c>
      <c r="Z190" s="61">
        <f>_xll.qlYieldTSDiscount($U$35,Y190,,Trigger)</f>
        <v>0.99563608500707312</v>
      </c>
    </row>
    <row r="191" spans="25:26" x14ac:dyDescent="0.25">
      <c r="Y191" s="63">
        <v>42724</v>
      </c>
      <c r="Z191" s="61">
        <f>_xll.qlYieldTSDiscount($U$35,Y191,,Trigger)</f>
        <v>0.99561015678378351</v>
      </c>
    </row>
    <row r="192" spans="25:26" x14ac:dyDescent="0.25">
      <c r="Y192" s="63">
        <v>42725</v>
      </c>
      <c r="Z192" s="61">
        <f>_xll.qlYieldTSDiscount($U$35,Y192,,Trigger)</f>
        <v>0.99558423949360975</v>
      </c>
    </row>
    <row r="193" spans="25:26" x14ac:dyDescent="0.25">
      <c r="Y193" s="63">
        <v>42726</v>
      </c>
      <c r="Z193" s="61">
        <f>_xll.qlYieldTSDiscount($U$35,Y193,,Trigger)</f>
        <v>0.99555833276639816</v>
      </c>
    </row>
    <row r="194" spans="25:26" x14ac:dyDescent="0.25">
      <c r="Y194" s="63">
        <v>42727</v>
      </c>
      <c r="Z194" s="61">
        <f>_xll.qlYieldTSDiscount($U$35,Y194,,Trigger)</f>
        <v>0.99553243623199472</v>
      </c>
    </row>
    <row r="195" spans="25:26" x14ac:dyDescent="0.25">
      <c r="Y195" s="63">
        <v>42728</v>
      </c>
      <c r="Z195" s="61">
        <f>_xll.qlYieldTSDiscount($U$35,Y195,,Trigger)</f>
        <v>0.99550654952024575</v>
      </c>
    </row>
    <row r="196" spans="25:26" x14ac:dyDescent="0.25">
      <c r="Y196" s="63">
        <v>42729</v>
      </c>
      <c r="Z196" s="61">
        <f>_xll.qlYieldTSDiscount($U$35,Y196,,Trigger)</f>
        <v>0.99548067226099723</v>
      </c>
    </row>
    <row r="197" spans="25:26" x14ac:dyDescent="0.25">
      <c r="Y197" s="63">
        <v>42730</v>
      </c>
      <c r="Z197" s="61">
        <f>_xll.qlYieldTSDiscount($U$35,Y197,,Trigger)</f>
        <v>0.99545480408409548</v>
      </c>
    </row>
    <row r="198" spans="25:26" x14ac:dyDescent="0.25">
      <c r="Y198" s="63">
        <v>42731</v>
      </c>
      <c r="Z198" s="61">
        <f>_xll.qlYieldTSDiscount($U$35,Y198,,Trigger)</f>
        <v>0.99542894461938647</v>
      </c>
    </row>
    <row r="199" spans="25:26" x14ac:dyDescent="0.25">
      <c r="Y199" s="63">
        <v>42732</v>
      </c>
      <c r="Z199" s="61">
        <f>_xll.qlYieldTSDiscount($U$35,Y199,,Trigger)</f>
        <v>0.99540309349671652</v>
      </c>
    </row>
    <row r="200" spans="25:26" x14ac:dyDescent="0.25">
      <c r="Y200" s="63">
        <v>42733</v>
      </c>
      <c r="Z200" s="61">
        <f>_xll.qlYieldTSDiscount($U$35,Y200,,Trigger)</f>
        <v>0.99537725034593161</v>
      </c>
    </row>
    <row r="201" spans="25:26" x14ac:dyDescent="0.25">
      <c r="Y201" s="63">
        <v>42734</v>
      </c>
      <c r="Z201" s="61">
        <f>_xll.qlYieldTSDiscount($U$35,Y201,,Trigger)</f>
        <v>0.99535141479687805</v>
      </c>
    </row>
    <row r="202" spans="25:26" x14ac:dyDescent="0.25">
      <c r="Y202" s="63">
        <v>42735</v>
      </c>
      <c r="Z202" s="61">
        <f>_xll.qlYieldTSDiscount($U$35,Y202,,Trigger)</f>
        <v>0.99532558647940195</v>
      </c>
    </row>
    <row r="203" spans="25:26" x14ac:dyDescent="0.25">
      <c r="Y203" s="63">
        <v>42736</v>
      </c>
      <c r="Z203" s="61">
        <f>_xll.qlYieldTSDiscount($U$35,Y203,,Trigger)</f>
        <v>0.99529976502334949</v>
      </c>
    </row>
    <row r="204" spans="25:26" x14ac:dyDescent="0.25">
      <c r="Y204" s="63">
        <v>42737</v>
      </c>
      <c r="Z204" s="61">
        <f>_xll.qlYieldTSDiscount($U$35,Y204,,Trigger)</f>
        <v>0.99527395005856667</v>
      </c>
    </row>
    <row r="205" spans="25:26" x14ac:dyDescent="0.25">
      <c r="Y205" s="63">
        <v>42738</v>
      </c>
      <c r="Z205" s="61">
        <f>_xll.qlYieldTSDiscount($U$35,Y205,,Trigger)</f>
        <v>0.9952481412148998</v>
      </c>
    </row>
    <row r="206" spans="25:26" x14ac:dyDescent="0.25">
      <c r="Y206" s="63">
        <v>42739</v>
      </c>
      <c r="Z206" s="61">
        <f>_xll.qlYieldTSDiscount($U$35,Y206,,Trigger)</f>
        <v>0.99522233812219496</v>
      </c>
    </row>
    <row r="207" spans="25:26" x14ac:dyDescent="0.25">
      <c r="Y207" s="63">
        <v>42740</v>
      </c>
      <c r="Z207" s="61">
        <f>_xll.qlYieldTSDiscount($U$35,Y207,,Trigger)</f>
        <v>0.99519654041029826</v>
      </c>
    </row>
    <row r="208" spans="25:26" x14ac:dyDescent="0.25">
      <c r="Y208" s="63">
        <v>42741</v>
      </c>
      <c r="Z208" s="61">
        <f>_xll.qlYieldTSDiscount($U$35,Y208,,Trigger)</f>
        <v>0.995170747709056</v>
      </c>
    </row>
    <row r="209" spans="25:26" x14ac:dyDescent="0.25">
      <c r="Y209" s="63">
        <v>42742</v>
      </c>
      <c r="Z209" s="61">
        <f>_xll.qlYieldTSDiscount($U$35,Y209,,Trigger)</f>
        <v>0.99514495964831418</v>
      </c>
    </row>
    <row r="210" spans="25:26" x14ac:dyDescent="0.25">
      <c r="Y210" s="63">
        <v>42743</v>
      </c>
      <c r="Z210" s="61">
        <f>_xll.qlYieldTSDiscount($U$35,Y210,,Trigger)</f>
        <v>0.99511917585791909</v>
      </c>
    </row>
    <row r="211" spans="25:26" x14ac:dyDescent="0.25">
      <c r="Y211" s="63">
        <v>42744</v>
      </c>
      <c r="Z211" s="61">
        <f>_xll.qlYieldTSDiscount($U$35,Y211,,Trigger)</f>
        <v>0.99509339596771673</v>
      </c>
    </row>
    <row r="212" spans="25:26" x14ac:dyDescent="0.25">
      <c r="Y212" s="63">
        <v>42745</v>
      </c>
      <c r="Z212" s="61">
        <f>_xll.qlYieldTSDiscount($U$35,Y212,,Trigger)</f>
        <v>0.9950676196075533</v>
      </c>
    </row>
    <row r="213" spans="25:26" x14ac:dyDescent="0.25">
      <c r="Y213" s="63">
        <v>42746</v>
      </c>
      <c r="Z213" s="61">
        <f>_xll.qlYieldTSDiscount($U$35,Y213,,Trigger)</f>
        <v>0.99504184640727511</v>
      </c>
    </row>
    <row r="214" spans="25:26" x14ac:dyDescent="0.25">
      <c r="Y214" s="63">
        <v>42747</v>
      </c>
      <c r="Z214" s="61">
        <f>_xll.qlYieldTSDiscount($U$35,Y214,,Trigger)</f>
        <v>0.99501607599672803</v>
      </c>
    </row>
    <row r="215" spans="25:26" x14ac:dyDescent="0.25">
      <c r="Y215" s="63">
        <v>42748</v>
      </c>
      <c r="Z215" s="61">
        <f>_xll.qlYieldTSDiscount($U$35,Y215,,Trigger)</f>
        <v>0.99499030800575849</v>
      </c>
    </row>
    <row r="216" spans="25:26" x14ac:dyDescent="0.25">
      <c r="Y216" s="63">
        <v>42749</v>
      </c>
      <c r="Z216" s="61">
        <f>_xll.qlYieldTSDiscount($U$35,Y216,,Trigger)</f>
        <v>0.9949645421215858</v>
      </c>
    </row>
    <row r="217" spans="25:26" x14ac:dyDescent="0.25">
      <c r="Y217" s="63">
        <v>42750</v>
      </c>
      <c r="Z217" s="61">
        <f>_xll.qlYieldTSDiscount($U$35,Y217,,Trigger)</f>
        <v>0.99493877826092236</v>
      </c>
    </row>
    <row r="218" spans="25:26" x14ac:dyDescent="0.25">
      <c r="Y218" s="63">
        <v>42751</v>
      </c>
      <c r="Z218" s="61">
        <f>_xll.qlYieldTSDiscount($U$35,Y218,,Trigger)</f>
        <v>0.99491301639785434</v>
      </c>
    </row>
    <row r="219" spans="25:26" x14ac:dyDescent="0.25">
      <c r="Y219" s="63">
        <v>42752</v>
      </c>
      <c r="Z219" s="61">
        <f>_xll.qlYieldTSDiscount($U$35,Y219,,Trigger)</f>
        <v>0.99488725650646725</v>
      </c>
    </row>
    <row r="220" spans="25:26" x14ac:dyDescent="0.25">
      <c r="Y220" s="63">
        <v>42753</v>
      </c>
      <c r="Z220" s="61">
        <f>_xll.qlYieldTSDiscount($U$35,Y220,,Trigger)</f>
        <v>0.99486149856084716</v>
      </c>
    </row>
    <row r="221" spans="25:26" x14ac:dyDescent="0.25">
      <c r="Y221" s="63">
        <v>42754</v>
      </c>
      <c r="Z221" s="61">
        <f>_xll.qlYieldTSDiscount($U$35,Y221,,Trigger)</f>
        <v>0.99483574253507978</v>
      </c>
    </row>
    <row r="222" spans="25:26" x14ac:dyDescent="0.25">
      <c r="Y222" s="63">
        <v>42755</v>
      </c>
      <c r="Z222" s="61">
        <f>_xll.qlYieldTSDiscount($U$35,Y222,,Trigger)</f>
        <v>0.99480998840325097</v>
      </c>
    </row>
    <row r="223" spans="25:26" x14ac:dyDescent="0.25">
      <c r="Y223" s="63">
        <v>42756</v>
      </c>
      <c r="Z223" s="61">
        <f>_xll.qlYieldTSDiscount($U$35,Y223,,Trigger)</f>
        <v>0.99478423613944666</v>
      </c>
    </row>
    <row r="224" spans="25:26" x14ac:dyDescent="0.25">
      <c r="Y224" s="63">
        <v>42757</v>
      </c>
      <c r="Z224" s="61">
        <f>_xll.qlYieldTSDiscount($U$35,Y224,,Trigger)</f>
        <v>0.99475848571775249</v>
      </c>
    </row>
    <row r="225" spans="25:26" x14ac:dyDescent="0.25">
      <c r="Y225" s="63">
        <v>42758</v>
      </c>
      <c r="Z225" s="61">
        <f>_xll.qlYieldTSDiscount($U$35,Y225,,Trigger)</f>
        <v>0.99473273711225452</v>
      </c>
    </row>
    <row r="226" spans="25:26" x14ac:dyDescent="0.25">
      <c r="Y226" s="63">
        <v>42759</v>
      </c>
      <c r="Z226" s="61">
        <f>_xll.qlYieldTSDiscount($U$35,Y226,,Trigger)</f>
        <v>0.99470699029703835</v>
      </c>
    </row>
    <row r="227" spans="25:26" x14ac:dyDescent="0.25">
      <c r="Y227" s="63">
        <v>42760</v>
      </c>
      <c r="Z227" s="61">
        <f>_xll.qlYieldTSDiscount($U$35,Y227,,Trigger)</f>
        <v>0.99468124524619006</v>
      </c>
    </row>
    <row r="228" spans="25:26" x14ac:dyDescent="0.25">
      <c r="Y228" s="63">
        <v>42761</v>
      </c>
      <c r="Z228" s="61">
        <f>_xll.qlYieldTSDiscount($U$35,Y228,,Trigger)</f>
        <v>0.99465550193379537</v>
      </c>
    </row>
    <row r="229" spans="25:26" x14ac:dyDescent="0.25">
      <c r="Y229" s="63">
        <v>42762</v>
      </c>
      <c r="Z229" s="61">
        <f>_xll.qlYieldTSDiscount($U$35,Y229,,Trigger)</f>
        <v>0.99462976033394002</v>
      </c>
    </row>
    <row r="230" spans="25:26" x14ac:dyDescent="0.25">
      <c r="Y230" s="63">
        <v>42763</v>
      </c>
      <c r="Z230" s="61">
        <f>_xll.qlYieldTSDiscount($U$35,Y230,,Trigger)</f>
        <v>0.99460402042071006</v>
      </c>
    </row>
    <row r="231" spans="25:26" x14ac:dyDescent="0.25">
      <c r="Y231" s="63">
        <v>42764</v>
      </c>
      <c r="Z231" s="61">
        <f>_xll.qlYieldTSDiscount($U$35,Y231,,Trigger)</f>
        <v>0.99457828216819122</v>
      </c>
    </row>
    <row r="232" spans="25:26" x14ac:dyDescent="0.25">
      <c r="Y232" s="63">
        <v>42765</v>
      </c>
      <c r="Z232" s="61">
        <f>_xll.qlYieldTSDiscount($U$35,Y232,,Trigger)</f>
        <v>0.99455254555046924</v>
      </c>
    </row>
    <row r="233" spans="25:26" x14ac:dyDescent="0.25">
      <c r="Y233" s="63">
        <v>42766</v>
      </c>
      <c r="Z233" s="61">
        <f>_xll.qlYieldTSDiscount($U$35,Y233,,Trigger)</f>
        <v>0.99452681054163006</v>
      </c>
    </row>
    <row r="234" spans="25:26" x14ac:dyDescent="0.25">
      <c r="Y234" s="63">
        <v>42767</v>
      </c>
      <c r="Z234" s="61">
        <f>_xll.qlYieldTSDiscount($U$35,Y234,,Trigger)</f>
        <v>0.99450107711575952</v>
      </c>
    </row>
    <row r="235" spans="25:26" x14ac:dyDescent="0.25">
      <c r="Y235" s="63">
        <v>42768</v>
      </c>
      <c r="Z235" s="61">
        <f>_xll.qlYieldTSDiscount($U$35,Y235,,Trigger)</f>
        <v>0.99447534524694348</v>
      </c>
    </row>
    <row r="236" spans="25:26" x14ac:dyDescent="0.25">
      <c r="Y236" s="63">
        <v>42769</v>
      </c>
      <c r="Z236" s="61">
        <f>_xll.qlYieldTSDiscount($U$35,Y236,,Trigger)</f>
        <v>0.99444961490926764</v>
      </c>
    </row>
    <row r="237" spans="25:26" x14ac:dyDescent="0.25">
      <c r="Y237" s="63">
        <v>42770</v>
      </c>
      <c r="Z237" s="61">
        <f>_xll.qlYieldTSDiscount($U$35,Y237,,Trigger)</f>
        <v>0.99442388607681798</v>
      </c>
    </row>
    <row r="238" spans="25:26" x14ac:dyDescent="0.25">
      <c r="Y238" s="63">
        <v>42771</v>
      </c>
      <c r="Z238" s="61">
        <f>_xll.qlYieldTSDiscount($U$35,Y238,,Trigger)</f>
        <v>0.99439815872368031</v>
      </c>
    </row>
    <row r="239" spans="25:26" x14ac:dyDescent="0.25">
      <c r="Y239" s="63">
        <v>42772</v>
      </c>
      <c r="Z239" s="61">
        <f>_xll.qlYieldTSDiscount($U$35,Y239,,Trigger)</f>
        <v>0.99437243282394039</v>
      </c>
    </row>
    <row r="240" spans="25:26" x14ac:dyDescent="0.25">
      <c r="Y240" s="63">
        <v>42773</v>
      </c>
      <c r="Z240" s="61">
        <f>_xll.qlYieldTSDiscount($U$35,Y240,,Trigger)</f>
        <v>0.99434670835168415</v>
      </c>
    </row>
    <row r="241" spans="25:26" x14ac:dyDescent="0.25">
      <c r="Y241" s="63">
        <v>42774</v>
      </c>
      <c r="Z241" s="61">
        <f>_xll.qlYieldTSDiscount($U$35,Y241,,Trigger)</f>
        <v>0.99432098528099733</v>
      </c>
    </row>
    <row r="242" spans="25:26" x14ac:dyDescent="0.25">
      <c r="Y242" s="63">
        <v>42775</v>
      </c>
      <c r="Z242" s="61">
        <f>_xll.qlYieldTSDiscount($U$35,Y242,,Trigger)</f>
        <v>0.99429526358596587</v>
      </c>
    </row>
    <row r="243" spans="25:26" x14ac:dyDescent="0.25">
      <c r="Y243" s="63">
        <v>42776</v>
      </c>
      <c r="Z243" s="61">
        <f>_xll.qlYieldTSDiscount($U$35,Y243,,Trigger)</f>
        <v>0.99426954324067562</v>
      </c>
    </row>
    <row r="244" spans="25:26" x14ac:dyDescent="0.25">
      <c r="Y244" s="63">
        <v>42777</v>
      </c>
      <c r="Z244" s="61">
        <f>_xll.qlYieldTSDiscount($U$35,Y244,,Trigger)</f>
        <v>0.99424382421921231</v>
      </c>
    </row>
    <row r="245" spans="25:26" x14ac:dyDescent="0.25">
      <c r="Y245" s="63">
        <v>42778</v>
      </c>
      <c r="Z245" s="61">
        <f>_xll.qlYieldTSDiscount($U$35,Y245,,Trigger)</f>
        <v>0.99421810649566178</v>
      </c>
    </row>
    <row r="246" spans="25:26" x14ac:dyDescent="0.25">
      <c r="Y246" s="63">
        <v>42779</v>
      </c>
      <c r="Z246" s="61">
        <f>_xll.qlYieldTSDiscount($U$35,Y246,,Trigger)</f>
        <v>0.99419239004410997</v>
      </c>
    </row>
    <row r="247" spans="25:26" x14ac:dyDescent="0.25">
      <c r="Y247" s="63">
        <v>42780</v>
      </c>
      <c r="Z247" s="61">
        <f>_xll.qlYieldTSDiscount($U$35,Y247,,Trigger)</f>
        <v>0.99416667483864263</v>
      </c>
    </row>
    <row r="248" spans="25:26" x14ac:dyDescent="0.25">
      <c r="Y248" s="63">
        <v>42781</v>
      </c>
      <c r="Z248" s="61">
        <f>_xll.qlYieldTSDiscount($U$35,Y248,,Trigger)</f>
        <v>0.99414096085334558</v>
      </c>
    </row>
    <row r="249" spans="25:26" x14ac:dyDescent="0.25">
      <c r="Y249" s="63">
        <v>42782</v>
      </c>
      <c r="Z249" s="61">
        <f>_xll.qlYieldTSDiscount($U$35,Y249,,Trigger)</f>
        <v>0.99411524806230467</v>
      </c>
    </row>
    <row r="250" spans="25:26" x14ac:dyDescent="0.25">
      <c r="Y250" s="63">
        <v>42783</v>
      </c>
      <c r="Z250" s="61">
        <f>_xll.qlYieldTSDiscount($U$35,Y250,,Trigger)</f>
        <v>0.99408953643960585</v>
      </c>
    </row>
    <row r="251" spans="25:26" x14ac:dyDescent="0.25">
      <c r="Y251" s="63">
        <v>42784</v>
      </c>
      <c r="Z251" s="61">
        <f>_xll.qlYieldTSDiscount($U$35,Y251,,Trigger)</f>
        <v>0.99406382595933485</v>
      </c>
    </row>
    <row r="252" spans="25:26" x14ac:dyDescent="0.25">
      <c r="Y252" s="63">
        <v>42785</v>
      </c>
      <c r="Z252" s="61">
        <f>_xll.qlYieldTSDiscount($U$35,Y252,,Trigger)</f>
        <v>0.9940381165955775</v>
      </c>
    </row>
    <row r="253" spans="25:26" x14ac:dyDescent="0.25">
      <c r="Y253" s="63">
        <v>42786</v>
      </c>
      <c r="Z253" s="61">
        <f>_xll.qlYieldTSDiscount($U$35,Y253,,Trigger)</f>
        <v>0.99401240832241977</v>
      </c>
    </row>
    <row r="254" spans="25:26" x14ac:dyDescent="0.25">
      <c r="Y254" s="63">
        <v>42787</v>
      </c>
      <c r="Z254" s="61">
        <f>_xll.qlYieldTSDiscount($U$35,Y254,,Trigger)</f>
        <v>0.99398670111394727</v>
      </c>
    </row>
    <row r="255" spans="25:26" x14ac:dyDescent="0.25">
      <c r="Y255" s="63">
        <v>42788</v>
      </c>
      <c r="Z255" s="61">
        <f>_xll.qlYieldTSDiscount($U$35,Y255,,Trigger)</f>
        <v>0.99396099494424595</v>
      </c>
    </row>
    <row r="256" spans="25:26" x14ac:dyDescent="0.25">
      <c r="Y256" s="63">
        <v>42789</v>
      </c>
      <c r="Z256" s="61">
        <f>_xll.qlYieldTSDiscount($U$35,Y256,,Trigger)</f>
        <v>0.99393528978740175</v>
      </c>
    </row>
    <row r="257" spans="25:26" x14ac:dyDescent="0.25">
      <c r="Y257" s="63">
        <v>42790</v>
      </c>
      <c r="Z257" s="61">
        <f>_xll.qlYieldTSDiscount($U$35,Y257,,Trigger)</f>
        <v>0.99390958561750031</v>
      </c>
    </row>
    <row r="258" spans="25:26" x14ac:dyDescent="0.25">
      <c r="Y258" s="63">
        <v>42791</v>
      </c>
      <c r="Z258" s="61">
        <f>_xll.qlYieldTSDiscount($U$35,Y258,,Trigger)</f>
        <v>0.99388388240862768</v>
      </c>
    </row>
    <row r="259" spans="25:26" x14ac:dyDescent="0.25">
      <c r="Y259" s="63">
        <v>42792</v>
      </c>
      <c r="Z259" s="61">
        <f>_xll.qlYieldTSDiscount($U$35,Y259,,Trigger)</f>
        <v>0.99385818013486948</v>
      </c>
    </row>
    <row r="260" spans="25:26" x14ac:dyDescent="0.25">
      <c r="Y260" s="63">
        <v>42793</v>
      </c>
      <c r="Z260" s="61">
        <f>_xll.qlYieldTSDiscount($U$35,Y260,,Trigger)</f>
        <v>0.99383247877031167</v>
      </c>
    </row>
    <row r="261" spans="25:26" x14ac:dyDescent="0.25">
      <c r="Y261" s="63">
        <v>42794</v>
      </c>
      <c r="Z261" s="61">
        <f>_xll.qlYieldTSDiscount($U$35,Y261,,Trigger)</f>
        <v>0.99380677828904007</v>
      </c>
    </row>
    <row r="262" spans="25:26" x14ac:dyDescent="0.25">
      <c r="Y262" s="63">
        <v>42795</v>
      </c>
      <c r="Z262" s="61">
        <f>_xll.qlYieldTSDiscount($U$35,Y262,,Trigger)</f>
        <v>0.99378107866514054</v>
      </c>
    </row>
    <row r="263" spans="25:26" x14ac:dyDescent="0.25">
      <c r="Y263" s="63">
        <v>42796</v>
      </c>
      <c r="Z263" s="61">
        <f>_xll.qlYieldTSDiscount($U$35,Y263,,Trigger)</f>
        <v>0.99375537987269891</v>
      </c>
    </row>
    <row r="264" spans="25:26" x14ac:dyDescent="0.25">
      <c r="Y264" s="63">
        <v>42797</v>
      </c>
      <c r="Z264" s="61">
        <f>_xll.qlYieldTSDiscount($U$35,Y264,,Trigger)</f>
        <v>0.99372968188580091</v>
      </c>
    </row>
    <row r="265" spans="25:26" x14ac:dyDescent="0.25">
      <c r="Y265" s="63">
        <v>42798</v>
      </c>
      <c r="Z265" s="61">
        <f>_xll.qlYieldTSDiscount($U$35,Y265,,Trigger)</f>
        <v>0.99370398467853249</v>
      </c>
    </row>
    <row r="266" spans="25:26" x14ac:dyDescent="0.25">
      <c r="Y266" s="63">
        <v>42799</v>
      </c>
      <c r="Z266" s="61">
        <f>_xll.qlYieldTSDiscount($U$35,Y266,,Trigger)</f>
        <v>0.9936782882249795</v>
      </c>
    </row>
    <row r="267" spans="25:26" x14ac:dyDescent="0.25">
      <c r="Y267" s="63">
        <v>42800</v>
      </c>
      <c r="Z267" s="61">
        <f>_xll.qlYieldTSDiscount($U$35,Y267,,Trigger)</f>
        <v>0.99365259249922766</v>
      </c>
    </row>
    <row r="268" spans="25:26" x14ac:dyDescent="0.25">
      <c r="Y268" s="63">
        <v>42801</v>
      </c>
      <c r="Z268" s="61">
        <f>_xll.qlYieldTSDiscount($U$35,Y268,,Trigger)</f>
        <v>0.99362689747536292</v>
      </c>
    </row>
    <row r="269" spans="25:26" x14ac:dyDescent="0.25">
      <c r="Y269" s="63">
        <v>42802</v>
      </c>
      <c r="Z269" s="61">
        <f>_xll.qlYieldTSDiscount($U$35,Y269,,Trigger)</f>
        <v>0.99360120312747113</v>
      </c>
    </row>
    <row r="270" spans="25:26" x14ac:dyDescent="0.25">
      <c r="Y270" s="63">
        <v>42803</v>
      </c>
      <c r="Z270" s="61">
        <f>_xll.qlYieldTSDiscount($U$35,Y270,,Trigger)</f>
        <v>0.99357550942963802</v>
      </c>
    </row>
    <row r="271" spans="25:26" x14ac:dyDescent="0.25">
      <c r="Y271" s="63">
        <v>42804</v>
      </c>
      <c r="Z271" s="61">
        <f>_xll.qlYieldTSDiscount($U$35,Y271,,Trigger)</f>
        <v>0.99354981635594952</v>
      </c>
    </row>
    <row r="272" spans="25:26" x14ac:dyDescent="0.25">
      <c r="Y272" s="63">
        <v>42805</v>
      </c>
      <c r="Z272" s="61">
        <f>_xll.qlYieldTSDiscount($U$35,Y272,,Trigger)</f>
        <v>0.99352412388049138</v>
      </c>
    </row>
    <row r="273" spans="25:26" x14ac:dyDescent="0.25">
      <c r="Y273" s="63">
        <v>42806</v>
      </c>
      <c r="Z273" s="61">
        <f>_xll.qlYieldTSDiscount($U$35,Y273,,Trigger)</f>
        <v>0.99349843197734944</v>
      </c>
    </row>
    <row r="274" spans="25:26" x14ac:dyDescent="0.25">
      <c r="Y274" s="63">
        <v>42807</v>
      </c>
      <c r="Z274" s="61">
        <f>_xll.qlYieldTSDiscount($U$35,Y274,,Trigger)</f>
        <v>0.99347274062060964</v>
      </c>
    </row>
    <row r="275" spans="25:26" x14ac:dyDescent="0.25">
      <c r="Y275" s="63">
        <v>42808</v>
      </c>
      <c r="Z275" s="61">
        <f>_xll.qlYieldTSDiscount($U$35,Y275,,Trigger)</f>
        <v>0.99344704978435783</v>
      </c>
    </row>
    <row r="276" spans="25:26" x14ac:dyDescent="0.25">
      <c r="Y276" s="63">
        <v>42809</v>
      </c>
      <c r="Z276" s="61">
        <f>_xll.qlYieldTSDiscount($U$35,Y276,,Trigger)</f>
        <v>0.99342135944267962</v>
      </c>
    </row>
    <row r="277" spans="25:26" x14ac:dyDescent="0.25">
      <c r="Y277" s="63">
        <v>42810</v>
      </c>
      <c r="Z277" s="61">
        <f>_xll.qlYieldTSDiscount($U$35,Y277,,Trigger)</f>
        <v>0.99339566956966108</v>
      </c>
    </row>
    <row r="278" spans="25:26" x14ac:dyDescent="0.25">
      <c r="Y278" s="63">
        <v>42811</v>
      </c>
      <c r="Z278" s="61">
        <f>_xll.qlYieldTSDiscount($U$35,Y278,,Trigger)</f>
        <v>0.99336998013938793</v>
      </c>
    </row>
    <row r="279" spans="25:26" x14ac:dyDescent="0.25">
      <c r="Y279" s="63">
        <v>42812</v>
      </c>
      <c r="Z279" s="61">
        <f>_xll.qlYieldTSDiscount($U$35,Y279,,Trigger)</f>
        <v>0.99334429112594613</v>
      </c>
    </row>
    <row r="280" spans="25:26" x14ac:dyDescent="0.25">
      <c r="Y280" s="63">
        <v>42813</v>
      </c>
      <c r="Z280" s="61">
        <f>_xll.qlYieldTSDiscount($U$35,Y280,,Trigger)</f>
        <v>0.99331860250342141</v>
      </c>
    </row>
    <row r="281" spans="25:26" x14ac:dyDescent="0.25">
      <c r="Y281" s="63">
        <v>42814</v>
      </c>
      <c r="Z281" s="61">
        <f>_xll.qlYieldTSDiscount($U$35,Y281,,Trigger)</f>
        <v>0.99329291424589949</v>
      </c>
    </row>
    <row r="282" spans="25:26" x14ac:dyDescent="0.25">
      <c r="Y282" s="63">
        <v>42815</v>
      </c>
      <c r="Z282" s="61">
        <f>_xll.qlYieldTSDiscount($U$35,Y282,,Trigger)</f>
        <v>0.99326722632746645</v>
      </c>
    </row>
    <row r="283" spans="25:26" x14ac:dyDescent="0.25">
      <c r="Y283" s="63">
        <v>42816</v>
      </c>
      <c r="Z283" s="61">
        <f>_xll.qlYieldTSDiscount($U$35,Y283,,Trigger)</f>
        <v>0.99324153872220799</v>
      </c>
    </row>
    <row r="284" spans="25:26" x14ac:dyDescent="0.25">
      <c r="Y284" s="63">
        <v>42817</v>
      </c>
      <c r="Z284" s="61">
        <f>_xll.qlYieldTSDiscount($U$35,Y284,,Trigger)</f>
        <v>0.99321585140420998</v>
      </c>
    </row>
    <row r="285" spans="25:26" x14ac:dyDescent="0.25">
      <c r="Y285" s="63">
        <v>42818</v>
      </c>
      <c r="Z285" s="61">
        <f>_xll.qlYieldTSDiscount($U$35,Y285,,Trigger)</f>
        <v>0.99319016434755825</v>
      </c>
    </row>
    <row r="286" spans="25:26" x14ac:dyDescent="0.25">
      <c r="Y286" s="63">
        <v>42819</v>
      </c>
      <c r="Z286" s="61">
        <f>_xll.qlYieldTSDiscount($U$35,Y286,,Trigger)</f>
        <v>0.99316447752633874</v>
      </c>
    </row>
    <row r="287" spans="25:26" x14ac:dyDescent="0.25">
      <c r="Y287" s="63">
        <v>42820</v>
      </c>
      <c r="Z287" s="61">
        <f>_xll.qlYieldTSDiscount($U$35,Y287,,Trigger)</f>
        <v>0.99313879091463708</v>
      </c>
    </row>
    <row r="288" spans="25:26" x14ac:dyDescent="0.25">
      <c r="Y288" s="63">
        <v>42821</v>
      </c>
      <c r="Z288" s="61">
        <f>_xll.qlYieldTSDiscount($U$35,Y288,,Trigger)</f>
        <v>0.99311310448653922</v>
      </c>
    </row>
    <row r="289" spans="25:26" x14ac:dyDescent="0.25">
      <c r="Y289" s="63">
        <v>42822</v>
      </c>
      <c r="Z289" s="61">
        <f>_xll.qlYieldTSDiscount($U$35,Y289,,Trigger)</f>
        <v>0.99308741821613089</v>
      </c>
    </row>
    <row r="290" spans="25:26" x14ac:dyDescent="0.25">
      <c r="Y290" s="63">
        <v>42823</v>
      </c>
      <c r="Z290" s="61">
        <f>_xll.qlYieldTSDiscount($U$35,Y290,,Trigger)</f>
        <v>0.99306173207749815</v>
      </c>
    </row>
    <row r="291" spans="25:26" x14ac:dyDescent="0.25">
      <c r="Y291" s="63">
        <v>42824</v>
      </c>
      <c r="Z291" s="61">
        <f>_xll.qlYieldTSDiscount($U$35,Y291,,Trigger)</f>
        <v>0.99303604604472673</v>
      </c>
    </row>
    <row r="292" spans="25:26" x14ac:dyDescent="0.25">
      <c r="Y292" s="63">
        <v>42825</v>
      </c>
      <c r="Z292" s="61">
        <f>_xll.qlYieldTSDiscount($U$35,Y292,,Trigger)</f>
        <v>0.99301036009190236</v>
      </c>
    </row>
    <row r="293" spans="25:26" x14ac:dyDescent="0.25">
      <c r="Y293" s="63">
        <v>42826</v>
      </c>
      <c r="Z293" s="61">
        <f>_xll.qlYieldTSDiscount($U$35,Y293,,Trigger)</f>
        <v>0.99298467419311098</v>
      </c>
    </row>
    <row r="294" spans="25:26" x14ac:dyDescent="0.25">
      <c r="Y294" s="63">
        <v>42827</v>
      </c>
      <c r="Z294" s="61">
        <f>_xll.qlYieldTSDiscount($U$35,Y294,,Trigger)</f>
        <v>0.99295898832243845</v>
      </c>
    </row>
    <row r="295" spans="25:26" x14ac:dyDescent="0.25">
      <c r="Y295" s="63">
        <v>42828</v>
      </c>
      <c r="Z295" s="61">
        <f>_xll.qlYieldTSDiscount($U$35,Y295,,Trigger)</f>
        <v>0.99293330245397049</v>
      </c>
    </row>
    <row r="296" spans="25:26" x14ac:dyDescent="0.25">
      <c r="Y296" s="63">
        <v>42829</v>
      </c>
      <c r="Z296" s="61">
        <f>_xll.qlYieldTSDiscount($U$35,Y296,,Trigger)</f>
        <v>0.99290761656179305</v>
      </c>
    </row>
    <row r="297" spans="25:26" x14ac:dyDescent="0.25">
      <c r="Y297" s="63">
        <v>42830</v>
      </c>
      <c r="Z297" s="61">
        <f>_xll.qlYieldTSDiscount($U$35,Y297,,Trigger)</f>
        <v>0.99288193061999197</v>
      </c>
    </row>
    <row r="298" spans="25:26" x14ac:dyDescent="0.25">
      <c r="Y298" s="63">
        <v>42831</v>
      </c>
      <c r="Z298" s="61">
        <f>_xll.qlYieldTSDiscount($U$35,Y298,,Trigger)</f>
        <v>0.99285624460265298</v>
      </c>
    </row>
    <row r="299" spans="25:26" x14ac:dyDescent="0.25">
      <c r="Y299" s="63">
        <v>42832</v>
      </c>
      <c r="Z299" s="61">
        <f>_xll.qlYieldTSDiscount($U$35,Y299,,Trigger)</f>
        <v>0.99283055848386204</v>
      </c>
    </row>
    <row r="300" spans="25:26" x14ac:dyDescent="0.25">
      <c r="Y300" s="63">
        <v>42833</v>
      </c>
      <c r="Z300" s="61">
        <f>_xll.qlYieldTSDiscount($U$35,Y300,,Trigger)</f>
        <v>0.99280487223770486</v>
      </c>
    </row>
    <row r="301" spans="25:26" x14ac:dyDescent="0.25">
      <c r="Y301" s="63">
        <v>42834</v>
      </c>
      <c r="Z301" s="61">
        <f>_xll.qlYieldTSDiscount($U$35,Y301,,Trigger)</f>
        <v>0.99277918583826741</v>
      </c>
    </row>
    <row r="302" spans="25:26" x14ac:dyDescent="0.25">
      <c r="Y302" s="63">
        <v>42835</v>
      </c>
      <c r="Z302" s="61">
        <f>_xll.qlYieldTSDiscount($U$35,Y302,,Trigger)</f>
        <v>0.99275349925963541</v>
      </c>
    </row>
    <row r="303" spans="25:26" x14ac:dyDescent="0.25">
      <c r="Y303" s="63">
        <v>42836</v>
      </c>
      <c r="Z303" s="61">
        <f>_xll.qlYieldTSDiscount($U$35,Y303,,Trigger)</f>
        <v>0.99272781247589481</v>
      </c>
    </row>
    <row r="304" spans="25:26" x14ac:dyDescent="0.25">
      <c r="Y304" s="63">
        <v>42837</v>
      </c>
      <c r="Z304" s="61">
        <f>_xll.qlYieldTSDiscount($U$35,Y304,,Trigger)</f>
        <v>0.99270212546113124</v>
      </c>
    </row>
    <row r="305" spans="25:26" x14ac:dyDescent="0.25">
      <c r="Y305" s="63">
        <v>42838</v>
      </c>
      <c r="Z305" s="61">
        <f>_xll.qlYieldTSDiscount($U$35,Y305,,Trigger)</f>
        <v>0.99267643818943085</v>
      </c>
    </row>
    <row r="306" spans="25:26" x14ac:dyDescent="0.25">
      <c r="Y306" s="63">
        <v>42839</v>
      </c>
      <c r="Z306" s="61">
        <f>_xll.qlYieldTSDiscount($U$35,Y306,,Trigger)</f>
        <v>0.99265075063487918</v>
      </c>
    </row>
    <row r="307" spans="25:26" x14ac:dyDescent="0.25">
      <c r="Y307" s="63">
        <v>42840</v>
      </c>
      <c r="Z307" s="61">
        <f>_xll.qlYieldTSDiscount($U$35,Y307,,Trigger)</f>
        <v>0.99262506277156226</v>
      </c>
    </row>
    <row r="308" spans="25:26" x14ac:dyDescent="0.25">
      <c r="Y308" s="63">
        <v>42841</v>
      </c>
      <c r="Z308" s="61">
        <f>_xll.qlYieldTSDiscount($U$35,Y308,,Trigger)</f>
        <v>0.99259937457356584</v>
      </c>
    </row>
    <row r="309" spans="25:26" x14ac:dyDescent="0.25">
      <c r="Y309" s="63">
        <v>42842</v>
      </c>
      <c r="Z309" s="61">
        <f>_xll.qlYieldTSDiscount($U$35,Y309,,Trigger)</f>
        <v>0.99257368601497575</v>
      </c>
    </row>
    <row r="310" spans="25:26" x14ac:dyDescent="0.25">
      <c r="Y310" s="63">
        <v>42843</v>
      </c>
      <c r="Z310" s="61">
        <f>_xll.qlYieldTSDiscount($U$35,Y310,,Trigger)</f>
        <v>0.99254799706987795</v>
      </c>
    </row>
    <row r="311" spans="25:26" x14ac:dyDescent="0.25">
      <c r="Y311" s="63">
        <v>42844</v>
      </c>
      <c r="Z311" s="61">
        <f>_xll.qlYieldTSDiscount($U$35,Y311,,Trigger)</f>
        <v>0.99252230771235805</v>
      </c>
    </row>
    <row r="312" spans="25:26" x14ac:dyDescent="0.25">
      <c r="Y312" s="63">
        <v>42845</v>
      </c>
      <c r="Z312" s="61">
        <f>_xll.qlYieldTSDiscount($U$35,Y312,,Trigger)</f>
        <v>0.99249661791650212</v>
      </c>
    </row>
    <row r="313" spans="25:26" x14ac:dyDescent="0.25">
      <c r="Y313" s="63">
        <v>42846</v>
      </c>
      <c r="Z313" s="61">
        <f>_xll.qlYieldTSDiscount($U$35,Y313,,Trigger)</f>
        <v>0.99247092765639588</v>
      </c>
    </row>
    <row r="314" spans="25:26" x14ac:dyDescent="0.25">
      <c r="Y314" s="63">
        <v>42847</v>
      </c>
      <c r="Z314" s="61">
        <f>_xll.qlYieldTSDiscount($U$35,Y314,,Trigger)</f>
        <v>0.99244523690612507</v>
      </c>
    </row>
    <row r="315" spans="25:26" x14ac:dyDescent="0.25">
      <c r="Y315" s="63">
        <v>42848</v>
      </c>
      <c r="Z315" s="61">
        <f>_xll.qlYieldTSDiscount($U$35,Y315,,Trigger)</f>
        <v>0.99241954563977575</v>
      </c>
    </row>
    <row r="316" spans="25:26" x14ac:dyDescent="0.25">
      <c r="Y316" s="63">
        <v>42849</v>
      </c>
      <c r="Z316" s="61">
        <f>_xll.qlYieldTSDiscount($U$35,Y316,,Trigger)</f>
        <v>0.99239385383143364</v>
      </c>
    </row>
    <row r="317" spans="25:26" x14ac:dyDescent="0.25">
      <c r="Y317" s="63">
        <v>42850</v>
      </c>
      <c r="Z317" s="61">
        <f>_xll.qlYieldTSDiscount($U$35,Y317,,Trigger)</f>
        <v>0.99236816145518447</v>
      </c>
    </row>
    <row r="318" spans="25:26" x14ac:dyDescent="0.25">
      <c r="Y318" s="63">
        <v>42851</v>
      </c>
      <c r="Z318" s="61">
        <f>_xll.qlYieldTSDiscount($U$35,Y318,,Trigger)</f>
        <v>0.99234246848511432</v>
      </c>
    </row>
    <row r="319" spans="25:26" x14ac:dyDescent="0.25">
      <c r="Y319" s="63">
        <v>42852</v>
      </c>
      <c r="Z319" s="61">
        <f>_xll.qlYieldTSDiscount($U$35,Y319,,Trigger)</f>
        <v>0.99231677489530878</v>
      </c>
    </row>
    <row r="320" spans="25:26" x14ac:dyDescent="0.25">
      <c r="Y320" s="63">
        <v>42853</v>
      </c>
      <c r="Z320" s="61">
        <f>_xll.qlYieldTSDiscount($U$35,Y320,,Trigger)</f>
        <v>0.99229108065985383</v>
      </c>
    </row>
    <row r="321" spans="25:26" x14ac:dyDescent="0.25">
      <c r="Y321" s="63">
        <v>42854</v>
      </c>
      <c r="Z321" s="61">
        <f>_xll.qlYieldTSDiscount($U$35,Y321,,Trigger)</f>
        <v>0.99226538575283529</v>
      </c>
    </row>
    <row r="322" spans="25:26" x14ac:dyDescent="0.25">
      <c r="Y322" s="63">
        <v>42855</v>
      </c>
      <c r="Z322" s="61">
        <f>_xll.qlYieldTSDiscount($U$35,Y322,,Trigger)</f>
        <v>0.99223969014833902</v>
      </c>
    </row>
    <row r="323" spans="25:26" x14ac:dyDescent="0.25">
      <c r="Y323" s="63">
        <v>42856</v>
      </c>
      <c r="Z323" s="61">
        <f>_xll.qlYieldTSDiscount($U$35,Y323,,Trigger)</f>
        <v>0.99221399382045072</v>
      </c>
    </row>
    <row r="324" spans="25:26" x14ac:dyDescent="0.25">
      <c r="Y324" s="63">
        <v>42857</v>
      </c>
      <c r="Z324" s="61">
        <f>_xll.qlYieldTSDiscount($U$35,Y324,,Trigger)</f>
        <v>0.99218829674325637</v>
      </c>
    </row>
    <row r="325" spans="25:26" x14ac:dyDescent="0.25">
      <c r="Y325" s="63">
        <v>42858</v>
      </c>
      <c r="Z325" s="61">
        <f>_xll.qlYieldTSDiscount($U$35,Y325,,Trigger)</f>
        <v>0.99216259889084168</v>
      </c>
    </row>
    <row r="326" spans="25:26" x14ac:dyDescent="0.25">
      <c r="Y326" s="63">
        <v>42859</v>
      </c>
      <c r="Z326" s="61">
        <f>_xll.qlYieldTSDiscount($U$35,Y326,,Trigger)</f>
        <v>0.99213690023729273</v>
      </c>
    </row>
    <row r="327" spans="25:26" x14ac:dyDescent="0.25">
      <c r="Y327" s="63">
        <v>42860</v>
      </c>
      <c r="Z327" s="61">
        <f>_xll.qlYieldTSDiscount($U$35,Y327,,Trigger)</f>
        <v>0.99211120075669501</v>
      </c>
    </row>
    <row r="328" spans="25:26" x14ac:dyDescent="0.25">
      <c r="Y328" s="63">
        <v>42861</v>
      </c>
      <c r="Z328" s="61">
        <f>_xll.qlYieldTSDiscount($U$35,Y328,,Trigger)</f>
        <v>0.9920855004231347</v>
      </c>
    </row>
    <row r="329" spans="25:26" x14ac:dyDescent="0.25">
      <c r="Y329" s="63">
        <v>42862</v>
      </c>
      <c r="Z329" s="61">
        <f>_xll.qlYieldTSDiscount($U$35,Y329,,Trigger)</f>
        <v>0.99205979921069742</v>
      </c>
    </row>
    <row r="330" spans="25:26" x14ac:dyDescent="0.25">
      <c r="Y330" s="63">
        <v>42863</v>
      </c>
      <c r="Z330" s="61">
        <f>_xll.qlYieldTSDiscount($U$35,Y330,,Trigger)</f>
        <v>0.99203409709346901</v>
      </c>
    </row>
    <row r="331" spans="25:26" x14ac:dyDescent="0.25">
      <c r="Y331" s="63">
        <v>42864</v>
      </c>
      <c r="Z331" s="61">
        <f>_xll.qlYieldTSDiscount($U$35,Y331,,Trigger)</f>
        <v>0.99200839404553542</v>
      </c>
    </row>
    <row r="332" spans="25:26" x14ac:dyDescent="0.25">
      <c r="Y332" s="63">
        <v>42865</v>
      </c>
      <c r="Z332" s="61">
        <f>_xll.qlYieldTSDiscount($U$35,Y332,,Trigger)</f>
        <v>0.99198269004098238</v>
      </c>
    </row>
    <row r="333" spans="25:26" x14ac:dyDescent="0.25">
      <c r="Y333" s="63">
        <v>42866</v>
      </c>
      <c r="Z333" s="61">
        <f>_xll.qlYieldTSDiscount($U$35,Y333,,Trigger)</f>
        <v>0.99195698505389573</v>
      </c>
    </row>
    <row r="334" spans="25:26" x14ac:dyDescent="0.25">
      <c r="Y334" s="63">
        <v>42867</v>
      </c>
      <c r="Z334" s="61">
        <f>_xll.qlYieldTSDiscount($U$35,Y334,,Trigger)</f>
        <v>0.99193127905836143</v>
      </c>
    </row>
    <row r="335" spans="25:26" x14ac:dyDescent="0.25">
      <c r="Y335" s="63">
        <v>42868</v>
      </c>
      <c r="Z335" s="61">
        <f>_xll.qlYieldTSDiscount($U$35,Y335,,Trigger)</f>
        <v>0.99190557202846519</v>
      </c>
    </row>
    <row r="336" spans="25:26" x14ac:dyDescent="0.25">
      <c r="Y336" s="63">
        <v>42869</v>
      </c>
      <c r="Z336" s="61">
        <f>_xll.qlYieldTSDiscount($U$35,Y336,,Trigger)</f>
        <v>0.99187986393829297</v>
      </c>
    </row>
    <row r="337" spans="25:26" x14ac:dyDescent="0.25">
      <c r="Y337" s="63">
        <v>42870</v>
      </c>
      <c r="Z337" s="61">
        <f>_xll.qlYieldTSDiscount($U$35,Y337,,Trigger)</f>
        <v>0.9918541547619304</v>
      </c>
    </row>
    <row r="338" spans="25:26" x14ac:dyDescent="0.25">
      <c r="Y338" s="63">
        <v>42871</v>
      </c>
      <c r="Z338" s="61">
        <f>_xll.qlYieldTSDiscount($U$35,Y338,,Trigger)</f>
        <v>0.99182844447346352</v>
      </c>
    </row>
    <row r="339" spans="25:26" x14ac:dyDescent="0.25">
      <c r="Y339" s="63">
        <v>42872</v>
      </c>
      <c r="Z339" s="61">
        <f>_xll.qlYieldTSDiscount($U$35,Y339,,Trigger)</f>
        <v>0.99180273304697808</v>
      </c>
    </row>
    <row r="340" spans="25:26" x14ac:dyDescent="0.25">
      <c r="Y340" s="63">
        <v>42873</v>
      </c>
      <c r="Z340" s="61">
        <f>_xll.qlYieldTSDiscount($U$35,Y340,,Trigger)</f>
        <v>0.99177702045655991</v>
      </c>
    </row>
    <row r="341" spans="25:26" x14ac:dyDescent="0.25">
      <c r="Y341" s="63">
        <v>42874</v>
      </c>
      <c r="Z341" s="61">
        <f>_xll.qlYieldTSDiscount($U$35,Y341,,Trigger)</f>
        <v>0.99175130667629485</v>
      </c>
    </row>
    <row r="342" spans="25:26" x14ac:dyDescent="0.25">
      <c r="Y342" s="63">
        <v>42875</v>
      </c>
      <c r="Z342" s="61">
        <f>_xll.qlYieldTSDiscount($U$35,Y342,,Trigger)</f>
        <v>0.99172559168026875</v>
      </c>
    </row>
    <row r="343" spans="25:26" x14ac:dyDescent="0.25">
      <c r="Y343" s="63">
        <v>42876</v>
      </c>
      <c r="Z343" s="61">
        <f>_xll.qlYieldTSDiscount($U$35,Y343,,Trigger)</f>
        <v>0.99169987544256755</v>
      </c>
    </row>
    <row r="344" spans="25:26" x14ac:dyDescent="0.25">
      <c r="Y344" s="63">
        <v>42877</v>
      </c>
      <c r="Z344" s="61">
        <f>_xll.qlYieldTSDiscount($U$35,Y344,,Trigger)</f>
        <v>0.99167415793727687</v>
      </c>
    </row>
    <row r="345" spans="25:26" x14ac:dyDescent="0.25">
      <c r="Y345" s="63">
        <v>42878</v>
      </c>
      <c r="Z345" s="61">
        <f>_xll.qlYieldTSDiscount($U$35,Y345,,Trigger)</f>
        <v>0.99164843913848266</v>
      </c>
    </row>
    <row r="346" spans="25:26" x14ac:dyDescent="0.25">
      <c r="Y346" s="63">
        <v>42879</v>
      </c>
      <c r="Z346" s="61">
        <f>_xll.qlYieldTSDiscount($U$35,Y346,,Trigger)</f>
        <v>0.99162271902027077</v>
      </c>
    </row>
    <row r="347" spans="25:26" x14ac:dyDescent="0.25">
      <c r="Y347" s="63">
        <v>42880</v>
      </c>
      <c r="Z347" s="61">
        <f>_xll.qlYieldTSDiscount($U$35,Y347,,Trigger)</f>
        <v>0.99159699755672703</v>
      </c>
    </row>
    <row r="348" spans="25:26" x14ac:dyDescent="0.25">
      <c r="Y348" s="63">
        <v>42881</v>
      </c>
      <c r="Z348" s="61">
        <f>_xll.qlYieldTSDiscount($U$35,Y348,,Trigger)</f>
        <v>0.99157127472193729</v>
      </c>
    </row>
    <row r="349" spans="25:26" x14ac:dyDescent="0.25">
      <c r="Y349" s="63">
        <v>42882</v>
      </c>
      <c r="Z349" s="61">
        <f>_xll.qlYieldTSDiscount($U$35,Y349,,Trigger)</f>
        <v>0.99154555048998727</v>
      </c>
    </row>
    <row r="350" spans="25:26" x14ac:dyDescent="0.25">
      <c r="Y350" s="63">
        <v>42883</v>
      </c>
      <c r="Z350" s="61">
        <f>_xll.qlYieldTSDiscount($U$35,Y350,,Trigger)</f>
        <v>0.99151982483496304</v>
      </c>
    </row>
    <row r="351" spans="25:26" x14ac:dyDescent="0.25">
      <c r="Y351" s="63">
        <v>42884</v>
      </c>
      <c r="Z351" s="61">
        <f>_xll.qlYieldTSDiscount($U$35,Y351,,Trigger)</f>
        <v>0.99149409773095021</v>
      </c>
    </row>
    <row r="352" spans="25:26" x14ac:dyDescent="0.25">
      <c r="Y352" s="63">
        <v>42885</v>
      </c>
      <c r="Z352" s="61">
        <f>_xll.qlYieldTSDiscount($U$35,Y352,,Trigger)</f>
        <v>0.99146836915203473</v>
      </c>
    </row>
    <row r="353" spans="25:26" x14ac:dyDescent="0.25">
      <c r="Y353" s="63">
        <v>42886</v>
      </c>
      <c r="Z353" s="61">
        <f>_xll.qlYieldTSDiscount($U$35,Y353,,Trigger)</f>
        <v>0.99144263907230235</v>
      </c>
    </row>
    <row r="354" spans="25:26" x14ac:dyDescent="0.25">
      <c r="Y354" s="63">
        <v>42887</v>
      </c>
      <c r="Z354" s="61">
        <f>_xll.qlYieldTSDiscount($U$35,Y354,,Trigger)</f>
        <v>0.99141690746583899</v>
      </c>
    </row>
    <row r="355" spans="25:26" x14ac:dyDescent="0.25">
      <c r="Y355" s="63">
        <v>42888</v>
      </c>
      <c r="Z355" s="61">
        <f>_xll.qlYieldTSDiscount($U$35,Y355,,Trigger)</f>
        <v>0.99139117430673052</v>
      </c>
    </row>
    <row r="356" spans="25:26" x14ac:dyDescent="0.25">
      <c r="Y356" s="63">
        <v>42889</v>
      </c>
      <c r="Z356" s="61">
        <f>_xll.qlYieldTSDiscount($U$35,Y356,,Trigger)</f>
        <v>0.99136543956906265</v>
      </c>
    </row>
    <row r="357" spans="25:26" x14ac:dyDescent="0.25">
      <c r="Y357" s="63">
        <v>42890</v>
      </c>
      <c r="Z357" s="61">
        <f>_xll.qlYieldTSDiscount($U$35,Y357,,Trigger)</f>
        <v>0.99133970322692133</v>
      </c>
    </row>
    <row r="358" spans="25:26" x14ac:dyDescent="0.25">
      <c r="Y358" s="63">
        <v>42891</v>
      </c>
      <c r="Z358" s="61">
        <f>_xll.qlYieldTSDiscount($U$35,Y358,,Trigger)</f>
        <v>0.9913139652543923</v>
      </c>
    </row>
    <row r="359" spans="25:26" x14ac:dyDescent="0.25">
      <c r="Y359" s="63">
        <v>42892</v>
      </c>
      <c r="Z359" s="61">
        <f>_xll.qlYieldTSDiscount($U$35,Y359,,Trigger)</f>
        <v>0.99128822562556151</v>
      </c>
    </row>
    <row r="360" spans="25:26" x14ac:dyDescent="0.25">
      <c r="Y360" s="63">
        <v>42893</v>
      </c>
      <c r="Z360" s="61">
        <f>_xll.qlYieldTSDiscount($U$35,Y360,,Trigger)</f>
        <v>0.99126248431451469</v>
      </c>
    </row>
    <row r="361" spans="25:26" x14ac:dyDescent="0.25">
      <c r="Y361" s="63">
        <v>42894</v>
      </c>
      <c r="Z361" s="61">
        <f>_xll.qlYieldTSDiscount($U$35,Y361,,Trigger)</f>
        <v>0.99123674129533779</v>
      </c>
    </row>
    <row r="362" spans="25:26" x14ac:dyDescent="0.25">
      <c r="Y362" s="63">
        <v>42895</v>
      </c>
      <c r="Z362" s="61">
        <f>_xll.qlYieldTSDiscount($U$35,Y362,,Trigger)</f>
        <v>0.99121099654211653</v>
      </c>
    </row>
    <row r="363" spans="25:26" x14ac:dyDescent="0.25">
      <c r="Y363" s="63">
        <v>42896</v>
      </c>
      <c r="Z363" s="61">
        <f>_xll.qlYieldTSDiscount($U$35,Y363,,Trigger)</f>
        <v>0.99118525002893676</v>
      </c>
    </row>
    <row r="364" spans="25:26" x14ac:dyDescent="0.25">
      <c r="Y364" s="63">
        <v>42897</v>
      </c>
      <c r="Z364" s="61">
        <f>_xll.qlYieldTSDiscount($U$35,Y364,,Trigger)</f>
        <v>0.99115950172988443</v>
      </c>
    </row>
    <row r="365" spans="25:26" x14ac:dyDescent="0.25">
      <c r="Y365" s="63">
        <v>42898</v>
      </c>
      <c r="Z365" s="61">
        <f>_xll.qlYieldTSDiscount($U$35,Y365,,Trigger)</f>
        <v>0.99113375161904527</v>
      </c>
    </row>
    <row r="366" spans="25:26" x14ac:dyDescent="0.25">
      <c r="Y366" s="63">
        <v>42899</v>
      </c>
      <c r="Z366" s="61">
        <f>_xll.qlYieldTSDiscount($U$35,Y366,,Trigger)</f>
        <v>0.99110799967050511</v>
      </c>
    </row>
    <row r="367" spans="25:26" x14ac:dyDescent="0.25">
      <c r="Y367" s="63">
        <v>42900</v>
      </c>
      <c r="Z367" s="61">
        <f>_xll.qlYieldTSDiscount($U$35,Y367,,Trigger)</f>
        <v>0.99108224585834981</v>
      </c>
    </row>
    <row r="368" spans="25:26" x14ac:dyDescent="0.25">
      <c r="Y368" s="63">
        <v>42901</v>
      </c>
      <c r="Z368" s="61">
        <f>_xll.qlYieldTSDiscount($U$35,Y368,,Trigger)</f>
        <v>0.9910564901566653</v>
      </c>
    </row>
    <row r="369" spans="25:26" x14ac:dyDescent="0.25">
      <c r="Y369" s="63">
        <v>42902</v>
      </c>
      <c r="Z369" s="61">
        <f>_xll.qlYieldTSDiscount($U$35,Y369,,Trigger)</f>
        <v>0.99103073253953722</v>
      </c>
    </row>
    <row r="370" spans="25:26" x14ac:dyDescent="0.25">
      <c r="Y370" s="63">
        <v>42903</v>
      </c>
      <c r="Z370" s="61">
        <f>_xll.qlYieldTSDiscount($U$35,Y370,,Trigger)</f>
        <v>0.99100497298105161</v>
      </c>
    </row>
    <row r="371" spans="25:26" x14ac:dyDescent="0.25">
      <c r="Y371" s="63">
        <v>42904</v>
      </c>
      <c r="Z371" s="61">
        <f>_xll.qlYieldTSDiscount($U$35,Y371,,Trigger)</f>
        <v>0.99097921145529411</v>
      </c>
    </row>
    <row r="372" spans="25:26" x14ac:dyDescent="0.25">
      <c r="Y372" s="63">
        <v>42905</v>
      </c>
      <c r="Z372" s="61">
        <f>_xll.qlYieldTSDiscount($U$35,Y372,,Trigger)</f>
        <v>0.99095344793635076</v>
      </c>
    </row>
    <row r="373" spans="25:26" x14ac:dyDescent="0.25">
      <c r="Y373" s="63">
        <v>42906</v>
      </c>
      <c r="Z373" s="61">
        <f>_xll.qlYieldTSDiscount($U$35,Y373,,Trigger)</f>
        <v>0.99092768239830731</v>
      </c>
    </row>
    <row r="374" spans="25:26" x14ac:dyDescent="0.25">
      <c r="Y374" s="63">
        <v>42907</v>
      </c>
      <c r="Z374" s="61">
        <f>_xll.qlYieldTSDiscount($U$35,Y374,,Trigger)</f>
        <v>0.99090191481524947</v>
      </c>
    </row>
    <row r="375" spans="25:26" x14ac:dyDescent="0.25">
      <c r="Y375" s="63">
        <v>42908</v>
      </c>
      <c r="Z375" s="61">
        <f>_xll.qlYieldTSDiscount($U$35,Y375,,Trigger)</f>
        <v>0.99087614516126332</v>
      </c>
    </row>
    <row r="376" spans="25:26" x14ac:dyDescent="0.25">
      <c r="Y376" s="63">
        <v>42909</v>
      </c>
      <c r="Z376" s="61">
        <f>_xll.qlYieldTSDiscount($U$35,Y376,,Trigger)</f>
        <v>0.99085037341043447</v>
      </c>
    </row>
    <row r="377" spans="25:26" x14ac:dyDescent="0.25">
      <c r="Y377" s="63">
        <v>42910</v>
      </c>
      <c r="Z377" s="61">
        <f>_xll.qlYieldTSDiscount($U$35,Y377,,Trigger)</f>
        <v>0.99082459953684887</v>
      </c>
    </row>
    <row r="378" spans="25:26" x14ac:dyDescent="0.25">
      <c r="Y378" s="63">
        <v>42911</v>
      </c>
      <c r="Z378" s="61">
        <f>_xll.qlYieldTSDiscount($U$35,Y378,,Trigger)</f>
        <v>0.99079882351459247</v>
      </c>
    </row>
    <row r="379" spans="25:26" x14ac:dyDescent="0.25">
      <c r="Y379" s="63">
        <v>42912</v>
      </c>
      <c r="Z379" s="61">
        <f>_xll.qlYieldTSDiscount($U$35,Y379,,Trigger)</f>
        <v>0.99077304531775079</v>
      </c>
    </row>
    <row r="380" spans="25:26" x14ac:dyDescent="0.25">
      <c r="Y380" s="63">
        <v>42913</v>
      </c>
      <c r="Z380" s="61">
        <f>_xll.qlYieldTSDiscount($U$35,Y380,,Trigger)</f>
        <v>0.99074726492040999</v>
      </c>
    </row>
    <row r="381" spans="25:26" x14ac:dyDescent="0.25">
      <c r="Y381" s="63">
        <v>42914</v>
      </c>
      <c r="Z381" s="61">
        <f>_xll.qlYieldTSDiscount($U$35,Y381,,Trigger)</f>
        <v>0.99072148229665569</v>
      </c>
    </row>
    <row r="382" spans="25:26" x14ac:dyDescent="0.25">
      <c r="Y382" s="63">
        <v>42915</v>
      </c>
      <c r="Z382" s="61">
        <f>_xll.qlYieldTSDiscount($U$35,Y382,,Trigger)</f>
        <v>0.99069569742057384</v>
      </c>
    </row>
    <row r="383" spans="25:26" x14ac:dyDescent="0.25">
      <c r="Y383" s="63">
        <v>42916</v>
      </c>
      <c r="Z383" s="61">
        <f>_xll.qlYieldTSDiscount($U$35,Y383,,Trigger)</f>
        <v>0.99066991026625029</v>
      </c>
    </row>
    <row r="384" spans="25:26" x14ac:dyDescent="0.25">
      <c r="Y384" s="63">
        <v>42917</v>
      </c>
      <c r="Z384" s="61">
        <f>_xll.qlYieldTSDiscount($U$35,Y384,,Trigger)</f>
        <v>0.99064412080777076</v>
      </c>
    </row>
    <row r="385" spans="25:26" x14ac:dyDescent="0.25">
      <c r="Y385" s="63">
        <v>42918</v>
      </c>
      <c r="Z385" s="61">
        <f>_xll.qlYieldTSDiscount($U$35,Y385,,Trigger)</f>
        <v>0.9906183290192212</v>
      </c>
    </row>
    <row r="386" spans="25:26" x14ac:dyDescent="0.25">
      <c r="Y386" s="63">
        <v>42919</v>
      </c>
      <c r="Z386" s="61">
        <f>_xll.qlYieldTSDiscount($U$35,Y386,,Trigger)</f>
        <v>0.99059253487468735</v>
      </c>
    </row>
    <row r="387" spans="25:26" x14ac:dyDescent="0.25">
      <c r="Y387" s="63">
        <v>42920</v>
      </c>
      <c r="Z387" s="61">
        <f>_xll.qlYieldTSDiscount($U$35,Y387,,Trigger)</f>
        <v>0.99056673834825515</v>
      </c>
    </row>
    <row r="388" spans="25:26" x14ac:dyDescent="0.25">
      <c r="Y388" s="63">
        <v>42921</v>
      </c>
      <c r="Z388" s="61">
        <f>_xll.qlYieldTSDiscount($U$35,Y388,,Trigger)</f>
        <v>0.99054093941401034</v>
      </c>
    </row>
    <row r="389" spans="25:26" x14ac:dyDescent="0.25">
      <c r="Y389" s="63">
        <v>42922</v>
      </c>
      <c r="Z389" s="61">
        <f>_xll.qlYieldTSDiscount($U$35,Y389,,Trigger)</f>
        <v>0.99051513804603875</v>
      </c>
    </row>
    <row r="390" spans="25:26" x14ac:dyDescent="0.25">
      <c r="Y390" s="63">
        <v>42923</v>
      </c>
      <c r="Z390" s="61">
        <f>_xll.qlYieldTSDiscount($U$35,Y390,,Trigger)</f>
        <v>0.99048933421842633</v>
      </c>
    </row>
    <row r="391" spans="25:26" x14ac:dyDescent="0.25">
      <c r="Y391" s="63">
        <v>42924</v>
      </c>
      <c r="Z391" s="61">
        <f>_xll.qlYieldTSDiscount($U$35,Y391,,Trigger)</f>
        <v>0.99046352790525893</v>
      </c>
    </row>
    <row r="392" spans="25:26" x14ac:dyDescent="0.25">
      <c r="Y392" s="63">
        <v>42925</v>
      </c>
      <c r="Z392" s="61">
        <f>_xll.qlYieldTSDiscount($U$35,Y392,,Trigger)</f>
        <v>0.99043771908062228</v>
      </c>
    </row>
    <row r="393" spans="25:26" x14ac:dyDescent="0.25">
      <c r="Y393" s="63">
        <v>42926</v>
      </c>
      <c r="Z393" s="61">
        <f>_xll.qlYieldTSDiscount($U$35,Y393,,Trigger)</f>
        <v>0.99041190771860221</v>
      </c>
    </row>
    <row r="394" spans="25:26" x14ac:dyDescent="0.25">
      <c r="Y394" s="63">
        <v>42927</v>
      </c>
      <c r="Z394" s="61">
        <f>_xll.qlYieldTSDiscount($U$35,Y394,,Trigger)</f>
        <v>0.99038609379328457</v>
      </c>
    </row>
    <row r="395" spans="25:26" x14ac:dyDescent="0.25">
      <c r="Y395" s="63">
        <v>42928</v>
      </c>
      <c r="Z395" s="61">
        <f>_xll.qlYieldTSDiscount($U$35,Y395,,Trigger)</f>
        <v>0.9903602772787552</v>
      </c>
    </row>
    <row r="396" spans="25:26" x14ac:dyDescent="0.25">
      <c r="Y396" s="63">
        <v>42929</v>
      </c>
      <c r="Z396" s="61">
        <f>_xll.qlYieldTSDiscount($U$35,Y396,,Trigger)</f>
        <v>0.99033445814910004</v>
      </c>
    </row>
    <row r="397" spans="25:26" x14ac:dyDescent="0.25">
      <c r="Y397" s="63">
        <v>42930</v>
      </c>
      <c r="Z397" s="61">
        <f>_xll.qlYieldTSDiscount($U$35,Y397,,Trigger)</f>
        <v>0.99030863638118694</v>
      </c>
    </row>
    <row r="398" spans="25:26" x14ac:dyDescent="0.25">
      <c r="Y398" s="63">
        <v>42931</v>
      </c>
      <c r="Z398" s="61">
        <f>_xll.qlYieldTSDiscount($U$35,Y398,,Trigger)</f>
        <v>0.99028281196301216</v>
      </c>
    </row>
    <row r="399" spans="25:26" x14ac:dyDescent="0.25">
      <c r="Y399" s="63">
        <v>42932</v>
      </c>
      <c r="Z399" s="61">
        <f>_xll.qlYieldTSDiscount($U$35,Y399,,Trigger)</f>
        <v>0.9902569848853543</v>
      </c>
    </row>
    <row r="400" spans="25:26" x14ac:dyDescent="0.25">
      <c r="Y400" s="63">
        <v>42933</v>
      </c>
      <c r="Z400" s="61">
        <f>_xll.qlYieldTSDiscount($U$35,Y400,,Trigger)</f>
        <v>0.99023115513899174</v>
      </c>
    </row>
    <row r="401" spans="25:26" x14ac:dyDescent="0.25">
      <c r="Y401" s="63">
        <v>42934</v>
      </c>
      <c r="Z401" s="61">
        <f>_xll.qlYieldTSDiscount($U$35,Y401,,Trigger)</f>
        <v>0.99020532271470296</v>
      </c>
    </row>
    <row r="402" spans="25:26" x14ac:dyDescent="0.25">
      <c r="Y402" s="63">
        <v>42935</v>
      </c>
      <c r="Z402" s="61">
        <f>_xll.qlYieldTSDiscount($U$35,Y402,,Trigger)</f>
        <v>0.99017948760326635</v>
      </c>
    </row>
    <row r="403" spans="25:26" x14ac:dyDescent="0.25">
      <c r="Y403" s="63">
        <v>42936</v>
      </c>
      <c r="Z403" s="61">
        <f>_xll.qlYieldTSDiscount($U$35,Y403,,Trigger)</f>
        <v>0.99015364979546039</v>
      </c>
    </row>
    <row r="404" spans="25:26" x14ac:dyDescent="0.25">
      <c r="Y404" s="63">
        <v>42937</v>
      </c>
      <c r="Z404" s="61">
        <f>_xll.qlYieldTSDiscount($U$35,Y404,,Trigger)</f>
        <v>0.99012780928206356</v>
      </c>
    </row>
    <row r="405" spans="25:26" x14ac:dyDescent="0.25">
      <c r="Y405" s="63">
        <v>42938</v>
      </c>
      <c r="Z405" s="61">
        <f>_xll.qlYieldTSDiscount($U$35,Y405,,Trigger)</f>
        <v>0.99010196605385425</v>
      </c>
    </row>
    <row r="406" spans="25:26" x14ac:dyDescent="0.25">
      <c r="Y406" s="63">
        <v>42939</v>
      </c>
      <c r="Z406" s="61">
        <f>_xll.qlYieldTSDiscount($U$35,Y406,,Trigger)</f>
        <v>0.99007612010161095</v>
      </c>
    </row>
    <row r="407" spans="25:26" x14ac:dyDescent="0.25">
      <c r="Y407" s="63">
        <v>42940</v>
      </c>
      <c r="Z407" s="61">
        <f>_xll.qlYieldTSDiscount($U$35,Y407,,Trigger)</f>
        <v>0.99005027141611202</v>
      </c>
    </row>
    <row r="408" spans="25:26" x14ac:dyDescent="0.25">
      <c r="Y408" s="63">
        <v>42941</v>
      </c>
      <c r="Z408" s="61">
        <f>_xll.qlYieldTSDiscount($U$35,Y408,,Trigger)</f>
        <v>0.99002441998813606</v>
      </c>
    </row>
    <row r="409" spans="25:26" x14ac:dyDescent="0.25">
      <c r="Y409" s="63">
        <v>42942</v>
      </c>
      <c r="Z409" s="61">
        <f>_xll.qlYieldTSDiscount($U$35,Y409,,Trigger)</f>
        <v>0.98999856580846135</v>
      </c>
    </row>
    <row r="410" spans="25:26" x14ac:dyDescent="0.25">
      <c r="Y410" s="63">
        <v>42943</v>
      </c>
      <c r="Z410" s="61">
        <f>_xll.qlYieldTSDiscount($U$35,Y410,,Trigger)</f>
        <v>0.98997270886786648</v>
      </c>
    </row>
    <row r="411" spans="25:26" x14ac:dyDescent="0.25">
      <c r="Y411" s="63">
        <v>42944</v>
      </c>
      <c r="Z411" s="61">
        <f>_xll.qlYieldTSDiscount($U$35,Y411,,Trigger)</f>
        <v>0.98994684915712983</v>
      </c>
    </row>
    <row r="412" spans="25:26" x14ac:dyDescent="0.25">
      <c r="Y412" s="63">
        <v>42945</v>
      </c>
      <c r="Z412" s="61">
        <f>_xll.qlYieldTSDiscount($U$35,Y412,,Trigger)</f>
        <v>0.98992098666702988</v>
      </c>
    </row>
    <row r="413" spans="25:26" x14ac:dyDescent="0.25">
      <c r="Y413" s="63">
        <v>42946</v>
      </c>
      <c r="Z413" s="61">
        <f>_xll.qlYieldTSDiscount($U$35,Y413,,Trigger)</f>
        <v>0.98989512138834501</v>
      </c>
    </row>
    <row r="414" spans="25:26" x14ac:dyDescent="0.25">
      <c r="Y414" s="63">
        <v>42947</v>
      </c>
      <c r="Z414" s="61">
        <f>_xll.qlYieldTSDiscount($U$35,Y414,,Trigger)</f>
        <v>0.98986925331185371</v>
      </c>
    </row>
    <row r="415" spans="25:26" x14ac:dyDescent="0.25">
      <c r="Y415" s="63">
        <v>42948</v>
      </c>
      <c r="Z415" s="61">
        <f>_xll.qlYieldTSDiscount($U$35,Y415,,Trigger)</f>
        <v>0.98984338242833447</v>
      </c>
    </row>
    <row r="416" spans="25:26" x14ac:dyDescent="0.25">
      <c r="Y416" s="63">
        <v>42949</v>
      </c>
      <c r="Z416" s="61">
        <f>_xll.qlYieldTSDiscount($U$35,Y416,,Trigger)</f>
        <v>0.98981750872856566</v>
      </c>
    </row>
    <row r="417" spans="25:26" x14ac:dyDescent="0.25">
      <c r="Y417" s="63">
        <v>42950</v>
      </c>
      <c r="Z417" s="61">
        <f>_xll.qlYieldTSDiscount($U$35,Y417,,Trigger)</f>
        <v>0.98979163220332578</v>
      </c>
    </row>
    <row r="418" spans="25:26" x14ac:dyDescent="0.25">
      <c r="Y418" s="63">
        <v>42951</v>
      </c>
      <c r="Z418" s="61">
        <f>_xll.qlYieldTSDiscount($U$35,Y418,,Trigger)</f>
        <v>0.9897657528433933</v>
      </c>
    </row>
    <row r="419" spans="25:26" x14ac:dyDescent="0.25">
      <c r="Y419" s="63">
        <v>42952</v>
      </c>
      <c r="Z419" s="61">
        <f>_xll.qlYieldTSDiscount($U$35,Y419,,Trigger)</f>
        <v>0.98973987063954649</v>
      </c>
    </row>
    <row r="420" spans="25:26" x14ac:dyDescent="0.25">
      <c r="Y420" s="63">
        <v>42953</v>
      </c>
      <c r="Z420" s="61">
        <f>_xll.qlYieldTSDiscount($U$35,Y420,,Trigger)</f>
        <v>0.98971398558256407</v>
      </c>
    </row>
    <row r="421" spans="25:26" x14ac:dyDescent="0.25">
      <c r="Y421" s="63">
        <v>42954</v>
      </c>
      <c r="Z421" s="61">
        <f>_xll.qlYieldTSDiscount($U$35,Y421,,Trigger)</f>
        <v>0.9896880976632243</v>
      </c>
    </row>
    <row r="422" spans="25:26" x14ac:dyDescent="0.25">
      <c r="Y422" s="63">
        <v>42955</v>
      </c>
      <c r="Z422" s="61">
        <f>_xll.qlYieldTSDiscount($U$35,Y422,,Trigger)</f>
        <v>0.98966220687230566</v>
      </c>
    </row>
    <row r="423" spans="25:26" x14ac:dyDescent="0.25">
      <c r="Y423" s="63">
        <v>42956</v>
      </c>
      <c r="Z423" s="61">
        <f>_xll.qlYieldTSDiscount($U$35,Y423,,Trigger)</f>
        <v>0.98963631320058665</v>
      </c>
    </row>
    <row r="424" spans="25:26" x14ac:dyDescent="0.25">
      <c r="Y424" s="63">
        <v>42957</v>
      </c>
      <c r="Z424" s="61">
        <f>_xll.qlYieldTSDiscount($U$35,Y424,,Trigger)</f>
        <v>0.98961041663884575</v>
      </c>
    </row>
    <row r="425" spans="25:26" x14ac:dyDescent="0.25">
      <c r="Y425" s="63">
        <v>42958</v>
      </c>
      <c r="Z425" s="61">
        <f>_xll.qlYieldTSDiscount($U$35,Y425,,Trigger)</f>
        <v>0.98958451717786122</v>
      </c>
    </row>
    <row r="426" spans="25:26" x14ac:dyDescent="0.25">
      <c r="Y426" s="63">
        <v>42959</v>
      </c>
      <c r="Z426" s="61">
        <f>_xll.qlYieldTSDiscount($U$35,Y426,,Trigger)</f>
        <v>0.98955861480841179</v>
      </c>
    </row>
    <row r="427" spans="25:26" x14ac:dyDescent="0.25">
      <c r="Y427" s="63">
        <v>42960</v>
      </c>
      <c r="Z427" s="61">
        <f>_xll.qlYieldTSDiscount($U$35,Y427,,Trigger)</f>
        <v>0.98953270952127559</v>
      </c>
    </row>
    <row r="428" spans="25:26" x14ac:dyDescent="0.25">
      <c r="Y428" s="63">
        <v>42961</v>
      </c>
      <c r="Z428" s="61">
        <f>_xll.qlYieldTSDiscount($U$35,Y428,,Trigger)</f>
        <v>0.98950680130723134</v>
      </c>
    </row>
    <row r="429" spans="25:26" x14ac:dyDescent="0.25">
      <c r="Y429" s="63">
        <v>42962</v>
      </c>
      <c r="Z429" s="61">
        <f>_xll.qlYieldTSDiscount($U$35,Y429,,Trigger)</f>
        <v>0.98948089015705731</v>
      </c>
    </row>
    <row r="430" spans="25:26" x14ac:dyDescent="0.25">
      <c r="Y430" s="63">
        <v>42963</v>
      </c>
      <c r="Z430" s="61">
        <f>_xll.qlYieldTSDiscount($U$35,Y430,,Trigger)</f>
        <v>0.98945497606153199</v>
      </c>
    </row>
    <row r="431" spans="25:26" x14ac:dyDescent="0.25">
      <c r="Y431" s="63">
        <v>42964</v>
      </c>
      <c r="Z431" s="61">
        <f>_xll.qlYieldTSDiscount($U$35,Y431,,Trigger)</f>
        <v>0.98942905901143385</v>
      </c>
    </row>
    <row r="432" spans="25:26" x14ac:dyDescent="0.25">
      <c r="Y432" s="63">
        <v>42965</v>
      </c>
      <c r="Z432" s="61">
        <f>_xll.qlYieldTSDiscount($U$35,Y432,,Trigger)</f>
        <v>0.9894031389975414</v>
      </c>
    </row>
    <row r="433" spans="25:26" x14ac:dyDescent="0.25">
      <c r="Y433" s="63">
        <v>42966</v>
      </c>
      <c r="Z433" s="61">
        <f>_xll.qlYieldTSDiscount($U$35,Y433,,Trigger)</f>
        <v>0.989377216010633</v>
      </c>
    </row>
    <row r="434" spans="25:26" x14ac:dyDescent="0.25">
      <c r="Y434" s="63">
        <v>42967</v>
      </c>
      <c r="Z434" s="61">
        <f>_xll.qlYieldTSDiscount($U$35,Y434,,Trigger)</f>
        <v>0.98935129004148714</v>
      </c>
    </row>
    <row r="435" spans="25:26" x14ac:dyDescent="0.25">
      <c r="Y435" s="63">
        <v>42968</v>
      </c>
      <c r="Z435" s="61">
        <f>_xll.qlYieldTSDiscount($U$35,Y435,,Trigger)</f>
        <v>0.9893253610808822</v>
      </c>
    </row>
    <row r="436" spans="25:26" x14ac:dyDescent="0.25">
      <c r="Y436" s="63">
        <v>42969</v>
      </c>
      <c r="Z436" s="61">
        <f>_xll.qlYieldTSDiscount($U$35,Y436,,Trigger)</f>
        <v>0.98929942911959667</v>
      </c>
    </row>
    <row r="437" spans="25:26" x14ac:dyDescent="0.25">
      <c r="Y437" s="63">
        <v>42970</v>
      </c>
      <c r="Z437" s="61">
        <f>_xll.qlYieldTSDiscount($U$35,Y437,,Trigger)</f>
        <v>0.98927349414840904</v>
      </c>
    </row>
    <row r="438" spans="25:26" x14ac:dyDescent="0.25">
      <c r="Y438" s="63">
        <v>42971</v>
      </c>
      <c r="Z438" s="61">
        <f>_xll.qlYieldTSDiscount($U$35,Y438,,Trigger)</f>
        <v>0.98924755615809767</v>
      </c>
    </row>
    <row r="439" spans="25:26" x14ac:dyDescent="0.25">
      <c r="Y439" s="63">
        <v>42972</v>
      </c>
      <c r="Z439" s="61">
        <f>_xll.qlYieldTSDiscount($U$35,Y439,,Trigger)</f>
        <v>0.98922161513944107</v>
      </c>
    </row>
    <row r="440" spans="25:26" x14ac:dyDescent="0.25">
      <c r="Y440" s="63">
        <v>42973</v>
      </c>
      <c r="Z440" s="61">
        <f>_xll.qlYieldTSDiscount($U$35,Y440,,Trigger)</f>
        <v>0.98919567108321771</v>
      </c>
    </row>
    <row r="441" spans="25:26" x14ac:dyDescent="0.25">
      <c r="Y441" s="63">
        <v>42974</v>
      </c>
      <c r="Z441" s="61">
        <f>_xll.qlYieldTSDiscount($U$35,Y441,,Trigger)</f>
        <v>0.98916972398020597</v>
      </c>
    </row>
    <row r="442" spans="25:26" x14ac:dyDescent="0.25">
      <c r="Y442" s="63">
        <v>42975</v>
      </c>
      <c r="Z442" s="61">
        <f>_xll.qlYieldTSDiscount($U$35,Y442,,Trigger)</f>
        <v>0.98914377382118446</v>
      </c>
    </row>
    <row r="443" spans="25:26" x14ac:dyDescent="0.25">
      <c r="Y443" s="63">
        <v>42976</v>
      </c>
      <c r="Z443" s="61">
        <f>_xll.qlYieldTSDiscount($U$35,Y443,,Trigger)</f>
        <v>0.98911782059693132</v>
      </c>
    </row>
    <row r="444" spans="25:26" x14ac:dyDescent="0.25">
      <c r="Y444" s="63">
        <v>42977</v>
      </c>
      <c r="Z444" s="61">
        <f>_xll.qlYieldTSDiscount($U$35,Y444,,Trigger)</f>
        <v>0.98909186429822527</v>
      </c>
    </row>
    <row r="445" spans="25:26" x14ac:dyDescent="0.25">
      <c r="Y445" s="63">
        <v>42978</v>
      </c>
      <c r="Z445" s="61">
        <f>_xll.qlYieldTSDiscount($U$35,Y445,,Trigger)</f>
        <v>0.98906590491584467</v>
      </c>
    </row>
    <row r="446" spans="25:26" x14ac:dyDescent="0.25">
      <c r="Y446" s="63">
        <v>42979</v>
      </c>
      <c r="Z446" s="61">
        <f>_xll.qlYieldTSDiscount($U$35,Y446,,Trigger)</f>
        <v>0.98903994244056792</v>
      </c>
    </row>
    <row r="447" spans="25:26" x14ac:dyDescent="0.25">
      <c r="Y447" s="63">
        <v>42980</v>
      </c>
      <c r="Z447" s="61">
        <f>_xll.qlYieldTSDiscount($U$35,Y447,,Trigger)</f>
        <v>0.98901397686317349</v>
      </c>
    </row>
    <row r="448" spans="25:26" x14ac:dyDescent="0.25">
      <c r="Y448" s="63">
        <v>42981</v>
      </c>
      <c r="Z448" s="61">
        <f>_xll.qlYieldTSDiscount($U$35,Y448,,Trigger)</f>
        <v>0.98898800817443988</v>
      </c>
    </row>
    <row r="449" spans="25:26" x14ac:dyDescent="0.25">
      <c r="Y449" s="63">
        <v>42982</v>
      </c>
      <c r="Z449" s="61">
        <f>_xll.qlYieldTSDiscount($U$35,Y449,,Trigger)</f>
        <v>0.98896203636514557</v>
      </c>
    </row>
    <row r="450" spans="25:26" x14ac:dyDescent="0.25">
      <c r="Y450" s="63">
        <v>42983</v>
      </c>
      <c r="Z450" s="61">
        <f>_xll.qlYieldTSDiscount($U$35,Y450,,Trigger)</f>
        <v>0.98893606142606882</v>
      </c>
    </row>
    <row r="451" spans="25:26" x14ac:dyDescent="0.25">
      <c r="Y451" s="63">
        <v>42984</v>
      </c>
      <c r="Z451" s="61">
        <f>_xll.qlYieldTSDiscount($U$35,Y451,,Trigger)</f>
        <v>0.98891008334798824</v>
      </c>
    </row>
    <row r="452" spans="25:26" x14ac:dyDescent="0.25">
      <c r="Y452" s="63">
        <v>42985</v>
      </c>
      <c r="Z452" s="61">
        <f>_xll.qlYieldTSDiscount($U$35,Y452,,Trigger)</f>
        <v>0.98888410212168221</v>
      </c>
    </row>
    <row r="453" spans="25:26" x14ac:dyDescent="0.25">
      <c r="Y453" s="63">
        <v>42986</v>
      </c>
      <c r="Z453" s="61">
        <f>_xll.qlYieldTSDiscount($U$35,Y453,,Trigger)</f>
        <v>0.98885811773792931</v>
      </c>
    </row>
    <row r="454" spans="25:26" x14ac:dyDescent="0.25">
      <c r="Y454" s="63">
        <v>42987</v>
      </c>
      <c r="Z454" s="61">
        <f>_xll.qlYieldTSDiscount($U$35,Y454,,Trigger)</f>
        <v>0.98883213018750782</v>
      </c>
    </row>
    <row r="455" spans="25:26" x14ac:dyDescent="0.25">
      <c r="Y455" s="63">
        <v>42988</v>
      </c>
      <c r="Z455" s="61">
        <f>_xll.qlYieldTSDiscount($U$35,Y455,,Trigger)</f>
        <v>0.98880613946119622</v>
      </c>
    </row>
    <row r="456" spans="25:26" x14ac:dyDescent="0.25">
      <c r="Y456" s="63">
        <v>42989</v>
      </c>
      <c r="Z456" s="61">
        <f>_xll.qlYieldTSDiscount($U$35,Y456,,Trigger)</f>
        <v>0.988780145549773</v>
      </c>
    </row>
    <row r="457" spans="25:26" x14ac:dyDescent="0.25">
      <c r="Y457" s="63">
        <v>42990</v>
      </c>
      <c r="Z457" s="61">
        <f>_xll.qlYieldTSDiscount($U$35,Y457,,Trigger)</f>
        <v>0.98875414844401655</v>
      </c>
    </row>
    <row r="458" spans="25:26" x14ac:dyDescent="0.25">
      <c r="Y458" s="63">
        <v>42991</v>
      </c>
      <c r="Z458" s="61">
        <f>_xll.qlYieldTSDiscount($U$35,Y458,,Trigger)</f>
        <v>0.98872814813470544</v>
      </c>
    </row>
    <row r="459" spans="25:26" x14ac:dyDescent="0.25">
      <c r="Y459" s="63">
        <v>42992</v>
      </c>
      <c r="Z459" s="61">
        <f>_xll.qlYieldTSDiscount($U$35,Y459,,Trigger)</f>
        <v>0.98870214461261807</v>
      </c>
    </row>
    <row r="460" spans="25:26" x14ac:dyDescent="0.25">
      <c r="Y460" s="63">
        <v>42993</v>
      </c>
      <c r="Z460" s="61">
        <f>_xll.qlYieldTSDiscount($U$35,Y460,,Trigger)</f>
        <v>0.9886761378685327</v>
      </c>
    </row>
    <row r="461" spans="25:26" x14ac:dyDescent="0.25">
      <c r="Y461" s="63">
        <v>42994</v>
      </c>
      <c r="Z461" s="61">
        <f>_xll.qlYieldTSDiscount($U$35,Y461,,Trigger)</f>
        <v>0.98865012789322804</v>
      </c>
    </row>
    <row r="462" spans="25:26" x14ac:dyDescent="0.25">
      <c r="Y462" s="63">
        <v>42995</v>
      </c>
      <c r="Z462" s="61">
        <f>_xll.qlYieldTSDiscount($U$35,Y462,,Trigger)</f>
        <v>0.98862411467748246</v>
      </c>
    </row>
    <row r="463" spans="25:26" x14ac:dyDescent="0.25">
      <c r="Y463" s="63">
        <v>42996</v>
      </c>
      <c r="Z463" s="61">
        <f>_xll.qlYieldTSDiscount($U$35,Y463,,Trigger)</f>
        <v>0.98859809821207434</v>
      </c>
    </row>
    <row r="464" spans="25:26" x14ac:dyDescent="0.25">
      <c r="Y464" s="63">
        <v>42997</v>
      </c>
      <c r="Z464" s="61">
        <f>_xll.qlYieldTSDiscount($U$35,Y464,,Trigger)</f>
        <v>0.98857207848778217</v>
      </c>
    </row>
    <row r="465" spans="25:26" x14ac:dyDescent="0.25">
      <c r="Y465" s="63">
        <v>42998</v>
      </c>
      <c r="Z465" s="61">
        <f>_xll.qlYieldTSDiscount($U$35,Y465,,Trigger)</f>
        <v>0.98854605549538432</v>
      </c>
    </row>
    <row r="466" spans="25:26" x14ac:dyDescent="0.25">
      <c r="Y466" s="63">
        <v>42999</v>
      </c>
      <c r="Z466" s="61">
        <f>_xll.qlYieldTSDiscount($U$35,Y466,,Trigger)</f>
        <v>0.9885200292256594</v>
      </c>
    </row>
    <row r="467" spans="25:26" x14ac:dyDescent="0.25">
      <c r="Y467" s="63">
        <v>43000</v>
      </c>
      <c r="Z467" s="61">
        <f>_xll.qlYieldTSDiscount($U$35,Y467,,Trigger)</f>
        <v>0.98849399966938578</v>
      </c>
    </row>
    <row r="468" spans="25:26" x14ac:dyDescent="0.25">
      <c r="Y468" s="63">
        <v>43001</v>
      </c>
      <c r="Z468" s="61">
        <f>_xll.qlYieldTSDiscount($U$35,Y468,,Trigger)</f>
        <v>0.98846796681734184</v>
      </c>
    </row>
    <row r="469" spans="25:26" x14ac:dyDescent="0.25">
      <c r="Y469" s="63">
        <v>43002</v>
      </c>
      <c r="Z469" s="61">
        <f>_xll.qlYieldTSDiscount($U$35,Y469,,Trigger)</f>
        <v>0.98844193066030606</v>
      </c>
    </row>
    <row r="470" spans="25:26" x14ac:dyDescent="0.25">
      <c r="Y470" s="63">
        <v>43003</v>
      </c>
      <c r="Z470" s="61">
        <f>_xll.qlYieldTSDiscount($U$35,Y470,,Trigger)</f>
        <v>0.98841589118905704</v>
      </c>
    </row>
    <row r="471" spans="25:26" x14ac:dyDescent="0.25">
      <c r="Y471" s="63">
        <v>43004</v>
      </c>
      <c r="Z471" s="61">
        <f>_xll.qlYieldTSDiscount($U$35,Y471,,Trigger)</f>
        <v>0.98838984839437294</v>
      </c>
    </row>
    <row r="472" spans="25:26" x14ac:dyDescent="0.25">
      <c r="Y472" s="63">
        <v>43005</v>
      </c>
      <c r="Z472" s="61">
        <f>_xll.qlYieldTSDiscount($U$35,Y472,,Trigger)</f>
        <v>0.98836380226703247</v>
      </c>
    </row>
    <row r="473" spans="25:26" x14ac:dyDescent="0.25">
      <c r="Y473" s="63">
        <v>43006</v>
      </c>
      <c r="Z473" s="61">
        <f>_xll.qlYieldTSDiscount($U$35,Y473,,Trigger)</f>
        <v>0.98833775279781388</v>
      </c>
    </row>
    <row r="474" spans="25:26" x14ac:dyDescent="0.25">
      <c r="Y474" s="63">
        <v>43007</v>
      </c>
      <c r="Z474" s="61">
        <f>_xll.qlYieldTSDiscount($U$35,Y474,,Trigger)</f>
        <v>0.98831169997749579</v>
      </c>
    </row>
    <row r="475" spans="25:26" x14ac:dyDescent="0.25">
      <c r="Y475" s="63">
        <v>43008</v>
      </c>
      <c r="Z475" s="61">
        <f>_xll.qlYieldTSDiscount($U$35,Y475,,Trigger)</f>
        <v>0.98828564379685657</v>
      </c>
    </row>
    <row r="476" spans="25:26" x14ac:dyDescent="0.25">
      <c r="Y476" s="63">
        <v>43009</v>
      </c>
      <c r="Z476" s="61">
        <f>_xll.qlYieldTSDiscount($U$35,Y476,,Trigger)</f>
        <v>0.9882595842466747</v>
      </c>
    </row>
    <row r="477" spans="25:26" x14ac:dyDescent="0.25">
      <c r="Y477" s="63">
        <v>43010</v>
      </c>
      <c r="Z477" s="61">
        <f>_xll.qlYieldTSDiscount($U$35,Y477,,Trigger)</f>
        <v>0.98823352131772846</v>
      </c>
    </row>
    <row r="478" spans="25:26" x14ac:dyDescent="0.25">
      <c r="Y478" s="63">
        <v>43011</v>
      </c>
      <c r="Z478" s="61">
        <f>_xll.qlYieldTSDiscount($U$35,Y478,,Trigger)</f>
        <v>0.98820745500079654</v>
      </c>
    </row>
    <row r="479" spans="25:26" x14ac:dyDescent="0.25">
      <c r="Y479" s="63">
        <v>43012</v>
      </c>
      <c r="Z479" s="61">
        <f>_xll.qlYieldTSDiscount($U$35,Y479,,Trigger)</f>
        <v>0.98818138528665722</v>
      </c>
    </row>
    <row r="480" spans="25:26" x14ac:dyDescent="0.25">
      <c r="Y480" s="63">
        <v>43013</v>
      </c>
      <c r="Z480" s="61">
        <f>_xll.qlYieldTSDiscount($U$35,Y480,,Trigger)</f>
        <v>0.98815531216608909</v>
      </c>
    </row>
    <row r="481" spans="25:26" x14ac:dyDescent="0.25">
      <c r="Y481" s="63">
        <v>43014</v>
      </c>
      <c r="Z481" s="61">
        <f>_xll.qlYieldTSDiscount($U$35,Y481,,Trigger)</f>
        <v>0.98812923562987043</v>
      </c>
    </row>
    <row r="482" spans="25:26" x14ac:dyDescent="0.25">
      <c r="Y482" s="63">
        <v>43015</v>
      </c>
      <c r="Z482" s="61">
        <f>_xll.qlYieldTSDiscount($U$35,Y482,,Trigger)</f>
        <v>0.98810315566877982</v>
      </c>
    </row>
    <row r="483" spans="25:26" x14ac:dyDescent="0.25">
      <c r="Y483" s="63">
        <v>43016</v>
      </c>
      <c r="Z483" s="61">
        <f>_xll.qlYieldTSDiscount($U$35,Y483,,Trigger)</f>
        <v>0.98807707227359565</v>
      </c>
    </row>
    <row r="484" spans="25:26" x14ac:dyDescent="0.25">
      <c r="Y484" s="63">
        <v>43017</v>
      </c>
      <c r="Z484" s="61">
        <f>_xll.qlYieldTSDiscount($U$35,Y484,,Trigger)</f>
        <v>0.9880509854350964</v>
      </c>
    </row>
    <row r="485" spans="25:26" x14ac:dyDescent="0.25">
      <c r="Y485" s="63">
        <v>43018</v>
      </c>
      <c r="Z485" s="61">
        <f>_xll.qlYieldTSDiscount($U$35,Y485,,Trigger)</f>
        <v>0.98802489514406044</v>
      </c>
    </row>
    <row r="486" spans="25:26" x14ac:dyDescent="0.25">
      <c r="Y486" s="63">
        <v>43019</v>
      </c>
      <c r="Z486" s="61">
        <f>_xll.qlYieldTSDiscount($U$35,Y486,,Trigger)</f>
        <v>0.98799880139126628</v>
      </c>
    </row>
    <row r="487" spans="25:26" x14ac:dyDescent="0.25">
      <c r="Y487" s="63">
        <v>43020</v>
      </c>
      <c r="Z487" s="61">
        <f>_xll.qlYieldTSDiscount($U$35,Y487,,Trigger)</f>
        <v>0.98797270416749239</v>
      </c>
    </row>
    <row r="488" spans="25:26" x14ac:dyDescent="0.25">
      <c r="Y488" s="63">
        <v>43021</v>
      </c>
      <c r="Z488" s="61">
        <f>_xll.qlYieldTSDiscount($U$35,Y488,,Trigger)</f>
        <v>0.98794660346351715</v>
      </c>
    </row>
    <row r="489" spans="25:26" x14ac:dyDescent="0.25">
      <c r="Y489" s="63">
        <v>43022</v>
      </c>
      <c r="Z489" s="61">
        <f>_xll.qlYieldTSDiscount($U$35,Y489,,Trigger)</f>
        <v>0.98792049927011905</v>
      </c>
    </row>
    <row r="490" spans="25:26" x14ac:dyDescent="0.25">
      <c r="Y490" s="63">
        <v>43023</v>
      </c>
      <c r="Z490" s="61">
        <f>_xll.qlYieldTSDiscount($U$35,Y490,,Trigger)</f>
        <v>0.98789439157807646</v>
      </c>
    </row>
    <row r="491" spans="25:26" x14ac:dyDescent="0.25">
      <c r="Y491" s="63">
        <v>43024</v>
      </c>
      <c r="Z491" s="61">
        <f>_xll.qlYieldTSDiscount($U$35,Y491,,Trigger)</f>
        <v>0.98786828037816798</v>
      </c>
    </row>
    <row r="492" spans="25:26" x14ac:dyDescent="0.25">
      <c r="Y492" s="63">
        <v>43025</v>
      </c>
      <c r="Z492" s="61">
        <f>_xll.qlYieldTSDiscount($U$35,Y492,,Trigger)</f>
        <v>0.987842165661172</v>
      </c>
    </row>
    <row r="493" spans="25:26" x14ac:dyDescent="0.25">
      <c r="Y493" s="63">
        <v>43026</v>
      </c>
      <c r="Z493" s="61">
        <f>_xll.qlYieldTSDiscount($U$35,Y493,,Trigger)</f>
        <v>0.98781604741786688</v>
      </c>
    </row>
    <row r="494" spans="25:26" x14ac:dyDescent="0.25">
      <c r="Y494" s="63">
        <v>43027</v>
      </c>
      <c r="Z494" s="61">
        <f>_xll.qlYieldTSDiscount($U$35,Y494,,Trigger)</f>
        <v>0.98778992563903123</v>
      </c>
    </row>
    <row r="495" spans="25:26" x14ac:dyDescent="0.25">
      <c r="Y495" s="63">
        <v>43028</v>
      </c>
      <c r="Z495" s="61">
        <f>_xll.qlYieldTSDiscount($U$35,Y495,,Trigger)</f>
        <v>0.98776380031544331</v>
      </c>
    </row>
    <row r="496" spans="25:26" x14ac:dyDescent="0.25">
      <c r="Y496" s="63">
        <v>43029</v>
      </c>
      <c r="Z496" s="61">
        <f>_xll.qlYieldTSDiscount($U$35,Y496,,Trigger)</f>
        <v>0.98773767143788171</v>
      </c>
    </row>
    <row r="497" spans="25:26" x14ac:dyDescent="0.25">
      <c r="Y497" s="63">
        <v>43030</v>
      </c>
      <c r="Z497" s="61">
        <f>_xll.qlYieldTSDiscount($U$35,Y497,,Trigger)</f>
        <v>0.98771153899712472</v>
      </c>
    </row>
    <row r="498" spans="25:26" x14ac:dyDescent="0.25">
      <c r="Y498" s="63">
        <v>43031</v>
      </c>
      <c r="Z498" s="61">
        <f>_xll.qlYieldTSDiscount($U$35,Y498,,Trigger)</f>
        <v>0.98768540298395102</v>
      </c>
    </row>
    <row r="499" spans="25:26" x14ac:dyDescent="0.25">
      <c r="Y499" s="63">
        <v>43032</v>
      </c>
      <c r="Z499" s="61">
        <f>_xll.qlYieldTSDiscount($U$35,Y499,,Trigger)</f>
        <v>0.9876592633891389</v>
      </c>
    </row>
    <row r="500" spans="25:26" x14ac:dyDescent="0.25">
      <c r="Y500" s="63">
        <v>43033</v>
      </c>
      <c r="Z500" s="61">
        <f>_xll.qlYieldTSDiscount($U$35,Y500,,Trigger)</f>
        <v>0.98763312020346672</v>
      </c>
    </row>
    <row r="501" spans="25:26" x14ac:dyDescent="0.25">
      <c r="Y501" s="63">
        <v>43034</v>
      </c>
      <c r="Z501" s="61">
        <f>_xll.qlYieldTSDiscount($U$35,Y501,,Trigger)</f>
        <v>0.9876069734177132</v>
      </c>
    </row>
    <row r="502" spans="25:26" x14ac:dyDescent="0.25">
      <c r="Y502" s="63">
        <v>43035</v>
      </c>
      <c r="Z502" s="61">
        <f>_xll.qlYieldTSDiscount($U$35,Y502,,Trigger)</f>
        <v>0.98758082302265648</v>
      </c>
    </row>
    <row r="503" spans="25:26" x14ac:dyDescent="0.25">
      <c r="Y503" s="63">
        <v>43036</v>
      </c>
      <c r="Z503" s="61">
        <f>_xll.qlYieldTSDiscount($U$35,Y503,,Trigger)</f>
        <v>0.98755466900907529</v>
      </c>
    </row>
    <row r="504" spans="25:26" x14ac:dyDescent="0.25">
      <c r="Y504" s="63">
        <v>43037</v>
      </c>
      <c r="Z504" s="61">
        <f>_xll.qlYieldTSDiscount($U$35,Y504,,Trigger)</f>
        <v>0.98752851136774789</v>
      </c>
    </row>
    <row r="505" spans="25:26" x14ac:dyDescent="0.25">
      <c r="Y505" s="63">
        <v>43038</v>
      </c>
      <c r="Z505" s="61">
        <f>_xll.qlYieldTSDiscount($U$35,Y505,,Trigger)</f>
        <v>0.98750235008945275</v>
      </c>
    </row>
    <row r="506" spans="25:26" x14ac:dyDescent="0.25">
      <c r="Y506" s="63">
        <v>43039</v>
      </c>
      <c r="Z506" s="61">
        <f>_xll.qlYieldTSDiscount($U$35,Y506,,Trigger)</f>
        <v>0.98747618516496838</v>
      </c>
    </row>
    <row r="507" spans="25:26" x14ac:dyDescent="0.25">
      <c r="Y507" s="63">
        <v>43040</v>
      </c>
      <c r="Z507" s="61">
        <f>_xll.qlYieldTSDiscount($U$35,Y507,,Trigger)</f>
        <v>0.98745001658507325</v>
      </c>
    </row>
    <row r="508" spans="25:26" x14ac:dyDescent="0.25">
      <c r="Y508" s="63">
        <v>43041</v>
      </c>
      <c r="Z508" s="61">
        <f>_xll.qlYieldTSDiscount($U$35,Y508,,Trigger)</f>
        <v>0.98742384434054575</v>
      </c>
    </row>
    <row r="509" spans="25:26" x14ac:dyDescent="0.25">
      <c r="Y509" s="63">
        <v>43042</v>
      </c>
      <c r="Z509" s="61">
        <f>_xll.qlYieldTSDiscount($U$35,Y509,,Trigger)</f>
        <v>0.98739766842216425</v>
      </c>
    </row>
    <row r="510" spans="25:26" x14ac:dyDescent="0.25">
      <c r="Y510" s="63">
        <v>43043</v>
      </c>
      <c r="Z510" s="61">
        <f>_xll.qlYieldTSDiscount($U$35,Y510,,Trigger)</f>
        <v>0.98737148882070735</v>
      </c>
    </row>
    <row r="511" spans="25:26" x14ac:dyDescent="0.25">
      <c r="Y511" s="63">
        <v>43044</v>
      </c>
      <c r="Z511" s="61">
        <f>_xll.qlYieldTSDiscount($U$35,Y511,,Trigger)</f>
        <v>0.98734530552695343</v>
      </c>
    </row>
    <row r="512" spans="25:26" x14ac:dyDescent="0.25">
      <c r="Y512" s="63">
        <v>43045</v>
      </c>
      <c r="Z512" s="61">
        <f>_xll.qlYieldTSDiscount($U$35,Y512,,Trigger)</f>
        <v>0.98731911853168086</v>
      </c>
    </row>
    <row r="513" spans="25:26" x14ac:dyDescent="0.25">
      <c r="Y513" s="63">
        <v>43046</v>
      </c>
      <c r="Z513" s="61">
        <f>_xll.qlYieldTSDiscount($U$35,Y513,,Trigger)</f>
        <v>0.98729292782566824</v>
      </c>
    </row>
    <row r="514" spans="25:26" x14ac:dyDescent="0.25">
      <c r="Y514" s="63">
        <v>43047</v>
      </c>
      <c r="Z514" s="61">
        <f>_xll.qlYieldTSDiscount($U$35,Y514,,Trigger)</f>
        <v>0.98726673339969395</v>
      </c>
    </row>
    <row r="515" spans="25:26" x14ac:dyDescent="0.25">
      <c r="Y515" s="63">
        <v>43048</v>
      </c>
      <c r="Z515" s="61">
        <f>_xll.qlYieldTSDiscount($U$35,Y515,,Trigger)</f>
        <v>0.98724053524453637</v>
      </c>
    </row>
    <row r="516" spans="25:26" x14ac:dyDescent="0.25">
      <c r="Y516" s="63">
        <v>43049</v>
      </c>
      <c r="Z516" s="61">
        <f>_xll.qlYieldTSDiscount($U$35,Y516,,Trigger)</f>
        <v>0.98721433335097397</v>
      </c>
    </row>
    <row r="517" spans="25:26" x14ac:dyDescent="0.25">
      <c r="Y517" s="63">
        <v>43050</v>
      </c>
      <c r="Z517" s="61">
        <f>_xll.qlYieldTSDiscount($U$35,Y517,,Trigger)</f>
        <v>0.98718812770978537</v>
      </c>
    </row>
    <row r="518" spans="25:26" x14ac:dyDescent="0.25">
      <c r="Y518" s="63">
        <v>43051</v>
      </c>
      <c r="Z518" s="61">
        <f>_xll.qlYieldTSDiscount($U$35,Y518,,Trigger)</f>
        <v>0.98716191831174882</v>
      </c>
    </row>
    <row r="519" spans="25:26" x14ac:dyDescent="0.25">
      <c r="Y519" s="63">
        <v>43052</v>
      </c>
      <c r="Z519" s="61">
        <f>_xll.qlYieldTSDiscount($U$35,Y519,,Trigger)</f>
        <v>0.98713570514764271</v>
      </c>
    </row>
    <row r="520" spans="25:26" x14ac:dyDescent="0.25">
      <c r="Y520" s="63">
        <v>43053</v>
      </c>
      <c r="Z520" s="61">
        <f>_xll.qlYieldTSDiscount($U$35,Y520,,Trigger)</f>
        <v>0.98710948820824573</v>
      </c>
    </row>
    <row r="521" spans="25:26" x14ac:dyDescent="0.25">
      <c r="Y521" s="63">
        <v>43054</v>
      </c>
      <c r="Z521" s="61">
        <f>_xll.qlYieldTSDiscount($U$35,Y521,,Trigger)</f>
        <v>0.98708326748433617</v>
      </c>
    </row>
    <row r="522" spans="25:26" x14ac:dyDescent="0.25">
      <c r="Y522" s="63">
        <v>43055</v>
      </c>
      <c r="Z522" s="61">
        <f>_xll.qlYieldTSDiscount($U$35,Y522,,Trigger)</f>
        <v>0.98705704296669261</v>
      </c>
    </row>
    <row r="523" spans="25:26" x14ac:dyDescent="0.25">
      <c r="Y523" s="63">
        <v>43056</v>
      </c>
      <c r="Z523" s="61">
        <f>_xll.qlYieldTSDiscount($U$35,Y523,,Trigger)</f>
        <v>0.98703081464609321</v>
      </c>
    </row>
    <row r="524" spans="25:26" x14ac:dyDescent="0.25">
      <c r="Y524" s="63">
        <v>43057</v>
      </c>
      <c r="Z524" s="61">
        <f>_xll.qlYieldTSDiscount($U$35,Y524,,Trigger)</f>
        <v>0.9870045825133168</v>
      </c>
    </row>
    <row r="525" spans="25:26" x14ac:dyDescent="0.25">
      <c r="Y525" s="63">
        <v>43058</v>
      </c>
      <c r="Z525" s="61">
        <f>_xll.qlYieldTSDiscount($U$35,Y525,,Trigger)</f>
        <v>0.98697834655914152</v>
      </c>
    </row>
    <row r="526" spans="25:26" x14ac:dyDescent="0.25">
      <c r="Y526" s="63">
        <v>43059</v>
      </c>
      <c r="Z526" s="61">
        <f>_xll.qlYieldTSDiscount($U$35,Y526,,Trigger)</f>
        <v>0.98695210677434597</v>
      </c>
    </row>
    <row r="527" spans="25:26" x14ac:dyDescent="0.25">
      <c r="Y527" s="63">
        <v>43060</v>
      </c>
      <c r="Z527" s="61">
        <f>_xll.qlYieldTSDiscount($U$35,Y527,,Trigger)</f>
        <v>0.98692586314970854</v>
      </c>
    </row>
    <row r="528" spans="25:26" x14ac:dyDescent="0.25">
      <c r="Y528" s="63">
        <v>43061</v>
      </c>
      <c r="Z528" s="61">
        <f>_xll.qlYieldTSDiscount($U$35,Y528,,Trigger)</f>
        <v>0.9868996156760077</v>
      </c>
    </row>
    <row r="529" spans="25:26" x14ac:dyDescent="0.25">
      <c r="Y529" s="63">
        <v>43062</v>
      </c>
      <c r="Z529" s="61">
        <f>_xll.qlYieldTSDiscount($U$35,Y529,,Trigger)</f>
        <v>0.98687336434402184</v>
      </c>
    </row>
    <row r="530" spans="25:26" x14ac:dyDescent="0.25">
      <c r="Y530" s="63">
        <v>43063</v>
      </c>
      <c r="Z530" s="61">
        <f>_xll.qlYieldTSDiscount($U$35,Y530,,Trigger)</f>
        <v>0.98684710914452956</v>
      </c>
    </row>
    <row r="531" spans="25:26" x14ac:dyDescent="0.25">
      <c r="Y531" s="63">
        <v>43064</v>
      </c>
      <c r="Z531" s="61">
        <f>_xll.qlYieldTSDiscount($U$35,Y531,,Trigger)</f>
        <v>0.98682085006830911</v>
      </c>
    </row>
    <row r="532" spans="25:26" x14ac:dyDescent="0.25">
      <c r="Y532" s="63">
        <v>43065</v>
      </c>
      <c r="Z532" s="61">
        <f>_xll.qlYieldTSDiscount($U$35,Y532,,Trigger)</f>
        <v>0.9867945871061391</v>
      </c>
    </row>
    <row r="533" spans="25:26" x14ac:dyDescent="0.25">
      <c r="Y533" s="63">
        <v>43066</v>
      </c>
      <c r="Z533" s="61">
        <f>_xll.qlYieldTSDiscount($U$35,Y533,,Trigger)</f>
        <v>0.9867683202487979</v>
      </c>
    </row>
    <row r="534" spans="25:26" x14ac:dyDescent="0.25">
      <c r="Y534" s="63">
        <v>43067</v>
      </c>
      <c r="Z534" s="61">
        <f>_xll.qlYieldTSDiscount($U$35,Y534,,Trigger)</f>
        <v>0.9867420494870639</v>
      </c>
    </row>
    <row r="535" spans="25:26" x14ac:dyDescent="0.25">
      <c r="Y535" s="63">
        <v>43068</v>
      </c>
      <c r="Z535" s="61">
        <f>_xll.qlYieldTSDiscount($U$35,Y535,,Trigger)</f>
        <v>0.98671577481171568</v>
      </c>
    </row>
    <row r="536" spans="25:26" x14ac:dyDescent="0.25">
      <c r="Y536" s="63">
        <v>43069</v>
      </c>
      <c r="Z536" s="61">
        <f>_xll.qlYieldTSDiscount($U$35,Y536,,Trigger)</f>
        <v>0.98668949621353164</v>
      </c>
    </row>
    <row r="537" spans="25:26" x14ac:dyDescent="0.25">
      <c r="Y537" s="63">
        <v>43070</v>
      </c>
      <c r="Z537" s="61">
        <f>_xll.qlYieldTSDiscount($U$35,Y537,,Trigger)</f>
        <v>0.98666321368329024</v>
      </c>
    </row>
    <row r="538" spans="25:26" x14ac:dyDescent="0.25">
      <c r="Y538" s="63">
        <v>43071</v>
      </c>
      <c r="Z538" s="61">
        <f>_xll.qlYieldTSDiscount($U$35,Y538,,Trigger)</f>
        <v>0.98663692721176988</v>
      </c>
    </row>
    <row r="539" spans="25:26" x14ac:dyDescent="0.25">
      <c r="Y539" s="63">
        <v>43072</v>
      </c>
      <c r="Z539" s="61">
        <f>_xll.qlYieldTSDiscount($U$35,Y539,,Trigger)</f>
        <v>0.98661063678974903</v>
      </c>
    </row>
    <row r="540" spans="25:26" x14ac:dyDescent="0.25">
      <c r="Y540" s="63">
        <v>43073</v>
      </c>
      <c r="Z540" s="61">
        <f>_xll.qlYieldTSDiscount($U$35,Y540,,Trigger)</f>
        <v>0.98658434240800608</v>
      </c>
    </row>
    <row r="541" spans="25:26" x14ac:dyDescent="0.25">
      <c r="Y541" s="63">
        <v>43074</v>
      </c>
      <c r="Z541" s="61">
        <f>_xll.qlYieldTSDiscount($U$35,Y541,,Trigger)</f>
        <v>0.98655804405731962</v>
      </c>
    </row>
    <row r="542" spans="25:26" x14ac:dyDescent="0.25">
      <c r="Y542" s="63">
        <v>43075</v>
      </c>
      <c r="Z542" s="61">
        <f>_xll.qlYieldTSDiscount($U$35,Y542,,Trigger)</f>
        <v>0.98653174172846791</v>
      </c>
    </row>
    <row r="543" spans="25:26" x14ac:dyDescent="0.25">
      <c r="Y543" s="63">
        <v>43076</v>
      </c>
      <c r="Z543" s="61">
        <f>_xll.qlYieldTSDiscount($U$35,Y543,,Trigger)</f>
        <v>0.98650543541222957</v>
      </c>
    </row>
    <row r="544" spans="25:26" x14ac:dyDescent="0.25">
      <c r="Y544" s="63">
        <v>43077</v>
      </c>
      <c r="Z544" s="61">
        <f>_xll.qlYieldTSDiscount($U$35,Y544,,Trigger)</f>
        <v>0.98647912509938296</v>
      </c>
    </row>
    <row r="545" spans="25:26" x14ac:dyDescent="0.25">
      <c r="Y545" s="63">
        <v>43078</v>
      </c>
      <c r="Z545" s="61">
        <f>_xll.qlYieldTSDiscount($U$35,Y545,,Trigger)</f>
        <v>0.98645281078070646</v>
      </c>
    </row>
    <row r="546" spans="25:26" x14ac:dyDescent="0.25">
      <c r="Y546" s="63">
        <v>43079</v>
      </c>
      <c r="Z546" s="61">
        <f>_xll.qlYieldTSDiscount($U$35,Y546,,Trigger)</f>
        <v>0.98642649244697878</v>
      </c>
    </row>
    <row r="547" spans="25:26" x14ac:dyDescent="0.25">
      <c r="Y547" s="63">
        <v>43080</v>
      </c>
      <c r="Z547" s="61">
        <f>_xll.qlYieldTSDiscount($U$35,Y547,,Trigger)</f>
        <v>0.98640017008897807</v>
      </c>
    </row>
    <row r="548" spans="25:26" x14ac:dyDescent="0.25">
      <c r="Y548" s="63">
        <v>43081</v>
      </c>
      <c r="Z548" s="61">
        <f>_xll.qlYieldTSDiscount($U$35,Y548,,Trigger)</f>
        <v>0.98637384369748293</v>
      </c>
    </row>
    <row r="549" spans="25:26" x14ac:dyDescent="0.25">
      <c r="Y549" s="63">
        <v>43082</v>
      </c>
      <c r="Z549" s="61">
        <f>_xll.qlYieldTSDiscount($U$35,Y549,,Trigger)</f>
        <v>0.98634751326327175</v>
      </c>
    </row>
    <row r="550" spans="25:26" x14ac:dyDescent="0.25">
      <c r="Y550" s="63">
        <v>43083</v>
      </c>
      <c r="Z550" s="61">
        <f>_xll.qlYieldTSDiscount($U$35,Y550,,Trigger)</f>
        <v>0.986321178777123</v>
      </c>
    </row>
    <row r="551" spans="25:26" x14ac:dyDescent="0.25">
      <c r="Y551" s="63">
        <v>43084</v>
      </c>
      <c r="Z551" s="61">
        <f>_xll.qlYieldTSDiscount($U$35,Y551,,Trigger)</f>
        <v>0.98629484022981506</v>
      </c>
    </row>
    <row r="552" spans="25:26" x14ac:dyDescent="0.25">
      <c r="Y552" s="63">
        <v>43085</v>
      </c>
      <c r="Z552" s="61">
        <f>_xll.qlYieldTSDiscount($U$35,Y552,,Trigger)</f>
        <v>0.98626849761212654</v>
      </c>
    </row>
    <row r="553" spans="25:26" x14ac:dyDescent="0.25">
      <c r="Y553" s="63">
        <v>43086</v>
      </c>
      <c r="Z553" s="61">
        <f>_xll.qlYieldTSDiscount($U$35,Y553,,Trigger)</f>
        <v>0.9862421509148358</v>
      </c>
    </row>
    <row r="554" spans="25:26" x14ac:dyDescent="0.25">
      <c r="Y554" s="63">
        <v>43087</v>
      </c>
      <c r="Z554" s="61">
        <f>_xll.qlYieldTSDiscount($U$35,Y554,,Trigger)</f>
        <v>0.98621580012872123</v>
      </c>
    </row>
    <row r="555" spans="25:26" x14ac:dyDescent="0.25">
      <c r="Y555" s="63">
        <v>43088</v>
      </c>
      <c r="Z555" s="61">
        <f>_xll.qlYieldTSDiscount($U$35,Y555,,Trigger)</f>
        <v>0.98618944524456142</v>
      </c>
    </row>
    <row r="556" spans="25:26" x14ac:dyDescent="0.25">
      <c r="Y556" s="63">
        <v>43089</v>
      </c>
      <c r="Z556" s="61">
        <f>_xll.qlYieldTSDiscount($U$35,Y556,,Trigger)</f>
        <v>0.98616308625313465</v>
      </c>
    </row>
    <row r="557" spans="25:26" x14ac:dyDescent="0.25">
      <c r="Y557" s="63">
        <v>43090</v>
      </c>
      <c r="Z557" s="61">
        <f>_xll.qlYieldTSDiscount($U$35,Y557,,Trigger)</f>
        <v>0.98613672314521938</v>
      </c>
    </row>
    <row r="558" spans="25:26" x14ac:dyDescent="0.25">
      <c r="Y558" s="63">
        <v>43091</v>
      </c>
      <c r="Z558" s="61">
        <f>_xll.qlYieldTSDiscount($U$35,Y558,,Trigger)</f>
        <v>0.98611035591159424</v>
      </c>
    </row>
    <row r="559" spans="25:26" x14ac:dyDescent="0.25">
      <c r="Y559" s="63">
        <v>43092</v>
      </c>
      <c r="Z559" s="61">
        <f>_xll.qlYieldTSDiscount($U$35,Y559,,Trigger)</f>
        <v>0.98608398454303747</v>
      </c>
    </row>
    <row r="560" spans="25:26" x14ac:dyDescent="0.25">
      <c r="Y560" s="63">
        <v>43093</v>
      </c>
      <c r="Z560" s="61">
        <f>_xll.qlYieldTSDiscount($U$35,Y560,,Trigger)</f>
        <v>0.98605760903032769</v>
      </c>
    </row>
    <row r="561" spans="25:26" x14ac:dyDescent="0.25">
      <c r="Y561" s="63">
        <v>43094</v>
      </c>
      <c r="Z561" s="61">
        <f>_xll.qlYieldTSDiscount($U$35,Y561,,Trigger)</f>
        <v>0.98603122936424326</v>
      </c>
    </row>
    <row r="562" spans="25:26" x14ac:dyDescent="0.25">
      <c r="Y562" s="63">
        <v>43095</v>
      </c>
      <c r="Z562" s="61">
        <f>_xll.qlYieldTSDiscount($U$35,Y562,,Trigger)</f>
        <v>0.98600484553556256</v>
      </c>
    </row>
    <row r="563" spans="25:26" x14ac:dyDescent="0.25">
      <c r="Y563" s="63">
        <v>43096</v>
      </c>
      <c r="Z563" s="61">
        <f>_xll.qlYieldTSDiscount($U$35,Y563,,Trigger)</f>
        <v>0.98597845753506408</v>
      </c>
    </row>
    <row r="564" spans="25:26" x14ac:dyDescent="0.25">
      <c r="Y564" s="63">
        <v>43097</v>
      </c>
      <c r="Z564" s="61">
        <f>_xll.qlYieldTSDiscount($U$35,Y564,,Trigger)</f>
        <v>0.98595206535352642</v>
      </c>
    </row>
    <row r="565" spans="25:26" x14ac:dyDescent="0.25">
      <c r="Y565" s="63">
        <v>43098</v>
      </c>
      <c r="Z565" s="61">
        <f>_xll.qlYieldTSDiscount($U$35,Y565,,Trigger)</f>
        <v>0.98592566898172784</v>
      </c>
    </row>
    <row r="566" spans="25:26" x14ac:dyDescent="0.25">
      <c r="Y566" s="63">
        <v>43099</v>
      </c>
      <c r="Z566" s="61">
        <f>_xll.qlYieldTSDiscount($U$35,Y566,,Trigger)</f>
        <v>0.98589926841044684</v>
      </c>
    </row>
    <row r="567" spans="25:26" x14ac:dyDescent="0.25">
      <c r="Y567" s="63">
        <v>43100</v>
      </c>
      <c r="Z567" s="61">
        <f>_xll.qlYieldTSDiscount($U$35,Y567,,Trigger)</f>
        <v>0.98587286363046189</v>
      </c>
    </row>
    <row r="568" spans="25:26" x14ac:dyDescent="0.25">
      <c r="Y568" s="63">
        <v>43101</v>
      </c>
      <c r="Z568" s="61">
        <f>_xll.qlYieldTSDiscount($U$35,Y568,,Trigger)</f>
        <v>0.98584645463255138</v>
      </c>
    </row>
    <row r="569" spans="25:26" x14ac:dyDescent="0.25">
      <c r="Y569" s="63">
        <v>43102</v>
      </c>
      <c r="Z569" s="61">
        <f>_xll.qlYieldTSDiscount($U$35,Y569,,Trigger)</f>
        <v>0.98582004140749391</v>
      </c>
    </row>
    <row r="570" spans="25:26" x14ac:dyDescent="0.25">
      <c r="Y570" s="63">
        <v>43103</v>
      </c>
      <c r="Z570" s="61">
        <f>_xll.qlYieldTSDiscount($U$35,Y570,,Trigger)</f>
        <v>0.98579362394606773</v>
      </c>
    </row>
    <row r="571" spans="25:26" x14ac:dyDescent="0.25">
      <c r="Y571" s="63">
        <v>43104</v>
      </c>
      <c r="Z571" s="61">
        <f>_xll.qlYieldTSDiscount($U$35,Y571,,Trigger)</f>
        <v>0.98576720223905145</v>
      </c>
    </row>
    <row r="572" spans="25:26" x14ac:dyDescent="0.25">
      <c r="Y572" s="63">
        <v>43105</v>
      </c>
      <c r="Z572" s="61">
        <f>_xll.qlYieldTSDiscount($U$35,Y572,,Trigger)</f>
        <v>0.98574077627722334</v>
      </c>
    </row>
    <row r="573" spans="25:26" x14ac:dyDescent="0.25">
      <c r="Y573" s="63">
        <v>43106</v>
      </c>
      <c r="Z573" s="61">
        <f>_xll.qlYieldTSDiscount($U$35,Y573,,Trigger)</f>
        <v>0.98571434605136199</v>
      </c>
    </row>
    <row r="574" spans="25:26" x14ac:dyDescent="0.25">
      <c r="Y574" s="63">
        <v>43107</v>
      </c>
      <c r="Z574" s="61">
        <f>_xll.qlYieldTSDiscount($U$35,Y574,,Trigger)</f>
        <v>0.98568791155224589</v>
      </c>
    </row>
    <row r="575" spans="25:26" x14ac:dyDescent="0.25">
      <c r="Y575" s="63">
        <v>43108</v>
      </c>
      <c r="Z575" s="61">
        <f>_xll.qlYieldTSDiscount($U$35,Y575,,Trigger)</f>
        <v>0.9856614727706533</v>
      </c>
    </row>
    <row r="576" spans="25:26" x14ac:dyDescent="0.25">
      <c r="Y576" s="63">
        <v>43109</v>
      </c>
      <c r="Z576" s="61">
        <f>_xll.qlYieldTSDiscount($U$35,Y576,,Trigger)</f>
        <v>0.98563502969736283</v>
      </c>
    </row>
    <row r="577" spans="25:26" x14ac:dyDescent="0.25">
      <c r="Y577" s="63">
        <v>43110</v>
      </c>
      <c r="Z577" s="61">
        <f>_xll.qlYieldTSDiscount($U$35,Y577,,Trigger)</f>
        <v>0.98560858232315296</v>
      </c>
    </row>
    <row r="578" spans="25:26" x14ac:dyDescent="0.25">
      <c r="Y578" s="63">
        <v>43111</v>
      </c>
      <c r="Z578" s="61">
        <f>_xll.qlYieldTSDiscount($U$35,Y578,,Trigger)</f>
        <v>0.98558213063880196</v>
      </c>
    </row>
    <row r="579" spans="25:26" x14ac:dyDescent="0.25">
      <c r="Y579" s="63">
        <v>43112</v>
      </c>
      <c r="Z579" s="61">
        <f>_xll.qlYieldTSDiscount($U$35,Y579,,Trigger)</f>
        <v>0.98555567463508831</v>
      </c>
    </row>
    <row r="580" spans="25:26" x14ac:dyDescent="0.25">
      <c r="Y580" s="63">
        <v>43113</v>
      </c>
      <c r="Z580" s="61">
        <f>_xll.qlYieldTSDiscount($U$35,Y580,,Trigger)</f>
        <v>0.98552921430279061</v>
      </c>
    </row>
    <row r="581" spans="25:26" x14ac:dyDescent="0.25">
      <c r="Y581" s="63">
        <v>43114</v>
      </c>
      <c r="Z581" s="61">
        <f>_xll.qlYieldTSDiscount($U$35,Y581,,Trigger)</f>
        <v>0.98550274963268714</v>
      </c>
    </row>
    <row r="582" spans="25:26" x14ac:dyDescent="0.25">
      <c r="Y582" s="63">
        <v>43115</v>
      </c>
      <c r="Z582" s="61">
        <f>_xll.qlYieldTSDiscount($U$35,Y582,,Trigger)</f>
        <v>0.98547628061555648</v>
      </c>
    </row>
    <row r="583" spans="25:26" x14ac:dyDescent="0.25">
      <c r="Y583" s="63">
        <v>43116</v>
      </c>
      <c r="Z583" s="61">
        <f>_xll.qlYieldTSDiscount($U$35,Y583,,Trigger)</f>
        <v>0.98544980724217701</v>
      </c>
    </row>
    <row r="584" spans="25:26" x14ac:dyDescent="0.25">
      <c r="Y584" s="63">
        <v>43117</v>
      </c>
      <c r="Z584" s="61">
        <f>_xll.qlYieldTSDiscount($U$35,Y584,,Trigger)</f>
        <v>0.98542332950332723</v>
      </c>
    </row>
    <row r="585" spans="25:26" x14ac:dyDescent="0.25">
      <c r="Y585" s="63">
        <v>43118</v>
      </c>
      <c r="Z585" s="61">
        <f>_xll.qlYieldTSDiscount($U$35,Y585,,Trigger)</f>
        <v>0.98539684738978539</v>
      </c>
    </row>
    <row r="586" spans="25:26" x14ac:dyDescent="0.25">
      <c r="Y586" s="63">
        <v>43119</v>
      </c>
      <c r="Z586" s="61">
        <f>_xll.qlYieldTSDiscount($U$35,Y586,,Trigger)</f>
        <v>0.98537036089233021</v>
      </c>
    </row>
    <row r="587" spans="25:26" x14ac:dyDescent="0.25">
      <c r="Y587" s="63">
        <v>43120</v>
      </c>
      <c r="Z587" s="61">
        <f>_xll.qlYieldTSDiscount($U$35,Y587,,Trigger)</f>
        <v>0.98534387000174006</v>
      </c>
    </row>
    <row r="588" spans="25:26" x14ac:dyDescent="0.25">
      <c r="Y588" s="63">
        <v>43121</v>
      </c>
      <c r="Z588" s="61">
        <f>_xll.qlYieldTSDiscount($U$35,Y588,,Trigger)</f>
        <v>0.98531737470879321</v>
      </c>
    </row>
    <row r="589" spans="25:26" x14ac:dyDescent="0.25">
      <c r="Y589" s="63">
        <v>43122</v>
      </c>
      <c r="Z589" s="61">
        <f>_xll.qlYieldTSDiscount($U$35,Y589,,Trigger)</f>
        <v>0.98529087500426837</v>
      </c>
    </row>
    <row r="590" spans="25:26" x14ac:dyDescent="0.25">
      <c r="Y590" s="63">
        <v>43123</v>
      </c>
      <c r="Z590" s="61">
        <f>_xll.qlYieldTSDiscount($U$35,Y590,,Trigger)</f>
        <v>0.98526437087894381</v>
      </c>
    </row>
    <row r="591" spans="25:26" x14ac:dyDescent="0.25">
      <c r="Y591" s="63">
        <v>43124</v>
      </c>
      <c r="Z591" s="61">
        <f>_xll.qlYieldTSDiscount($U$35,Y591,,Trigger)</f>
        <v>0.985237862323598</v>
      </c>
    </row>
    <row r="592" spans="25:26" x14ac:dyDescent="0.25">
      <c r="Y592" s="63">
        <v>43125</v>
      </c>
      <c r="Z592" s="61">
        <f>_xll.qlYieldTSDiscount($U$35,Y592,,Trigger)</f>
        <v>0.98521134932900944</v>
      </c>
    </row>
    <row r="593" spans="25:26" x14ac:dyDescent="0.25">
      <c r="Y593" s="63">
        <v>43126</v>
      </c>
      <c r="Z593" s="61">
        <f>_xll.qlYieldTSDiscount($U$35,Y593,,Trigger)</f>
        <v>0.98518483188595662</v>
      </c>
    </row>
    <row r="594" spans="25:26" x14ac:dyDescent="0.25">
      <c r="Y594" s="63">
        <v>43127</v>
      </c>
      <c r="Z594" s="61">
        <f>_xll.qlYieldTSDiscount($U$35,Y594,,Trigger)</f>
        <v>0.98515830998521781</v>
      </c>
    </row>
    <row r="595" spans="25:26" x14ac:dyDescent="0.25">
      <c r="Y595" s="63">
        <v>43128</v>
      </c>
      <c r="Z595" s="61">
        <f>_xll.qlYieldTSDiscount($U$35,Y595,,Trigger)</f>
        <v>0.98513178361757159</v>
      </c>
    </row>
    <row r="596" spans="25:26" x14ac:dyDescent="0.25">
      <c r="Y596" s="63">
        <v>43129</v>
      </c>
      <c r="Z596" s="61">
        <f>_xll.qlYieldTSDiscount($U$35,Y596,,Trigger)</f>
        <v>0.98510525277379646</v>
      </c>
    </row>
    <row r="597" spans="25:26" x14ac:dyDescent="0.25">
      <c r="Y597" s="63">
        <v>43130</v>
      </c>
      <c r="Z597" s="61">
        <f>_xll.qlYieldTSDiscount($U$35,Y597,,Trigger)</f>
        <v>0.98507871744467068</v>
      </c>
    </row>
    <row r="598" spans="25:26" x14ac:dyDescent="0.25">
      <c r="Y598" s="63">
        <v>43131</v>
      </c>
      <c r="Z598" s="61">
        <f>_xll.qlYieldTSDiscount($U$35,Y598,,Trigger)</f>
        <v>0.98505217762097286</v>
      </c>
    </row>
    <row r="599" spans="25:26" x14ac:dyDescent="0.25">
      <c r="Y599" s="63">
        <v>43132</v>
      </c>
      <c r="Z599" s="61">
        <f>_xll.qlYieldTSDiscount($U$35,Y599,,Trigger)</f>
        <v>0.98502563329348147</v>
      </c>
    </row>
    <row r="600" spans="25:26" x14ac:dyDescent="0.25">
      <c r="Y600" s="63">
        <v>43133</v>
      </c>
      <c r="Z600" s="61">
        <f>_xll.qlYieldTSDiscount($U$35,Y600,,Trigger)</f>
        <v>0.98499908445297479</v>
      </c>
    </row>
    <row r="601" spans="25:26" x14ac:dyDescent="0.25">
      <c r="Y601" s="63">
        <v>43134</v>
      </c>
      <c r="Z601" s="61">
        <f>_xll.qlYieldTSDiscount($U$35,Y601,,Trigger)</f>
        <v>0.98497253109023142</v>
      </c>
    </row>
    <row r="602" spans="25:26" x14ac:dyDescent="0.25">
      <c r="Y602" s="63">
        <v>43135</v>
      </c>
      <c r="Z602" s="61">
        <f>_xll.qlYieldTSDiscount($U$35,Y602,,Trigger)</f>
        <v>0.98494597319602972</v>
      </c>
    </row>
    <row r="603" spans="25:26" x14ac:dyDescent="0.25">
      <c r="Y603" s="63">
        <v>43136</v>
      </c>
      <c r="Z603" s="61">
        <f>_xll.qlYieldTSDiscount($U$35,Y603,,Trigger)</f>
        <v>0.9849194107611482</v>
      </c>
    </row>
    <row r="604" spans="25:26" x14ac:dyDescent="0.25">
      <c r="Y604" s="63">
        <v>43137</v>
      </c>
      <c r="Z604" s="61">
        <f>_xll.qlYieldTSDiscount($U$35,Y604,,Trigger)</f>
        <v>0.98489284377636521</v>
      </c>
    </row>
    <row r="605" spans="25:26" x14ac:dyDescent="0.25">
      <c r="Y605" s="63">
        <v>43138</v>
      </c>
      <c r="Z605" s="61">
        <f>_xll.qlYieldTSDiscount($U$35,Y605,,Trigger)</f>
        <v>0.98486627223245937</v>
      </c>
    </row>
    <row r="606" spans="25:26" x14ac:dyDescent="0.25">
      <c r="Y606" s="63">
        <v>43139</v>
      </c>
      <c r="Z606" s="61">
        <f>_xll.qlYieldTSDiscount($U$35,Y606,,Trigger)</f>
        <v>0.98483969612020894</v>
      </c>
    </row>
    <row r="607" spans="25:26" x14ac:dyDescent="0.25">
      <c r="Y607" s="63">
        <v>43140</v>
      </c>
      <c r="Z607" s="61">
        <f>_xll.qlYieldTSDiscount($U$35,Y607,,Trigger)</f>
        <v>0.98481311543039252</v>
      </c>
    </row>
    <row r="608" spans="25:26" x14ac:dyDescent="0.25">
      <c r="Y608" s="63">
        <v>43141</v>
      </c>
      <c r="Z608" s="61">
        <f>_xll.qlYieldTSDiscount($U$35,Y608,,Trigger)</f>
        <v>0.98478653015378836</v>
      </c>
    </row>
    <row r="609" spans="25:26" x14ac:dyDescent="0.25">
      <c r="Y609" s="63">
        <v>43142</v>
      </c>
      <c r="Z609" s="61">
        <f>_xll.qlYieldTSDiscount($U$35,Y609,,Trigger)</f>
        <v>0.98475994028117508</v>
      </c>
    </row>
    <row r="610" spans="25:26" x14ac:dyDescent="0.25">
      <c r="Y610" s="63">
        <v>43143</v>
      </c>
      <c r="Z610" s="61">
        <f>_xll.qlYieldTSDiscount($U$35,Y610,,Trigger)</f>
        <v>0.98473334580333116</v>
      </c>
    </row>
    <row r="611" spans="25:26" x14ac:dyDescent="0.25">
      <c r="Y611" s="63">
        <v>43144</v>
      </c>
      <c r="Z611" s="61">
        <f>_xll.qlYieldTSDiscount($U$35,Y611,,Trigger)</f>
        <v>0.98470674671103486</v>
      </c>
    </row>
    <row r="612" spans="25:26" x14ac:dyDescent="0.25">
      <c r="Y612" s="63">
        <v>43145</v>
      </c>
      <c r="Z612" s="61">
        <f>_xll.qlYieldTSDiscount($U$35,Y612,,Trigger)</f>
        <v>0.98468014299506479</v>
      </c>
    </row>
    <row r="613" spans="25:26" x14ac:dyDescent="0.25">
      <c r="Y613" s="63">
        <v>43146</v>
      </c>
      <c r="Z613" s="61">
        <f>_xll.qlYieldTSDiscount($U$35,Y613,,Trigger)</f>
        <v>0.98465353464619942</v>
      </c>
    </row>
    <row r="614" spans="25:26" x14ac:dyDescent="0.25">
      <c r="Y614" s="63">
        <v>43147</v>
      </c>
      <c r="Z614" s="61">
        <f>_xll.qlYieldTSDiscount($U$35,Y614,,Trigger)</f>
        <v>0.98462692165521704</v>
      </c>
    </row>
    <row r="615" spans="25:26" x14ac:dyDescent="0.25">
      <c r="Y615" s="63">
        <v>43148</v>
      </c>
      <c r="Z615" s="61">
        <f>_xll.qlYieldTSDiscount($U$35,Y615,,Trigger)</f>
        <v>0.98460030401289611</v>
      </c>
    </row>
    <row r="616" spans="25:26" x14ac:dyDescent="0.25">
      <c r="Y616" s="63">
        <v>43149</v>
      </c>
      <c r="Z616" s="61">
        <f>_xll.qlYieldTSDiscount($U$35,Y616,,Trigger)</f>
        <v>0.98457368171001525</v>
      </c>
    </row>
    <row r="617" spans="25:26" x14ac:dyDescent="0.25">
      <c r="Y617" s="63">
        <v>43150</v>
      </c>
      <c r="Z617" s="61">
        <f>_xll.qlYieldTSDiscount($U$35,Y617,,Trigger)</f>
        <v>0.98454705473735282</v>
      </c>
    </row>
    <row r="618" spans="25:26" x14ac:dyDescent="0.25">
      <c r="Y618" s="63">
        <v>43151</v>
      </c>
      <c r="Z618" s="61">
        <f>_xll.qlYieldTSDiscount($U$35,Y618,,Trigger)</f>
        <v>0.98452042308568721</v>
      </c>
    </row>
    <row r="619" spans="25:26" x14ac:dyDescent="0.25">
      <c r="Y619" s="63">
        <v>43152</v>
      </c>
      <c r="Z619" s="61">
        <f>_xll.qlYieldTSDiscount($U$35,Y619,,Trigger)</f>
        <v>0.98449378674579691</v>
      </c>
    </row>
    <row r="620" spans="25:26" x14ac:dyDescent="0.25">
      <c r="Y620" s="63">
        <v>43153</v>
      </c>
      <c r="Z620" s="61">
        <f>_xll.qlYieldTSDiscount($U$35,Y620,,Trigger)</f>
        <v>0.98446714570846028</v>
      </c>
    </row>
    <row r="621" spans="25:26" x14ac:dyDescent="0.25">
      <c r="Y621" s="63">
        <v>43154</v>
      </c>
      <c r="Z621" s="61">
        <f>_xll.qlYieldTSDiscount($U$35,Y621,,Trigger)</f>
        <v>0.98444049996445593</v>
      </c>
    </row>
    <row r="622" spans="25:26" x14ac:dyDescent="0.25">
      <c r="Y622" s="63">
        <v>43155</v>
      </c>
      <c r="Z622" s="61">
        <f>_xll.qlYieldTSDiscount($U$35,Y622,,Trigger)</f>
        <v>0.98441384950456223</v>
      </c>
    </row>
    <row r="623" spans="25:26" x14ac:dyDescent="0.25">
      <c r="Y623" s="63">
        <v>43156</v>
      </c>
      <c r="Z623" s="61">
        <f>_xll.qlYieldTSDiscount($U$35,Y623,,Trigger)</f>
        <v>0.98438719431955768</v>
      </c>
    </row>
    <row r="624" spans="25:26" x14ac:dyDescent="0.25">
      <c r="Y624" s="63">
        <v>43157</v>
      </c>
      <c r="Z624" s="61">
        <f>_xll.qlYieldTSDiscount($U$35,Y624,,Trigger)</f>
        <v>0.98436053440022064</v>
      </c>
    </row>
    <row r="625" spans="25:26" x14ac:dyDescent="0.25">
      <c r="Y625" s="63">
        <v>43158</v>
      </c>
      <c r="Z625" s="61">
        <f>_xll.qlYieldTSDiscount($U$35,Y625,,Trigger)</f>
        <v>0.9843338697373295</v>
      </c>
    </row>
    <row r="626" spans="25:26" x14ac:dyDescent="0.25">
      <c r="Y626" s="63">
        <v>43159</v>
      </c>
      <c r="Z626" s="61">
        <f>_xll.qlYieldTSDiscount($U$35,Y626,,Trigger)</f>
        <v>0.98430720032166286</v>
      </c>
    </row>
    <row r="627" spans="25:26" x14ac:dyDescent="0.25">
      <c r="Y627" s="63">
        <v>43160</v>
      </c>
      <c r="Z627" s="61">
        <f>_xll.qlYieldTSDiscount($U$35,Y627,,Trigger)</f>
        <v>0.98428052614399919</v>
      </c>
    </row>
    <row r="628" spans="25:26" x14ac:dyDescent="0.25">
      <c r="Y628" s="63">
        <v>43161</v>
      </c>
      <c r="Z628" s="61">
        <f>_xll.qlYieldTSDiscount($U$35,Y628,,Trigger)</f>
        <v>0.98425384719511677</v>
      </c>
    </row>
    <row r="629" spans="25:26" x14ac:dyDescent="0.25">
      <c r="Y629" s="63">
        <v>43162</v>
      </c>
      <c r="Z629" s="61">
        <f>_xll.qlYieldTSDiscount($U$35,Y629,,Trigger)</f>
        <v>0.9842271634657942</v>
      </c>
    </row>
    <row r="630" spans="25:26" x14ac:dyDescent="0.25">
      <c r="Y630" s="63">
        <v>43163</v>
      </c>
      <c r="Z630" s="61">
        <f>_xll.qlYieldTSDiscount($U$35,Y630,,Trigger)</f>
        <v>0.98420047494680973</v>
      </c>
    </row>
    <row r="631" spans="25:26" x14ac:dyDescent="0.25">
      <c r="Y631" s="63">
        <v>43164</v>
      </c>
      <c r="Z631" s="61">
        <f>_xll.qlYieldTSDiscount($U$35,Y631,,Trigger)</f>
        <v>0.98417378162894209</v>
      </c>
    </row>
    <row r="632" spans="25:26" x14ac:dyDescent="0.25">
      <c r="Y632" s="63">
        <v>43165</v>
      </c>
      <c r="Z632" s="61">
        <f>_xll.qlYieldTSDiscount($U$35,Y632,,Trigger)</f>
        <v>0.98414708350296953</v>
      </c>
    </row>
    <row r="633" spans="25:26" x14ac:dyDescent="0.25">
      <c r="Y633" s="63">
        <v>43166</v>
      </c>
      <c r="Z633" s="61">
        <f>_xll.qlYieldTSDiscount($U$35,Y633,,Trigger)</f>
        <v>0.98412038055967044</v>
      </c>
    </row>
    <row r="634" spans="25:26" x14ac:dyDescent="0.25">
      <c r="Y634" s="63">
        <v>43167</v>
      </c>
      <c r="Z634" s="61">
        <f>_xll.qlYieldTSDiscount($U$35,Y634,,Trigger)</f>
        <v>0.98409367278982351</v>
      </c>
    </row>
    <row r="635" spans="25:26" x14ac:dyDescent="0.25">
      <c r="Y635" s="63">
        <v>43168</v>
      </c>
      <c r="Z635" s="61">
        <f>_xll.qlYieldTSDiscount($U$35,Y635,,Trigger)</f>
        <v>0.98406696018420692</v>
      </c>
    </row>
    <row r="636" spans="25:26" x14ac:dyDescent="0.25">
      <c r="Y636" s="63">
        <v>43169</v>
      </c>
      <c r="Z636" s="61">
        <f>_xll.qlYieldTSDiscount($U$35,Y636,,Trigger)</f>
        <v>0.98404024273359936</v>
      </c>
    </row>
    <row r="637" spans="25:26" x14ac:dyDescent="0.25">
      <c r="Y637" s="63">
        <v>43170</v>
      </c>
      <c r="Z637" s="61">
        <f>_xll.qlYieldTSDiscount($U$35,Y637,,Trigger)</f>
        <v>0.9840135204287791</v>
      </c>
    </row>
    <row r="638" spans="25:26" x14ac:dyDescent="0.25">
      <c r="Y638" s="63">
        <v>43171</v>
      </c>
      <c r="Z638" s="61">
        <f>_xll.qlYieldTSDiscount($U$35,Y638,,Trigger)</f>
        <v>0.98398679326052474</v>
      </c>
    </row>
    <row r="639" spans="25:26" x14ac:dyDescent="0.25">
      <c r="Y639" s="63">
        <v>43172</v>
      </c>
      <c r="Z639" s="61">
        <f>_xll.qlYieldTSDiscount($U$35,Y639,,Trigger)</f>
        <v>0.98396006121961455</v>
      </c>
    </row>
    <row r="640" spans="25:26" x14ac:dyDescent="0.25">
      <c r="Y640" s="63">
        <v>43173</v>
      </c>
      <c r="Z640" s="61">
        <f>_xll.qlYieldTSDiscount($U$35,Y640,,Trigger)</f>
        <v>0.98393332429682712</v>
      </c>
    </row>
    <row r="641" spans="25:26" x14ac:dyDescent="0.25">
      <c r="Y641" s="63">
        <v>43174</v>
      </c>
      <c r="Z641" s="61">
        <f>_xll.qlYieldTSDiscount($U$35,Y641,,Trigger)</f>
        <v>0.98390658248294072</v>
      </c>
    </row>
    <row r="642" spans="25:26" x14ac:dyDescent="0.25">
      <c r="Y642" s="63">
        <v>43175</v>
      </c>
      <c r="Z642" s="61">
        <f>_xll.qlYieldTSDiscount($U$35,Y642,,Trigger)</f>
        <v>0.98387983576873406</v>
      </c>
    </row>
    <row r="643" spans="25:26" x14ac:dyDescent="0.25">
      <c r="Y643" s="63">
        <v>43176</v>
      </c>
      <c r="Z643" s="61">
        <f>_xll.qlYieldTSDiscount($U$35,Y643,,Trigger)</f>
        <v>0.9838530841449854</v>
      </c>
    </row>
    <row r="644" spans="25:26" x14ac:dyDescent="0.25">
      <c r="Y644" s="63">
        <v>43177</v>
      </c>
      <c r="Z644" s="61">
        <f>_xll.qlYieldTSDiscount($U$35,Y644,,Trigger)</f>
        <v>0.98382632760247324</v>
      </c>
    </row>
    <row r="645" spans="25:26" x14ac:dyDescent="0.25">
      <c r="Y645" s="63">
        <v>43178</v>
      </c>
      <c r="Z645" s="61">
        <f>_xll.qlYieldTSDiscount($U$35,Y645,,Trigger)</f>
        <v>0.98379956613197594</v>
      </c>
    </row>
    <row r="646" spans="25:26" x14ac:dyDescent="0.25">
      <c r="Y646" s="63">
        <v>43179</v>
      </c>
      <c r="Z646" s="61">
        <f>_xll.qlYieldTSDiscount($U$35,Y646,,Trigger)</f>
        <v>0.98377279972427212</v>
      </c>
    </row>
    <row r="647" spans="25:26" x14ac:dyDescent="0.25">
      <c r="Y647" s="63">
        <v>43180</v>
      </c>
      <c r="Z647" s="61">
        <f>_xll.qlYieldTSDiscount($U$35,Y647,,Trigger)</f>
        <v>0.98374602837014014</v>
      </c>
    </row>
    <row r="648" spans="25:26" x14ac:dyDescent="0.25">
      <c r="Y648" s="63">
        <v>43181</v>
      </c>
      <c r="Z648" s="61">
        <f>_xll.qlYieldTSDiscount($U$35,Y648,,Trigger)</f>
        <v>0.98371925206035848</v>
      </c>
    </row>
    <row r="649" spans="25:26" x14ac:dyDescent="0.25">
      <c r="Y649" s="63">
        <v>43182</v>
      </c>
      <c r="Z649" s="61">
        <f>_xll.qlYieldTSDiscount($U$35,Y649,,Trigger)</f>
        <v>0.98369247078570543</v>
      </c>
    </row>
    <row r="650" spans="25:26" x14ac:dyDescent="0.25">
      <c r="Y650" s="63">
        <v>43183</v>
      </c>
      <c r="Z650" s="61">
        <f>_xll.qlYieldTSDiscount($U$35,Y650,,Trigger)</f>
        <v>0.98366568453695968</v>
      </c>
    </row>
    <row r="651" spans="25:26" x14ac:dyDescent="0.25">
      <c r="Y651" s="63">
        <v>43184</v>
      </c>
      <c r="Z651" s="61">
        <f>_xll.qlYieldTSDiscount($U$35,Y651,,Trigger)</f>
        <v>0.98363889330489951</v>
      </c>
    </row>
    <row r="652" spans="25:26" x14ac:dyDescent="0.25">
      <c r="Y652" s="63">
        <v>43185</v>
      </c>
      <c r="Z652" s="61">
        <f>_xll.qlYieldTSDiscount($U$35,Y652,,Trigger)</f>
        <v>0.98361209708030339</v>
      </c>
    </row>
    <row r="653" spans="25:26" x14ac:dyDescent="0.25">
      <c r="Y653" s="63">
        <v>43186</v>
      </c>
      <c r="Z653" s="61">
        <f>_xll.qlYieldTSDiscount($U$35,Y653,,Trigger)</f>
        <v>0.98358529585394983</v>
      </c>
    </row>
    <row r="654" spans="25:26" x14ac:dyDescent="0.25">
      <c r="Y654" s="63">
        <v>43187</v>
      </c>
      <c r="Z654" s="61">
        <f>_xll.qlYieldTSDiscount($U$35,Y654,,Trigger)</f>
        <v>0.98355848961661729</v>
      </c>
    </row>
    <row r="655" spans="25:26" x14ac:dyDescent="0.25">
      <c r="Y655" s="63">
        <v>43188</v>
      </c>
      <c r="Z655" s="61">
        <f>_xll.qlYieldTSDiscount($U$35,Y655,,Trigger)</f>
        <v>0.98353167835908406</v>
      </c>
    </row>
    <row r="656" spans="25:26" x14ac:dyDescent="0.25">
      <c r="Y656" s="63">
        <v>43189</v>
      </c>
      <c r="Z656" s="61">
        <f>_xll.qlYieldTSDiscount($U$35,Y656,,Trigger)</f>
        <v>0.98350486207212873</v>
      </c>
    </row>
    <row r="657" spans="25:26" x14ac:dyDescent="0.25">
      <c r="Y657" s="63">
        <v>43190</v>
      </c>
      <c r="Z657" s="61">
        <f>_xll.qlYieldTSDiscount($U$35,Y657,,Trigger)</f>
        <v>0.98347804074652978</v>
      </c>
    </row>
    <row r="658" spans="25:26" x14ac:dyDescent="0.25">
      <c r="Y658" s="63">
        <v>43191</v>
      </c>
      <c r="Z658" s="61">
        <f>_xll.qlYieldTSDiscount($U$35,Y658,,Trigger)</f>
        <v>0.98345121437306549</v>
      </c>
    </row>
    <row r="659" spans="25:26" x14ac:dyDescent="0.25">
      <c r="Y659" s="63">
        <v>43192</v>
      </c>
      <c r="Z659" s="61">
        <f>_xll.qlYieldTSDiscount($U$35,Y659,,Trigger)</f>
        <v>0.98342438294251444</v>
      </c>
    </row>
    <row r="660" spans="25:26" x14ac:dyDescent="0.25">
      <c r="Y660" s="63">
        <v>43193</v>
      </c>
      <c r="Z660" s="61">
        <f>_xll.qlYieldTSDiscount($U$35,Y660,,Trigger)</f>
        <v>0.98339754644565514</v>
      </c>
    </row>
    <row r="661" spans="25:26" x14ac:dyDescent="0.25">
      <c r="Y661" s="63">
        <v>43194</v>
      </c>
      <c r="Z661" s="61">
        <f>_xll.qlYieldTSDiscount($U$35,Y661,,Trigger)</f>
        <v>0.98337070487326583</v>
      </c>
    </row>
    <row r="662" spans="25:26" x14ac:dyDescent="0.25">
      <c r="Y662" s="63">
        <v>43195</v>
      </c>
      <c r="Z662" s="61">
        <f>_xll.qlYieldTSDiscount($U$35,Y662,,Trigger)</f>
        <v>0.98334385821612513</v>
      </c>
    </row>
    <row r="663" spans="25:26" x14ac:dyDescent="0.25">
      <c r="Y663" s="63">
        <v>43196</v>
      </c>
      <c r="Z663" s="61">
        <f>_xll.qlYieldTSDiscount($U$35,Y663,,Trigger)</f>
        <v>0.98331700646501141</v>
      </c>
    </row>
    <row r="664" spans="25:26" x14ac:dyDescent="0.25">
      <c r="Y664" s="63">
        <v>43197</v>
      </c>
      <c r="Z664" s="61">
        <f>_xll.qlYieldTSDiscount($U$35,Y664,,Trigger)</f>
        <v>0.98329014961070305</v>
      </c>
    </row>
    <row r="665" spans="25:26" x14ac:dyDescent="0.25">
      <c r="Y665" s="63">
        <v>43198</v>
      </c>
      <c r="Z665" s="61">
        <f>_xll.qlYieldTSDiscount($U$35,Y665,,Trigger)</f>
        <v>0.98326328764397875</v>
      </c>
    </row>
    <row r="666" spans="25:26" x14ac:dyDescent="0.25">
      <c r="Y666" s="63">
        <v>43199</v>
      </c>
      <c r="Z666" s="61">
        <f>_xll.qlYieldTSDiscount($U$35,Y666,,Trigger)</f>
        <v>0.98323642055561666</v>
      </c>
    </row>
    <row r="667" spans="25:26" x14ac:dyDescent="0.25">
      <c r="Y667" s="63">
        <v>43200</v>
      </c>
      <c r="Z667" s="61">
        <f>_xll.qlYieldTSDiscount($U$35,Y667,,Trigger)</f>
        <v>0.9832095483363954</v>
      </c>
    </row>
    <row r="668" spans="25:26" x14ac:dyDescent="0.25">
      <c r="Y668" s="63">
        <v>43201</v>
      </c>
      <c r="Z668" s="61">
        <f>_xll.qlYieldTSDiscount($U$35,Y668,,Trigger)</f>
        <v>0.98318267097709333</v>
      </c>
    </row>
    <row r="669" spans="25:26" x14ac:dyDescent="0.25">
      <c r="Y669" s="63">
        <v>43202</v>
      </c>
      <c r="Z669" s="61">
        <f>_xll.qlYieldTSDiscount($U$35,Y669,,Trigger)</f>
        <v>0.98315578846848906</v>
      </c>
    </row>
    <row r="670" spans="25:26" x14ac:dyDescent="0.25">
      <c r="Y670" s="63">
        <v>43203</v>
      </c>
      <c r="Z670" s="61">
        <f>_xll.qlYieldTSDiscount($U$35,Y670,,Trigger)</f>
        <v>0.98312890080136084</v>
      </c>
    </row>
    <row r="671" spans="25:26" x14ac:dyDescent="0.25">
      <c r="Y671" s="63">
        <v>43204</v>
      </c>
      <c r="Z671" s="61">
        <f>_xll.qlYieldTSDiscount($U$35,Y671,,Trigger)</f>
        <v>0.98310200796648717</v>
      </c>
    </row>
    <row r="672" spans="25:26" x14ac:dyDescent="0.25">
      <c r="Y672" s="63">
        <v>43205</v>
      </c>
      <c r="Z672" s="61">
        <f>_xll.qlYieldTSDiscount($U$35,Y672,,Trigger)</f>
        <v>0.98307510995464664</v>
      </c>
    </row>
    <row r="673" spans="25:26" x14ac:dyDescent="0.25">
      <c r="Y673" s="63">
        <v>43206</v>
      </c>
      <c r="Z673" s="61">
        <f>_xll.qlYieldTSDiscount($U$35,Y673,,Trigger)</f>
        <v>0.98304820675661742</v>
      </c>
    </row>
    <row r="674" spans="25:26" x14ac:dyDescent="0.25">
      <c r="Y674" s="63">
        <v>43207</v>
      </c>
      <c r="Z674" s="61">
        <f>_xll.qlYieldTSDiscount($U$35,Y674,,Trigger)</f>
        <v>0.9830212983631782</v>
      </c>
    </row>
    <row r="675" spans="25:26" x14ac:dyDescent="0.25">
      <c r="Y675" s="63">
        <v>43208</v>
      </c>
      <c r="Z675" s="61">
        <f>_xll.qlYieldTSDiscount($U$35,Y675,,Trigger)</f>
        <v>0.98299438476510737</v>
      </c>
    </row>
    <row r="676" spans="25:26" x14ac:dyDescent="0.25">
      <c r="Y676" s="63">
        <v>43209</v>
      </c>
      <c r="Z676" s="61">
        <f>_xll.qlYieldTSDiscount($U$35,Y676,,Trigger)</f>
        <v>0.98296746595318341</v>
      </c>
    </row>
    <row r="677" spans="25:26" x14ac:dyDescent="0.25">
      <c r="Y677" s="63">
        <v>43210</v>
      </c>
      <c r="Z677" s="61">
        <f>_xll.qlYieldTSDiscount($U$35,Y677,,Trigger)</f>
        <v>0.98294054191818458</v>
      </c>
    </row>
    <row r="678" spans="25:26" x14ac:dyDescent="0.25">
      <c r="Y678" s="63">
        <v>43211</v>
      </c>
      <c r="Z678" s="61">
        <f>_xll.qlYieldTSDiscount($U$35,Y678,,Trigger)</f>
        <v>0.98291361265088961</v>
      </c>
    </row>
    <row r="679" spans="25:26" x14ac:dyDescent="0.25">
      <c r="Y679" s="63">
        <v>43212</v>
      </c>
      <c r="Z679" s="61">
        <f>_xll.qlYieldTSDiscount($U$35,Y679,,Trigger)</f>
        <v>0.98288667814207664</v>
      </c>
    </row>
    <row r="680" spans="25:26" x14ac:dyDescent="0.25">
      <c r="Y680" s="63">
        <v>43213</v>
      </c>
      <c r="Z680" s="61">
        <f>_xll.qlYieldTSDiscount($U$35,Y680,,Trigger)</f>
        <v>0.98285973838252438</v>
      </c>
    </row>
    <row r="681" spans="25:26" x14ac:dyDescent="0.25">
      <c r="Y681" s="63">
        <v>43214</v>
      </c>
      <c r="Z681" s="61">
        <f>_xll.qlYieldTSDiscount($U$35,Y681,,Trigger)</f>
        <v>0.9828327933630111</v>
      </c>
    </row>
    <row r="682" spans="25:26" x14ac:dyDescent="0.25">
      <c r="Y682" s="63">
        <v>43215</v>
      </c>
      <c r="Z682" s="61">
        <f>_xll.qlYieldTSDiscount($U$35,Y682,,Trigger)</f>
        <v>0.9828058430743154</v>
      </c>
    </row>
    <row r="683" spans="25:26" x14ac:dyDescent="0.25">
      <c r="Y683" s="63">
        <v>43216</v>
      </c>
      <c r="Z683" s="61">
        <f>_xll.qlYieldTSDiscount($U$35,Y683,,Trigger)</f>
        <v>0.98277888750721565</v>
      </c>
    </row>
    <row r="684" spans="25:26" x14ac:dyDescent="0.25">
      <c r="Y684" s="63">
        <v>43217</v>
      </c>
      <c r="Z684" s="61">
        <f>_xll.qlYieldTSDiscount($U$35,Y684,,Trigger)</f>
        <v>0.98275192665249023</v>
      </c>
    </row>
    <row r="685" spans="25:26" x14ac:dyDescent="0.25">
      <c r="Y685" s="63">
        <v>43218</v>
      </c>
      <c r="Z685" s="61">
        <f>_xll.qlYieldTSDiscount($U$35,Y685,,Trigger)</f>
        <v>0.98272496050091762</v>
      </c>
    </row>
    <row r="686" spans="25:26" x14ac:dyDescent="0.25">
      <c r="Y686" s="63">
        <v>43219</v>
      </c>
      <c r="Z686" s="61">
        <f>_xll.qlYieldTSDiscount($U$35,Y686,,Trigger)</f>
        <v>0.98269798904327643</v>
      </c>
    </row>
    <row r="687" spans="25:26" x14ac:dyDescent="0.25">
      <c r="Y687" s="63">
        <v>43220</v>
      </c>
      <c r="Z687" s="61">
        <f>_xll.qlYieldTSDiscount($U$35,Y687,,Trigger)</f>
        <v>0.98267101227034492</v>
      </c>
    </row>
    <row r="688" spans="25:26" x14ac:dyDescent="0.25">
      <c r="Y688" s="63">
        <v>43221</v>
      </c>
      <c r="Z688" s="61">
        <f>_xll.qlYieldTSDiscount($U$35,Y688,,Trigger)</f>
        <v>0.98264403017290158</v>
      </c>
    </row>
    <row r="689" spans="25:26" x14ac:dyDescent="0.25">
      <c r="Y689" s="63">
        <v>43222</v>
      </c>
      <c r="Z689" s="61">
        <f>_xll.qlYieldTSDiscount($U$35,Y689,,Trigger)</f>
        <v>0.9826170427417249</v>
      </c>
    </row>
    <row r="690" spans="25:26" x14ac:dyDescent="0.25">
      <c r="Y690" s="63">
        <v>43223</v>
      </c>
      <c r="Z690" s="61">
        <f>_xll.qlYieldTSDiscount($U$35,Y690,,Trigger)</f>
        <v>0.98259004996759325</v>
      </c>
    </row>
    <row r="691" spans="25:26" x14ac:dyDescent="0.25">
      <c r="Y691" s="63">
        <v>43224</v>
      </c>
      <c r="Z691" s="61">
        <f>_xll.qlYieldTSDiscount($U$35,Y691,,Trigger)</f>
        <v>0.98256305184128512</v>
      </c>
    </row>
    <row r="692" spans="25:26" x14ac:dyDescent="0.25">
      <c r="Y692" s="63">
        <v>43225</v>
      </c>
      <c r="Z692" s="61">
        <f>_xll.qlYieldTSDiscount($U$35,Y692,,Trigger)</f>
        <v>0.98253604835357899</v>
      </c>
    </row>
    <row r="693" spans="25:26" x14ac:dyDescent="0.25">
      <c r="Y693" s="63">
        <v>43226</v>
      </c>
      <c r="Z693" s="61">
        <f>_xll.qlYieldTSDiscount($U$35,Y693,,Trigger)</f>
        <v>0.98250903949525337</v>
      </c>
    </row>
    <row r="694" spans="25:26" x14ac:dyDescent="0.25">
      <c r="Y694" s="63">
        <v>43227</v>
      </c>
      <c r="Z694" s="61">
        <f>_xll.qlYieldTSDiscount($U$35,Y694,,Trigger)</f>
        <v>0.9824820252570865</v>
      </c>
    </row>
    <row r="695" spans="25:26" x14ac:dyDescent="0.25">
      <c r="Y695" s="63">
        <v>43228</v>
      </c>
      <c r="Z695" s="61">
        <f>_xll.qlYieldTSDiscount($U$35,Y695,,Trigger)</f>
        <v>0.98245500562985699</v>
      </c>
    </row>
    <row r="696" spans="25:26" x14ac:dyDescent="0.25">
      <c r="Y696" s="63">
        <v>43229</v>
      </c>
      <c r="Z696" s="61">
        <f>_xll.qlYieldTSDiscount($U$35,Y696,,Trigger)</f>
        <v>0.98242798060434322</v>
      </c>
    </row>
    <row r="697" spans="25:26" x14ac:dyDescent="0.25">
      <c r="Y697" s="63">
        <v>43230</v>
      </c>
      <c r="Z697" s="61">
        <f>_xll.qlYieldTSDiscount($U$35,Y697,,Trigger)</f>
        <v>0.98240095017132378</v>
      </c>
    </row>
    <row r="698" spans="25:26" x14ac:dyDescent="0.25">
      <c r="Y698" s="63">
        <v>43231</v>
      </c>
      <c r="Z698" s="61">
        <f>_xll.qlYieldTSDiscount($U$35,Y698,,Trigger)</f>
        <v>0.98237391432157684</v>
      </c>
    </row>
    <row r="699" spans="25:26" x14ac:dyDescent="0.25">
      <c r="Y699" s="63">
        <v>43232</v>
      </c>
      <c r="Z699" s="61">
        <f>_xll.qlYieldTSDiscount($U$35,Y699,,Trigger)</f>
        <v>0.98234687304588109</v>
      </c>
    </row>
    <row r="700" spans="25:26" x14ac:dyDescent="0.25">
      <c r="Y700" s="63">
        <v>43233</v>
      </c>
      <c r="Z700" s="61">
        <f>_xll.qlYieldTSDiscount($U$35,Y700,,Trigger)</f>
        <v>0.98231982633501491</v>
      </c>
    </row>
    <row r="701" spans="25:26" x14ac:dyDescent="0.25">
      <c r="Y701" s="63">
        <v>43234</v>
      </c>
      <c r="Z701" s="61">
        <f>_xll.qlYieldTSDiscount($U$35,Y701,,Trigger)</f>
        <v>0.98229277417975669</v>
      </c>
    </row>
    <row r="702" spans="25:26" x14ac:dyDescent="0.25">
      <c r="Y702" s="63">
        <v>43235</v>
      </c>
      <c r="Z702" s="61">
        <f>_xll.qlYieldTSDiscount($U$35,Y702,,Trigger)</f>
        <v>0.98226571657088491</v>
      </c>
    </row>
    <row r="703" spans="25:26" x14ac:dyDescent="0.25">
      <c r="Y703" s="63">
        <v>43236</v>
      </c>
      <c r="Z703" s="61">
        <f>_xll.qlYieldTSDiscount($U$35,Y703,,Trigger)</f>
        <v>0.98223865349917816</v>
      </c>
    </row>
    <row r="704" spans="25:26" x14ac:dyDescent="0.25">
      <c r="Y704" s="63">
        <v>43237</v>
      </c>
      <c r="Z704" s="61">
        <f>_xll.qlYieldTSDiscount($U$35,Y704,,Trigger)</f>
        <v>0.98221158495541461</v>
      </c>
    </row>
    <row r="705" spans="25:26" x14ac:dyDescent="0.25">
      <c r="Y705" s="63">
        <v>43238</v>
      </c>
      <c r="Z705" s="61">
        <f>_xll.qlYieldTSDiscount($U$35,Y705,,Trigger)</f>
        <v>0.98218451093037284</v>
      </c>
    </row>
    <row r="706" spans="25:26" x14ac:dyDescent="0.25">
      <c r="Y706" s="63">
        <v>43239</v>
      </c>
      <c r="Z706" s="61">
        <f>_xll.qlYieldTSDiscount($U$35,Y706,,Trigger)</f>
        <v>0.98215743141483147</v>
      </c>
    </row>
    <row r="707" spans="25:26" x14ac:dyDescent="0.25">
      <c r="Y707" s="63">
        <v>43240</v>
      </c>
      <c r="Z707" s="61">
        <f>_xll.qlYieldTSDiscount($U$35,Y707,,Trigger)</f>
        <v>0.98213034639956864</v>
      </c>
    </row>
    <row r="708" spans="25:26" x14ac:dyDescent="0.25">
      <c r="Y708" s="63">
        <v>43241</v>
      </c>
      <c r="Z708" s="61">
        <f>_xll.qlYieldTSDiscount($U$35,Y708,,Trigger)</f>
        <v>0.98210325587536296</v>
      </c>
    </row>
    <row r="709" spans="25:26" x14ac:dyDescent="0.25">
      <c r="Y709" s="63">
        <v>43242</v>
      </c>
      <c r="Z709" s="61">
        <f>_xll.qlYieldTSDiscount($U$35,Y709,,Trigger)</f>
        <v>0.9820761598329929</v>
      </c>
    </row>
    <row r="710" spans="25:26" x14ac:dyDescent="0.25">
      <c r="Y710" s="63">
        <v>43243</v>
      </c>
      <c r="Z710" s="61">
        <f>_xll.qlYieldTSDiscount($U$35,Y710,,Trigger)</f>
        <v>0.98204905826323685</v>
      </c>
    </row>
    <row r="711" spans="25:26" x14ac:dyDescent="0.25">
      <c r="Y711" s="63">
        <v>43244</v>
      </c>
      <c r="Z711" s="61">
        <f>_xll.qlYieldTSDiscount($U$35,Y711,,Trigger)</f>
        <v>0.9820219511568733</v>
      </c>
    </row>
    <row r="712" spans="25:26" x14ac:dyDescent="0.25">
      <c r="Y712" s="63">
        <v>43245</v>
      </c>
      <c r="Z712" s="61">
        <f>_xll.qlYieldTSDiscount($U$35,Y712,,Trigger)</f>
        <v>0.98199483850468072</v>
      </c>
    </row>
    <row r="713" spans="25:26" x14ac:dyDescent="0.25">
      <c r="Y713" s="63">
        <v>43246</v>
      </c>
      <c r="Z713" s="61">
        <f>_xll.qlYieldTSDiscount($U$35,Y713,,Trigger)</f>
        <v>0.9819677202974374</v>
      </c>
    </row>
    <row r="714" spans="25:26" x14ac:dyDescent="0.25">
      <c r="Y714" s="63">
        <v>43247</v>
      </c>
      <c r="Z714" s="61">
        <f>_xll.qlYieldTSDiscount($U$35,Y714,,Trigger)</f>
        <v>0.98194059652592203</v>
      </c>
    </row>
    <row r="715" spans="25:26" x14ac:dyDescent="0.25">
      <c r="Y715" s="63">
        <v>43248</v>
      </c>
      <c r="Z715" s="61">
        <f>_xll.qlYieldTSDiscount($U$35,Y715,,Trigger)</f>
        <v>0.98191346718091288</v>
      </c>
    </row>
    <row r="716" spans="25:26" x14ac:dyDescent="0.25">
      <c r="Y716" s="63">
        <v>43249</v>
      </c>
      <c r="Z716" s="61">
        <f>_xll.qlYieldTSDiscount($U$35,Y716,,Trigger)</f>
        <v>0.98188633225318833</v>
      </c>
    </row>
    <row r="717" spans="25:26" x14ac:dyDescent="0.25">
      <c r="Y717" s="63">
        <v>43250</v>
      </c>
      <c r="Z717" s="61">
        <f>_xll.qlYieldTSDiscount($U$35,Y717,,Trigger)</f>
        <v>0.98185919173352709</v>
      </c>
    </row>
    <row r="718" spans="25:26" x14ac:dyDescent="0.25">
      <c r="Y718" s="63">
        <v>43251</v>
      </c>
      <c r="Z718" s="61">
        <f>_xll.qlYieldTSDiscount($U$35,Y718,,Trigger)</f>
        <v>0.98183204561270743</v>
      </c>
    </row>
    <row r="719" spans="25:26" x14ac:dyDescent="0.25">
      <c r="Y719" s="63">
        <v>43252</v>
      </c>
      <c r="Z719" s="61">
        <f>_xll.qlYieldTSDiscount($U$35,Y719,,Trigger)</f>
        <v>0.98180489388150782</v>
      </c>
    </row>
    <row r="720" spans="25:26" x14ac:dyDescent="0.25">
      <c r="Y720" s="63">
        <v>43253</v>
      </c>
      <c r="Z720" s="61">
        <f>_xll.qlYieldTSDiscount($U$35,Y720,,Trigger)</f>
        <v>0.98177773653070666</v>
      </c>
    </row>
    <row r="721" spans="25:26" x14ac:dyDescent="0.25">
      <c r="Y721" s="63">
        <v>43254</v>
      </c>
      <c r="Z721" s="61">
        <f>_xll.qlYieldTSDiscount($U$35,Y721,,Trigger)</f>
        <v>0.98175057355108253</v>
      </c>
    </row>
    <row r="722" spans="25:26" x14ac:dyDescent="0.25">
      <c r="Y722" s="63">
        <v>43255</v>
      </c>
      <c r="Z722" s="61">
        <f>_xll.qlYieldTSDiscount($U$35,Y722,,Trigger)</f>
        <v>0.98172340493341381</v>
      </c>
    </row>
    <row r="723" spans="25:26" x14ac:dyDescent="0.25">
      <c r="Y723" s="63">
        <v>43256</v>
      </c>
      <c r="Z723" s="61">
        <f>_xll.qlYieldTSDiscount($U$35,Y723,,Trigger)</f>
        <v>0.98169623066847889</v>
      </c>
    </row>
    <row r="724" spans="25:26" x14ac:dyDescent="0.25">
      <c r="Y724" s="63">
        <v>43257</v>
      </c>
      <c r="Z724" s="61">
        <f>_xll.qlYieldTSDiscount($U$35,Y724,,Trigger)</f>
        <v>0.98166905074705624</v>
      </c>
    </row>
    <row r="725" spans="25:26" x14ac:dyDescent="0.25">
      <c r="Y725" s="63">
        <v>43258</v>
      </c>
      <c r="Z725" s="61">
        <f>_xll.qlYieldTSDiscount($U$35,Y725,,Trigger)</f>
        <v>0.98164186515992435</v>
      </c>
    </row>
    <row r="726" spans="25:26" x14ac:dyDescent="0.25">
      <c r="Y726" s="63">
        <v>43259</v>
      </c>
      <c r="Z726" s="61">
        <f>_xll.qlYieldTSDiscount($U$35,Y726,,Trigger)</f>
        <v>0.98161467389786161</v>
      </c>
    </row>
    <row r="727" spans="25:26" x14ac:dyDescent="0.25">
      <c r="Y727" s="63">
        <v>43260</v>
      </c>
      <c r="Z727" s="61">
        <f>_xll.qlYieldTSDiscount($U$35,Y727,,Trigger)</f>
        <v>0.98158747695164661</v>
      </c>
    </row>
    <row r="728" spans="25:26" x14ac:dyDescent="0.25">
      <c r="Y728" s="63">
        <v>43261</v>
      </c>
      <c r="Z728" s="61">
        <f>_xll.qlYieldTSDiscount($U$35,Y728,,Trigger)</f>
        <v>0.98156027431205761</v>
      </c>
    </row>
    <row r="729" spans="25:26" x14ac:dyDescent="0.25">
      <c r="Y729" s="63">
        <v>43262</v>
      </c>
      <c r="Z729" s="61">
        <f>_xll.qlYieldTSDiscount($U$35,Y729,,Trigger)</f>
        <v>0.98153306596987322</v>
      </c>
    </row>
    <row r="730" spans="25:26" x14ac:dyDescent="0.25">
      <c r="Y730" s="63">
        <v>43263</v>
      </c>
      <c r="Z730" s="61">
        <f>_xll.qlYieldTSDiscount($U$35,Y730,,Trigger)</f>
        <v>0.98150585191587181</v>
      </c>
    </row>
    <row r="731" spans="25:26" x14ac:dyDescent="0.25">
      <c r="Y731" s="63">
        <v>43264</v>
      </c>
      <c r="Z731" s="61">
        <f>_xll.qlYieldTSDiscount($U$35,Y731,,Trigger)</f>
        <v>0.98147863214083175</v>
      </c>
    </row>
    <row r="732" spans="25:26" x14ac:dyDescent="0.25">
      <c r="Y732" s="63">
        <v>43265</v>
      </c>
      <c r="Z732" s="61">
        <f>_xll.qlYieldTSDiscount($U$35,Y732,,Trigger)</f>
        <v>0.98145140663553165</v>
      </c>
    </row>
    <row r="733" spans="25:26" x14ac:dyDescent="0.25">
      <c r="Y733" s="63">
        <v>43266</v>
      </c>
      <c r="Z733" s="61">
        <f>_xll.qlYieldTSDiscount($U$35,Y733,,Trigger)</f>
        <v>0.98142417539074978</v>
      </c>
    </row>
    <row r="734" spans="25:26" x14ac:dyDescent="0.25">
      <c r="Y734" s="63">
        <v>43267</v>
      </c>
      <c r="Z734" s="61">
        <f>_xll.qlYieldTSDiscount($U$35,Y734,,Trigger)</f>
        <v>0.98139693839726472</v>
      </c>
    </row>
    <row r="735" spans="25:26" x14ac:dyDescent="0.25">
      <c r="Y735" s="63">
        <v>43268</v>
      </c>
      <c r="Z735" s="61">
        <f>_xll.qlYieldTSDiscount($U$35,Y735,,Trigger)</f>
        <v>0.98136969564585497</v>
      </c>
    </row>
    <row r="736" spans="25:26" x14ac:dyDescent="0.25">
      <c r="Y736" s="63">
        <v>43269</v>
      </c>
      <c r="Z736" s="61">
        <f>_xll.qlYieldTSDiscount($U$35,Y736,,Trigger)</f>
        <v>0.98134244712729879</v>
      </c>
    </row>
    <row r="737" spans="25:26" x14ac:dyDescent="0.25">
      <c r="Y737" s="63">
        <v>43270</v>
      </c>
      <c r="Z737" s="61">
        <f>_xll.qlYieldTSDiscount($U$35,Y737,,Trigger)</f>
        <v>0.98131519283237467</v>
      </c>
    </row>
    <row r="738" spans="25:26" x14ac:dyDescent="0.25">
      <c r="Y738" s="63">
        <v>43271</v>
      </c>
      <c r="Z738" s="61">
        <f>_xll.qlYieldTSDiscount($U$35,Y738,,Trigger)</f>
        <v>0.98128793275186121</v>
      </c>
    </row>
    <row r="739" spans="25:26" x14ac:dyDescent="0.25">
      <c r="Y739" s="63">
        <v>43272</v>
      </c>
      <c r="Z739" s="61">
        <f>_xll.qlYieldTSDiscount($U$35,Y739,,Trigger)</f>
        <v>0.98126066687653668</v>
      </c>
    </row>
    <row r="740" spans="25:26" x14ac:dyDescent="0.25">
      <c r="Y740" s="63">
        <v>43273</v>
      </c>
      <c r="Z740" s="61">
        <f>_xll.qlYieldTSDiscount($U$35,Y740,,Trigger)</f>
        <v>0.98123339519717967</v>
      </c>
    </row>
    <row r="741" spans="25:26" x14ac:dyDescent="0.25">
      <c r="Y741" s="63">
        <v>43274</v>
      </c>
      <c r="Z741" s="61">
        <f>_xll.qlYieldTSDiscount($U$35,Y741,,Trigger)</f>
        <v>0.98120611770456856</v>
      </c>
    </row>
    <row r="742" spans="25:26" x14ac:dyDescent="0.25">
      <c r="Y742" s="63">
        <v>43275</v>
      </c>
      <c r="Z742" s="61">
        <f>_xll.qlYieldTSDiscount($U$35,Y742,,Trigger)</f>
        <v>0.98117883438948184</v>
      </c>
    </row>
    <row r="743" spans="25:26" x14ac:dyDescent="0.25">
      <c r="Y743" s="63">
        <v>43276</v>
      </c>
      <c r="Z743" s="61">
        <f>_xll.qlYieldTSDiscount($U$35,Y743,,Trigger)</f>
        <v>0.98115154524269776</v>
      </c>
    </row>
    <row r="744" spans="25:26" x14ac:dyDescent="0.25">
      <c r="Y744" s="63">
        <v>43277</v>
      </c>
      <c r="Z744" s="61">
        <f>_xll.qlYieldTSDiscount($U$35,Y744,,Trigger)</f>
        <v>0.98112425025499506</v>
      </c>
    </row>
    <row r="745" spans="25:26" x14ac:dyDescent="0.25">
      <c r="Y745" s="63">
        <v>43278</v>
      </c>
      <c r="Z745" s="61">
        <f>_xll.qlYieldTSDiscount($U$35,Y745,,Trigger)</f>
        <v>0.98109694941715209</v>
      </c>
    </row>
    <row r="746" spans="25:26" x14ac:dyDescent="0.25">
      <c r="Y746" s="63">
        <v>43279</v>
      </c>
      <c r="Z746" s="61">
        <f>_xll.qlYieldTSDiscount($U$35,Y746,,Trigger)</f>
        <v>0.98106964271994712</v>
      </c>
    </row>
    <row r="747" spans="25:26" x14ac:dyDescent="0.25">
      <c r="Y747" s="63">
        <v>43280</v>
      </c>
      <c r="Z747" s="61">
        <f>_xll.qlYieldTSDiscount($U$35,Y747,,Trigger)</f>
        <v>0.98104233015415887</v>
      </c>
    </row>
    <row r="748" spans="25:26" x14ac:dyDescent="0.25">
      <c r="Y748" s="63">
        <v>43281</v>
      </c>
      <c r="Z748" s="61">
        <f>_xll.qlYieldTSDiscount($U$35,Y748,,Trigger)</f>
        <v>0.9810150117105656</v>
      </c>
    </row>
    <row r="749" spans="25:26" x14ac:dyDescent="0.25">
      <c r="Y749" s="63">
        <v>43282</v>
      </c>
      <c r="Z749" s="61">
        <f>_xll.qlYieldTSDiscount($U$35,Y749,,Trigger)</f>
        <v>0.98098768737994579</v>
      </c>
    </row>
    <row r="750" spans="25:26" x14ac:dyDescent="0.25">
      <c r="Y750" s="63">
        <v>43283</v>
      </c>
      <c r="Z750" s="61">
        <f>_xll.qlYieldTSDiscount($U$35,Y750,,Trigger)</f>
        <v>0.98096035715307794</v>
      </c>
    </row>
    <row r="751" spans="25:26" x14ac:dyDescent="0.25">
      <c r="Y751" s="63">
        <v>43284</v>
      </c>
      <c r="Z751" s="61">
        <f>_xll.qlYieldTSDiscount($U$35,Y751,,Trigger)</f>
        <v>0.98093302102074043</v>
      </c>
    </row>
    <row r="752" spans="25:26" x14ac:dyDescent="0.25">
      <c r="Y752" s="63">
        <v>43285</v>
      </c>
      <c r="Z752" s="61">
        <f>_xll.qlYieldTSDiscount($U$35,Y752,,Trigger)</f>
        <v>0.98090567897371173</v>
      </c>
    </row>
    <row r="753" spans="25:26" x14ac:dyDescent="0.25">
      <c r="Y753" s="63">
        <v>43286</v>
      </c>
      <c r="Z753" s="61">
        <f>_xll.qlYieldTSDiscount($U$35,Y753,,Trigger)</f>
        <v>0.98087833100277033</v>
      </c>
    </row>
    <row r="754" spans="25:26" x14ac:dyDescent="0.25">
      <c r="Y754" s="63">
        <v>43287</v>
      </c>
      <c r="Z754" s="61">
        <f>_xll.qlYieldTSDiscount($U$35,Y754,,Trigger)</f>
        <v>0.98085097709869473</v>
      </c>
    </row>
    <row r="755" spans="25:26" x14ac:dyDescent="0.25">
      <c r="Y755" s="63">
        <v>43288</v>
      </c>
      <c r="Z755" s="61">
        <f>_xll.qlYieldTSDiscount($U$35,Y755,,Trigger)</f>
        <v>0.98082361725226319</v>
      </c>
    </row>
    <row r="756" spans="25:26" x14ac:dyDescent="0.25">
      <c r="Y756" s="63">
        <v>43289</v>
      </c>
      <c r="Z756" s="61">
        <f>_xll.qlYieldTSDiscount($U$35,Y756,,Trigger)</f>
        <v>0.98079625145425431</v>
      </c>
    </row>
    <row r="757" spans="25:26" x14ac:dyDescent="0.25">
      <c r="Y757" s="63">
        <v>43290</v>
      </c>
      <c r="Z757" s="61">
        <f>_xll.qlYieldTSDiscount($U$35,Y757,,Trigger)</f>
        <v>0.98076887969544657</v>
      </c>
    </row>
    <row r="758" spans="25:26" x14ac:dyDescent="0.25">
      <c r="Y758" s="63">
        <v>43291</v>
      </c>
      <c r="Z758" s="61">
        <f>_xll.qlYieldTSDiscount($U$35,Y758,,Trigger)</f>
        <v>0.98074150196661825</v>
      </c>
    </row>
    <row r="759" spans="25:26" x14ac:dyDescent="0.25">
      <c r="Y759" s="63">
        <v>43292</v>
      </c>
      <c r="Z759" s="61">
        <f>_xll.qlYieldTSDiscount($U$35,Y759,,Trigger)</f>
        <v>0.98071411825854782</v>
      </c>
    </row>
    <row r="760" spans="25:26" x14ac:dyDescent="0.25">
      <c r="Y760" s="63">
        <v>43293</v>
      </c>
      <c r="Z760" s="61">
        <f>_xll.qlYieldTSDiscount($U$35,Y760,,Trigger)</f>
        <v>0.98068672856201389</v>
      </c>
    </row>
    <row r="761" spans="25:26" x14ac:dyDescent="0.25">
      <c r="Y761" s="63">
        <v>43294</v>
      </c>
      <c r="Z761" s="61">
        <f>_xll.qlYieldTSDiscount($U$35,Y761,,Trigger)</f>
        <v>0.98065933286779483</v>
      </c>
    </row>
    <row r="762" spans="25:26" x14ac:dyDescent="0.25">
      <c r="Y762" s="63">
        <v>43295</v>
      </c>
      <c r="Z762" s="61">
        <f>_xll.qlYieldTSDiscount($U$35,Y762,,Trigger)</f>
        <v>0.98063193116799119</v>
      </c>
    </row>
    <row r="763" spans="25:26" x14ac:dyDescent="0.25">
      <c r="Y763" s="63">
        <v>43296</v>
      </c>
      <c r="Z763" s="61">
        <f>_xll.qlYieldTSDiscount($U$35,Y763,,Trigger)</f>
        <v>0.98060452345999249</v>
      </c>
    </row>
    <row r="764" spans="25:26" x14ac:dyDescent="0.25">
      <c r="Y764" s="63">
        <v>43297</v>
      </c>
      <c r="Z764" s="61">
        <f>_xll.qlYieldTSDiscount($U$35,Y764,,Trigger)</f>
        <v>0.98057710974251</v>
      </c>
    </row>
    <row r="765" spans="25:26" x14ac:dyDescent="0.25">
      <c r="Y765" s="63">
        <v>43298</v>
      </c>
      <c r="Z765" s="61">
        <f>_xll.qlYieldTSDiscount($U$35,Y765,,Trigger)</f>
        <v>0.98054969001425552</v>
      </c>
    </row>
    <row r="766" spans="25:26" x14ac:dyDescent="0.25">
      <c r="Y766" s="63">
        <v>43299</v>
      </c>
      <c r="Z766" s="61">
        <f>_xll.qlYieldTSDiscount($U$35,Y766,,Trigger)</f>
        <v>0.9805222642739404</v>
      </c>
    </row>
    <row r="767" spans="25:26" x14ac:dyDescent="0.25">
      <c r="Y767" s="63">
        <v>43300</v>
      </c>
      <c r="Z767" s="61">
        <f>_xll.qlYieldTSDiscount($U$35,Y767,,Trigger)</f>
        <v>0.98049483252027625</v>
      </c>
    </row>
    <row r="768" spans="25:26" x14ac:dyDescent="0.25">
      <c r="Y768" s="63">
        <v>43301</v>
      </c>
      <c r="Z768" s="61">
        <f>_xll.qlYieldTSDiscount($U$35,Y768,,Trigger)</f>
        <v>0.98046739475197464</v>
      </c>
    </row>
    <row r="769" spans="25:26" x14ac:dyDescent="0.25">
      <c r="Y769" s="63">
        <v>43302</v>
      </c>
      <c r="Z769" s="61">
        <f>_xll.qlYieldTSDiscount($U$35,Y769,,Trigger)</f>
        <v>0.98043995096774694</v>
      </c>
    </row>
    <row r="770" spans="25:26" x14ac:dyDescent="0.25">
      <c r="Y770" s="63">
        <v>43303</v>
      </c>
      <c r="Z770" s="61">
        <f>_xll.qlYieldTSDiscount($U$35,Y770,,Trigger)</f>
        <v>0.98041250116630496</v>
      </c>
    </row>
    <row r="771" spans="25:26" x14ac:dyDescent="0.25">
      <c r="Y771" s="63">
        <v>43304</v>
      </c>
      <c r="Z771" s="61">
        <f>_xll.qlYieldTSDiscount($U$35,Y771,,Trigger)</f>
        <v>0.98038504534635995</v>
      </c>
    </row>
    <row r="772" spans="25:26" x14ac:dyDescent="0.25">
      <c r="Y772" s="63">
        <v>43305</v>
      </c>
      <c r="Z772" s="61">
        <f>_xll.qlYieldTSDiscount($U$35,Y772,,Trigger)</f>
        <v>0.9803575835066235</v>
      </c>
    </row>
    <row r="773" spans="25:26" x14ac:dyDescent="0.25">
      <c r="Y773" s="63">
        <v>43306</v>
      </c>
      <c r="Z773" s="61">
        <f>_xll.qlYieldTSDiscount($U$35,Y773,,Trigger)</f>
        <v>0.9803301156458073</v>
      </c>
    </row>
    <row r="774" spans="25:26" x14ac:dyDescent="0.25">
      <c r="Y774" s="63">
        <v>43307</v>
      </c>
      <c r="Z774" s="61">
        <f>_xll.qlYieldTSDiscount($U$35,Y774,,Trigger)</f>
        <v>0.98030264176262272</v>
      </c>
    </row>
    <row r="775" spans="25:26" x14ac:dyDescent="0.25">
      <c r="Y775" s="63">
        <v>43308</v>
      </c>
      <c r="Z775" s="61">
        <f>_xll.qlYieldTSDiscount($U$35,Y775,,Trigger)</f>
        <v>0.98027516185578134</v>
      </c>
    </row>
    <row r="776" spans="25:26" x14ac:dyDescent="0.25">
      <c r="Y776" s="63">
        <v>43309</v>
      </c>
      <c r="Z776" s="61">
        <f>_xll.qlYieldTSDiscount($U$35,Y776,,Trigger)</f>
        <v>0.98024767592399475</v>
      </c>
    </row>
    <row r="777" spans="25:26" x14ac:dyDescent="0.25">
      <c r="Y777" s="63">
        <v>43310</v>
      </c>
      <c r="Z777" s="61">
        <f>_xll.qlYieldTSDiscount($U$35,Y777,,Trigger)</f>
        <v>0.98022018396597432</v>
      </c>
    </row>
    <row r="778" spans="25:26" x14ac:dyDescent="0.25">
      <c r="Y778" s="63">
        <v>43311</v>
      </c>
      <c r="Z778" s="61">
        <f>_xll.qlYieldTSDiscount($U$35,Y778,,Trigger)</f>
        <v>0.98019268598043185</v>
      </c>
    </row>
    <row r="779" spans="25:26" x14ac:dyDescent="0.25">
      <c r="Y779" s="63">
        <v>43312</v>
      </c>
      <c r="Z779" s="61">
        <f>_xll.qlYieldTSDiscount($U$35,Y779,,Trigger)</f>
        <v>0.9801651819660786</v>
      </c>
    </row>
    <row r="780" spans="25:26" x14ac:dyDescent="0.25">
      <c r="Y780" s="63">
        <v>43313</v>
      </c>
      <c r="Z780" s="61">
        <f>_xll.qlYieldTSDiscount($U$35,Y780,,Trigger)</f>
        <v>0.98013767192162615</v>
      </c>
    </row>
    <row r="781" spans="25:26" x14ac:dyDescent="0.25">
      <c r="Y781" s="63">
        <v>43314</v>
      </c>
      <c r="Z781" s="61">
        <f>_xll.qlYieldTSDiscount($U$35,Y781,,Trigger)</f>
        <v>0.9801101558457862</v>
      </c>
    </row>
    <row r="782" spans="25:26" x14ac:dyDescent="0.25">
      <c r="Y782" s="63">
        <v>43315</v>
      </c>
      <c r="Z782" s="61">
        <f>_xll.qlYieldTSDiscount($U$35,Y782,,Trigger)</f>
        <v>0.98008263373727023</v>
      </c>
    </row>
    <row r="783" spans="25:26" x14ac:dyDescent="0.25">
      <c r="Y783" s="63">
        <v>43316</v>
      </c>
      <c r="Z783" s="61">
        <f>_xll.qlYieldTSDiscount($U$35,Y783,,Trigger)</f>
        <v>0.98005510559478959</v>
      </c>
    </row>
    <row r="784" spans="25:26" x14ac:dyDescent="0.25">
      <c r="Y784" s="63">
        <v>43317</v>
      </c>
      <c r="Z784" s="61">
        <f>_xll.qlYieldTSDiscount($U$35,Y784,,Trigger)</f>
        <v>0.98002757141705599</v>
      </c>
    </row>
    <row r="785" spans="25:26" x14ac:dyDescent="0.25">
      <c r="Y785" s="63">
        <v>43318</v>
      </c>
      <c r="Z785" s="61">
        <f>_xll.qlYieldTSDiscount($U$35,Y785,,Trigger)</f>
        <v>0.9800000312027809</v>
      </c>
    </row>
    <row r="786" spans="25:26" x14ac:dyDescent="0.25">
      <c r="Y786" s="63">
        <v>43319</v>
      </c>
      <c r="Z786" s="61">
        <f>_xll.qlYieldTSDiscount($U$35,Y786,,Trigger)</f>
        <v>0.9799724849506759</v>
      </c>
    </row>
    <row r="787" spans="25:26" x14ac:dyDescent="0.25">
      <c r="Y787" s="63">
        <v>43320</v>
      </c>
      <c r="Z787" s="61">
        <f>_xll.qlYieldTSDiscount($U$35,Y787,,Trigger)</f>
        <v>0.97994493265945237</v>
      </c>
    </row>
    <row r="788" spans="25:26" x14ac:dyDescent="0.25">
      <c r="Y788" s="63">
        <v>43321</v>
      </c>
      <c r="Z788" s="61">
        <f>_xll.qlYieldTSDiscount($U$35,Y788,,Trigger)</f>
        <v>0.97991737432782211</v>
      </c>
    </row>
    <row r="789" spans="25:26" x14ac:dyDescent="0.25">
      <c r="Y789" s="63">
        <v>43322</v>
      </c>
      <c r="Z789" s="61">
        <f>_xll.qlYieldTSDiscount($U$35,Y789,,Trigger)</f>
        <v>0.97988980995449637</v>
      </c>
    </row>
    <row r="790" spans="25:26" x14ac:dyDescent="0.25">
      <c r="Y790" s="63">
        <v>43323</v>
      </c>
      <c r="Z790" s="61">
        <f>_xll.qlYieldTSDiscount($U$35,Y790,,Trigger)</f>
        <v>0.97986223953818685</v>
      </c>
    </row>
    <row r="791" spans="25:26" x14ac:dyDescent="0.25">
      <c r="Y791" s="63">
        <v>43324</v>
      </c>
      <c r="Z791" s="61">
        <f>_xll.qlYieldTSDiscount($U$35,Y791,,Trigger)</f>
        <v>0.97983466307760503</v>
      </c>
    </row>
    <row r="792" spans="25:26" x14ac:dyDescent="0.25">
      <c r="Y792" s="63">
        <v>43325</v>
      </c>
      <c r="Z792" s="61">
        <f>_xll.qlYieldTSDiscount($U$35,Y792,,Trigger)</f>
        <v>0.97980708057146237</v>
      </c>
    </row>
    <row r="793" spans="25:26" x14ac:dyDescent="0.25">
      <c r="Y793" s="63">
        <v>43326</v>
      </c>
      <c r="Z793" s="61">
        <f>_xll.qlYieldTSDiscount($U$35,Y793,,Trigger)</f>
        <v>0.97977949201847059</v>
      </c>
    </row>
    <row r="794" spans="25:26" x14ac:dyDescent="0.25">
      <c r="Y794" s="63">
        <v>43327</v>
      </c>
      <c r="Z794" s="61">
        <f>_xll.qlYieldTSDiscount($U$35,Y794,,Trigger)</f>
        <v>0.97975189741734103</v>
      </c>
    </row>
    <row r="795" spans="25:26" x14ac:dyDescent="0.25">
      <c r="Y795" s="63">
        <v>43328</v>
      </c>
      <c r="Z795" s="61">
        <f>_xll.qlYieldTSDiscount($U$35,Y795,,Trigger)</f>
        <v>0.97972429676678541</v>
      </c>
    </row>
    <row r="796" spans="25:26" x14ac:dyDescent="0.25">
      <c r="Y796" s="63">
        <v>43329</v>
      </c>
      <c r="Z796" s="61">
        <f>_xll.qlYieldTSDiscount($U$35,Y796,,Trigger)</f>
        <v>0.97969669006551507</v>
      </c>
    </row>
    <row r="797" spans="25:26" x14ac:dyDescent="0.25">
      <c r="Y797" s="63">
        <v>43330</v>
      </c>
      <c r="Z797" s="61">
        <f>_xll.qlYieldTSDiscount($U$35,Y797,,Trigger)</f>
        <v>0.97966907731224162</v>
      </c>
    </row>
    <row r="798" spans="25:26" x14ac:dyDescent="0.25">
      <c r="Y798" s="63">
        <v>43331</v>
      </c>
      <c r="Z798" s="61">
        <f>_xll.qlYieldTSDiscount($U$35,Y798,,Trigger)</f>
        <v>0.97964145850567663</v>
      </c>
    </row>
    <row r="799" spans="25:26" x14ac:dyDescent="0.25">
      <c r="Y799" s="63">
        <v>43332</v>
      </c>
      <c r="Z799" s="61">
        <f>_xll.qlYieldTSDiscount($U$35,Y799,,Trigger)</f>
        <v>0.97961383364453158</v>
      </c>
    </row>
    <row r="800" spans="25:26" x14ac:dyDescent="0.25">
      <c r="Y800" s="63">
        <v>43333</v>
      </c>
      <c r="Z800" s="61">
        <f>_xll.qlYieldTSDiscount($U$35,Y800,,Trigger)</f>
        <v>0.97958620272751795</v>
      </c>
    </row>
    <row r="801" spans="25:26" x14ac:dyDescent="0.25">
      <c r="Y801" s="63">
        <v>43334</v>
      </c>
      <c r="Z801" s="61">
        <f>_xll.qlYieldTSDiscount($U$35,Y801,,Trigger)</f>
        <v>0.97955856575334743</v>
      </c>
    </row>
    <row r="802" spans="25:26" x14ac:dyDescent="0.25">
      <c r="Y802" s="63">
        <v>43335</v>
      </c>
      <c r="Z802" s="61">
        <f>_xll.qlYieldTSDiscount($U$35,Y802,,Trigger)</f>
        <v>0.97953092272073139</v>
      </c>
    </row>
    <row r="803" spans="25:26" x14ac:dyDescent="0.25">
      <c r="Y803" s="63">
        <v>43336</v>
      </c>
      <c r="Z803" s="61">
        <f>_xll.qlYieldTSDiscount($U$35,Y803,,Trigger)</f>
        <v>0.97950327362838141</v>
      </c>
    </row>
    <row r="804" spans="25:26" x14ac:dyDescent="0.25">
      <c r="Y804" s="63">
        <v>43337</v>
      </c>
      <c r="Z804" s="61">
        <f>_xll.qlYieldTSDiscount($U$35,Y804,,Trigger)</f>
        <v>0.97947561847500919</v>
      </c>
    </row>
    <row r="805" spans="25:26" x14ac:dyDescent="0.25">
      <c r="Y805" s="63">
        <v>43338</v>
      </c>
      <c r="Z805" s="61">
        <f>_xll.qlYieldTSDiscount($U$35,Y805,,Trigger)</f>
        <v>0.97944795725932599</v>
      </c>
    </row>
    <row r="806" spans="25:26" x14ac:dyDescent="0.25">
      <c r="Y806" s="63">
        <v>43339</v>
      </c>
      <c r="Z806" s="61">
        <f>_xll.qlYieldTSDiscount($U$35,Y806,,Trigger)</f>
        <v>0.97942028998004349</v>
      </c>
    </row>
    <row r="807" spans="25:26" x14ac:dyDescent="0.25">
      <c r="Y807" s="63">
        <v>43340</v>
      </c>
      <c r="Z807" s="61">
        <f>_xll.qlYieldTSDiscount($U$35,Y807,,Trigger)</f>
        <v>0.97939261663587318</v>
      </c>
    </row>
    <row r="808" spans="25:26" x14ac:dyDescent="0.25">
      <c r="Y808" s="63">
        <v>43341</v>
      </c>
      <c r="Z808" s="61">
        <f>_xll.qlYieldTSDiscount($U$35,Y808,,Trigger)</f>
        <v>0.97936493722552653</v>
      </c>
    </row>
    <row r="809" spans="25:26" x14ac:dyDescent="0.25">
      <c r="Y809" s="63">
        <v>43342</v>
      </c>
      <c r="Z809" s="61">
        <f>_xll.qlYieldTSDiscount($U$35,Y809,,Trigger)</f>
        <v>0.97933725174771524</v>
      </c>
    </row>
    <row r="810" spans="25:26" x14ac:dyDescent="0.25">
      <c r="Y810" s="63">
        <v>43343</v>
      </c>
      <c r="Z810" s="61">
        <f>_xll.qlYieldTSDiscount($U$35,Y810,,Trigger)</f>
        <v>0.97930956020115079</v>
      </c>
    </row>
    <row r="811" spans="25:26" x14ac:dyDescent="0.25">
      <c r="Y811" s="63">
        <v>43344</v>
      </c>
      <c r="Z811" s="61">
        <f>_xll.qlYieldTSDiscount($U$35,Y811,,Trigger)</f>
        <v>0.97928186258454464</v>
      </c>
    </row>
    <row r="812" spans="25:26" x14ac:dyDescent="0.25">
      <c r="Y812" s="63">
        <v>43345</v>
      </c>
      <c r="Z812" s="61">
        <f>_xll.qlYieldTSDiscount($U$35,Y812,,Trigger)</f>
        <v>0.97925415889660827</v>
      </c>
    </row>
    <row r="813" spans="25:26" x14ac:dyDescent="0.25">
      <c r="Y813" s="63">
        <v>43346</v>
      </c>
      <c r="Z813" s="61">
        <f>_xll.qlYieldTSDiscount($U$35,Y813,,Trigger)</f>
        <v>0.97922644913605339</v>
      </c>
    </row>
    <row r="814" spans="25:26" x14ac:dyDescent="0.25">
      <c r="Y814" s="63">
        <v>43347</v>
      </c>
      <c r="Z814" s="61">
        <f>_xll.qlYieldTSDiscount($U$35,Y814,,Trigger)</f>
        <v>0.97919873330159135</v>
      </c>
    </row>
    <row r="815" spans="25:26" x14ac:dyDescent="0.25">
      <c r="Y815" s="63">
        <v>43348</v>
      </c>
      <c r="Z815" s="61">
        <f>_xll.qlYieldTSDiscount($U$35,Y815,,Trigger)</f>
        <v>0.97917101139193385</v>
      </c>
    </row>
    <row r="816" spans="25:26" x14ac:dyDescent="0.25">
      <c r="Y816" s="63">
        <v>43349</v>
      </c>
      <c r="Z816" s="61">
        <f>_xll.qlYieldTSDiscount($U$35,Y816,,Trigger)</f>
        <v>0.97914328340579226</v>
      </c>
    </row>
    <row r="817" spans="25:26" x14ac:dyDescent="0.25">
      <c r="Y817" s="63">
        <v>43350</v>
      </c>
      <c r="Z817" s="61">
        <f>_xll.qlYieldTSDiscount($U$35,Y817,,Trigger)</f>
        <v>0.97911554934187828</v>
      </c>
    </row>
    <row r="818" spans="25:26" x14ac:dyDescent="0.25">
      <c r="Y818" s="63">
        <v>43351</v>
      </c>
      <c r="Z818" s="61">
        <f>_xll.qlYieldTSDiscount($U$35,Y818,,Trigger)</f>
        <v>0.97908780919890326</v>
      </c>
    </row>
    <row r="819" spans="25:26" x14ac:dyDescent="0.25">
      <c r="Y819" s="63">
        <v>43352</v>
      </c>
      <c r="Z819" s="61">
        <f>_xll.qlYieldTSDiscount($U$35,Y819,,Trigger)</f>
        <v>0.97906006297557879</v>
      </c>
    </row>
    <row r="820" spans="25:26" x14ac:dyDescent="0.25">
      <c r="Y820" s="63">
        <v>43353</v>
      </c>
      <c r="Z820" s="61">
        <f>_xll.qlYieldTSDiscount($U$35,Y820,,Trigger)</f>
        <v>0.97903231067061647</v>
      </c>
    </row>
    <row r="821" spans="25:26" x14ac:dyDescent="0.25">
      <c r="Y821" s="63">
        <v>43354</v>
      </c>
      <c r="Z821" s="61">
        <f>_xll.qlYieldTSDiscount($U$35,Y821,,Trigger)</f>
        <v>0.97900455228272787</v>
      </c>
    </row>
    <row r="822" spans="25:26" x14ac:dyDescent="0.25">
      <c r="Y822" s="63">
        <v>43355</v>
      </c>
      <c r="Z822" s="61">
        <f>_xll.qlYieldTSDiscount($U$35,Y822,,Trigger)</f>
        <v>0.97897678781062436</v>
      </c>
    </row>
    <row r="823" spans="25:26" x14ac:dyDescent="0.25">
      <c r="Y823" s="63">
        <v>43356</v>
      </c>
      <c r="Z823" s="61">
        <f>_xll.qlYieldTSDiscount($U$35,Y823,,Trigger)</f>
        <v>0.97894901725301753</v>
      </c>
    </row>
    <row r="824" spans="25:26" x14ac:dyDescent="0.25">
      <c r="Y824" s="63">
        <v>43357</v>
      </c>
      <c r="Z824" s="61">
        <f>_xll.qlYieldTSDiscount($U$35,Y824,,Trigger)</f>
        <v>0.97892124060861896</v>
      </c>
    </row>
    <row r="825" spans="25:26" x14ac:dyDescent="0.25">
      <c r="Y825" s="63">
        <v>43358</v>
      </c>
      <c r="Z825" s="61">
        <f>_xll.qlYieldTSDiscount($U$35,Y825,,Trigger)</f>
        <v>0.97889345787614024</v>
      </c>
    </row>
    <row r="826" spans="25:26" x14ac:dyDescent="0.25">
      <c r="Y826" s="63">
        <v>43359</v>
      </c>
      <c r="Z826" s="61">
        <f>_xll.qlYieldTSDiscount($U$35,Y826,,Trigger)</f>
        <v>0.97886566905429273</v>
      </c>
    </row>
    <row r="827" spans="25:26" x14ac:dyDescent="0.25">
      <c r="Y827" s="63">
        <v>43360</v>
      </c>
      <c r="Z827" s="61">
        <f>_xll.qlYieldTSDiscount($U$35,Y827,,Trigger)</f>
        <v>0.97883787414178802</v>
      </c>
    </row>
    <row r="828" spans="25:26" x14ac:dyDescent="0.25">
      <c r="Y828" s="63">
        <v>43361</v>
      </c>
      <c r="Z828" s="61">
        <f>_xll.qlYieldTSDiscount($U$35,Y828,,Trigger)</f>
        <v>0.9788100731373377</v>
      </c>
    </row>
    <row r="829" spans="25:26" x14ac:dyDescent="0.25">
      <c r="Y829" s="63">
        <v>43362</v>
      </c>
      <c r="Z829" s="61">
        <f>_xll.qlYieldTSDiscount($U$35,Y829,,Trigger)</f>
        <v>0.97878226603965335</v>
      </c>
    </row>
    <row r="830" spans="25:26" x14ac:dyDescent="0.25">
      <c r="Y830" s="63">
        <v>43363</v>
      </c>
      <c r="Z830" s="61">
        <f>_xll.qlYieldTSDiscount($U$35,Y830,,Trigger)</f>
        <v>0.97875445284744633</v>
      </c>
    </row>
    <row r="831" spans="25:26" x14ac:dyDescent="0.25">
      <c r="Y831" s="63">
        <v>43364</v>
      </c>
      <c r="Z831" s="61">
        <f>_xll.qlYieldTSDiscount($U$35,Y831,,Trigger)</f>
        <v>0.97872663355942824</v>
      </c>
    </row>
    <row r="832" spans="25:26" x14ac:dyDescent="0.25">
      <c r="Y832" s="63">
        <v>43365</v>
      </c>
      <c r="Z832" s="61">
        <f>_xll.qlYieldTSDiscount($U$35,Y832,,Trigger)</f>
        <v>0.97869880817431076</v>
      </c>
    </row>
    <row r="833" spans="25:26" x14ac:dyDescent="0.25">
      <c r="Y833" s="63">
        <v>43366</v>
      </c>
      <c r="Z833" s="61">
        <f>_xll.qlYieldTSDiscount($U$35,Y833,,Trigger)</f>
        <v>0.97867097669080516</v>
      </c>
    </row>
    <row r="834" spans="25:26" x14ac:dyDescent="0.25">
      <c r="Y834" s="63">
        <v>43367</v>
      </c>
      <c r="Z834" s="61">
        <f>_xll.qlYieldTSDiscount($U$35,Y834,,Trigger)</f>
        <v>0.97864313910762324</v>
      </c>
    </row>
    <row r="835" spans="25:26" x14ac:dyDescent="0.25">
      <c r="Y835" s="63">
        <v>43368</v>
      </c>
      <c r="Z835" s="61">
        <f>_xll.qlYieldTSDiscount($U$35,Y835,,Trigger)</f>
        <v>0.97861529542347625</v>
      </c>
    </row>
    <row r="836" spans="25:26" x14ac:dyDescent="0.25">
      <c r="Y836" s="63">
        <v>43369</v>
      </c>
      <c r="Z836" s="61">
        <f>_xll.qlYieldTSDiscount($U$35,Y836,,Trigger)</f>
        <v>0.978587445637076</v>
      </c>
    </row>
    <row r="837" spans="25:26" x14ac:dyDescent="0.25">
      <c r="Y837" s="63">
        <v>43370</v>
      </c>
      <c r="Z837" s="61">
        <f>_xll.qlYieldTSDiscount($U$35,Y837,,Trigger)</f>
        <v>0.97855958974713375</v>
      </c>
    </row>
    <row r="838" spans="25:26" x14ac:dyDescent="0.25">
      <c r="Y838" s="63">
        <v>43371</v>
      </c>
      <c r="Z838" s="61">
        <f>_xll.qlYieldTSDiscount($U$35,Y838,,Trigger)</f>
        <v>0.9785317277523613</v>
      </c>
    </row>
    <row r="839" spans="25:26" x14ac:dyDescent="0.25">
      <c r="Y839" s="63">
        <v>43372</v>
      </c>
      <c r="Z839" s="61">
        <f>_xll.qlYieldTSDiscount($U$35,Y839,,Trigger)</f>
        <v>0.97850385965147002</v>
      </c>
    </row>
    <row r="840" spans="25:26" x14ac:dyDescent="0.25">
      <c r="Y840" s="63">
        <v>43373</v>
      </c>
      <c r="Z840" s="61">
        <f>_xll.qlYieldTSDiscount($U$35,Y840,,Trigger)</f>
        <v>0.97847598544317138</v>
      </c>
    </row>
    <row r="841" spans="25:26" x14ac:dyDescent="0.25">
      <c r="Y841" s="63">
        <v>43374</v>
      </c>
      <c r="Z841" s="61">
        <f>_xll.qlYieldTSDiscount($U$35,Y841,,Trigger)</f>
        <v>0.97844810512617708</v>
      </c>
    </row>
    <row r="842" spans="25:26" x14ac:dyDescent="0.25">
      <c r="Y842" s="63">
        <v>43375</v>
      </c>
      <c r="Z842" s="61">
        <f>_xll.qlYieldTSDiscount($U$35,Y842,,Trigger)</f>
        <v>0.9784202186991986</v>
      </c>
    </row>
    <row r="843" spans="25:26" x14ac:dyDescent="0.25">
      <c r="Y843" s="63">
        <v>43376</v>
      </c>
      <c r="Z843" s="61">
        <f>_xll.qlYieldTSDiscount($U$35,Y843,,Trigger)</f>
        <v>0.9783923261609474</v>
      </c>
    </row>
    <row r="844" spans="25:26" x14ac:dyDescent="0.25">
      <c r="Y844" s="63">
        <v>43377</v>
      </c>
      <c r="Z844" s="61">
        <f>_xll.qlYieldTSDiscount($U$35,Y844,,Trigger)</f>
        <v>0.97836442751013508</v>
      </c>
    </row>
    <row r="845" spans="25:26" x14ac:dyDescent="0.25">
      <c r="Y845" s="63">
        <v>43378</v>
      </c>
      <c r="Z845" s="61">
        <f>_xll.qlYieldTSDiscount($U$35,Y845,,Trigger)</f>
        <v>0.97833652274547322</v>
      </c>
    </row>
    <row r="846" spans="25:26" x14ac:dyDescent="0.25">
      <c r="Y846" s="63">
        <v>43379</v>
      </c>
      <c r="Z846" s="61">
        <f>_xll.qlYieldTSDiscount($U$35,Y846,,Trigger)</f>
        <v>0.97830861186567319</v>
      </c>
    </row>
    <row r="847" spans="25:26" x14ac:dyDescent="0.25">
      <c r="Y847" s="63">
        <v>43380</v>
      </c>
      <c r="Z847" s="61">
        <f>_xll.qlYieldTSDiscount($U$35,Y847,,Trigger)</f>
        <v>0.97828069486944669</v>
      </c>
    </row>
    <row r="848" spans="25:26" x14ac:dyDescent="0.25">
      <c r="Y848" s="63">
        <v>43381</v>
      </c>
      <c r="Z848" s="61">
        <f>_xll.qlYieldTSDiscount($U$35,Y848,,Trigger)</f>
        <v>0.97825277175550507</v>
      </c>
    </row>
    <row r="849" spans="25:26" x14ac:dyDescent="0.25">
      <c r="Y849" s="63">
        <v>43382</v>
      </c>
      <c r="Z849" s="61">
        <f>_xll.qlYieldTSDiscount($U$35,Y849,,Trigger)</f>
        <v>0.97822484252256003</v>
      </c>
    </row>
    <row r="850" spans="25:26" x14ac:dyDescent="0.25">
      <c r="Y850" s="63">
        <v>43383</v>
      </c>
      <c r="Z850" s="61">
        <f>_xll.qlYieldTSDiscount($U$35,Y850,,Trigger)</f>
        <v>0.97819690716932295</v>
      </c>
    </row>
    <row r="851" spans="25:26" x14ac:dyDescent="0.25">
      <c r="Y851" s="63">
        <v>43384</v>
      </c>
      <c r="Z851" s="61">
        <f>_xll.qlYieldTSDiscount($U$35,Y851,,Trigger)</f>
        <v>0.97816896569450551</v>
      </c>
    </row>
    <row r="852" spans="25:26" x14ac:dyDescent="0.25">
      <c r="Y852" s="63">
        <v>43385</v>
      </c>
      <c r="Z852" s="61">
        <f>_xll.qlYieldTSDiscount($U$35,Y852,,Trigger)</f>
        <v>0.97814101809681919</v>
      </c>
    </row>
    <row r="853" spans="25:26" x14ac:dyDescent="0.25">
      <c r="Y853" s="63">
        <v>43386</v>
      </c>
      <c r="Z853" s="61">
        <f>_xll.qlYieldTSDiscount($U$35,Y853,,Trigger)</f>
        <v>0.97811306437497558</v>
      </c>
    </row>
    <row r="854" spans="25:26" x14ac:dyDescent="0.25">
      <c r="Y854" s="63">
        <v>43387</v>
      </c>
      <c r="Z854" s="61">
        <f>_xll.qlYieldTSDiscount($U$35,Y854,,Trigger)</f>
        <v>0.97808510452768604</v>
      </c>
    </row>
    <row r="855" spans="25:26" x14ac:dyDescent="0.25">
      <c r="Y855" s="63">
        <v>43388</v>
      </c>
      <c r="Z855" s="61">
        <f>_xll.qlYieldTSDiscount($U$35,Y855,,Trigger)</f>
        <v>0.97805713855366216</v>
      </c>
    </row>
    <row r="856" spans="25:26" x14ac:dyDescent="0.25">
      <c r="Y856" s="63">
        <v>43389</v>
      </c>
      <c r="Z856" s="61">
        <f>_xll.qlYieldTSDiscount($U$35,Y856,,Trigger)</f>
        <v>0.97802916645161564</v>
      </c>
    </row>
    <row r="857" spans="25:26" x14ac:dyDescent="0.25">
      <c r="Y857" s="63">
        <v>43390</v>
      </c>
      <c r="Z857" s="61">
        <f>_xll.qlYieldTSDiscount($U$35,Y857,,Trigger)</f>
        <v>0.97800118822025783</v>
      </c>
    </row>
    <row r="858" spans="25:26" x14ac:dyDescent="0.25">
      <c r="Y858" s="63">
        <v>43391</v>
      </c>
      <c r="Z858" s="61">
        <f>_xll.qlYieldTSDiscount($U$35,Y858,,Trigger)</f>
        <v>0.97797320385830022</v>
      </c>
    </row>
    <row r="859" spans="25:26" x14ac:dyDescent="0.25">
      <c r="Y859" s="63">
        <v>43392</v>
      </c>
      <c r="Z859" s="61">
        <f>_xll.qlYieldTSDiscount($U$35,Y859,,Trigger)</f>
        <v>0.97794521336445461</v>
      </c>
    </row>
    <row r="860" spans="25:26" x14ac:dyDescent="0.25">
      <c r="Y860" s="63">
        <v>43393</v>
      </c>
      <c r="Z860" s="61">
        <f>_xll.qlYieldTSDiscount($U$35,Y860,,Trigger)</f>
        <v>0.97791721673743226</v>
      </c>
    </row>
    <row r="861" spans="25:26" x14ac:dyDescent="0.25">
      <c r="Y861" s="63">
        <v>43394</v>
      </c>
      <c r="Z861" s="61">
        <f>_xll.qlYieldTSDiscount($U$35,Y861,,Trigger)</f>
        <v>0.97788921397594475</v>
      </c>
    </row>
    <row r="862" spans="25:26" x14ac:dyDescent="0.25">
      <c r="Y862" s="63">
        <v>43395</v>
      </c>
      <c r="Z862" s="61">
        <f>_xll.qlYieldTSDiscount($U$35,Y862,,Trigger)</f>
        <v>0.97786120507870378</v>
      </c>
    </row>
    <row r="863" spans="25:26" x14ac:dyDescent="0.25">
      <c r="Y863" s="63">
        <v>43396</v>
      </c>
      <c r="Z863" s="61">
        <f>_xll.qlYieldTSDiscount($U$35,Y863,,Trigger)</f>
        <v>0.97783319004442071</v>
      </c>
    </row>
    <row r="864" spans="25:26" x14ac:dyDescent="0.25">
      <c r="Y864" s="63">
        <v>43397</v>
      </c>
      <c r="Z864" s="61">
        <f>_xll.qlYieldTSDiscount($U$35,Y864,,Trigger)</f>
        <v>0.97780516887180702</v>
      </c>
    </row>
    <row r="865" spans="25:26" x14ac:dyDescent="0.25">
      <c r="Y865" s="63">
        <v>43398</v>
      </c>
      <c r="Z865" s="61">
        <f>_xll.qlYieldTSDiscount($U$35,Y865,,Trigger)</f>
        <v>0.97777714155957451</v>
      </c>
    </row>
    <row r="866" spans="25:26" x14ac:dyDescent="0.25">
      <c r="Y866" s="63">
        <v>43399</v>
      </c>
      <c r="Z866" s="61">
        <f>_xll.qlYieldTSDiscount($U$35,Y866,,Trigger)</f>
        <v>0.97774910810643445</v>
      </c>
    </row>
    <row r="867" spans="25:26" x14ac:dyDescent="0.25">
      <c r="Y867" s="63">
        <v>43400</v>
      </c>
      <c r="Z867" s="61">
        <f>_xll.qlYieldTSDiscount($U$35,Y867,,Trigger)</f>
        <v>0.97772106851109841</v>
      </c>
    </row>
    <row r="868" spans="25:26" x14ac:dyDescent="0.25">
      <c r="Y868" s="63">
        <v>43401</v>
      </c>
      <c r="Z868" s="61">
        <f>_xll.qlYieldTSDiscount($U$35,Y868,,Trigger)</f>
        <v>0.9776930227722781</v>
      </c>
    </row>
    <row r="869" spans="25:26" x14ac:dyDescent="0.25">
      <c r="Y869" s="63">
        <v>43402</v>
      </c>
      <c r="Z869" s="61">
        <f>_xll.qlYieldTSDiscount($U$35,Y869,,Trigger)</f>
        <v>0.97766497088868487</v>
      </c>
    </row>
    <row r="870" spans="25:26" x14ac:dyDescent="0.25">
      <c r="Y870" s="63">
        <v>43403</v>
      </c>
      <c r="Z870" s="61">
        <f>_xll.qlYieldTSDiscount($U$35,Y870,,Trigger)</f>
        <v>0.97763691285903032</v>
      </c>
    </row>
    <row r="871" spans="25:26" x14ac:dyDescent="0.25">
      <c r="Y871" s="63">
        <v>43404</v>
      </c>
      <c r="Z871" s="61">
        <f>_xll.qlYieldTSDiscount($U$35,Y871,,Trigger)</f>
        <v>0.97760884868202602</v>
      </c>
    </row>
    <row r="872" spans="25:26" x14ac:dyDescent="0.25">
      <c r="Y872" s="63">
        <v>43405</v>
      </c>
      <c r="Z872" s="61">
        <f>_xll.qlYieldTSDiscount($U$35,Y872,,Trigger)</f>
        <v>0.97758077835638335</v>
      </c>
    </row>
    <row r="873" spans="25:26" x14ac:dyDescent="0.25">
      <c r="Y873" s="63">
        <v>43406</v>
      </c>
      <c r="Z873" s="61">
        <f>_xll.qlYieldTSDiscount($U$35,Y873,,Trigger)</f>
        <v>0.977552701880814</v>
      </c>
    </row>
    <row r="874" spans="25:26" x14ac:dyDescent="0.25">
      <c r="Y874" s="63">
        <v>43407</v>
      </c>
      <c r="Z874" s="61">
        <f>_xll.qlYieldTSDiscount($U$35,Y874,,Trigger)</f>
        <v>0.97752461925402945</v>
      </c>
    </row>
    <row r="875" spans="25:26" x14ac:dyDescent="0.25">
      <c r="Y875" s="63">
        <v>43408</v>
      </c>
      <c r="Z875" s="61">
        <f>_xll.qlYieldTSDiscount($U$35,Y875,,Trigger)</f>
        <v>0.97749653047474117</v>
      </c>
    </row>
    <row r="876" spans="25:26" x14ac:dyDescent="0.25">
      <c r="Y876" s="63">
        <v>43409</v>
      </c>
      <c r="Z876" s="61">
        <f>_xll.qlYieldTSDiscount($U$35,Y876,,Trigger)</f>
        <v>0.97746843554166085</v>
      </c>
    </row>
    <row r="877" spans="25:26" x14ac:dyDescent="0.25">
      <c r="Y877" s="63">
        <v>43410</v>
      </c>
      <c r="Z877" s="61">
        <f>_xll.qlYieldTSDiscount($U$35,Y877,,Trigger)</f>
        <v>0.97744033445349976</v>
      </c>
    </row>
    <row r="878" spans="25:26" x14ac:dyDescent="0.25">
      <c r="Y878" s="63">
        <v>43411</v>
      </c>
      <c r="Z878" s="61">
        <f>_xll.qlYieldTSDiscount($U$35,Y878,,Trigger)</f>
        <v>0.9774122272089697</v>
      </c>
    </row>
    <row r="879" spans="25:26" x14ac:dyDescent="0.25">
      <c r="Y879" s="63">
        <v>43412</v>
      </c>
      <c r="Z879" s="61">
        <f>_xll.qlYieldTSDiscount($U$35,Y879,,Trigger)</f>
        <v>0.97738411380678214</v>
      </c>
    </row>
    <row r="880" spans="25:26" x14ac:dyDescent="0.25">
      <c r="Y880" s="63">
        <v>43413</v>
      </c>
      <c r="Z880" s="61">
        <f>_xll.qlYieldTSDiscount($U$35,Y880,,Trigger)</f>
        <v>0.97735599424564845</v>
      </c>
    </row>
    <row r="881" spans="25:26" x14ac:dyDescent="0.25">
      <c r="Y881" s="63">
        <v>43414</v>
      </c>
      <c r="Z881" s="61">
        <f>_xll.qlYieldTSDiscount($U$35,Y881,,Trigger)</f>
        <v>0.97732786852428033</v>
      </c>
    </row>
    <row r="882" spans="25:26" x14ac:dyDescent="0.25">
      <c r="Y882" s="63">
        <v>43415</v>
      </c>
      <c r="Z882" s="61">
        <f>_xll.qlYieldTSDiscount($U$35,Y882,,Trigger)</f>
        <v>0.97729973664138925</v>
      </c>
    </row>
    <row r="883" spans="25:26" x14ac:dyDescent="0.25">
      <c r="Y883" s="63">
        <v>43416</v>
      </c>
      <c r="Z883" s="61">
        <f>_xll.qlYieldTSDiscount($U$35,Y883,,Trigger)</f>
        <v>0.97727159859568669</v>
      </c>
    </row>
    <row r="884" spans="25:26" x14ac:dyDescent="0.25">
      <c r="Y884" s="63">
        <v>43417</v>
      </c>
      <c r="Z884" s="61">
        <f>_xll.qlYieldTSDiscount($U$35,Y884,,Trigger)</f>
        <v>0.97724345438588434</v>
      </c>
    </row>
    <row r="885" spans="25:26" x14ac:dyDescent="0.25">
      <c r="Y885" s="63">
        <v>43418</v>
      </c>
      <c r="Z885" s="61">
        <f>_xll.qlYieldTSDiscount($U$35,Y885,,Trigger)</f>
        <v>0.97721530401069356</v>
      </c>
    </row>
    <row r="886" spans="25:26" x14ac:dyDescent="0.25">
      <c r="Y886" s="63">
        <v>43419</v>
      </c>
      <c r="Z886" s="61">
        <f>_xll.qlYieldTSDiscount($U$35,Y886,,Trigger)</f>
        <v>0.97718714746882596</v>
      </c>
    </row>
    <row r="887" spans="25:26" x14ac:dyDescent="0.25">
      <c r="Y887" s="63">
        <v>43420</v>
      </c>
      <c r="Z887" s="61">
        <f>_xll.qlYieldTSDiscount($U$35,Y887,,Trigger)</f>
        <v>0.9771589847589931</v>
      </c>
    </row>
    <row r="888" spans="25:26" x14ac:dyDescent="0.25">
      <c r="Y888" s="63">
        <v>43421</v>
      </c>
      <c r="Z888" s="61">
        <f>_xll.qlYieldTSDiscount($U$35,Y888,,Trigger)</f>
        <v>0.97713081587990636</v>
      </c>
    </row>
    <row r="889" spans="25:26" x14ac:dyDescent="0.25">
      <c r="Y889" s="63">
        <v>43422</v>
      </c>
      <c r="Z889" s="61">
        <f>_xll.qlYieldTSDiscount($U$35,Y889,,Trigger)</f>
        <v>0.97710264083027742</v>
      </c>
    </row>
    <row r="890" spans="25:26" x14ac:dyDescent="0.25">
      <c r="Y890" s="63">
        <v>43423</v>
      </c>
      <c r="Z890" s="61">
        <f>_xll.qlYieldTSDiscount($U$35,Y890,,Trigger)</f>
        <v>0.97707445960881789</v>
      </c>
    </row>
    <row r="891" spans="25:26" x14ac:dyDescent="0.25">
      <c r="Y891" s="63">
        <v>43424</v>
      </c>
      <c r="Z891" s="61">
        <f>_xll.qlYieldTSDiscount($U$35,Y891,,Trigger)</f>
        <v>0.97704627221423901</v>
      </c>
    </row>
    <row r="892" spans="25:26" x14ac:dyDescent="0.25">
      <c r="Y892" s="63">
        <v>43425</v>
      </c>
      <c r="Z892" s="61">
        <f>_xll.qlYieldTSDiscount($U$35,Y892,,Trigger)</f>
        <v>0.97701807864525259</v>
      </c>
    </row>
    <row r="893" spans="25:26" x14ac:dyDescent="0.25">
      <c r="Y893" s="63">
        <v>43426</v>
      </c>
      <c r="Z893" s="61">
        <f>_xll.qlYieldTSDiscount($U$35,Y893,,Trigger)</f>
        <v>0.9769898789005701</v>
      </c>
    </row>
    <row r="894" spans="25:26" x14ac:dyDescent="0.25">
      <c r="Y894" s="63">
        <v>43427</v>
      </c>
      <c r="Z894" s="61">
        <f>_xll.qlYieldTSDiscount($U$35,Y894,,Trigger)</f>
        <v>0.97696167297890291</v>
      </c>
    </row>
    <row r="895" spans="25:26" x14ac:dyDescent="0.25">
      <c r="Y895" s="63">
        <v>43428</v>
      </c>
      <c r="Z895" s="61">
        <f>_xll.qlYieldTSDiscount($U$35,Y895,,Trigger)</f>
        <v>0.97693346087896271</v>
      </c>
    </row>
    <row r="896" spans="25:26" x14ac:dyDescent="0.25">
      <c r="Y896" s="63">
        <v>43429</v>
      </c>
      <c r="Z896" s="61">
        <f>_xll.qlYieldTSDiscount($U$35,Y896,,Trigger)</f>
        <v>0.9769052425994611</v>
      </c>
    </row>
    <row r="897" spans="25:26" x14ac:dyDescent="0.25">
      <c r="Y897" s="63">
        <v>43430</v>
      </c>
      <c r="Z897" s="61">
        <f>_xll.qlYieldTSDiscount($U$35,Y897,,Trigger)</f>
        <v>0.97687701813910932</v>
      </c>
    </row>
    <row r="898" spans="25:26" x14ac:dyDescent="0.25">
      <c r="Y898" s="63">
        <v>43431</v>
      </c>
      <c r="Z898" s="61">
        <f>_xll.qlYieldTSDiscount($U$35,Y898,,Trigger)</f>
        <v>0.97684878749661919</v>
      </c>
    </row>
    <row r="899" spans="25:26" x14ac:dyDescent="0.25">
      <c r="Y899" s="63">
        <v>43432</v>
      </c>
      <c r="Z899" s="61">
        <f>_xll.qlYieldTSDiscount($U$35,Y899,,Trigger)</f>
        <v>0.97682055067070217</v>
      </c>
    </row>
    <row r="900" spans="25:26" x14ac:dyDescent="0.25">
      <c r="Y900" s="63">
        <v>43433</v>
      </c>
      <c r="Z900" s="61">
        <f>_xll.qlYieldTSDiscount($U$35,Y900,,Trigger)</f>
        <v>0.97679230766006964</v>
      </c>
    </row>
    <row r="901" spans="25:26" x14ac:dyDescent="0.25">
      <c r="Y901" s="63">
        <v>43434</v>
      </c>
      <c r="Z901" s="61">
        <f>_xll.qlYieldTSDiscount($U$35,Y901,,Trigger)</f>
        <v>0.97676405846343328</v>
      </c>
    </row>
    <row r="902" spans="25:26" x14ac:dyDescent="0.25">
      <c r="Y902" s="63">
        <v>43435</v>
      </c>
      <c r="Z902" s="61">
        <f>_xll.qlYieldTSDiscount($U$35,Y902,,Trigger)</f>
        <v>0.97673580307950469</v>
      </c>
    </row>
    <row r="903" spans="25:26" x14ac:dyDescent="0.25">
      <c r="Y903" s="63">
        <v>43436</v>
      </c>
      <c r="Z903" s="61">
        <f>_xll.qlYieldTSDiscount($U$35,Y903,,Trigger)</f>
        <v>0.97670754150699524</v>
      </c>
    </row>
    <row r="904" spans="25:26" x14ac:dyDescent="0.25">
      <c r="Y904" s="63">
        <v>43437</v>
      </c>
      <c r="Z904" s="61">
        <f>_xll.qlYieldTSDiscount($U$35,Y904,,Trigger)</f>
        <v>0.97667927374461649</v>
      </c>
    </row>
    <row r="905" spans="25:26" x14ac:dyDescent="0.25">
      <c r="Y905" s="63">
        <v>43438</v>
      </c>
      <c r="Z905" s="61">
        <f>_xll.qlYieldTSDiscount($U$35,Y905,,Trigger)</f>
        <v>0.97665099979107994</v>
      </c>
    </row>
    <row r="906" spans="25:26" x14ac:dyDescent="0.25">
      <c r="Y906" s="63">
        <v>43439</v>
      </c>
      <c r="Z906" s="61">
        <f>_xll.qlYieldTSDiscount($U$35,Y906,,Trigger)</f>
        <v>0.97662271964509728</v>
      </c>
    </row>
    <row r="907" spans="25:26" x14ac:dyDescent="0.25">
      <c r="Y907" s="63">
        <v>43440</v>
      </c>
      <c r="Z907" s="61">
        <f>_xll.qlYieldTSDiscount($U$35,Y907,,Trigger)</f>
        <v>0.97659443330537998</v>
      </c>
    </row>
    <row r="908" spans="25:26" x14ac:dyDescent="0.25">
      <c r="Y908" s="63">
        <v>43441</v>
      </c>
      <c r="Z908" s="61">
        <f>_xll.qlYieldTSDiscount($U$35,Y908,,Trigger)</f>
        <v>0.97656614077063941</v>
      </c>
    </row>
    <row r="909" spans="25:26" x14ac:dyDescent="0.25">
      <c r="Y909" s="63">
        <v>43442</v>
      </c>
      <c r="Z909" s="61">
        <f>_xll.qlYieldTSDiscount($U$35,Y909,,Trigger)</f>
        <v>0.97653784203958727</v>
      </c>
    </row>
    <row r="910" spans="25:26" x14ac:dyDescent="0.25">
      <c r="Y910" s="63">
        <v>43443</v>
      </c>
      <c r="Z910" s="61">
        <f>_xll.qlYieldTSDiscount($U$35,Y910,,Trigger)</f>
        <v>0.97650953711093513</v>
      </c>
    </row>
    <row r="911" spans="25:26" x14ac:dyDescent="0.25">
      <c r="Y911" s="63">
        <v>43444</v>
      </c>
      <c r="Z911" s="61">
        <f>_xll.qlYieldTSDiscount($U$35,Y911,,Trigger)</f>
        <v>0.97648122598339437</v>
      </c>
    </row>
    <row r="912" spans="25:26" x14ac:dyDescent="0.25">
      <c r="Y912" s="63">
        <v>43445</v>
      </c>
      <c r="Z912" s="61">
        <f>_xll.qlYieldTSDiscount($U$35,Y912,,Trigger)</f>
        <v>0.97645290865567658</v>
      </c>
    </row>
    <row r="913" spans="25:26" x14ac:dyDescent="0.25">
      <c r="Y913" s="63">
        <v>43446</v>
      </c>
      <c r="Z913" s="61">
        <f>_xll.qlYieldTSDiscount($U$35,Y913,,Trigger)</f>
        <v>0.97642458512649333</v>
      </c>
    </row>
    <row r="914" spans="25:26" x14ac:dyDescent="0.25">
      <c r="Y914" s="63">
        <v>43447</v>
      </c>
      <c r="Z914" s="61">
        <f>_xll.qlYieldTSDiscount($U$35,Y914,,Trigger)</f>
        <v>0.9763962553945561</v>
      </c>
    </row>
    <row r="915" spans="25:26" x14ac:dyDescent="0.25">
      <c r="Y915" s="63">
        <v>43448</v>
      </c>
      <c r="Z915" s="61">
        <f>_xll.qlYieldTSDiscount($U$35,Y915,,Trigger)</f>
        <v>0.97636791945857648</v>
      </c>
    </row>
    <row r="916" spans="25:26" x14ac:dyDescent="0.25">
      <c r="Y916" s="63">
        <v>43449</v>
      </c>
      <c r="Z916" s="61">
        <f>_xll.qlYieldTSDiscount($U$35,Y916,,Trigger)</f>
        <v>0.97633957731726584</v>
      </c>
    </row>
    <row r="917" spans="25:26" x14ac:dyDescent="0.25">
      <c r="Y917" s="63">
        <v>43450</v>
      </c>
      <c r="Z917" s="61">
        <f>_xll.qlYieldTSDiscount($U$35,Y917,,Trigger)</f>
        <v>0.97631122896933598</v>
      </c>
    </row>
    <row r="918" spans="25:26" x14ac:dyDescent="0.25">
      <c r="Y918" s="63">
        <v>43451</v>
      </c>
      <c r="Z918" s="61">
        <f>_xll.qlYieldTSDiscount($U$35,Y918,,Trigger)</f>
        <v>0.97628287441349826</v>
      </c>
    </row>
    <row r="919" spans="25:26" x14ac:dyDescent="0.25">
      <c r="Y919" s="63">
        <v>43452</v>
      </c>
      <c r="Z919" s="61">
        <f>_xll.qlYieldTSDiscount($U$35,Y919,,Trigger)</f>
        <v>0.97625451364846416</v>
      </c>
    </row>
    <row r="920" spans="25:26" x14ac:dyDescent="0.25">
      <c r="Y920" s="63">
        <v>43453</v>
      </c>
      <c r="Z920" s="61">
        <f>_xll.qlYieldTSDiscount($U$35,Y920,,Trigger)</f>
        <v>0.97622614667294538</v>
      </c>
    </row>
    <row r="921" spans="25:26" x14ac:dyDescent="0.25">
      <c r="Y921" s="63">
        <v>43454</v>
      </c>
      <c r="Z921" s="61">
        <f>_xll.qlYieldTSDiscount($U$35,Y921,,Trigger)</f>
        <v>0.97619777348565329</v>
      </c>
    </row>
    <row r="922" spans="25:26" x14ac:dyDescent="0.25">
      <c r="Y922" s="63">
        <v>43455</v>
      </c>
      <c r="Z922" s="61">
        <f>_xll.qlYieldTSDiscount($U$35,Y922,,Trigger)</f>
        <v>0.97616939408529957</v>
      </c>
    </row>
    <row r="923" spans="25:26" x14ac:dyDescent="0.25">
      <c r="Y923" s="63">
        <v>43456</v>
      </c>
      <c r="Z923" s="61">
        <f>_xll.qlYieldTSDiscount($U$35,Y923,,Trigger)</f>
        <v>0.97614100847059559</v>
      </c>
    </row>
    <row r="924" spans="25:26" x14ac:dyDescent="0.25">
      <c r="Y924" s="63">
        <v>43457</v>
      </c>
      <c r="Z924" s="61">
        <f>_xll.qlYieldTSDiscount($U$35,Y924,,Trigger)</f>
        <v>0.97611261664025306</v>
      </c>
    </row>
    <row r="925" spans="25:26" x14ac:dyDescent="0.25">
      <c r="Y925" s="63">
        <v>43458</v>
      </c>
      <c r="Z925" s="61">
        <f>_xll.qlYieldTSDiscount($U$35,Y925,,Trigger)</f>
        <v>0.97608421859298333</v>
      </c>
    </row>
    <row r="926" spans="25:26" x14ac:dyDescent="0.25">
      <c r="Y926" s="63">
        <v>43459</v>
      </c>
      <c r="Z926" s="61">
        <f>_xll.qlYieldTSDiscount($U$35,Y926,,Trigger)</f>
        <v>0.97605581432749799</v>
      </c>
    </row>
    <row r="927" spans="25:26" x14ac:dyDescent="0.25">
      <c r="Y927" s="63">
        <v>43460</v>
      </c>
      <c r="Z927" s="61">
        <f>_xll.qlYieldTSDiscount($U$35,Y927,,Trigger)</f>
        <v>0.97602740384250863</v>
      </c>
    </row>
    <row r="928" spans="25:26" x14ac:dyDescent="0.25">
      <c r="Y928" s="63">
        <v>43461</v>
      </c>
      <c r="Z928" s="61">
        <f>_xll.qlYieldTSDiscount($U$35,Y928,,Trigger)</f>
        <v>0.97599898713672684</v>
      </c>
    </row>
    <row r="929" spans="25:26" x14ac:dyDescent="0.25">
      <c r="Y929" s="63">
        <v>43462</v>
      </c>
      <c r="Z929" s="61">
        <f>_xll.qlYieldTSDiscount($U$35,Y929,,Trigger)</f>
        <v>0.97597056420886397</v>
      </c>
    </row>
    <row r="930" spans="25:26" x14ac:dyDescent="0.25">
      <c r="Y930" s="63">
        <v>43463</v>
      </c>
      <c r="Z930" s="61">
        <f>_xll.qlYieldTSDiscount($U$35,Y930,,Trigger)</f>
        <v>0.97594213505763161</v>
      </c>
    </row>
    <row r="931" spans="25:26" x14ac:dyDescent="0.25">
      <c r="Y931" s="63">
        <v>43464</v>
      </c>
      <c r="Z931" s="61">
        <f>_xll.qlYieldTSDiscount($U$35,Y931,,Trigger)</f>
        <v>0.97591369968174135</v>
      </c>
    </row>
    <row r="932" spans="25:26" x14ac:dyDescent="0.25">
      <c r="Y932" s="63">
        <v>43465</v>
      </c>
      <c r="Z932" s="61">
        <f>_xll.qlYieldTSDiscount($U$35,Y932,,Trigger)</f>
        <v>0.97588525807990478</v>
      </c>
    </row>
    <row r="933" spans="25:26" x14ac:dyDescent="0.25">
      <c r="Y933" s="63">
        <v>43466</v>
      </c>
      <c r="Z933" s="61">
        <f>_xll.qlYieldTSDiscount($U$35,Y933,,Trigger)</f>
        <v>0.97585681025083326</v>
      </c>
    </row>
    <row r="934" spans="25:26" x14ac:dyDescent="0.25">
      <c r="Y934" s="63">
        <v>43467</v>
      </c>
      <c r="Z934" s="61">
        <f>_xll.qlYieldTSDiscount($U$35,Y934,,Trigger)</f>
        <v>0.97582835619323838</v>
      </c>
    </row>
    <row r="935" spans="25:26" x14ac:dyDescent="0.25">
      <c r="Y935" s="63">
        <v>43468</v>
      </c>
      <c r="Z935" s="61">
        <f>_xll.qlYieldTSDiscount($U$35,Y935,,Trigger)</f>
        <v>0.97579989590583183</v>
      </c>
    </row>
    <row r="936" spans="25:26" x14ac:dyDescent="0.25">
      <c r="Y936" s="63">
        <v>43469</v>
      </c>
      <c r="Z936" s="61">
        <f>_xll.qlYieldTSDiscount($U$35,Y936,,Trigger)</f>
        <v>0.97577142938732486</v>
      </c>
    </row>
    <row r="937" spans="25:26" x14ac:dyDescent="0.25">
      <c r="Y937" s="63">
        <v>43470</v>
      </c>
      <c r="Z937" s="61">
        <f>_xll.qlYieldTSDiscount($U$35,Y937,,Trigger)</f>
        <v>0.97574295663642918</v>
      </c>
    </row>
    <row r="938" spans="25:26" x14ac:dyDescent="0.25">
      <c r="Y938" s="63">
        <v>43471</v>
      </c>
      <c r="Z938" s="61">
        <f>_xll.qlYieldTSDiscount($U$35,Y938,,Trigger)</f>
        <v>0.97571447765185637</v>
      </c>
    </row>
    <row r="939" spans="25:26" x14ac:dyDescent="0.25">
      <c r="Y939" s="63">
        <v>43472</v>
      </c>
      <c r="Z939" s="61">
        <f>_xll.qlYieldTSDiscount($U$35,Y939,,Trigger)</f>
        <v>0.97568599243231779</v>
      </c>
    </row>
    <row r="940" spans="25:26" x14ac:dyDescent="0.25">
      <c r="Y940" s="63">
        <v>43473</v>
      </c>
      <c r="Z940" s="61">
        <f>_xll.qlYieldTSDiscount($U$35,Y940,,Trigger)</f>
        <v>0.97565750097652515</v>
      </c>
    </row>
    <row r="941" spans="25:26" x14ac:dyDescent="0.25">
      <c r="Y941" s="63">
        <v>43474</v>
      </c>
      <c r="Z941" s="61">
        <f>_xll.qlYieldTSDiscount($U$35,Y941,,Trigger)</f>
        <v>0.9756290032831898</v>
      </c>
    </row>
    <row r="942" spans="25:26" x14ac:dyDescent="0.25">
      <c r="Y942" s="63">
        <v>43475</v>
      </c>
      <c r="Z942" s="61">
        <f>_xll.qlYieldTSDiscount($U$35,Y942,,Trigger)</f>
        <v>0.97560049935102344</v>
      </c>
    </row>
    <row r="943" spans="25:26" x14ac:dyDescent="0.25">
      <c r="Y943" s="63">
        <v>43476</v>
      </c>
      <c r="Z943" s="61">
        <f>_xll.qlYieldTSDiscount($U$35,Y943,,Trigger)</f>
        <v>0.97557198917873744</v>
      </c>
    </row>
    <row r="944" spans="25:26" x14ac:dyDescent="0.25">
      <c r="Y944" s="63">
        <v>43477</v>
      </c>
      <c r="Z944" s="61">
        <f>_xll.qlYieldTSDiscount($U$35,Y944,,Trigger)</f>
        <v>0.9755434727650435</v>
      </c>
    </row>
    <row r="945" spans="25:26" x14ac:dyDescent="0.25">
      <c r="Y945" s="63">
        <v>43478</v>
      </c>
      <c r="Z945" s="61">
        <f>_xll.qlYieldTSDiscount($U$35,Y945,,Trigger)</f>
        <v>0.97551495010865308</v>
      </c>
    </row>
    <row r="946" spans="25:26" x14ac:dyDescent="0.25">
      <c r="Y946" s="63">
        <v>43479</v>
      </c>
      <c r="Z946" s="61">
        <f>_xll.qlYieldTSDiscount($U$35,Y946,,Trigger)</f>
        <v>0.97548642120827767</v>
      </c>
    </row>
    <row r="947" spans="25:26" x14ac:dyDescent="0.25">
      <c r="Y947" s="63">
        <v>43480</v>
      </c>
      <c r="Z947" s="61">
        <f>_xll.qlYieldTSDiscount($U$35,Y947,,Trigger)</f>
        <v>0.97545788606262884</v>
      </c>
    </row>
    <row r="948" spans="25:26" x14ac:dyDescent="0.25">
      <c r="Y948" s="63">
        <v>43481</v>
      </c>
      <c r="Z948" s="61">
        <f>_xll.qlYieldTSDiscount($U$35,Y948,,Trigger)</f>
        <v>0.97542934467041809</v>
      </c>
    </row>
    <row r="949" spans="25:26" x14ac:dyDescent="0.25">
      <c r="Y949" s="63">
        <v>43482</v>
      </c>
      <c r="Z949" s="61">
        <f>_xll.qlYieldTSDiscount($U$35,Y949,,Trigger)</f>
        <v>0.97540079703035698</v>
      </c>
    </row>
    <row r="950" spans="25:26" x14ac:dyDescent="0.25">
      <c r="Y950" s="63">
        <v>43483</v>
      </c>
      <c r="Z950" s="61">
        <f>_xll.qlYieldTSDiscount($U$35,Y950,,Trigger)</f>
        <v>0.975372243141157</v>
      </c>
    </row>
    <row r="951" spans="25:26" x14ac:dyDescent="0.25">
      <c r="Y951" s="63">
        <v>43484</v>
      </c>
      <c r="Z951" s="61">
        <f>_xll.qlYieldTSDiscount($U$35,Y951,,Trigger)</f>
        <v>0.97534368300152974</v>
      </c>
    </row>
    <row r="952" spans="25:26" x14ac:dyDescent="0.25">
      <c r="Y952" s="63">
        <v>43485</v>
      </c>
      <c r="Z952" s="61">
        <f>_xll.qlYieldTSDiscount($U$35,Y952,,Trigger)</f>
        <v>0.97531511661018666</v>
      </c>
    </row>
    <row r="953" spans="25:26" x14ac:dyDescent="0.25">
      <c r="Y953" s="63">
        <v>43486</v>
      </c>
      <c r="Z953" s="61">
        <f>_xll.qlYieldTSDiscount($U$35,Y953,,Trigger)</f>
        <v>0.97528654396583947</v>
      </c>
    </row>
    <row r="954" spans="25:26" x14ac:dyDescent="0.25">
      <c r="Y954" s="63">
        <v>43487</v>
      </c>
      <c r="Z954" s="61">
        <f>_xll.qlYieldTSDiscount($U$35,Y954,,Trigger)</f>
        <v>0.97525796506719953</v>
      </c>
    </row>
    <row r="955" spans="25:26" x14ac:dyDescent="0.25">
      <c r="Y955" s="63">
        <v>43488</v>
      </c>
      <c r="Z955" s="61">
        <f>_xll.qlYieldTSDiscount($U$35,Y955,,Trigger)</f>
        <v>0.97522937991297831</v>
      </c>
    </row>
    <row r="956" spans="25:26" x14ac:dyDescent="0.25">
      <c r="Y956" s="63">
        <v>43489</v>
      </c>
      <c r="Z956" s="61">
        <f>_xll.qlYieldTSDiscount($U$35,Y956,,Trigger)</f>
        <v>0.97520078850188752</v>
      </c>
    </row>
    <row r="957" spans="25:26" x14ac:dyDescent="0.25">
      <c r="Y957" s="63">
        <v>43490</v>
      </c>
      <c r="Z957" s="61">
        <f>_xll.qlYieldTSDiscount($U$35,Y957,,Trigger)</f>
        <v>0.97517219083263862</v>
      </c>
    </row>
    <row r="958" spans="25:26" x14ac:dyDescent="0.25">
      <c r="Y958" s="63">
        <v>43491</v>
      </c>
      <c r="Z958" s="61">
        <f>_xll.qlYieldTSDiscount($U$35,Y958,,Trigger)</f>
        <v>0.97514358690394309</v>
      </c>
    </row>
    <row r="959" spans="25:26" x14ac:dyDescent="0.25">
      <c r="Y959" s="63">
        <v>43492</v>
      </c>
      <c r="Z959" s="61">
        <f>_xll.qlYieldTSDiscount($U$35,Y959,,Trigger)</f>
        <v>0.97511497671451253</v>
      </c>
    </row>
    <row r="960" spans="25:26" x14ac:dyDescent="0.25">
      <c r="Y960" s="63">
        <v>43493</v>
      </c>
      <c r="Z960" s="61">
        <f>_xll.qlYieldTSDiscount($U$35,Y960,,Trigger)</f>
        <v>0.97508636026305839</v>
      </c>
    </row>
    <row r="961" spans="25:26" x14ac:dyDescent="0.25">
      <c r="Y961" s="63">
        <v>43494</v>
      </c>
      <c r="Z961" s="61">
        <f>_xll.qlYieldTSDiscount($U$35,Y961,,Trigger)</f>
        <v>0.97505773754829239</v>
      </c>
    </row>
    <row r="962" spans="25:26" x14ac:dyDescent="0.25">
      <c r="Y962" s="63">
        <v>43495</v>
      </c>
      <c r="Z962" s="61">
        <f>_xll.qlYieldTSDiscount($U$35,Y962,,Trigger)</f>
        <v>0.97502910856892588</v>
      </c>
    </row>
    <row r="963" spans="25:26" x14ac:dyDescent="0.25">
      <c r="Y963" s="63">
        <v>43496</v>
      </c>
      <c r="Z963" s="61">
        <f>_xll.qlYieldTSDiscount($U$35,Y963,,Trigger)</f>
        <v>0.97500047332367035</v>
      </c>
    </row>
    <row r="964" spans="25:26" x14ac:dyDescent="0.25">
      <c r="Y964" s="63">
        <v>43497</v>
      </c>
      <c r="Z964" s="61">
        <f>_xll.qlYieldTSDiscount($U$35,Y964,,Trigger)</f>
        <v>0.97497183181123748</v>
      </c>
    </row>
    <row r="965" spans="25:26" x14ac:dyDescent="0.25">
      <c r="Y965" s="63">
        <v>43498</v>
      </c>
      <c r="Z965" s="61">
        <f>_xll.qlYieldTSDiscount($U$35,Y965,,Trigger)</f>
        <v>0.97494318403033875</v>
      </c>
    </row>
    <row r="966" spans="25:26" x14ac:dyDescent="0.25">
      <c r="Y966" s="63">
        <v>43499</v>
      </c>
      <c r="Z966" s="61">
        <f>_xll.qlYieldTSDiscount($U$35,Y966,,Trigger)</f>
        <v>0.97491452997968575</v>
      </c>
    </row>
    <row r="967" spans="25:26" x14ac:dyDescent="0.25">
      <c r="Y967" s="63">
        <v>43500</v>
      </c>
      <c r="Z967" s="61">
        <f>_xll.qlYieldTSDiscount($U$35,Y967,,Trigger)</f>
        <v>0.97488586965798985</v>
      </c>
    </row>
    <row r="968" spans="25:26" x14ac:dyDescent="0.25">
      <c r="Y968" s="63">
        <v>43501</v>
      </c>
      <c r="Z968" s="61">
        <f>_xll.qlYieldTSDiscount($U$35,Y968,,Trigger)</f>
        <v>0.97485720306396273</v>
      </c>
    </row>
    <row r="969" spans="25:26" x14ac:dyDescent="0.25">
      <c r="Y969" s="63">
        <v>43502</v>
      </c>
      <c r="Z969" s="61">
        <f>_xll.qlYieldTSDiscount($U$35,Y969,,Trigger)</f>
        <v>0.97482853019631577</v>
      </c>
    </row>
    <row r="970" spans="25:26" x14ac:dyDescent="0.25">
      <c r="Y970" s="63">
        <v>43503</v>
      </c>
      <c r="Z970" s="61">
        <f>_xll.qlYieldTSDiscount($U$35,Y970,,Trigger)</f>
        <v>0.97479985105376066</v>
      </c>
    </row>
    <row r="971" spans="25:26" x14ac:dyDescent="0.25">
      <c r="Y971" s="63">
        <v>43504</v>
      </c>
      <c r="Z971" s="61">
        <f>_xll.qlYieldTSDiscount($U$35,Y971,,Trigger)</f>
        <v>0.97477116563500887</v>
      </c>
    </row>
    <row r="972" spans="25:26" x14ac:dyDescent="0.25">
      <c r="Y972" s="63">
        <v>43505</v>
      </c>
      <c r="Z972" s="61">
        <f>_xll.qlYieldTSDiscount($U$35,Y972,,Trigger)</f>
        <v>0.974742473938772</v>
      </c>
    </row>
    <row r="973" spans="25:26" x14ac:dyDescent="0.25">
      <c r="Y973" s="63">
        <v>43506</v>
      </c>
      <c r="Z973" s="61">
        <f>_xll.qlYieldTSDiscount($U$35,Y973,,Trigger)</f>
        <v>0.97471377596376141</v>
      </c>
    </row>
    <row r="974" spans="25:26" x14ac:dyDescent="0.25">
      <c r="Y974" s="63">
        <v>43507</v>
      </c>
      <c r="Z974" s="61">
        <f>_xll.qlYieldTSDiscount($U$35,Y974,,Trigger)</f>
        <v>0.97468507170868879</v>
      </c>
    </row>
    <row r="975" spans="25:26" x14ac:dyDescent="0.25">
      <c r="Y975" s="63">
        <v>43508</v>
      </c>
      <c r="Z975" s="61">
        <f>_xll.qlYieldTSDiscount($U$35,Y975,,Trigger)</f>
        <v>0.97465636117226562</v>
      </c>
    </row>
    <row r="976" spans="25:26" x14ac:dyDescent="0.25">
      <c r="Y976" s="63">
        <v>43509</v>
      </c>
      <c r="Z976" s="61">
        <f>_xll.qlYieldTSDiscount($U$35,Y976,,Trigger)</f>
        <v>0.97462764435320337</v>
      </c>
    </row>
    <row r="977" spans="25:26" x14ac:dyDescent="0.25">
      <c r="Y977" s="63">
        <v>43510</v>
      </c>
      <c r="Z977" s="61">
        <f>_xll.qlYieldTSDiscount($U$35,Y977,,Trigger)</f>
        <v>0.97459892125021363</v>
      </c>
    </row>
    <row r="978" spans="25:26" x14ac:dyDescent="0.25">
      <c r="Y978" s="63">
        <v>43511</v>
      </c>
      <c r="Z978" s="61">
        <f>_xll.qlYieldTSDiscount($U$35,Y978,,Trigger)</f>
        <v>0.974570191862008</v>
      </c>
    </row>
    <row r="979" spans="25:26" x14ac:dyDescent="0.25">
      <c r="Y979" s="63">
        <v>43512</v>
      </c>
      <c r="Z979" s="61">
        <f>_xll.qlYieldTSDiscount($U$35,Y979,,Trigger)</f>
        <v>0.97454145618729793</v>
      </c>
    </row>
    <row r="980" spans="25:26" x14ac:dyDescent="0.25">
      <c r="Y980" s="63">
        <v>43513</v>
      </c>
      <c r="Z980" s="61">
        <f>_xll.qlYieldTSDiscount($U$35,Y980,,Trigger)</f>
        <v>0.97451271422479491</v>
      </c>
    </row>
    <row r="981" spans="25:26" x14ac:dyDescent="0.25">
      <c r="Y981" s="63">
        <v>43514</v>
      </c>
      <c r="Z981" s="61">
        <f>_xll.qlYieldTSDiscount($U$35,Y981,,Trigger)</f>
        <v>0.97448396597321052</v>
      </c>
    </row>
    <row r="982" spans="25:26" x14ac:dyDescent="0.25">
      <c r="Y982" s="63">
        <v>43515</v>
      </c>
      <c r="Z982" s="61">
        <f>_xll.qlYieldTSDiscount($U$35,Y982,,Trigger)</f>
        <v>0.97445521143125635</v>
      </c>
    </row>
    <row r="983" spans="25:26" x14ac:dyDescent="0.25">
      <c r="Y983" s="63">
        <v>43516</v>
      </c>
      <c r="Z983" s="61">
        <f>_xll.qlYieldTSDiscount($U$35,Y983,,Trigger)</f>
        <v>0.97442645059764377</v>
      </c>
    </row>
    <row r="984" spans="25:26" x14ac:dyDescent="0.25">
      <c r="Y984" s="63">
        <v>43517</v>
      </c>
      <c r="Z984" s="61">
        <f>_xll.qlYieldTSDiscount($U$35,Y984,,Trigger)</f>
        <v>0.97439768347108457</v>
      </c>
    </row>
    <row r="985" spans="25:26" x14ac:dyDescent="0.25">
      <c r="Y985" s="63">
        <v>43518</v>
      </c>
      <c r="Z985" s="61">
        <f>_xll.qlYieldTSDiscount($U$35,Y985,,Trigger)</f>
        <v>0.97436891005029003</v>
      </c>
    </row>
    <row r="986" spans="25:26" x14ac:dyDescent="0.25">
      <c r="Y986" s="63">
        <v>43519</v>
      </c>
      <c r="Z986" s="61">
        <f>_xll.qlYieldTSDiscount($U$35,Y986,,Trigger)</f>
        <v>0.97434013033397171</v>
      </c>
    </row>
    <row r="987" spans="25:26" x14ac:dyDescent="0.25">
      <c r="Y987" s="63">
        <v>43520</v>
      </c>
      <c r="Z987" s="61">
        <f>_xll.qlYieldTSDiscount($U$35,Y987,,Trigger)</f>
        <v>0.97431134432084132</v>
      </c>
    </row>
    <row r="988" spans="25:26" x14ac:dyDescent="0.25">
      <c r="Y988" s="63">
        <v>43521</v>
      </c>
      <c r="Z988" s="61">
        <f>_xll.qlYieldTSDiscount($U$35,Y988,,Trigger)</f>
        <v>0.97428255200961023</v>
      </c>
    </row>
    <row r="989" spans="25:26" x14ac:dyDescent="0.25">
      <c r="Y989" s="63">
        <v>43522</v>
      </c>
      <c r="Z989" s="61">
        <f>_xll.qlYieldTSDiscount($U$35,Y989,,Trigger)</f>
        <v>0.97425375339899001</v>
      </c>
    </row>
    <row r="990" spans="25:26" x14ac:dyDescent="0.25">
      <c r="Y990" s="63">
        <v>43523</v>
      </c>
      <c r="Z990" s="61">
        <f>_xll.qlYieldTSDiscount($U$35,Y990,,Trigger)</f>
        <v>0.97422494848769225</v>
      </c>
    </row>
    <row r="991" spans="25:26" x14ac:dyDescent="0.25">
      <c r="Y991" s="63">
        <v>43524</v>
      </c>
      <c r="Z991" s="61">
        <f>_xll.qlYieldTSDiscount($U$35,Y991,,Trigger)</f>
        <v>0.97419613727442844</v>
      </c>
    </row>
    <row r="992" spans="25:26" x14ac:dyDescent="0.25">
      <c r="Y992" s="63">
        <v>43525</v>
      </c>
      <c r="Z992" s="61">
        <f>_xll.qlYieldTSDiscount($U$35,Y992,,Trigger)</f>
        <v>0.97416731975791004</v>
      </c>
    </row>
    <row r="993" spans="25:26" x14ac:dyDescent="0.25">
      <c r="Y993" s="63">
        <v>43526</v>
      </c>
      <c r="Z993" s="61">
        <f>_xll.qlYieldTSDiscount($U$35,Y993,,Trigger)</f>
        <v>0.97413849593684876</v>
      </c>
    </row>
    <row r="994" spans="25:26" x14ac:dyDescent="0.25">
      <c r="Y994" s="63">
        <v>43527</v>
      </c>
      <c r="Z994" s="61">
        <f>_xll.qlYieldTSDiscount($U$35,Y994,,Trigger)</f>
        <v>0.97410966580995595</v>
      </c>
    </row>
    <row r="995" spans="25:26" x14ac:dyDescent="0.25">
      <c r="Y995" s="63">
        <v>43528</v>
      </c>
      <c r="Z995" s="61">
        <f>_xll.qlYieldTSDiscount($U$35,Y995,,Trigger)</f>
        <v>0.97408082937594309</v>
      </c>
    </row>
    <row r="996" spans="25:26" x14ac:dyDescent="0.25">
      <c r="Y996" s="63">
        <v>43529</v>
      </c>
      <c r="Z996" s="61">
        <f>_xll.qlYieldTSDiscount($U$35,Y996,,Trigger)</f>
        <v>0.97405198663352199</v>
      </c>
    </row>
    <row r="997" spans="25:26" x14ac:dyDescent="0.25">
      <c r="Y997" s="63">
        <v>43530</v>
      </c>
      <c r="Z997" s="61">
        <f>_xll.qlYieldTSDiscount($U$35,Y997,,Trigger)</f>
        <v>0.97402313758140402</v>
      </c>
    </row>
    <row r="998" spans="25:26" x14ac:dyDescent="0.25">
      <c r="Y998" s="63">
        <v>43531</v>
      </c>
      <c r="Z998" s="61">
        <f>_xll.qlYieldTSDiscount($U$35,Y998,,Trigger)</f>
        <v>0.97399428221830064</v>
      </c>
    </row>
    <row r="999" spans="25:26" x14ac:dyDescent="0.25">
      <c r="Y999" s="63">
        <v>43532</v>
      </c>
      <c r="Z999" s="61">
        <f>_xll.qlYieldTSDiscount($U$35,Y999,,Trigger)</f>
        <v>0.97396542054292345</v>
      </c>
    </row>
    <row r="1000" spans="25:26" x14ac:dyDescent="0.25">
      <c r="Y1000" s="63">
        <v>43533</v>
      </c>
      <c r="Z1000" s="61">
        <f>_xll.qlYieldTSDiscount($U$35,Y1000,,Trigger)</f>
        <v>0.97393655255398404</v>
      </c>
    </row>
    <row r="1001" spans="25:26" x14ac:dyDescent="0.25">
      <c r="Y1001" s="63">
        <v>43534</v>
      </c>
      <c r="Z1001" s="61">
        <f>_xll.qlYieldTSDiscount($U$35,Y1001,,Trigger)</f>
        <v>0.97390767825019386</v>
      </c>
    </row>
    <row r="1002" spans="25:26" x14ac:dyDescent="0.25">
      <c r="Y1002" s="63">
        <v>43535</v>
      </c>
      <c r="Z1002" s="61">
        <f>_xll.qlYieldTSDiscount($U$35,Y1002,,Trigger)</f>
        <v>0.97387879763026441</v>
      </c>
    </row>
    <row r="1003" spans="25:26" x14ac:dyDescent="0.25">
      <c r="Y1003" s="63">
        <v>43536</v>
      </c>
      <c r="Z1003" s="61">
        <f>_xll.qlYieldTSDiscount($U$35,Y1003,,Trigger)</f>
        <v>0.97384991069290738</v>
      </c>
    </row>
    <row r="1004" spans="25:26" x14ac:dyDescent="0.25">
      <c r="Y1004" s="63">
        <v>43537</v>
      </c>
      <c r="Z1004" s="61">
        <f>_xll.qlYieldTSDiscount($U$35,Y1004,,Trigger)</f>
        <v>0.97382101743683414</v>
      </c>
    </row>
    <row r="1005" spans="25:26" x14ac:dyDescent="0.25">
      <c r="Y1005" s="63">
        <v>43538</v>
      </c>
      <c r="Z1005" s="61">
        <f>_xll.qlYieldTSDiscount($U$35,Y1005,,Trigger)</f>
        <v>0.97379211786075626</v>
      </c>
    </row>
    <row r="1006" spans="25:26" x14ac:dyDescent="0.25">
      <c r="Y1006" s="63">
        <v>43539</v>
      </c>
      <c r="Z1006" s="61">
        <f>_xll.qlYieldTSDiscount($U$35,Y1006,,Trigger)</f>
        <v>0.97376321196338533</v>
      </c>
    </row>
    <row r="1007" spans="25:26" x14ac:dyDescent="0.25">
      <c r="Y1007" s="63">
        <v>43540</v>
      </c>
      <c r="Z1007" s="61">
        <f>_xll.qlYieldTSDiscount($U$35,Y1007,,Trigger)</f>
        <v>0.97373429974343284</v>
      </c>
    </row>
    <row r="1008" spans="25:26" x14ac:dyDescent="0.25">
      <c r="Y1008" s="63">
        <v>43541</v>
      </c>
      <c r="Z1008" s="61">
        <f>_xll.qlYieldTSDiscount($U$35,Y1008,,Trigger)</f>
        <v>0.97370538119961025</v>
      </c>
    </row>
    <row r="1009" spans="25:26" x14ac:dyDescent="0.25">
      <c r="Y1009" s="63">
        <v>43542</v>
      </c>
      <c r="Z1009" s="61">
        <f>_xll.qlYieldTSDiscount($U$35,Y1009,,Trigger)</f>
        <v>0.97367645633062927</v>
      </c>
    </row>
    <row r="1010" spans="25:26" x14ac:dyDescent="0.25">
      <c r="Y1010" s="63">
        <v>43543</v>
      </c>
      <c r="Z1010" s="61">
        <f>_xll.qlYieldTSDiscount($U$35,Y1010,,Trigger)</f>
        <v>0.97364752513520125</v>
      </c>
    </row>
    <row r="1011" spans="25:26" x14ac:dyDescent="0.25">
      <c r="Y1011" s="63">
        <v>43544</v>
      </c>
      <c r="Z1011" s="61">
        <f>_xll.qlYieldTSDiscount($U$35,Y1011,,Trigger)</f>
        <v>0.9736185876120379</v>
      </c>
    </row>
    <row r="1012" spans="25:26" x14ac:dyDescent="0.25">
      <c r="Y1012" s="63">
        <v>43545</v>
      </c>
      <c r="Z1012" s="61">
        <f>_xll.qlYieldTSDiscount($U$35,Y1012,,Trigger)</f>
        <v>0.97358964375985058</v>
      </c>
    </row>
    <row r="1013" spans="25:26" x14ac:dyDescent="0.25">
      <c r="Y1013" s="63">
        <v>43546</v>
      </c>
      <c r="Z1013" s="61">
        <f>_xll.qlYieldTSDiscount($U$35,Y1013,,Trigger)</f>
        <v>0.97356069357735087</v>
      </c>
    </row>
    <row r="1014" spans="25:26" x14ac:dyDescent="0.25">
      <c r="Y1014" s="63">
        <v>43547</v>
      </c>
      <c r="Z1014" s="61">
        <f>_xll.qlYieldTSDiscount($U$35,Y1014,,Trigger)</f>
        <v>0.97353173706325036</v>
      </c>
    </row>
    <row r="1015" spans="25:26" x14ac:dyDescent="0.25">
      <c r="Y1015" s="63">
        <v>43548</v>
      </c>
      <c r="Z1015" s="61">
        <f>_xll.qlYieldTSDiscount($U$35,Y1015,,Trigger)</f>
        <v>0.97350277421626052</v>
      </c>
    </row>
    <row r="1016" spans="25:26" x14ac:dyDescent="0.25">
      <c r="Y1016" s="63">
        <v>43549</v>
      </c>
      <c r="Z1016" s="61">
        <f>_xll.qlYieldTSDiscount($U$35,Y1016,,Trigger)</f>
        <v>0.97347380503509284</v>
      </c>
    </row>
    <row r="1017" spans="25:26" x14ac:dyDescent="0.25">
      <c r="Y1017" s="63">
        <v>43550</v>
      </c>
      <c r="Z1017" s="61">
        <f>_xll.qlYieldTSDiscount($U$35,Y1017,,Trigger)</f>
        <v>0.97344482951845901</v>
      </c>
    </row>
    <row r="1018" spans="25:26" x14ac:dyDescent="0.25">
      <c r="Y1018" s="63">
        <v>43551</v>
      </c>
      <c r="Z1018" s="61">
        <f>_xll.qlYieldTSDiscount($U$35,Y1018,,Trigger)</f>
        <v>0.9734158476650705</v>
      </c>
    </row>
    <row r="1019" spans="25:26" x14ac:dyDescent="0.25">
      <c r="Y1019" s="63">
        <v>43552</v>
      </c>
      <c r="Z1019" s="61">
        <f>_xll.qlYieldTSDiscount($U$35,Y1019,,Trigger)</f>
        <v>0.97338685947363868</v>
      </c>
    </row>
    <row r="1020" spans="25:26" x14ac:dyDescent="0.25">
      <c r="Y1020" s="63">
        <v>43553</v>
      </c>
      <c r="Z1020" s="61">
        <f>_xll.qlYieldTSDiscount($U$35,Y1020,,Trigger)</f>
        <v>0.97335786494287535</v>
      </c>
    </row>
    <row r="1021" spans="25:26" x14ac:dyDescent="0.25">
      <c r="Y1021" s="63">
        <v>43554</v>
      </c>
      <c r="Z1021" s="61">
        <f>_xll.qlYieldTSDiscount($U$35,Y1021,,Trigger)</f>
        <v>0.97332886407149177</v>
      </c>
    </row>
    <row r="1022" spans="25:26" x14ac:dyDescent="0.25">
      <c r="Y1022" s="63">
        <v>43555</v>
      </c>
      <c r="Z1022" s="61">
        <f>_xll.qlYieldTSDiscount($U$35,Y1022,,Trigger)</f>
        <v>0.97329985685819964</v>
      </c>
    </row>
    <row r="1023" spans="25:26" x14ac:dyDescent="0.25">
      <c r="Y1023" s="63">
        <v>43556</v>
      </c>
      <c r="Z1023" s="61">
        <f>_xll.qlYieldTSDiscount($U$35,Y1023,,Trigger)</f>
        <v>0.97327084330171054</v>
      </c>
    </row>
    <row r="1024" spans="25:26" x14ac:dyDescent="0.25">
      <c r="Y1024" s="63">
        <v>43557</v>
      </c>
      <c r="Z1024" s="61">
        <f>_xll.qlYieldTSDiscount($U$35,Y1024,,Trigger)</f>
        <v>0.97324182340073584</v>
      </c>
    </row>
    <row r="1025" spans="25:26" x14ac:dyDescent="0.25">
      <c r="Y1025" s="63">
        <v>43558</v>
      </c>
      <c r="Z1025" s="61">
        <f>_xll.qlYieldTSDiscount($U$35,Y1025,,Trigger)</f>
        <v>0.97321279715398712</v>
      </c>
    </row>
    <row r="1026" spans="25:26" x14ac:dyDescent="0.25">
      <c r="Y1026" s="63">
        <v>43559</v>
      </c>
      <c r="Z1026" s="61">
        <f>_xll.qlYieldTSDiscount($U$35,Y1026,,Trigger)</f>
        <v>0.97318376456017597</v>
      </c>
    </row>
    <row r="1027" spans="25:26" x14ac:dyDescent="0.25">
      <c r="Y1027" s="63">
        <v>43560</v>
      </c>
      <c r="Z1027" s="61">
        <f>_xll.qlYieldTSDiscount($U$35,Y1027,,Trigger)</f>
        <v>0.97315472561801386</v>
      </c>
    </row>
    <row r="1028" spans="25:26" x14ac:dyDescent="0.25">
      <c r="Y1028" s="63">
        <v>43561</v>
      </c>
      <c r="Z1028" s="61">
        <f>_xll.qlYieldTSDiscount($U$35,Y1028,,Trigger)</f>
        <v>0.97312568032621238</v>
      </c>
    </row>
    <row r="1029" spans="25:26" x14ac:dyDescent="0.25">
      <c r="Y1029" s="63">
        <v>43562</v>
      </c>
      <c r="Z1029" s="61">
        <f>_xll.qlYieldTSDiscount($U$35,Y1029,,Trigger)</f>
        <v>0.97309662868348301</v>
      </c>
    </row>
    <row r="1030" spans="25:26" x14ac:dyDescent="0.25">
      <c r="Y1030" s="63">
        <v>43563</v>
      </c>
      <c r="Z1030" s="61">
        <f>_xll.qlYieldTSDiscount($U$35,Y1030,,Trigger)</f>
        <v>0.97306757068853722</v>
      </c>
    </row>
    <row r="1031" spans="25:26" x14ac:dyDescent="0.25">
      <c r="Y1031" s="63">
        <v>43564</v>
      </c>
      <c r="Z1031" s="61">
        <f>_xll.qlYieldTSDiscount($U$35,Y1031,,Trigger)</f>
        <v>0.97303850634008671</v>
      </c>
    </row>
    <row r="1032" spans="25:26" x14ac:dyDescent="0.25">
      <c r="Y1032" s="63">
        <v>43565</v>
      </c>
      <c r="Z1032" s="61">
        <f>_xll.qlYieldTSDiscount($U$35,Y1032,,Trigger)</f>
        <v>0.97300943563684295</v>
      </c>
    </row>
    <row r="1033" spans="25:26" x14ac:dyDescent="0.25">
      <c r="Y1033" s="63">
        <v>43566</v>
      </c>
      <c r="Z1033" s="61">
        <f>_xll.qlYieldTSDiscount($U$35,Y1033,,Trigger)</f>
        <v>0.97298035857751741</v>
      </c>
    </row>
    <row r="1034" spans="25:26" x14ac:dyDescent="0.25">
      <c r="Y1034" s="63">
        <v>43567</v>
      </c>
      <c r="Z1034" s="61">
        <f>_xll.qlYieldTSDiscount($U$35,Y1034,,Trigger)</f>
        <v>0.97295127516082169</v>
      </c>
    </row>
    <row r="1035" spans="25:26" x14ac:dyDescent="0.25">
      <c r="Y1035" s="63">
        <v>43568</v>
      </c>
      <c r="Z1035" s="61">
        <f>_xll.qlYieldTSDiscount($U$35,Y1035,,Trigger)</f>
        <v>0.97292218538546726</v>
      </c>
    </row>
    <row r="1036" spans="25:26" x14ac:dyDescent="0.25">
      <c r="Y1036" s="63">
        <v>43569</v>
      </c>
      <c r="Z1036" s="61">
        <f>_xll.qlYieldTSDiscount($U$35,Y1036,,Trigger)</f>
        <v>0.9728930892501656</v>
      </c>
    </row>
    <row r="1037" spans="25:26" x14ac:dyDescent="0.25">
      <c r="Y1037" s="63">
        <v>43570</v>
      </c>
      <c r="Z1037" s="61">
        <f>_xll.qlYieldTSDiscount($U$35,Y1037,,Trigger)</f>
        <v>0.9728639867536284</v>
      </c>
    </row>
    <row r="1038" spans="25:26" x14ac:dyDescent="0.25">
      <c r="Y1038" s="63">
        <v>43571</v>
      </c>
      <c r="Z1038" s="61">
        <f>_xll.qlYieldTSDiscount($U$35,Y1038,,Trigger)</f>
        <v>0.97283487789456713</v>
      </c>
    </row>
    <row r="1039" spans="25:26" x14ac:dyDescent="0.25">
      <c r="Y1039" s="63">
        <v>43572</v>
      </c>
      <c r="Z1039" s="61">
        <f>_xll.qlYieldTSDiscount($U$35,Y1039,,Trigger)</f>
        <v>0.97280576267169327</v>
      </c>
    </row>
    <row r="1040" spans="25:26" x14ac:dyDescent="0.25">
      <c r="Y1040" s="63">
        <v>43573</v>
      </c>
      <c r="Z1040" s="61">
        <f>_xll.qlYieldTSDiscount($U$35,Y1040,,Trigger)</f>
        <v>0.97277664108371831</v>
      </c>
    </row>
    <row r="1041" spans="25:26" x14ac:dyDescent="0.25">
      <c r="Y1041" s="63">
        <v>43574</v>
      </c>
      <c r="Z1041" s="61">
        <f>_xll.qlYieldTSDiscount($U$35,Y1041,,Trigger)</f>
        <v>0.97274751312935392</v>
      </c>
    </row>
    <row r="1042" spans="25:26" x14ac:dyDescent="0.25">
      <c r="Y1042" s="63">
        <v>43575</v>
      </c>
      <c r="Z1042" s="61">
        <f>_xll.qlYieldTSDiscount($U$35,Y1042,,Trigger)</f>
        <v>0.9727183788073116</v>
      </c>
    </row>
    <row r="1043" spans="25:26" x14ac:dyDescent="0.25">
      <c r="Y1043" s="63">
        <v>43576</v>
      </c>
      <c r="Z1043" s="61">
        <f>_xll.qlYieldTSDiscount($U$35,Y1043,,Trigger)</f>
        <v>0.97268923811630281</v>
      </c>
    </row>
    <row r="1044" spans="25:26" x14ac:dyDescent="0.25">
      <c r="Y1044" s="63">
        <v>43577</v>
      </c>
      <c r="Z1044" s="61">
        <f>_xll.qlYieldTSDiscount($U$35,Y1044,,Trigger)</f>
        <v>0.97266009105503914</v>
      </c>
    </row>
    <row r="1045" spans="25:26" x14ac:dyDescent="0.25">
      <c r="Y1045" s="63">
        <v>43578</v>
      </c>
      <c r="Z1045" s="61">
        <f>_xll.qlYieldTSDiscount($U$35,Y1045,,Trigger)</f>
        <v>0.97263093762223207</v>
      </c>
    </row>
    <row r="1046" spans="25:26" x14ac:dyDescent="0.25">
      <c r="Y1046" s="63">
        <v>43579</v>
      </c>
      <c r="Z1046" s="61">
        <f>_xll.qlYieldTSDiscount($U$35,Y1046,,Trigger)</f>
        <v>0.97260177781659318</v>
      </c>
    </row>
    <row r="1047" spans="25:26" x14ac:dyDescent="0.25">
      <c r="Y1047" s="63">
        <v>43580</v>
      </c>
      <c r="Z1047" s="61">
        <f>_xll.qlYieldTSDiscount($U$35,Y1047,,Trigger)</f>
        <v>0.97257261163683395</v>
      </c>
    </row>
    <row r="1048" spans="25:26" x14ac:dyDescent="0.25">
      <c r="Y1048" s="63">
        <v>43581</v>
      </c>
      <c r="Z1048" s="61">
        <f>_xll.qlYieldTSDiscount($U$35,Y1048,,Trigger)</f>
        <v>0.97254343908166596</v>
      </c>
    </row>
    <row r="1049" spans="25:26" x14ac:dyDescent="0.25">
      <c r="Y1049" s="63">
        <v>43582</v>
      </c>
      <c r="Z1049" s="61">
        <f>_xll.qlYieldTSDiscount($U$35,Y1049,,Trigger)</f>
        <v>0.97251426014980069</v>
      </c>
    </row>
    <row r="1050" spans="25:26" x14ac:dyDescent="0.25">
      <c r="Y1050" s="63">
        <v>43583</v>
      </c>
      <c r="Z1050" s="61">
        <f>_xll.qlYieldTSDiscount($U$35,Y1050,,Trigger)</f>
        <v>0.97248507483994973</v>
      </c>
    </row>
    <row r="1051" spans="25:26" x14ac:dyDescent="0.25">
      <c r="Y1051" s="63">
        <v>43584</v>
      </c>
      <c r="Z1051" s="61">
        <f>_xll.qlYieldTSDiscount($U$35,Y1051,,Trigger)</f>
        <v>0.97245588315082454</v>
      </c>
    </row>
    <row r="1052" spans="25:26" x14ac:dyDescent="0.25">
      <c r="Y1052" s="63">
        <v>43585</v>
      </c>
      <c r="Z1052" s="61">
        <f>_xll.qlYieldTSDiscount($U$35,Y1052,,Trigger)</f>
        <v>0.97242668508113683</v>
      </c>
    </row>
    <row r="1053" spans="25:26" x14ac:dyDescent="0.25">
      <c r="Y1053" s="63">
        <v>43586</v>
      </c>
      <c r="Z1053" s="61">
        <f>_xll.qlYieldTSDiscount($U$35,Y1053,,Trigger)</f>
        <v>0.97239748062959785</v>
      </c>
    </row>
    <row r="1054" spans="25:26" x14ac:dyDescent="0.25">
      <c r="Y1054" s="63">
        <v>43587</v>
      </c>
      <c r="Z1054" s="61">
        <f>_xll.qlYieldTSDiscount($U$35,Y1054,,Trigger)</f>
        <v>0.97236826979491942</v>
      </c>
    </row>
    <row r="1055" spans="25:26" x14ac:dyDescent="0.25">
      <c r="Y1055" s="63">
        <v>43588</v>
      </c>
      <c r="Z1055" s="61">
        <f>_xll.qlYieldTSDiscount($U$35,Y1055,,Trigger)</f>
        <v>0.97233905257581277</v>
      </c>
    </row>
    <row r="1056" spans="25:26" x14ac:dyDescent="0.25">
      <c r="Y1056" s="63">
        <v>43589</v>
      </c>
      <c r="Z1056" s="61">
        <f>_xll.qlYieldTSDiscount($U$35,Y1056,,Trigger)</f>
        <v>0.97230982897098972</v>
      </c>
    </row>
    <row r="1057" spans="25:26" x14ac:dyDescent="0.25">
      <c r="Y1057" s="63">
        <v>43590</v>
      </c>
      <c r="Z1057" s="61">
        <f>_xll.qlYieldTSDiscount($U$35,Y1057,,Trigger)</f>
        <v>0.97228059897916164</v>
      </c>
    </row>
    <row r="1058" spans="25:26" x14ac:dyDescent="0.25">
      <c r="Y1058" s="63">
        <v>43591</v>
      </c>
      <c r="Z1058" s="61">
        <f>_xll.qlYieldTSDiscount($U$35,Y1058,,Trigger)</f>
        <v>0.9722513625990401</v>
      </c>
    </row>
    <row r="1059" spans="25:26" x14ac:dyDescent="0.25">
      <c r="Y1059" s="63">
        <v>43592</v>
      </c>
      <c r="Z1059" s="61">
        <f>_xll.qlYieldTSDiscount($U$35,Y1059,,Trigger)</f>
        <v>0.9722221198293366</v>
      </c>
    </row>
    <row r="1060" spans="25:26" x14ac:dyDescent="0.25">
      <c r="Y1060" s="63">
        <v>43593</v>
      </c>
      <c r="Z1060" s="61">
        <f>_xll.qlYieldTSDiscount($U$35,Y1060,,Trigger)</f>
        <v>0.9721928706687627</v>
      </c>
    </row>
    <row r="1061" spans="25:26" x14ac:dyDescent="0.25">
      <c r="Y1061" s="63">
        <v>43594</v>
      </c>
      <c r="Z1061" s="61">
        <f>_xll.qlYieldTSDiscount($U$35,Y1061,,Trigger)</f>
        <v>0.97216361511602989</v>
      </c>
    </row>
    <row r="1062" spans="25:26" x14ac:dyDescent="0.25">
      <c r="Y1062" s="63">
        <v>43595</v>
      </c>
      <c r="Z1062" s="61">
        <f>_xll.qlYieldTSDiscount($U$35,Y1062,,Trigger)</f>
        <v>0.97213435316984975</v>
      </c>
    </row>
    <row r="1063" spans="25:26" x14ac:dyDescent="0.25">
      <c r="Y1063" s="63">
        <v>43596</v>
      </c>
      <c r="Z1063" s="61">
        <f>_xll.qlYieldTSDiscount($U$35,Y1063,,Trigger)</f>
        <v>0.97210508482893387</v>
      </c>
    </row>
    <row r="1064" spans="25:26" x14ac:dyDescent="0.25">
      <c r="Y1064" s="63">
        <v>43597</v>
      </c>
      <c r="Z1064" s="61">
        <f>_xll.qlYieldTSDiscount($U$35,Y1064,,Trigger)</f>
        <v>0.97207581009199362</v>
      </c>
    </row>
    <row r="1065" spans="25:26" x14ac:dyDescent="0.25">
      <c r="Y1065" s="63">
        <v>43598</v>
      </c>
      <c r="Z1065" s="61">
        <f>_xll.qlYieldTSDiscount($U$35,Y1065,,Trigger)</f>
        <v>0.97204652895774069</v>
      </c>
    </row>
    <row r="1066" spans="25:26" x14ac:dyDescent="0.25">
      <c r="Y1066" s="63">
        <v>43599</v>
      </c>
      <c r="Z1066" s="61">
        <f>_xll.qlYieldTSDiscount($U$35,Y1066,,Trigger)</f>
        <v>0.97201724142488655</v>
      </c>
    </row>
    <row r="1067" spans="25:26" x14ac:dyDescent="0.25">
      <c r="Y1067" s="63">
        <v>43600</v>
      </c>
      <c r="Z1067" s="61">
        <f>_xll.qlYieldTSDiscount($U$35,Y1067,,Trigger)</f>
        <v>0.97198794749214268</v>
      </c>
    </row>
    <row r="1068" spans="25:26" x14ac:dyDescent="0.25">
      <c r="Y1068" s="63">
        <v>43601</v>
      </c>
      <c r="Z1068" s="61">
        <f>_xll.qlYieldTSDiscount($U$35,Y1068,,Trigger)</f>
        <v>0.97195864715822067</v>
      </c>
    </row>
    <row r="1069" spans="25:26" x14ac:dyDescent="0.25">
      <c r="Y1069" s="63">
        <v>43602</v>
      </c>
      <c r="Z1069" s="61">
        <f>_xll.qlYieldTSDiscount($U$35,Y1069,,Trigger)</f>
        <v>0.97192934042183199</v>
      </c>
    </row>
    <row r="1070" spans="25:26" x14ac:dyDescent="0.25">
      <c r="Y1070" s="63">
        <v>43603</v>
      </c>
      <c r="Z1070" s="61">
        <f>_xll.qlYieldTSDiscount($U$35,Y1070,,Trigger)</f>
        <v>0.97190002728168823</v>
      </c>
    </row>
    <row r="1071" spans="25:26" x14ac:dyDescent="0.25">
      <c r="Y1071" s="63">
        <v>43604</v>
      </c>
      <c r="Z1071" s="61">
        <f>_xll.qlYieldTSDiscount($U$35,Y1071,,Trigger)</f>
        <v>0.97187070773650097</v>
      </c>
    </row>
    <row r="1072" spans="25:26" x14ac:dyDescent="0.25">
      <c r="Y1072" s="63">
        <v>43605</v>
      </c>
      <c r="Z1072" s="61">
        <f>_xll.qlYieldTSDiscount($U$35,Y1072,,Trigger)</f>
        <v>0.97184138178498169</v>
      </c>
    </row>
    <row r="1073" spans="25:26" x14ac:dyDescent="0.25">
      <c r="Y1073" s="63">
        <v>43606</v>
      </c>
      <c r="Z1073" s="61">
        <f>_xll.qlYieldTSDiscount($U$35,Y1073,,Trigger)</f>
        <v>0.97181204942584187</v>
      </c>
    </row>
    <row r="1074" spans="25:26" x14ac:dyDescent="0.25">
      <c r="Y1074" s="63">
        <v>43607</v>
      </c>
      <c r="Z1074" s="61">
        <f>_xll.qlYieldTSDiscount($U$35,Y1074,,Trigger)</f>
        <v>0.97178271065779309</v>
      </c>
    </row>
    <row r="1075" spans="25:26" x14ac:dyDescent="0.25">
      <c r="Y1075" s="63">
        <v>43608</v>
      </c>
      <c r="Z1075" s="61">
        <f>_xll.qlYieldTSDiscount($U$35,Y1075,,Trigger)</f>
        <v>0.97175336547954683</v>
      </c>
    </row>
    <row r="1076" spans="25:26" x14ac:dyDescent="0.25">
      <c r="Y1076" s="63">
        <v>43609</v>
      </c>
      <c r="Z1076" s="61">
        <f>_xll.qlYieldTSDiscount($U$35,Y1076,,Trigger)</f>
        <v>0.97172401388981466</v>
      </c>
    </row>
    <row r="1077" spans="25:26" x14ac:dyDescent="0.25">
      <c r="Y1077" s="63">
        <v>43610</v>
      </c>
      <c r="Z1077" s="61">
        <f>_xll.qlYieldTSDiscount($U$35,Y1077,,Trigger)</f>
        <v>0.97169465588730819</v>
      </c>
    </row>
    <row r="1078" spans="25:26" x14ac:dyDescent="0.25">
      <c r="Y1078" s="63">
        <v>43611</v>
      </c>
      <c r="Z1078" s="61">
        <f>_xll.qlYieldTSDiscount($U$35,Y1078,,Trigger)</f>
        <v>0.97166529147073888</v>
      </c>
    </row>
    <row r="1079" spans="25:26" x14ac:dyDescent="0.25">
      <c r="Y1079" s="63">
        <v>43612</v>
      </c>
      <c r="Z1079" s="61">
        <f>_xll.qlYieldTSDiscount($U$35,Y1079,,Trigger)</f>
        <v>0.97163592063881821</v>
      </c>
    </row>
    <row r="1080" spans="25:26" x14ac:dyDescent="0.25">
      <c r="Y1080" s="63">
        <v>43613</v>
      </c>
      <c r="Z1080" s="61">
        <f>_xll.qlYieldTSDiscount($U$35,Y1080,,Trigger)</f>
        <v>0.97160654339025776</v>
      </c>
    </row>
    <row r="1081" spans="25:26" x14ac:dyDescent="0.25">
      <c r="Y1081" s="63">
        <v>43614</v>
      </c>
      <c r="Z1081" s="61">
        <f>_xll.qlYieldTSDiscount($U$35,Y1081,,Trigger)</f>
        <v>0.97157715972376912</v>
      </c>
    </row>
    <row r="1082" spans="25:26" x14ac:dyDescent="0.25">
      <c r="Y1082" s="63">
        <v>43615</v>
      </c>
      <c r="Z1082" s="61">
        <f>_xll.qlYieldTSDiscount($U$35,Y1082,,Trigger)</f>
        <v>0.97154776963806366</v>
      </c>
    </row>
    <row r="1083" spans="25:26" x14ac:dyDescent="0.25">
      <c r="Y1083" s="63">
        <v>43616</v>
      </c>
      <c r="Z1083" s="61">
        <f>_xll.qlYieldTSDiscount($U$35,Y1083,,Trigger)</f>
        <v>0.97151837313185307</v>
      </c>
    </row>
    <row r="1084" spans="25:26" x14ac:dyDescent="0.25">
      <c r="Y1084" s="63">
        <v>43617</v>
      </c>
      <c r="Z1084" s="61">
        <f>_xll.qlYieldTSDiscount($U$35,Y1084,,Trigger)</f>
        <v>0.97148897020384883</v>
      </c>
    </row>
    <row r="1085" spans="25:26" x14ac:dyDescent="0.25">
      <c r="Y1085" s="63">
        <v>43618</v>
      </c>
      <c r="Z1085" s="61">
        <f>_xll.qlYieldTSDiscount($U$35,Y1085,,Trigger)</f>
        <v>0.97145956085276253</v>
      </c>
    </row>
    <row r="1086" spans="25:26" x14ac:dyDescent="0.25">
      <c r="Y1086" s="63">
        <v>43619</v>
      </c>
      <c r="Z1086" s="61">
        <f>_xll.qlYieldTSDiscount($U$35,Y1086,,Trigger)</f>
        <v>0.97143014507730552</v>
      </c>
    </row>
    <row r="1087" spans="25:26" x14ac:dyDescent="0.25">
      <c r="Y1087" s="63">
        <v>43620</v>
      </c>
      <c r="Z1087" s="61">
        <f>_xll.qlYieldTSDiscount($U$35,Y1087,,Trigger)</f>
        <v>0.9714007228761895</v>
      </c>
    </row>
    <row r="1088" spans="25:26" x14ac:dyDescent="0.25">
      <c r="Y1088" s="63">
        <v>43621</v>
      </c>
      <c r="Z1088" s="61">
        <f>_xll.qlYieldTSDiscount($U$35,Y1088,,Trigger)</f>
        <v>0.97137129424812596</v>
      </c>
    </row>
    <row r="1089" spans="25:26" x14ac:dyDescent="0.25">
      <c r="Y1089" s="63">
        <v>43622</v>
      </c>
      <c r="Z1089" s="61">
        <f>_xll.qlYieldTSDiscount($U$35,Y1089,,Trigger)</f>
        <v>0.97134185919182636</v>
      </c>
    </row>
    <row r="1090" spans="25:26" x14ac:dyDescent="0.25">
      <c r="Y1090" s="63">
        <v>43623</v>
      </c>
      <c r="Z1090" s="61">
        <f>_xll.qlYieldTSDiscount($U$35,Y1090,,Trigger)</f>
        <v>0.97131241770600241</v>
      </c>
    </row>
    <row r="1091" spans="25:26" x14ac:dyDescent="0.25">
      <c r="Y1091" s="63">
        <v>43624</v>
      </c>
      <c r="Z1091" s="61">
        <f>_xll.qlYieldTSDiscount($U$35,Y1091,,Trigger)</f>
        <v>0.97128296978936535</v>
      </c>
    </row>
    <row r="1092" spans="25:26" x14ac:dyDescent="0.25">
      <c r="Y1092" s="63">
        <v>43625</v>
      </c>
      <c r="Z1092" s="61">
        <f>_xll.qlYieldTSDiscount($U$35,Y1092,,Trigger)</f>
        <v>0.97125351544062699</v>
      </c>
    </row>
    <row r="1093" spans="25:26" x14ac:dyDescent="0.25">
      <c r="Y1093" s="63">
        <v>43626</v>
      </c>
      <c r="Z1093" s="61">
        <f>_xll.qlYieldTSDiscount($U$35,Y1093,,Trigger)</f>
        <v>0.97122405465849881</v>
      </c>
    </row>
    <row r="1094" spans="25:26" x14ac:dyDescent="0.25">
      <c r="Y1094" s="63">
        <v>43627</v>
      </c>
      <c r="Z1094" s="61">
        <f>_xll.qlYieldTSDiscount($U$35,Y1094,,Trigger)</f>
        <v>0.97119458744169218</v>
      </c>
    </row>
    <row r="1095" spans="25:26" x14ac:dyDescent="0.25">
      <c r="Y1095" s="63">
        <v>43628</v>
      </c>
      <c r="Z1095" s="61">
        <f>_xll.qlYieldTSDiscount($U$35,Y1095,,Trigger)</f>
        <v>0.97116511378891879</v>
      </c>
    </row>
    <row r="1096" spans="25:26" x14ac:dyDescent="0.25">
      <c r="Y1096" s="63">
        <v>43629</v>
      </c>
      <c r="Z1096" s="61">
        <f>_xll.qlYieldTSDiscount($U$35,Y1096,,Trigger)</f>
        <v>0.97113563369889011</v>
      </c>
    </row>
    <row r="1097" spans="25:26" x14ac:dyDescent="0.25">
      <c r="Y1097" s="63">
        <v>43630</v>
      </c>
      <c r="Z1097" s="61">
        <f>_xll.qlYieldTSDiscount($U$35,Y1097,,Trigger)</f>
        <v>0.97110614717031774</v>
      </c>
    </row>
    <row r="1098" spans="25:26" x14ac:dyDescent="0.25">
      <c r="Y1098" s="63">
        <v>43631</v>
      </c>
      <c r="Z1098" s="61">
        <f>_xll.qlYieldTSDiscount($U$35,Y1098,,Trigger)</f>
        <v>0.97107665420191303</v>
      </c>
    </row>
    <row r="1099" spans="25:26" x14ac:dyDescent="0.25">
      <c r="Y1099" s="63">
        <v>43632</v>
      </c>
      <c r="Z1099" s="61">
        <f>_xll.qlYieldTSDiscount($U$35,Y1099,,Trigger)</f>
        <v>0.97104715479238768</v>
      </c>
    </row>
    <row r="1100" spans="25:26" x14ac:dyDescent="0.25">
      <c r="Y1100" s="63">
        <v>43633</v>
      </c>
      <c r="Z1100" s="61">
        <f>_xll.qlYieldTSDiscount($U$35,Y1100,,Trigger)</f>
        <v>0.97101764894045317</v>
      </c>
    </row>
    <row r="1101" spans="25:26" x14ac:dyDescent="0.25">
      <c r="Y1101" s="63">
        <v>43634</v>
      </c>
      <c r="Z1101" s="61">
        <f>_xll.qlYieldTSDiscount($U$35,Y1101,,Trigger)</f>
        <v>0.97098813664482109</v>
      </c>
    </row>
    <row r="1102" spans="25:26" x14ac:dyDescent="0.25">
      <c r="Y1102" s="63">
        <v>43635</v>
      </c>
      <c r="Z1102" s="61">
        <f>_xll.qlYieldTSDiscount($U$35,Y1102,,Trigger)</f>
        <v>0.9709586179042029</v>
      </c>
    </row>
    <row r="1103" spans="25:26" x14ac:dyDescent="0.25">
      <c r="Y1103" s="63">
        <v>43636</v>
      </c>
      <c r="Z1103" s="61">
        <f>_xll.qlYieldTSDiscount($U$35,Y1103,,Trigger)</f>
        <v>0.97092909271731009</v>
      </c>
    </row>
    <row r="1104" spans="25:26" x14ac:dyDescent="0.25">
      <c r="Y1104" s="63">
        <v>43637</v>
      </c>
      <c r="Z1104" s="61">
        <f>_xll.qlYieldTSDiscount($U$35,Y1104,,Trigger)</f>
        <v>0.97089956108285436</v>
      </c>
    </row>
    <row r="1105" spans="25:26" x14ac:dyDescent="0.25">
      <c r="Y1105" s="63">
        <v>43638</v>
      </c>
      <c r="Z1105" s="61">
        <f>_xll.qlYieldTSDiscount($U$35,Y1105,,Trigger)</f>
        <v>0.97087002299954706</v>
      </c>
    </row>
    <row r="1106" spans="25:26" x14ac:dyDescent="0.25">
      <c r="Y1106" s="63">
        <v>43639</v>
      </c>
      <c r="Z1106" s="61">
        <f>_xll.qlYieldTSDiscount($U$35,Y1106,,Trigger)</f>
        <v>0.97084047846609978</v>
      </c>
    </row>
    <row r="1107" spans="25:26" x14ac:dyDescent="0.25">
      <c r="Y1107" s="63">
        <v>43640</v>
      </c>
      <c r="Z1107" s="61">
        <f>_xll.qlYieldTSDiscount($U$35,Y1107,,Trigger)</f>
        <v>0.970810927481224</v>
      </c>
    </row>
    <row r="1108" spans="25:26" x14ac:dyDescent="0.25">
      <c r="Y1108" s="63">
        <v>43641</v>
      </c>
      <c r="Z1108" s="61">
        <f>_xll.qlYieldTSDiscount($U$35,Y1108,,Trigger)</f>
        <v>0.97078137004363141</v>
      </c>
    </row>
    <row r="1109" spans="25:26" x14ac:dyDescent="0.25">
      <c r="Y1109" s="63">
        <v>43642</v>
      </c>
      <c r="Z1109" s="61">
        <f>_xll.qlYieldTSDiscount($U$35,Y1109,,Trigger)</f>
        <v>0.97075180615203338</v>
      </c>
    </row>
    <row r="1110" spans="25:26" x14ac:dyDescent="0.25">
      <c r="Y1110" s="63">
        <v>43643</v>
      </c>
      <c r="Z1110" s="61">
        <f>_xll.qlYieldTSDiscount($U$35,Y1110,,Trigger)</f>
        <v>0.97072223580514161</v>
      </c>
    </row>
    <row r="1111" spans="25:26" x14ac:dyDescent="0.25">
      <c r="Y1111" s="63">
        <v>43644</v>
      </c>
      <c r="Z1111" s="61">
        <f>_xll.qlYieldTSDiscount($U$35,Y1111,,Trigger)</f>
        <v>0.97069265900166746</v>
      </c>
    </row>
    <row r="1112" spans="25:26" x14ac:dyDescent="0.25">
      <c r="Y1112" s="63">
        <v>43645</v>
      </c>
      <c r="Z1112" s="61">
        <f>_xll.qlYieldTSDiscount($U$35,Y1112,,Trigger)</f>
        <v>0.97066307574032251</v>
      </c>
    </row>
    <row r="1113" spans="25:26" x14ac:dyDescent="0.25">
      <c r="Y1113" s="63">
        <v>43646</v>
      </c>
      <c r="Z1113" s="61">
        <f>_xll.qlYieldTSDiscount($U$35,Y1113,,Trigger)</f>
        <v>0.97063348601981825</v>
      </c>
    </row>
    <row r="1114" spans="25:26" x14ac:dyDescent="0.25">
      <c r="Y1114" s="63">
        <v>43647</v>
      </c>
      <c r="Z1114" s="61">
        <f>_xll.qlYieldTSDiscount($U$35,Y1114,,Trigger)</f>
        <v>0.97060388983886636</v>
      </c>
    </row>
    <row r="1115" spans="25:26" x14ac:dyDescent="0.25">
      <c r="Y1115" s="63">
        <v>43648</v>
      </c>
      <c r="Z1115" s="61">
        <f>_xll.qlYieldTSDiscount($U$35,Y1115,,Trigger)</f>
        <v>0.97057428719617833</v>
      </c>
    </row>
    <row r="1116" spans="25:26" x14ac:dyDescent="0.25">
      <c r="Y1116" s="63">
        <v>43649</v>
      </c>
      <c r="Z1116" s="61">
        <f>_xll.qlYieldTSDiscount($U$35,Y1116,,Trigger)</f>
        <v>0.97054467809046552</v>
      </c>
    </row>
    <row r="1117" spans="25:26" x14ac:dyDescent="0.25">
      <c r="Y1117" s="63">
        <v>43650</v>
      </c>
      <c r="Z1117" s="61">
        <f>_xll.qlYieldTSDiscount($U$35,Y1117,,Trigger)</f>
        <v>0.97051506252043962</v>
      </c>
    </row>
    <row r="1118" spans="25:26" x14ac:dyDescent="0.25">
      <c r="Y1118" s="63">
        <v>43651</v>
      </c>
      <c r="Z1118" s="61">
        <f>_xll.qlYieldTSDiscount($U$35,Y1118,,Trigger)</f>
        <v>0.97048544048481222</v>
      </c>
    </row>
    <row r="1119" spans="25:26" x14ac:dyDescent="0.25">
      <c r="Y1119" s="63">
        <v>43652</v>
      </c>
      <c r="Z1119" s="61">
        <f>_xll.qlYieldTSDiscount($U$35,Y1119,,Trigger)</f>
        <v>0.97045581198229469</v>
      </c>
    </row>
    <row r="1120" spans="25:26" x14ac:dyDescent="0.25">
      <c r="Y1120" s="63">
        <v>43653</v>
      </c>
      <c r="Z1120" s="61">
        <f>_xll.qlYieldTSDiscount($U$35,Y1120,,Trigger)</f>
        <v>0.97042617701159861</v>
      </c>
    </row>
    <row r="1121" spans="25:26" x14ac:dyDescent="0.25">
      <c r="Y1121" s="63">
        <v>43654</v>
      </c>
      <c r="Z1121" s="61">
        <f>_xll.qlYieldTSDiscount($U$35,Y1121,,Trigger)</f>
        <v>0.97039653557143546</v>
      </c>
    </row>
    <row r="1122" spans="25:26" x14ac:dyDescent="0.25">
      <c r="Y1122" s="63">
        <v>43655</v>
      </c>
      <c r="Z1122" s="61">
        <f>_xll.qlYieldTSDiscount($U$35,Y1122,,Trigger)</f>
        <v>0.97036688766051693</v>
      </c>
    </row>
    <row r="1123" spans="25:26" x14ac:dyDescent="0.25">
      <c r="Y1123" s="63">
        <v>43656</v>
      </c>
      <c r="Z1123" s="61">
        <f>_xll.qlYieldTSDiscount($U$35,Y1123,,Trigger)</f>
        <v>0.9703372332775545</v>
      </c>
    </row>
    <row r="1124" spans="25:26" x14ac:dyDescent="0.25">
      <c r="Y1124" s="63">
        <v>43657</v>
      </c>
      <c r="Z1124" s="61">
        <f>_xll.qlYieldTSDiscount($U$35,Y1124,,Trigger)</f>
        <v>0.97030757242125965</v>
      </c>
    </row>
    <row r="1125" spans="25:26" x14ac:dyDescent="0.25">
      <c r="Y1125" s="63">
        <v>43658</v>
      </c>
      <c r="Z1125" s="61">
        <f>_xll.qlYieldTSDiscount($U$35,Y1125,,Trigger)</f>
        <v>0.97027790509034384</v>
      </c>
    </row>
    <row r="1126" spans="25:26" x14ac:dyDescent="0.25">
      <c r="Y1126" s="63">
        <v>43659</v>
      </c>
      <c r="Z1126" s="61">
        <f>_xll.qlYieldTSDiscount($U$35,Y1126,,Trigger)</f>
        <v>0.97024823128351867</v>
      </c>
    </row>
    <row r="1127" spans="25:26" x14ac:dyDescent="0.25">
      <c r="Y1127" s="63">
        <v>43660</v>
      </c>
      <c r="Z1127" s="61">
        <f>_xll.qlYieldTSDiscount($U$35,Y1127,,Trigger)</f>
        <v>0.97021855099949583</v>
      </c>
    </row>
    <row r="1128" spans="25:26" x14ac:dyDescent="0.25">
      <c r="Y1128" s="63">
        <v>43661</v>
      </c>
      <c r="Z1128" s="61">
        <f>_xll.qlYieldTSDiscount($U$35,Y1128,,Trigger)</f>
        <v>0.97018886423698658</v>
      </c>
    </row>
    <row r="1129" spans="25:26" x14ac:dyDescent="0.25">
      <c r="Y1129" s="63">
        <v>43662</v>
      </c>
      <c r="Z1129" s="61">
        <f>_xll.qlYieldTSDiscount($U$35,Y1129,,Trigger)</f>
        <v>0.97015917098997051</v>
      </c>
    </row>
    <row r="1130" spans="25:26" x14ac:dyDescent="0.25">
      <c r="Y1130" s="63">
        <v>43663</v>
      </c>
      <c r="Z1130" s="61">
        <f>_xll.qlYieldTSDiscount($U$35,Y1130,,Trigger)</f>
        <v>0.97012947123349891</v>
      </c>
    </row>
    <row r="1131" spans="25:26" x14ac:dyDescent="0.25">
      <c r="Y1131" s="63">
        <v>43664</v>
      </c>
      <c r="Z1131" s="61">
        <f>_xll.qlYieldTSDiscount($U$35,Y1131,,Trigger)</f>
        <v>0.97009976493789074</v>
      </c>
    </row>
    <row r="1132" spans="25:26" x14ac:dyDescent="0.25">
      <c r="Y1132" s="63">
        <v>43665</v>
      </c>
      <c r="Z1132" s="61">
        <f>_xll.qlYieldTSDiscount($U$35,Y1132,,Trigger)</f>
        <v>0.97007005207346531</v>
      </c>
    </row>
    <row r="1133" spans="25:26" x14ac:dyDescent="0.25">
      <c r="Y1133" s="63">
        <v>43666</v>
      </c>
      <c r="Z1133" s="61">
        <f>_xll.qlYieldTSDiscount($U$35,Y1133,,Trigger)</f>
        <v>0.97004033261054157</v>
      </c>
    </row>
    <row r="1134" spans="25:26" x14ac:dyDescent="0.25">
      <c r="Y1134" s="63">
        <v>43667</v>
      </c>
      <c r="Z1134" s="61">
        <f>_xll.qlYieldTSDiscount($U$35,Y1134,,Trigger)</f>
        <v>0.97001060651943882</v>
      </c>
    </row>
    <row r="1135" spans="25:26" x14ac:dyDescent="0.25">
      <c r="Y1135" s="63">
        <v>43668</v>
      </c>
      <c r="Z1135" s="61">
        <f>_xll.qlYieldTSDiscount($U$35,Y1135,,Trigger)</f>
        <v>0.96998087377047615</v>
      </c>
    </row>
    <row r="1136" spans="25:26" x14ac:dyDescent="0.25">
      <c r="Y1136" s="63">
        <v>43669</v>
      </c>
      <c r="Z1136" s="61">
        <f>_xll.qlYieldTSDiscount($U$35,Y1136,,Trigger)</f>
        <v>0.96995113433397262</v>
      </c>
    </row>
    <row r="1137" spans="25:26" x14ac:dyDescent="0.25">
      <c r="Y1137" s="63">
        <v>43670</v>
      </c>
      <c r="Z1137" s="61">
        <f>_xll.qlYieldTSDiscount($U$35,Y1137,,Trigger)</f>
        <v>0.96992138818024742</v>
      </c>
    </row>
    <row r="1138" spans="25:26" x14ac:dyDescent="0.25">
      <c r="Y1138" s="63">
        <v>43671</v>
      </c>
      <c r="Z1138" s="61">
        <f>_xll.qlYieldTSDiscount($U$35,Y1138,,Trigger)</f>
        <v>0.96989163527961975</v>
      </c>
    </row>
    <row r="1139" spans="25:26" x14ac:dyDescent="0.25">
      <c r="Y1139" s="63">
        <v>43672</v>
      </c>
      <c r="Z1139" s="61">
        <f>_xll.qlYieldTSDiscount($U$35,Y1139,,Trigger)</f>
        <v>0.96986187560240855</v>
      </c>
    </row>
    <row r="1140" spans="25:26" x14ac:dyDescent="0.25">
      <c r="Y1140" s="63">
        <v>43673</v>
      </c>
      <c r="Z1140" s="61">
        <f>_xll.qlYieldTSDiscount($U$35,Y1140,,Trigger)</f>
        <v>0.96983210911893314</v>
      </c>
    </row>
    <row r="1141" spans="25:26" x14ac:dyDescent="0.25">
      <c r="Y1141" s="63">
        <v>43674</v>
      </c>
      <c r="Z1141" s="61">
        <f>_xll.qlYieldTSDiscount($U$35,Y1141,,Trigger)</f>
        <v>0.96980233579951258</v>
      </c>
    </row>
    <row r="1142" spans="25:26" x14ac:dyDescent="0.25">
      <c r="Y1142" s="63">
        <v>43675</v>
      </c>
      <c r="Z1142" s="61">
        <f>_xll.qlYieldTSDiscount($U$35,Y1142,,Trigger)</f>
        <v>0.96977255561446607</v>
      </c>
    </row>
    <row r="1143" spans="25:26" x14ac:dyDescent="0.25">
      <c r="Y1143" s="63">
        <v>43676</v>
      </c>
      <c r="Z1143" s="61">
        <f>_xll.qlYieldTSDiscount($U$35,Y1143,,Trigger)</f>
        <v>0.96974276853411268</v>
      </c>
    </row>
    <row r="1144" spans="25:26" x14ac:dyDescent="0.25">
      <c r="Y1144" s="63">
        <v>43677</v>
      </c>
      <c r="Z1144" s="61">
        <f>_xll.qlYieldTSDiscount($U$35,Y1144,,Trigger)</f>
        <v>0.96971297452877148</v>
      </c>
    </row>
    <row r="1145" spans="25:26" x14ac:dyDescent="0.25">
      <c r="Y1145" s="63">
        <v>43678</v>
      </c>
      <c r="Z1145" s="61">
        <f>_xll.qlYieldTSDiscount($U$35,Y1145,,Trigger)</f>
        <v>0.96968317356876177</v>
      </c>
    </row>
    <row r="1146" spans="25:26" x14ac:dyDescent="0.25">
      <c r="Y1146" s="63">
        <v>43679</v>
      </c>
      <c r="Z1146" s="61">
        <f>_xll.qlYieldTSDiscount($U$35,Y1146,,Trigger)</f>
        <v>0.96965336562440252</v>
      </c>
    </row>
    <row r="1147" spans="25:26" x14ac:dyDescent="0.25">
      <c r="Y1147" s="63">
        <v>43680</v>
      </c>
      <c r="Z1147" s="61">
        <f>_xll.qlYieldTSDiscount($U$35,Y1147,,Trigger)</f>
        <v>0.96962355066601302</v>
      </c>
    </row>
    <row r="1148" spans="25:26" x14ac:dyDescent="0.25">
      <c r="Y1148" s="63">
        <v>43681</v>
      </c>
      <c r="Z1148" s="61">
        <f>_xll.qlYieldTSDiscount($U$35,Y1148,,Trigger)</f>
        <v>0.96959372866391236</v>
      </c>
    </row>
    <row r="1149" spans="25:26" x14ac:dyDescent="0.25">
      <c r="Y1149" s="63">
        <v>43682</v>
      </c>
      <c r="Z1149" s="61">
        <f>_xll.qlYieldTSDiscount($U$35,Y1149,,Trigger)</f>
        <v>0.96956389958841949</v>
      </c>
    </row>
    <row r="1150" spans="25:26" x14ac:dyDescent="0.25">
      <c r="Y1150" s="63">
        <v>43683</v>
      </c>
      <c r="Z1150" s="61">
        <f>_xll.qlYieldTSDiscount($U$35,Y1150,,Trigger)</f>
        <v>0.96953406340985382</v>
      </c>
    </row>
    <row r="1151" spans="25:26" x14ac:dyDescent="0.25">
      <c r="Y1151" s="63">
        <v>43684</v>
      </c>
      <c r="Z1151" s="61">
        <f>_xll.qlYieldTSDiscount($U$35,Y1151,,Trigger)</f>
        <v>0.96950422009853432</v>
      </c>
    </row>
    <row r="1152" spans="25:26" x14ac:dyDescent="0.25">
      <c r="Y1152" s="63">
        <v>43685</v>
      </c>
      <c r="Z1152" s="61">
        <f>_xll.qlYieldTSDiscount($U$35,Y1152,,Trigger)</f>
        <v>0.96947436962478017</v>
      </c>
    </row>
    <row r="1153" spans="25:26" x14ac:dyDescent="0.25">
      <c r="Y1153" s="63">
        <v>43686</v>
      </c>
      <c r="Z1153" s="61">
        <f>_xll.qlYieldTSDiscount($U$35,Y1153,,Trigger)</f>
        <v>0.96944451195891057</v>
      </c>
    </row>
    <row r="1154" spans="25:26" x14ac:dyDescent="0.25">
      <c r="Y1154" s="63">
        <v>43687</v>
      </c>
      <c r="Z1154" s="61">
        <f>_xll.qlYieldTSDiscount($U$35,Y1154,,Trigger)</f>
        <v>0.96941464707124447</v>
      </c>
    </row>
    <row r="1155" spans="25:26" x14ac:dyDescent="0.25">
      <c r="Y1155" s="63">
        <v>43688</v>
      </c>
      <c r="Z1155" s="61">
        <f>_xll.qlYieldTSDiscount($U$35,Y1155,,Trigger)</f>
        <v>0.96938477493210118</v>
      </c>
    </row>
    <row r="1156" spans="25:26" x14ac:dyDescent="0.25">
      <c r="Y1156" s="63">
        <v>43689</v>
      </c>
      <c r="Z1156" s="61">
        <f>_xll.qlYieldTSDiscount($U$35,Y1156,,Trigger)</f>
        <v>0.96935489551179976</v>
      </c>
    </row>
    <row r="1157" spans="25:26" x14ac:dyDescent="0.25">
      <c r="Y1157" s="63">
        <v>43690</v>
      </c>
      <c r="Z1157" s="61">
        <f>_xll.qlYieldTSDiscount($U$35,Y1157,,Trigger)</f>
        <v>0.9693250087806593</v>
      </c>
    </row>
    <row r="1158" spans="25:26" x14ac:dyDescent="0.25">
      <c r="Y1158" s="63">
        <v>43691</v>
      </c>
      <c r="Z1158" s="61">
        <f>_xll.qlYieldTSDiscount($U$35,Y1158,,Trigger)</f>
        <v>0.96929511470899909</v>
      </c>
    </row>
    <row r="1159" spans="25:26" x14ac:dyDescent="0.25">
      <c r="Y1159" s="63">
        <v>43692</v>
      </c>
      <c r="Z1159" s="61">
        <f>_xll.qlYieldTSDiscount($U$35,Y1159,,Trigger)</f>
        <v>0.9692652132671381</v>
      </c>
    </row>
    <row r="1160" spans="25:26" x14ac:dyDescent="0.25">
      <c r="Y1160" s="63">
        <v>43693</v>
      </c>
      <c r="Z1160" s="61">
        <f>_xll.qlYieldTSDiscount($U$35,Y1160,,Trigger)</f>
        <v>0.96923530442539563</v>
      </c>
    </row>
    <row r="1161" spans="25:26" x14ac:dyDescent="0.25">
      <c r="Y1161" s="63">
        <v>43694</v>
      </c>
      <c r="Z1161" s="61">
        <f>_xll.qlYieldTSDiscount($U$35,Y1161,,Trigger)</f>
        <v>0.96920538815409063</v>
      </c>
    </row>
    <row r="1162" spans="25:26" x14ac:dyDescent="0.25">
      <c r="Y1162" s="63">
        <v>43695</v>
      </c>
      <c r="Z1162" s="61">
        <f>_xll.qlYieldTSDiscount($U$35,Y1162,,Trigger)</f>
        <v>0.96917546442354241</v>
      </c>
    </row>
    <row r="1163" spans="25:26" x14ac:dyDescent="0.25">
      <c r="Y1163" s="63">
        <v>43696</v>
      </c>
      <c r="Z1163" s="61">
        <f>_xll.qlYieldTSDiscount($U$35,Y1163,,Trigger)</f>
        <v>0.96914553320406993</v>
      </c>
    </row>
    <row r="1164" spans="25:26" x14ac:dyDescent="0.25">
      <c r="Y1164" s="63">
        <v>43697</v>
      </c>
      <c r="Z1164" s="61">
        <f>_xll.qlYieldTSDiscount($U$35,Y1164,,Trigger)</f>
        <v>0.96911559446599238</v>
      </c>
    </row>
    <row r="1165" spans="25:26" x14ac:dyDescent="0.25">
      <c r="Y1165" s="63">
        <v>43698</v>
      </c>
      <c r="Z1165" s="61">
        <f>_xll.qlYieldTSDiscount($U$35,Y1165,,Trigger)</f>
        <v>0.96908564817962906</v>
      </c>
    </row>
    <row r="1166" spans="25:26" x14ac:dyDescent="0.25">
      <c r="Y1166" s="63">
        <v>43699</v>
      </c>
      <c r="Z1166" s="61">
        <f>_xll.qlYieldTSDiscount($U$35,Y1166,,Trigger)</f>
        <v>0.96905569431529881</v>
      </c>
    </row>
    <row r="1167" spans="25:26" x14ac:dyDescent="0.25">
      <c r="Y1167" s="63">
        <v>43700</v>
      </c>
      <c r="Z1167" s="61">
        <f>_xll.qlYieldTSDiscount($U$35,Y1167,,Trigger)</f>
        <v>0.96902573284332105</v>
      </c>
    </row>
    <row r="1168" spans="25:26" x14ac:dyDescent="0.25">
      <c r="Y1168" s="63">
        <v>43701</v>
      </c>
      <c r="Z1168" s="61">
        <f>_xll.qlYieldTSDiscount($U$35,Y1168,,Trigger)</f>
        <v>0.96899576373401475</v>
      </c>
    </row>
    <row r="1169" spans="25:26" x14ac:dyDescent="0.25">
      <c r="Y1169" s="63">
        <v>43702</v>
      </c>
      <c r="Z1169" s="61">
        <f>_xll.qlYieldTSDiscount($U$35,Y1169,,Trigger)</f>
        <v>0.96896578695769908</v>
      </c>
    </row>
    <row r="1170" spans="25:26" x14ac:dyDescent="0.25">
      <c r="Y1170" s="63">
        <v>43703</v>
      </c>
      <c r="Z1170" s="61">
        <f>_xll.qlYieldTSDiscount($U$35,Y1170,,Trigger)</f>
        <v>0.96893580248469324</v>
      </c>
    </row>
    <row r="1171" spans="25:26" x14ac:dyDescent="0.25">
      <c r="Y1171" s="63">
        <v>43704</v>
      </c>
      <c r="Z1171" s="61">
        <f>_xll.qlYieldTSDiscount($U$35,Y1171,,Trigger)</f>
        <v>0.96890581028531619</v>
      </c>
    </row>
    <row r="1172" spans="25:26" x14ac:dyDescent="0.25">
      <c r="Y1172" s="63">
        <v>43705</v>
      </c>
      <c r="Z1172" s="61">
        <f>_xll.qlYieldTSDiscount($U$35,Y1172,,Trigger)</f>
        <v>0.96887581032988723</v>
      </c>
    </row>
    <row r="1173" spans="25:26" x14ac:dyDescent="0.25">
      <c r="Y1173" s="63">
        <v>43706</v>
      </c>
      <c r="Z1173" s="61">
        <f>_xll.qlYieldTSDiscount($U$35,Y1173,,Trigger)</f>
        <v>0.96884580258872555</v>
      </c>
    </row>
    <row r="1174" spans="25:26" x14ac:dyDescent="0.25">
      <c r="Y1174" s="63">
        <v>43707</v>
      </c>
      <c r="Z1174" s="61">
        <f>_xll.qlYieldTSDiscount($U$35,Y1174,,Trigger)</f>
        <v>0.96881578703214999</v>
      </c>
    </row>
    <row r="1175" spans="25:26" x14ac:dyDescent="0.25">
      <c r="Y1175" s="63">
        <v>43708</v>
      </c>
      <c r="Z1175" s="61">
        <f>_xll.qlYieldTSDiscount($U$35,Y1175,,Trigger)</f>
        <v>0.96878576363047997</v>
      </c>
    </row>
    <row r="1176" spans="25:26" x14ac:dyDescent="0.25">
      <c r="Y1176" s="63">
        <v>43709</v>
      </c>
      <c r="Z1176" s="61">
        <f>_xll.qlYieldTSDiscount($U$35,Y1176,,Trigger)</f>
        <v>0.96875573235403456</v>
      </c>
    </row>
    <row r="1177" spans="25:26" x14ac:dyDescent="0.25">
      <c r="Y1177" s="63">
        <v>43710</v>
      </c>
      <c r="Z1177" s="61">
        <f>_xll.qlYieldTSDiscount($U$35,Y1177,,Trigger)</f>
        <v>0.96872569317313284</v>
      </c>
    </row>
    <row r="1178" spans="25:26" x14ac:dyDescent="0.25">
      <c r="Y1178" s="63">
        <v>43711</v>
      </c>
      <c r="Z1178" s="61">
        <f>_xll.qlYieldTSDiscount($U$35,Y1178,,Trigger)</f>
        <v>0.968695646058094</v>
      </c>
    </row>
    <row r="1179" spans="25:26" x14ac:dyDescent="0.25">
      <c r="Y1179" s="63">
        <v>43712</v>
      </c>
      <c r="Z1179" s="61">
        <f>_xll.qlYieldTSDiscount($U$35,Y1179,,Trigger)</f>
        <v>0.9686655909792371</v>
      </c>
    </row>
    <row r="1180" spans="25:26" x14ac:dyDescent="0.25">
      <c r="Y1180" s="63">
        <v>43713</v>
      </c>
      <c r="Z1180" s="61">
        <f>_xll.qlYieldTSDiscount($U$35,Y1180,,Trigger)</f>
        <v>0.96863552790688123</v>
      </c>
    </row>
    <row r="1181" spans="25:26" x14ac:dyDescent="0.25">
      <c r="Y1181" s="63">
        <v>43714</v>
      </c>
      <c r="Z1181" s="61">
        <f>_xll.qlYieldTSDiscount($U$35,Y1181,,Trigger)</f>
        <v>0.96860545681134569</v>
      </c>
    </row>
    <row r="1182" spans="25:26" x14ac:dyDescent="0.25">
      <c r="Y1182" s="63">
        <v>43715</v>
      </c>
      <c r="Z1182" s="61">
        <f>_xll.qlYieldTSDiscount($U$35,Y1182,,Trigger)</f>
        <v>0.96857537766294954</v>
      </c>
    </row>
    <row r="1183" spans="25:26" x14ac:dyDescent="0.25">
      <c r="Y1183" s="63">
        <v>43716</v>
      </c>
      <c r="Z1183" s="61">
        <f>_xll.qlYieldTSDiscount($U$35,Y1183,,Trigger)</f>
        <v>0.96854529043201198</v>
      </c>
    </row>
    <row r="1184" spans="25:26" x14ac:dyDescent="0.25">
      <c r="Y1184" s="63">
        <v>43717</v>
      </c>
      <c r="Z1184" s="61">
        <f>_xll.qlYieldTSDiscount($U$35,Y1184,,Trigger)</f>
        <v>0.96851519508885198</v>
      </c>
    </row>
    <row r="1185" spans="25:26" x14ac:dyDescent="0.25">
      <c r="Y1185" s="63">
        <v>43718</v>
      </c>
      <c r="Z1185" s="61">
        <f>_xll.qlYieldTSDiscount($U$35,Y1185,,Trigger)</f>
        <v>0.96848509160378882</v>
      </c>
    </row>
    <row r="1186" spans="25:26" x14ac:dyDescent="0.25">
      <c r="Y1186" s="63">
        <v>43719</v>
      </c>
      <c r="Z1186" s="61">
        <f>_xll.qlYieldTSDiscount($U$35,Y1186,,Trigger)</f>
        <v>0.96845497994714158</v>
      </c>
    </row>
    <row r="1187" spans="25:26" x14ac:dyDescent="0.25">
      <c r="Y1187" s="63">
        <v>43720</v>
      </c>
      <c r="Z1187" s="61">
        <f>_xll.qlYieldTSDiscount($U$35,Y1187,,Trigger)</f>
        <v>0.96842486008922934</v>
      </c>
    </row>
    <row r="1188" spans="25:26" x14ac:dyDescent="0.25">
      <c r="Y1188" s="63">
        <v>43721</v>
      </c>
      <c r="Z1188" s="61">
        <f>_xll.qlYieldTSDiscount($U$35,Y1188,,Trigger)</f>
        <v>0.96839473200037141</v>
      </c>
    </row>
    <row r="1189" spans="25:26" x14ac:dyDescent="0.25">
      <c r="Y1189" s="63">
        <v>43722</v>
      </c>
      <c r="Z1189" s="61">
        <f>_xll.qlYieldTSDiscount($U$35,Y1189,,Trigger)</f>
        <v>0.96836459565088673</v>
      </c>
    </row>
    <row r="1190" spans="25:26" x14ac:dyDescent="0.25">
      <c r="Y1190" s="63">
        <v>43723</v>
      </c>
      <c r="Z1190" s="61">
        <f>_xll.qlYieldTSDiscount($U$35,Y1190,,Trigger)</f>
        <v>0.9683344510110945</v>
      </c>
    </row>
    <row r="1191" spans="25:26" x14ac:dyDescent="0.25">
      <c r="Y1191" s="63">
        <v>43724</v>
      </c>
      <c r="Z1191" s="61">
        <f>_xll.qlYieldTSDiscount($U$35,Y1191,,Trigger)</f>
        <v>0.96830429805131391</v>
      </c>
    </row>
    <row r="1192" spans="25:26" x14ac:dyDescent="0.25">
      <c r="Y1192" s="63">
        <v>43725</v>
      </c>
      <c r="Z1192" s="61">
        <f>_xll.qlYieldTSDiscount($U$35,Y1192,,Trigger)</f>
        <v>0.96827413674186402</v>
      </c>
    </row>
    <row r="1193" spans="25:26" x14ac:dyDescent="0.25">
      <c r="Y1193" s="63">
        <v>43726</v>
      </c>
      <c r="Z1193" s="61">
        <f>_xll.qlYieldTSDiscount($U$35,Y1193,,Trigger)</f>
        <v>0.96824396705306404</v>
      </c>
    </row>
    <row r="1194" spans="25:26" x14ac:dyDescent="0.25">
      <c r="Y1194" s="63">
        <v>43727</v>
      </c>
      <c r="Z1194" s="61">
        <f>_xll.qlYieldTSDiscount($U$35,Y1194,,Trigger)</f>
        <v>0.96821378895523302</v>
      </c>
    </row>
    <row r="1195" spans="25:26" x14ac:dyDescent="0.25">
      <c r="Y1195" s="63">
        <v>43728</v>
      </c>
      <c r="Z1195" s="61">
        <f>_xll.qlYieldTSDiscount($U$35,Y1195,,Trigger)</f>
        <v>0.96818360241869017</v>
      </c>
    </row>
    <row r="1196" spans="25:26" x14ac:dyDescent="0.25">
      <c r="Y1196" s="63">
        <v>43729</v>
      </c>
      <c r="Z1196" s="61">
        <f>_xll.qlYieldTSDiscount($U$35,Y1196,,Trigger)</f>
        <v>0.96815340741375455</v>
      </c>
    </row>
    <row r="1197" spans="25:26" x14ac:dyDescent="0.25">
      <c r="Y1197" s="63">
        <v>43730</v>
      </c>
      <c r="Z1197" s="61">
        <f>_xll.qlYieldTSDiscount($U$35,Y1197,,Trigger)</f>
        <v>0.96812320391074536</v>
      </c>
    </row>
    <row r="1198" spans="25:26" x14ac:dyDescent="0.25">
      <c r="Y1198" s="63">
        <v>43731</v>
      </c>
      <c r="Z1198" s="61">
        <f>_xll.qlYieldTSDiscount($U$35,Y1198,,Trigger)</f>
        <v>0.96809299187998166</v>
      </c>
    </row>
    <row r="1199" spans="25:26" x14ac:dyDescent="0.25">
      <c r="Y1199" s="63">
        <v>43732</v>
      </c>
      <c r="Z1199" s="61">
        <f>_xll.qlYieldTSDiscount($U$35,Y1199,,Trigger)</f>
        <v>0.96806277129178275</v>
      </c>
    </row>
    <row r="1200" spans="25:26" x14ac:dyDescent="0.25">
      <c r="Y1200" s="63">
        <v>43733</v>
      </c>
      <c r="Z1200" s="61">
        <f>_xll.qlYieldTSDiscount($U$35,Y1200,,Trigger)</f>
        <v>0.96803254211646761</v>
      </c>
    </row>
    <row r="1201" spans="25:26" x14ac:dyDescent="0.25">
      <c r="Y1201" s="63">
        <v>43734</v>
      </c>
      <c r="Z1201" s="61">
        <f>_xll.qlYieldTSDiscount($U$35,Y1201,,Trigger)</f>
        <v>0.96800230432435541</v>
      </c>
    </row>
    <row r="1202" spans="25:26" x14ac:dyDescent="0.25">
      <c r="Y1202" s="63">
        <v>43735</v>
      </c>
      <c r="Z1202" s="61">
        <f>_xll.qlYieldTSDiscount($U$35,Y1202,,Trigger)</f>
        <v>0.96797205788576524</v>
      </c>
    </row>
    <row r="1203" spans="25:26" x14ac:dyDescent="0.25">
      <c r="Y1203" s="63">
        <v>43736</v>
      </c>
      <c r="Z1203" s="61">
        <f>_xll.qlYieldTSDiscount($U$35,Y1203,,Trigger)</f>
        <v>0.96794180277101627</v>
      </c>
    </row>
    <row r="1204" spans="25:26" x14ac:dyDescent="0.25">
      <c r="Y1204" s="63">
        <v>43737</v>
      </c>
      <c r="Z1204" s="61">
        <f>_xll.qlYieldTSDiscount($U$35,Y1204,,Trigger)</f>
        <v>0.9679115389504277</v>
      </c>
    </row>
    <row r="1205" spans="25:26" x14ac:dyDescent="0.25">
      <c r="Y1205" s="63">
        <v>43738</v>
      </c>
      <c r="Z1205" s="61">
        <f>_xll.qlYieldTSDiscount($U$35,Y1205,,Trigger)</f>
        <v>0.96788126639431871</v>
      </c>
    </row>
    <row r="1206" spans="25:26" x14ac:dyDescent="0.25">
      <c r="Y1206" s="63">
        <v>43739</v>
      </c>
      <c r="Z1206" s="61">
        <f>_xll.qlYieldTSDiscount($U$35,Y1206,,Trigger)</f>
        <v>0.96785098507300815</v>
      </c>
    </row>
    <row r="1207" spans="25:26" x14ac:dyDescent="0.25">
      <c r="Y1207" s="63">
        <v>43740</v>
      </c>
      <c r="Z1207" s="61">
        <f>_xll.qlYieldTSDiscount($U$35,Y1207,,Trigger)</f>
        <v>0.96782069495681544</v>
      </c>
    </row>
    <row r="1208" spans="25:26" x14ac:dyDescent="0.25">
      <c r="Y1208" s="63">
        <v>43741</v>
      </c>
      <c r="Z1208" s="61">
        <f>_xll.qlYieldTSDiscount($U$35,Y1208,,Trigger)</f>
        <v>0.96779039601605965</v>
      </c>
    </row>
    <row r="1209" spans="25:26" x14ac:dyDescent="0.25">
      <c r="Y1209" s="63">
        <v>43742</v>
      </c>
      <c r="Z1209" s="61">
        <f>_xll.qlYieldTSDiscount($U$35,Y1209,,Trigger)</f>
        <v>0.96776008822105986</v>
      </c>
    </row>
    <row r="1210" spans="25:26" x14ac:dyDescent="0.25">
      <c r="Y1210" s="63">
        <v>43743</v>
      </c>
      <c r="Z1210" s="61">
        <f>_xll.qlYieldTSDiscount($U$35,Y1210,,Trigger)</f>
        <v>0.96772977154213524</v>
      </c>
    </row>
    <row r="1211" spans="25:26" x14ac:dyDescent="0.25">
      <c r="Y1211" s="63">
        <v>43744</v>
      </c>
      <c r="Z1211" s="61">
        <f>_xll.qlYieldTSDiscount($U$35,Y1211,,Trigger)</f>
        <v>0.96769944594960489</v>
      </c>
    </row>
    <row r="1212" spans="25:26" x14ac:dyDescent="0.25">
      <c r="Y1212" s="63">
        <v>43745</v>
      </c>
      <c r="Z1212" s="61">
        <f>_xll.qlYieldTSDiscount($U$35,Y1212,,Trigger)</f>
        <v>0.96766911141378786</v>
      </c>
    </row>
    <row r="1213" spans="25:26" x14ac:dyDescent="0.25">
      <c r="Y1213" s="63">
        <v>43746</v>
      </c>
      <c r="Z1213" s="61">
        <f>_xll.qlYieldTSDiscount($U$35,Y1213,,Trigger)</f>
        <v>0.96763876790500358</v>
      </c>
    </row>
    <row r="1214" spans="25:26" x14ac:dyDescent="0.25">
      <c r="Y1214" s="63">
        <v>43747</v>
      </c>
      <c r="Z1214" s="61">
        <f>_xll.qlYieldTSDiscount($U$35,Y1214,,Trigger)</f>
        <v>0.9676084153935709</v>
      </c>
    </row>
    <row r="1215" spans="25:26" x14ac:dyDescent="0.25">
      <c r="Y1215" s="63">
        <v>43748</v>
      </c>
      <c r="Z1215" s="61">
        <f>_xll.qlYieldTSDiscount($U$35,Y1215,,Trigger)</f>
        <v>0.96757805384980899</v>
      </c>
    </row>
    <row r="1216" spans="25:26" x14ac:dyDescent="0.25">
      <c r="Y1216" s="63">
        <v>43749</v>
      </c>
      <c r="Z1216" s="61">
        <f>_xll.qlYieldTSDiscount($U$35,Y1216,,Trigger)</f>
        <v>0.96754768324403717</v>
      </c>
    </row>
    <row r="1217" spans="25:26" x14ac:dyDescent="0.25">
      <c r="Y1217" s="63">
        <v>43750</v>
      </c>
      <c r="Z1217" s="61">
        <f>_xll.qlYieldTSDiscount($U$35,Y1217,,Trigger)</f>
        <v>0.96751730354657439</v>
      </c>
    </row>
    <row r="1218" spans="25:26" x14ac:dyDescent="0.25">
      <c r="Y1218" s="63">
        <v>43751</v>
      </c>
      <c r="Z1218" s="61">
        <f>_xll.qlYieldTSDiscount($U$35,Y1218,,Trigger)</f>
        <v>0.96748691472773984</v>
      </c>
    </row>
    <row r="1219" spans="25:26" x14ac:dyDescent="0.25">
      <c r="Y1219" s="63">
        <v>43752</v>
      </c>
      <c r="Z1219" s="61">
        <f>_xll.qlYieldTSDiscount($U$35,Y1219,,Trigger)</f>
        <v>0.96745651675785271</v>
      </c>
    </row>
    <row r="1220" spans="25:26" x14ac:dyDescent="0.25">
      <c r="Y1220" s="63">
        <v>43753</v>
      </c>
      <c r="Z1220" s="61">
        <f>_xll.qlYieldTSDiscount($U$35,Y1220,,Trigger)</f>
        <v>0.96742610960723197</v>
      </c>
    </row>
    <row r="1221" spans="25:26" x14ac:dyDescent="0.25">
      <c r="Y1221" s="63">
        <v>43754</v>
      </c>
      <c r="Z1221" s="61">
        <f>_xll.qlYieldTSDiscount($U$35,Y1221,,Trigger)</f>
        <v>0.96739569324619701</v>
      </c>
    </row>
    <row r="1222" spans="25:26" x14ac:dyDescent="0.25">
      <c r="Y1222" s="63">
        <v>43755</v>
      </c>
      <c r="Z1222" s="61">
        <f>_xll.qlYieldTSDiscount($U$35,Y1222,,Trigger)</f>
        <v>0.9673652676450667</v>
      </c>
    </row>
    <row r="1223" spans="25:26" x14ac:dyDescent="0.25">
      <c r="Y1223" s="63">
        <v>43756</v>
      </c>
      <c r="Z1223" s="61">
        <f>_xll.qlYieldTSDiscount($U$35,Y1223,,Trigger)</f>
        <v>0.96733483277416044</v>
      </c>
    </row>
    <row r="1224" spans="25:26" x14ac:dyDescent="0.25">
      <c r="Y1224" s="63">
        <v>43757</v>
      </c>
      <c r="Z1224" s="61">
        <f>_xll.qlYieldTSDiscount($U$35,Y1224,,Trigger)</f>
        <v>0.96730438860379708</v>
      </c>
    </row>
    <row r="1225" spans="25:26" x14ac:dyDescent="0.25">
      <c r="Y1225" s="63">
        <v>43758</v>
      </c>
      <c r="Z1225" s="61">
        <f>_xll.qlYieldTSDiscount($U$35,Y1225,,Trigger)</f>
        <v>0.96727393510429593</v>
      </c>
    </row>
    <row r="1226" spans="25:26" x14ac:dyDescent="0.25">
      <c r="Y1226" s="63">
        <v>43759</v>
      </c>
      <c r="Z1226" s="61">
        <f>_xll.qlYieldTSDiscount($U$35,Y1226,,Trigger)</f>
        <v>0.96724347224597618</v>
      </c>
    </row>
    <row r="1227" spans="25:26" x14ac:dyDescent="0.25">
      <c r="Y1227" s="63">
        <v>43760</v>
      </c>
      <c r="Z1227" s="61">
        <f>_xll.qlYieldTSDiscount($U$35,Y1227,,Trigger)</f>
        <v>0.96721299999915678</v>
      </c>
    </row>
    <row r="1228" spans="25:26" x14ac:dyDescent="0.25">
      <c r="Y1228" s="63">
        <v>43761</v>
      </c>
      <c r="Z1228" s="61">
        <f>_xll.qlYieldTSDiscount($U$35,Y1228,,Trigger)</f>
        <v>0.96718251833415703</v>
      </c>
    </row>
    <row r="1229" spans="25:26" x14ac:dyDescent="0.25">
      <c r="Y1229" s="63">
        <v>43762</v>
      </c>
      <c r="Z1229" s="61">
        <f>_xll.qlYieldTSDiscount($U$35,Y1229,,Trigger)</f>
        <v>0.96715202722129601</v>
      </c>
    </row>
    <row r="1230" spans="25:26" x14ac:dyDescent="0.25">
      <c r="Y1230" s="63">
        <v>43763</v>
      </c>
      <c r="Z1230" s="61">
        <f>_xll.qlYieldTSDiscount($U$35,Y1230,,Trigger)</f>
        <v>0.96712152663089279</v>
      </c>
    </row>
    <row r="1231" spans="25:26" x14ac:dyDescent="0.25">
      <c r="Y1231" s="63">
        <v>43764</v>
      </c>
      <c r="Z1231" s="61">
        <f>_xll.qlYieldTSDiscount($U$35,Y1231,,Trigger)</f>
        <v>0.96709101653326657</v>
      </c>
    </row>
    <row r="1232" spans="25:26" x14ac:dyDescent="0.25">
      <c r="Y1232" s="63">
        <v>43765</v>
      </c>
      <c r="Z1232" s="61">
        <f>_xll.qlYieldTSDiscount($U$35,Y1232,,Trigger)</f>
        <v>0.96706049689873641</v>
      </c>
    </row>
    <row r="1233" spans="25:26" x14ac:dyDescent="0.25">
      <c r="Y1233" s="63">
        <v>43766</v>
      </c>
      <c r="Z1233" s="61">
        <f>_xll.qlYieldTSDiscount($U$35,Y1233,,Trigger)</f>
        <v>0.96702996769762151</v>
      </c>
    </row>
    <row r="1234" spans="25:26" x14ac:dyDescent="0.25">
      <c r="Y1234" s="63">
        <v>43767</v>
      </c>
      <c r="Z1234" s="61">
        <f>_xll.qlYieldTSDiscount($U$35,Y1234,,Trigger)</f>
        <v>0.96699942890024104</v>
      </c>
    </row>
    <row r="1235" spans="25:26" x14ac:dyDescent="0.25">
      <c r="Y1235" s="63">
        <v>43768</v>
      </c>
      <c r="Z1235" s="61">
        <f>_xll.qlYieldTSDiscount($U$35,Y1235,,Trigger)</f>
        <v>0.96696888047691421</v>
      </c>
    </row>
    <row r="1236" spans="25:26" x14ac:dyDescent="0.25">
      <c r="Y1236" s="63">
        <v>43769</v>
      </c>
      <c r="Z1236" s="61">
        <f>_xll.qlYieldTSDiscount($U$35,Y1236,,Trigger)</f>
        <v>0.96693832239795985</v>
      </c>
    </row>
    <row r="1237" spans="25:26" x14ac:dyDescent="0.25">
      <c r="Y1237" s="63">
        <v>43770</v>
      </c>
      <c r="Z1237" s="61">
        <f>_xll.qlYieldTSDiscount($U$35,Y1237,,Trigger)</f>
        <v>0.96690775463369738</v>
      </c>
    </row>
    <row r="1238" spans="25:26" x14ac:dyDescent="0.25">
      <c r="Y1238" s="63">
        <v>43771</v>
      </c>
      <c r="Z1238" s="61">
        <f>_xll.qlYieldTSDiscount($U$35,Y1238,,Trigger)</f>
        <v>0.96687717715444588</v>
      </c>
    </row>
    <row r="1239" spans="25:26" x14ac:dyDescent="0.25">
      <c r="Y1239" s="63">
        <v>43772</v>
      </c>
      <c r="Z1239" s="61">
        <f>_xll.qlYieldTSDiscount($U$35,Y1239,,Trigger)</f>
        <v>0.9668465899305243</v>
      </c>
    </row>
    <row r="1240" spans="25:26" x14ac:dyDescent="0.25">
      <c r="Y1240" s="63">
        <v>43773</v>
      </c>
      <c r="Z1240" s="61">
        <f>_xll.qlYieldTSDiscount($U$35,Y1240,,Trigger)</f>
        <v>0.96681599293225207</v>
      </c>
    </row>
    <row r="1241" spans="25:26" x14ac:dyDescent="0.25">
      <c r="Y1241" s="63">
        <v>43774</v>
      </c>
      <c r="Z1241" s="61">
        <f>_xll.qlYieldTSDiscount($U$35,Y1241,,Trigger)</f>
        <v>0.96678538612994813</v>
      </c>
    </row>
    <row r="1242" spans="25:26" x14ac:dyDescent="0.25">
      <c r="Y1242" s="63">
        <v>43775</v>
      </c>
      <c r="Z1242" s="61">
        <f>_xll.qlYieldTSDiscount($U$35,Y1242,,Trigger)</f>
        <v>0.96675476949393158</v>
      </c>
    </row>
    <row r="1243" spans="25:26" x14ac:dyDescent="0.25">
      <c r="Y1243" s="63">
        <v>43776</v>
      </c>
      <c r="Z1243" s="61">
        <f>_xll.qlYieldTSDiscount($U$35,Y1243,,Trigger)</f>
        <v>0.9667241429945217</v>
      </c>
    </row>
    <row r="1244" spans="25:26" x14ac:dyDescent="0.25">
      <c r="Y1244" s="63">
        <v>43777</v>
      </c>
      <c r="Z1244" s="61">
        <f>_xll.qlYieldTSDiscount($U$35,Y1244,,Trigger)</f>
        <v>0.96669350660203757</v>
      </c>
    </row>
    <row r="1245" spans="25:26" x14ac:dyDescent="0.25">
      <c r="Y1245" s="63">
        <v>43778</v>
      </c>
      <c r="Z1245" s="61">
        <f>_xll.qlYieldTSDiscount($U$35,Y1245,,Trigger)</f>
        <v>0.96666286028679826</v>
      </c>
    </row>
    <row r="1246" spans="25:26" x14ac:dyDescent="0.25">
      <c r="Y1246" s="63">
        <v>43779</v>
      </c>
      <c r="Z1246" s="61">
        <f>_xll.qlYieldTSDiscount($U$35,Y1246,,Trigger)</f>
        <v>0.96663220401912298</v>
      </c>
    </row>
    <row r="1247" spans="25:26" x14ac:dyDescent="0.25">
      <c r="Y1247" s="63">
        <v>43780</v>
      </c>
      <c r="Z1247" s="61">
        <f>_xll.qlYieldTSDiscount($U$35,Y1247,,Trigger)</f>
        <v>0.96660153776933089</v>
      </c>
    </row>
    <row r="1248" spans="25:26" x14ac:dyDescent="0.25">
      <c r="Y1248" s="63">
        <v>43781</v>
      </c>
      <c r="Z1248" s="61">
        <f>_xll.qlYieldTSDiscount($U$35,Y1248,,Trigger)</f>
        <v>0.96657086150774096</v>
      </c>
    </row>
    <row r="1249" spans="25:26" x14ac:dyDescent="0.25">
      <c r="Y1249" s="63">
        <v>43782</v>
      </c>
      <c r="Z1249" s="61">
        <f>_xll.qlYieldTSDiscount($U$35,Y1249,,Trigger)</f>
        <v>0.9665401752046725</v>
      </c>
    </row>
    <row r="1250" spans="25:26" x14ac:dyDescent="0.25">
      <c r="Y1250" s="63">
        <v>43783</v>
      </c>
      <c r="Z1250" s="61">
        <f>_xll.qlYieldTSDiscount($U$35,Y1250,,Trigger)</f>
        <v>0.96650947883044458</v>
      </c>
    </row>
    <row r="1251" spans="25:26" x14ac:dyDescent="0.25">
      <c r="Y1251" s="63">
        <v>43784</v>
      </c>
      <c r="Z1251" s="61">
        <f>_xll.qlYieldTSDiscount($U$35,Y1251,,Trigger)</f>
        <v>0.96647877235537638</v>
      </c>
    </row>
    <row r="1252" spans="25:26" x14ac:dyDescent="0.25">
      <c r="Y1252" s="63">
        <v>43785</v>
      </c>
      <c r="Z1252" s="61">
        <f>_xll.qlYieldTSDiscount($U$35,Y1252,,Trigger)</f>
        <v>0.96644805574978698</v>
      </c>
    </row>
    <row r="1253" spans="25:26" x14ac:dyDescent="0.25">
      <c r="Y1253" s="63">
        <v>43786</v>
      </c>
      <c r="Z1253" s="61">
        <f>_xll.qlYieldTSDiscount($U$35,Y1253,,Trigger)</f>
        <v>0.96641732898399557</v>
      </c>
    </row>
    <row r="1254" spans="25:26" x14ac:dyDescent="0.25">
      <c r="Y1254" s="63">
        <v>43787</v>
      </c>
      <c r="Z1254" s="61">
        <f>_xll.qlYieldTSDiscount($U$35,Y1254,,Trigger)</f>
        <v>0.96638659202832111</v>
      </c>
    </row>
    <row r="1255" spans="25:26" x14ac:dyDescent="0.25">
      <c r="Y1255" s="63">
        <v>43788</v>
      </c>
      <c r="Z1255" s="61">
        <f>_xll.qlYieldTSDiscount($U$35,Y1255,,Trigger)</f>
        <v>0.96635584485308301</v>
      </c>
    </row>
    <row r="1256" spans="25:26" x14ac:dyDescent="0.25">
      <c r="Y1256" s="63">
        <v>43789</v>
      </c>
      <c r="Z1256" s="61">
        <f>_xll.qlYieldTSDiscount($U$35,Y1256,,Trigger)</f>
        <v>0.96632508742860013</v>
      </c>
    </row>
    <row r="1257" spans="25:26" x14ac:dyDescent="0.25">
      <c r="Y1257" s="63">
        <v>43790</v>
      </c>
      <c r="Z1257" s="61">
        <f>_xll.qlYieldTSDiscount($U$35,Y1257,,Trigger)</f>
        <v>0.96629431972519186</v>
      </c>
    </row>
    <row r="1258" spans="25:26" x14ac:dyDescent="0.25">
      <c r="Y1258" s="63">
        <v>43791</v>
      </c>
      <c r="Z1258" s="61">
        <f>_xll.qlYieldTSDiscount($U$35,Y1258,,Trigger)</f>
        <v>0.96626354171317719</v>
      </c>
    </row>
    <row r="1259" spans="25:26" x14ac:dyDescent="0.25">
      <c r="Y1259" s="63">
        <v>43792</v>
      </c>
      <c r="Z1259" s="61">
        <f>_xll.qlYieldTSDiscount($U$35,Y1259,,Trigger)</f>
        <v>0.96623275336287517</v>
      </c>
    </row>
    <row r="1260" spans="25:26" x14ac:dyDescent="0.25">
      <c r="Y1260" s="63">
        <v>43793</v>
      </c>
      <c r="Z1260" s="61">
        <f>_xll.qlYieldTSDiscount($U$35,Y1260,,Trigger)</f>
        <v>0.96620195464460512</v>
      </c>
    </row>
    <row r="1261" spans="25:26" x14ac:dyDescent="0.25">
      <c r="Y1261" s="63">
        <v>43794</v>
      </c>
      <c r="Z1261" s="61">
        <f>_xll.qlYieldTSDiscount($U$35,Y1261,,Trigger)</f>
        <v>0.9661711455286861</v>
      </c>
    </row>
    <row r="1262" spans="25:26" x14ac:dyDescent="0.25">
      <c r="Y1262" s="63">
        <v>43795</v>
      </c>
      <c r="Z1262" s="61">
        <f>_xll.qlYieldTSDiscount($U$35,Y1262,,Trigger)</f>
        <v>0.96614032598543731</v>
      </c>
    </row>
    <row r="1263" spans="25:26" x14ac:dyDescent="0.25">
      <c r="Y1263" s="63">
        <v>43796</v>
      </c>
      <c r="Z1263" s="61">
        <f>_xll.qlYieldTSDiscount($U$35,Y1263,,Trigger)</f>
        <v>0.9661094959851777</v>
      </c>
    </row>
    <row r="1264" spans="25:26" x14ac:dyDescent="0.25">
      <c r="Y1264" s="63">
        <v>43797</v>
      </c>
      <c r="Z1264" s="61">
        <f>_xll.qlYieldTSDiscount($U$35,Y1264,,Trigger)</f>
        <v>0.96607865549822658</v>
      </c>
    </row>
    <row r="1265" spans="25:26" x14ac:dyDescent="0.25">
      <c r="Y1265" s="63">
        <v>43798</v>
      </c>
      <c r="Z1265" s="61">
        <f>_xll.qlYieldTSDiscount($U$35,Y1265,,Trigger)</f>
        <v>0.96604780449490302</v>
      </c>
    </row>
    <row r="1266" spans="25:26" x14ac:dyDescent="0.25">
      <c r="Y1266" s="63">
        <v>43799</v>
      </c>
      <c r="Z1266" s="61">
        <f>_xll.qlYieldTSDiscount($U$35,Y1266,,Trigger)</f>
        <v>0.96601694294552609</v>
      </c>
    </row>
    <row r="1267" spans="25:26" x14ac:dyDescent="0.25">
      <c r="Y1267" s="63">
        <v>43800</v>
      </c>
      <c r="Z1267" s="61">
        <f>_xll.qlYieldTSDiscount($U$35,Y1267,,Trigger)</f>
        <v>0.9659860708204151</v>
      </c>
    </row>
    <row r="1268" spans="25:26" x14ac:dyDescent="0.25">
      <c r="Y1268" s="63">
        <v>43801</v>
      </c>
      <c r="Z1268" s="61">
        <f>_xll.qlYieldTSDiscount($U$35,Y1268,,Trigger)</f>
        <v>0.96595518808988901</v>
      </c>
    </row>
    <row r="1269" spans="25:26" x14ac:dyDescent="0.25">
      <c r="Y1269" s="63">
        <v>43802</v>
      </c>
      <c r="Z1269" s="61">
        <f>_xll.qlYieldTSDiscount($U$35,Y1269,,Trigger)</f>
        <v>0.965924294724267</v>
      </c>
    </row>
    <row r="1270" spans="25:26" x14ac:dyDescent="0.25">
      <c r="Y1270" s="63">
        <v>43803</v>
      </c>
      <c r="Z1270" s="61">
        <f>_xll.qlYieldTSDiscount($U$35,Y1270,,Trigger)</f>
        <v>0.96589339069386826</v>
      </c>
    </row>
    <row r="1271" spans="25:26" x14ac:dyDescent="0.25">
      <c r="Y1271" s="63">
        <v>43804</v>
      </c>
      <c r="Z1271" s="61">
        <f>_xll.qlYieldTSDiscount($U$35,Y1271,,Trigger)</f>
        <v>0.96586247596901198</v>
      </c>
    </row>
    <row r="1272" spans="25:26" x14ac:dyDescent="0.25">
      <c r="Y1272" s="63">
        <v>43805</v>
      </c>
      <c r="Z1272" s="61">
        <f>_xll.qlYieldTSDiscount($U$35,Y1272,,Trigger)</f>
        <v>0.96583155052001712</v>
      </c>
    </row>
    <row r="1273" spans="25:26" x14ac:dyDescent="0.25">
      <c r="Y1273" s="63">
        <v>43806</v>
      </c>
      <c r="Z1273" s="61">
        <f>_xll.qlYieldTSDiscount($U$35,Y1273,,Trigger)</f>
        <v>0.96580061431720288</v>
      </c>
    </row>
    <row r="1274" spans="25:26" x14ac:dyDescent="0.25">
      <c r="Y1274" s="63">
        <v>43807</v>
      </c>
      <c r="Z1274" s="61">
        <f>_xll.qlYieldTSDiscount($U$35,Y1274,,Trigger)</f>
        <v>0.96576966733088843</v>
      </c>
    </row>
    <row r="1275" spans="25:26" x14ac:dyDescent="0.25">
      <c r="Y1275" s="63">
        <v>43808</v>
      </c>
      <c r="Z1275" s="61">
        <f>_xll.qlYieldTSDiscount($U$35,Y1275,,Trigger)</f>
        <v>0.96573870953139296</v>
      </c>
    </row>
    <row r="1276" spans="25:26" x14ac:dyDescent="0.25">
      <c r="Y1276" s="63">
        <v>43809</v>
      </c>
      <c r="Z1276" s="61">
        <f>_xll.qlYieldTSDiscount($U$35,Y1276,,Trigger)</f>
        <v>0.96570774088903544</v>
      </c>
    </row>
    <row r="1277" spans="25:26" x14ac:dyDescent="0.25">
      <c r="Y1277" s="63">
        <v>43810</v>
      </c>
      <c r="Z1277" s="61">
        <f>_xll.qlYieldTSDiscount($U$35,Y1277,,Trigger)</f>
        <v>0.96567676137413516</v>
      </c>
    </row>
    <row r="1278" spans="25:26" x14ac:dyDescent="0.25">
      <c r="Y1278" s="63">
        <v>43811</v>
      </c>
      <c r="Z1278" s="61">
        <f>_xll.qlYieldTSDiscount($U$35,Y1278,,Trigger)</f>
        <v>0.96564577095701121</v>
      </c>
    </row>
    <row r="1279" spans="25:26" x14ac:dyDescent="0.25">
      <c r="Y1279" s="63">
        <v>43812</v>
      </c>
      <c r="Z1279" s="61">
        <f>_xll.qlYieldTSDiscount($U$35,Y1279,,Trigger)</f>
        <v>0.96561476960798276</v>
      </c>
    </row>
    <row r="1280" spans="25:26" x14ac:dyDescent="0.25">
      <c r="Y1280" s="63">
        <v>43813</v>
      </c>
      <c r="Z1280" s="61">
        <f>_xll.qlYieldTSDiscount($U$35,Y1280,,Trigger)</f>
        <v>0.96558375729736878</v>
      </c>
    </row>
    <row r="1281" spans="25:26" x14ac:dyDescent="0.25">
      <c r="Y1281" s="63">
        <v>43814</v>
      </c>
      <c r="Z1281" s="61">
        <f>_xll.qlYieldTSDiscount($U$35,Y1281,,Trigger)</f>
        <v>0.96555273399548858</v>
      </c>
    </row>
    <row r="1282" spans="25:26" x14ac:dyDescent="0.25">
      <c r="Y1282" s="63">
        <v>43815</v>
      </c>
      <c r="Z1282" s="61">
        <f>_xll.qlYieldTSDiscount($U$35,Y1282,,Trigger)</f>
        <v>0.96552169967266122</v>
      </c>
    </row>
    <row r="1283" spans="25:26" x14ac:dyDescent="0.25">
      <c r="Y1283" s="63">
        <v>43816</v>
      </c>
      <c r="Z1283" s="61">
        <f>_xll.qlYieldTSDiscount($U$35,Y1283,,Trigger)</f>
        <v>0.96549065429920589</v>
      </c>
    </row>
    <row r="1284" spans="25:26" x14ac:dyDescent="0.25">
      <c r="Y1284" s="63">
        <v>43817</v>
      </c>
      <c r="Z1284" s="61">
        <f>_xll.qlYieldTSDiscount($U$35,Y1284,,Trigger)</f>
        <v>0.96545959784544155</v>
      </c>
    </row>
    <row r="1285" spans="25:26" x14ac:dyDescent="0.25">
      <c r="Y1285" s="63">
        <v>43818</v>
      </c>
      <c r="Z1285" s="61">
        <f>_xll.qlYieldTSDiscount($U$35,Y1285,,Trigger)</f>
        <v>0.96542853028168762</v>
      </c>
    </row>
    <row r="1286" spans="25:26" x14ac:dyDescent="0.25">
      <c r="Y1286" s="63">
        <v>43819</v>
      </c>
      <c r="Z1286" s="61">
        <f>_xll.qlYieldTSDiscount($U$35,Y1286,,Trigger)</f>
        <v>0.96539745157826296</v>
      </c>
    </row>
    <row r="1287" spans="25:26" x14ac:dyDescent="0.25">
      <c r="Y1287" s="63">
        <v>43820</v>
      </c>
      <c r="Z1287" s="61">
        <f>_xll.qlYieldTSDiscount($U$35,Y1287,,Trigger)</f>
        <v>0.96536636170548695</v>
      </c>
    </row>
    <row r="1288" spans="25:26" x14ac:dyDescent="0.25">
      <c r="Y1288" s="63">
        <v>43821</v>
      </c>
      <c r="Z1288" s="61">
        <f>_xll.qlYieldTSDiscount($U$35,Y1288,,Trigger)</f>
        <v>0.96533526063367858</v>
      </c>
    </row>
    <row r="1289" spans="25:26" x14ac:dyDescent="0.25">
      <c r="Y1289" s="63">
        <v>43822</v>
      </c>
      <c r="Z1289" s="61">
        <f>_xll.qlYieldTSDiscount($U$35,Y1289,,Trigger)</f>
        <v>0.96530414833315692</v>
      </c>
    </row>
    <row r="1290" spans="25:26" x14ac:dyDescent="0.25">
      <c r="Y1290" s="63">
        <v>43823</v>
      </c>
      <c r="Z1290" s="61">
        <f>_xll.qlYieldTSDiscount($U$35,Y1290,,Trigger)</f>
        <v>0.96527302477424126</v>
      </c>
    </row>
    <row r="1291" spans="25:26" x14ac:dyDescent="0.25">
      <c r="Y1291" s="63">
        <v>43824</v>
      </c>
      <c r="Z1291" s="61">
        <f>_xll.qlYieldTSDiscount($U$35,Y1291,,Trigger)</f>
        <v>0.96524188992725068</v>
      </c>
    </row>
    <row r="1292" spans="25:26" x14ac:dyDescent="0.25">
      <c r="Y1292" s="63">
        <v>43825</v>
      </c>
      <c r="Z1292" s="61">
        <f>_xll.qlYieldTSDiscount($U$35,Y1292,,Trigger)</f>
        <v>0.96521074376250426</v>
      </c>
    </row>
    <row r="1293" spans="25:26" x14ac:dyDescent="0.25">
      <c r="Y1293" s="63">
        <v>43826</v>
      </c>
      <c r="Z1293" s="61">
        <f>_xll.qlYieldTSDiscount($U$35,Y1293,,Trigger)</f>
        <v>0.96517958625032119</v>
      </c>
    </row>
    <row r="1294" spans="25:26" x14ac:dyDescent="0.25">
      <c r="Y1294" s="63">
        <v>43827</v>
      </c>
      <c r="Z1294" s="61">
        <f>_xll.qlYieldTSDiscount($U$35,Y1294,,Trigger)</f>
        <v>0.96514841736102053</v>
      </c>
    </row>
    <row r="1295" spans="25:26" x14ac:dyDescent="0.25">
      <c r="Y1295" s="63">
        <v>43828</v>
      </c>
      <c r="Z1295" s="61">
        <f>_xll.qlYieldTSDiscount($U$35,Y1295,,Trigger)</f>
        <v>0.96511723706492158</v>
      </c>
    </row>
    <row r="1296" spans="25:26" x14ac:dyDescent="0.25">
      <c r="Y1296" s="63">
        <v>43829</v>
      </c>
      <c r="Z1296" s="61">
        <f>_xll.qlYieldTSDiscount($U$35,Y1296,,Trigger)</f>
        <v>0.96508604533234332</v>
      </c>
    </row>
    <row r="1297" spans="25:26" x14ac:dyDescent="0.25">
      <c r="Y1297" s="63">
        <v>43830</v>
      </c>
      <c r="Z1297" s="61">
        <f>_xll.qlYieldTSDiscount($U$35,Y1297,,Trigger)</f>
        <v>0.96505484213360493</v>
      </c>
    </row>
    <row r="1298" spans="25:26" x14ac:dyDescent="0.25">
      <c r="Y1298" s="63">
        <v>43831</v>
      </c>
      <c r="Z1298" s="61">
        <f>_xll.qlYieldTSDiscount($U$35,Y1298,,Trigger)</f>
        <v>0.96502362743902559</v>
      </c>
    </row>
    <row r="1299" spans="25:26" x14ac:dyDescent="0.25">
      <c r="Y1299" s="63">
        <v>43832</v>
      </c>
      <c r="Z1299" s="61">
        <f>_xll.qlYieldTSDiscount($U$35,Y1299,,Trigger)</f>
        <v>0.96499240121892438</v>
      </c>
    </row>
    <row r="1300" spans="25:26" x14ac:dyDescent="0.25">
      <c r="Y1300" s="63">
        <v>43833</v>
      </c>
      <c r="Z1300" s="61">
        <f>_xll.qlYieldTSDiscount($U$35,Y1300,,Trigger)</f>
        <v>0.96496116344362037</v>
      </c>
    </row>
    <row r="1301" spans="25:26" x14ac:dyDescent="0.25">
      <c r="Y1301" s="63">
        <v>43834</v>
      </c>
      <c r="Z1301" s="61">
        <f>_xll.qlYieldTSDiscount($U$35,Y1301,,Trigger)</f>
        <v>0.96492991408343287</v>
      </c>
    </row>
    <row r="1302" spans="25:26" x14ac:dyDescent="0.25">
      <c r="Y1302" s="63">
        <v>43835</v>
      </c>
      <c r="Z1302" s="61">
        <f>_xll.qlYieldTSDiscount($U$35,Y1302,,Trigger)</f>
        <v>0.96489865310868095</v>
      </c>
    </row>
    <row r="1303" spans="25:26" x14ac:dyDescent="0.25">
      <c r="Y1303" s="63">
        <v>43836</v>
      </c>
      <c r="Z1303" s="61">
        <f>_xll.qlYieldTSDiscount($U$35,Y1303,,Trigger)</f>
        <v>0.96486738048968357</v>
      </c>
    </row>
    <row r="1304" spans="25:26" x14ac:dyDescent="0.25">
      <c r="Y1304" s="63">
        <v>43837</v>
      </c>
      <c r="Z1304" s="61">
        <f>_xll.qlYieldTSDiscount($U$35,Y1304,,Trigger)</f>
        <v>0.96483609619676014</v>
      </c>
    </row>
    <row r="1305" spans="25:26" x14ac:dyDescent="0.25">
      <c r="Y1305" s="63">
        <v>43838</v>
      </c>
      <c r="Z1305" s="61">
        <f>_xll.qlYieldTSDiscount($U$35,Y1305,,Trigger)</f>
        <v>0.96480480020022963</v>
      </c>
    </row>
    <row r="1306" spans="25:26" x14ac:dyDescent="0.25">
      <c r="Y1306" s="63">
        <v>43839</v>
      </c>
      <c r="Z1306" s="61">
        <f>_xll.qlYieldTSDiscount($U$35,Y1306,,Trigger)</f>
        <v>0.96477349247041111</v>
      </c>
    </row>
    <row r="1307" spans="25:26" x14ac:dyDescent="0.25">
      <c r="Y1307" s="63">
        <v>43840</v>
      </c>
      <c r="Z1307" s="61">
        <f>_xll.qlYieldTSDiscount($U$35,Y1307,,Trigger)</f>
        <v>0.96474217297762388</v>
      </c>
    </row>
    <row r="1308" spans="25:26" x14ac:dyDescent="0.25">
      <c r="Y1308" s="63">
        <v>43841</v>
      </c>
      <c r="Z1308" s="61">
        <f>_xll.qlYieldTSDiscount($U$35,Y1308,,Trigger)</f>
        <v>0.96471084169218702</v>
      </c>
    </row>
    <row r="1309" spans="25:26" x14ac:dyDescent="0.25">
      <c r="Y1309" s="63">
        <v>43842</v>
      </c>
      <c r="Z1309" s="61">
        <f>_xll.qlYieldTSDiscount($U$35,Y1309,,Trigger)</f>
        <v>0.9646794985844197</v>
      </c>
    </row>
    <row r="1310" spans="25:26" x14ac:dyDescent="0.25">
      <c r="Y1310" s="63">
        <v>43843</v>
      </c>
      <c r="Z1310" s="61">
        <f>_xll.qlYieldTSDiscount($U$35,Y1310,,Trigger)</f>
        <v>0.96464814362464091</v>
      </c>
    </row>
    <row r="1311" spans="25:26" x14ac:dyDescent="0.25">
      <c r="Y1311" s="63">
        <v>43844</v>
      </c>
      <c r="Z1311" s="61">
        <f>_xll.qlYieldTSDiscount($U$35,Y1311,,Trigger)</f>
        <v>0.96461677678316993</v>
      </c>
    </row>
    <row r="1312" spans="25:26" x14ac:dyDescent="0.25">
      <c r="Y1312" s="63">
        <v>43845</v>
      </c>
      <c r="Z1312" s="61">
        <f>_xll.qlYieldTSDiscount($U$35,Y1312,,Trigger)</f>
        <v>0.96458539803032584</v>
      </c>
    </row>
    <row r="1313" spans="25:26" x14ac:dyDescent="0.25">
      <c r="Y1313" s="63">
        <v>43846</v>
      </c>
      <c r="Z1313" s="61">
        <f>_xll.qlYieldTSDiscount($U$35,Y1313,,Trigger)</f>
        <v>0.96455400733642782</v>
      </c>
    </row>
    <row r="1314" spans="25:26" x14ac:dyDescent="0.25">
      <c r="Y1314" s="63">
        <v>43847</v>
      </c>
      <c r="Z1314" s="61">
        <f>_xll.qlYieldTSDiscount($U$35,Y1314,,Trigger)</f>
        <v>0.96452260467179485</v>
      </c>
    </row>
    <row r="1315" spans="25:26" x14ac:dyDescent="0.25">
      <c r="Y1315" s="63">
        <v>43848</v>
      </c>
      <c r="Z1315" s="61">
        <f>_xll.qlYieldTSDiscount($U$35,Y1315,,Trigger)</f>
        <v>0.96449119000674632</v>
      </c>
    </row>
    <row r="1316" spans="25:26" x14ac:dyDescent="0.25">
      <c r="Y1316" s="63">
        <v>43849</v>
      </c>
      <c r="Z1316" s="61">
        <f>_xll.qlYieldTSDiscount($U$35,Y1316,,Trigger)</f>
        <v>0.9644597633116011</v>
      </c>
    </row>
    <row r="1317" spans="25:26" x14ac:dyDescent="0.25">
      <c r="Y1317" s="63">
        <v>43850</v>
      </c>
      <c r="Z1317" s="61">
        <f>_xll.qlYieldTSDiscount($U$35,Y1317,,Trigger)</f>
        <v>0.9644283245566786</v>
      </c>
    </row>
    <row r="1318" spans="25:26" x14ac:dyDescent="0.25">
      <c r="Y1318" s="63">
        <v>43851</v>
      </c>
      <c r="Z1318" s="61">
        <f>_xll.qlYieldTSDiscount($U$35,Y1318,,Trigger)</f>
        <v>0.96439687371229765</v>
      </c>
    </row>
    <row r="1319" spans="25:26" x14ac:dyDescent="0.25">
      <c r="Y1319" s="63">
        <v>43852</v>
      </c>
      <c r="Z1319" s="61">
        <f>_xll.qlYieldTSDiscount($U$35,Y1319,,Trigger)</f>
        <v>0.96436541074877757</v>
      </c>
    </row>
    <row r="1320" spans="25:26" x14ac:dyDescent="0.25">
      <c r="Y1320" s="63">
        <v>43853</v>
      </c>
      <c r="Z1320" s="61">
        <f>_xll.qlYieldTSDiscount($U$35,Y1320,,Trigger)</f>
        <v>0.96433393563643754</v>
      </c>
    </row>
    <row r="1321" spans="25:26" x14ac:dyDescent="0.25">
      <c r="Y1321" s="63">
        <v>43854</v>
      </c>
      <c r="Z1321" s="61">
        <f>_xll.qlYieldTSDiscount($U$35,Y1321,,Trigger)</f>
        <v>0.96430244834559653</v>
      </c>
    </row>
    <row r="1322" spans="25:26" x14ac:dyDescent="0.25">
      <c r="Y1322" s="63">
        <v>43855</v>
      </c>
      <c r="Z1322" s="61">
        <f>_xll.qlYieldTSDiscount($U$35,Y1322,,Trigger)</f>
        <v>0.96427094884657383</v>
      </c>
    </row>
    <row r="1323" spans="25:26" x14ac:dyDescent="0.25">
      <c r="Y1323" s="63">
        <v>43856</v>
      </c>
      <c r="Z1323" s="61">
        <f>_xll.qlYieldTSDiscount($U$35,Y1323,,Trigger)</f>
        <v>0.9642394371096884</v>
      </c>
    </row>
    <row r="1324" spans="25:26" x14ac:dyDescent="0.25">
      <c r="Y1324" s="63">
        <v>43857</v>
      </c>
      <c r="Z1324" s="61">
        <f>_xll.qlYieldTSDiscount($U$35,Y1324,,Trigger)</f>
        <v>0.96420791310525966</v>
      </c>
    </row>
    <row r="1325" spans="25:26" x14ac:dyDescent="0.25">
      <c r="Y1325" s="63">
        <v>43858</v>
      </c>
      <c r="Z1325" s="61">
        <f>_xll.qlYieldTSDiscount($U$35,Y1325,,Trigger)</f>
        <v>0.96417637680360646</v>
      </c>
    </row>
    <row r="1326" spans="25:26" x14ac:dyDescent="0.25">
      <c r="Y1326" s="63">
        <v>43859</v>
      </c>
      <c r="Z1326" s="61">
        <f>_xll.qlYieldTSDiscount($U$35,Y1326,,Trigger)</f>
        <v>0.96414482817504799</v>
      </c>
    </row>
    <row r="1327" spans="25:26" x14ac:dyDescent="0.25">
      <c r="Y1327" s="63">
        <v>43860</v>
      </c>
      <c r="Z1327" s="61">
        <f>_xll.qlYieldTSDiscount($U$35,Y1327,,Trigger)</f>
        <v>0.96411326718990353</v>
      </c>
    </row>
    <row r="1328" spans="25:26" x14ac:dyDescent="0.25">
      <c r="Y1328" s="63">
        <v>43861</v>
      </c>
      <c r="Z1328" s="61">
        <f>_xll.qlYieldTSDiscount($U$35,Y1328,,Trigger)</f>
        <v>0.96408169381849207</v>
      </c>
    </row>
    <row r="1329" spans="25:26" x14ac:dyDescent="0.25">
      <c r="Y1329" s="63">
        <v>43862</v>
      </c>
      <c r="Z1329" s="61">
        <f>_xll.qlYieldTSDiscount($U$35,Y1329,,Trigger)</f>
        <v>0.96405010803113278</v>
      </c>
    </row>
    <row r="1330" spans="25:26" x14ac:dyDescent="0.25">
      <c r="Y1330" s="63">
        <v>43863</v>
      </c>
      <c r="Z1330" s="61">
        <f>_xll.qlYieldTSDiscount($U$35,Y1330,,Trigger)</f>
        <v>0.96401850979814485</v>
      </c>
    </row>
    <row r="1331" spans="25:26" x14ac:dyDescent="0.25">
      <c r="Y1331" s="63">
        <v>43864</v>
      </c>
      <c r="Z1331" s="61">
        <f>_xll.qlYieldTSDiscount($U$35,Y1331,,Trigger)</f>
        <v>0.96398689908984736</v>
      </c>
    </row>
    <row r="1332" spans="25:26" x14ac:dyDescent="0.25">
      <c r="Y1332" s="63">
        <v>43865</v>
      </c>
      <c r="Z1332" s="61">
        <f>_xll.qlYieldTSDiscount($U$35,Y1332,,Trigger)</f>
        <v>0.96395527587655938</v>
      </c>
    </row>
    <row r="1333" spans="25:26" x14ac:dyDescent="0.25">
      <c r="Y1333" s="63">
        <v>43866</v>
      </c>
      <c r="Z1333" s="61">
        <f>_xll.qlYieldTSDiscount($U$35,Y1333,,Trigger)</f>
        <v>0.96392364012860021</v>
      </c>
    </row>
    <row r="1334" spans="25:26" x14ac:dyDescent="0.25">
      <c r="Y1334" s="63">
        <v>43867</v>
      </c>
      <c r="Z1334" s="61">
        <f>_xll.qlYieldTSDiscount($U$35,Y1334,,Trigger)</f>
        <v>0.96389199181628893</v>
      </c>
    </row>
    <row r="1335" spans="25:26" x14ac:dyDescent="0.25">
      <c r="Y1335" s="63">
        <v>43868</v>
      </c>
      <c r="Z1335" s="61">
        <f>_xll.qlYieldTSDiscount($U$35,Y1335,,Trigger)</f>
        <v>0.96386033090994461</v>
      </c>
    </row>
    <row r="1336" spans="25:26" x14ac:dyDescent="0.25">
      <c r="Y1336" s="63">
        <v>43869</v>
      </c>
      <c r="Z1336" s="61">
        <f>_xll.qlYieldTSDiscount($U$35,Y1336,,Trigger)</f>
        <v>0.96382865737988643</v>
      </c>
    </row>
    <row r="1337" spans="25:26" x14ac:dyDescent="0.25">
      <c r="Y1337" s="63">
        <v>43870</v>
      </c>
      <c r="Z1337" s="61">
        <f>_xll.qlYieldTSDiscount($U$35,Y1337,,Trigger)</f>
        <v>0.96379697119643348</v>
      </c>
    </row>
    <row r="1338" spans="25:26" x14ac:dyDescent="0.25">
      <c r="Y1338" s="63">
        <v>43871</v>
      </c>
      <c r="Z1338" s="61">
        <f>_xll.qlYieldTSDiscount($U$35,Y1338,,Trigger)</f>
        <v>0.96376527232990494</v>
      </c>
    </row>
    <row r="1339" spans="25:26" x14ac:dyDescent="0.25">
      <c r="Y1339" s="63">
        <v>43872</v>
      </c>
      <c r="Z1339" s="61">
        <f>_xll.qlYieldTSDiscount($U$35,Y1339,,Trigger)</f>
        <v>0.96373356075061989</v>
      </c>
    </row>
    <row r="1340" spans="25:26" x14ac:dyDescent="0.25">
      <c r="Y1340" s="63">
        <v>43873</v>
      </c>
      <c r="Z1340" s="61">
        <f>_xll.qlYieldTSDiscount($U$35,Y1340,,Trigger)</f>
        <v>0.96370183642889762</v>
      </c>
    </row>
    <row r="1341" spans="25:26" x14ac:dyDescent="0.25">
      <c r="Y1341" s="63">
        <v>43874</v>
      </c>
      <c r="Z1341" s="61">
        <f>_xll.qlYieldTSDiscount($U$35,Y1341,,Trigger)</f>
        <v>0.96367009933505698</v>
      </c>
    </row>
    <row r="1342" spans="25:26" x14ac:dyDescent="0.25">
      <c r="Y1342" s="63">
        <v>43875</v>
      </c>
      <c r="Z1342" s="61">
        <f>_xll.qlYieldTSDiscount($U$35,Y1342,,Trigger)</f>
        <v>0.9636383494394174</v>
      </c>
    </row>
    <row r="1343" spans="25:26" x14ac:dyDescent="0.25">
      <c r="Y1343" s="63">
        <v>43876</v>
      </c>
      <c r="Z1343" s="61">
        <f>_xll.qlYieldTSDiscount($U$35,Y1343,,Trigger)</f>
        <v>0.96360658671229793</v>
      </c>
    </row>
    <row r="1344" spans="25:26" x14ac:dyDescent="0.25">
      <c r="Y1344" s="63">
        <v>43877</v>
      </c>
      <c r="Z1344" s="61">
        <f>_xll.qlYieldTSDiscount($U$35,Y1344,,Trigger)</f>
        <v>0.96357481112401755</v>
      </c>
    </row>
    <row r="1345" spans="25:26" x14ac:dyDescent="0.25">
      <c r="Y1345" s="63">
        <v>43878</v>
      </c>
      <c r="Z1345" s="61">
        <f>_xll.qlYieldTSDiscount($U$35,Y1345,,Trigger)</f>
        <v>0.96354302264489555</v>
      </c>
    </row>
    <row r="1346" spans="25:26" x14ac:dyDescent="0.25">
      <c r="Y1346" s="63">
        <v>43879</v>
      </c>
      <c r="Z1346" s="61">
        <f>_xll.qlYieldTSDiscount($U$35,Y1346,,Trigger)</f>
        <v>0.96351122124525101</v>
      </c>
    </row>
    <row r="1347" spans="25:26" x14ac:dyDescent="0.25">
      <c r="Y1347" s="63">
        <v>43880</v>
      </c>
      <c r="Z1347" s="61">
        <f>_xll.qlYieldTSDiscount($U$35,Y1347,,Trigger)</f>
        <v>0.96347940689540312</v>
      </c>
    </row>
    <row r="1348" spans="25:26" x14ac:dyDescent="0.25">
      <c r="Y1348" s="63">
        <v>43881</v>
      </c>
      <c r="Z1348" s="61">
        <f>_xll.qlYieldTSDiscount($U$35,Y1348,,Trigger)</f>
        <v>0.96344757956567095</v>
      </c>
    </row>
    <row r="1349" spans="25:26" x14ac:dyDescent="0.25">
      <c r="Y1349" s="63">
        <v>43882</v>
      </c>
      <c r="Z1349" s="61">
        <f>_xll.qlYieldTSDiscount($U$35,Y1349,,Trigger)</f>
        <v>0.96341573922637369</v>
      </c>
    </row>
    <row r="1350" spans="25:26" x14ac:dyDescent="0.25">
      <c r="Y1350" s="63">
        <v>43883</v>
      </c>
      <c r="Z1350" s="61">
        <f>_xll.qlYieldTSDiscount($U$35,Y1350,,Trigger)</f>
        <v>0.96338388584783041</v>
      </c>
    </row>
    <row r="1351" spans="25:26" x14ac:dyDescent="0.25">
      <c r="Y1351" s="63">
        <v>43884</v>
      </c>
      <c r="Z1351" s="61">
        <f>_xll.qlYieldTSDiscount($U$35,Y1351,,Trigger)</f>
        <v>0.9633520194003603</v>
      </c>
    </row>
    <row r="1352" spans="25:26" x14ac:dyDescent="0.25">
      <c r="Y1352" s="63">
        <v>43885</v>
      </c>
      <c r="Z1352" s="61">
        <f>_xll.qlYieldTSDiscount($U$35,Y1352,,Trigger)</f>
        <v>0.96332013985428244</v>
      </c>
    </row>
    <row r="1353" spans="25:26" x14ac:dyDescent="0.25">
      <c r="Y1353" s="63">
        <v>43886</v>
      </c>
      <c r="Z1353" s="61">
        <f>_xll.qlYieldTSDiscount($U$35,Y1353,,Trigger)</f>
        <v>0.96328824717991601</v>
      </c>
    </row>
    <row r="1354" spans="25:26" x14ac:dyDescent="0.25">
      <c r="Y1354" s="63">
        <v>43887</v>
      </c>
      <c r="Z1354" s="61">
        <f>_xll.qlYieldTSDiscount($U$35,Y1354,,Trigger)</f>
        <v>0.96325634134758009</v>
      </c>
    </row>
    <row r="1355" spans="25:26" x14ac:dyDescent="0.25">
      <c r="Y1355" s="63">
        <v>43888</v>
      </c>
      <c r="Z1355" s="61">
        <f>_xll.qlYieldTSDiscount($U$35,Y1355,,Trigger)</f>
        <v>0.96322442232759398</v>
      </c>
    </row>
    <row r="1356" spans="25:26" x14ac:dyDescent="0.25">
      <c r="Y1356" s="63">
        <v>43889</v>
      </c>
      <c r="Z1356" s="61">
        <f>_xll.qlYieldTSDiscount($U$35,Y1356,,Trigger)</f>
        <v>0.96319249009027663</v>
      </c>
    </row>
    <row r="1357" spans="25:26" x14ac:dyDescent="0.25">
      <c r="Y1357" s="63">
        <v>43890</v>
      </c>
      <c r="Z1357" s="61">
        <f>_xll.qlYieldTSDiscount($U$35,Y1357,,Trigger)</f>
        <v>0.96316054460594713</v>
      </c>
    </row>
    <row r="1358" spans="25:26" x14ac:dyDescent="0.25">
      <c r="Y1358" s="63">
        <v>43891</v>
      </c>
      <c r="Z1358" s="61">
        <f>_xll.qlYieldTSDiscount($U$35,Y1358,,Trigger)</f>
        <v>0.96312858584492489</v>
      </c>
    </row>
    <row r="1359" spans="25:26" x14ac:dyDescent="0.25">
      <c r="Y1359" s="63">
        <v>43892</v>
      </c>
      <c r="Z1359" s="61">
        <f>_xll.qlYieldTSDiscount($U$35,Y1359,,Trigger)</f>
        <v>0.96309661377752875</v>
      </c>
    </row>
    <row r="1360" spans="25:26" x14ac:dyDescent="0.25">
      <c r="Y1360" s="63">
        <v>43893</v>
      </c>
      <c r="Z1360" s="61">
        <f>_xll.qlYieldTSDiscount($U$35,Y1360,,Trigger)</f>
        <v>0.96306462837407802</v>
      </c>
    </row>
    <row r="1361" spans="25:26" x14ac:dyDescent="0.25">
      <c r="Y1361" s="63">
        <v>43894</v>
      </c>
      <c r="Z1361" s="61">
        <f>_xll.qlYieldTSDiscount($U$35,Y1361,,Trigger)</f>
        <v>0.96303262960489178</v>
      </c>
    </row>
    <row r="1362" spans="25:26" x14ac:dyDescent="0.25">
      <c r="Y1362" s="63">
        <v>43895</v>
      </c>
      <c r="Z1362" s="61">
        <f>_xll.qlYieldTSDiscount($U$35,Y1362,,Trigger)</f>
        <v>0.9630006174402892</v>
      </c>
    </row>
    <row r="1363" spans="25:26" x14ac:dyDescent="0.25">
      <c r="Y1363" s="63">
        <v>43896</v>
      </c>
      <c r="Z1363" s="61">
        <f>_xll.qlYieldTSDiscount($U$35,Y1363,,Trigger)</f>
        <v>0.96296859185058936</v>
      </c>
    </row>
    <row r="1364" spans="25:26" x14ac:dyDescent="0.25">
      <c r="Y1364" s="63">
        <v>43897</v>
      </c>
      <c r="Z1364" s="61">
        <f>_xll.qlYieldTSDiscount($U$35,Y1364,,Trigger)</f>
        <v>0.96293655280611135</v>
      </c>
    </row>
    <row r="1365" spans="25:26" x14ac:dyDescent="0.25">
      <c r="Y1365" s="63">
        <v>43898</v>
      </c>
      <c r="Z1365" s="61">
        <f>_xll.qlYieldTSDiscount($U$35,Y1365,,Trigger)</f>
        <v>0.96290450027717445</v>
      </c>
    </row>
    <row r="1366" spans="25:26" x14ac:dyDescent="0.25">
      <c r="Y1366" s="63">
        <v>43899</v>
      </c>
      <c r="Z1366" s="61">
        <f>_xll.qlYieldTSDiscount($U$35,Y1366,,Trigger)</f>
        <v>0.96287243423409774</v>
      </c>
    </row>
    <row r="1367" spans="25:26" x14ac:dyDescent="0.25">
      <c r="Y1367" s="63">
        <v>43900</v>
      </c>
      <c r="Z1367" s="61">
        <f>_xll.qlYieldTSDiscount($U$35,Y1367,,Trigger)</f>
        <v>0.9628403546472003</v>
      </c>
    </row>
    <row r="1368" spans="25:26" x14ac:dyDescent="0.25">
      <c r="Y1368" s="63">
        <v>43901</v>
      </c>
      <c r="Z1368" s="61">
        <f>_xll.qlYieldTSDiscount($U$35,Y1368,,Trigger)</f>
        <v>0.96280826148680121</v>
      </c>
    </row>
    <row r="1369" spans="25:26" x14ac:dyDescent="0.25">
      <c r="Y1369" s="63">
        <v>43902</v>
      </c>
      <c r="Z1369" s="61">
        <f>_xll.qlYieldTSDiscount($U$35,Y1369,,Trigger)</f>
        <v>0.96277615472321987</v>
      </c>
    </row>
    <row r="1370" spans="25:26" x14ac:dyDescent="0.25">
      <c r="Y1370" s="63">
        <v>43903</v>
      </c>
      <c r="Z1370" s="61">
        <f>_xll.qlYieldTSDiscount($U$35,Y1370,,Trigger)</f>
        <v>0.96274403432677513</v>
      </c>
    </row>
    <row r="1371" spans="25:26" x14ac:dyDescent="0.25">
      <c r="Y1371" s="63">
        <v>43904</v>
      </c>
      <c r="Z1371" s="61">
        <f>_xll.qlYieldTSDiscount($U$35,Y1371,,Trigger)</f>
        <v>0.96271190026778619</v>
      </c>
    </row>
    <row r="1372" spans="25:26" x14ac:dyDescent="0.25">
      <c r="Y1372" s="63">
        <v>43905</v>
      </c>
      <c r="Z1372" s="61">
        <f>_xll.qlYieldTSDiscount($U$35,Y1372,,Trigger)</f>
        <v>0.96267975251657234</v>
      </c>
    </row>
    <row r="1373" spans="25:26" x14ac:dyDescent="0.25">
      <c r="Y1373" s="63">
        <v>43906</v>
      </c>
      <c r="Z1373" s="61">
        <f>_xll.qlYieldTSDiscount($U$35,Y1373,,Trigger)</f>
        <v>0.96264759104345254</v>
      </c>
    </row>
    <row r="1374" spans="25:26" x14ac:dyDescent="0.25">
      <c r="Y1374" s="63">
        <v>43907</v>
      </c>
      <c r="Z1374" s="61">
        <f>_xll.qlYieldTSDiscount($U$35,Y1374,,Trigger)</f>
        <v>0.96261541581874599</v>
      </c>
    </row>
    <row r="1375" spans="25:26" x14ac:dyDescent="0.25">
      <c r="Y1375" s="63">
        <v>43908</v>
      </c>
      <c r="Z1375" s="61">
        <f>_xll.qlYieldTSDiscount($U$35,Y1375,,Trigger)</f>
        <v>0.96258322681277175</v>
      </c>
    </row>
    <row r="1376" spans="25:26" x14ac:dyDescent="0.25">
      <c r="Y1376" s="63">
        <v>43909</v>
      </c>
      <c r="Z1376" s="61">
        <f>_xll.qlYieldTSDiscount($U$35,Y1376,,Trigger)</f>
        <v>0.96255102399584913</v>
      </c>
    </row>
    <row r="1377" spans="25:26" x14ac:dyDescent="0.25">
      <c r="Y1377" s="63">
        <v>43910</v>
      </c>
      <c r="Z1377" s="61">
        <f>_xll.qlYieldTSDiscount($U$35,Y1377,,Trigger)</f>
        <v>0.96251880733829709</v>
      </c>
    </row>
    <row r="1378" spans="25:26" x14ac:dyDescent="0.25">
      <c r="Y1378" s="63">
        <v>43911</v>
      </c>
      <c r="Z1378" s="61">
        <f>_xll.qlYieldTSDiscount($U$35,Y1378,,Trigger)</f>
        <v>0.96248657681043492</v>
      </c>
    </row>
    <row r="1379" spans="25:26" x14ac:dyDescent="0.25">
      <c r="Y1379" s="63">
        <v>43912</v>
      </c>
      <c r="Z1379" s="61">
        <f>_xll.qlYieldTSDiscount($U$35,Y1379,,Trigger)</f>
        <v>0.9624543323825816</v>
      </c>
    </row>
    <row r="1380" spans="25:26" x14ac:dyDescent="0.25">
      <c r="Y1380" s="63">
        <v>43913</v>
      </c>
      <c r="Z1380" s="61">
        <f>_xll.qlYieldTSDiscount($U$35,Y1380,,Trigger)</f>
        <v>0.96242207402505631</v>
      </c>
    </row>
    <row r="1381" spans="25:26" x14ac:dyDescent="0.25">
      <c r="Y1381" s="63">
        <v>43914</v>
      </c>
      <c r="Z1381" s="61">
        <f>_xll.qlYieldTSDiscount($U$35,Y1381,,Trigger)</f>
        <v>0.96238980170817834</v>
      </c>
    </row>
    <row r="1382" spans="25:26" x14ac:dyDescent="0.25">
      <c r="Y1382" s="63">
        <v>43915</v>
      </c>
      <c r="Z1382" s="61">
        <f>_xll.qlYieldTSDiscount($U$35,Y1382,,Trigger)</f>
        <v>0.96235751540226655</v>
      </c>
    </row>
    <row r="1383" spans="25:26" x14ac:dyDescent="0.25">
      <c r="Y1383" s="63">
        <v>43916</v>
      </c>
      <c r="Z1383" s="61">
        <f>_xll.qlYieldTSDiscount($U$35,Y1383,,Trigger)</f>
        <v>0.96232521507764024</v>
      </c>
    </row>
    <row r="1384" spans="25:26" x14ac:dyDescent="0.25">
      <c r="Y1384" s="63">
        <v>43917</v>
      </c>
      <c r="Z1384" s="61">
        <f>_xll.qlYieldTSDiscount($U$35,Y1384,,Trigger)</f>
        <v>0.96229290070461859</v>
      </c>
    </row>
    <row r="1385" spans="25:26" x14ac:dyDescent="0.25">
      <c r="Y1385" s="63">
        <v>43918</v>
      </c>
      <c r="Z1385" s="61">
        <f>_xll.qlYieldTSDiscount($U$35,Y1385,,Trigger)</f>
        <v>0.96226057225352057</v>
      </c>
    </row>
    <row r="1386" spans="25:26" x14ac:dyDescent="0.25">
      <c r="Y1386" s="63">
        <v>43919</v>
      </c>
      <c r="Z1386" s="61">
        <f>_xll.qlYieldTSDiscount($U$35,Y1386,,Trigger)</f>
        <v>0.96222822969466548</v>
      </c>
    </row>
    <row r="1387" spans="25:26" x14ac:dyDescent="0.25">
      <c r="Y1387" s="63">
        <v>43920</v>
      </c>
      <c r="Z1387" s="61">
        <f>_xll.qlYieldTSDiscount($U$35,Y1387,,Trigger)</f>
        <v>0.96219587299837239</v>
      </c>
    </row>
    <row r="1388" spans="25:26" x14ac:dyDescent="0.25">
      <c r="Y1388" s="63">
        <v>43921</v>
      </c>
      <c r="Z1388" s="61">
        <f>_xll.qlYieldTSDiscount($U$35,Y1388,,Trigger)</f>
        <v>0.96216350213496049</v>
      </c>
    </row>
    <row r="1389" spans="25:26" x14ac:dyDescent="0.25">
      <c r="Y1389" s="63">
        <v>43922</v>
      </c>
      <c r="Z1389" s="61">
        <f>_xll.qlYieldTSDiscount($U$35,Y1389,,Trigger)</f>
        <v>0.96213111707474874</v>
      </c>
    </row>
    <row r="1390" spans="25:26" x14ac:dyDescent="0.25">
      <c r="Y1390" s="63">
        <v>43923</v>
      </c>
      <c r="Z1390" s="61">
        <f>_xll.qlYieldTSDiscount($U$35,Y1390,,Trigger)</f>
        <v>0.96209871778805645</v>
      </c>
    </row>
    <row r="1391" spans="25:26" x14ac:dyDescent="0.25">
      <c r="Y1391" s="63">
        <v>43924</v>
      </c>
      <c r="Z1391" s="61">
        <f>_xll.qlYieldTSDiscount($U$35,Y1391,,Trigger)</f>
        <v>0.96206630424520267</v>
      </c>
    </row>
    <row r="1392" spans="25:26" x14ac:dyDescent="0.25">
      <c r="Y1392" s="63">
        <v>43925</v>
      </c>
      <c r="Z1392" s="61">
        <f>_xll.qlYieldTSDiscount($U$35,Y1392,,Trigger)</f>
        <v>0.96203387641650651</v>
      </c>
    </row>
    <row r="1393" spans="25:26" x14ac:dyDescent="0.25">
      <c r="Y1393" s="63">
        <v>43926</v>
      </c>
      <c r="Z1393" s="61">
        <f>_xll.qlYieldTSDiscount($U$35,Y1393,,Trigger)</f>
        <v>0.96200143427228724</v>
      </c>
    </row>
    <row r="1394" spans="25:26" x14ac:dyDescent="0.25">
      <c r="Y1394" s="63">
        <v>43927</v>
      </c>
      <c r="Z1394" s="61">
        <f>_xll.qlYieldTSDiscount($U$35,Y1394,,Trigger)</f>
        <v>0.96196897778286394</v>
      </c>
    </row>
    <row r="1395" spans="25:26" x14ac:dyDescent="0.25">
      <c r="Y1395" s="63">
        <v>43928</v>
      </c>
      <c r="Z1395" s="61">
        <f>_xll.qlYieldTSDiscount($U$35,Y1395,,Trigger)</f>
        <v>0.96193650691855559</v>
      </c>
    </row>
    <row r="1396" spans="25:26" x14ac:dyDescent="0.25">
      <c r="Y1396" s="63">
        <v>43929</v>
      </c>
      <c r="Z1396" s="61">
        <f>_xll.qlYieldTSDiscount($U$35,Y1396,,Trigger)</f>
        <v>0.96190402164968158</v>
      </c>
    </row>
    <row r="1397" spans="25:26" x14ac:dyDescent="0.25">
      <c r="Y1397" s="63">
        <v>43930</v>
      </c>
      <c r="Z1397" s="61">
        <f>_xll.qlYieldTSDiscount($U$35,Y1397,,Trigger)</f>
        <v>0.96187152194656078</v>
      </c>
    </row>
    <row r="1398" spans="25:26" x14ac:dyDescent="0.25">
      <c r="Y1398" s="63">
        <v>43931</v>
      </c>
      <c r="Z1398" s="61">
        <f>_xll.qlYieldTSDiscount($U$35,Y1398,,Trigger)</f>
        <v>0.96183900777951259</v>
      </c>
    </row>
    <row r="1399" spans="25:26" x14ac:dyDescent="0.25">
      <c r="Y1399" s="63">
        <v>43932</v>
      </c>
      <c r="Z1399" s="61">
        <f>_xll.qlYieldTSDiscount($U$35,Y1399,,Trigger)</f>
        <v>0.96180647911885597</v>
      </c>
    </row>
    <row r="1400" spans="25:26" x14ac:dyDescent="0.25">
      <c r="Y1400" s="63">
        <v>43933</v>
      </c>
      <c r="Z1400" s="61">
        <f>_xll.qlYieldTSDiscount($U$35,Y1400,,Trigger)</f>
        <v>0.96177393593491001</v>
      </c>
    </row>
    <row r="1401" spans="25:26" x14ac:dyDescent="0.25">
      <c r="Y1401" s="63">
        <v>43934</v>
      </c>
      <c r="Z1401" s="61">
        <f>_xll.qlYieldTSDiscount($U$35,Y1401,,Trigger)</f>
        <v>0.96174137819799399</v>
      </c>
    </row>
    <row r="1402" spans="25:26" x14ac:dyDescent="0.25">
      <c r="Y1402" s="63">
        <v>43935</v>
      </c>
      <c r="Z1402" s="61">
        <f>_xll.qlYieldTSDiscount($U$35,Y1402,,Trigger)</f>
        <v>0.961708805878427</v>
      </c>
    </row>
    <row r="1403" spans="25:26" x14ac:dyDescent="0.25">
      <c r="Y1403" s="63">
        <v>43936</v>
      </c>
      <c r="Z1403" s="61">
        <f>_xll.qlYieldTSDiscount($U$35,Y1403,,Trigger)</f>
        <v>0.96167621894652822</v>
      </c>
    </row>
    <row r="1404" spans="25:26" x14ac:dyDescent="0.25">
      <c r="Y1404" s="63">
        <v>43937</v>
      </c>
      <c r="Z1404" s="61">
        <f>_xll.qlYieldTSDiscount($U$35,Y1404,,Trigger)</f>
        <v>0.96164361737261661</v>
      </c>
    </row>
    <row r="1405" spans="25:26" x14ac:dyDescent="0.25">
      <c r="Y1405" s="63">
        <v>43938</v>
      </c>
      <c r="Z1405" s="61">
        <f>_xll.qlYieldTSDiscount($U$35,Y1405,,Trigger)</f>
        <v>0.96161100112701148</v>
      </c>
    </row>
    <row r="1406" spans="25:26" x14ac:dyDescent="0.25">
      <c r="Y1406" s="63">
        <v>43939</v>
      </c>
      <c r="Z1406" s="61">
        <f>_xll.qlYieldTSDiscount($U$35,Y1406,,Trigger)</f>
        <v>0.96157837018003189</v>
      </c>
    </row>
    <row r="1407" spans="25:26" x14ac:dyDescent="0.25">
      <c r="Y1407" s="63">
        <v>43940</v>
      </c>
      <c r="Z1407" s="61">
        <f>_xll.qlYieldTSDiscount($U$35,Y1407,,Trigger)</f>
        <v>0.96154572450199705</v>
      </c>
    </row>
    <row r="1408" spans="25:26" x14ac:dyDescent="0.25">
      <c r="Y1408" s="63">
        <v>43941</v>
      </c>
      <c r="Z1408" s="61">
        <f>_xll.qlYieldTSDiscount($U$35,Y1408,,Trigger)</f>
        <v>0.9615130640632259</v>
      </c>
    </row>
    <row r="1409" spans="25:26" x14ac:dyDescent="0.25">
      <c r="Y1409" s="63">
        <v>43942</v>
      </c>
      <c r="Z1409" s="61">
        <f>_xll.qlYieldTSDiscount($U$35,Y1409,,Trigger)</f>
        <v>0.96148038883403786</v>
      </c>
    </row>
    <row r="1410" spans="25:26" x14ac:dyDescent="0.25">
      <c r="Y1410" s="63">
        <v>43943</v>
      </c>
      <c r="Z1410" s="61">
        <f>_xll.qlYieldTSDiscount($U$35,Y1410,,Trigger)</f>
        <v>0.96144769878475178</v>
      </c>
    </row>
    <row r="1411" spans="25:26" x14ac:dyDescent="0.25">
      <c r="Y1411" s="63">
        <v>43944</v>
      </c>
      <c r="Z1411" s="61">
        <f>_xll.qlYieldTSDiscount($U$35,Y1411,,Trigger)</f>
        <v>0.96141499388568707</v>
      </c>
    </row>
    <row r="1412" spans="25:26" x14ac:dyDescent="0.25">
      <c r="Y1412" s="63">
        <v>43945</v>
      </c>
      <c r="Z1412" s="61">
        <f>_xll.qlYieldTSDiscount($U$35,Y1412,,Trigger)</f>
        <v>0.96138227410716259</v>
      </c>
    </row>
    <row r="1413" spans="25:26" x14ac:dyDescent="0.25">
      <c r="Y1413" s="63">
        <v>43946</v>
      </c>
      <c r="Z1413" s="61">
        <f>_xll.qlYieldTSDiscount($U$35,Y1413,,Trigger)</f>
        <v>0.96134953941949775</v>
      </c>
    </row>
    <row r="1414" spans="25:26" x14ac:dyDescent="0.25">
      <c r="Y1414" s="63">
        <v>43947</v>
      </c>
      <c r="Z1414" s="61">
        <f>_xll.qlYieldTSDiscount($U$35,Y1414,,Trigger)</f>
        <v>0.96131678979301138</v>
      </c>
    </row>
    <row r="1415" spans="25:26" x14ac:dyDescent="0.25">
      <c r="Y1415" s="63">
        <v>43948</v>
      </c>
      <c r="Z1415" s="61">
        <f>_xll.qlYieldTSDiscount($U$35,Y1415,,Trigger)</f>
        <v>0.96128402519802292</v>
      </c>
    </row>
    <row r="1416" spans="25:26" x14ac:dyDescent="0.25">
      <c r="Y1416" s="63">
        <v>43949</v>
      </c>
      <c r="Z1416" s="61">
        <f>_xll.qlYieldTSDiscount($U$35,Y1416,,Trigger)</f>
        <v>0.96125124560485131</v>
      </c>
    </row>
    <row r="1417" spans="25:26" x14ac:dyDescent="0.25">
      <c r="Y1417" s="63">
        <v>43950</v>
      </c>
      <c r="Z1417" s="61">
        <f>_xll.qlYieldTSDiscount($U$35,Y1417,,Trigger)</f>
        <v>0.96121845098381564</v>
      </c>
    </row>
    <row r="1418" spans="25:26" x14ac:dyDescent="0.25">
      <c r="Y1418" s="63">
        <v>43951</v>
      </c>
      <c r="Z1418" s="61">
        <f>_xll.qlYieldTSDiscount($U$35,Y1418,,Trigger)</f>
        <v>0.96118564130523532</v>
      </c>
    </row>
    <row r="1419" spans="25:26" x14ac:dyDescent="0.25">
      <c r="Y1419" s="63">
        <v>43952</v>
      </c>
      <c r="Z1419" s="61">
        <f>_xll.qlYieldTSDiscount($U$35,Y1419,,Trigger)</f>
        <v>0.96115281653942919</v>
      </c>
    </row>
    <row r="1420" spans="25:26" x14ac:dyDescent="0.25">
      <c r="Y1420" s="63">
        <v>43953</v>
      </c>
      <c r="Z1420" s="61">
        <f>_xll.qlYieldTSDiscount($U$35,Y1420,,Trigger)</f>
        <v>0.96111997665671656</v>
      </c>
    </row>
    <row r="1421" spans="25:26" x14ac:dyDescent="0.25">
      <c r="Y1421" s="63">
        <v>43954</v>
      </c>
      <c r="Z1421" s="61">
        <f>_xll.qlYieldTSDiscount($U$35,Y1421,,Trigger)</f>
        <v>0.96108712162741639</v>
      </c>
    </row>
    <row r="1422" spans="25:26" x14ac:dyDescent="0.25">
      <c r="Y1422" s="63">
        <v>43955</v>
      </c>
      <c r="Z1422" s="61">
        <f>_xll.qlYieldTSDiscount($U$35,Y1422,,Trigger)</f>
        <v>0.96105425142184808</v>
      </c>
    </row>
    <row r="1423" spans="25:26" x14ac:dyDescent="0.25">
      <c r="Y1423" s="63">
        <v>43956</v>
      </c>
      <c r="Z1423" s="61">
        <f>_xll.qlYieldTSDiscount($U$35,Y1423,,Trigger)</f>
        <v>0.9610213660103305</v>
      </c>
    </row>
    <row r="1424" spans="25:26" x14ac:dyDescent="0.25">
      <c r="Y1424" s="63">
        <v>43957</v>
      </c>
      <c r="Z1424" s="61">
        <f>_xll.qlYieldTSDiscount($U$35,Y1424,,Trigger)</f>
        <v>0.96098846536318294</v>
      </c>
    </row>
    <row r="1425" spans="25:26" x14ac:dyDescent="0.25">
      <c r="Y1425" s="63">
        <v>43958</v>
      </c>
      <c r="Z1425" s="61">
        <f>_xll.qlYieldTSDiscount($U$35,Y1425,,Trigger)</f>
        <v>0.96095554945072448</v>
      </c>
    </row>
    <row r="1426" spans="25:26" x14ac:dyDescent="0.25">
      <c r="Y1426" s="63">
        <v>43959</v>
      </c>
      <c r="Z1426" s="61">
        <f>_xll.qlYieldTSDiscount($U$35,Y1426,,Trigger)</f>
        <v>0.9609226182432743</v>
      </c>
    </row>
    <row r="1427" spans="25:26" x14ac:dyDescent="0.25">
      <c r="Y1427" s="63">
        <v>43960</v>
      </c>
      <c r="Z1427" s="61">
        <f>_xll.qlYieldTSDiscount($U$35,Y1427,,Trigger)</f>
        <v>0.96088967171115158</v>
      </c>
    </row>
    <row r="1428" spans="25:26" x14ac:dyDescent="0.25">
      <c r="Y1428" s="63">
        <v>43961</v>
      </c>
      <c r="Z1428" s="61">
        <f>_xll.qlYieldTSDiscount($U$35,Y1428,,Trigger)</f>
        <v>0.9608567098246753</v>
      </c>
    </row>
    <row r="1429" spans="25:26" x14ac:dyDescent="0.25">
      <c r="Y1429" s="63">
        <v>43962</v>
      </c>
      <c r="Z1429" s="61">
        <f>_xll.qlYieldTSDiscount($U$35,Y1429,,Trigger)</f>
        <v>0.96082373255416464</v>
      </c>
    </row>
    <row r="1430" spans="25:26" x14ac:dyDescent="0.25">
      <c r="Y1430" s="63">
        <v>43963</v>
      </c>
      <c r="Z1430" s="61">
        <f>_xll.qlYieldTSDiscount($U$35,Y1430,,Trigger)</f>
        <v>0.96079073986993879</v>
      </c>
    </row>
    <row r="1431" spans="25:26" x14ac:dyDescent="0.25">
      <c r="Y1431" s="63">
        <v>43964</v>
      </c>
      <c r="Z1431" s="61">
        <f>_xll.qlYieldTSDiscount($U$35,Y1431,,Trigger)</f>
        <v>0.96075773174231682</v>
      </c>
    </row>
    <row r="1432" spans="25:26" x14ac:dyDescent="0.25">
      <c r="Y1432" s="63">
        <v>43965</v>
      </c>
      <c r="Z1432" s="61">
        <f>_xll.qlYieldTSDiscount($U$35,Y1432,,Trigger)</f>
        <v>0.96072470814161803</v>
      </c>
    </row>
    <row r="1433" spans="25:26" x14ac:dyDescent="0.25">
      <c r="Y1433" s="63">
        <v>43966</v>
      </c>
      <c r="Z1433" s="61">
        <f>_xll.qlYieldTSDiscount($U$35,Y1433,,Trigger)</f>
        <v>0.96069166903816128</v>
      </c>
    </row>
    <row r="1434" spans="25:26" x14ac:dyDescent="0.25">
      <c r="Y1434" s="63">
        <v>43967</v>
      </c>
      <c r="Z1434" s="61">
        <f>_xll.qlYieldTSDiscount($U$35,Y1434,,Trigger)</f>
        <v>0.96065861440226596</v>
      </c>
    </row>
    <row r="1435" spans="25:26" x14ac:dyDescent="0.25">
      <c r="Y1435" s="63">
        <v>43968</v>
      </c>
      <c r="Z1435" s="61">
        <f>_xll.qlYieldTSDiscount($U$35,Y1435,,Trigger)</f>
        <v>0.96062554420425106</v>
      </c>
    </row>
    <row r="1436" spans="25:26" x14ac:dyDescent="0.25">
      <c r="Y1436" s="63">
        <v>43969</v>
      </c>
      <c r="Z1436" s="61">
        <f>_xll.qlYieldTSDiscount($U$35,Y1436,,Trigger)</f>
        <v>0.96059245841443575</v>
      </c>
    </row>
    <row r="1437" spans="25:26" x14ac:dyDescent="0.25">
      <c r="Y1437" s="63">
        <v>43970</v>
      </c>
      <c r="Z1437" s="61">
        <f>_xll.qlYieldTSDiscount($U$35,Y1437,,Trigger)</f>
        <v>0.96055935700313921</v>
      </c>
    </row>
    <row r="1438" spans="25:26" x14ac:dyDescent="0.25">
      <c r="Y1438" s="63">
        <v>43971</v>
      </c>
      <c r="Z1438" s="61">
        <f>_xll.qlYieldTSDiscount($U$35,Y1438,,Trigger)</f>
        <v>0.96052623994068054</v>
      </c>
    </row>
    <row r="1439" spans="25:26" x14ac:dyDescent="0.25">
      <c r="Y1439" s="63">
        <v>43972</v>
      </c>
      <c r="Z1439" s="61">
        <f>_xll.qlYieldTSDiscount($U$35,Y1439,,Trigger)</f>
        <v>0.9604931071973789</v>
      </c>
    </row>
    <row r="1440" spans="25:26" x14ac:dyDescent="0.25">
      <c r="Y1440" s="63">
        <v>43973</v>
      </c>
      <c r="Z1440" s="61">
        <f>_xll.qlYieldTSDiscount($U$35,Y1440,,Trigger)</f>
        <v>0.96045995874355328</v>
      </c>
    </row>
    <row r="1441" spans="25:26" x14ac:dyDescent="0.25">
      <c r="Y1441" s="63">
        <v>43974</v>
      </c>
      <c r="Z1441" s="61">
        <f>_xll.qlYieldTSDiscount($U$35,Y1441,,Trigger)</f>
        <v>0.96042679454952296</v>
      </c>
    </row>
    <row r="1442" spans="25:26" x14ac:dyDescent="0.25">
      <c r="Y1442" s="63">
        <v>43975</v>
      </c>
      <c r="Z1442" s="61">
        <f>_xll.qlYieldTSDiscount($U$35,Y1442,,Trigger)</f>
        <v>0.96039361458560712</v>
      </c>
    </row>
    <row r="1443" spans="25:26" x14ac:dyDescent="0.25">
      <c r="Y1443" s="63">
        <v>43976</v>
      </c>
      <c r="Z1443" s="61">
        <f>_xll.qlYieldTSDiscount($U$35,Y1443,,Trigger)</f>
        <v>0.96036041882212475</v>
      </c>
    </row>
    <row r="1444" spans="25:26" x14ac:dyDescent="0.25">
      <c r="Y1444" s="63">
        <v>43977</v>
      </c>
      <c r="Z1444" s="61">
        <f>_xll.qlYieldTSDiscount($U$35,Y1444,,Trigger)</f>
        <v>0.96032720722939513</v>
      </c>
    </row>
    <row r="1445" spans="25:26" x14ac:dyDescent="0.25">
      <c r="Y1445" s="63">
        <v>43978</v>
      </c>
      <c r="Z1445" s="61">
        <f>_xll.qlYieldTSDiscount($U$35,Y1445,,Trigger)</f>
        <v>0.96029397977773723</v>
      </c>
    </row>
    <row r="1446" spans="25:26" x14ac:dyDescent="0.25">
      <c r="Y1446" s="63">
        <v>43979</v>
      </c>
      <c r="Z1446" s="61">
        <f>_xll.qlYieldTSDiscount($U$35,Y1446,,Trigger)</f>
        <v>0.96026073643747034</v>
      </c>
    </row>
    <row r="1447" spans="25:26" x14ac:dyDescent="0.25">
      <c r="Y1447" s="63">
        <v>43980</v>
      </c>
      <c r="Z1447" s="61">
        <f>_xll.qlYieldTSDiscount($U$35,Y1447,,Trigger)</f>
        <v>0.96022747717891344</v>
      </c>
    </row>
    <row r="1448" spans="25:26" x14ac:dyDescent="0.25">
      <c r="Y1448" s="63">
        <v>43981</v>
      </c>
      <c r="Z1448" s="61">
        <f>_xll.qlYieldTSDiscount($U$35,Y1448,,Trigger)</f>
        <v>0.96019420197238581</v>
      </c>
    </row>
    <row r="1449" spans="25:26" x14ac:dyDescent="0.25">
      <c r="Y1449" s="63">
        <v>43982</v>
      </c>
      <c r="Z1449" s="61">
        <f>_xll.qlYieldTSDiscount($U$35,Y1449,,Trigger)</f>
        <v>0.96016091078820653</v>
      </c>
    </row>
    <row r="1450" spans="25:26" x14ac:dyDescent="0.25">
      <c r="Y1450" s="63">
        <v>43983</v>
      </c>
      <c r="Z1450" s="61">
        <f>_xll.qlYieldTSDiscount($U$35,Y1450,,Trigger)</f>
        <v>0.9601276035966948</v>
      </c>
    </row>
    <row r="1451" spans="25:26" x14ac:dyDescent="0.25">
      <c r="Y1451" s="63">
        <v>43984</v>
      </c>
      <c r="Z1451" s="61">
        <f>_xll.qlYieldTSDiscount($U$35,Y1451,,Trigger)</f>
        <v>0.96009428036816957</v>
      </c>
    </row>
    <row r="1452" spans="25:26" x14ac:dyDescent="0.25">
      <c r="Y1452" s="63">
        <v>43985</v>
      </c>
      <c r="Z1452" s="61">
        <f>_xll.qlYieldTSDiscount($U$35,Y1452,,Trigger)</f>
        <v>0.96006094107295015</v>
      </c>
    </row>
    <row r="1453" spans="25:26" x14ac:dyDescent="0.25">
      <c r="Y1453" s="63">
        <v>43986</v>
      </c>
      <c r="Z1453" s="61">
        <f>_xll.qlYieldTSDiscount($U$35,Y1453,,Trigger)</f>
        <v>0.9600275856813556</v>
      </c>
    </row>
    <row r="1454" spans="25:26" x14ac:dyDescent="0.25">
      <c r="Y1454" s="63">
        <v>43987</v>
      </c>
      <c r="Z1454" s="61">
        <f>_xll.qlYieldTSDiscount($U$35,Y1454,,Trigger)</f>
        <v>0.95999421416370501</v>
      </c>
    </row>
    <row r="1455" spans="25:26" x14ac:dyDescent="0.25">
      <c r="Y1455" s="63">
        <v>43988</v>
      </c>
      <c r="Z1455" s="61">
        <f>_xll.qlYieldTSDiscount($U$35,Y1455,,Trigger)</f>
        <v>0.95996082649031766</v>
      </c>
    </row>
    <row r="1456" spans="25:26" x14ac:dyDescent="0.25">
      <c r="Y1456" s="63">
        <v>43989</v>
      </c>
      <c r="Z1456" s="61">
        <f>_xll.qlYieldTSDiscount($U$35,Y1456,,Trigger)</f>
        <v>0.95992742263151254</v>
      </c>
    </row>
    <row r="1457" spans="25:26" x14ac:dyDescent="0.25">
      <c r="Y1457" s="63">
        <v>43990</v>
      </c>
      <c r="Z1457" s="61">
        <f>_xll.qlYieldTSDiscount($U$35,Y1457,,Trigger)</f>
        <v>0.95989400255760893</v>
      </c>
    </row>
    <row r="1458" spans="25:26" x14ac:dyDescent="0.25">
      <c r="Y1458" s="63">
        <v>43991</v>
      </c>
      <c r="Z1458" s="61">
        <f>_xll.qlYieldTSDiscount($U$35,Y1458,,Trigger)</f>
        <v>0.95986056623892579</v>
      </c>
    </row>
    <row r="1459" spans="25:26" x14ac:dyDescent="0.25">
      <c r="Y1459" s="63">
        <v>43992</v>
      </c>
      <c r="Z1459" s="61">
        <f>_xll.qlYieldTSDiscount($U$35,Y1459,,Trigger)</f>
        <v>0.95982711364578244</v>
      </c>
    </row>
    <row r="1460" spans="25:26" x14ac:dyDescent="0.25">
      <c r="Y1460" s="63">
        <v>43993</v>
      </c>
      <c r="Z1460" s="61">
        <f>_xll.qlYieldTSDiscount($U$35,Y1460,,Trigger)</f>
        <v>0.95979364474849782</v>
      </c>
    </row>
    <row r="1461" spans="25:26" x14ac:dyDescent="0.25">
      <c r="Y1461" s="63">
        <v>43994</v>
      </c>
      <c r="Z1461" s="61">
        <f>_xll.qlYieldTSDiscount($U$35,Y1461,,Trigger)</f>
        <v>0.95976015951739124</v>
      </c>
    </row>
    <row r="1462" spans="25:26" x14ac:dyDescent="0.25">
      <c r="Y1462" s="63">
        <v>43995</v>
      </c>
      <c r="Z1462" s="61">
        <f>_xll.qlYieldTSDiscount($U$35,Y1462,,Trigger)</f>
        <v>0.95972665792278167</v>
      </c>
    </row>
    <row r="1463" spans="25:26" x14ac:dyDescent="0.25">
      <c r="Y1463" s="63">
        <v>43996</v>
      </c>
      <c r="Z1463" s="61">
        <f>_xll.qlYieldTSDiscount($U$35,Y1463,,Trigger)</f>
        <v>0.95969313993498839</v>
      </c>
    </row>
    <row r="1464" spans="25:26" x14ac:dyDescent="0.25">
      <c r="Y1464" s="63">
        <v>43997</v>
      </c>
      <c r="Z1464" s="61">
        <f>_xll.qlYieldTSDiscount($U$35,Y1464,,Trigger)</f>
        <v>0.95965960552433049</v>
      </c>
    </row>
    <row r="1465" spans="25:26" x14ac:dyDescent="0.25">
      <c r="Y1465" s="63">
        <v>43998</v>
      </c>
      <c r="Z1465" s="61">
        <f>_xll.qlYieldTSDiscount($U$35,Y1465,,Trigger)</f>
        <v>0.95962605466112705</v>
      </c>
    </row>
    <row r="1466" spans="25:26" x14ac:dyDescent="0.25">
      <c r="Y1466" s="63">
        <v>43999</v>
      </c>
      <c r="Z1466" s="61">
        <f>_xll.qlYieldTSDiscount($U$35,Y1466,,Trigger)</f>
        <v>0.95959248731569724</v>
      </c>
    </row>
    <row r="1467" spans="25:26" x14ac:dyDescent="0.25">
      <c r="Y1467" s="63">
        <v>44000</v>
      </c>
      <c r="Z1467" s="61">
        <f>_xll.qlYieldTSDiscount($U$35,Y1467,,Trigger)</f>
        <v>0.95955890345836026</v>
      </c>
    </row>
    <row r="1468" spans="25:26" x14ac:dyDescent="0.25">
      <c r="Y1468" s="63">
        <v>44001</v>
      </c>
      <c r="Z1468" s="61">
        <f>_xll.qlYieldTSDiscount($U$35,Y1468,,Trigger)</f>
        <v>0.95952530305943518</v>
      </c>
    </row>
    <row r="1469" spans="25:26" x14ac:dyDescent="0.25">
      <c r="Y1469" s="63">
        <v>44002</v>
      </c>
      <c r="Z1469" s="61">
        <f>_xll.qlYieldTSDiscount($U$35,Y1469,,Trigger)</f>
        <v>0.95949168608924107</v>
      </c>
    </row>
    <row r="1470" spans="25:26" x14ac:dyDescent="0.25">
      <c r="Y1470" s="63">
        <v>44003</v>
      </c>
      <c r="Z1470" s="61">
        <f>_xll.qlYieldTSDiscount($U$35,Y1470,,Trigger)</f>
        <v>0.95945805251809724</v>
      </c>
    </row>
    <row r="1471" spans="25:26" x14ac:dyDescent="0.25">
      <c r="Y1471" s="63">
        <v>44004</v>
      </c>
      <c r="Z1471" s="61">
        <f>_xll.qlYieldTSDiscount($U$35,Y1471,,Trigger)</f>
        <v>0.95942440231632264</v>
      </c>
    </row>
    <row r="1472" spans="25:26" x14ac:dyDescent="0.25">
      <c r="Y1472" s="63">
        <v>44005</v>
      </c>
      <c r="Z1472" s="61">
        <f>_xll.qlYieldTSDiscount($U$35,Y1472,,Trigger)</f>
        <v>0.95939073545423648</v>
      </c>
    </row>
    <row r="1473" spans="25:26" x14ac:dyDescent="0.25">
      <c r="Y1473" s="63">
        <v>44006</v>
      </c>
      <c r="Z1473" s="61">
        <f>_xll.qlYieldTSDiscount($U$35,Y1473,,Trigger)</f>
        <v>0.95935705190215792</v>
      </c>
    </row>
    <row r="1474" spans="25:26" x14ac:dyDescent="0.25">
      <c r="Y1474" s="63">
        <v>44007</v>
      </c>
      <c r="Z1474" s="61">
        <f>_xll.qlYieldTSDiscount($U$35,Y1474,,Trigger)</f>
        <v>0.95932335163040605</v>
      </c>
    </row>
    <row r="1475" spans="25:26" x14ac:dyDescent="0.25">
      <c r="Y1475" s="63">
        <v>44008</v>
      </c>
      <c r="Z1475" s="61">
        <f>_xll.qlYieldTSDiscount($U$35,Y1475,,Trigger)</f>
        <v>0.95928963460930006</v>
      </c>
    </row>
    <row r="1476" spans="25:26" x14ac:dyDescent="0.25">
      <c r="Y1476" s="63">
        <v>44009</v>
      </c>
      <c r="Z1476" s="61">
        <f>_xll.qlYieldTSDiscount($U$35,Y1476,,Trigger)</f>
        <v>0.95925590080915912</v>
      </c>
    </row>
    <row r="1477" spans="25:26" x14ac:dyDescent="0.25">
      <c r="Y1477" s="63">
        <v>44010</v>
      </c>
      <c r="Z1477" s="61">
        <f>_xll.qlYieldTSDiscount($U$35,Y1477,,Trigger)</f>
        <v>0.95922215020030221</v>
      </c>
    </row>
    <row r="1478" spans="25:26" x14ac:dyDescent="0.25">
      <c r="Y1478" s="63">
        <v>44011</v>
      </c>
      <c r="Z1478" s="61">
        <f>_xll.qlYieldTSDiscount($U$35,Y1478,,Trigger)</f>
        <v>0.95918838275304852</v>
      </c>
    </row>
    <row r="1479" spans="25:26" x14ac:dyDescent="0.25">
      <c r="Y1479" s="63">
        <v>44012</v>
      </c>
      <c r="Z1479" s="61">
        <f>_xll.qlYieldTSDiscount($U$35,Y1479,,Trigger)</f>
        <v>0.95915459843771733</v>
      </c>
    </row>
    <row r="1480" spans="25:26" x14ac:dyDescent="0.25">
      <c r="Y1480" s="63">
        <v>44013</v>
      </c>
      <c r="Z1480" s="61">
        <f>_xll.qlYieldTSDiscount($U$35,Y1480,,Trigger)</f>
        <v>0.95912079722462762</v>
      </c>
    </row>
    <row r="1481" spans="25:26" x14ac:dyDescent="0.25">
      <c r="Y1481" s="63">
        <v>44014</v>
      </c>
      <c r="Z1481" s="61">
        <f>_xll.qlYieldTSDiscount($U$35,Y1481,,Trigger)</f>
        <v>0.95908697908409846</v>
      </c>
    </row>
    <row r="1482" spans="25:26" x14ac:dyDescent="0.25">
      <c r="Y1482" s="63">
        <v>44015</v>
      </c>
      <c r="Z1482" s="61">
        <f>_xll.qlYieldTSDiscount($U$35,Y1482,,Trigger)</f>
        <v>0.95905314398644925</v>
      </c>
    </row>
    <row r="1483" spans="25:26" x14ac:dyDescent="0.25">
      <c r="Y1483" s="63">
        <v>44016</v>
      </c>
      <c r="Z1483" s="61">
        <f>_xll.qlYieldTSDiscount($U$35,Y1483,,Trigger)</f>
        <v>0.95901929190199886</v>
      </c>
    </row>
    <row r="1484" spans="25:26" x14ac:dyDescent="0.25">
      <c r="Y1484" s="63">
        <v>44017</v>
      </c>
      <c r="Z1484" s="61">
        <f>_xll.qlYieldTSDiscount($U$35,Y1484,,Trigger)</f>
        <v>0.95898542280106658</v>
      </c>
    </row>
    <row r="1485" spans="25:26" x14ac:dyDescent="0.25">
      <c r="Y1485" s="63">
        <v>44018</v>
      </c>
      <c r="Z1485" s="61">
        <f>_xll.qlYieldTSDiscount($U$35,Y1485,,Trigger)</f>
        <v>0.95895153665397148</v>
      </c>
    </row>
    <row r="1486" spans="25:26" x14ac:dyDescent="0.25">
      <c r="Y1486" s="63">
        <v>44019</v>
      </c>
      <c r="Z1486" s="61">
        <f>_xll.qlYieldTSDiscount($U$35,Y1486,,Trigger)</f>
        <v>0.95891763343103276</v>
      </c>
    </row>
    <row r="1487" spans="25:26" x14ac:dyDescent="0.25">
      <c r="Y1487" s="63">
        <v>44020</v>
      </c>
      <c r="Z1487" s="61">
        <f>_xll.qlYieldTSDiscount($U$35,Y1487,,Trigger)</f>
        <v>0.95888371310256937</v>
      </c>
    </row>
    <row r="1488" spans="25:26" x14ac:dyDescent="0.25">
      <c r="Y1488" s="63">
        <v>44021</v>
      </c>
      <c r="Z1488" s="61">
        <f>_xll.qlYieldTSDiscount($U$35,Y1488,,Trigger)</f>
        <v>0.95884977563890073</v>
      </c>
    </row>
    <row r="1489" spans="25:26" x14ac:dyDescent="0.25">
      <c r="Y1489" s="63">
        <v>44022</v>
      </c>
      <c r="Z1489" s="61">
        <f>_xll.qlYieldTSDiscount($U$35,Y1489,,Trigger)</f>
        <v>0.95881582101034568</v>
      </c>
    </row>
    <row r="1490" spans="25:26" x14ac:dyDescent="0.25">
      <c r="Y1490" s="63">
        <v>44023</v>
      </c>
      <c r="Z1490" s="61">
        <f>_xll.qlYieldTSDiscount($U$35,Y1490,,Trigger)</f>
        <v>0.95878184918722364</v>
      </c>
    </row>
    <row r="1491" spans="25:26" x14ac:dyDescent="0.25">
      <c r="Y1491" s="63">
        <v>44024</v>
      </c>
      <c r="Z1491" s="61">
        <f>_xll.qlYieldTSDiscount($U$35,Y1491,,Trigger)</f>
        <v>0.95874786013985358</v>
      </c>
    </row>
    <row r="1492" spans="25:26" x14ac:dyDescent="0.25">
      <c r="Y1492" s="63">
        <v>44025</v>
      </c>
      <c r="Z1492" s="61">
        <f>_xll.qlYieldTSDiscount($U$35,Y1492,,Trigger)</f>
        <v>0.95871385383855456</v>
      </c>
    </row>
    <row r="1493" spans="25:26" x14ac:dyDescent="0.25">
      <c r="Y1493" s="63">
        <v>44026</v>
      </c>
      <c r="Z1493" s="61">
        <f>_xll.qlYieldTSDiscount($U$35,Y1493,,Trigger)</f>
        <v>0.95867983026545822</v>
      </c>
    </row>
    <row r="1494" spans="25:26" x14ac:dyDescent="0.25">
      <c r="Y1494" s="63">
        <v>44027</v>
      </c>
      <c r="Z1494" s="61">
        <f>_xll.qlYieldTSDiscount($U$35,Y1494,,Trigger)</f>
        <v>0.95864578944994494</v>
      </c>
    </row>
    <row r="1495" spans="25:26" x14ac:dyDescent="0.25">
      <c r="Y1495" s="63">
        <v>44028</v>
      </c>
      <c r="Z1495" s="61">
        <f>_xll.qlYieldTSDiscount($U$35,Y1495,,Trigger)</f>
        <v>0.95861173143320766</v>
      </c>
    </row>
    <row r="1496" spans="25:26" x14ac:dyDescent="0.25">
      <c r="Y1496" s="63">
        <v>44029</v>
      </c>
      <c r="Z1496" s="61">
        <f>_xll.qlYieldTSDiscount($U$35,Y1496,,Trigger)</f>
        <v>0.95857765625643943</v>
      </c>
    </row>
    <row r="1497" spans="25:26" x14ac:dyDescent="0.25">
      <c r="Y1497" s="63">
        <v>44030</v>
      </c>
      <c r="Z1497" s="61">
        <f>_xll.qlYieldTSDiscount($U$35,Y1497,,Trigger)</f>
        <v>0.95854356396083285</v>
      </c>
    </row>
    <row r="1498" spans="25:26" x14ac:dyDescent="0.25">
      <c r="Y1498" s="63">
        <v>44031</v>
      </c>
      <c r="Z1498" s="61">
        <f>_xll.qlYieldTSDiscount($U$35,Y1498,,Trigger)</f>
        <v>0.95850945458758097</v>
      </c>
    </row>
    <row r="1499" spans="25:26" x14ac:dyDescent="0.25">
      <c r="Y1499" s="63">
        <v>44032</v>
      </c>
      <c r="Z1499" s="61">
        <f>_xll.qlYieldTSDiscount($U$35,Y1499,,Trigger)</f>
        <v>0.95847532817787662</v>
      </c>
    </row>
    <row r="1500" spans="25:26" x14ac:dyDescent="0.25">
      <c r="Y1500" s="63">
        <v>44033</v>
      </c>
      <c r="Z1500" s="61">
        <f>_xll.qlYieldTSDiscount($U$35,Y1500,,Trigger)</f>
        <v>0.95844118477291262</v>
      </c>
    </row>
    <row r="1501" spans="25:26" x14ac:dyDescent="0.25">
      <c r="Y1501" s="63">
        <v>44034</v>
      </c>
      <c r="Z1501" s="61">
        <f>_xll.qlYieldTSDiscount($U$35,Y1501,,Trigger)</f>
        <v>0.95840702441388204</v>
      </c>
    </row>
    <row r="1502" spans="25:26" x14ac:dyDescent="0.25">
      <c r="Y1502" s="63">
        <v>44035</v>
      </c>
      <c r="Z1502" s="61">
        <f>_xll.qlYieldTSDiscount($U$35,Y1502,,Trigger)</f>
        <v>0.95837284714197757</v>
      </c>
    </row>
    <row r="1503" spans="25:26" x14ac:dyDescent="0.25">
      <c r="Y1503" s="63">
        <v>44036</v>
      </c>
      <c r="Z1503" s="61">
        <f>_xll.qlYieldTSDiscount($U$35,Y1503,,Trigger)</f>
        <v>0.95833865299839205</v>
      </c>
    </row>
    <row r="1504" spans="25:26" x14ac:dyDescent="0.25">
      <c r="Y1504" s="63">
        <v>44037</v>
      </c>
      <c r="Z1504" s="61">
        <f>_xll.qlYieldTSDiscount($U$35,Y1504,,Trigger)</f>
        <v>0.95830444202431853</v>
      </c>
    </row>
    <row r="1505" spans="25:26" x14ac:dyDescent="0.25">
      <c r="Y1505" s="63">
        <v>44038</v>
      </c>
      <c r="Z1505" s="61">
        <f>_xll.qlYieldTSDiscount($U$35,Y1505,,Trigger)</f>
        <v>0.95827021426094983</v>
      </c>
    </row>
    <row r="1506" spans="25:26" x14ac:dyDescent="0.25">
      <c r="Y1506" s="63">
        <v>44039</v>
      </c>
      <c r="Z1506" s="61">
        <f>_xll.qlYieldTSDiscount($U$35,Y1506,,Trigger)</f>
        <v>0.95823596974947878</v>
      </c>
    </row>
    <row r="1507" spans="25:26" x14ac:dyDescent="0.25">
      <c r="Y1507" s="63">
        <v>44040</v>
      </c>
      <c r="Z1507" s="61">
        <f>_xll.qlYieldTSDiscount($U$35,Y1507,,Trigger)</f>
        <v>0.95820170853109821</v>
      </c>
    </row>
    <row r="1508" spans="25:26" x14ac:dyDescent="0.25">
      <c r="Y1508" s="63">
        <v>44041</v>
      </c>
      <c r="Z1508" s="61">
        <f>_xll.qlYieldTSDiscount($U$35,Y1508,,Trigger)</f>
        <v>0.95816743064700116</v>
      </c>
    </row>
    <row r="1509" spans="25:26" x14ac:dyDescent="0.25">
      <c r="Y1509" s="63">
        <v>44042</v>
      </c>
      <c r="Z1509" s="61">
        <f>_xll.qlYieldTSDiscount($U$35,Y1509,,Trigger)</f>
        <v>0.95813313613838036</v>
      </c>
    </row>
    <row r="1510" spans="25:26" x14ac:dyDescent="0.25">
      <c r="Y1510" s="63">
        <v>44043</v>
      </c>
      <c r="Z1510" s="61">
        <f>_xll.qlYieldTSDiscount($U$35,Y1510,,Trigger)</f>
        <v>0.95809882504642874</v>
      </c>
    </row>
    <row r="1511" spans="25:26" x14ac:dyDescent="0.25">
      <c r="Y1511" s="63">
        <v>44044</v>
      </c>
      <c r="Z1511" s="61">
        <f>_xll.qlYieldTSDiscount($U$35,Y1511,,Trigger)</f>
        <v>0.95806449741233923</v>
      </c>
    </row>
    <row r="1512" spans="25:26" x14ac:dyDescent="0.25">
      <c r="Y1512" s="63">
        <v>44045</v>
      </c>
      <c r="Z1512" s="61">
        <f>_xll.qlYieldTSDiscount($U$35,Y1512,,Trigger)</f>
        <v>0.95803015327730456</v>
      </c>
    </row>
    <row r="1513" spans="25:26" x14ac:dyDescent="0.25">
      <c r="Y1513" s="63">
        <v>44046</v>
      </c>
      <c r="Z1513" s="61">
        <f>_xll.qlYieldTSDiscount($U$35,Y1513,,Trigger)</f>
        <v>0.95799579268251778</v>
      </c>
    </row>
    <row r="1514" spans="25:26" x14ac:dyDescent="0.25">
      <c r="Y1514" s="63">
        <v>44047</v>
      </c>
      <c r="Z1514" s="61">
        <f>_xll.qlYieldTSDiscount($U$35,Y1514,,Trigger)</f>
        <v>0.95796141566917159</v>
      </c>
    </row>
    <row r="1515" spans="25:26" x14ac:dyDescent="0.25">
      <c r="Y1515" s="63">
        <v>44048</v>
      </c>
      <c r="Z1515" s="61">
        <f>_xll.qlYieldTSDiscount($U$35,Y1515,,Trigger)</f>
        <v>0.95792702227845905</v>
      </c>
    </row>
    <row r="1516" spans="25:26" x14ac:dyDescent="0.25">
      <c r="Y1516" s="63">
        <v>44049</v>
      </c>
      <c r="Z1516" s="61">
        <f>_xll.qlYieldTSDiscount($U$35,Y1516,,Trigger)</f>
        <v>0.95789261255157288</v>
      </c>
    </row>
    <row r="1517" spans="25:26" x14ac:dyDescent="0.25">
      <c r="Y1517" s="63">
        <v>44050</v>
      </c>
      <c r="Z1517" s="61">
        <f>_xll.qlYieldTSDiscount($U$35,Y1517,,Trigger)</f>
        <v>0.95785818652970611</v>
      </c>
    </row>
    <row r="1518" spans="25:26" x14ac:dyDescent="0.25">
      <c r="Y1518" s="63">
        <v>44051</v>
      </c>
      <c r="Z1518" s="61">
        <f>_xll.qlYieldTSDiscount($U$35,Y1518,,Trigger)</f>
        <v>0.95782374425405148</v>
      </c>
    </row>
    <row r="1519" spans="25:26" x14ac:dyDescent="0.25">
      <c r="Y1519" s="63">
        <v>44052</v>
      </c>
      <c r="Z1519" s="61">
        <f>_xll.qlYieldTSDiscount($U$35,Y1519,,Trigger)</f>
        <v>0.95778928576580191</v>
      </c>
    </row>
    <row r="1520" spans="25:26" x14ac:dyDescent="0.25">
      <c r="Y1520" s="63">
        <v>44053</v>
      </c>
      <c r="Z1520" s="61">
        <f>_xll.qlYieldTSDiscount($U$35,Y1520,,Trigger)</f>
        <v>0.95775481110615024</v>
      </c>
    </row>
    <row r="1521" spans="25:26" x14ac:dyDescent="0.25">
      <c r="Y1521" s="63">
        <v>44054</v>
      </c>
      <c r="Z1521" s="61">
        <f>_xll.qlYieldTSDiscount($U$35,Y1521,,Trigger)</f>
        <v>0.95772032031628951</v>
      </c>
    </row>
    <row r="1522" spans="25:26" x14ac:dyDescent="0.25">
      <c r="Y1522" s="63">
        <v>44055</v>
      </c>
      <c r="Z1522" s="61">
        <f>_xll.qlYieldTSDiscount($U$35,Y1522,,Trigger)</f>
        <v>0.95768581343741233</v>
      </c>
    </row>
    <row r="1523" spans="25:26" x14ac:dyDescent="0.25">
      <c r="Y1523" s="63">
        <v>44056</v>
      </c>
      <c r="Z1523" s="61">
        <f>_xll.qlYieldTSDiscount($U$35,Y1523,,Trigger)</f>
        <v>0.95765129051071185</v>
      </c>
    </row>
    <row r="1524" spans="25:26" x14ac:dyDescent="0.25">
      <c r="Y1524" s="63">
        <v>44057</v>
      </c>
      <c r="Z1524" s="61">
        <f>_xll.qlYieldTSDiscount($U$35,Y1524,,Trigger)</f>
        <v>0.9576167515773808</v>
      </c>
    </row>
    <row r="1525" spans="25:26" x14ac:dyDescent="0.25">
      <c r="Y1525" s="63">
        <v>44058</v>
      </c>
      <c r="Z1525" s="61">
        <f>_xll.qlYieldTSDiscount($U$35,Y1525,,Trigger)</f>
        <v>0.957582196678612</v>
      </c>
    </row>
    <row r="1526" spans="25:26" x14ac:dyDescent="0.25">
      <c r="Y1526" s="63">
        <v>44059</v>
      </c>
      <c r="Z1526" s="61">
        <f>_xll.qlYieldTSDiscount($U$35,Y1526,,Trigger)</f>
        <v>0.95754762585559849</v>
      </c>
    </row>
    <row r="1527" spans="25:26" x14ac:dyDescent="0.25">
      <c r="Y1527" s="63">
        <v>44060</v>
      </c>
      <c r="Z1527" s="61">
        <f>_xll.qlYieldTSDiscount($U$35,Y1527,,Trigger)</f>
        <v>0.95751303914953301</v>
      </c>
    </row>
    <row r="1528" spans="25:26" x14ac:dyDescent="0.25">
      <c r="Y1528" s="63">
        <v>44061</v>
      </c>
      <c r="Z1528" s="61">
        <f>_xll.qlYieldTSDiscount($U$35,Y1528,,Trigger)</f>
        <v>0.95747843660160858</v>
      </c>
    </row>
    <row r="1529" spans="25:26" x14ac:dyDescent="0.25">
      <c r="Y1529" s="63">
        <v>44062</v>
      </c>
      <c r="Z1529" s="61">
        <f>_xll.qlYieldTSDiscount($U$35,Y1529,,Trigger)</f>
        <v>0.95744381825301794</v>
      </c>
    </row>
    <row r="1530" spans="25:26" x14ac:dyDescent="0.25">
      <c r="Y1530" s="63">
        <v>44063</v>
      </c>
      <c r="Z1530" s="61">
        <f>_xll.qlYieldTSDiscount($U$35,Y1530,,Trigger)</f>
        <v>0.95740918414495402</v>
      </c>
    </row>
    <row r="1531" spans="25:26" x14ac:dyDescent="0.25">
      <c r="Y1531" s="63">
        <v>44064</v>
      </c>
      <c r="Z1531" s="61">
        <f>_xll.qlYieldTSDiscount($U$35,Y1531,,Trigger)</f>
        <v>0.95737453431860964</v>
      </c>
    </row>
    <row r="1532" spans="25:26" x14ac:dyDescent="0.25">
      <c r="Y1532" s="63">
        <v>44065</v>
      </c>
      <c r="Z1532" s="61">
        <f>_xll.qlYieldTSDiscount($U$35,Y1532,,Trigger)</f>
        <v>0.95733986881517774</v>
      </c>
    </row>
    <row r="1533" spans="25:26" x14ac:dyDescent="0.25">
      <c r="Y1533" s="63">
        <v>44066</v>
      </c>
      <c r="Z1533" s="61">
        <f>_xll.qlYieldTSDiscount($U$35,Y1533,,Trigger)</f>
        <v>0.95730518767585115</v>
      </c>
    </row>
    <row r="1534" spans="25:26" x14ac:dyDescent="0.25">
      <c r="Y1534" s="63">
        <v>44067</v>
      </c>
      <c r="Z1534" s="61">
        <f>_xll.qlYieldTSDiscount($U$35,Y1534,,Trigger)</f>
        <v>0.95727049094182282</v>
      </c>
    </row>
    <row r="1535" spans="25:26" x14ac:dyDescent="0.25">
      <c r="Y1535" s="63">
        <v>44068</v>
      </c>
      <c r="Z1535" s="61">
        <f>_xll.qlYieldTSDiscount($U$35,Y1535,,Trigger)</f>
        <v>0.95723577865428566</v>
      </c>
    </row>
    <row r="1536" spans="25:26" x14ac:dyDescent="0.25">
      <c r="Y1536" s="63">
        <v>44069</v>
      </c>
      <c r="Z1536" s="61">
        <f>_xll.qlYieldTSDiscount($U$35,Y1536,,Trigger)</f>
        <v>0.95720105085443241</v>
      </c>
    </row>
    <row r="1537" spans="25:26" x14ac:dyDescent="0.25">
      <c r="Y1537" s="63">
        <v>44070</v>
      </c>
      <c r="Z1537" s="61">
        <f>_xll.qlYieldTSDiscount($U$35,Y1537,,Trigger)</f>
        <v>0.957166307583456</v>
      </c>
    </row>
    <row r="1538" spans="25:26" x14ac:dyDescent="0.25">
      <c r="Y1538" s="63">
        <v>44071</v>
      </c>
      <c r="Z1538" s="61">
        <f>_xll.qlYieldTSDiscount($U$35,Y1538,,Trigger)</f>
        <v>0.95713154888254925</v>
      </c>
    </row>
    <row r="1539" spans="25:26" x14ac:dyDescent="0.25">
      <c r="Y1539" s="63">
        <v>44072</v>
      </c>
      <c r="Z1539" s="61">
        <f>_xll.qlYieldTSDiscount($U$35,Y1539,,Trigger)</f>
        <v>0.95709677479290522</v>
      </c>
    </row>
    <row r="1540" spans="25:26" x14ac:dyDescent="0.25">
      <c r="Y1540" s="63">
        <v>44073</v>
      </c>
      <c r="Z1540" s="61">
        <f>_xll.qlYieldTSDiscount($U$35,Y1540,,Trigger)</f>
        <v>0.95706198535571663</v>
      </c>
    </row>
    <row r="1541" spans="25:26" x14ac:dyDescent="0.25">
      <c r="Y1541" s="63">
        <v>44074</v>
      </c>
      <c r="Z1541" s="61">
        <f>_xll.qlYieldTSDiscount($U$35,Y1541,,Trigger)</f>
        <v>0.9570271806121764</v>
      </c>
    </row>
    <row r="1542" spans="25:26" x14ac:dyDescent="0.25">
      <c r="Y1542" s="63">
        <v>44075</v>
      </c>
      <c r="Z1542" s="61">
        <f>_xll.qlYieldTSDiscount($U$35,Y1542,,Trigger)</f>
        <v>0.95699236060347737</v>
      </c>
    </row>
    <row r="1543" spans="25:26" x14ac:dyDescent="0.25">
      <c r="Y1543" s="63">
        <v>44076</v>
      </c>
      <c r="Z1543" s="61">
        <f>_xll.qlYieldTSDiscount($U$35,Y1543,,Trigger)</f>
        <v>0.95695752537081247</v>
      </c>
    </row>
    <row r="1544" spans="25:26" x14ac:dyDescent="0.25">
      <c r="Y1544" s="63">
        <v>44077</v>
      </c>
      <c r="Z1544" s="61">
        <f>_xll.qlYieldTSDiscount($U$35,Y1544,,Trigger)</f>
        <v>0.95692267495537453</v>
      </c>
    </row>
    <row r="1545" spans="25:26" x14ac:dyDescent="0.25">
      <c r="Y1545" s="63">
        <v>44078</v>
      </c>
      <c r="Z1545" s="61">
        <f>_xll.qlYieldTSDiscount($U$35,Y1545,,Trigger)</f>
        <v>0.95688780939835649</v>
      </c>
    </row>
    <row r="1546" spans="25:26" x14ac:dyDescent="0.25">
      <c r="Y1546" s="63">
        <v>44079</v>
      </c>
      <c r="Z1546" s="61">
        <f>_xll.qlYieldTSDiscount($U$35,Y1546,,Trigger)</f>
        <v>0.95685292874095118</v>
      </c>
    </row>
    <row r="1547" spans="25:26" x14ac:dyDescent="0.25">
      <c r="Y1547" s="63">
        <v>44080</v>
      </c>
      <c r="Z1547" s="61">
        <f>_xll.qlYieldTSDiscount($U$35,Y1547,,Trigger)</f>
        <v>0.95681803302435153</v>
      </c>
    </row>
    <row r="1548" spans="25:26" x14ac:dyDescent="0.25">
      <c r="Y1548" s="63">
        <v>44081</v>
      </c>
      <c r="Z1548" s="61">
        <f>_xll.qlYieldTSDiscount($U$35,Y1548,,Trigger)</f>
        <v>0.95678312228975038</v>
      </c>
    </row>
    <row r="1549" spans="25:26" x14ac:dyDescent="0.25">
      <c r="Y1549" s="63">
        <v>44082</v>
      </c>
      <c r="Z1549" s="61">
        <f>_xll.qlYieldTSDiscount($U$35,Y1549,,Trigger)</f>
        <v>0.95674819657834054</v>
      </c>
    </row>
    <row r="1550" spans="25:26" x14ac:dyDescent="0.25">
      <c r="Y1550" s="63">
        <v>44083</v>
      </c>
      <c r="Z1550" s="61">
        <f>_xll.qlYieldTSDiscount($U$35,Y1550,,Trigger)</f>
        <v>0.95671325593131495</v>
      </c>
    </row>
    <row r="1551" spans="25:26" x14ac:dyDescent="0.25">
      <c r="Y1551" s="63">
        <v>44084</v>
      </c>
      <c r="Z1551" s="61">
        <f>_xll.qlYieldTSDiscount($U$35,Y1551,,Trigger)</f>
        <v>0.95667830038986645</v>
      </c>
    </row>
    <row r="1552" spans="25:26" x14ac:dyDescent="0.25">
      <c r="Y1552" s="63">
        <v>44085</v>
      </c>
      <c r="Z1552" s="61">
        <f>_xll.qlYieldTSDiscount($U$35,Y1552,,Trigger)</f>
        <v>0.95664332999518809</v>
      </c>
    </row>
    <row r="1553" spans="25:26" x14ac:dyDescent="0.25">
      <c r="Y1553" s="63">
        <v>44086</v>
      </c>
      <c r="Z1553" s="61">
        <f>_xll.qlYieldTSDiscount($U$35,Y1553,,Trigger)</f>
        <v>0.95660834478847245</v>
      </c>
    </row>
    <row r="1554" spans="25:26" x14ac:dyDescent="0.25">
      <c r="Y1554" s="63">
        <v>44087</v>
      </c>
      <c r="Z1554" s="61">
        <f>_xll.qlYieldTSDiscount($U$35,Y1554,,Trigger)</f>
        <v>0.95657334481091272</v>
      </c>
    </row>
    <row r="1555" spans="25:26" x14ac:dyDescent="0.25">
      <c r="Y1555" s="63">
        <v>44088</v>
      </c>
      <c r="Z1555" s="61">
        <f>_xll.qlYieldTSDiscount($U$35,Y1555,,Trigger)</f>
        <v>0.95653833010370148</v>
      </c>
    </row>
    <row r="1556" spans="25:26" x14ac:dyDescent="0.25">
      <c r="Y1556" s="63">
        <v>44089</v>
      </c>
      <c r="Z1556" s="61">
        <f>_xll.qlYieldTSDiscount($U$35,Y1556,,Trigger)</f>
        <v>0.9565033007080318</v>
      </c>
    </row>
    <row r="1557" spans="25:26" x14ac:dyDescent="0.25">
      <c r="Y1557" s="63">
        <v>44090</v>
      </c>
      <c r="Z1557" s="61">
        <f>_xll.qlYieldTSDiscount($U$35,Y1557,,Trigger)</f>
        <v>0.95646825666509649</v>
      </c>
    </row>
    <row r="1558" spans="25:26" x14ac:dyDescent="0.25">
      <c r="Y1558" s="63">
        <v>44091</v>
      </c>
      <c r="Z1558" s="61">
        <f>_xll.qlYieldTSDiscount($U$35,Y1558,,Trigger)</f>
        <v>0.9564331980160885</v>
      </c>
    </row>
    <row r="1559" spans="25:26" x14ac:dyDescent="0.25">
      <c r="Y1559" s="63">
        <v>44092</v>
      </c>
      <c r="Z1559" s="61">
        <f>_xll.qlYieldTSDiscount($U$35,Y1559,,Trigger)</f>
        <v>0.95639812480220066</v>
      </c>
    </row>
    <row r="1560" spans="25:26" x14ac:dyDescent="0.25">
      <c r="Y1560" s="63">
        <v>44093</v>
      </c>
      <c r="Z1560" s="61">
        <f>_xll.qlYieldTSDiscount($U$35,Y1560,,Trigger)</f>
        <v>0.95636303706462567</v>
      </c>
    </row>
    <row r="1561" spans="25:26" x14ac:dyDescent="0.25">
      <c r="Y1561" s="63">
        <v>44094</v>
      </c>
      <c r="Z1561" s="61">
        <f>_xll.qlYieldTSDiscount($U$35,Y1561,,Trigger)</f>
        <v>0.95632793484455669</v>
      </c>
    </row>
    <row r="1562" spans="25:26" x14ac:dyDescent="0.25">
      <c r="Y1562" s="63">
        <v>44095</v>
      </c>
      <c r="Z1562" s="61">
        <f>_xll.qlYieldTSDiscount($U$35,Y1562,,Trigger)</f>
        <v>0.95629281818318657</v>
      </c>
    </row>
    <row r="1563" spans="25:26" x14ac:dyDescent="0.25">
      <c r="Y1563" s="63">
        <v>44096</v>
      </c>
      <c r="Z1563" s="61">
        <f>_xll.qlYieldTSDiscount($U$35,Y1563,,Trigger)</f>
        <v>0.956257687121708</v>
      </c>
    </row>
    <row r="1564" spans="25:26" x14ac:dyDescent="0.25">
      <c r="Y1564" s="63">
        <v>44097</v>
      </c>
      <c r="Z1564" s="61">
        <f>_xll.qlYieldTSDiscount($U$35,Y1564,,Trigger)</f>
        <v>0.95622254170131393</v>
      </c>
    </row>
    <row r="1565" spans="25:26" x14ac:dyDescent="0.25">
      <c r="Y1565" s="63">
        <v>44098</v>
      </c>
      <c r="Z1565" s="61">
        <f>_xll.qlYieldTSDiscount($U$35,Y1565,,Trigger)</f>
        <v>0.9561873819631973</v>
      </c>
    </row>
    <row r="1566" spans="25:26" x14ac:dyDescent="0.25">
      <c r="Y1566" s="63">
        <v>44099</v>
      </c>
      <c r="Z1566" s="61">
        <f>_xll.qlYieldTSDiscount($U$35,Y1566,,Trigger)</f>
        <v>0.95615220794855094</v>
      </c>
    </row>
    <row r="1567" spans="25:26" x14ac:dyDescent="0.25">
      <c r="Y1567" s="63">
        <v>44100</v>
      </c>
      <c r="Z1567" s="61">
        <f>_xll.qlYieldTSDiscount($U$35,Y1567,,Trigger)</f>
        <v>0.95611701969856766</v>
      </c>
    </row>
    <row r="1568" spans="25:26" x14ac:dyDescent="0.25">
      <c r="Y1568" s="63">
        <v>44101</v>
      </c>
      <c r="Z1568" s="61">
        <f>_xll.qlYieldTSDiscount($U$35,Y1568,,Trigger)</f>
        <v>0.95608181725444052</v>
      </c>
    </row>
    <row r="1569" spans="25:26" x14ac:dyDescent="0.25">
      <c r="Y1569" s="63">
        <v>44102</v>
      </c>
      <c r="Z1569" s="61">
        <f>_xll.qlYieldTSDiscount($U$35,Y1569,,Trigger)</f>
        <v>0.95604660065736224</v>
      </c>
    </row>
    <row r="1570" spans="25:26" x14ac:dyDescent="0.25">
      <c r="Y1570" s="63">
        <v>44103</v>
      </c>
      <c r="Z1570" s="61">
        <f>_xll.qlYieldTSDiscount($U$35,Y1570,,Trigger)</f>
        <v>0.95601136994852565</v>
      </c>
    </row>
    <row r="1571" spans="25:26" x14ac:dyDescent="0.25">
      <c r="Y1571" s="63">
        <v>44104</v>
      </c>
      <c r="Z1571" s="61">
        <f>_xll.qlYieldTSDiscount($U$35,Y1571,,Trigger)</f>
        <v>0.95597612516912389</v>
      </c>
    </row>
    <row r="1572" spans="25:26" x14ac:dyDescent="0.25">
      <c r="Y1572" s="63">
        <v>44105</v>
      </c>
      <c r="Z1572" s="61">
        <f>_xll.qlYieldTSDiscount($U$35,Y1572,,Trigger)</f>
        <v>0.95594086636034958</v>
      </c>
    </row>
    <row r="1573" spans="25:26" x14ac:dyDescent="0.25">
      <c r="Y1573" s="63">
        <v>44106</v>
      </c>
      <c r="Z1573" s="61">
        <f>_xll.qlYieldTSDiscount($U$35,Y1573,,Trigger)</f>
        <v>0.95590559356339566</v>
      </c>
    </row>
    <row r="1574" spans="25:26" x14ac:dyDescent="0.25">
      <c r="Y1574" s="63">
        <v>44107</v>
      </c>
      <c r="Z1574" s="61">
        <f>_xll.qlYieldTSDiscount($U$35,Y1574,,Trigger)</f>
        <v>0.95587030681945506</v>
      </c>
    </row>
    <row r="1575" spans="25:26" x14ac:dyDescent="0.25">
      <c r="Y1575" s="63">
        <v>44108</v>
      </c>
      <c r="Z1575" s="61">
        <f>_xll.qlYieldTSDiscount($U$35,Y1575,,Trigger)</f>
        <v>0.95583500616972061</v>
      </c>
    </row>
    <row r="1576" spans="25:26" x14ac:dyDescent="0.25">
      <c r="Y1576" s="63">
        <v>44109</v>
      </c>
      <c r="Z1576" s="61">
        <f>_xll.qlYieldTSDiscount($U$35,Y1576,,Trigger)</f>
        <v>0.95579969165538525</v>
      </c>
    </row>
    <row r="1577" spans="25:26" x14ac:dyDescent="0.25">
      <c r="Y1577" s="63">
        <v>44110</v>
      </c>
      <c r="Z1577" s="61">
        <f>_xll.qlYieldTSDiscount($U$35,Y1577,,Trigger)</f>
        <v>0.9557643633176417</v>
      </c>
    </row>
    <row r="1578" spans="25:26" x14ac:dyDescent="0.25">
      <c r="Y1578" s="63">
        <v>44111</v>
      </c>
      <c r="Z1578" s="61">
        <f>_xll.qlYieldTSDiscount($U$35,Y1578,,Trigger)</f>
        <v>0.95572902119768299</v>
      </c>
    </row>
    <row r="1579" spans="25:26" x14ac:dyDescent="0.25">
      <c r="Y1579" s="63">
        <v>44112</v>
      </c>
      <c r="Z1579" s="61">
        <f>_xll.qlYieldTSDiscount($U$35,Y1579,,Trigger)</f>
        <v>0.95569366533670208</v>
      </c>
    </row>
    <row r="1580" spans="25:26" x14ac:dyDescent="0.25">
      <c r="Y1580" s="63">
        <v>44113</v>
      </c>
      <c r="Z1580" s="61">
        <f>_xll.qlYieldTSDiscount($U$35,Y1580,,Trigger)</f>
        <v>0.95565829577589156</v>
      </c>
    </row>
    <row r="1581" spans="25:26" x14ac:dyDescent="0.25">
      <c r="Y1581" s="63">
        <v>44114</v>
      </c>
      <c r="Z1581" s="61">
        <f>_xll.qlYieldTSDiscount($U$35,Y1581,,Trigger)</f>
        <v>0.9556229125564446</v>
      </c>
    </row>
    <row r="1582" spans="25:26" x14ac:dyDescent="0.25">
      <c r="Y1582" s="63">
        <v>44115</v>
      </c>
      <c r="Z1582" s="61">
        <f>_xll.qlYieldTSDiscount($U$35,Y1582,,Trigger)</f>
        <v>0.9555875157195538</v>
      </c>
    </row>
    <row r="1583" spans="25:26" x14ac:dyDescent="0.25">
      <c r="Y1583" s="63">
        <v>44116</v>
      </c>
      <c r="Z1583" s="61">
        <f>_xll.qlYieldTSDiscount($U$35,Y1583,,Trigger)</f>
        <v>0.95555210530641232</v>
      </c>
    </row>
    <row r="1584" spans="25:26" x14ac:dyDescent="0.25">
      <c r="Y1584" s="63">
        <v>44117</v>
      </c>
      <c r="Z1584" s="61">
        <f>_xll.qlYieldTSDiscount($U$35,Y1584,,Trigger)</f>
        <v>0.95551668135821277</v>
      </c>
    </row>
    <row r="1585" spans="25:26" x14ac:dyDescent="0.25">
      <c r="Y1585" s="63">
        <v>44118</v>
      </c>
      <c r="Z1585" s="61">
        <f>_xll.qlYieldTSDiscount($U$35,Y1585,,Trigger)</f>
        <v>0.9554812439161483</v>
      </c>
    </row>
    <row r="1586" spans="25:26" x14ac:dyDescent="0.25">
      <c r="Y1586" s="63">
        <v>44119</v>
      </c>
      <c r="Z1586" s="61">
        <f>_xll.qlYieldTSDiscount($U$35,Y1586,,Trigger)</f>
        <v>0.95544579302141153</v>
      </c>
    </row>
    <row r="1587" spans="25:26" x14ac:dyDescent="0.25">
      <c r="Y1587" s="63">
        <v>44120</v>
      </c>
      <c r="Z1587" s="61">
        <f>_xll.qlYieldTSDiscount($U$35,Y1587,,Trigger)</f>
        <v>0.95541032871519549</v>
      </c>
    </row>
    <row r="1588" spans="25:26" x14ac:dyDescent="0.25">
      <c r="Y1588" s="63">
        <v>44121</v>
      </c>
      <c r="Z1588" s="61">
        <f>_xll.qlYieldTSDiscount($U$35,Y1588,,Trigger)</f>
        <v>0.95537485103869291</v>
      </c>
    </row>
    <row r="1589" spans="25:26" x14ac:dyDescent="0.25">
      <c r="Y1589" s="63">
        <v>44122</v>
      </c>
      <c r="Z1589" s="61">
        <f>_xll.qlYieldTSDiscount($U$35,Y1589,,Trigger)</f>
        <v>0.95533936003309694</v>
      </c>
    </row>
    <row r="1590" spans="25:26" x14ac:dyDescent="0.25">
      <c r="Y1590" s="63">
        <v>44123</v>
      </c>
      <c r="Z1590" s="61">
        <f>_xll.qlYieldTSDiscount($U$35,Y1590,,Trigger)</f>
        <v>0.95530385573960019</v>
      </c>
    </row>
    <row r="1591" spans="25:26" x14ac:dyDescent="0.25">
      <c r="Y1591" s="63">
        <v>44124</v>
      </c>
      <c r="Z1591" s="61">
        <f>_xll.qlYieldTSDiscount($U$35,Y1591,,Trigger)</f>
        <v>0.95526833819939561</v>
      </c>
    </row>
    <row r="1592" spans="25:26" x14ac:dyDescent="0.25">
      <c r="Y1592" s="63">
        <v>44125</v>
      </c>
      <c r="Z1592" s="61">
        <f>_xll.qlYieldTSDiscount($U$35,Y1592,,Trigger)</f>
        <v>0.95523280745367622</v>
      </c>
    </row>
    <row r="1593" spans="25:26" x14ac:dyDescent="0.25">
      <c r="Y1593" s="63">
        <v>44126</v>
      </c>
      <c r="Z1593" s="61">
        <f>_xll.qlYieldTSDiscount($U$35,Y1593,,Trigger)</f>
        <v>0.95519726354363466</v>
      </c>
    </row>
    <row r="1594" spans="25:26" x14ac:dyDescent="0.25">
      <c r="Y1594" s="63">
        <v>44127</v>
      </c>
      <c r="Z1594" s="61">
        <f>_xll.qlYieldTSDiscount($U$35,Y1594,,Trigger)</f>
        <v>0.95516170651046395</v>
      </c>
    </row>
    <row r="1595" spans="25:26" x14ac:dyDescent="0.25">
      <c r="Y1595" s="63">
        <v>44128</v>
      </c>
      <c r="Z1595" s="61">
        <f>_xll.qlYieldTSDiscount($U$35,Y1595,,Trigger)</f>
        <v>0.95512613639535693</v>
      </c>
    </row>
    <row r="1596" spans="25:26" x14ac:dyDescent="0.25">
      <c r="Y1596" s="63">
        <v>44129</v>
      </c>
      <c r="Z1596" s="61">
        <f>_xll.qlYieldTSDiscount($U$35,Y1596,,Trigger)</f>
        <v>0.95509055323950653</v>
      </c>
    </row>
    <row r="1597" spans="25:26" x14ac:dyDescent="0.25">
      <c r="Y1597" s="63">
        <v>44130</v>
      </c>
      <c r="Z1597" s="61">
        <f>_xll.qlYieldTSDiscount($U$35,Y1597,,Trigger)</f>
        <v>0.95505495708410559</v>
      </c>
    </row>
    <row r="1598" spans="25:26" x14ac:dyDescent="0.25">
      <c r="Y1598" s="63">
        <v>44131</v>
      </c>
      <c r="Z1598" s="61">
        <f>_xll.qlYieldTSDiscount($U$35,Y1598,,Trigger)</f>
        <v>0.95501934797034693</v>
      </c>
    </row>
    <row r="1599" spans="25:26" x14ac:dyDescent="0.25">
      <c r="Y1599" s="63">
        <v>44132</v>
      </c>
      <c r="Z1599" s="61">
        <f>_xll.qlYieldTSDiscount($U$35,Y1599,,Trigger)</f>
        <v>0.9549837259394236</v>
      </c>
    </row>
    <row r="1600" spans="25:26" x14ac:dyDescent="0.25">
      <c r="Y1600" s="63">
        <v>44133</v>
      </c>
      <c r="Z1600" s="61">
        <f>_xll.qlYieldTSDiscount($U$35,Y1600,,Trigger)</f>
        <v>0.9549480910325282</v>
      </c>
    </row>
    <row r="1601" spans="25:26" x14ac:dyDescent="0.25">
      <c r="Y1601" s="63">
        <v>44134</v>
      </c>
      <c r="Z1601" s="61">
        <f>_xll.qlYieldTSDiscount($U$35,Y1601,,Trigger)</f>
        <v>0.95491244329085379</v>
      </c>
    </row>
    <row r="1602" spans="25:26" x14ac:dyDescent="0.25">
      <c r="Y1602" s="63">
        <v>44135</v>
      </c>
      <c r="Z1602" s="61">
        <f>_xll.qlYieldTSDiscount($U$35,Y1602,,Trigger)</f>
        <v>0.95487678275559329</v>
      </c>
    </row>
    <row r="1603" spans="25:26" x14ac:dyDescent="0.25">
      <c r="Y1603" s="63">
        <v>44136</v>
      </c>
      <c r="Z1603" s="61">
        <f>_xll.qlYieldTSDiscount($U$35,Y1603,,Trigger)</f>
        <v>0.95484110946793943</v>
      </c>
    </row>
    <row r="1604" spans="25:26" x14ac:dyDescent="0.25">
      <c r="Y1604" s="63">
        <v>44137</v>
      </c>
      <c r="Z1604" s="61">
        <f>_xll.qlYieldTSDiscount($U$35,Y1604,,Trigger)</f>
        <v>0.95480542346908526</v>
      </c>
    </row>
    <row r="1605" spans="25:26" x14ac:dyDescent="0.25">
      <c r="Y1605" s="63">
        <v>44138</v>
      </c>
      <c r="Z1605" s="61">
        <f>_xll.qlYieldTSDiscount($U$35,Y1605,,Trigger)</f>
        <v>0.95476972480022348</v>
      </c>
    </row>
    <row r="1606" spans="25:26" x14ac:dyDescent="0.25">
      <c r="Y1606" s="63">
        <v>44139</v>
      </c>
      <c r="Z1606" s="61">
        <f>_xll.qlYieldTSDiscount($U$35,Y1606,,Trigger)</f>
        <v>0.95473401350254705</v>
      </c>
    </row>
    <row r="1607" spans="25:26" x14ac:dyDescent="0.25">
      <c r="Y1607" s="63">
        <v>44140</v>
      </c>
      <c r="Z1607" s="61">
        <f>_xll.qlYieldTSDiscount($U$35,Y1607,,Trigger)</f>
        <v>0.9546982896172489</v>
      </c>
    </row>
    <row r="1608" spans="25:26" x14ac:dyDescent="0.25">
      <c r="Y1608" s="63">
        <v>44141</v>
      </c>
      <c r="Z1608" s="61">
        <f>_xll.qlYieldTSDiscount($U$35,Y1608,,Trigger)</f>
        <v>0.95466255318552184</v>
      </c>
    </row>
    <row r="1609" spans="25:26" x14ac:dyDescent="0.25">
      <c r="Y1609" s="63">
        <v>44142</v>
      </c>
      <c r="Z1609" s="61">
        <f>_xll.qlYieldTSDiscount($U$35,Y1609,,Trigger)</f>
        <v>0.95462680424855872</v>
      </c>
    </row>
    <row r="1610" spans="25:26" x14ac:dyDescent="0.25">
      <c r="Y1610" s="63">
        <v>44143</v>
      </c>
      <c r="Z1610" s="61">
        <f>_xll.qlYieldTSDiscount($U$35,Y1610,,Trigger)</f>
        <v>0.95459104284755247</v>
      </c>
    </row>
    <row r="1611" spans="25:26" x14ac:dyDescent="0.25">
      <c r="Y1611" s="63">
        <v>44144</v>
      </c>
      <c r="Z1611" s="61">
        <f>_xll.qlYieldTSDiscount($U$35,Y1611,,Trigger)</f>
        <v>0.95455526902369592</v>
      </c>
    </row>
    <row r="1612" spans="25:26" x14ac:dyDescent="0.25">
      <c r="Y1612" s="63">
        <v>44145</v>
      </c>
      <c r="Z1612" s="61">
        <f>_xll.qlYieldTSDiscount($U$35,Y1612,,Trigger)</f>
        <v>0.954519482818182</v>
      </c>
    </row>
    <row r="1613" spans="25:26" x14ac:dyDescent="0.25">
      <c r="Y1613" s="63">
        <v>44146</v>
      </c>
      <c r="Z1613" s="61">
        <f>_xll.qlYieldTSDiscount($U$35,Y1613,,Trigger)</f>
        <v>0.95448368427220354</v>
      </c>
    </row>
    <row r="1614" spans="25:26" x14ac:dyDescent="0.25">
      <c r="Y1614" s="63">
        <v>44147</v>
      </c>
      <c r="Z1614" s="61">
        <f>_xll.qlYieldTSDiscount($U$35,Y1614,,Trigger)</f>
        <v>0.95444787342695347</v>
      </c>
    </row>
    <row r="1615" spans="25:26" x14ac:dyDescent="0.25">
      <c r="Y1615" s="63">
        <v>44148</v>
      </c>
      <c r="Z1615" s="61">
        <f>_xll.qlYieldTSDiscount($U$35,Y1615,,Trigger)</f>
        <v>0.95441205032362453</v>
      </c>
    </row>
    <row r="1616" spans="25:26" x14ac:dyDescent="0.25">
      <c r="Y1616" s="63">
        <v>44149</v>
      </c>
      <c r="Z1616" s="61">
        <f>_xll.qlYieldTSDiscount($U$35,Y1616,,Trigger)</f>
        <v>0.95437621500340986</v>
      </c>
    </row>
    <row r="1617" spans="25:26" x14ac:dyDescent="0.25">
      <c r="Y1617" s="63">
        <v>44150</v>
      </c>
      <c r="Z1617" s="61">
        <f>_xll.qlYieldTSDiscount($U$35,Y1617,,Trigger)</f>
        <v>0.95434036750750206</v>
      </c>
    </row>
    <row r="1618" spans="25:26" x14ac:dyDescent="0.25">
      <c r="Y1618" s="63">
        <v>44151</v>
      </c>
      <c r="Z1618" s="61">
        <f>_xll.qlYieldTSDiscount($U$35,Y1618,,Trigger)</f>
        <v>0.9543045078770942</v>
      </c>
    </row>
    <row r="1619" spans="25:26" x14ac:dyDescent="0.25">
      <c r="Y1619" s="63">
        <v>44152</v>
      </c>
      <c r="Z1619" s="61">
        <f>_xll.qlYieldTSDiscount($U$35,Y1619,,Trigger)</f>
        <v>0.95426863615337909</v>
      </c>
    </row>
    <row r="1620" spans="25:26" x14ac:dyDescent="0.25">
      <c r="Y1620" s="63">
        <v>44153</v>
      </c>
      <c r="Z1620" s="61">
        <f>_xll.qlYieldTSDiscount($U$35,Y1620,,Trigger)</f>
        <v>0.95423275237754956</v>
      </c>
    </row>
    <row r="1621" spans="25:26" x14ac:dyDescent="0.25">
      <c r="Y1621" s="63">
        <v>44154</v>
      </c>
      <c r="Z1621" s="61">
        <f>_xll.qlYieldTSDiscount($U$35,Y1621,,Trigger)</f>
        <v>0.95419685659079856</v>
      </c>
    </row>
    <row r="1622" spans="25:26" x14ac:dyDescent="0.25">
      <c r="Y1622" s="63">
        <v>44155</v>
      </c>
      <c r="Z1622" s="61">
        <f>_xll.qlYieldTSDiscount($U$35,Y1622,,Trigger)</f>
        <v>0.9541609488343189</v>
      </c>
    </row>
    <row r="1623" spans="25:26" x14ac:dyDescent="0.25">
      <c r="Y1623" s="63">
        <v>44156</v>
      </c>
      <c r="Z1623" s="61">
        <f>_xll.qlYieldTSDiscount($U$35,Y1623,,Trigger)</f>
        <v>0.95412502914930353</v>
      </c>
    </row>
    <row r="1624" spans="25:26" x14ac:dyDescent="0.25">
      <c r="Y1624" s="63">
        <v>44157</v>
      </c>
      <c r="Z1624" s="61">
        <f>_xll.qlYieldTSDiscount($U$35,Y1624,,Trigger)</f>
        <v>0.95408909757694527</v>
      </c>
    </row>
    <row r="1625" spans="25:26" x14ac:dyDescent="0.25">
      <c r="Y1625" s="63">
        <v>44158</v>
      </c>
      <c r="Z1625" s="61">
        <f>_xll.qlYieldTSDiscount($U$35,Y1625,,Trigger)</f>
        <v>0.95405315415843694</v>
      </c>
    </row>
    <row r="1626" spans="25:26" x14ac:dyDescent="0.25">
      <c r="Y1626" s="63">
        <v>44159</v>
      </c>
      <c r="Z1626" s="61">
        <f>_xll.qlYieldTSDiscount($U$35,Y1626,,Trigger)</f>
        <v>0.95401719893497161</v>
      </c>
    </row>
    <row r="1627" spans="25:26" x14ac:dyDescent="0.25">
      <c r="Y1627" s="63">
        <v>44160</v>
      </c>
      <c r="Z1627" s="61">
        <f>_xll.qlYieldTSDiscount($U$35,Y1627,,Trigger)</f>
        <v>0.95398123194774198</v>
      </c>
    </row>
    <row r="1628" spans="25:26" x14ac:dyDescent="0.25">
      <c r="Y1628" s="63">
        <v>44161</v>
      </c>
      <c r="Z1628" s="61">
        <f>_xll.qlYieldTSDiscount($U$35,Y1628,,Trigger)</f>
        <v>0.95394525323794099</v>
      </c>
    </row>
    <row r="1629" spans="25:26" x14ac:dyDescent="0.25">
      <c r="Y1629" s="63">
        <v>44162</v>
      </c>
      <c r="Z1629" s="61">
        <f>_xll.qlYieldTSDiscount($U$35,Y1629,,Trigger)</f>
        <v>0.95390926284676147</v>
      </c>
    </row>
    <row r="1630" spans="25:26" x14ac:dyDescent="0.25">
      <c r="Y1630" s="63">
        <v>44163</v>
      </c>
      <c r="Z1630" s="61">
        <f>_xll.qlYieldTSDiscount($U$35,Y1630,,Trigger)</f>
        <v>0.95387326081539636</v>
      </c>
    </row>
    <row r="1631" spans="25:26" x14ac:dyDescent="0.25">
      <c r="Y1631" s="63">
        <v>44164</v>
      </c>
      <c r="Z1631" s="61">
        <f>_xll.qlYieldTSDiscount($U$35,Y1631,,Trigger)</f>
        <v>0.95383724718503859</v>
      </c>
    </row>
    <row r="1632" spans="25:26" x14ac:dyDescent="0.25">
      <c r="Y1632" s="63">
        <v>44165</v>
      </c>
      <c r="Z1632" s="61">
        <f>_xll.qlYieldTSDiscount($U$35,Y1632,,Trigger)</f>
        <v>0.95380122199688089</v>
      </c>
    </row>
    <row r="1633" spans="25:26" x14ac:dyDescent="0.25">
      <c r="Y1633" s="63">
        <v>44166</v>
      </c>
      <c r="Z1633" s="61">
        <f>_xll.qlYieldTSDiscount($U$35,Y1633,,Trigger)</f>
        <v>0.95376518529211618</v>
      </c>
    </row>
    <row r="1634" spans="25:26" x14ac:dyDescent="0.25">
      <c r="Y1634" s="63">
        <v>44167</v>
      </c>
      <c r="Z1634" s="61">
        <f>_xll.qlYieldTSDiscount($U$35,Y1634,,Trigger)</f>
        <v>0.95372913711193741</v>
      </c>
    </row>
    <row r="1635" spans="25:26" x14ac:dyDescent="0.25">
      <c r="Y1635" s="63">
        <v>44168</v>
      </c>
      <c r="Z1635" s="61">
        <f>_xll.qlYieldTSDiscount($U$35,Y1635,,Trigger)</f>
        <v>0.9536930774975374</v>
      </c>
    </row>
    <row r="1636" spans="25:26" x14ac:dyDescent="0.25">
      <c r="Y1636" s="63">
        <v>44169</v>
      </c>
      <c r="Z1636" s="61">
        <f>_xll.qlYieldTSDiscount($U$35,Y1636,,Trigger)</f>
        <v>0.95365700649010909</v>
      </c>
    </row>
    <row r="1637" spans="25:26" x14ac:dyDescent="0.25">
      <c r="Y1637" s="63">
        <v>44170</v>
      </c>
      <c r="Z1637" s="61">
        <f>_xll.qlYieldTSDiscount($U$35,Y1637,,Trigger)</f>
        <v>0.9536209241308452</v>
      </c>
    </row>
    <row r="1638" spans="25:26" x14ac:dyDescent="0.25">
      <c r="Y1638" s="63">
        <v>44171</v>
      </c>
      <c r="Z1638" s="61">
        <f>_xll.qlYieldTSDiscount($U$35,Y1638,,Trigger)</f>
        <v>0.95358483046093878</v>
      </c>
    </row>
    <row r="1639" spans="25:26" x14ac:dyDescent="0.25">
      <c r="Y1639" s="63">
        <v>44172</v>
      </c>
      <c r="Z1639" s="61">
        <f>_xll.qlYieldTSDiscount($U$35,Y1639,,Trigger)</f>
        <v>0.95354872552158265</v>
      </c>
    </row>
    <row r="1640" spans="25:26" x14ac:dyDescent="0.25">
      <c r="Y1640" s="63">
        <v>44173</v>
      </c>
      <c r="Z1640" s="61">
        <f>_xll.qlYieldTSDiscount($U$35,Y1640,,Trigger)</f>
        <v>0.95351260935396964</v>
      </c>
    </row>
    <row r="1641" spans="25:26" x14ac:dyDescent="0.25">
      <c r="Y1641" s="63">
        <v>44174</v>
      </c>
      <c r="Z1641" s="61">
        <f>_xll.qlYieldTSDiscount($U$35,Y1641,,Trigger)</f>
        <v>0.95347648199929269</v>
      </c>
    </row>
    <row r="1642" spans="25:26" x14ac:dyDescent="0.25">
      <c r="Y1642" s="63">
        <v>44175</v>
      </c>
      <c r="Z1642" s="61">
        <f>_xll.qlYieldTSDiscount($U$35,Y1642,,Trigger)</f>
        <v>0.95344034349874462</v>
      </c>
    </row>
    <row r="1643" spans="25:26" x14ac:dyDescent="0.25">
      <c r="Y1643" s="63">
        <v>44176</v>
      </c>
      <c r="Z1643" s="61">
        <f>_xll.qlYieldTSDiscount($U$35,Y1643,,Trigger)</f>
        <v>0.95340419389351838</v>
      </c>
    </row>
    <row r="1644" spans="25:26" x14ac:dyDescent="0.25">
      <c r="Y1644" s="63">
        <v>44177</v>
      </c>
      <c r="Z1644" s="61">
        <f>_xll.qlYieldTSDiscount($U$35,Y1644,,Trigger)</f>
        <v>0.95336803322480679</v>
      </c>
    </row>
    <row r="1645" spans="25:26" x14ac:dyDescent="0.25">
      <c r="Y1645" s="63">
        <v>44178</v>
      </c>
      <c r="Z1645" s="61">
        <f>_xll.qlYieldTSDiscount($U$35,Y1645,,Trigger)</f>
        <v>0.95333186153380267</v>
      </c>
    </row>
    <row r="1646" spans="25:26" x14ac:dyDescent="0.25">
      <c r="Y1646" s="63">
        <v>44179</v>
      </c>
      <c r="Z1646" s="61">
        <f>_xll.qlYieldTSDiscount($U$35,Y1646,,Trigger)</f>
        <v>0.95329567886169908</v>
      </c>
    </row>
    <row r="1647" spans="25:26" x14ac:dyDescent="0.25">
      <c r="Y1647" s="63">
        <v>44180</v>
      </c>
      <c r="Z1647" s="61">
        <f>_xll.qlYieldTSDiscount($U$35,Y1647,,Trigger)</f>
        <v>0.95325948524968873</v>
      </c>
    </row>
    <row r="1648" spans="25:26" x14ac:dyDescent="0.25">
      <c r="Y1648" s="63">
        <v>44181</v>
      </c>
      <c r="Z1648" s="61">
        <f>_xll.qlYieldTSDiscount($U$35,Y1648,,Trigger)</f>
        <v>0.95322328073896445</v>
      </c>
    </row>
    <row r="1649" spans="25:26" x14ac:dyDescent="0.25">
      <c r="Y1649" s="63">
        <v>44182</v>
      </c>
      <c r="Z1649" s="61">
        <f>_xll.qlYieldTSDiscount($U$35,Y1649,,Trigger)</f>
        <v>0.95318706537071929</v>
      </c>
    </row>
    <row r="1650" spans="25:26" x14ac:dyDescent="0.25">
      <c r="Y1650" s="63">
        <v>44183</v>
      </c>
      <c r="Z1650" s="61">
        <f>_xll.qlYieldTSDiscount($U$35,Y1650,,Trigger)</f>
        <v>0.95315083918614607</v>
      </c>
    </row>
    <row r="1651" spans="25:26" x14ac:dyDescent="0.25">
      <c r="Y1651" s="63">
        <v>44184</v>
      </c>
      <c r="Z1651" s="61">
        <f>_xll.qlYieldTSDiscount($U$35,Y1651,,Trigger)</f>
        <v>0.95311460222643773</v>
      </c>
    </row>
    <row r="1652" spans="25:26" x14ac:dyDescent="0.25">
      <c r="Y1652" s="63">
        <v>44185</v>
      </c>
      <c r="Z1652" s="61">
        <f>_xll.qlYieldTSDiscount($U$35,Y1652,,Trigger)</f>
        <v>0.95307835453278689</v>
      </c>
    </row>
    <row r="1653" spans="25:26" x14ac:dyDescent="0.25">
      <c r="Y1653" s="63">
        <v>44186</v>
      </c>
      <c r="Z1653" s="61">
        <f>_xll.qlYieldTSDiscount($U$35,Y1653,,Trigger)</f>
        <v>0.9530420961463868</v>
      </c>
    </row>
    <row r="1654" spans="25:26" x14ac:dyDescent="0.25">
      <c r="Y1654" s="63">
        <v>44187</v>
      </c>
      <c r="Z1654" s="61">
        <f>_xll.qlYieldTSDiscount($U$35,Y1654,,Trigger)</f>
        <v>0.95300582710842996</v>
      </c>
    </row>
    <row r="1655" spans="25:26" x14ac:dyDescent="0.25">
      <c r="Y1655" s="63">
        <v>44188</v>
      </c>
      <c r="Z1655" s="61">
        <f>_xll.qlYieldTSDiscount($U$35,Y1655,,Trigger)</f>
        <v>0.95296954746010953</v>
      </c>
    </row>
    <row r="1656" spans="25:26" x14ac:dyDescent="0.25">
      <c r="Y1656" s="63">
        <v>44189</v>
      </c>
      <c r="Z1656" s="61">
        <f>_xll.qlYieldTSDiscount($U$35,Y1656,,Trigger)</f>
        <v>0.95293325724261824</v>
      </c>
    </row>
    <row r="1657" spans="25:26" x14ac:dyDescent="0.25">
      <c r="Y1657" s="63">
        <v>44190</v>
      </c>
      <c r="Z1657" s="61">
        <f>_xll.qlYieldTSDiscount($U$35,Y1657,,Trigger)</f>
        <v>0.95289695649714901</v>
      </c>
    </row>
    <row r="1658" spans="25:26" x14ac:dyDescent="0.25">
      <c r="Y1658" s="63">
        <v>44191</v>
      </c>
      <c r="Z1658" s="61">
        <f>_xll.qlYieldTSDiscount($U$35,Y1658,,Trigger)</f>
        <v>0.95286064526489478</v>
      </c>
    </row>
    <row r="1659" spans="25:26" x14ac:dyDescent="0.25">
      <c r="Y1659" s="63">
        <v>44192</v>
      </c>
      <c r="Z1659" s="61">
        <f>_xll.qlYieldTSDiscount($U$35,Y1659,,Trigger)</f>
        <v>0.95282432358704827</v>
      </c>
    </row>
    <row r="1660" spans="25:26" x14ac:dyDescent="0.25">
      <c r="Y1660" s="63">
        <v>44193</v>
      </c>
      <c r="Z1660" s="61">
        <f>_xll.qlYieldTSDiscount($U$35,Y1660,,Trigger)</f>
        <v>0.95278799150480253</v>
      </c>
    </row>
    <row r="1661" spans="25:26" x14ac:dyDescent="0.25">
      <c r="Y1661" s="63">
        <v>44194</v>
      </c>
      <c r="Z1661" s="61">
        <f>_xll.qlYieldTSDiscount($U$35,Y1661,,Trigger)</f>
        <v>0.95275164905935028</v>
      </c>
    </row>
    <row r="1662" spans="25:26" x14ac:dyDescent="0.25">
      <c r="Y1662" s="63">
        <v>44195</v>
      </c>
      <c r="Z1662" s="61">
        <f>_xll.qlYieldTSDiscount($U$35,Y1662,,Trigger)</f>
        <v>0.95271529629188456</v>
      </c>
    </row>
    <row r="1663" spans="25:26" x14ac:dyDescent="0.25">
      <c r="Y1663" s="63">
        <v>44196</v>
      </c>
      <c r="Z1663" s="61">
        <f>_xll.qlYieldTSDiscount($U$35,Y1663,,Trigger)</f>
        <v>0.95267893324359809</v>
      </c>
    </row>
    <row r="1664" spans="25:26" x14ac:dyDescent="0.25">
      <c r="Y1664" s="63">
        <v>44197</v>
      </c>
      <c r="Z1664" s="61">
        <f>_xll.qlYieldTSDiscount($U$35,Y1664,,Trigger)</f>
        <v>0.95264255995568381</v>
      </c>
    </row>
    <row r="1665" spans="25:26" x14ac:dyDescent="0.25">
      <c r="Y1665" s="63">
        <v>44198</v>
      </c>
      <c r="Z1665" s="61">
        <f>_xll.qlYieldTSDiscount($U$35,Y1665,,Trigger)</f>
        <v>0.95260617646933465</v>
      </c>
    </row>
    <row r="1666" spans="25:26" x14ac:dyDescent="0.25">
      <c r="Y1666" s="63">
        <v>44199</v>
      </c>
      <c r="Z1666" s="61">
        <f>_xll.qlYieldTSDiscount($U$35,Y1666,,Trigger)</f>
        <v>0.95256978282574345</v>
      </c>
    </row>
    <row r="1667" spans="25:26" x14ac:dyDescent="0.25">
      <c r="Y1667" s="63">
        <v>44200</v>
      </c>
      <c r="Z1667" s="61">
        <f>_xll.qlYieldTSDiscount($U$35,Y1667,,Trigger)</f>
        <v>0.95253337906610303</v>
      </c>
    </row>
    <row r="1668" spans="25:26" x14ac:dyDescent="0.25">
      <c r="Y1668" s="63">
        <v>44201</v>
      </c>
      <c r="Z1668" s="61">
        <f>_xll.qlYieldTSDiscount($U$35,Y1668,,Trigger)</f>
        <v>0.95249696523160632</v>
      </c>
    </row>
    <row r="1669" spans="25:26" x14ac:dyDescent="0.25">
      <c r="Y1669" s="63">
        <v>44202</v>
      </c>
      <c r="Z1669" s="61">
        <f>_xll.qlYieldTSDiscount($U$35,Y1669,,Trigger)</f>
        <v>0.95246054136344627</v>
      </c>
    </row>
    <row r="1670" spans="25:26" x14ac:dyDescent="0.25">
      <c r="Y1670" s="63">
        <v>44203</v>
      </c>
      <c r="Z1670" s="61">
        <f>_xll.qlYieldTSDiscount($U$35,Y1670,,Trigger)</f>
        <v>0.95242410750281559</v>
      </c>
    </row>
    <row r="1671" spans="25:26" x14ac:dyDescent="0.25">
      <c r="Y1671" s="63">
        <v>44204</v>
      </c>
      <c r="Z1671" s="61">
        <f>_xll.qlYieldTSDiscount($U$35,Y1671,,Trigger)</f>
        <v>0.95238766369090722</v>
      </c>
    </row>
    <row r="1672" spans="25:26" x14ac:dyDescent="0.25">
      <c r="Y1672" s="63">
        <v>44205</v>
      </c>
      <c r="Z1672" s="61">
        <f>_xll.qlYieldTSDiscount($U$35,Y1672,,Trigger)</f>
        <v>0.95235120996891409</v>
      </c>
    </row>
    <row r="1673" spans="25:26" x14ac:dyDescent="0.25">
      <c r="Y1673" s="63">
        <v>44206</v>
      </c>
      <c r="Z1673" s="61">
        <f>_xll.qlYieldTSDiscount($U$35,Y1673,,Trigger)</f>
        <v>0.95231474637802915</v>
      </c>
    </row>
    <row r="1674" spans="25:26" x14ac:dyDescent="0.25">
      <c r="Y1674" s="63">
        <v>44207</v>
      </c>
      <c r="Z1674" s="61">
        <f>_xll.qlYieldTSDiscount($U$35,Y1674,,Trigger)</f>
        <v>0.952278272959445</v>
      </c>
    </row>
    <row r="1675" spans="25:26" x14ac:dyDescent="0.25">
      <c r="Y1675" s="63">
        <v>44208</v>
      </c>
      <c r="Z1675" s="61">
        <f>_xll.qlYieldTSDiscount($U$35,Y1675,,Trigger)</f>
        <v>0.95224178975435481</v>
      </c>
    </row>
    <row r="1676" spans="25:26" x14ac:dyDescent="0.25">
      <c r="Y1676" s="63">
        <v>44209</v>
      </c>
      <c r="Z1676" s="61">
        <f>_xll.qlYieldTSDiscount($U$35,Y1676,,Trigger)</f>
        <v>0.95220529680395138</v>
      </c>
    </row>
    <row r="1677" spans="25:26" x14ac:dyDescent="0.25">
      <c r="Y1677" s="63">
        <v>44210</v>
      </c>
      <c r="Z1677" s="61">
        <f>_xll.qlYieldTSDiscount($U$35,Y1677,,Trigger)</f>
        <v>0.95216879414942746</v>
      </c>
    </row>
    <row r="1678" spans="25:26" x14ac:dyDescent="0.25">
      <c r="Y1678" s="63">
        <v>44211</v>
      </c>
      <c r="Z1678" s="61">
        <f>_xll.qlYieldTSDiscount($U$35,Y1678,,Trigger)</f>
        <v>0.95213228183197596</v>
      </c>
    </row>
    <row r="1679" spans="25:26" x14ac:dyDescent="0.25">
      <c r="Y1679" s="63">
        <v>44212</v>
      </c>
      <c r="Z1679" s="61">
        <f>_xll.qlYieldTSDiscount($U$35,Y1679,,Trigger)</f>
        <v>0.95209575989278994</v>
      </c>
    </row>
    <row r="1680" spans="25:26" x14ac:dyDescent="0.25">
      <c r="Y1680" s="63">
        <v>44213</v>
      </c>
      <c r="Z1680" s="61">
        <f>_xll.qlYieldTSDiscount($U$35,Y1680,,Trigger)</f>
        <v>0.95205922837306212</v>
      </c>
    </row>
    <row r="1681" spans="25:26" x14ac:dyDescent="0.25">
      <c r="Y1681" s="63">
        <v>44214</v>
      </c>
      <c r="Z1681" s="61">
        <f>_xll.qlYieldTSDiscount($U$35,Y1681,,Trigger)</f>
        <v>0.95202268731398532</v>
      </c>
    </row>
    <row r="1682" spans="25:26" x14ac:dyDescent="0.25">
      <c r="Y1682" s="63">
        <v>44215</v>
      </c>
      <c r="Z1682" s="61">
        <f>_xll.qlYieldTSDiscount($U$35,Y1682,,Trigger)</f>
        <v>0.95198613675675248</v>
      </c>
    </row>
    <row r="1683" spans="25:26" x14ac:dyDescent="0.25">
      <c r="Y1683" s="63">
        <v>44216</v>
      </c>
      <c r="Z1683" s="61">
        <f>_xll.qlYieldTSDiscount($U$35,Y1683,,Trigger)</f>
        <v>0.95194957674255665</v>
      </c>
    </row>
    <row r="1684" spans="25:26" x14ac:dyDescent="0.25">
      <c r="Y1684" s="63">
        <v>44217</v>
      </c>
      <c r="Z1684" s="61">
        <f>_xll.qlYieldTSDiscount($U$35,Y1684,,Trigger)</f>
        <v>0.95191300731259043</v>
      </c>
    </row>
    <row r="1685" spans="25:26" x14ac:dyDescent="0.25">
      <c r="Y1685" s="63">
        <v>44218</v>
      </c>
      <c r="Z1685" s="61">
        <f>_xll.qlYieldTSDiscount($U$35,Y1685,,Trigger)</f>
        <v>0.95187642850804688</v>
      </c>
    </row>
    <row r="1686" spans="25:26" x14ac:dyDescent="0.25">
      <c r="Y1686" s="63">
        <v>44219</v>
      </c>
      <c r="Z1686" s="61">
        <f>_xll.qlYieldTSDiscount($U$35,Y1686,,Trigger)</f>
        <v>0.95183984037011871</v>
      </c>
    </row>
    <row r="1687" spans="25:26" x14ac:dyDescent="0.25">
      <c r="Y1687" s="63">
        <v>44220</v>
      </c>
      <c r="Z1687" s="61">
        <f>_xll.qlYieldTSDiscount($U$35,Y1687,,Trigger)</f>
        <v>0.95180324293999896</v>
      </c>
    </row>
    <row r="1688" spans="25:26" x14ac:dyDescent="0.25">
      <c r="Y1688" s="63">
        <v>44221</v>
      </c>
      <c r="Z1688" s="61">
        <f>_xll.qlYieldTSDiscount($U$35,Y1688,,Trigger)</f>
        <v>0.95176663625888047</v>
      </c>
    </row>
    <row r="1689" spans="25:26" x14ac:dyDescent="0.25">
      <c r="Y1689" s="63">
        <v>44222</v>
      </c>
      <c r="Z1689" s="61">
        <f>_xll.qlYieldTSDiscount($U$35,Y1689,,Trigger)</f>
        <v>0.95173002036795618</v>
      </c>
    </row>
    <row r="1690" spans="25:26" x14ac:dyDescent="0.25">
      <c r="Y1690" s="63">
        <v>44223</v>
      </c>
      <c r="Z1690" s="61">
        <f>_xll.qlYieldTSDiscount($U$35,Y1690,,Trigger)</f>
        <v>0.95169339530841879</v>
      </c>
    </row>
    <row r="1691" spans="25:26" x14ac:dyDescent="0.25">
      <c r="Y1691" s="63">
        <v>44224</v>
      </c>
      <c r="Z1691" s="61">
        <f>_xll.qlYieldTSDiscount($U$35,Y1691,,Trigger)</f>
        <v>0.95165676112146125</v>
      </c>
    </row>
    <row r="1692" spans="25:26" x14ac:dyDescent="0.25">
      <c r="Y1692" s="63">
        <v>44225</v>
      </c>
      <c r="Z1692" s="61">
        <f>_xll.qlYieldTSDiscount($U$35,Y1692,,Trigger)</f>
        <v>0.95162011784827649</v>
      </c>
    </row>
    <row r="1693" spans="25:26" x14ac:dyDescent="0.25">
      <c r="Y1693" s="63">
        <v>44226</v>
      </c>
      <c r="Z1693" s="61">
        <f>_xll.qlYieldTSDiscount($U$35,Y1693,,Trigger)</f>
        <v>0.95158346553005735</v>
      </c>
    </row>
    <row r="1694" spans="25:26" x14ac:dyDescent="0.25">
      <c r="Y1694" s="63">
        <v>44227</v>
      </c>
      <c r="Z1694" s="61">
        <f>_xll.qlYieldTSDiscount($U$35,Y1694,,Trigger)</f>
        <v>0.95154680420799664</v>
      </c>
    </row>
    <row r="1695" spans="25:26" x14ac:dyDescent="0.25">
      <c r="Y1695" s="63">
        <v>44228</v>
      </c>
      <c r="Z1695" s="61">
        <f>_xll.qlYieldTSDiscount($U$35,Y1695,,Trigger)</f>
        <v>0.95151013392328743</v>
      </c>
    </row>
    <row r="1696" spans="25:26" x14ac:dyDescent="0.25">
      <c r="Y1696" s="63">
        <v>44229</v>
      </c>
      <c r="Z1696" s="61">
        <f>_xll.qlYieldTSDiscount($U$35,Y1696,,Trigger)</f>
        <v>0.95147345471712241</v>
      </c>
    </row>
    <row r="1697" spans="25:26" x14ac:dyDescent="0.25">
      <c r="Y1697" s="63">
        <v>44230</v>
      </c>
      <c r="Z1697" s="61">
        <f>_xll.qlYieldTSDiscount($U$35,Y1697,,Trigger)</f>
        <v>0.95143676663069443</v>
      </c>
    </row>
    <row r="1698" spans="25:26" x14ac:dyDescent="0.25">
      <c r="Y1698" s="63">
        <v>44231</v>
      </c>
      <c r="Z1698" s="61">
        <f>_xll.qlYieldTSDiscount($U$35,Y1698,,Trigger)</f>
        <v>0.95140006970519664</v>
      </c>
    </row>
    <row r="1699" spans="25:26" x14ac:dyDescent="0.25">
      <c r="Y1699" s="63">
        <v>44232</v>
      </c>
      <c r="Z1699" s="61">
        <f>_xll.qlYieldTSDiscount($U$35,Y1699,,Trigger)</f>
        <v>0.95136336398182164</v>
      </c>
    </row>
    <row r="1700" spans="25:26" x14ac:dyDescent="0.25">
      <c r="Y1700" s="63">
        <v>44233</v>
      </c>
      <c r="Z1700" s="61">
        <f>_xll.qlYieldTSDiscount($U$35,Y1700,,Trigger)</f>
        <v>0.95132664950176238</v>
      </c>
    </row>
    <row r="1701" spans="25:26" x14ac:dyDescent="0.25">
      <c r="Y1701" s="63">
        <v>44234</v>
      </c>
      <c r="Z1701" s="61">
        <f>_xll.qlYieldTSDiscount($U$35,Y1701,,Trigger)</f>
        <v>0.95128992630621179</v>
      </c>
    </row>
    <row r="1702" spans="25:26" x14ac:dyDescent="0.25">
      <c r="Y1702" s="63">
        <v>44235</v>
      </c>
      <c r="Z1702" s="61">
        <f>_xll.qlYieldTSDiscount($U$35,Y1702,,Trigger)</f>
        <v>0.95125319443636269</v>
      </c>
    </row>
    <row r="1703" spans="25:26" x14ac:dyDescent="0.25">
      <c r="Y1703" s="63">
        <v>44236</v>
      </c>
      <c r="Z1703" s="61">
        <f>_xll.qlYieldTSDiscount($U$35,Y1703,,Trigger)</f>
        <v>0.95121645393340792</v>
      </c>
    </row>
    <row r="1704" spans="25:26" x14ac:dyDescent="0.25">
      <c r="Y1704" s="63">
        <v>44237</v>
      </c>
      <c r="Z1704" s="61">
        <f>_xll.qlYieldTSDiscount($U$35,Y1704,,Trigger)</f>
        <v>0.95117970483854053</v>
      </c>
    </row>
    <row r="1705" spans="25:26" x14ac:dyDescent="0.25">
      <c r="Y1705" s="63">
        <v>44238</v>
      </c>
      <c r="Z1705" s="61">
        <f>_xll.qlYieldTSDiscount($U$35,Y1705,,Trigger)</f>
        <v>0.95114294719295323</v>
      </c>
    </row>
    <row r="1706" spans="25:26" x14ac:dyDescent="0.25">
      <c r="Y1706" s="63">
        <v>44239</v>
      </c>
      <c r="Z1706" s="61">
        <f>_xll.qlYieldTSDiscount($U$35,Y1706,,Trigger)</f>
        <v>0.95110618103783895</v>
      </c>
    </row>
    <row r="1707" spans="25:26" x14ac:dyDescent="0.25">
      <c r="Y1707" s="63">
        <v>44240</v>
      </c>
      <c r="Z1707" s="61">
        <f>_xll.qlYieldTSDiscount($U$35,Y1707,,Trigger)</f>
        <v>0.95106940641439064</v>
      </c>
    </row>
    <row r="1708" spans="25:26" x14ac:dyDescent="0.25">
      <c r="Y1708" s="63">
        <v>44241</v>
      </c>
      <c r="Z1708" s="61">
        <f>_xll.qlYieldTSDiscount($U$35,Y1708,,Trigger)</f>
        <v>0.95103262336380101</v>
      </c>
    </row>
    <row r="1709" spans="25:26" x14ac:dyDescent="0.25">
      <c r="Y1709" s="63">
        <v>44242</v>
      </c>
      <c r="Z1709" s="61">
        <f>_xll.qlYieldTSDiscount($U$35,Y1709,,Trigger)</f>
        <v>0.95099583192726311</v>
      </c>
    </row>
    <row r="1710" spans="25:26" x14ac:dyDescent="0.25">
      <c r="Y1710" s="63">
        <v>44243</v>
      </c>
      <c r="Z1710" s="61">
        <f>_xll.qlYieldTSDiscount($U$35,Y1710,,Trigger)</f>
        <v>0.95095903214596966</v>
      </c>
    </row>
    <row r="1711" spans="25:26" x14ac:dyDescent="0.25">
      <c r="Y1711" s="63">
        <v>44244</v>
      </c>
      <c r="Z1711" s="61">
        <f>_xll.qlYieldTSDiscount($U$35,Y1711,,Trigger)</f>
        <v>0.9509222240611136</v>
      </c>
    </row>
    <row r="1712" spans="25:26" x14ac:dyDescent="0.25">
      <c r="Y1712" s="63">
        <v>44245</v>
      </c>
      <c r="Z1712" s="61">
        <f>_xll.qlYieldTSDiscount($U$35,Y1712,,Trigger)</f>
        <v>0.95088540771388785</v>
      </c>
    </row>
    <row r="1713" spans="25:26" x14ac:dyDescent="0.25">
      <c r="Y1713" s="63">
        <v>44246</v>
      </c>
      <c r="Z1713" s="61">
        <f>_xll.qlYieldTSDiscount($U$35,Y1713,,Trigger)</f>
        <v>0.95084858314548537</v>
      </c>
    </row>
    <row r="1714" spans="25:26" x14ac:dyDescent="0.25">
      <c r="Y1714" s="63">
        <v>44247</v>
      </c>
      <c r="Z1714" s="61">
        <f>_xll.qlYieldTSDiscount($U$35,Y1714,,Trigger)</f>
        <v>0.95081175039709875</v>
      </c>
    </row>
    <row r="1715" spans="25:26" x14ac:dyDescent="0.25">
      <c r="Y1715" s="63">
        <v>44248</v>
      </c>
      <c r="Z1715" s="61">
        <f>_xll.qlYieldTSDiscount($U$35,Y1715,,Trigger)</f>
        <v>0.95077490950992116</v>
      </c>
    </row>
    <row r="1716" spans="25:26" x14ac:dyDescent="0.25">
      <c r="Y1716" s="63">
        <v>44249</v>
      </c>
      <c r="Z1716" s="61">
        <f>_xll.qlYieldTSDiscount($U$35,Y1716,,Trigger)</f>
        <v>0.95073806052514531</v>
      </c>
    </row>
    <row r="1717" spans="25:26" x14ac:dyDescent="0.25">
      <c r="Y1717" s="63">
        <v>44250</v>
      </c>
      <c r="Z1717" s="61">
        <f>_xll.qlYieldTSDiscount($U$35,Y1717,,Trigger)</f>
        <v>0.95070120348396414</v>
      </c>
    </row>
    <row r="1718" spans="25:26" x14ac:dyDescent="0.25">
      <c r="Y1718" s="63">
        <v>44251</v>
      </c>
      <c r="Z1718" s="61">
        <f>_xll.qlYieldTSDiscount($U$35,Y1718,,Trigger)</f>
        <v>0.95066433842757048</v>
      </c>
    </row>
    <row r="1719" spans="25:26" x14ac:dyDescent="0.25">
      <c r="Y1719" s="63">
        <v>44252</v>
      </c>
      <c r="Z1719" s="61">
        <f>_xll.qlYieldTSDiscount($U$35,Y1719,,Trigger)</f>
        <v>0.95062746539715726</v>
      </c>
    </row>
    <row r="1720" spans="25:26" x14ac:dyDescent="0.25">
      <c r="Y1720" s="63">
        <v>44253</v>
      </c>
      <c r="Z1720" s="61">
        <f>_xll.qlYieldTSDiscount($U$35,Y1720,,Trigger)</f>
        <v>0.95059058443391742</v>
      </c>
    </row>
    <row r="1721" spans="25:26" x14ac:dyDescent="0.25">
      <c r="Y1721" s="63">
        <v>44254</v>
      </c>
      <c r="Z1721" s="61">
        <f>_xll.qlYieldTSDiscount($U$35,Y1721,,Trigger)</f>
        <v>0.95055369557904357</v>
      </c>
    </row>
    <row r="1722" spans="25:26" x14ac:dyDescent="0.25">
      <c r="Y1722" s="63">
        <v>44255</v>
      </c>
      <c r="Z1722" s="61">
        <f>_xll.qlYieldTSDiscount($U$35,Y1722,,Trigger)</f>
        <v>0.95051679887372897</v>
      </c>
    </row>
    <row r="1723" spans="25:26" x14ac:dyDescent="0.25">
      <c r="Y1723" s="63">
        <v>44256</v>
      </c>
      <c r="Z1723" s="61">
        <f>_xll.qlYieldTSDiscount($U$35,Y1723,,Trigger)</f>
        <v>0.95047989435916613</v>
      </c>
    </row>
    <row r="1724" spans="25:26" x14ac:dyDescent="0.25">
      <c r="Y1724" s="63">
        <v>44257</v>
      </c>
      <c r="Z1724" s="61">
        <f>_xll.qlYieldTSDiscount($U$35,Y1724,,Trigger)</f>
        <v>0.9504429820765482</v>
      </c>
    </row>
    <row r="1725" spans="25:26" x14ac:dyDescent="0.25">
      <c r="Y1725" s="63">
        <v>44258</v>
      </c>
      <c r="Z1725" s="61">
        <f>_xll.qlYieldTSDiscount($U$35,Y1725,,Trigger)</f>
        <v>0.9504060620670679</v>
      </c>
    </row>
    <row r="1726" spans="25:26" x14ac:dyDescent="0.25">
      <c r="Y1726" s="63">
        <v>44259</v>
      </c>
      <c r="Z1726" s="61">
        <f>_xll.qlYieldTSDiscount($U$35,Y1726,,Trigger)</f>
        <v>0.95036913437191817</v>
      </c>
    </row>
    <row r="1727" spans="25:26" x14ac:dyDescent="0.25">
      <c r="Y1727" s="63">
        <v>44260</v>
      </c>
      <c r="Z1727" s="61">
        <f>_xll.qlYieldTSDiscount($U$35,Y1727,,Trigger)</f>
        <v>0.95033219903229182</v>
      </c>
    </row>
    <row r="1728" spans="25:26" x14ac:dyDescent="0.25">
      <c r="Y1728" s="63">
        <v>44261</v>
      </c>
      <c r="Z1728" s="61">
        <f>_xll.qlYieldTSDiscount($U$35,Y1728,,Trigger)</f>
        <v>0.95029525608938181</v>
      </c>
    </row>
    <row r="1729" spans="25:26" x14ac:dyDescent="0.25">
      <c r="Y1729" s="63">
        <v>44262</v>
      </c>
      <c r="Z1729" s="61">
        <f>_xll.qlYieldTSDiscount($U$35,Y1729,,Trigger)</f>
        <v>0.95025830558438107</v>
      </c>
    </row>
    <row r="1730" spans="25:26" x14ac:dyDescent="0.25">
      <c r="Y1730" s="63">
        <v>44263</v>
      </c>
      <c r="Z1730" s="61">
        <f>_xll.qlYieldTSDiscount($U$35,Y1730,,Trigger)</f>
        <v>0.95022134755848231</v>
      </c>
    </row>
    <row r="1731" spans="25:26" x14ac:dyDescent="0.25">
      <c r="Y1731" s="63">
        <v>44264</v>
      </c>
      <c r="Z1731" s="61">
        <f>_xll.qlYieldTSDiscount($U$35,Y1731,,Trigger)</f>
        <v>0.95018438205287847</v>
      </c>
    </row>
    <row r="1732" spans="25:26" x14ac:dyDescent="0.25">
      <c r="Y1732" s="63">
        <v>44265</v>
      </c>
      <c r="Z1732" s="61">
        <f>_xll.qlYieldTSDiscount($U$35,Y1732,,Trigger)</f>
        <v>0.9501474091087625</v>
      </c>
    </row>
    <row r="1733" spans="25:26" x14ac:dyDescent="0.25">
      <c r="Y1733" s="63">
        <v>44266</v>
      </c>
      <c r="Z1733" s="61">
        <f>_xll.qlYieldTSDiscount($U$35,Y1733,,Trigger)</f>
        <v>0.95011042876732721</v>
      </c>
    </row>
    <row r="1734" spans="25:26" x14ac:dyDescent="0.25">
      <c r="Y1734" s="63">
        <v>44267</v>
      </c>
      <c r="Z1734" s="61">
        <f>_xll.qlYieldTSDiscount($U$35,Y1734,,Trigger)</f>
        <v>0.95007344106976543</v>
      </c>
    </row>
    <row r="1735" spans="25:26" x14ac:dyDescent="0.25">
      <c r="Y1735" s="63">
        <v>44268</v>
      </c>
      <c r="Z1735" s="61">
        <f>_xll.qlYieldTSDiscount($U$35,Y1735,,Trigger)</f>
        <v>0.95003644605727011</v>
      </c>
    </row>
    <row r="1736" spans="25:26" x14ac:dyDescent="0.25">
      <c r="Y1736" s="63">
        <v>44269</v>
      </c>
      <c r="Z1736" s="61">
        <f>_xll.qlYieldTSDiscount($U$35,Y1736,,Trigger)</f>
        <v>0.94999944377103418</v>
      </c>
    </row>
    <row r="1737" spans="25:26" x14ac:dyDescent="0.25">
      <c r="Y1737" s="63">
        <v>44270</v>
      </c>
      <c r="Z1737" s="61">
        <f>_xll.qlYieldTSDiscount($U$35,Y1737,,Trigger)</f>
        <v>0.94996243425225046</v>
      </c>
    </row>
    <row r="1738" spans="25:26" x14ac:dyDescent="0.25">
      <c r="Y1738" s="63">
        <v>44271</v>
      </c>
      <c r="Z1738" s="61">
        <f>_xll.qlYieldTSDiscount($U$35,Y1738,,Trigger)</f>
        <v>0.94992541754211168</v>
      </c>
    </row>
    <row r="1739" spans="25:26" x14ac:dyDescent="0.25">
      <c r="Y1739" s="63">
        <v>44272</v>
      </c>
      <c r="Z1739" s="61">
        <f>_xll.qlYieldTSDiscount($U$35,Y1739,,Trigger)</f>
        <v>0.94988839368181099</v>
      </c>
    </row>
    <row r="1740" spans="25:26" x14ac:dyDescent="0.25">
      <c r="Y1740" s="63">
        <v>44273</v>
      </c>
      <c r="Z1740" s="61">
        <f>_xll.qlYieldTSDiscount($U$35,Y1740,,Trigger)</f>
        <v>0.94985136271254111</v>
      </c>
    </row>
    <row r="1741" spans="25:26" x14ac:dyDescent="0.25">
      <c r="Y1741" s="63">
        <v>44274</v>
      </c>
      <c r="Z1741" s="61">
        <f>_xll.qlYieldTSDiscount($U$35,Y1741,,Trigger)</f>
        <v>0.94981432467549487</v>
      </c>
    </row>
    <row r="1742" spans="25:26" x14ac:dyDescent="0.25">
      <c r="Y1742" s="63">
        <v>44275</v>
      </c>
      <c r="Z1742" s="61">
        <f>_xll.qlYieldTSDiscount($U$35,Y1742,,Trigger)</f>
        <v>0.94977727961186531</v>
      </c>
    </row>
    <row r="1743" spans="25:26" x14ac:dyDescent="0.25">
      <c r="Y1743" s="63">
        <v>44276</v>
      </c>
      <c r="Z1743" s="61">
        <f>_xll.qlYieldTSDiscount($U$35,Y1743,,Trigger)</f>
        <v>0.94974022756284515</v>
      </c>
    </row>
    <row r="1744" spans="25:26" x14ac:dyDescent="0.25">
      <c r="Y1744" s="63">
        <v>44277</v>
      </c>
      <c r="Z1744" s="61">
        <f>_xll.qlYieldTSDiscount($U$35,Y1744,,Trigger)</f>
        <v>0.94970316856962733</v>
      </c>
    </row>
    <row r="1745" spans="25:26" x14ac:dyDescent="0.25">
      <c r="Y1745" s="63">
        <v>44278</v>
      </c>
      <c r="Z1745" s="61">
        <f>_xll.qlYieldTSDiscount($U$35,Y1745,,Trigger)</f>
        <v>0.94966610267340468</v>
      </c>
    </row>
    <row r="1746" spans="25:26" x14ac:dyDescent="0.25">
      <c r="Y1746" s="63">
        <v>44279</v>
      </c>
      <c r="Z1746" s="61">
        <f>_xll.qlYieldTSDiscount($U$35,Y1746,,Trigger)</f>
        <v>0.94962902991537024</v>
      </c>
    </row>
    <row r="1747" spans="25:26" x14ac:dyDescent="0.25">
      <c r="Y1747" s="63">
        <v>44280</v>
      </c>
      <c r="Z1747" s="61">
        <f>_xll.qlYieldTSDiscount($U$35,Y1747,,Trigger)</f>
        <v>0.94959195033671662</v>
      </c>
    </row>
    <row r="1748" spans="25:26" x14ac:dyDescent="0.25">
      <c r="Y1748" s="63">
        <v>44281</v>
      </c>
      <c r="Z1748" s="61">
        <f>_xll.qlYieldTSDiscount($U$35,Y1748,,Trigger)</f>
        <v>0.94955486397863698</v>
      </c>
    </row>
    <row r="1749" spans="25:26" x14ac:dyDescent="0.25">
      <c r="Y1749" s="63">
        <v>44282</v>
      </c>
      <c r="Z1749" s="61">
        <f>_xll.qlYieldTSDiscount($U$35,Y1749,,Trigger)</f>
        <v>0.94951777088232403</v>
      </c>
    </row>
    <row r="1750" spans="25:26" x14ac:dyDescent="0.25">
      <c r="Y1750" s="63">
        <v>44283</v>
      </c>
      <c r="Z1750" s="61">
        <f>_xll.qlYieldTSDiscount($U$35,Y1750,,Trigger)</f>
        <v>0.94948067108897061</v>
      </c>
    </row>
    <row r="1751" spans="25:26" x14ac:dyDescent="0.25">
      <c r="Y1751" s="63">
        <v>44284</v>
      </c>
      <c r="Z1751" s="61">
        <f>_xll.qlYieldTSDiscount($U$35,Y1751,,Trigger)</f>
        <v>0.94944356463976964</v>
      </c>
    </row>
    <row r="1752" spans="25:26" x14ac:dyDescent="0.25">
      <c r="Y1752" s="63">
        <v>44285</v>
      </c>
      <c r="Z1752" s="61">
        <f>_xll.qlYieldTSDiscount($U$35,Y1752,,Trigger)</f>
        <v>0.94940645157591408</v>
      </c>
    </row>
    <row r="1753" spans="25:26" x14ac:dyDescent="0.25">
      <c r="Y1753" s="63">
        <v>44286</v>
      </c>
      <c r="Z1753" s="61">
        <f>_xll.qlYieldTSDiscount($U$35,Y1753,,Trigger)</f>
        <v>0.94936933193859685</v>
      </c>
    </row>
    <row r="1754" spans="25:26" x14ac:dyDescent="0.25">
      <c r="Y1754" s="63">
        <v>44287</v>
      </c>
      <c r="Z1754" s="61">
        <f>_xll.qlYieldTSDiscount($U$35,Y1754,,Trigger)</f>
        <v>0.94933220576901056</v>
      </c>
    </row>
    <row r="1755" spans="25:26" x14ac:dyDescent="0.25">
      <c r="Y1755" s="63">
        <v>44288</v>
      </c>
      <c r="Z1755" s="61">
        <f>_xll.qlYieldTSDiscount($U$35,Y1755,,Trigger)</f>
        <v>0.94929507310834838</v>
      </c>
    </row>
    <row r="1756" spans="25:26" x14ac:dyDescent="0.25">
      <c r="Y1756" s="63">
        <v>44289</v>
      </c>
      <c r="Z1756" s="61">
        <f>_xll.qlYieldTSDiscount($U$35,Y1756,,Trigger)</f>
        <v>0.94925793399780301</v>
      </c>
    </row>
    <row r="1757" spans="25:26" x14ac:dyDescent="0.25">
      <c r="Y1757" s="63">
        <v>44290</v>
      </c>
      <c r="Z1757" s="61">
        <f>_xll.qlYieldTSDiscount($U$35,Y1757,,Trigger)</f>
        <v>0.94922078847856728</v>
      </c>
    </row>
    <row r="1758" spans="25:26" x14ac:dyDescent="0.25">
      <c r="Y1758" s="63">
        <v>44291</v>
      </c>
      <c r="Z1758" s="61">
        <f>_xll.qlYieldTSDiscount($U$35,Y1758,,Trigger)</f>
        <v>0.94918363659183425</v>
      </c>
    </row>
    <row r="1759" spans="25:26" x14ac:dyDescent="0.25">
      <c r="Y1759" s="63">
        <v>44292</v>
      </c>
      <c r="Z1759" s="61">
        <f>_xll.qlYieldTSDiscount($U$35,Y1759,,Trigger)</f>
        <v>0.94914647837879673</v>
      </c>
    </row>
    <row r="1760" spans="25:26" x14ac:dyDescent="0.25">
      <c r="Y1760" s="63">
        <v>44293</v>
      </c>
      <c r="Z1760" s="61">
        <f>_xll.qlYieldTSDiscount($U$35,Y1760,,Trigger)</f>
        <v>0.94910931388064756</v>
      </c>
    </row>
    <row r="1761" spans="25:26" x14ac:dyDescent="0.25">
      <c r="Y1761" s="63">
        <v>44294</v>
      </c>
      <c r="Z1761" s="61">
        <f>_xll.qlYieldTSDiscount($U$35,Y1761,,Trigger)</f>
        <v>0.94907214313857957</v>
      </c>
    </row>
    <row r="1762" spans="25:26" x14ac:dyDescent="0.25">
      <c r="Y1762" s="63">
        <v>44295</v>
      </c>
      <c r="Z1762" s="61">
        <f>_xll.qlYieldTSDiscount($U$35,Y1762,,Trigger)</f>
        <v>0.9490349661937858</v>
      </c>
    </row>
    <row r="1763" spans="25:26" x14ac:dyDescent="0.25">
      <c r="Y1763" s="63">
        <v>44296</v>
      </c>
      <c r="Z1763" s="61">
        <f>_xll.qlYieldTSDiscount($U$35,Y1763,,Trigger)</f>
        <v>0.94899778308745897</v>
      </c>
    </row>
    <row r="1764" spans="25:26" x14ac:dyDescent="0.25">
      <c r="Y1764" s="63">
        <v>44297</v>
      </c>
      <c r="Z1764" s="61">
        <f>_xll.qlYieldTSDiscount($U$35,Y1764,,Trigger)</f>
        <v>0.94896059386079201</v>
      </c>
    </row>
    <row r="1765" spans="25:26" x14ac:dyDescent="0.25">
      <c r="Y1765" s="63">
        <v>44298</v>
      </c>
      <c r="Z1765" s="61">
        <f>_xll.qlYieldTSDiscount($U$35,Y1765,,Trigger)</f>
        <v>0.94892339855497776</v>
      </c>
    </row>
    <row r="1766" spans="25:26" x14ac:dyDescent="0.25">
      <c r="Y1766" s="63">
        <v>44299</v>
      </c>
      <c r="Z1766" s="61">
        <f>_xll.qlYieldTSDiscount($U$35,Y1766,,Trigger)</f>
        <v>0.94888619721120915</v>
      </c>
    </row>
    <row r="1767" spans="25:26" x14ac:dyDescent="0.25">
      <c r="Y1767" s="63">
        <v>44300</v>
      </c>
      <c r="Z1767" s="61">
        <f>_xll.qlYieldTSDiscount($U$35,Y1767,,Trigger)</f>
        <v>0.94884898987067912</v>
      </c>
    </row>
    <row r="1768" spans="25:26" x14ac:dyDescent="0.25">
      <c r="Y1768" s="63">
        <v>44301</v>
      </c>
      <c r="Z1768" s="61">
        <f>_xll.qlYieldTSDiscount($U$35,Y1768,,Trigger)</f>
        <v>0.94881177657458038</v>
      </c>
    </row>
    <row r="1769" spans="25:26" x14ac:dyDescent="0.25">
      <c r="Y1769" s="63">
        <v>44302</v>
      </c>
      <c r="Z1769" s="61">
        <f>_xll.qlYieldTSDiscount($U$35,Y1769,,Trigger)</f>
        <v>0.94877455736410599</v>
      </c>
    </row>
    <row r="1770" spans="25:26" x14ac:dyDescent="0.25">
      <c r="Y1770" s="63">
        <v>44303</v>
      </c>
      <c r="Z1770" s="61">
        <f>_xll.qlYieldTSDiscount($U$35,Y1770,,Trigger)</f>
        <v>0.94873733228044865</v>
      </c>
    </row>
    <row r="1771" spans="25:26" x14ac:dyDescent="0.25">
      <c r="Y1771" s="63">
        <v>44304</v>
      </c>
      <c r="Z1771" s="61">
        <f>_xll.qlYieldTSDiscount($U$35,Y1771,,Trigger)</f>
        <v>0.94870010136480132</v>
      </c>
    </row>
    <row r="1772" spans="25:26" x14ac:dyDescent="0.25">
      <c r="Y1772" s="63">
        <v>44305</v>
      </c>
      <c r="Z1772" s="61">
        <f>_xll.qlYieldTSDiscount($U$35,Y1772,,Trigger)</f>
        <v>0.94866286465835692</v>
      </c>
    </row>
    <row r="1773" spans="25:26" x14ac:dyDescent="0.25">
      <c r="Y1773" s="63">
        <v>44306</v>
      </c>
      <c r="Z1773" s="61">
        <f>_xll.qlYieldTSDiscount($U$35,Y1773,,Trigger)</f>
        <v>0.94862562220230828</v>
      </c>
    </row>
    <row r="1774" spans="25:26" x14ac:dyDescent="0.25">
      <c r="Y1774" s="63">
        <v>44307</v>
      </c>
      <c r="Z1774" s="61">
        <f>_xll.qlYieldTSDiscount($U$35,Y1774,,Trigger)</f>
        <v>0.94858837403784824</v>
      </c>
    </row>
    <row r="1775" spans="25:26" x14ac:dyDescent="0.25">
      <c r="Y1775" s="63">
        <v>44308</v>
      </c>
      <c r="Z1775" s="61">
        <f>_xll.qlYieldTSDiscount($U$35,Y1775,,Trigger)</f>
        <v>0.94855112020616972</v>
      </c>
    </row>
    <row r="1776" spans="25:26" x14ac:dyDescent="0.25">
      <c r="Y1776" s="63">
        <v>44309</v>
      </c>
      <c r="Z1776" s="61">
        <f>_xll.qlYieldTSDiscount($U$35,Y1776,,Trigger)</f>
        <v>0.94851386074846566</v>
      </c>
    </row>
    <row r="1777" spans="25:26" x14ac:dyDescent="0.25">
      <c r="Y1777" s="63">
        <v>44310</v>
      </c>
      <c r="Z1777" s="61">
        <f>_xll.qlYieldTSDiscount($U$35,Y1777,,Trigger)</f>
        <v>0.94847659570592879</v>
      </c>
    </row>
    <row r="1778" spans="25:26" x14ac:dyDescent="0.25">
      <c r="Y1778" s="63">
        <v>44311</v>
      </c>
      <c r="Z1778" s="61">
        <f>_xll.qlYieldTSDiscount($U$35,Y1778,,Trigger)</f>
        <v>0.94843932511975215</v>
      </c>
    </row>
    <row r="1779" spans="25:26" x14ac:dyDescent="0.25">
      <c r="Y1779" s="63">
        <v>44312</v>
      </c>
      <c r="Z1779" s="61">
        <f>_xll.qlYieldTSDiscount($U$35,Y1779,,Trigger)</f>
        <v>0.94840204903112846</v>
      </c>
    </row>
    <row r="1780" spans="25:26" x14ac:dyDescent="0.25">
      <c r="Y1780" s="63">
        <v>44313</v>
      </c>
      <c r="Z1780" s="61">
        <f>_xll.qlYieldTSDiscount($U$35,Y1780,,Trigger)</f>
        <v>0.94836476748125065</v>
      </c>
    </row>
    <row r="1781" spans="25:26" x14ac:dyDescent="0.25">
      <c r="Y1781" s="63">
        <v>44314</v>
      </c>
      <c r="Z1781" s="61">
        <f>_xll.qlYieldTSDiscount($U$35,Y1781,,Trigger)</f>
        <v>0.94832748051131166</v>
      </c>
    </row>
    <row r="1782" spans="25:26" x14ac:dyDescent="0.25">
      <c r="Y1782" s="63">
        <v>44315</v>
      </c>
      <c r="Z1782" s="61">
        <f>_xll.qlYieldTSDiscount($U$35,Y1782,,Trigger)</f>
        <v>0.94829018816250432</v>
      </c>
    </row>
    <row r="1783" spans="25:26" x14ac:dyDescent="0.25">
      <c r="Y1783" s="63">
        <v>44316</v>
      </c>
      <c r="Z1783" s="61">
        <f>_xll.qlYieldTSDiscount($U$35,Y1783,,Trigger)</f>
        <v>0.94825289047602157</v>
      </c>
    </row>
    <row r="1784" spans="25:26" x14ac:dyDescent="0.25">
      <c r="Y1784" s="63">
        <v>44317</v>
      </c>
      <c r="Z1784" s="61">
        <f>_xll.qlYieldTSDiscount($U$35,Y1784,,Trigger)</f>
        <v>0.94821558749305612</v>
      </c>
    </row>
    <row r="1785" spans="25:26" x14ac:dyDescent="0.25">
      <c r="Y1785" s="63">
        <v>44318</v>
      </c>
      <c r="Z1785" s="61">
        <f>_xll.qlYieldTSDiscount($U$35,Y1785,,Trigger)</f>
        <v>0.94817827925480103</v>
      </c>
    </row>
    <row r="1786" spans="25:26" x14ac:dyDescent="0.25">
      <c r="Y1786" s="63">
        <v>44319</v>
      </c>
      <c r="Z1786" s="61">
        <f>_xll.qlYieldTSDiscount($U$35,Y1786,,Trigger)</f>
        <v>0.94814096580244911</v>
      </c>
    </row>
    <row r="1787" spans="25:26" x14ac:dyDescent="0.25">
      <c r="Y1787" s="63">
        <v>44320</v>
      </c>
      <c r="Z1787" s="61">
        <f>_xll.qlYieldTSDiscount($U$35,Y1787,,Trigger)</f>
        <v>0.94810364717719309</v>
      </c>
    </row>
    <row r="1788" spans="25:26" x14ac:dyDescent="0.25">
      <c r="Y1788" s="63">
        <v>44321</v>
      </c>
      <c r="Z1788" s="61">
        <f>_xll.qlYieldTSDiscount($U$35,Y1788,,Trigger)</f>
        <v>0.94806632342022612</v>
      </c>
    </row>
    <row r="1789" spans="25:26" x14ac:dyDescent="0.25">
      <c r="Y1789" s="63">
        <v>44322</v>
      </c>
      <c r="Z1789" s="61">
        <f>_xll.qlYieldTSDiscount($U$35,Y1789,,Trigger)</f>
        <v>0.94802899457274092</v>
      </c>
    </row>
    <row r="1790" spans="25:26" x14ac:dyDescent="0.25">
      <c r="Y1790" s="63">
        <v>44323</v>
      </c>
      <c r="Z1790" s="61">
        <f>_xll.qlYieldTSDiscount($U$35,Y1790,,Trigger)</f>
        <v>0.94799166067593044</v>
      </c>
    </row>
    <row r="1791" spans="25:26" x14ac:dyDescent="0.25">
      <c r="Y1791" s="63">
        <v>44324</v>
      </c>
      <c r="Z1791" s="61">
        <f>_xll.qlYieldTSDiscount($U$35,Y1791,,Trigger)</f>
        <v>0.94795432177098737</v>
      </c>
    </row>
    <row r="1792" spans="25:26" x14ac:dyDescent="0.25">
      <c r="Y1792" s="63">
        <v>44325</v>
      </c>
      <c r="Z1792" s="61">
        <f>_xll.qlYieldTSDiscount($U$35,Y1792,,Trigger)</f>
        <v>0.94791697789910478</v>
      </c>
    </row>
    <row r="1793" spans="25:26" x14ac:dyDescent="0.25">
      <c r="Y1793" s="63">
        <v>44326</v>
      </c>
      <c r="Z1793" s="61">
        <f>_xll.qlYieldTSDiscount($U$35,Y1793,,Trigger)</f>
        <v>0.9478796291014755</v>
      </c>
    </row>
    <row r="1794" spans="25:26" x14ac:dyDescent="0.25">
      <c r="Y1794" s="63">
        <v>44327</v>
      </c>
      <c r="Z1794" s="61">
        <f>_xll.qlYieldTSDiscount($U$35,Y1794,,Trigger)</f>
        <v>0.94784227541929245</v>
      </c>
    </row>
    <row r="1795" spans="25:26" x14ac:dyDescent="0.25">
      <c r="Y1795" s="63">
        <v>44328</v>
      </c>
      <c r="Z1795" s="61">
        <f>_xll.qlYieldTSDiscount($U$35,Y1795,,Trigger)</f>
        <v>0.94780491689374835</v>
      </c>
    </row>
    <row r="1796" spans="25:26" x14ac:dyDescent="0.25">
      <c r="Y1796" s="63">
        <v>44329</v>
      </c>
      <c r="Z1796" s="61">
        <f>_xll.qlYieldTSDiscount($U$35,Y1796,,Trigger)</f>
        <v>0.94776755356603626</v>
      </c>
    </row>
    <row r="1797" spans="25:26" x14ac:dyDescent="0.25">
      <c r="Y1797" s="63">
        <v>44330</v>
      </c>
      <c r="Z1797" s="61">
        <f>_xll.qlYieldTSDiscount($U$35,Y1797,,Trigger)</f>
        <v>0.94773018547734889</v>
      </c>
    </row>
    <row r="1798" spans="25:26" x14ac:dyDescent="0.25">
      <c r="Y1798" s="63">
        <v>44331</v>
      </c>
      <c r="Z1798" s="61">
        <f>_xll.qlYieldTSDiscount($U$35,Y1798,,Trigger)</f>
        <v>0.94769281266887928</v>
      </c>
    </row>
    <row r="1799" spans="25:26" x14ac:dyDescent="0.25">
      <c r="Y1799" s="63">
        <v>44332</v>
      </c>
      <c r="Z1799" s="61">
        <f>_xll.qlYieldTSDiscount($U$35,Y1799,,Trigger)</f>
        <v>0.94765543518182016</v>
      </c>
    </row>
    <row r="1800" spans="25:26" x14ac:dyDescent="0.25">
      <c r="Y1800" s="63">
        <v>44333</v>
      </c>
      <c r="Z1800" s="61">
        <f>_xll.qlYieldTSDiscount($U$35,Y1800,,Trigger)</f>
        <v>0.94761805305736446</v>
      </c>
    </row>
    <row r="1801" spans="25:26" x14ac:dyDescent="0.25">
      <c r="Y1801" s="63">
        <v>44334</v>
      </c>
      <c r="Z1801" s="61">
        <f>_xll.qlYieldTSDiscount($U$35,Y1801,,Trigger)</f>
        <v>0.94758066633670512</v>
      </c>
    </row>
    <row r="1802" spans="25:26" x14ac:dyDescent="0.25">
      <c r="Y1802" s="63">
        <v>44335</v>
      </c>
      <c r="Z1802" s="61">
        <f>_xll.qlYieldTSDiscount($U$35,Y1802,,Trigger)</f>
        <v>0.94754327506103497</v>
      </c>
    </row>
    <row r="1803" spans="25:26" x14ac:dyDescent="0.25">
      <c r="Y1803" s="63">
        <v>44336</v>
      </c>
      <c r="Z1803" s="61">
        <f>_xll.qlYieldTSDiscount($U$35,Y1803,,Trigger)</f>
        <v>0.94750587927154695</v>
      </c>
    </row>
    <row r="1804" spans="25:26" x14ac:dyDescent="0.25">
      <c r="Y1804" s="63">
        <v>44337</v>
      </c>
      <c r="Z1804" s="61">
        <f>_xll.qlYieldTSDiscount($U$35,Y1804,,Trigger)</f>
        <v>0.94746847900943376</v>
      </c>
    </row>
    <row r="1805" spans="25:26" x14ac:dyDescent="0.25">
      <c r="Y1805" s="63">
        <v>44338</v>
      </c>
      <c r="Z1805" s="61">
        <f>_xll.qlYieldTSDiscount($U$35,Y1805,,Trigger)</f>
        <v>0.94743107431588847</v>
      </c>
    </row>
    <row r="1806" spans="25:26" x14ac:dyDescent="0.25">
      <c r="Y1806" s="63">
        <v>44339</v>
      </c>
      <c r="Z1806" s="61">
        <f>_xll.qlYieldTSDiscount($U$35,Y1806,,Trigger)</f>
        <v>0.94739366523210389</v>
      </c>
    </row>
    <row r="1807" spans="25:26" x14ac:dyDescent="0.25">
      <c r="Y1807" s="63">
        <v>44340</v>
      </c>
      <c r="Z1807" s="61">
        <f>_xll.qlYieldTSDiscount($U$35,Y1807,,Trigger)</f>
        <v>0.94735625179927274</v>
      </c>
    </row>
    <row r="1808" spans="25:26" x14ac:dyDescent="0.25">
      <c r="Y1808" s="63">
        <v>44341</v>
      </c>
      <c r="Z1808" s="61">
        <f>_xll.qlYieldTSDiscount($U$35,Y1808,,Trigger)</f>
        <v>0.94731883405858819</v>
      </c>
    </row>
    <row r="1809" spans="25:26" x14ac:dyDescent="0.25">
      <c r="Y1809" s="63">
        <v>44342</v>
      </c>
      <c r="Z1809" s="61">
        <f>_xll.qlYieldTSDiscount($U$35,Y1809,,Trigger)</f>
        <v>0.94728141205124294</v>
      </c>
    </row>
    <row r="1810" spans="25:26" x14ac:dyDescent="0.25">
      <c r="Y1810" s="63">
        <v>44343</v>
      </c>
      <c r="Z1810" s="61">
        <f>_xll.qlYieldTSDiscount($U$35,Y1810,,Trigger)</f>
        <v>0.94724398581842983</v>
      </c>
    </row>
    <row r="1811" spans="25:26" x14ac:dyDescent="0.25">
      <c r="Y1811" s="63">
        <v>44344</v>
      </c>
      <c r="Z1811" s="61">
        <f>_xll.qlYieldTSDiscount($U$35,Y1811,,Trigger)</f>
        <v>0.9472065554013418</v>
      </c>
    </row>
    <row r="1812" spans="25:26" x14ac:dyDescent="0.25">
      <c r="Y1812" s="63">
        <v>44345</v>
      </c>
      <c r="Z1812" s="61">
        <f>_xll.qlYieldTSDiscount($U$35,Y1812,,Trigger)</f>
        <v>0.94716912084117177</v>
      </c>
    </row>
    <row r="1813" spans="25:26" x14ac:dyDescent="0.25">
      <c r="Y1813" s="63">
        <v>44346</v>
      </c>
      <c r="Z1813" s="61">
        <f>_xll.qlYieldTSDiscount($U$35,Y1813,,Trigger)</f>
        <v>0.94713168217911259</v>
      </c>
    </row>
    <row r="1814" spans="25:26" x14ac:dyDescent="0.25">
      <c r="Y1814" s="63">
        <v>44347</v>
      </c>
      <c r="Z1814" s="61">
        <f>_xll.qlYieldTSDiscount($U$35,Y1814,,Trigger)</f>
        <v>0.94709423945635707</v>
      </c>
    </row>
    <row r="1815" spans="25:26" x14ac:dyDescent="0.25">
      <c r="Y1815" s="63">
        <v>44348</v>
      </c>
      <c r="Z1815" s="61">
        <f>_xll.qlYieldTSDiscount($U$35,Y1815,,Trigger)</f>
        <v>0.94705679271409815</v>
      </c>
    </row>
    <row r="1816" spans="25:26" x14ac:dyDescent="0.25">
      <c r="Y1816" s="63">
        <v>44349</v>
      </c>
      <c r="Z1816" s="61">
        <f>_xll.qlYieldTSDiscount($U$35,Y1816,,Trigger)</f>
        <v>0.94701934199352866</v>
      </c>
    </row>
    <row r="1817" spans="25:26" x14ac:dyDescent="0.25">
      <c r="Y1817" s="63">
        <v>44350</v>
      </c>
      <c r="Z1817" s="61">
        <f>_xll.qlYieldTSDiscount($U$35,Y1817,,Trigger)</f>
        <v>0.94698188733584154</v>
      </c>
    </row>
    <row r="1818" spans="25:26" x14ac:dyDescent="0.25">
      <c r="Y1818" s="63">
        <v>44351</v>
      </c>
      <c r="Z1818" s="61">
        <f>_xll.qlYieldTSDiscount($U$35,Y1818,,Trigger)</f>
        <v>0.94694442878222973</v>
      </c>
    </row>
    <row r="1819" spans="25:26" x14ac:dyDescent="0.25">
      <c r="Y1819" s="63">
        <v>44352</v>
      </c>
      <c r="Z1819" s="61">
        <f>_xll.qlYieldTSDiscount($U$35,Y1819,,Trigger)</f>
        <v>0.94690696637388583</v>
      </c>
    </row>
    <row r="1820" spans="25:26" x14ac:dyDescent="0.25">
      <c r="Y1820" s="63">
        <v>44353</v>
      </c>
      <c r="Z1820" s="61">
        <f>_xll.qlYieldTSDiscount($U$35,Y1820,,Trigger)</f>
        <v>0.94686950015200311</v>
      </c>
    </row>
    <row r="1821" spans="25:26" x14ac:dyDescent="0.25">
      <c r="Y1821" s="63">
        <v>44354</v>
      </c>
      <c r="Z1821" s="61">
        <f>_xll.qlYieldTSDiscount($U$35,Y1821,,Trigger)</f>
        <v>0.94683203015777406</v>
      </c>
    </row>
    <row r="1822" spans="25:26" x14ac:dyDescent="0.25">
      <c r="Y1822" s="63">
        <v>44355</v>
      </c>
      <c r="Z1822" s="61">
        <f>_xll.qlYieldTSDiscount($U$35,Y1822,,Trigger)</f>
        <v>0.94679455643239185</v>
      </c>
    </row>
    <row r="1823" spans="25:26" x14ac:dyDescent="0.25">
      <c r="Y1823" s="63">
        <v>44356</v>
      </c>
      <c r="Z1823" s="61">
        <f>_xll.qlYieldTSDiscount($U$35,Y1823,,Trigger)</f>
        <v>0.94675707901704909</v>
      </c>
    </row>
    <row r="1824" spans="25:26" x14ac:dyDescent="0.25">
      <c r="Y1824" s="63">
        <v>44357</v>
      </c>
      <c r="Z1824" s="61">
        <f>_xll.qlYieldTSDiscount($U$35,Y1824,,Trigger)</f>
        <v>0.94671959795293892</v>
      </c>
    </row>
    <row r="1825" spans="25:26" x14ac:dyDescent="0.25">
      <c r="Y1825" s="63">
        <v>44358</v>
      </c>
      <c r="Z1825" s="61">
        <f>_xll.qlYieldTSDiscount($U$35,Y1825,,Trigger)</f>
        <v>0.94668211328125407</v>
      </c>
    </row>
    <row r="1826" spans="25:26" x14ac:dyDescent="0.25">
      <c r="Y1826" s="63">
        <v>44359</v>
      </c>
      <c r="Z1826" s="61">
        <f>_xll.qlYieldTSDiscount($U$35,Y1826,,Trigger)</f>
        <v>0.94664462504318747</v>
      </c>
    </row>
    <row r="1827" spans="25:26" x14ac:dyDescent="0.25">
      <c r="Y1827" s="63">
        <v>44360</v>
      </c>
      <c r="Z1827" s="61">
        <f>_xll.qlYieldTSDiscount($U$35,Y1827,,Trigger)</f>
        <v>0.94660713327993207</v>
      </c>
    </row>
    <row r="1828" spans="25:26" x14ac:dyDescent="0.25">
      <c r="Y1828" s="63">
        <v>44361</v>
      </c>
      <c r="Z1828" s="61">
        <f>_xll.qlYieldTSDiscount($U$35,Y1828,,Trigger)</f>
        <v>0.94656963803268057</v>
      </c>
    </row>
    <row r="1829" spans="25:26" x14ac:dyDescent="0.25">
      <c r="Y1829" s="63">
        <v>44362</v>
      </c>
      <c r="Z1829" s="61">
        <f>_xll.qlYieldTSDiscount($U$35,Y1829,,Trigger)</f>
        <v>0.94653213934262581</v>
      </c>
    </row>
    <row r="1830" spans="25:26" x14ac:dyDescent="0.25">
      <c r="Y1830" s="63">
        <v>44363</v>
      </c>
      <c r="Z1830" s="61">
        <f>_xll.qlYieldTSDiscount($U$35,Y1830,,Trigger)</f>
        <v>0.94649463725096095</v>
      </c>
    </row>
    <row r="1831" spans="25:26" x14ac:dyDescent="0.25">
      <c r="Y1831" s="63">
        <v>44364</v>
      </c>
      <c r="Z1831" s="61">
        <f>_xll.qlYieldTSDiscount($U$35,Y1831,,Trigger)</f>
        <v>0.94645713179887869</v>
      </c>
    </row>
    <row r="1832" spans="25:26" x14ac:dyDescent="0.25">
      <c r="Y1832" s="63">
        <v>44365</v>
      </c>
      <c r="Z1832" s="61">
        <f>_xll.qlYieldTSDiscount($U$35,Y1832,,Trigger)</f>
        <v>0.94641962302757188</v>
      </c>
    </row>
    <row r="1833" spans="25:26" x14ac:dyDescent="0.25">
      <c r="Y1833" s="63">
        <v>44366</v>
      </c>
      <c r="Z1833" s="61">
        <f>_xll.qlYieldTSDiscount($U$35,Y1833,,Trigger)</f>
        <v>0.94638211097823344</v>
      </c>
    </row>
    <row r="1834" spans="25:26" x14ac:dyDescent="0.25">
      <c r="Y1834" s="63">
        <v>44367</v>
      </c>
      <c r="Z1834" s="61">
        <f>_xll.qlYieldTSDiscount($U$35,Y1834,,Trigger)</f>
        <v>0.9463445956920562</v>
      </c>
    </row>
    <row r="1835" spans="25:26" x14ac:dyDescent="0.25">
      <c r="Y1835" s="63">
        <v>44368</v>
      </c>
      <c r="Z1835" s="61">
        <f>_xll.qlYieldTSDiscount($U$35,Y1835,,Trigger)</f>
        <v>0.94630707721023311</v>
      </c>
    </row>
    <row r="1836" spans="25:26" x14ac:dyDescent="0.25">
      <c r="Y1836" s="63">
        <v>44369</v>
      </c>
      <c r="Z1836" s="61">
        <f>_xll.qlYieldTSDiscount($U$35,Y1836,,Trigger)</f>
        <v>0.94626955557395709</v>
      </c>
    </row>
    <row r="1837" spans="25:26" x14ac:dyDescent="0.25">
      <c r="Y1837" s="63">
        <v>44370</v>
      </c>
      <c r="Z1837" s="61">
        <f>_xll.qlYieldTSDiscount($U$35,Y1837,,Trigger)</f>
        <v>0.94623203082442087</v>
      </c>
    </row>
    <row r="1838" spans="25:26" x14ac:dyDescent="0.25">
      <c r="Y1838" s="63">
        <v>44371</v>
      </c>
      <c r="Z1838" s="61">
        <f>_xll.qlYieldTSDiscount($U$35,Y1838,,Trigger)</f>
        <v>0.94619450300281738</v>
      </c>
    </row>
    <row r="1839" spans="25:26" x14ac:dyDescent="0.25">
      <c r="Y1839" s="63">
        <v>44372</v>
      </c>
      <c r="Z1839" s="61">
        <f>_xll.qlYieldTSDiscount($U$35,Y1839,,Trigger)</f>
        <v>0.94615697215033956</v>
      </c>
    </row>
    <row r="1840" spans="25:26" x14ac:dyDescent="0.25">
      <c r="Y1840" s="63">
        <v>44373</v>
      </c>
      <c r="Z1840" s="61">
        <f>_xll.qlYieldTSDiscount($U$35,Y1840,,Trigger)</f>
        <v>0.94611943830818024</v>
      </c>
    </row>
    <row r="1841" spans="25:26" x14ac:dyDescent="0.25">
      <c r="Y1841" s="63">
        <v>44374</v>
      </c>
      <c r="Z1841" s="61">
        <f>_xll.qlYieldTSDiscount($U$35,Y1841,,Trigger)</f>
        <v>0.94608190151753235</v>
      </c>
    </row>
    <row r="1842" spans="25:26" x14ac:dyDescent="0.25">
      <c r="Y1842" s="63">
        <v>44375</v>
      </c>
      <c r="Z1842" s="61">
        <f>_xll.qlYieldTSDiscount($U$35,Y1842,,Trigger)</f>
        <v>0.94604436181958862</v>
      </c>
    </row>
    <row r="1843" spans="25:26" x14ac:dyDescent="0.25">
      <c r="Y1843" s="63">
        <v>44376</v>
      </c>
      <c r="Z1843" s="61">
        <f>_xll.qlYieldTSDiscount($U$35,Y1843,,Trigger)</f>
        <v>0.94600681925554209</v>
      </c>
    </row>
    <row r="1844" spans="25:26" x14ac:dyDescent="0.25">
      <c r="Y1844" s="63">
        <v>44377</v>
      </c>
      <c r="Z1844" s="61">
        <f>_xll.qlYieldTSDiscount($U$35,Y1844,,Trigger)</f>
        <v>0.94596927386658558</v>
      </c>
    </row>
    <row r="1845" spans="25:26" x14ac:dyDescent="0.25">
      <c r="Y1845" s="63">
        <v>44378</v>
      </c>
      <c r="Z1845" s="61">
        <f>_xll.qlYieldTSDiscount($U$35,Y1845,,Trigger)</f>
        <v>0.94593172569391193</v>
      </c>
    </row>
    <row r="1846" spans="25:26" x14ac:dyDescent="0.25">
      <c r="Y1846" s="63">
        <v>44379</v>
      </c>
      <c r="Z1846" s="61">
        <f>_xll.qlYieldTSDiscount($U$35,Y1846,,Trigger)</f>
        <v>0.94589417477871407</v>
      </c>
    </row>
    <row r="1847" spans="25:26" x14ac:dyDescent="0.25">
      <c r="Y1847" s="63">
        <v>44380</v>
      </c>
      <c r="Z1847" s="61">
        <f>_xll.qlYieldTSDiscount($U$35,Y1847,,Trigger)</f>
        <v>0.94585662116218483</v>
      </c>
    </row>
    <row r="1848" spans="25:26" x14ac:dyDescent="0.25">
      <c r="Y1848" s="63">
        <v>44381</v>
      </c>
      <c r="Z1848" s="61">
        <f>_xll.qlYieldTSDiscount($U$35,Y1848,,Trigger)</f>
        <v>0.94581906488551715</v>
      </c>
    </row>
    <row r="1849" spans="25:26" x14ac:dyDescent="0.25">
      <c r="Y1849" s="63">
        <v>44382</v>
      </c>
      <c r="Z1849" s="61">
        <f>_xll.qlYieldTSDiscount($U$35,Y1849,,Trigger)</f>
        <v>0.94578150598990385</v>
      </c>
    </row>
    <row r="1850" spans="25:26" x14ac:dyDescent="0.25">
      <c r="Y1850" s="63">
        <v>44383</v>
      </c>
      <c r="Z1850" s="61">
        <f>_xll.qlYieldTSDiscount($U$35,Y1850,,Trigger)</f>
        <v>0.94574394451653776</v>
      </c>
    </row>
    <row r="1851" spans="25:26" x14ac:dyDescent="0.25">
      <c r="Y1851" s="63">
        <v>44384</v>
      </c>
      <c r="Z1851" s="61">
        <f>_xll.qlYieldTSDiscount($U$35,Y1851,,Trigger)</f>
        <v>0.94570638050661193</v>
      </c>
    </row>
    <row r="1852" spans="25:26" x14ac:dyDescent="0.25">
      <c r="Y1852" s="63">
        <v>44385</v>
      </c>
      <c r="Z1852" s="61">
        <f>_xll.qlYieldTSDiscount($U$35,Y1852,,Trigger)</f>
        <v>0.94566881400131897</v>
      </c>
    </row>
    <row r="1853" spans="25:26" x14ac:dyDescent="0.25">
      <c r="Y1853" s="63">
        <v>44386</v>
      </c>
      <c r="Z1853" s="61">
        <f>_xll.qlYieldTSDiscount($U$35,Y1853,,Trigger)</f>
        <v>0.94563124504185203</v>
      </c>
    </row>
    <row r="1854" spans="25:26" x14ac:dyDescent="0.25">
      <c r="Y1854" s="63">
        <v>44387</v>
      </c>
      <c r="Z1854" s="61">
        <f>_xll.qlYieldTSDiscount($U$35,Y1854,,Trigger)</f>
        <v>0.94559367366940383</v>
      </c>
    </row>
    <row r="1855" spans="25:26" x14ac:dyDescent="0.25">
      <c r="Y1855" s="63">
        <v>44388</v>
      </c>
      <c r="Z1855" s="61">
        <f>_xll.qlYieldTSDiscount($U$35,Y1855,,Trigger)</f>
        <v>0.94555609992516731</v>
      </c>
    </row>
    <row r="1856" spans="25:26" x14ac:dyDescent="0.25">
      <c r="Y1856" s="63">
        <v>44389</v>
      </c>
      <c r="Z1856" s="61">
        <f>_xll.qlYieldTSDiscount($U$35,Y1856,,Trigger)</f>
        <v>0.9455185238503353</v>
      </c>
    </row>
    <row r="1857" spans="25:26" x14ac:dyDescent="0.25">
      <c r="Y1857" s="63">
        <v>44390</v>
      </c>
      <c r="Z1857" s="61">
        <f>_xll.qlYieldTSDiscount($U$35,Y1857,,Trigger)</f>
        <v>0.94548094548610073</v>
      </c>
    </row>
    <row r="1858" spans="25:26" x14ac:dyDescent="0.25">
      <c r="Y1858" s="63">
        <v>44391</v>
      </c>
      <c r="Z1858" s="61">
        <f>_xll.qlYieldTSDiscount($U$35,Y1858,,Trigger)</f>
        <v>0.94544336486732283</v>
      </c>
    </row>
    <row r="1859" spans="25:26" x14ac:dyDescent="0.25">
      <c r="Y1859" s="63">
        <v>44392</v>
      </c>
      <c r="Z1859" s="61">
        <f>_xll.qlYieldTSDiscount($U$35,Y1859,,Trigger)</f>
        <v>0.94540578200352665</v>
      </c>
    </row>
    <row r="1860" spans="25:26" x14ac:dyDescent="0.25">
      <c r="Y1860" s="63">
        <v>44393</v>
      </c>
      <c r="Z1860" s="61">
        <f>_xll.qlYieldTSDiscount($U$35,Y1860,,Trigger)</f>
        <v>0.94536819689790363</v>
      </c>
    </row>
    <row r="1861" spans="25:26" x14ac:dyDescent="0.25">
      <c r="Y1861" s="63">
        <v>44394</v>
      </c>
      <c r="Z1861" s="61">
        <f>_xll.qlYieldTSDiscount($U$35,Y1861,,Trigger)</f>
        <v>0.94533060955364523</v>
      </c>
    </row>
    <row r="1862" spans="25:26" x14ac:dyDescent="0.25">
      <c r="Y1862" s="63">
        <v>44395</v>
      </c>
      <c r="Z1862" s="61">
        <f>_xll.qlYieldTSDiscount($U$35,Y1862,,Trigger)</f>
        <v>0.94529301997394266</v>
      </c>
    </row>
    <row r="1863" spans="25:26" x14ac:dyDescent="0.25">
      <c r="Y1863" s="63">
        <v>44396</v>
      </c>
      <c r="Z1863" s="61">
        <f>_xll.qlYieldTSDiscount($U$35,Y1863,,Trigger)</f>
        <v>0.9452554281619876</v>
      </c>
    </row>
    <row r="1864" spans="25:26" x14ac:dyDescent="0.25">
      <c r="Y1864" s="63">
        <v>44397</v>
      </c>
      <c r="Z1864" s="61">
        <f>_xll.qlYieldTSDiscount($U$35,Y1864,,Trigger)</f>
        <v>0.94521783412097138</v>
      </c>
    </row>
    <row r="1865" spans="25:26" x14ac:dyDescent="0.25">
      <c r="Y1865" s="63">
        <v>44398</v>
      </c>
      <c r="Z1865" s="61">
        <f>_xll.qlYieldTSDiscount($U$35,Y1865,,Trigger)</f>
        <v>0.94518023785408545</v>
      </c>
    </row>
    <row r="1866" spans="25:26" x14ac:dyDescent="0.25">
      <c r="Y1866" s="63">
        <v>44399</v>
      </c>
      <c r="Z1866" s="61">
        <f>_xll.qlYieldTSDiscount($U$35,Y1866,,Trigger)</f>
        <v>0.94514263936452114</v>
      </c>
    </row>
    <row r="1867" spans="25:26" x14ac:dyDescent="0.25">
      <c r="Y1867" s="63">
        <v>44400</v>
      </c>
      <c r="Z1867" s="61">
        <f>_xll.qlYieldTSDiscount($U$35,Y1867,,Trigger)</f>
        <v>0.94510503865547002</v>
      </c>
    </row>
    <row r="1868" spans="25:26" x14ac:dyDescent="0.25">
      <c r="Y1868" s="63">
        <v>44401</v>
      </c>
      <c r="Z1868" s="61">
        <f>_xll.qlYieldTSDiscount($U$35,Y1868,,Trigger)</f>
        <v>0.94506743573012331</v>
      </c>
    </row>
    <row r="1869" spans="25:26" x14ac:dyDescent="0.25">
      <c r="Y1869" s="63">
        <v>44402</v>
      </c>
      <c r="Z1869" s="61">
        <f>_xll.qlYieldTSDiscount($U$35,Y1869,,Trigger)</f>
        <v>0.94502983059167267</v>
      </c>
    </row>
    <row r="1870" spans="25:26" x14ac:dyDescent="0.25">
      <c r="Y1870" s="63">
        <v>44403</v>
      </c>
      <c r="Z1870" s="61">
        <f>_xll.qlYieldTSDiscount($U$35,Y1870,,Trigger)</f>
        <v>0.94499222324330945</v>
      </c>
    </row>
    <row r="1871" spans="25:26" x14ac:dyDescent="0.25">
      <c r="Y1871" s="63">
        <v>44404</v>
      </c>
      <c r="Z1871" s="61">
        <f>_xll.qlYieldTSDiscount($U$35,Y1871,,Trigger)</f>
        <v>0.94495461368822498</v>
      </c>
    </row>
    <row r="1872" spans="25:26" x14ac:dyDescent="0.25">
      <c r="Y1872" s="63">
        <v>44405</v>
      </c>
      <c r="Z1872" s="61">
        <f>_xll.qlYieldTSDiscount($U$35,Y1872,,Trigger)</f>
        <v>0.9449170019296107</v>
      </c>
    </row>
    <row r="1873" spans="25:26" x14ac:dyDescent="0.25">
      <c r="Y1873" s="63">
        <v>44406</v>
      </c>
      <c r="Z1873" s="61">
        <f>_xll.qlYieldTSDiscount($U$35,Y1873,,Trigger)</f>
        <v>0.94487938797065818</v>
      </c>
    </row>
    <row r="1874" spans="25:26" x14ac:dyDescent="0.25">
      <c r="Y1874" s="63">
        <v>44407</v>
      </c>
      <c r="Z1874" s="61">
        <f>_xll.qlYieldTSDiscount($U$35,Y1874,,Trigger)</f>
        <v>0.94484177181455864</v>
      </c>
    </row>
    <row r="1875" spans="25:26" x14ac:dyDescent="0.25">
      <c r="Y1875" s="63">
        <v>44408</v>
      </c>
      <c r="Z1875" s="61">
        <f>_xll.qlYieldTSDiscount($U$35,Y1875,,Trigger)</f>
        <v>0.94480415346450364</v>
      </c>
    </row>
    <row r="1876" spans="25:26" x14ac:dyDescent="0.25">
      <c r="Y1876" s="63">
        <v>44409</v>
      </c>
      <c r="Z1876" s="61">
        <f>_xll.qlYieldTSDiscount($U$35,Y1876,,Trigger)</f>
        <v>0.94476653292368462</v>
      </c>
    </row>
    <row r="1877" spans="25:26" x14ac:dyDescent="0.25">
      <c r="Y1877" s="63">
        <v>44410</v>
      </c>
      <c r="Z1877" s="61">
        <f>_xll.qlYieldTSDiscount($U$35,Y1877,,Trigger)</f>
        <v>0.94472891019529293</v>
      </c>
    </row>
    <row r="1878" spans="25:26" x14ac:dyDescent="0.25">
      <c r="Y1878" s="63">
        <v>44411</v>
      </c>
      <c r="Z1878" s="61">
        <f>_xll.qlYieldTSDiscount($U$35,Y1878,,Trigger)</f>
        <v>0.94469128528252011</v>
      </c>
    </row>
    <row r="1879" spans="25:26" x14ac:dyDescent="0.25">
      <c r="Y1879" s="63">
        <v>44412</v>
      </c>
      <c r="Z1879" s="61">
        <f>_xll.qlYieldTSDiscount($U$35,Y1879,,Trigger)</f>
        <v>0.9446536581885574</v>
      </c>
    </row>
    <row r="1880" spans="25:26" x14ac:dyDescent="0.25">
      <c r="Y1880" s="63">
        <v>44413</v>
      </c>
      <c r="Z1880" s="61">
        <f>_xll.qlYieldTSDiscount($U$35,Y1880,,Trigger)</f>
        <v>0.94461602891659646</v>
      </c>
    </row>
    <row r="1881" spans="25:26" x14ac:dyDescent="0.25">
      <c r="Y1881" s="63">
        <v>44414</v>
      </c>
      <c r="Z1881" s="61">
        <f>_xll.qlYieldTSDiscount($U$35,Y1881,,Trigger)</f>
        <v>0.94457839746982841</v>
      </c>
    </row>
    <row r="1882" spans="25:26" x14ac:dyDescent="0.25">
      <c r="Y1882" s="63">
        <v>44415</v>
      </c>
      <c r="Z1882" s="61">
        <f>_xll.qlYieldTSDiscount($U$35,Y1882,,Trigger)</f>
        <v>0.94454076385144492</v>
      </c>
    </row>
    <row r="1883" spans="25:26" x14ac:dyDescent="0.25">
      <c r="Y1883" s="63">
        <v>44416</v>
      </c>
      <c r="Z1883" s="61">
        <f>_xll.qlYieldTSDiscount($U$35,Y1883,,Trigger)</f>
        <v>0.94450312806463743</v>
      </c>
    </row>
    <row r="1884" spans="25:26" x14ac:dyDescent="0.25">
      <c r="Y1884" s="63">
        <v>44417</v>
      </c>
      <c r="Z1884" s="61">
        <f>_xll.qlYieldTSDiscount($U$35,Y1884,,Trigger)</f>
        <v>0.94446549011259717</v>
      </c>
    </row>
    <row r="1885" spans="25:26" x14ac:dyDescent="0.25">
      <c r="Y1885" s="63">
        <v>44418</v>
      </c>
      <c r="Z1885" s="61">
        <f>_xll.qlYieldTSDiscount($U$35,Y1885,,Trigger)</f>
        <v>0.9444278499985157</v>
      </c>
    </row>
    <row r="1886" spans="25:26" x14ac:dyDescent="0.25">
      <c r="Y1886" s="63">
        <v>44419</v>
      </c>
      <c r="Z1886" s="61">
        <f>_xll.qlYieldTSDiscount($U$35,Y1886,,Trigger)</f>
        <v>0.94439020772558446</v>
      </c>
    </row>
    <row r="1887" spans="25:26" x14ac:dyDescent="0.25">
      <c r="Y1887" s="63">
        <v>44420</v>
      </c>
      <c r="Z1887" s="61">
        <f>_xll.qlYieldTSDiscount($U$35,Y1887,,Trigger)</f>
        <v>0.9443525632969948</v>
      </c>
    </row>
    <row r="1888" spans="25:26" x14ac:dyDescent="0.25">
      <c r="Y1888" s="63">
        <v>44421</v>
      </c>
      <c r="Z1888" s="61">
        <f>_xll.qlYieldTSDiscount($U$35,Y1888,,Trigger)</f>
        <v>0.94431491671593826</v>
      </c>
    </row>
    <row r="1889" spans="25:26" x14ac:dyDescent="0.25">
      <c r="Y1889" s="63">
        <v>44422</v>
      </c>
      <c r="Z1889" s="61">
        <f>_xll.qlYieldTSDiscount($U$35,Y1889,,Trigger)</f>
        <v>0.94427726798560607</v>
      </c>
    </row>
    <row r="1890" spans="25:26" x14ac:dyDescent="0.25">
      <c r="Y1890" s="63">
        <v>44423</v>
      </c>
      <c r="Z1890" s="61">
        <f>_xll.qlYieldTSDiscount($U$35,Y1890,,Trigger)</f>
        <v>0.9442396171091898</v>
      </c>
    </row>
    <row r="1891" spans="25:26" x14ac:dyDescent="0.25">
      <c r="Y1891" s="63">
        <v>44424</v>
      </c>
      <c r="Z1891" s="61">
        <f>_xll.qlYieldTSDiscount($U$35,Y1891,,Trigger)</f>
        <v>0.94420196408988089</v>
      </c>
    </row>
    <row r="1892" spans="25:26" x14ac:dyDescent="0.25">
      <c r="Y1892" s="63">
        <v>44425</v>
      </c>
      <c r="Z1892" s="61">
        <f>_xll.qlYieldTSDiscount($U$35,Y1892,,Trigger)</f>
        <v>0.94416430893087067</v>
      </c>
    </row>
    <row r="1893" spans="25:26" x14ac:dyDescent="0.25">
      <c r="Y1893" s="63">
        <v>44426</v>
      </c>
      <c r="Z1893" s="61">
        <f>_xll.qlYieldTSDiscount($U$35,Y1893,,Trigger)</f>
        <v>0.94412665163535059</v>
      </c>
    </row>
    <row r="1894" spans="25:26" x14ac:dyDescent="0.25">
      <c r="Y1894" s="63">
        <v>44427</v>
      </c>
      <c r="Z1894" s="61">
        <f>_xll.qlYieldTSDiscount($U$35,Y1894,,Trigger)</f>
        <v>0.94408899220651221</v>
      </c>
    </row>
    <row r="1895" spans="25:26" x14ac:dyDescent="0.25">
      <c r="Y1895" s="63">
        <v>44428</v>
      </c>
      <c r="Z1895" s="61">
        <f>_xll.qlYieldTSDiscount($U$35,Y1895,,Trigger)</f>
        <v>0.94405133064754676</v>
      </c>
    </row>
    <row r="1896" spans="25:26" x14ac:dyDescent="0.25">
      <c r="Y1896" s="63">
        <v>44429</v>
      </c>
      <c r="Z1896" s="61">
        <f>_xll.qlYieldTSDiscount($U$35,Y1896,,Trigger)</f>
        <v>0.94401366696164568</v>
      </c>
    </row>
    <row r="1897" spans="25:26" x14ac:dyDescent="0.25">
      <c r="Y1897" s="63">
        <v>44430</v>
      </c>
      <c r="Z1897" s="61">
        <f>_xll.qlYieldTSDiscount($U$35,Y1897,,Trigger)</f>
        <v>0.94397600115200064</v>
      </c>
    </row>
    <row r="1898" spans="25:26" x14ac:dyDescent="0.25">
      <c r="Y1898" s="63">
        <v>44431</v>
      </c>
      <c r="Z1898" s="61">
        <f>_xll.qlYieldTSDiscount($U$35,Y1898,,Trigger)</f>
        <v>0.94393833322180276</v>
      </c>
    </row>
    <row r="1899" spans="25:26" x14ac:dyDescent="0.25">
      <c r="Y1899" s="63">
        <v>44432</v>
      </c>
      <c r="Z1899" s="61">
        <f>_xll.qlYieldTSDiscount($U$35,Y1899,,Trigger)</f>
        <v>0.94390066317424359</v>
      </c>
    </row>
    <row r="1900" spans="25:26" x14ac:dyDescent="0.25">
      <c r="Y1900" s="63">
        <v>44433</v>
      </c>
      <c r="Z1900" s="61">
        <f>_xll.qlYieldTSDiscount($U$35,Y1900,,Trigger)</f>
        <v>0.9438629910125147</v>
      </c>
    </row>
    <row r="1901" spans="25:26" x14ac:dyDescent="0.25">
      <c r="Y1901" s="63">
        <v>44434</v>
      </c>
      <c r="Z1901" s="61">
        <f>_xll.qlYieldTSDiscount($U$35,Y1901,,Trigger)</f>
        <v>0.9438253167398073</v>
      </c>
    </row>
    <row r="1902" spans="25:26" x14ac:dyDescent="0.25">
      <c r="Y1902" s="63">
        <v>44435</v>
      </c>
      <c r="Z1902" s="61">
        <f>_xll.qlYieldTSDiscount($U$35,Y1902,,Trigger)</f>
        <v>0.94378764035931284</v>
      </c>
    </row>
    <row r="1903" spans="25:26" x14ac:dyDescent="0.25">
      <c r="Y1903" s="63">
        <v>44436</v>
      </c>
      <c r="Z1903" s="61">
        <f>_xll.qlYieldTSDiscount($U$35,Y1903,,Trigger)</f>
        <v>0.94374996187422278</v>
      </c>
    </row>
    <row r="1904" spans="25:26" x14ac:dyDescent="0.25">
      <c r="Y1904" s="63">
        <v>44437</v>
      </c>
      <c r="Z1904" s="61">
        <f>_xll.qlYieldTSDiscount($U$35,Y1904,,Trigger)</f>
        <v>0.94371228128772866</v>
      </c>
    </row>
    <row r="1905" spans="25:26" x14ac:dyDescent="0.25">
      <c r="Y1905" s="63">
        <v>44438</v>
      </c>
      <c r="Z1905" s="61">
        <f>_xll.qlYieldTSDiscount($U$35,Y1905,,Trigger)</f>
        <v>0.94367459860302172</v>
      </c>
    </row>
    <row r="1906" spans="25:26" x14ac:dyDescent="0.25">
      <c r="Y1906" s="63">
        <v>44439</v>
      </c>
      <c r="Z1906" s="61">
        <f>_xll.qlYieldTSDiscount($U$35,Y1906,,Trigger)</f>
        <v>0.94363691382329351</v>
      </c>
    </row>
    <row r="1907" spans="25:26" x14ac:dyDescent="0.25">
      <c r="Y1907" s="63">
        <v>44440</v>
      </c>
      <c r="Z1907" s="61">
        <f>_xll.qlYieldTSDiscount($U$35,Y1907,,Trigger)</f>
        <v>0.94359922695173548</v>
      </c>
    </row>
    <row r="1908" spans="25:26" x14ac:dyDescent="0.25">
      <c r="Y1908" s="63">
        <v>44441</v>
      </c>
      <c r="Z1908" s="61">
        <f>_xll.qlYieldTSDiscount($U$35,Y1908,,Trigger)</f>
        <v>0.94356153799153886</v>
      </c>
    </row>
    <row r="1909" spans="25:26" x14ac:dyDescent="0.25">
      <c r="Y1909" s="63">
        <v>44442</v>
      </c>
      <c r="Z1909" s="61">
        <f>_xll.qlYieldTSDiscount($U$35,Y1909,,Trigger)</f>
        <v>0.94352384694589531</v>
      </c>
    </row>
    <row r="1910" spans="25:26" x14ac:dyDescent="0.25">
      <c r="Y1910" s="63">
        <v>44443</v>
      </c>
      <c r="Z1910" s="61">
        <f>_xll.qlYieldTSDiscount($U$35,Y1910,,Trigger)</f>
        <v>0.94348615381799605</v>
      </c>
    </row>
    <row r="1911" spans="25:26" x14ac:dyDescent="0.25">
      <c r="Y1911" s="63">
        <v>44444</v>
      </c>
      <c r="Z1911" s="61">
        <f>_xll.qlYieldTSDiscount($U$35,Y1911,,Trigger)</f>
        <v>0.94344845861103277</v>
      </c>
    </row>
    <row r="1912" spans="25:26" x14ac:dyDescent="0.25">
      <c r="Y1912" s="63">
        <v>44445</v>
      </c>
      <c r="Z1912" s="61">
        <f>_xll.qlYieldTSDiscount($U$35,Y1912,,Trigger)</f>
        <v>0.94341076132819657</v>
      </c>
    </row>
    <row r="1913" spans="25:26" x14ac:dyDescent="0.25">
      <c r="Y1913" s="63">
        <v>44446</v>
      </c>
      <c r="Z1913" s="61">
        <f>_xll.qlYieldTSDiscount($U$35,Y1913,,Trigger)</f>
        <v>0.94337306197267912</v>
      </c>
    </row>
    <row r="1914" spans="25:26" x14ac:dyDescent="0.25">
      <c r="Y1914" s="63">
        <v>44447</v>
      </c>
      <c r="Z1914" s="61">
        <f>_xll.qlYieldTSDiscount($U$35,Y1914,,Trigger)</f>
        <v>0.94333536054767175</v>
      </c>
    </row>
    <row r="1915" spans="25:26" x14ac:dyDescent="0.25">
      <c r="Y1915" s="63">
        <v>44448</v>
      </c>
      <c r="Z1915" s="61">
        <f>_xll.qlYieldTSDiscount($U$35,Y1915,,Trigger)</f>
        <v>0.94329765705636592</v>
      </c>
    </row>
    <row r="1916" spans="25:26" x14ac:dyDescent="0.25">
      <c r="Y1916" s="63">
        <v>44449</v>
      </c>
      <c r="Z1916" s="61">
        <f>_xll.qlYieldTSDiscount($U$35,Y1916,,Trigger)</f>
        <v>0.94325995150195296</v>
      </c>
    </row>
    <row r="1917" spans="25:26" x14ac:dyDescent="0.25">
      <c r="Y1917" s="63">
        <v>44450</v>
      </c>
      <c r="Z1917" s="61">
        <f>_xll.qlYieldTSDiscount($U$35,Y1917,,Trigger)</f>
        <v>0.94322224388762443</v>
      </c>
    </row>
    <row r="1918" spans="25:26" x14ac:dyDescent="0.25">
      <c r="Y1918" s="63">
        <v>44451</v>
      </c>
      <c r="Z1918" s="61">
        <f>_xll.qlYieldTSDiscount($U$35,Y1918,,Trigger)</f>
        <v>0.94318453421657167</v>
      </c>
    </row>
    <row r="1919" spans="25:26" x14ac:dyDescent="0.25">
      <c r="Y1919" s="63">
        <v>44452</v>
      </c>
      <c r="Z1919" s="61">
        <f>_xll.qlYieldTSDiscount($U$35,Y1919,,Trigger)</f>
        <v>0.94314682249198611</v>
      </c>
    </row>
    <row r="1920" spans="25:26" x14ac:dyDescent="0.25">
      <c r="Y1920" s="63">
        <v>44453</v>
      </c>
      <c r="Z1920" s="61">
        <f>_xll.qlYieldTSDiscount($U$35,Y1920,,Trigger)</f>
        <v>0.94310910871705922</v>
      </c>
    </row>
    <row r="1921" spans="25:26" x14ac:dyDescent="0.25">
      <c r="Y1921" s="63">
        <v>44454</v>
      </c>
      <c r="Z1921" s="61">
        <f>_xll.qlYieldTSDiscount($U$35,Y1921,,Trigger)</f>
        <v>0.94307139289498243</v>
      </c>
    </row>
    <row r="1922" spans="25:26" x14ac:dyDescent="0.25">
      <c r="Y1922" s="63">
        <v>44455</v>
      </c>
      <c r="Z1922" s="61">
        <f>_xll.qlYieldTSDiscount($U$35,Y1922,,Trigger)</f>
        <v>0.94303367502894708</v>
      </c>
    </row>
    <row r="1923" spans="25:26" x14ac:dyDescent="0.25">
      <c r="Y1923" s="63">
        <v>44456</v>
      </c>
      <c r="Z1923" s="61">
        <f>_xll.qlYieldTSDiscount($U$35,Y1923,,Trigger)</f>
        <v>0.94299595512214462</v>
      </c>
    </row>
    <row r="1924" spans="25:26" x14ac:dyDescent="0.25">
      <c r="Y1924" s="63">
        <v>44457</v>
      </c>
      <c r="Z1924" s="61">
        <f>_xll.qlYieldTSDiscount($U$35,Y1924,,Trigger)</f>
        <v>0.9429582331777665</v>
      </c>
    </row>
    <row r="1925" spans="25:26" x14ac:dyDescent="0.25">
      <c r="Y1925" s="63">
        <v>44458</v>
      </c>
      <c r="Z1925" s="61">
        <f>_xll.qlYieldTSDiscount($U$35,Y1925,,Trigger)</f>
        <v>0.94292050919900428</v>
      </c>
    </row>
    <row r="1926" spans="25:26" x14ac:dyDescent="0.25">
      <c r="Y1926" s="63">
        <v>44459</v>
      </c>
      <c r="Z1926" s="61">
        <f>_xll.qlYieldTSDiscount($U$35,Y1926,,Trigger)</f>
        <v>0.94288278318904917</v>
      </c>
    </row>
    <row r="1927" spans="25:26" x14ac:dyDescent="0.25">
      <c r="Y1927" s="63">
        <v>44460</v>
      </c>
      <c r="Z1927" s="61">
        <f>_xll.qlYieldTSDiscount($U$35,Y1927,,Trigger)</f>
        <v>0.94284505515109263</v>
      </c>
    </row>
    <row r="1928" spans="25:26" x14ac:dyDescent="0.25">
      <c r="Y1928" s="63">
        <v>44461</v>
      </c>
      <c r="Z1928" s="61">
        <f>_xll.qlYieldTSDiscount($U$35,Y1928,,Trigger)</f>
        <v>0.94280732508832621</v>
      </c>
    </row>
    <row r="1929" spans="25:26" x14ac:dyDescent="0.25">
      <c r="Y1929" s="63">
        <v>44462</v>
      </c>
      <c r="Z1929" s="61">
        <f>_xll.qlYieldTSDiscount($U$35,Y1929,,Trigger)</f>
        <v>0.94276959300394114</v>
      </c>
    </row>
    <row r="1930" spans="25:26" x14ac:dyDescent="0.25">
      <c r="Y1930" s="63">
        <v>44463</v>
      </c>
      <c r="Z1930" s="61">
        <f>_xll.qlYieldTSDiscount($U$35,Y1930,,Trigger)</f>
        <v>0.94273185890112909</v>
      </c>
    </row>
    <row r="1931" spans="25:26" x14ac:dyDescent="0.25">
      <c r="Y1931" s="63">
        <v>44464</v>
      </c>
      <c r="Z1931" s="61">
        <f>_xll.qlYieldTSDiscount($U$35,Y1931,,Trigger)</f>
        <v>0.94269412278308129</v>
      </c>
    </row>
    <row r="1932" spans="25:26" x14ac:dyDescent="0.25">
      <c r="Y1932" s="63">
        <v>44465</v>
      </c>
      <c r="Z1932" s="61">
        <f>_xll.qlYieldTSDiscount($U$35,Y1932,,Trigger)</f>
        <v>0.94265638465298929</v>
      </c>
    </row>
    <row r="1933" spans="25:26" x14ac:dyDescent="0.25">
      <c r="Y1933" s="63">
        <v>44466</v>
      </c>
      <c r="Z1933" s="61">
        <f>_xll.qlYieldTSDiscount($U$35,Y1933,,Trigger)</f>
        <v>0.94261864451404442</v>
      </c>
    </row>
    <row r="1934" spans="25:26" x14ac:dyDescent="0.25">
      <c r="Y1934" s="63">
        <v>44467</v>
      </c>
      <c r="Z1934" s="61">
        <f>_xll.qlYieldTSDiscount($U$35,Y1934,,Trigger)</f>
        <v>0.94258090236943814</v>
      </c>
    </row>
    <row r="1935" spans="25:26" x14ac:dyDescent="0.25">
      <c r="Y1935" s="63">
        <v>44468</v>
      </c>
      <c r="Z1935" s="61">
        <f>_xll.qlYieldTSDiscount($U$35,Y1935,,Trigger)</f>
        <v>0.9425431582223619</v>
      </c>
    </row>
    <row r="1936" spans="25:26" x14ac:dyDescent="0.25">
      <c r="Y1936" s="63">
        <v>44469</v>
      </c>
      <c r="Z1936" s="61">
        <f>_xll.qlYieldTSDiscount($U$35,Y1936,,Trigger)</f>
        <v>0.94250541207600713</v>
      </c>
    </row>
    <row r="1937" spans="25:26" x14ac:dyDescent="0.25">
      <c r="Y1937" s="63">
        <v>44470</v>
      </c>
      <c r="Z1937" s="61">
        <f>_xll.qlYieldTSDiscount($U$35,Y1937,,Trigger)</f>
        <v>0.94246766393356518</v>
      </c>
    </row>
    <row r="1938" spans="25:26" x14ac:dyDescent="0.25">
      <c r="Y1938" s="63">
        <v>44471</v>
      </c>
      <c r="Z1938" s="61">
        <f>_xll.qlYieldTSDiscount($U$35,Y1938,,Trigger)</f>
        <v>0.9424299137982276</v>
      </c>
    </row>
    <row r="1939" spans="25:26" x14ac:dyDescent="0.25">
      <c r="Y1939" s="63">
        <v>44472</v>
      </c>
      <c r="Z1939" s="61">
        <f>_xll.qlYieldTSDiscount($U$35,Y1939,,Trigger)</f>
        <v>0.94239216167318562</v>
      </c>
    </row>
    <row r="1940" spans="25:26" x14ac:dyDescent="0.25">
      <c r="Y1940" s="63">
        <v>44473</v>
      </c>
      <c r="Z1940" s="61">
        <f>_xll.qlYieldTSDiscount($U$35,Y1940,,Trigger)</f>
        <v>0.94235440756163091</v>
      </c>
    </row>
    <row r="1941" spans="25:26" x14ac:dyDescent="0.25">
      <c r="Y1941" s="63">
        <v>44474</v>
      </c>
      <c r="Z1941" s="61">
        <f>_xll.qlYieldTSDiscount($U$35,Y1941,,Trigger)</f>
        <v>0.9423166514667547</v>
      </c>
    </row>
    <row r="1942" spans="25:26" x14ac:dyDescent="0.25">
      <c r="Y1942" s="63">
        <v>44475</v>
      </c>
      <c r="Z1942" s="61">
        <f>_xll.qlYieldTSDiscount($U$35,Y1942,,Trigger)</f>
        <v>0.94227889339174842</v>
      </c>
    </row>
    <row r="1943" spans="25:26" x14ac:dyDescent="0.25">
      <c r="Y1943" s="63">
        <v>44476</v>
      </c>
      <c r="Z1943" s="61">
        <f>_xll.qlYieldTSDiscount($U$35,Y1943,,Trigger)</f>
        <v>0.94224113333980364</v>
      </c>
    </row>
    <row r="1944" spans="25:26" x14ac:dyDescent="0.25">
      <c r="Y1944" s="63">
        <v>44477</v>
      </c>
      <c r="Z1944" s="61">
        <f>_xll.qlYieldTSDiscount($U$35,Y1944,,Trigger)</f>
        <v>0.94220337131411169</v>
      </c>
    </row>
    <row r="1945" spans="25:26" x14ac:dyDescent="0.25">
      <c r="Y1945" s="63">
        <v>44478</v>
      </c>
      <c r="Z1945" s="61">
        <f>_xll.qlYieldTSDiscount($U$35,Y1945,,Trigger)</f>
        <v>0.94216560731786403</v>
      </c>
    </row>
    <row r="1946" spans="25:26" x14ac:dyDescent="0.25">
      <c r="Y1946" s="63">
        <v>44479</v>
      </c>
      <c r="Z1946" s="61">
        <f>_xll.qlYieldTSDiscount($U$35,Y1946,,Trigger)</f>
        <v>0.94212784135425209</v>
      </c>
    </row>
    <row r="1947" spans="25:26" x14ac:dyDescent="0.25">
      <c r="Y1947" s="63">
        <v>44480</v>
      </c>
      <c r="Z1947" s="61">
        <f>_xll.qlYieldTSDiscount($U$35,Y1947,,Trigger)</f>
        <v>0.94209007342646722</v>
      </c>
    </row>
    <row r="1948" spans="25:26" x14ac:dyDescent="0.25">
      <c r="Y1948" s="63">
        <v>44481</v>
      </c>
      <c r="Z1948" s="61">
        <f>_xll.qlYieldTSDiscount($U$35,Y1948,,Trigger)</f>
        <v>0.94205230353770086</v>
      </c>
    </row>
    <row r="1949" spans="25:26" x14ac:dyDescent="0.25">
      <c r="Y1949" s="63">
        <v>44482</v>
      </c>
      <c r="Z1949" s="61">
        <f>_xll.qlYieldTSDiscount($U$35,Y1949,,Trigger)</f>
        <v>0.94201453169114457</v>
      </c>
    </row>
    <row r="1950" spans="25:26" x14ac:dyDescent="0.25">
      <c r="Y1950" s="63">
        <v>44483</v>
      </c>
      <c r="Z1950" s="61">
        <f>_xll.qlYieldTSDiscount($U$35,Y1950,,Trigger)</f>
        <v>0.94197675788998958</v>
      </c>
    </row>
    <row r="1951" spans="25:26" x14ac:dyDescent="0.25">
      <c r="Y1951" s="63">
        <v>44484</v>
      </c>
      <c r="Z1951" s="61">
        <f>_xll.qlYieldTSDiscount($U$35,Y1951,,Trigger)</f>
        <v>0.94193898213742744</v>
      </c>
    </row>
    <row r="1952" spans="25:26" x14ac:dyDescent="0.25">
      <c r="Y1952" s="63">
        <v>44485</v>
      </c>
      <c r="Z1952" s="61">
        <f>_xll.qlYieldTSDiscount($U$35,Y1952,,Trigger)</f>
        <v>0.9419012044366496</v>
      </c>
    </row>
    <row r="1953" spans="25:26" x14ac:dyDescent="0.25">
      <c r="Y1953" s="63">
        <v>44486</v>
      </c>
      <c r="Z1953" s="61">
        <f>_xll.qlYieldTSDiscount($U$35,Y1953,,Trigger)</f>
        <v>0.94186342479084739</v>
      </c>
    </row>
    <row r="1954" spans="25:26" x14ac:dyDescent="0.25">
      <c r="Y1954" s="63">
        <v>44487</v>
      </c>
      <c r="Z1954" s="61">
        <f>_xll.qlYieldTSDiscount($U$35,Y1954,,Trigger)</f>
        <v>0.94182564320321227</v>
      </c>
    </row>
    <row r="1955" spans="25:26" x14ac:dyDescent="0.25">
      <c r="Y1955" s="63">
        <v>44488</v>
      </c>
      <c r="Z1955" s="61">
        <f>_xll.qlYieldTSDiscount($U$35,Y1955,,Trigger)</f>
        <v>0.94178785967693568</v>
      </c>
    </row>
    <row r="1956" spans="25:26" x14ac:dyDescent="0.25">
      <c r="Y1956" s="63">
        <v>44489</v>
      </c>
      <c r="Z1956" s="61">
        <f>_xll.qlYieldTSDiscount($U$35,Y1956,,Trigger)</f>
        <v>0.94175007421520907</v>
      </c>
    </row>
    <row r="1957" spans="25:26" x14ac:dyDescent="0.25">
      <c r="Y1957" s="63">
        <v>44490</v>
      </c>
      <c r="Z1957" s="61">
        <f>_xll.qlYieldTSDiscount($U$35,Y1957,,Trigger)</f>
        <v>0.94171228682122377</v>
      </c>
    </row>
    <row r="1958" spans="25:26" x14ac:dyDescent="0.25">
      <c r="Y1958" s="63">
        <v>44491</v>
      </c>
      <c r="Z1958" s="61">
        <f>_xll.qlYieldTSDiscount($U$35,Y1958,,Trigger)</f>
        <v>0.94167449749817134</v>
      </c>
    </row>
    <row r="1959" spans="25:26" x14ac:dyDescent="0.25">
      <c r="Y1959" s="63">
        <v>44492</v>
      </c>
      <c r="Z1959" s="61">
        <f>_xll.qlYieldTSDiscount($U$35,Y1959,,Trigger)</f>
        <v>0.94163670624924301</v>
      </c>
    </row>
    <row r="1960" spans="25:26" x14ac:dyDescent="0.25">
      <c r="Y1960" s="63">
        <v>44493</v>
      </c>
      <c r="Z1960" s="61">
        <f>_xll.qlYieldTSDiscount($U$35,Y1960,,Trigger)</f>
        <v>0.94159891307763044</v>
      </c>
    </row>
    <row r="1961" spans="25:26" x14ac:dyDescent="0.25">
      <c r="Y1961" s="63">
        <v>44494</v>
      </c>
      <c r="Z1961" s="61">
        <f>_xll.qlYieldTSDiscount($U$35,Y1961,,Trigger)</f>
        <v>0.94156111798652486</v>
      </c>
    </row>
    <row r="1962" spans="25:26" x14ac:dyDescent="0.25">
      <c r="Y1962" s="63">
        <v>44495</v>
      </c>
      <c r="Z1962" s="61">
        <f>_xll.qlYieldTSDiscount($U$35,Y1962,,Trigger)</f>
        <v>0.94152332097911784</v>
      </c>
    </row>
    <row r="1963" spans="25:26" x14ac:dyDescent="0.25">
      <c r="Y1963" s="63">
        <v>44496</v>
      </c>
      <c r="Z1963" s="61">
        <f>_xll.qlYieldTSDiscount($U$35,Y1963,,Trigger)</f>
        <v>0.9414855220586007</v>
      </c>
    </row>
    <row r="1964" spans="25:26" x14ac:dyDescent="0.25">
      <c r="Y1964" s="63">
        <v>44497</v>
      </c>
      <c r="Z1964" s="61">
        <f>_xll.qlYieldTSDiscount($U$35,Y1964,,Trigger)</f>
        <v>0.94144772122816489</v>
      </c>
    </row>
    <row r="1965" spans="25:26" x14ac:dyDescent="0.25">
      <c r="Y1965" s="63">
        <v>44498</v>
      </c>
      <c r="Z1965" s="61">
        <f>_xll.qlYieldTSDiscount($U$35,Y1965,,Trigger)</f>
        <v>0.94140991849100197</v>
      </c>
    </row>
    <row r="1966" spans="25:26" x14ac:dyDescent="0.25">
      <c r="Y1966" s="63">
        <v>44499</v>
      </c>
      <c r="Z1966" s="61">
        <f>_xll.qlYieldTSDiscount($U$35,Y1966,,Trigger)</f>
        <v>0.94137211385030317</v>
      </c>
    </row>
    <row r="1967" spans="25:26" x14ac:dyDescent="0.25">
      <c r="Y1967" s="63">
        <v>44500</v>
      </c>
      <c r="Z1967" s="61">
        <f>_xll.qlYieldTSDiscount($U$35,Y1967,,Trigger)</f>
        <v>0.94133430730925993</v>
      </c>
    </row>
    <row r="1968" spans="25:26" x14ac:dyDescent="0.25">
      <c r="Y1968" s="63">
        <v>44501</v>
      </c>
      <c r="Z1968" s="61">
        <f>_xll.qlYieldTSDiscount($U$35,Y1968,,Trigger)</f>
        <v>0.94129649887106381</v>
      </c>
    </row>
    <row r="1969" spans="25:26" x14ac:dyDescent="0.25">
      <c r="Y1969" s="63">
        <v>44502</v>
      </c>
      <c r="Z1969" s="61">
        <f>_xll.qlYieldTSDiscount($U$35,Y1969,,Trigger)</f>
        <v>0.94125868853890615</v>
      </c>
    </row>
    <row r="1970" spans="25:26" x14ac:dyDescent="0.25">
      <c r="Y1970" s="63">
        <v>44503</v>
      </c>
      <c r="Z1970" s="61">
        <f>_xll.qlYieldTSDiscount($U$35,Y1970,,Trigger)</f>
        <v>0.94122087631597839</v>
      </c>
    </row>
    <row r="1971" spans="25:26" x14ac:dyDescent="0.25">
      <c r="Y1971" s="63">
        <v>44504</v>
      </c>
      <c r="Z1971" s="61">
        <f>_xll.qlYieldTSDiscount($U$35,Y1971,,Trigger)</f>
        <v>0.94118306220547199</v>
      </c>
    </row>
    <row r="1972" spans="25:26" x14ac:dyDescent="0.25">
      <c r="Y1972" s="63">
        <v>44505</v>
      </c>
      <c r="Z1972" s="61">
        <f>_xll.qlYieldTSDiscount($U$35,Y1972,,Trigger)</f>
        <v>0.94114524621057827</v>
      </c>
    </row>
    <row r="1973" spans="25:26" x14ac:dyDescent="0.25">
      <c r="Y1973" s="63">
        <v>44506</v>
      </c>
      <c r="Z1973" s="61">
        <f>_xll.qlYieldTSDiscount($U$35,Y1973,,Trigger)</f>
        <v>0.94110742833448879</v>
      </c>
    </row>
    <row r="1974" spans="25:26" x14ac:dyDescent="0.25">
      <c r="Y1974" s="63">
        <v>44507</v>
      </c>
      <c r="Z1974" s="61">
        <f>_xll.qlYieldTSDiscount($U$35,Y1974,,Trigger)</f>
        <v>0.94106960858039479</v>
      </c>
    </row>
    <row r="1975" spans="25:26" x14ac:dyDescent="0.25">
      <c r="Y1975" s="63">
        <v>44508</v>
      </c>
      <c r="Z1975" s="61">
        <f>_xll.qlYieldTSDiscount($U$35,Y1975,,Trigger)</f>
        <v>0.94103178695148793</v>
      </c>
    </row>
    <row r="1976" spans="25:26" x14ac:dyDescent="0.25">
      <c r="Y1976" s="63">
        <v>44509</v>
      </c>
      <c r="Z1976" s="61">
        <f>_xll.qlYieldTSDiscount($U$35,Y1976,,Trigger)</f>
        <v>0.94099396345095954</v>
      </c>
    </row>
    <row r="1977" spans="25:26" x14ac:dyDescent="0.25">
      <c r="Y1977" s="63">
        <v>44510</v>
      </c>
      <c r="Z1977" s="61">
        <f>_xll.qlYieldTSDiscount($U$35,Y1977,,Trigger)</f>
        <v>0.94095613808200085</v>
      </c>
    </row>
    <row r="1978" spans="25:26" x14ac:dyDescent="0.25">
      <c r="Y1978" s="63">
        <v>44511</v>
      </c>
      <c r="Z1978" s="61">
        <f>_xll.qlYieldTSDiscount($U$35,Y1978,,Trigger)</f>
        <v>0.94091831084780364</v>
      </c>
    </row>
    <row r="1979" spans="25:26" x14ac:dyDescent="0.25">
      <c r="Y1979" s="63">
        <v>44512</v>
      </c>
      <c r="Z1979" s="61">
        <f>_xll.qlYieldTSDiscount($U$35,Y1979,,Trigger)</f>
        <v>0.94088048175155903</v>
      </c>
    </row>
    <row r="1980" spans="25:26" x14ac:dyDescent="0.25">
      <c r="Y1980" s="63">
        <v>44513</v>
      </c>
      <c r="Z1980" s="61">
        <f>_xll.qlYieldTSDiscount($U$35,Y1980,,Trigger)</f>
        <v>0.94084265079645868</v>
      </c>
    </row>
    <row r="1981" spans="25:26" x14ac:dyDescent="0.25">
      <c r="Y1981" s="63">
        <v>44514</v>
      </c>
      <c r="Z1981" s="61">
        <f>_xll.qlYieldTSDiscount($U$35,Y1981,,Trigger)</f>
        <v>0.94080481798569382</v>
      </c>
    </row>
    <row r="1982" spans="25:26" x14ac:dyDescent="0.25">
      <c r="Y1982" s="63">
        <v>44515</v>
      </c>
      <c r="Z1982" s="61">
        <f>_xll.qlYieldTSDiscount($U$35,Y1982,,Trigger)</f>
        <v>0.94076698332245601</v>
      </c>
    </row>
    <row r="1983" spans="25:26" x14ac:dyDescent="0.25">
      <c r="Y1983" s="63">
        <v>44516</v>
      </c>
      <c r="Z1983" s="61">
        <f>_xll.qlYieldTSDiscount($U$35,Y1983,,Trigger)</f>
        <v>0.94072914680993658</v>
      </c>
    </row>
    <row r="1984" spans="25:26" x14ac:dyDescent="0.25">
      <c r="Y1984" s="63">
        <v>44517</v>
      </c>
      <c r="Z1984" s="61">
        <f>_xll.qlYieldTSDiscount($U$35,Y1984,,Trigger)</f>
        <v>0.94069130845132698</v>
      </c>
    </row>
    <row r="1985" spans="25:26" x14ac:dyDescent="0.25">
      <c r="Y1985" s="63">
        <v>44518</v>
      </c>
      <c r="Z1985" s="61">
        <f>_xll.qlYieldTSDiscount($U$35,Y1985,,Trigger)</f>
        <v>0.94065346824981877</v>
      </c>
    </row>
    <row r="1986" spans="25:26" x14ac:dyDescent="0.25">
      <c r="Y1986" s="63">
        <v>44519</v>
      </c>
      <c r="Z1986" s="61">
        <f>_xll.qlYieldTSDiscount($U$35,Y1986,,Trigger)</f>
        <v>0.94061562620860317</v>
      </c>
    </row>
    <row r="1987" spans="25:26" x14ac:dyDescent="0.25">
      <c r="Y1987" s="63">
        <v>44520</v>
      </c>
      <c r="Z1987" s="61">
        <f>_xll.qlYieldTSDiscount($U$35,Y1987,,Trigger)</f>
        <v>0.94057778233087164</v>
      </c>
    </row>
    <row r="1988" spans="25:26" x14ac:dyDescent="0.25">
      <c r="Y1988" s="63">
        <v>44521</v>
      </c>
      <c r="Z1988" s="61">
        <f>_xll.qlYieldTSDiscount($U$35,Y1988,,Trigger)</f>
        <v>0.94053993661981583</v>
      </c>
    </row>
    <row r="1989" spans="25:26" x14ac:dyDescent="0.25">
      <c r="Y1989" s="63">
        <v>44522</v>
      </c>
      <c r="Z1989" s="61">
        <f>_xll.qlYieldTSDiscount($U$35,Y1989,,Trigger)</f>
        <v>0.94050208907862687</v>
      </c>
    </row>
    <row r="1990" spans="25:26" x14ac:dyDescent="0.25">
      <c r="Y1990" s="63">
        <v>44523</v>
      </c>
      <c r="Z1990" s="61">
        <f>_xll.qlYieldTSDiscount($U$35,Y1990,,Trigger)</f>
        <v>0.94046423971049631</v>
      </c>
    </row>
    <row r="1991" spans="25:26" x14ac:dyDescent="0.25">
      <c r="Y1991" s="63">
        <v>44524</v>
      </c>
      <c r="Z1991" s="61">
        <f>_xll.qlYieldTSDiscount($U$35,Y1991,,Trigger)</f>
        <v>0.9404263885186156</v>
      </c>
    </row>
    <row r="1992" spans="25:26" x14ac:dyDescent="0.25">
      <c r="Y1992" s="63">
        <v>44525</v>
      </c>
      <c r="Z1992" s="61">
        <f>_xll.qlYieldTSDiscount($U$35,Y1992,,Trigger)</f>
        <v>0.94038853550617607</v>
      </c>
    </row>
    <row r="1993" spans="25:26" x14ac:dyDescent="0.25">
      <c r="Y1993" s="63">
        <v>44526</v>
      </c>
      <c r="Z1993" s="61">
        <f>_xll.qlYieldTSDiscount($U$35,Y1993,,Trigger)</f>
        <v>0.94035068067636929</v>
      </c>
    </row>
    <row r="1994" spans="25:26" x14ac:dyDescent="0.25">
      <c r="Y1994" s="63">
        <v>44527</v>
      </c>
      <c r="Z1994" s="61">
        <f>_xll.qlYieldTSDiscount($U$35,Y1994,,Trigger)</f>
        <v>0.9403128240323867</v>
      </c>
    </row>
    <row r="1995" spans="25:26" x14ac:dyDescent="0.25">
      <c r="Y1995" s="63">
        <v>44528</v>
      </c>
      <c r="Z1995" s="61">
        <f>_xll.qlYieldTSDiscount($U$35,Y1995,,Trigger)</f>
        <v>0.94027496557741952</v>
      </c>
    </row>
    <row r="1996" spans="25:26" x14ac:dyDescent="0.25">
      <c r="Y1996" s="63">
        <v>44529</v>
      </c>
      <c r="Z1996" s="61">
        <f>_xll.qlYieldTSDiscount($U$35,Y1996,,Trigger)</f>
        <v>0.94023710531465932</v>
      </c>
    </row>
    <row r="1997" spans="25:26" x14ac:dyDescent="0.25">
      <c r="Y1997" s="63">
        <v>44530</v>
      </c>
      <c r="Z1997" s="61">
        <f>_xll.qlYieldTSDiscount($U$35,Y1997,,Trigger)</f>
        <v>0.94019924324729742</v>
      </c>
    </row>
    <row r="1998" spans="25:26" x14ac:dyDescent="0.25">
      <c r="Y1998" s="63">
        <v>44531</v>
      </c>
      <c r="Z1998" s="61">
        <f>_xll.qlYieldTSDiscount($U$35,Y1998,,Trigger)</f>
        <v>0.9401613793785254</v>
      </c>
    </row>
    <row r="1999" spans="25:26" x14ac:dyDescent="0.25">
      <c r="Y1999" s="63">
        <v>44532</v>
      </c>
      <c r="Z1999" s="61">
        <f>_xll.qlYieldTSDiscount($U$35,Y1999,,Trigger)</f>
        <v>0.94012351371153458</v>
      </c>
    </row>
    <row r="2000" spans="25:26" x14ac:dyDescent="0.25">
      <c r="Y2000" s="63">
        <v>44533</v>
      </c>
      <c r="Z2000" s="61">
        <f>_xll.qlYieldTSDiscount($U$35,Y2000,,Trigger)</f>
        <v>0.9400856462495164</v>
      </c>
    </row>
    <row r="2001" spans="25:26" x14ac:dyDescent="0.25">
      <c r="Y2001" s="63">
        <v>44534</v>
      </c>
      <c r="Z2001" s="61">
        <f>_xll.qlYieldTSDiscount($U$35,Y2001,,Trigger)</f>
        <v>0.94004777699566233</v>
      </c>
    </row>
    <row r="2002" spans="25:26" x14ac:dyDescent="0.25">
      <c r="Y2002" s="63">
        <v>44535</v>
      </c>
      <c r="Z2002" s="61">
        <f>_xll.qlYieldTSDiscount($U$35,Y2002,,Trigger)</f>
        <v>0.94000990595316369</v>
      </c>
    </row>
    <row r="2003" spans="25:26" x14ac:dyDescent="0.25">
      <c r="Y2003" s="63">
        <v>44536</v>
      </c>
      <c r="Z2003" s="61">
        <f>_xll.qlYieldTSDiscount($U$35,Y2003,,Trigger)</f>
        <v>0.93997203312521205</v>
      </c>
    </row>
    <row r="2004" spans="25:26" x14ac:dyDescent="0.25">
      <c r="Y2004" s="63">
        <v>44537</v>
      </c>
      <c r="Z2004" s="61">
        <f>_xll.qlYieldTSDiscount($U$35,Y2004,,Trigger)</f>
        <v>0.93993415851499873</v>
      </c>
    </row>
    <row r="2005" spans="25:26" x14ac:dyDescent="0.25">
      <c r="Y2005" s="63">
        <v>44538</v>
      </c>
      <c r="Z2005" s="61">
        <f>_xll.qlYieldTSDiscount($U$35,Y2005,,Trigger)</f>
        <v>0.93989628212571519</v>
      </c>
    </row>
    <row r="2006" spans="25:26" x14ac:dyDescent="0.25">
      <c r="Y2006" s="63">
        <v>44539</v>
      </c>
      <c r="Z2006" s="61">
        <f>_xll.qlYieldTSDiscount($U$35,Y2006,,Trigger)</f>
        <v>0.93985840396055287</v>
      </c>
    </row>
    <row r="2007" spans="25:26" x14ac:dyDescent="0.25">
      <c r="Y2007" s="63">
        <v>44540</v>
      </c>
      <c r="Z2007" s="61">
        <f>_xll.qlYieldTSDiscount($U$35,Y2007,,Trigger)</f>
        <v>0.93982052402270322</v>
      </c>
    </row>
    <row r="2008" spans="25:26" x14ac:dyDescent="0.25">
      <c r="Y2008" s="63">
        <v>44541</v>
      </c>
      <c r="Z2008" s="61">
        <f>_xll.qlYieldTSDiscount($U$35,Y2008,,Trigger)</f>
        <v>0.93978264231535757</v>
      </c>
    </row>
    <row r="2009" spans="25:26" x14ac:dyDescent="0.25">
      <c r="Y2009" s="63">
        <v>44542</v>
      </c>
      <c r="Z2009" s="61">
        <f>_xll.qlYieldTSDiscount($U$35,Y2009,,Trigger)</f>
        <v>0.93974475884170738</v>
      </c>
    </row>
    <row r="2010" spans="25:26" x14ac:dyDescent="0.25">
      <c r="Y2010" s="63">
        <v>44543</v>
      </c>
      <c r="Z2010" s="61">
        <f>_xll.qlYieldTSDiscount($U$35,Y2010,,Trigger)</f>
        <v>0.93970687360494409</v>
      </c>
    </row>
    <row r="2011" spans="25:26" x14ac:dyDescent="0.25">
      <c r="Y2011" s="63">
        <v>44544</v>
      </c>
      <c r="Z2011" s="61">
        <f>_xll.qlYieldTSDiscount($U$35,Y2011,,Trigger)</f>
        <v>0.93966898660825915</v>
      </c>
    </row>
    <row r="2012" spans="25:26" x14ac:dyDescent="0.25">
      <c r="Y2012" s="63">
        <v>44545</v>
      </c>
      <c r="Z2012" s="61">
        <f>_xll.qlYieldTSDiscount($U$35,Y2012,,Trigger)</f>
        <v>0.93963109785484389</v>
      </c>
    </row>
    <row r="2013" spans="25:26" x14ac:dyDescent="0.25">
      <c r="Y2013" s="63">
        <v>44546</v>
      </c>
      <c r="Z2013" s="61">
        <f>_xll.qlYieldTSDiscount($U$35,Y2013,,Trigger)</f>
        <v>0.93959320734788998</v>
      </c>
    </row>
    <row r="2014" spans="25:26" x14ac:dyDescent="0.25">
      <c r="Y2014" s="63">
        <v>44547</v>
      </c>
      <c r="Z2014" s="61">
        <f>_xll.qlYieldTSDiscount($U$35,Y2014,,Trigger)</f>
        <v>0.93955531509058854</v>
      </c>
    </row>
    <row r="2015" spans="25:26" x14ac:dyDescent="0.25">
      <c r="Y2015" s="63">
        <v>44548</v>
      </c>
      <c r="Z2015" s="61">
        <f>_xll.qlYieldTSDiscount($U$35,Y2015,,Trigger)</f>
        <v>0.93951742108613112</v>
      </c>
    </row>
    <row r="2016" spans="25:26" x14ac:dyDescent="0.25">
      <c r="Y2016" s="63">
        <v>44549</v>
      </c>
      <c r="Z2016" s="61">
        <f>_xll.qlYieldTSDiscount($U$35,Y2016,,Trigger)</f>
        <v>0.93947952533770918</v>
      </c>
    </row>
    <row r="2017" spans="25:26" x14ac:dyDescent="0.25">
      <c r="Y2017" s="63">
        <v>44550</v>
      </c>
      <c r="Z2017" s="61">
        <f>_xll.qlYieldTSDiscount($U$35,Y2017,,Trigger)</f>
        <v>0.93944162784851415</v>
      </c>
    </row>
    <row r="2018" spans="25:26" x14ac:dyDescent="0.25">
      <c r="Y2018" s="63">
        <v>44551</v>
      </c>
      <c r="Z2018" s="61">
        <f>_xll.qlYieldTSDiscount($U$35,Y2018,,Trigger)</f>
        <v>0.93940372862173738</v>
      </c>
    </row>
    <row r="2019" spans="25:26" x14ac:dyDescent="0.25">
      <c r="Y2019" s="63">
        <v>44552</v>
      </c>
      <c r="Z2019" s="61">
        <f>_xll.qlYieldTSDiscount($U$35,Y2019,,Trigger)</f>
        <v>0.93936582766057031</v>
      </c>
    </row>
    <row r="2020" spans="25:26" x14ac:dyDescent="0.25">
      <c r="Y2020" s="63">
        <v>44553</v>
      </c>
      <c r="Z2020" s="61">
        <f>_xll.qlYieldTSDiscount($U$35,Y2020,,Trigger)</f>
        <v>0.9393279249682045</v>
      </c>
    </row>
    <row r="2021" spans="25:26" x14ac:dyDescent="0.25">
      <c r="Y2021" s="63">
        <v>44554</v>
      </c>
      <c r="Z2021" s="61">
        <f>_xll.qlYieldTSDiscount($U$35,Y2021,,Trigger)</f>
        <v>0.93929002054783117</v>
      </c>
    </row>
    <row r="2022" spans="25:26" x14ac:dyDescent="0.25">
      <c r="Y2022" s="63">
        <v>44555</v>
      </c>
      <c r="Z2022" s="61">
        <f>_xll.qlYieldTSDiscount($U$35,Y2022,,Trigger)</f>
        <v>0.93925211440264189</v>
      </c>
    </row>
    <row r="2023" spans="25:26" x14ac:dyDescent="0.25">
      <c r="Y2023" s="63">
        <v>44556</v>
      </c>
      <c r="Z2023" s="61">
        <f>_xll.qlYieldTSDiscount($U$35,Y2023,,Trigger)</f>
        <v>0.93921420653582799</v>
      </c>
    </row>
    <row r="2024" spans="25:26" x14ac:dyDescent="0.25">
      <c r="Y2024" s="63">
        <v>44557</v>
      </c>
      <c r="Z2024" s="61">
        <f>_xll.qlYieldTSDiscount($U$35,Y2024,,Trigger)</f>
        <v>0.93917629695058091</v>
      </c>
    </row>
    <row r="2025" spans="25:26" x14ac:dyDescent="0.25">
      <c r="Y2025" s="63">
        <v>44558</v>
      </c>
      <c r="Z2025" s="61">
        <f>_xll.qlYieldTSDiscount($U$35,Y2025,,Trigger)</f>
        <v>0.93913838565009222</v>
      </c>
    </row>
    <row r="2026" spans="25:26" x14ac:dyDescent="0.25">
      <c r="Y2026" s="63">
        <v>44559</v>
      </c>
      <c r="Z2026" s="61">
        <f>_xll.qlYieldTSDiscount($U$35,Y2026,,Trigger)</f>
        <v>0.93910047263755314</v>
      </c>
    </row>
    <row r="2027" spans="25:26" x14ac:dyDescent="0.25">
      <c r="Y2027" s="63">
        <v>44560</v>
      </c>
      <c r="Z2027" s="61">
        <f>_xll.qlYieldTSDiscount($U$35,Y2027,,Trigger)</f>
        <v>0.93906255791615534</v>
      </c>
    </row>
    <row r="2028" spans="25:26" x14ac:dyDescent="0.25">
      <c r="Y2028" s="63">
        <v>44561</v>
      </c>
      <c r="Z2028" s="61">
        <f>_xll.qlYieldTSDiscount($U$35,Y2028,,Trigger)</f>
        <v>0.93902464148908993</v>
      </c>
    </row>
    <row r="2029" spans="25:26" x14ac:dyDescent="0.25">
      <c r="Y2029" s="63">
        <v>44562</v>
      </c>
      <c r="Z2029" s="61">
        <f>_xll.qlYieldTSDiscount($U$35,Y2029,,Trigger)</f>
        <v>0.93898672335954858</v>
      </c>
    </row>
    <row r="2030" spans="25:26" x14ac:dyDescent="0.25">
      <c r="Y2030" s="63">
        <v>44563</v>
      </c>
      <c r="Z2030" s="61">
        <f>_xll.qlYieldTSDiscount($U$35,Y2030,,Trigger)</f>
        <v>0.93894880353072263</v>
      </c>
    </row>
    <row r="2031" spans="25:26" x14ac:dyDescent="0.25">
      <c r="Y2031" s="63">
        <v>44564</v>
      </c>
      <c r="Z2031" s="61">
        <f>_xll.qlYieldTSDiscount($U$35,Y2031,,Trigger)</f>
        <v>0.93891088200580342</v>
      </c>
    </row>
    <row r="2032" spans="25:26" x14ac:dyDescent="0.25">
      <c r="Y2032" s="63">
        <v>44565</v>
      </c>
      <c r="Z2032" s="61">
        <f>_xll.qlYieldTSDiscount($U$35,Y2032,,Trigger)</f>
        <v>0.93887295878798249</v>
      </c>
    </row>
    <row r="2033" spans="25:26" x14ac:dyDescent="0.25">
      <c r="Y2033" s="63">
        <v>44566</v>
      </c>
      <c r="Z2033" s="61">
        <f>_xll.qlYieldTSDiscount($U$35,Y2033,,Trigger)</f>
        <v>0.93883503388045131</v>
      </c>
    </row>
    <row r="2034" spans="25:26" x14ac:dyDescent="0.25">
      <c r="Y2034" s="63">
        <v>44567</v>
      </c>
      <c r="Z2034" s="61">
        <f>_xll.qlYieldTSDiscount($U$35,Y2034,,Trigger)</f>
        <v>0.9387971072864012</v>
      </c>
    </row>
    <row r="2035" spans="25:26" x14ac:dyDescent="0.25">
      <c r="Y2035" s="63">
        <v>44568</v>
      </c>
      <c r="Z2035" s="61">
        <f>_xll.qlYieldTSDiscount($U$35,Y2035,,Trigger)</f>
        <v>0.93875917900902361</v>
      </c>
    </row>
    <row r="2036" spans="25:26" x14ac:dyDescent="0.25">
      <c r="Y2036" s="63">
        <v>44569</v>
      </c>
      <c r="Z2036" s="61">
        <f>_xll.qlYieldTSDiscount($U$35,Y2036,,Trigger)</f>
        <v>0.93872124905151</v>
      </c>
    </row>
    <row r="2037" spans="25:26" x14ac:dyDescent="0.25">
      <c r="Y2037" s="63">
        <v>44570</v>
      </c>
      <c r="Z2037" s="61">
        <f>_xll.qlYieldTSDiscount($U$35,Y2037,,Trigger)</f>
        <v>0.9386833174170518</v>
      </c>
    </row>
    <row r="2038" spans="25:26" x14ac:dyDescent="0.25">
      <c r="Y2038" s="63">
        <v>44571</v>
      </c>
      <c r="Z2038" s="61">
        <f>_xll.qlYieldTSDiscount($U$35,Y2038,,Trigger)</f>
        <v>0.93864538410884035</v>
      </c>
    </row>
    <row r="2039" spans="25:26" x14ac:dyDescent="0.25">
      <c r="Y2039" s="63">
        <v>44572</v>
      </c>
      <c r="Z2039" s="61">
        <f>_xll.qlYieldTSDiscount($U$35,Y2039,,Trigger)</f>
        <v>0.93860744913006711</v>
      </c>
    </row>
    <row r="2040" spans="25:26" x14ac:dyDescent="0.25">
      <c r="Y2040" s="63">
        <v>44573</v>
      </c>
      <c r="Z2040" s="61">
        <f>_xll.qlYieldTSDiscount($U$35,Y2040,,Trigger)</f>
        <v>0.93856951248392362</v>
      </c>
    </row>
    <row r="2041" spans="25:26" x14ac:dyDescent="0.25">
      <c r="Y2041" s="63">
        <v>44574</v>
      </c>
      <c r="Z2041" s="61">
        <f>_xll.qlYieldTSDiscount($U$35,Y2041,,Trigger)</f>
        <v>0.93853157417360111</v>
      </c>
    </row>
    <row r="2042" spans="25:26" x14ac:dyDescent="0.25">
      <c r="Y2042" s="63">
        <v>44575</v>
      </c>
      <c r="Z2042" s="61">
        <f>_xll.qlYieldTSDiscount($U$35,Y2042,,Trigger)</f>
        <v>0.93849363420229115</v>
      </c>
    </row>
    <row r="2043" spans="25:26" x14ac:dyDescent="0.25">
      <c r="Y2043" s="63">
        <v>44576</v>
      </c>
      <c r="Z2043" s="61">
        <f>_xll.qlYieldTSDiscount($U$35,Y2043,,Trigger)</f>
        <v>0.93845569257318506</v>
      </c>
    </row>
    <row r="2044" spans="25:26" x14ac:dyDescent="0.25">
      <c r="Y2044" s="63">
        <v>44577</v>
      </c>
      <c r="Z2044" s="61">
        <f>_xll.qlYieldTSDiscount($U$35,Y2044,,Trigger)</f>
        <v>0.93841774928947441</v>
      </c>
    </row>
    <row r="2045" spans="25:26" x14ac:dyDescent="0.25">
      <c r="Y2045" s="63">
        <v>44578</v>
      </c>
      <c r="Z2045" s="61">
        <f>_xll.qlYieldTSDiscount($U$35,Y2045,,Trigger)</f>
        <v>0.93837980435435053</v>
      </c>
    </row>
    <row r="2046" spans="25:26" x14ac:dyDescent="0.25">
      <c r="Y2046" s="63">
        <v>44579</v>
      </c>
      <c r="Z2046" s="61">
        <f>_xll.qlYieldTSDiscount($U$35,Y2046,,Trigger)</f>
        <v>0.93834185777100476</v>
      </c>
    </row>
    <row r="2047" spans="25:26" x14ac:dyDescent="0.25">
      <c r="Y2047" s="63">
        <v>44580</v>
      </c>
      <c r="Z2047" s="61">
        <f>_xll.qlYieldTSDiscount($U$35,Y2047,,Trigger)</f>
        <v>0.93830390954262877</v>
      </c>
    </row>
    <row r="2048" spans="25:26" x14ac:dyDescent="0.25">
      <c r="Y2048" s="63">
        <v>44581</v>
      </c>
      <c r="Z2048" s="61">
        <f>_xll.qlYieldTSDiscount($U$35,Y2048,,Trigger)</f>
        <v>0.93826595967241377</v>
      </c>
    </row>
    <row r="2049" spans="25:26" x14ac:dyDescent="0.25">
      <c r="Y2049" s="63">
        <v>44582</v>
      </c>
      <c r="Z2049" s="61">
        <f>_xll.qlYieldTSDiscount($U$35,Y2049,,Trigger)</f>
        <v>0.93822800816355123</v>
      </c>
    </row>
    <row r="2050" spans="25:26" x14ac:dyDescent="0.25">
      <c r="Y2050" s="63">
        <v>44583</v>
      </c>
      <c r="Z2050" s="61">
        <f>_xll.qlYieldTSDiscount($U$35,Y2050,,Trigger)</f>
        <v>0.93819005501923258</v>
      </c>
    </row>
    <row r="2051" spans="25:26" x14ac:dyDescent="0.25">
      <c r="Y2051" s="63">
        <v>44584</v>
      </c>
      <c r="Z2051" s="61">
        <f>_xll.qlYieldTSDiscount($U$35,Y2051,,Trigger)</f>
        <v>0.93815210024264928</v>
      </c>
    </row>
    <row r="2052" spans="25:26" x14ac:dyDescent="0.25">
      <c r="Y2052" s="63">
        <v>44585</v>
      </c>
      <c r="Z2052" s="61">
        <f>_xll.qlYieldTSDiscount($U$35,Y2052,,Trigger)</f>
        <v>0.93811414383699276</v>
      </c>
    </row>
    <row r="2053" spans="25:26" x14ac:dyDescent="0.25">
      <c r="Y2053" s="63">
        <v>44586</v>
      </c>
      <c r="Z2053" s="61">
        <f>_xll.qlYieldTSDiscount($U$35,Y2053,,Trigger)</f>
        <v>0.93807618580545438</v>
      </c>
    </row>
    <row r="2054" spans="25:26" x14ac:dyDescent="0.25">
      <c r="Y2054" s="63">
        <v>44587</v>
      </c>
      <c r="Z2054" s="61">
        <f>_xll.qlYieldTSDiscount($U$35,Y2054,,Trigger)</f>
        <v>0.93803822615122556</v>
      </c>
    </row>
    <row r="2055" spans="25:26" x14ac:dyDescent="0.25">
      <c r="Y2055" s="63">
        <v>44588</v>
      </c>
      <c r="Z2055" s="61">
        <f>_xll.qlYieldTSDiscount($U$35,Y2055,,Trigger)</f>
        <v>0.93800026487749788</v>
      </c>
    </row>
    <row r="2056" spans="25:26" x14ac:dyDescent="0.25">
      <c r="Y2056" s="63">
        <v>44589</v>
      </c>
      <c r="Z2056" s="61">
        <f>_xll.qlYieldTSDiscount($U$35,Y2056,,Trigger)</f>
        <v>0.93796230198746267</v>
      </c>
    </row>
    <row r="2057" spans="25:26" x14ac:dyDescent="0.25">
      <c r="Y2057" s="63">
        <v>44590</v>
      </c>
      <c r="Z2057" s="61">
        <f>_xll.qlYieldTSDiscount($U$35,Y2057,,Trigger)</f>
        <v>0.93792433748431125</v>
      </c>
    </row>
    <row r="2058" spans="25:26" x14ac:dyDescent="0.25">
      <c r="Y2058" s="63">
        <v>44591</v>
      </c>
      <c r="Z2058" s="61">
        <f>_xll.qlYieldTSDiscount($U$35,Y2058,,Trigger)</f>
        <v>0.93788637137123521</v>
      </c>
    </row>
    <row r="2059" spans="25:26" x14ac:dyDescent="0.25">
      <c r="Y2059" s="63">
        <v>44592</v>
      </c>
      <c r="Z2059" s="61">
        <f>_xll.qlYieldTSDiscount($U$35,Y2059,,Trigger)</f>
        <v>0.93784840365142585</v>
      </c>
    </row>
    <row r="2060" spans="25:26" x14ac:dyDescent="0.25">
      <c r="Y2060" s="63">
        <v>44593</v>
      </c>
      <c r="Z2060" s="61">
        <f>_xll.qlYieldTSDiscount($U$35,Y2060,,Trigger)</f>
        <v>0.93781043432807465</v>
      </c>
    </row>
    <row r="2061" spans="25:26" x14ac:dyDescent="0.25">
      <c r="Y2061" s="63">
        <v>44594</v>
      </c>
      <c r="Z2061" s="61">
        <f>_xll.qlYieldTSDiscount($U$35,Y2061,,Trigger)</f>
        <v>0.93777246340437304</v>
      </c>
    </row>
    <row r="2062" spans="25:26" x14ac:dyDescent="0.25">
      <c r="Y2062" s="63">
        <v>44595</v>
      </c>
      <c r="Z2062" s="61">
        <f>_xll.qlYieldTSDiscount($U$35,Y2062,,Trigger)</f>
        <v>0.93773449088351235</v>
      </c>
    </row>
    <row r="2063" spans="25:26" x14ac:dyDescent="0.25">
      <c r="Y2063" s="63">
        <v>44596</v>
      </c>
      <c r="Z2063" s="61">
        <f>_xll.qlYieldTSDiscount($U$35,Y2063,,Trigger)</f>
        <v>0.93769651676868426</v>
      </c>
    </row>
    <row r="2064" spans="25:26" x14ac:dyDescent="0.25">
      <c r="Y2064" s="63">
        <v>44597</v>
      </c>
      <c r="Z2064" s="61">
        <f>_xll.qlYieldTSDiscount($U$35,Y2064,,Trigger)</f>
        <v>0.93765854106307989</v>
      </c>
    </row>
    <row r="2065" spans="25:26" x14ac:dyDescent="0.25">
      <c r="Y2065" s="63">
        <v>44598</v>
      </c>
      <c r="Z2065" s="61">
        <f>_xll.qlYieldTSDiscount($U$35,Y2065,,Trigger)</f>
        <v>0.93762056376989089</v>
      </c>
    </row>
    <row r="2066" spans="25:26" x14ac:dyDescent="0.25">
      <c r="Y2066" s="63">
        <v>44599</v>
      </c>
      <c r="Z2066" s="61">
        <f>_xll.qlYieldTSDiscount($U$35,Y2066,,Trigger)</f>
        <v>0.93758258489230861</v>
      </c>
    </row>
    <row r="2067" spans="25:26" x14ac:dyDescent="0.25">
      <c r="Y2067" s="63">
        <v>44600</v>
      </c>
      <c r="Z2067" s="61">
        <f>_xll.qlYieldTSDiscount($U$35,Y2067,,Trigger)</f>
        <v>0.93754460443352439</v>
      </c>
    </row>
    <row r="2068" spans="25:26" x14ac:dyDescent="0.25">
      <c r="Y2068" s="63">
        <v>44601</v>
      </c>
      <c r="Z2068" s="61">
        <f>_xll.qlYieldTSDiscount($U$35,Y2068,,Trigger)</f>
        <v>0.93750662239672977</v>
      </c>
    </row>
    <row r="2069" spans="25:26" x14ac:dyDescent="0.25">
      <c r="Y2069" s="63">
        <v>44602</v>
      </c>
      <c r="Z2069" s="61">
        <f>_xll.qlYieldTSDiscount($U$35,Y2069,,Trigger)</f>
        <v>0.9374686387851161</v>
      </c>
    </row>
    <row r="2070" spans="25:26" x14ac:dyDescent="0.25">
      <c r="Y2070" s="63">
        <v>44603</v>
      </c>
      <c r="Z2070" s="61">
        <f>_xll.qlYieldTSDiscount($U$35,Y2070,,Trigger)</f>
        <v>0.93743065360187483</v>
      </c>
    </row>
    <row r="2071" spans="25:26" x14ac:dyDescent="0.25">
      <c r="Y2071" s="63">
        <v>44604</v>
      </c>
      <c r="Z2071" s="61">
        <f>_xll.qlYieldTSDiscount($U$35,Y2071,,Trigger)</f>
        <v>0.9373926668501974</v>
      </c>
    </row>
    <row r="2072" spans="25:26" x14ac:dyDescent="0.25">
      <c r="Y2072" s="63">
        <v>44605</v>
      </c>
      <c r="Z2072" s="61">
        <f>_xll.qlYieldTSDiscount($U$35,Y2072,,Trigger)</f>
        <v>0.93735467853327525</v>
      </c>
    </row>
    <row r="2073" spans="25:26" x14ac:dyDescent="0.25">
      <c r="Y2073" s="63">
        <v>44606</v>
      </c>
      <c r="Z2073" s="61">
        <f>_xll.qlYieldTSDiscount($U$35,Y2073,,Trigger)</f>
        <v>0.93731668865429985</v>
      </c>
    </row>
    <row r="2074" spans="25:26" x14ac:dyDescent="0.25">
      <c r="Y2074" s="63">
        <v>44607</v>
      </c>
      <c r="Z2074" s="61">
        <f>_xll.qlYieldTSDiscount($U$35,Y2074,,Trigger)</f>
        <v>0.9372786972164624</v>
      </c>
    </row>
    <row r="2075" spans="25:26" x14ac:dyDescent="0.25">
      <c r="Y2075" s="63">
        <v>44608</v>
      </c>
      <c r="Z2075" s="61">
        <f>_xll.qlYieldTSDiscount($U$35,Y2075,,Trigger)</f>
        <v>0.93724070422295458</v>
      </c>
    </row>
    <row r="2076" spans="25:26" x14ac:dyDescent="0.25">
      <c r="Y2076" s="63">
        <v>44609</v>
      </c>
      <c r="Z2076" s="61">
        <f>_xll.qlYieldTSDiscount($U$35,Y2076,,Trigger)</f>
        <v>0.93720270967696773</v>
      </c>
    </row>
    <row r="2077" spans="25:26" x14ac:dyDescent="0.25">
      <c r="Y2077" s="63">
        <v>44610</v>
      </c>
      <c r="Z2077" s="61">
        <f>_xll.qlYieldTSDiscount($U$35,Y2077,,Trigger)</f>
        <v>0.93716471358169329</v>
      </c>
    </row>
    <row r="2078" spans="25:26" x14ac:dyDescent="0.25">
      <c r="Y2078" s="63">
        <v>44611</v>
      </c>
      <c r="Z2078" s="61">
        <f>_xll.qlYieldTSDiscount($U$35,Y2078,,Trigger)</f>
        <v>0.9371267159403226</v>
      </c>
    </row>
    <row r="2079" spans="25:26" x14ac:dyDescent="0.25">
      <c r="Y2079" s="63">
        <v>44612</v>
      </c>
      <c r="Z2079" s="61">
        <f>_xll.qlYieldTSDiscount($U$35,Y2079,,Trigger)</f>
        <v>0.9370887167560471</v>
      </c>
    </row>
    <row r="2080" spans="25:26" x14ac:dyDescent="0.25">
      <c r="Y2080" s="63">
        <v>44613</v>
      </c>
      <c r="Z2080" s="61">
        <f>_xll.qlYieldTSDiscount($U$35,Y2080,,Trigger)</f>
        <v>0.93705071603205836</v>
      </c>
    </row>
    <row r="2081" spans="25:26" x14ac:dyDescent="0.25">
      <c r="Y2081" s="63">
        <v>44614</v>
      </c>
      <c r="Z2081" s="61">
        <f>_xll.qlYieldTSDiscount($U$35,Y2081,,Trigger)</f>
        <v>0.9370127137715476</v>
      </c>
    </row>
    <row r="2082" spans="25:26" x14ac:dyDescent="0.25">
      <c r="Y2082" s="63">
        <v>44615</v>
      </c>
      <c r="Z2082" s="61">
        <f>_xll.qlYieldTSDiscount($U$35,Y2082,,Trigger)</f>
        <v>0.93697470997770649</v>
      </c>
    </row>
    <row r="2083" spans="25:26" x14ac:dyDescent="0.25">
      <c r="Y2083" s="63">
        <v>44616</v>
      </c>
      <c r="Z2083" s="61">
        <f>_xll.qlYieldTSDiscount($U$35,Y2083,,Trigger)</f>
        <v>0.93693670465372614</v>
      </c>
    </row>
    <row r="2084" spans="25:26" x14ac:dyDescent="0.25">
      <c r="Y2084" s="63">
        <v>44617</v>
      </c>
      <c r="Z2084" s="61">
        <f>_xll.qlYieldTSDiscount($U$35,Y2084,,Trigger)</f>
        <v>0.93689869780279833</v>
      </c>
    </row>
    <row r="2085" spans="25:26" x14ac:dyDescent="0.25">
      <c r="Y2085" s="63">
        <v>44618</v>
      </c>
      <c r="Z2085" s="61">
        <f>_xll.qlYieldTSDiscount($U$35,Y2085,,Trigger)</f>
        <v>0.93686068942811418</v>
      </c>
    </row>
    <row r="2086" spans="25:26" x14ac:dyDescent="0.25">
      <c r="Y2086" s="63">
        <v>44619</v>
      </c>
      <c r="Z2086" s="61">
        <f>_xll.qlYieldTSDiscount($U$35,Y2086,,Trigger)</f>
        <v>0.93682267953286524</v>
      </c>
    </row>
    <row r="2087" spans="25:26" x14ac:dyDescent="0.25">
      <c r="Y2087" s="63">
        <v>44620</v>
      </c>
      <c r="Z2087" s="61">
        <f>_xll.qlYieldTSDiscount($U$35,Y2087,,Trigger)</f>
        <v>0.93678466812024297</v>
      </c>
    </row>
    <row r="2088" spans="25:26" x14ac:dyDescent="0.25">
      <c r="Y2088" s="63">
        <v>44621</v>
      </c>
      <c r="Z2088" s="61">
        <f>_xll.qlYieldTSDiscount($U$35,Y2088,,Trigger)</f>
        <v>0.9367466551934388</v>
      </c>
    </row>
    <row r="2089" spans="25:26" x14ac:dyDescent="0.25">
      <c r="Y2089" s="63">
        <v>44622</v>
      </c>
      <c r="Z2089" s="61">
        <f>_xll.qlYieldTSDiscount($U$35,Y2089,,Trigger)</f>
        <v>0.93670864075564397</v>
      </c>
    </row>
    <row r="2090" spans="25:26" x14ac:dyDescent="0.25">
      <c r="Y2090" s="63">
        <v>44623</v>
      </c>
      <c r="Z2090" s="61">
        <f>_xll.qlYieldTSDiscount($U$35,Y2090,,Trigger)</f>
        <v>0.93667062481005026</v>
      </c>
    </row>
    <row r="2091" spans="25:26" x14ac:dyDescent="0.25">
      <c r="Y2091" s="63">
        <v>44624</v>
      </c>
      <c r="Z2091" s="61">
        <f>_xll.qlYieldTSDiscount($U$35,Y2091,,Trigger)</f>
        <v>0.93663260735984877</v>
      </c>
    </row>
    <row r="2092" spans="25:26" x14ac:dyDescent="0.25">
      <c r="Y2092" s="63">
        <v>44625</v>
      </c>
      <c r="Z2092" s="61">
        <f>_xll.qlYieldTSDiscount($U$35,Y2092,,Trigger)</f>
        <v>0.93659458840823095</v>
      </c>
    </row>
    <row r="2093" spans="25:26" x14ac:dyDescent="0.25">
      <c r="Y2093" s="63">
        <v>44626</v>
      </c>
      <c r="Z2093" s="61">
        <f>_xll.qlYieldTSDiscount($U$35,Y2093,,Trigger)</f>
        <v>0.93655656795838849</v>
      </c>
    </row>
    <row r="2094" spans="25:26" x14ac:dyDescent="0.25">
      <c r="Y2094" s="63">
        <v>44627</v>
      </c>
      <c r="Z2094" s="61">
        <f>_xll.qlYieldTSDiscount($U$35,Y2094,,Trigger)</f>
        <v>0.93651854601351248</v>
      </c>
    </row>
    <row r="2095" spans="25:26" x14ac:dyDescent="0.25">
      <c r="Y2095" s="63">
        <v>44628</v>
      </c>
      <c r="Z2095" s="61">
        <f>_xll.qlYieldTSDiscount($U$35,Y2095,,Trigger)</f>
        <v>0.93648052257679459</v>
      </c>
    </row>
    <row r="2096" spans="25:26" x14ac:dyDescent="0.25">
      <c r="Y2096" s="63">
        <v>44629</v>
      </c>
      <c r="Z2096" s="61">
        <f>_xll.qlYieldTSDiscount($U$35,Y2096,,Trigger)</f>
        <v>0.93644249765142618</v>
      </c>
    </row>
    <row r="2097" spans="25:26" x14ac:dyDescent="0.25">
      <c r="Y2097" s="63">
        <v>44630</v>
      </c>
      <c r="Z2097" s="61">
        <f>_xll.qlYieldTSDiscount($U$35,Y2097,,Trigger)</f>
        <v>0.93640447124059867</v>
      </c>
    </row>
    <row r="2098" spans="25:26" x14ac:dyDescent="0.25">
      <c r="Y2098" s="63">
        <v>44631</v>
      </c>
      <c r="Z2098" s="61">
        <f>_xll.qlYieldTSDiscount($U$35,Y2098,,Trigger)</f>
        <v>0.93636644334750341</v>
      </c>
    </row>
    <row r="2099" spans="25:26" x14ac:dyDescent="0.25">
      <c r="Y2099" s="63">
        <v>44632</v>
      </c>
      <c r="Z2099" s="61">
        <f>_xll.qlYieldTSDiscount($U$35,Y2099,,Trigger)</f>
        <v>0.93632841397533184</v>
      </c>
    </row>
    <row r="2100" spans="25:26" x14ac:dyDescent="0.25">
      <c r="Y2100" s="63">
        <v>44633</v>
      </c>
      <c r="Z2100" s="61">
        <f>_xll.qlYieldTSDiscount($U$35,Y2100,,Trigger)</f>
        <v>0.93629038312727553</v>
      </c>
    </row>
    <row r="2101" spans="25:26" x14ac:dyDescent="0.25">
      <c r="Y2101" s="63">
        <v>44634</v>
      </c>
      <c r="Z2101" s="61">
        <f>_xll.qlYieldTSDiscount($U$35,Y2101,,Trigger)</f>
        <v>0.9362523508065258</v>
      </c>
    </row>
    <row r="2102" spans="25:26" x14ac:dyDescent="0.25">
      <c r="Y2102" s="63">
        <v>44635</v>
      </c>
      <c r="Z2102" s="61">
        <f>_xll.qlYieldTSDiscount($U$35,Y2102,,Trigger)</f>
        <v>0.936214317016274</v>
      </c>
    </row>
    <row r="2103" spans="25:26" x14ac:dyDescent="0.25">
      <c r="Y2103" s="63">
        <v>44636</v>
      </c>
      <c r="Z2103" s="61">
        <f>_xll.qlYieldTSDiscount($U$35,Y2103,,Trigger)</f>
        <v>0.93617628175971168</v>
      </c>
    </row>
    <row r="2104" spans="25:26" x14ac:dyDescent="0.25">
      <c r="Y2104" s="63">
        <v>44637</v>
      </c>
      <c r="Z2104" s="61">
        <f>_xll.qlYieldTSDiscount($U$35,Y2104,,Trigger)</f>
        <v>0.93613824504003029</v>
      </c>
    </row>
    <row r="2105" spans="25:26" x14ac:dyDescent="0.25">
      <c r="Y2105" s="63">
        <v>44638</v>
      </c>
      <c r="Z2105" s="61">
        <f>_xll.qlYieldTSDiscount($U$35,Y2105,,Trigger)</f>
        <v>0.93610020686042117</v>
      </c>
    </row>
    <row r="2106" spans="25:26" x14ac:dyDescent="0.25">
      <c r="Y2106" s="63">
        <v>44639</v>
      </c>
      <c r="Z2106" s="61">
        <f>_xll.qlYieldTSDiscount($U$35,Y2106,,Trigger)</f>
        <v>0.93606216722407565</v>
      </c>
    </row>
    <row r="2107" spans="25:26" x14ac:dyDescent="0.25">
      <c r="Y2107" s="63">
        <v>44640</v>
      </c>
      <c r="Z2107" s="61">
        <f>_xll.qlYieldTSDiscount($U$35,Y2107,,Trigger)</f>
        <v>0.9360241261341854</v>
      </c>
    </row>
    <row r="2108" spans="25:26" x14ac:dyDescent="0.25">
      <c r="Y2108" s="63">
        <v>44641</v>
      </c>
      <c r="Z2108" s="61">
        <f>_xll.qlYieldTSDiscount($U$35,Y2108,,Trigger)</f>
        <v>0.93598608359394164</v>
      </c>
    </row>
    <row r="2109" spans="25:26" x14ac:dyDescent="0.25">
      <c r="Y2109" s="63">
        <v>44642</v>
      </c>
      <c r="Z2109" s="61">
        <f>_xll.qlYieldTSDiscount($U$35,Y2109,,Trigger)</f>
        <v>0.93594803960653583</v>
      </c>
    </row>
    <row r="2110" spans="25:26" x14ac:dyDescent="0.25">
      <c r="Y2110" s="63">
        <v>44643</v>
      </c>
      <c r="Z2110" s="61">
        <f>_xll.qlYieldTSDiscount($U$35,Y2110,,Trigger)</f>
        <v>0.93590999417515952</v>
      </c>
    </row>
    <row r="2111" spans="25:26" x14ac:dyDescent="0.25">
      <c r="Y2111" s="63">
        <v>44644</v>
      </c>
      <c r="Z2111" s="61">
        <f>_xll.qlYieldTSDiscount($U$35,Y2111,,Trigger)</f>
        <v>0.93587194730300394</v>
      </c>
    </row>
    <row r="2112" spans="25:26" x14ac:dyDescent="0.25">
      <c r="Y2112" s="63">
        <v>44645</v>
      </c>
      <c r="Z2112" s="61">
        <f>_xll.qlYieldTSDiscount($U$35,Y2112,,Trigger)</f>
        <v>0.93583389899326064</v>
      </c>
    </row>
    <row r="2113" spans="25:26" x14ac:dyDescent="0.25">
      <c r="Y2113" s="63">
        <v>44646</v>
      </c>
      <c r="Z2113" s="61">
        <f>_xll.qlYieldTSDiscount($U$35,Y2113,,Trigger)</f>
        <v>0.93579584924912107</v>
      </c>
    </row>
    <row r="2114" spans="25:26" x14ac:dyDescent="0.25">
      <c r="Y2114" s="63">
        <v>44647</v>
      </c>
      <c r="Z2114" s="61">
        <f>_xll.qlYieldTSDiscount($U$35,Y2114,,Trigger)</f>
        <v>0.93575779807377668</v>
      </c>
    </row>
    <row r="2115" spans="25:26" x14ac:dyDescent="0.25">
      <c r="Y2115" s="63">
        <v>44648</v>
      </c>
      <c r="Z2115" s="61">
        <f>_xll.qlYieldTSDiscount($U$35,Y2115,,Trigger)</f>
        <v>0.9357197454704187</v>
      </c>
    </row>
    <row r="2116" spans="25:26" x14ac:dyDescent="0.25">
      <c r="Y2116" s="63">
        <v>44649</v>
      </c>
      <c r="Z2116" s="61">
        <f>_xll.qlYieldTSDiscount($U$35,Y2116,,Trigger)</f>
        <v>0.93568169144223878</v>
      </c>
    </row>
    <row r="2117" spans="25:26" x14ac:dyDescent="0.25">
      <c r="Y2117" s="63">
        <v>44650</v>
      </c>
      <c r="Z2117" s="61">
        <f>_xll.qlYieldTSDiscount($U$35,Y2117,,Trigger)</f>
        <v>0.93564363599242817</v>
      </c>
    </row>
    <row r="2118" spans="25:26" x14ac:dyDescent="0.25">
      <c r="Y2118" s="63">
        <v>44651</v>
      </c>
      <c r="Z2118" s="61">
        <f>_xll.qlYieldTSDiscount($U$35,Y2118,,Trigger)</f>
        <v>0.93560557912417841</v>
      </c>
    </row>
    <row r="2119" spans="25:26" x14ac:dyDescent="0.25">
      <c r="Y2119" s="63">
        <v>44652</v>
      </c>
      <c r="Z2119" s="61">
        <f>_xll.qlYieldTSDiscount($U$35,Y2119,,Trigger)</f>
        <v>0.93556752084068096</v>
      </c>
    </row>
    <row r="2120" spans="25:26" x14ac:dyDescent="0.25">
      <c r="Y2120" s="63">
        <v>44653</v>
      </c>
      <c r="Z2120" s="61">
        <f>_xll.qlYieldTSDiscount($U$35,Y2120,,Trigger)</f>
        <v>0.93552946114512703</v>
      </c>
    </row>
    <row r="2121" spans="25:26" x14ac:dyDescent="0.25">
      <c r="Y2121" s="63">
        <v>44654</v>
      </c>
      <c r="Z2121" s="61">
        <f>_xll.qlYieldTSDiscount($U$35,Y2121,,Trigger)</f>
        <v>0.9354914000407083</v>
      </c>
    </row>
    <row r="2122" spans="25:26" x14ac:dyDescent="0.25">
      <c r="Y2122" s="63">
        <v>44655</v>
      </c>
      <c r="Z2122" s="61">
        <f>_xll.qlYieldTSDiscount($U$35,Y2122,,Trigger)</f>
        <v>0.93545333753061599</v>
      </c>
    </row>
    <row r="2123" spans="25:26" x14ac:dyDescent="0.25">
      <c r="Y2123" s="63">
        <v>44656</v>
      </c>
      <c r="Z2123" s="61">
        <f>_xll.qlYieldTSDiscount($U$35,Y2123,,Trigger)</f>
        <v>0.93541527361804166</v>
      </c>
    </row>
    <row r="2124" spans="25:26" x14ac:dyDescent="0.25">
      <c r="Y2124" s="63">
        <v>44657</v>
      </c>
      <c r="Z2124" s="61">
        <f>_xll.qlYieldTSDiscount($U$35,Y2124,,Trigger)</f>
        <v>0.93537720830617677</v>
      </c>
    </row>
    <row r="2125" spans="25:26" x14ac:dyDescent="0.25">
      <c r="Y2125" s="63">
        <v>44658</v>
      </c>
      <c r="Z2125" s="61">
        <f>_xll.qlYieldTSDiscount($U$35,Y2125,,Trigger)</f>
        <v>0.93533914159821263</v>
      </c>
    </row>
    <row r="2126" spans="25:26" x14ac:dyDescent="0.25">
      <c r="Y2126" s="63">
        <v>44659</v>
      </c>
      <c r="Z2126" s="61">
        <f>_xll.qlYieldTSDiscount($U$35,Y2126,,Trigger)</f>
        <v>0.9353010734973406</v>
      </c>
    </row>
    <row r="2127" spans="25:26" x14ac:dyDescent="0.25">
      <c r="Y2127" s="63">
        <v>44660</v>
      </c>
      <c r="Z2127" s="61">
        <f>_xll.qlYieldTSDiscount($U$35,Y2127,,Trigger)</f>
        <v>0.93526300400675233</v>
      </c>
    </row>
    <row r="2128" spans="25:26" x14ac:dyDescent="0.25">
      <c r="Y2128" s="63">
        <v>44661</v>
      </c>
      <c r="Z2128" s="61">
        <f>_xll.qlYieldTSDiscount($U$35,Y2128,,Trigger)</f>
        <v>0.93522493312963906</v>
      </c>
    </row>
    <row r="2129" spans="25:26" x14ac:dyDescent="0.25">
      <c r="Y2129" s="63">
        <v>44662</v>
      </c>
      <c r="Z2129" s="61">
        <f>_xll.qlYieldTSDiscount($U$35,Y2129,,Trigger)</f>
        <v>0.93518686086919223</v>
      </c>
    </row>
    <row r="2130" spans="25:26" x14ac:dyDescent="0.25">
      <c r="Y2130" s="63">
        <v>44663</v>
      </c>
      <c r="Z2130" s="61">
        <f>_xll.qlYieldTSDiscount($U$35,Y2130,,Trigger)</f>
        <v>0.9351487872286034</v>
      </c>
    </row>
    <row r="2131" spans="25:26" x14ac:dyDescent="0.25">
      <c r="Y2131" s="63">
        <v>44664</v>
      </c>
      <c r="Z2131" s="61">
        <f>_xll.qlYieldTSDiscount($U$35,Y2131,,Trigger)</f>
        <v>0.9351107122110639</v>
      </c>
    </row>
    <row r="2132" spans="25:26" x14ac:dyDescent="0.25">
      <c r="Y2132" s="63">
        <v>44665</v>
      </c>
      <c r="Z2132" s="61">
        <f>_xll.qlYieldTSDiscount($U$35,Y2132,,Trigger)</f>
        <v>0.93507263581976519</v>
      </c>
    </row>
    <row r="2133" spans="25:26" x14ac:dyDescent="0.25">
      <c r="Y2133" s="63">
        <v>44666</v>
      </c>
      <c r="Z2133" s="61">
        <f>_xll.qlYieldTSDiscount($U$35,Y2133,,Trigger)</f>
        <v>0.93503455805789859</v>
      </c>
    </row>
    <row r="2134" spans="25:26" x14ac:dyDescent="0.25">
      <c r="Y2134" s="63">
        <v>44667</v>
      </c>
      <c r="Z2134" s="61">
        <f>_xll.qlYieldTSDiscount($U$35,Y2134,,Trigger)</f>
        <v>0.93499647892865567</v>
      </c>
    </row>
    <row r="2135" spans="25:26" x14ac:dyDescent="0.25">
      <c r="Y2135" s="63">
        <v>44668</v>
      </c>
      <c r="Z2135" s="61">
        <f>_xll.qlYieldTSDiscount($U$35,Y2135,,Trigger)</f>
        <v>0.93495839843522777</v>
      </c>
    </row>
    <row r="2136" spans="25:26" x14ac:dyDescent="0.25">
      <c r="Y2136" s="63">
        <v>44669</v>
      </c>
      <c r="Z2136" s="61">
        <f>_xll.qlYieldTSDiscount($U$35,Y2136,,Trigger)</f>
        <v>0.93492031658080632</v>
      </c>
    </row>
    <row r="2137" spans="25:26" x14ac:dyDescent="0.25">
      <c r="Y2137" s="63">
        <v>44670</v>
      </c>
      <c r="Z2137" s="61">
        <f>_xll.qlYieldTSDiscount($U$35,Y2137,,Trigger)</f>
        <v>0.93488223336858278</v>
      </c>
    </row>
    <row r="2138" spans="25:26" x14ac:dyDescent="0.25">
      <c r="Y2138" s="63">
        <v>44671</v>
      </c>
      <c r="Z2138" s="61">
        <f>_xll.qlYieldTSDiscount($U$35,Y2138,,Trigger)</f>
        <v>0.93484414880174849</v>
      </c>
    </row>
    <row r="2139" spans="25:26" x14ac:dyDescent="0.25">
      <c r="Y2139" s="63">
        <v>44672</v>
      </c>
      <c r="Z2139" s="61">
        <f>_xll.qlYieldTSDiscount($U$35,Y2139,,Trigger)</f>
        <v>0.93480606288349499</v>
      </c>
    </row>
    <row r="2140" spans="25:26" x14ac:dyDescent="0.25">
      <c r="Y2140" s="63">
        <v>44673</v>
      </c>
      <c r="Z2140" s="61">
        <f>_xll.qlYieldTSDiscount($U$35,Y2140,,Trigger)</f>
        <v>0.93476797561701364</v>
      </c>
    </row>
    <row r="2141" spans="25:26" x14ac:dyDescent="0.25">
      <c r="Y2141" s="63">
        <v>44674</v>
      </c>
      <c r="Z2141" s="61">
        <f>_xll.qlYieldTSDiscount($U$35,Y2141,,Trigger)</f>
        <v>0.93472988700549597</v>
      </c>
    </row>
    <row r="2142" spans="25:26" x14ac:dyDescent="0.25">
      <c r="Y2142" s="63">
        <v>44675</v>
      </c>
      <c r="Z2142" s="61">
        <f>_xll.qlYieldTSDiscount($U$35,Y2142,,Trigger)</f>
        <v>0.93469179705213323</v>
      </c>
    </row>
    <row r="2143" spans="25:26" x14ac:dyDescent="0.25">
      <c r="Y2143" s="63">
        <v>44676</v>
      </c>
      <c r="Z2143" s="61">
        <f>_xll.qlYieldTSDiscount($U$35,Y2143,,Trigger)</f>
        <v>0.93465370576011686</v>
      </c>
    </row>
    <row r="2144" spans="25:26" x14ac:dyDescent="0.25">
      <c r="Y2144" s="63">
        <v>44677</v>
      </c>
      <c r="Z2144" s="61">
        <f>_xll.qlYieldTSDiscount($U$35,Y2144,,Trigger)</f>
        <v>0.93461561313263841</v>
      </c>
    </row>
    <row r="2145" spans="25:26" x14ac:dyDescent="0.25">
      <c r="Y2145" s="63">
        <v>44678</v>
      </c>
      <c r="Z2145" s="61">
        <f>_xll.qlYieldTSDiscount($U$35,Y2145,,Trigger)</f>
        <v>0.93457751917288934</v>
      </c>
    </row>
    <row r="2146" spans="25:26" x14ac:dyDescent="0.25">
      <c r="Y2146" s="63">
        <v>44679</v>
      </c>
      <c r="Z2146" s="61">
        <f>_xll.qlYieldTSDiscount($U$35,Y2146,,Trigger)</f>
        <v>0.93453942388406086</v>
      </c>
    </row>
    <row r="2147" spans="25:26" x14ac:dyDescent="0.25">
      <c r="Y2147" s="63">
        <v>44680</v>
      </c>
      <c r="Z2147" s="61">
        <f>_xll.qlYieldTSDiscount($U$35,Y2147,,Trigger)</f>
        <v>0.93450132726934465</v>
      </c>
    </row>
    <row r="2148" spans="25:26" x14ac:dyDescent="0.25">
      <c r="Y2148" s="63">
        <v>44681</v>
      </c>
      <c r="Z2148" s="61">
        <f>_xll.qlYieldTSDiscount($U$35,Y2148,,Trigger)</f>
        <v>0.93446322933193193</v>
      </c>
    </row>
    <row r="2149" spans="25:26" x14ac:dyDescent="0.25">
      <c r="Y2149" s="63">
        <v>44682</v>
      </c>
      <c r="Z2149" s="61">
        <f>_xll.qlYieldTSDiscount($U$35,Y2149,,Trigger)</f>
        <v>0.93442513007501415</v>
      </c>
    </row>
    <row r="2150" spans="25:26" x14ac:dyDescent="0.25">
      <c r="Y2150" s="63">
        <v>44683</v>
      </c>
      <c r="Z2150" s="61">
        <f>_xll.qlYieldTSDiscount($U$35,Y2150,,Trigger)</f>
        <v>0.93438702950178287</v>
      </c>
    </row>
    <row r="2151" spans="25:26" x14ac:dyDescent="0.25">
      <c r="Y2151" s="63">
        <v>44684</v>
      </c>
      <c r="Z2151" s="61">
        <f>_xll.qlYieldTSDiscount($U$35,Y2151,,Trigger)</f>
        <v>0.93434892761542943</v>
      </c>
    </row>
    <row r="2152" spans="25:26" x14ac:dyDescent="0.25">
      <c r="Y2152" s="63">
        <v>44685</v>
      </c>
      <c r="Z2152" s="61">
        <f>_xll.qlYieldTSDiscount($U$35,Y2152,,Trigger)</f>
        <v>0.93431082441914515</v>
      </c>
    </row>
    <row r="2153" spans="25:26" x14ac:dyDescent="0.25">
      <c r="Y2153" s="63">
        <v>44686</v>
      </c>
      <c r="Z2153" s="61">
        <f>_xll.qlYieldTSDiscount($U$35,Y2153,,Trigger)</f>
        <v>0.93427271991612171</v>
      </c>
    </row>
    <row r="2154" spans="25:26" x14ac:dyDescent="0.25">
      <c r="Y2154" s="63">
        <v>44687</v>
      </c>
      <c r="Z2154" s="61">
        <f>_xll.qlYieldTSDiscount($U$35,Y2154,,Trigger)</f>
        <v>0.93423461410955033</v>
      </c>
    </row>
    <row r="2155" spans="25:26" x14ac:dyDescent="0.25">
      <c r="Y2155" s="63">
        <v>44688</v>
      </c>
      <c r="Z2155" s="61">
        <f>_xll.qlYieldTSDiscount($U$35,Y2155,,Trigger)</f>
        <v>0.93419650700262247</v>
      </c>
    </row>
    <row r="2156" spans="25:26" x14ac:dyDescent="0.25">
      <c r="Y2156" s="63">
        <v>44689</v>
      </c>
      <c r="Z2156" s="61">
        <f>_xll.qlYieldTSDiscount($U$35,Y2156,,Trigger)</f>
        <v>0.93415839859852956</v>
      </c>
    </row>
    <row r="2157" spans="25:26" x14ac:dyDescent="0.25">
      <c r="Y2157" s="63">
        <v>44690</v>
      </c>
      <c r="Z2157" s="61">
        <f>_xll.qlYieldTSDiscount($U$35,Y2157,,Trigger)</f>
        <v>0.93412028890046306</v>
      </c>
    </row>
    <row r="2158" spans="25:26" x14ac:dyDescent="0.25">
      <c r="Y2158" s="63">
        <v>44691</v>
      </c>
      <c r="Z2158" s="61">
        <f>_xll.qlYieldTSDiscount($U$35,Y2158,,Trigger)</f>
        <v>0.93408217791161441</v>
      </c>
    </row>
    <row r="2159" spans="25:26" x14ac:dyDescent="0.25">
      <c r="Y2159" s="63">
        <v>44692</v>
      </c>
      <c r="Z2159" s="61">
        <f>_xll.qlYieldTSDiscount($U$35,Y2159,,Trigger)</f>
        <v>0.93404406563517495</v>
      </c>
    </row>
    <row r="2160" spans="25:26" x14ac:dyDescent="0.25">
      <c r="Y2160" s="63">
        <v>44693</v>
      </c>
      <c r="Z2160" s="61">
        <f>_xll.qlYieldTSDiscount($U$35,Y2160,,Trigger)</f>
        <v>0.93400595207433612</v>
      </c>
    </row>
    <row r="2161" spans="25:26" x14ac:dyDescent="0.25">
      <c r="Y2161" s="63">
        <v>44694</v>
      </c>
      <c r="Z2161" s="61">
        <f>_xll.qlYieldTSDiscount($U$35,Y2161,,Trigger)</f>
        <v>0.93396783723228949</v>
      </c>
    </row>
    <row r="2162" spans="25:26" x14ac:dyDescent="0.25">
      <c r="Y2162" s="63">
        <v>44695</v>
      </c>
      <c r="Z2162" s="61">
        <f>_xll.qlYieldTSDiscount($U$35,Y2162,,Trigger)</f>
        <v>0.93392972111222627</v>
      </c>
    </row>
    <row r="2163" spans="25:26" x14ac:dyDescent="0.25">
      <c r="Y2163" s="63">
        <v>44696</v>
      </c>
      <c r="Z2163" s="61">
        <f>_xll.qlYieldTSDiscount($U$35,Y2163,,Trigger)</f>
        <v>0.93389160371733804</v>
      </c>
    </row>
    <row r="2164" spans="25:26" x14ac:dyDescent="0.25">
      <c r="Y2164" s="63">
        <v>44697</v>
      </c>
      <c r="Z2164" s="61">
        <f>_xll.qlYieldTSDiscount($U$35,Y2164,,Trigger)</f>
        <v>0.93385348505081622</v>
      </c>
    </row>
    <row r="2165" spans="25:26" x14ac:dyDescent="0.25">
      <c r="Y2165" s="63">
        <v>44698</v>
      </c>
      <c r="Z2165" s="61">
        <f>_xll.qlYieldTSDiscount($U$35,Y2165,,Trigger)</f>
        <v>0.93381536511585217</v>
      </c>
    </row>
    <row r="2166" spans="25:26" x14ac:dyDescent="0.25">
      <c r="Y2166" s="63">
        <v>44699</v>
      </c>
      <c r="Z2166" s="61">
        <f>_xll.qlYieldTSDiscount($U$35,Y2166,,Trigger)</f>
        <v>0.93377724391563732</v>
      </c>
    </row>
    <row r="2167" spans="25:26" x14ac:dyDescent="0.25">
      <c r="Y2167" s="63">
        <v>44700</v>
      </c>
      <c r="Z2167" s="61">
        <f>_xll.qlYieldTSDiscount($U$35,Y2167,,Trigger)</f>
        <v>0.93373912145336313</v>
      </c>
    </row>
    <row r="2168" spans="25:26" x14ac:dyDescent="0.25">
      <c r="Y2168" s="63">
        <v>44701</v>
      </c>
      <c r="Z2168" s="61">
        <f>_xll.qlYieldTSDiscount($U$35,Y2168,,Trigger)</f>
        <v>0.93370099773222093</v>
      </c>
    </row>
    <row r="2169" spans="25:26" x14ac:dyDescent="0.25">
      <c r="Y2169" s="63">
        <v>44702</v>
      </c>
      <c r="Z2169" s="61">
        <f>_xll.qlYieldTSDiscount($U$35,Y2169,,Trigger)</f>
        <v>0.93366287275540238</v>
      </c>
    </row>
    <row r="2170" spans="25:26" x14ac:dyDescent="0.25">
      <c r="Y2170" s="63">
        <v>44703</v>
      </c>
      <c r="Z2170" s="61">
        <f>_xll.qlYieldTSDiscount($U$35,Y2170,,Trigger)</f>
        <v>0.93362474652609861</v>
      </c>
    </row>
    <row r="2171" spans="25:26" x14ac:dyDescent="0.25">
      <c r="Y2171" s="63">
        <v>44704</v>
      </c>
      <c r="Z2171" s="61">
        <f>_xll.qlYieldTSDiscount($U$35,Y2171,,Trigger)</f>
        <v>0.93358661904750118</v>
      </c>
    </row>
    <row r="2172" spans="25:26" x14ac:dyDescent="0.25">
      <c r="Y2172" s="63">
        <v>44705</v>
      </c>
      <c r="Z2172" s="61">
        <f>_xll.qlYieldTSDiscount($U$35,Y2172,,Trigger)</f>
        <v>0.93354849032280163</v>
      </c>
    </row>
    <row r="2173" spans="25:26" x14ac:dyDescent="0.25">
      <c r="Y2173" s="63">
        <v>44706</v>
      </c>
      <c r="Z2173" s="61">
        <f>_xll.qlYieldTSDiscount($U$35,Y2173,,Trigger)</f>
        <v>0.93351036035519119</v>
      </c>
    </row>
    <row r="2174" spans="25:26" x14ac:dyDescent="0.25">
      <c r="Y2174" s="63">
        <v>44707</v>
      </c>
      <c r="Z2174" s="61">
        <f>_xll.qlYieldTSDiscount($U$35,Y2174,,Trigger)</f>
        <v>0.93347222914786143</v>
      </c>
    </row>
    <row r="2175" spans="25:26" x14ac:dyDescent="0.25">
      <c r="Y2175" s="63">
        <v>44708</v>
      </c>
      <c r="Z2175" s="61">
        <f>_xll.qlYieldTSDiscount($U$35,Y2175,,Trigger)</f>
        <v>0.93343409670400357</v>
      </c>
    </row>
    <row r="2176" spans="25:26" x14ac:dyDescent="0.25">
      <c r="Y2176" s="63">
        <v>44709</v>
      </c>
      <c r="Z2176" s="61">
        <f>_xll.qlYieldTSDiscount($U$35,Y2176,,Trigger)</f>
        <v>0.93339596302680938</v>
      </c>
    </row>
    <row r="2177" spans="25:26" x14ac:dyDescent="0.25">
      <c r="Y2177" s="63">
        <v>44710</v>
      </c>
      <c r="Z2177" s="61">
        <f>_xll.qlYieldTSDiscount($U$35,Y2177,,Trigger)</f>
        <v>0.93335782811946988</v>
      </c>
    </row>
    <row r="2178" spans="25:26" x14ac:dyDescent="0.25">
      <c r="Y2178" s="63">
        <v>44711</v>
      </c>
      <c r="Z2178" s="61">
        <f>_xll.qlYieldTSDiscount($U$35,Y2178,,Trigger)</f>
        <v>0.93331969198517684</v>
      </c>
    </row>
    <row r="2179" spans="25:26" x14ac:dyDescent="0.25">
      <c r="Y2179" s="63">
        <v>44712</v>
      </c>
      <c r="Z2179" s="61">
        <f>_xll.qlYieldTSDiscount($U$35,Y2179,,Trigger)</f>
        <v>0.93328155462712148</v>
      </c>
    </row>
    <row r="2180" spans="25:26" x14ac:dyDescent="0.25">
      <c r="Y2180" s="63">
        <v>44713</v>
      </c>
      <c r="Z2180" s="61">
        <f>_xll.qlYieldTSDiscount($U$35,Y2180,,Trigger)</f>
        <v>0.93324341604849537</v>
      </c>
    </row>
    <row r="2181" spans="25:26" x14ac:dyDescent="0.25">
      <c r="Y2181" s="63">
        <v>44714</v>
      </c>
      <c r="Z2181" s="61">
        <f>_xll.qlYieldTSDiscount($U$35,Y2181,,Trigger)</f>
        <v>0.93320527625248972</v>
      </c>
    </row>
    <row r="2182" spans="25:26" x14ac:dyDescent="0.25">
      <c r="Y2182" s="63">
        <v>44715</v>
      </c>
      <c r="Z2182" s="61">
        <f>_xll.qlYieldTSDiscount($U$35,Y2182,,Trigger)</f>
        <v>0.93316713524229622</v>
      </c>
    </row>
    <row r="2183" spans="25:26" x14ac:dyDescent="0.25">
      <c r="Y2183" s="63">
        <v>44716</v>
      </c>
      <c r="Z2183" s="61">
        <f>_xll.qlYieldTSDiscount($U$35,Y2183,,Trigger)</f>
        <v>0.93312899302110608</v>
      </c>
    </row>
    <row r="2184" spans="25:26" x14ac:dyDescent="0.25">
      <c r="Y2184" s="63">
        <v>44717</v>
      </c>
      <c r="Z2184" s="61">
        <f>_xll.qlYieldTSDiscount($U$35,Y2184,,Trigger)</f>
        <v>0.93309084959211086</v>
      </c>
    </row>
    <row r="2185" spans="25:26" x14ac:dyDescent="0.25">
      <c r="Y2185" s="63">
        <v>44718</v>
      </c>
      <c r="Z2185" s="61">
        <f>_xll.qlYieldTSDiscount($U$35,Y2185,,Trigger)</f>
        <v>0.9330527049585019</v>
      </c>
    </row>
    <row r="2186" spans="25:26" x14ac:dyDescent="0.25">
      <c r="Y2186" s="63">
        <v>44719</v>
      </c>
      <c r="Z2186" s="61">
        <f>_xll.qlYieldTSDiscount($U$35,Y2186,,Trigger)</f>
        <v>0.93301455912347064</v>
      </c>
    </row>
    <row r="2187" spans="25:26" x14ac:dyDescent="0.25">
      <c r="Y2187" s="63">
        <v>44720</v>
      </c>
      <c r="Z2187" s="61">
        <f>_xll.qlYieldTSDiscount($U$35,Y2187,,Trigger)</f>
        <v>0.93297641209020854</v>
      </c>
    </row>
    <row r="2188" spans="25:26" x14ac:dyDescent="0.25">
      <c r="Y2188" s="63">
        <v>44721</v>
      </c>
      <c r="Z2188" s="61">
        <f>_xll.qlYieldTSDiscount($U$35,Y2188,,Trigger)</f>
        <v>0.93293826386190704</v>
      </c>
    </row>
    <row r="2189" spans="25:26" x14ac:dyDescent="0.25">
      <c r="Y2189" s="63">
        <v>44722</v>
      </c>
      <c r="Z2189" s="61">
        <f>_xll.qlYieldTSDiscount($U$35,Y2189,,Trigger)</f>
        <v>0.93290011444175758</v>
      </c>
    </row>
    <row r="2190" spans="25:26" x14ac:dyDescent="0.25">
      <c r="Y2190" s="63">
        <v>44723</v>
      </c>
      <c r="Z2190" s="61">
        <f>_xll.qlYieldTSDiscount($U$35,Y2190,,Trigger)</f>
        <v>0.93286196383295139</v>
      </c>
    </row>
    <row r="2191" spans="25:26" x14ac:dyDescent="0.25">
      <c r="Y2191" s="63">
        <v>44724</v>
      </c>
      <c r="Z2191" s="61">
        <f>_xll.qlYieldTSDiscount($U$35,Y2191,,Trigger)</f>
        <v>0.93282381203868014</v>
      </c>
    </row>
    <row r="2192" spans="25:26" x14ac:dyDescent="0.25">
      <c r="Y2192" s="63">
        <v>44725</v>
      </c>
      <c r="Z2192" s="61">
        <f>_xll.qlYieldTSDiscount($U$35,Y2192,,Trigger)</f>
        <v>0.93278565906213518</v>
      </c>
    </row>
    <row r="2193" spans="25:26" x14ac:dyDescent="0.25">
      <c r="Y2193" s="63">
        <v>44726</v>
      </c>
      <c r="Z2193" s="61">
        <f>_xll.qlYieldTSDiscount($U$35,Y2193,,Trigger)</f>
        <v>0.93274750490650793</v>
      </c>
    </row>
    <row r="2194" spans="25:26" x14ac:dyDescent="0.25">
      <c r="Y2194" s="63">
        <v>44727</v>
      </c>
      <c r="Z2194" s="61">
        <f>_xll.qlYieldTSDiscount($U$35,Y2194,,Trigger)</f>
        <v>0.93270934957498974</v>
      </c>
    </row>
    <row r="2195" spans="25:26" x14ac:dyDescent="0.25">
      <c r="Y2195" s="63">
        <v>44728</v>
      </c>
      <c r="Z2195" s="61">
        <f>_xll.qlYieldTSDiscount($U$35,Y2195,,Trigger)</f>
        <v>0.93267119307077206</v>
      </c>
    </row>
    <row r="2196" spans="25:26" x14ac:dyDescent="0.25">
      <c r="Y2196" s="63">
        <v>44729</v>
      </c>
      <c r="Z2196" s="61">
        <f>_xll.qlYieldTSDiscount($U$35,Y2196,,Trigger)</f>
        <v>0.93263303539704645</v>
      </c>
    </row>
    <row r="2197" spans="25:26" x14ac:dyDescent="0.25">
      <c r="Y2197" s="63">
        <v>44730</v>
      </c>
      <c r="Z2197" s="61">
        <f>_xll.qlYieldTSDiscount($U$35,Y2197,,Trigger)</f>
        <v>0.93259487655700413</v>
      </c>
    </row>
    <row r="2198" spans="25:26" x14ac:dyDescent="0.25">
      <c r="Y2198" s="63">
        <v>44731</v>
      </c>
      <c r="Z2198" s="61">
        <f>_xll.qlYieldTSDiscount($U$35,Y2198,,Trigger)</f>
        <v>0.93255671655383676</v>
      </c>
    </row>
    <row r="2199" spans="25:26" x14ac:dyDescent="0.25">
      <c r="Y2199" s="63">
        <v>44732</v>
      </c>
      <c r="Z2199" s="61">
        <f>_xll.qlYieldTSDiscount($U$35,Y2199,,Trigger)</f>
        <v>0.93251855539073558</v>
      </c>
    </row>
    <row r="2200" spans="25:26" x14ac:dyDescent="0.25">
      <c r="Y2200" s="63">
        <v>44733</v>
      </c>
      <c r="Z2200" s="61">
        <f>_xll.qlYieldTSDiscount($U$35,Y2200,,Trigger)</f>
        <v>0.93248039307089203</v>
      </c>
    </row>
    <row r="2201" spans="25:26" x14ac:dyDescent="0.25">
      <c r="Y2201" s="63">
        <v>44734</v>
      </c>
      <c r="Z2201" s="61">
        <f>_xll.qlYieldTSDiscount($U$35,Y2201,,Trigger)</f>
        <v>0.93244222959749756</v>
      </c>
    </row>
    <row r="2202" spans="25:26" x14ac:dyDescent="0.25">
      <c r="Y2202" s="63">
        <v>44735</v>
      </c>
      <c r="Z2202" s="61">
        <f>_xll.qlYieldTSDiscount($U$35,Y2202,,Trigger)</f>
        <v>0.93240406497374362</v>
      </c>
    </row>
    <row r="2203" spans="25:26" x14ac:dyDescent="0.25">
      <c r="Y2203" s="63">
        <v>44736</v>
      </c>
      <c r="Z2203" s="61">
        <f>_xll.qlYieldTSDiscount($U$35,Y2203,,Trigger)</f>
        <v>0.93236589920282165</v>
      </c>
    </row>
    <row r="2204" spans="25:26" x14ac:dyDescent="0.25">
      <c r="Y2204" s="63">
        <v>44737</v>
      </c>
      <c r="Z2204" s="61">
        <f>_xll.qlYieldTSDiscount($U$35,Y2204,,Trigger)</f>
        <v>0.93232773228792309</v>
      </c>
    </row>
    <row r="2205" spans="25:26" x14ac:dyDescent="0.25">
      <c r="Y2205" s="63">
        <v>44738</v>
      </c>
      <c r="Z2205" s="61">
        <f>_xll.qlYieldTSDiscount($U$35,Y2205,,Trigger)</f>
        <v>0.9322895642322393</v>
      </c>
    </row>
    <row r="2206" spans="25:26" x14ac:dyDescent="0.25">
      <c r="Y2206" s="63">
        <v>44739</v>
      </c>
      <c r="Z2206" s="61">
        <f>_xll.qlYieldTSDiscount($U$35,Y2206,,Trigger)</f>
        <v>0.93225139503896171</v>
      </c>
    </row>
    <row r="2207" spans="25:26" x14ac:dyDescent="0.25">
      <c r="Y2207" s="63">
        <v>44740</v>
      </c>
      <c r="Z2207" s="61">
        <f>_xll.qlYieldTSDiscount($U$35,Y2207,,Trigger)</f>
        <v>0.93221322471128176</v>
      </c>
    </row>
    <row r="2208" spans="25:26" x14ac:dyDescent="0.25">
      <c r="Y2208" s="63">
        <v>44741</v>
      </c>
      <c r="Z2208" s="61">
        <f>_xll.qlYieldTSDiscount($U$35,Y2208,,Trigger)</f>
        <v>0.93217505325239092</v>
      </c>
    </row>
    <row r="2209" spans="25:26" x14ac:dyDescent="0.25">
      <c r="Y2209" s="63">
        <v>44742</v>
      </c>
      <c r="Z2209" s="61">
        <f>_xll.qlYieldTSDiscount($U$35,Y2209,,Trigger)</f>
        <v>0.93213688066548062</v>
      </c>
    </row>
    <row r="2210" spans="25:26" x14ac:dyDescent="0.25">
      <c r="Y2210" s="63">
        <v>44743</v>
      </c>
      <c r="Z2210" s="61">
        <f>_xll.qlYieldTSDiscount($U$35,Y2210,,Trigger)</f>
        <v>0.9320987069537422</v>
      </c>
    </row>
    <row r="2211" spans="25:26" x14ac:dyDescent="0.25">
      <c r="Y2211" s="63">
        <v>44744</v>
      </c>
      <c r="Z2211" s="61">
        <f>_xll.qlYieldTSDiscount($U$35,Y2211,,Trigger)</f>
        <v>0.9320605321203671</v>
      </c>
    </row>
    <row r="2212" spans="25:26" x14ac:dyDescent="0.25">
      <c r="Y2212" s="63">
        <v>44745</v>
      </c>
      <c r="Z2212" s="61">
        <f>_xll.qlYieldTSDiscount($U$35,Y2212,,Trigger)</f>
        <v>0.93202235616854678</v>
      </c>
    </row>
    <row r="2213" spans="25:26" x14ac:dyDescent="0.25">
      <c r="Y2213" s="63">
        <v>44746</v>
      </c>
      <c r="Z2213" s="61">
        <f>_xll.qlYieldTSDiscount($U$35,Y2213,,Trigger)</f>
        <v>0.93198417910147258</v>
      </c>
    </row>
    <row r="2214" spans="25:26" x14ac:dyDescent="0.25">
      <c r="Y2214" s="63">
        <v>44747</v>
      </c>
      <c r="Z2214" s="61">
        <f>_xll.qlYieldTSDiscount($U$35,Y2214,,Trigger)</f>
        <v>0.93194600092233615</v>
      </c>
    </row>
    <row r="2215" spans="25:26" x14ac:dyDescent="0.25">
      <c r="Y2215" s="63">
        <v>44748</v>
      </c>
      <c r="Z2215" s="61">
        <f>_xll.qlYieldTSDiscount($U$35,Y2215,,Trigger)</f>
        <v>0.93190782163432861</v>
      </c>
    </row>
    <row r="2216" spans="25:26" x14ac:dyDescent="0.25">
      <c r="Y2216" s="63">
        <v>44749</v>
      </c>
      <c r="Z2216" s="61">
        <f>_xll.qlYieldTSDiscount($U$35,Y2216,,Trigger)</f>
        <v>0.93186964124064164</v>
      </c>
    </row>
    <row r="2217" spans="25:26" x14ac:dyDescent="0.25">
      <c r="Y2217" s="63">
        <v>44750</v>
      </c>
      <c r="Z2217" s="61">
        <f>_xll.qlYieldTSDiscount($U$35,Y2217,,Trigger)</f>
        <v>0.93183145974446657</v>
      </c>
    </row>
    <row r="2218" spans="25:26" x14ac:dyDescent="0.25">
      <c r="Y2218" s="63">
        <v>44751</v>
      </c>
      <c r="Z2218" s="61">
        <f>_xll.qlYieldTSDiscount($U$35,Y2218,,Trigger)</f>
        <v>0.93179327714899485</v>
      </c>
    </row>
    <row r="2219" spans="25:26" x14ac:dyDescent="0.25">
      <c r="Y2219" s="63">
        <v>44752</v>
      </c>
      <c r="Z2219" s="61">
        <f>_xll.qlYieldTSDiscount($U$35,Y2219,,Trigger)</f>
        <v>0.9317550934574178</v>
      </c>
    </row>
    <row r="2220" spans="25:26" x14ac:dyDescent="0.25">
      <c r="Y2220" s="63">
        <v>44753</v>
      </c>
      <c r="Z2220" s="61">
        <f>_xll.qlYieldTSDiscount($U$35,Y2220,,Trigger)</f>
        <v>0.931716908672927</v>
      </c>
    </row>
    <row r="2221" spans="25:26" x14ac:dyDescent="0.25">
      <c r="Y2221" s="63">
        <v>44754</v>
      </c>
      <c r="Z2221" s="61">
        <f>_xll.qlYieldTSDiscount($U$35,Y2221,,Trigger)</f>
        <v>0.93167872279871378</v>
      </c>
    </row>
    <row r="2222" spans="25:26" x14ac:dyDescent="0.25">
      <c r="Y2222" s="63">
        <v>44755</v>
      </c>
      <c r="Z2222" s="61">
        <f>_xll.qlYieldTSDiscount($U$35,Y2222,,Trigger)</f>
        <v>0.93164053583796946</v>
      </c>
    </row>
    <row r="2223" spans="25:26" x14ac:dyDescent="0.25">
      <c r="Y2223" s="63">
        <v>44756</v>
      </c>
      <c r="Z2223" s="61">
        <f>_xll.qlYieldTSDiscount($U$35,Y2223,,Trigger)</f>
        <v>0.93160234779388573</v>
      </c>
    </row>
    <row r="2224" spans="25:26" x14ac:dyDescent="0.25">
      <c r="Y2224" s="63">
        <v>44757</v>
      </c>
      <c r="Z2224" s="61">
        <f>_xll.qlYieldTSDiscount($U$35,Y2224,,Trigger)</f>
        <v>0.93156415866965381</v>
      </c>
    </row>
    <row r="2225" spans="25:26" x14ac:dyDescent="0.25">
      <c r="Y2225" s="63">
        <v>44758</v>
      </c>
      <c r="Z2225" s="61">
        <f>_xll.qlYieldTSDiscount($U$35,Y2225,,Trigger)</f>
        <v>0.93152596846846525</v>
      </c>
    </row>
    <row r="2226" spans="25:26" x14ac:dyDescent="0.25">
      <c r="Y2226" s="63">
        <v>44759</v>
      </c>
      <c r="Z2226" s="61">
        <f>_xll.qlYieldTSDiscount($U$35,Y2226,,Trigger)</f>
        <v>0.93148777719351128</v>
      </c>
    </row>
    <row r="2227" spans="25:26" x14ac:dyDescent="0.25">
      <c r="Y2227" s="63">
        <v>44760</v>
      </c>
      <c r="Z2227" s="61">
        <f>_xll.qlYieldTSDiscount($U$35,Y2227,,Trigger)</f>
        <v>0.93144958484798357</v>
      </c>
    </row>
    <row r="2228" spans="25:26" x14ac:dyDescent="0.25">
      <c r="Y2228" s="63">
        <v>44761</v>
      </c>
      <c r="Z2228" s="61">
        <f>_xll.qlYieldTSDiscount($U$35,Y2228,,Trigger)</f>
        <v>0.93141139143507345</v>
      </c>
    </row>
    <row r="2229" spans="25:26" x14ac:dyDescent="0.25">
      <c r="Y2229" s="63">
        <v>44762</v>
      </c>
      <c r="Z2229" s="61">
        <f>_xll.qlYieldTSDiscount($U$35,Y2229,,Trigger)</f>
        <v>0.93137319695797227</v>
      </c>
    </row>
    <row r="2230" spans="25:26" x14ac:dyDescent="0.25">
      <c r="Y2230" s="63">
        <v>44763</v>
      </c>
      <c r="Z2230" s="61">
        <f>_xll.qlYieldTSDiscount($U$35,Y2230,,Trigger)</f>
        <v>0.93133500141987158</v>
      </c>
    </row>
    <row r="2231" spans="25:26" x14ac:dyDescent="0.25">
      <c r="Y2231" s="63">
        <v>44764</v>
      </c>
      <c r="Z2231" s="61">
        <f>_xll.qlYieldTSDiscount($U$35,Y2231,,Trigger)</f>
        <v>0.93129680482396271</v>
      </c>
    </row>
    <row r="2232" spans="25:26" x14ac:dyDescent="0.25">
      <c r="Y2232" s="63">
        <v>44765</v>
      </c>
      <c r="Z2232" s="61">
        <f>_xll.qlYieldTSDiscount($U$35,Y2232,,Trigger)</f>
        <v>0.931258607173437</v>
      </c>
    </row>
    <row r="2233" spans="25:26" x14ac:dyDescent="0.25">
      <c r="Y2233" s="63">
        <v>44766</v>
      </c>
      <c r="Z2233" s="61">
        <f>_xll.qlYieldTSDiscount($U$35,Y2233,,Trigger)</f>
        <v>0.93122040847148613</v>
      </c>
    </row>
    <row r="2234" spans="25:26" x14ac:dyDescent="0.25">
      <c r="Y2234" s="63">
        <v>44767</v>
      </c>
      <c r="Z2234" s="61">
        <f>_xll.qlYieldTSDiscount($U$35,Y2234,,Trigger)</f>
        <v>0.93118220872130131</v>
      </c>
    </row>
    <row r="2235" spans="25:26" x14ac:dyDescent="0.25">
      <c r="Y2235" s="63">
        <v>44768</v>
      </c>
      <c r="Z2235" s="61">
        <f>_xll.qlYieldTSDiscount($U$35,Y2235,,Trigger)</f>
        <v>0.9311440079260741</v>
      </c>
    </row>
    <row r="2236" spans="25:26" x14ac:dyDescent="0.25">
      <c r="Y2236" s="63">
        <v>44769</v>
      </c>
      <c r="Z2236" s="61">
        <f>_xll.qlYieldTSDiscount($U$35,Y2236,,Trigger)</f>
        <v>0.93110580608899585</v>
      </c>
    </row>
    <row r="2237" spans="25:26" x14ac:dyDescent="0.25">
      <c r="Y2237" s="63">
        <v>44770</v>
      </c>
      <c r="Z2237" s="61">
        <f>_xll.qlYieldTSDiscount($U$35,Y2237,,Trigger)</f>
        <v>0.93106760321325799</v>
      </c>
    </row>
    <row r="2238" spans="25:26" x14ac:dyDescent="0.25">
      <c r="Y2238" s="63">
        <v>44771</v>
      </c>
      <c r="Z2238" s="61">
        <f>_xll.qlYieldTSDiscount($U$35,Y2238,,Trigger)</f>
        <v>0.93102939930205197</v>
      </c>
    </row>
    <row r="2239" spans="25:26" x14ac:dyDescent="0.25">
      <c r="Y2239" s="63">
        <v>44772</v>
      </c>
      <c r="Z2239" s="61">
        <f>_xll.qlYieldTSDiscount($U$35,Y2239,,Trigger)</f>
        <v>0.93099119435856914</v>
      </c>
    </row>
    <row r="2240" spans="25:26" x14ac:dyDescent="0.25">
      <c r="Y2240" s="63">
        <v>44773</v>
      </c>
      <c r="Z2240" s="61">
        <f>_xll.qlYieldTSDiscount($U$35,Y2240,,Trigger)</f>
        <v>0.93095298838600105</v>
      </c>
    </row>
    <row r="2241" spans="25:26" x14ac:dyDescent="0.25">
      <c r="Y2241" s="63">
        <v>44774</v>
      </c>
      <c r="Z2241" s="61">
        <f>_xll.qlYieldTSDiscount($U$35,Y2241,,Trigger)</f>
        <v>0.93091478138753903</v>
      </c>
    </row>
    <row r="2242" spans="25:26" x14ac:dyDescent="0.25">
      <c r="Y2242" s="63">
        <v>44775</v>
      </c>
      <c r="Z2242" s="61">
        <f>_xll.qlYieldTSDiscount($U$35,Y2242,,Trigger)</f>
        <v>0.93087657336637453</v>
      </c>
    </row>
    <row r="2243" spans="25:26" x14ac:dyDescent="0.25">
      <c r="Y2243" s="63">
        <v>44776</v>
      </c>
      <c r="Z2243" s="61">
        <f>_xll.qlYieldTSDiscount($U$35,Y2243,,Trigger)</f>
        <v>0.930838364325699</v>
      </c>
    </row>
    <row r="2244" spans="25:26" x14ac:dyDescent="0.25">
      <c r="Y2244" s="63">
        <v>44777</v>
      </c>
      <c r="Z2244" s="61">
        <f>_xll.qlYieldTSDiscount($U$35,Y2244,,Trigger)</f>
        <v>0.93080015426870377</v>
      </c>
    </row>
    <row r="2245" spans="25:26" x14ac:dyDescent="0.25">
      <c r="Y2245" s="63">
        <v>44778</v>
      </c>
      <c r="Z2245" s="61">
        <f>_xll.qlYieldTSDiscount($U$35,Y2245,,Trigger)</f>
        <v>0.93076194319858041</v>
      </c>
    </row>
    <row r="2246" spans="25:26" x14ac:dyDescent="0.25">
      <c r="Y2246" s="63">
        <v>44779</v>
      </c>
      <c r="Z2246" s="61">
        <f>_xll.qlYieldTSDiscount($U$35,Y2246,,Trigger)</f>
        <v>0.93072373111852025</v>
      </c>
    </row>
    <row r="2247" spans="25:26" x14ac:dyDescent="0.25">
      <c r="Y2247" s="63">
        <v>44780</v>
      </c>
      <c r="Z2247" s="61">
        <f>_xll.qlYieldTSDiscount($U$35,Y2247,,Trigger)</f>
        <v>0.93068551803171473</v>
      </c>
    </row>
    <row r="2248" spans="25:26" x14ac:dyDescent="0.25">
      <c r="Y2248" s="63">
        <v>44781</v>
      </c>
      <c r="Z2248" s="61">
        <f>_xll.qlYieldTSDiscount($U$35,Y2248,,Trigger)</f>
        <v>0.93064730394135531</v>
      </c>
    </row>
    <row r="2249" spans="25:26" x14ac:dyDescent="0.25">
      <c r="Y2249" s="63">
        <v>44782</v>
      </c>
      <c r="Z2249" s="61">
        <f>_xll.qlYieldTSDiscount($U$35,Y2249,,Trigger)</f>
        <v>0.93060908885063343</v>
      </c>
    </row>
    <row r="2250" spans="25:26" x14ac:dyDescent="0.25">
      <c r="Y2250" s="63">
        <v>44783</v>
      </c>
      <c r="Z2250" s="61">
        <f>_xll.qlYieldTSDiscount($U$35,Y2250,,Trigger)</f>
        <v>0.93057087276274042</v>
      </c>
    </row>
    <row r="2251" spans="25:26" x14ac:dyDescent="0.25">
      <c r="Y2251" s="63">
        <v>44784</v>
      </c>
      <c r="Z2251" s="61">
        <f>_xll.qlYieldTSDiscount($U$35,Y2251,,Trigger)</f>
        <v>0.93053265568086785</v>
      </c>
    </row>
    <row r="2252" spans="25:26" x14ac:dyDescent="0.25">
      <c r="Y2252" s="63">
        <v>44785</v>
      </c>
      <c r="Z2252" s="61">
        <f>_xll.qlYieldTSDiscount($U$35,Y2252,,Trigger)</f>
        <v>0.93049443760820694</v>
      </c>
    </row>
    <row r="2253" spans="25:26" x14ac:dyDescent="0.25">
      <c r="Y2253" s="63">
        <v>44786</v>
      </c>
      <c r="Z2253" s="61">
        <f>_xll.qlYieldTSDiscount($U$35,Y2253,,Trigger)</f>
        <v>0.93045621854794924</v>
      </c>
    </row>
    <row r="2254" spans="25:26" x14ac:dyDescent="0.25">
      <c r="Y2254" s="63">
        <v>44787</v>
      </c>
      <c r="Z2254" s="61">
        <f>_xll.qlYieldTSDiscount($U$35,Y2254,,Trigger)</f>
        <v>0.93041799850328621</v>
      </c>
    </row>
    <row r="2255" spans="25:26" x14ac:dyDescent="0.25">
      <c r="Y2255" s="63">
        <v>44788</v>
      </c>
      <c r="Z2255" s="61">
        <f>_xll.qlYieldTSDiscount($U$35,Y2255,,Trigger)</f>
        <v>0.93037977747740919</v>
      </c>
    </row>
    <row r="2256" spans="25:26" x14ac:dyDescent="0.25">
      <c r="Y2256" s="63">
        <v>44789</v>
      </c>
      <c r="Z2256" s="61">
        <f>_xll.qlYieldTSDiscount($U$35,Y2256,,Trigger)</f>
        <v>0.93034155547350972</v>
      </c>
    </row>
    <row r="2257" spans="25:26" x14ac:dyDescent="0.25">
      <c r="Y2257" s="63">
        <v>44790</v>
      </c>
      <c r="Z2257" s="61">
        <f>_xll.qlYieldTSDiscount($U$35,Y2257,,Trigger)</f>
        <v>0.93030333249477914</v>
      </c>
    </row>
    <row r="2258" spans="25:26" x14ac:dyDescent="0.25">
      <c r="Y2258" s="63">
        <v>44791</v>
      </c>
      <c r="Z2258" s="61">
        <f>_xll.qlYieldTSDiscount($U$35,Y2258,,Trigger)</f>
        <v>0.9302651085444088</v>
      </c>
    </row>
    <row r="2259" spans="25:26" x14ac:dyDescent="0.25">
      <c r="Y2259" s="63">
        <v>44792</v>
      </c>
      <c r="Z2259" s="61">
        <f>_xll.qlYieldTSDiscount($U$35,Y2259,,Trigger)</f>
        <v>0.93022688362559025</v>
      </c>
    </row>
    <row r="2260" spans="25:26" x14ac:dyDescent="0.25">
      <c r="Y2260" s="63">
        <v>44793</v>
      </c>
      <c r="Z2260" s="61">
        <f>_xll.qlYieldTSDiscount($U$35,Y2260,,Trigger)</f>
        <v>0.93018865774151493</v>
      </c>
    </row>
    <row r="2261" spans="25:26" x14ac:dyDescent="0.25">
      <c r="Y2261" s="63">
        <v>44794</v>
      </c>
      <c r="Z2261" s="61">
        <f>_xll.qlYieldTSDiscount($U$35,Y2261,,Trigger)</f>
        <v>0.93015043089537419</v>
      </c>
    </row>
    <row r="2262" spans="25:26" x14ac:dyDescent="0.25">
      <c r="Y2262" s="63">
        <v>44795</v>
      </c>
      <c r="Z2262" s="61">
        <f>_xll.qlYieldTSDiscount($U$35,Y2262,,Trigger)</f>
        <v>0.93011220309035947</v>
      </c>
    </row>
    <row r="2263" spans="25:26" x14ac:dyDescent="0.25">
      <c r="Y2263" s="63">
        <v>44796</v>
      </c>
      <c r="Z2263" s="61">
        <f>_xll.qlYieldTSDiscount($U$35,Y2263,,Trigger)</f>
        <v>0.93007397432966221</v>
      </c>
    </row>
    <row r="2264" spans="25:26" x14ac:dyDescent="0.25">
      <c r="Y2264" s="63">
        <v>44797</v>
      </c>
      <c r="Z2264" s="61">
        <f>_xll.qlYieldTSDiscount($U$35,Y2264,,Trigger)</f>
        <v>0.93003574461647376</v>
      </c>
    </row>
    <row r="2265" spans="25:26" x14ac:dyDescent="0.25">
      <c r="Y2265" s="63">
        <v>44798</v>
      </c>
      <c r="Z2265" s="61">
        <f>_xll.qlYieldTSDiscount($U$35,Y2265,,Trigger)</f>
        <v>0.92999751395398567</v>
      </c>
    </row>
    <row r="2266" spans="25:26" x14ac:dyDescent="0.25">
      <c r="Y2266" s="63">
        <v>44799</v>
      </c>
      <c r="Z2266" s="61">
        <f>_xll.qlYieldTSDiscount($U$35,Y2266,,Trigger)</f>
        <v>0.92995928234538927</v>
      </c>
    </row>
    <row r="2267" spans="25:26" x14ac:dyDescent="0.25">
      <c r="Y2267" s="63">
        <v>44800</v>
      </c>
      <c r="Z2267" s="61">
        <f>_xll.qlYieldTSDiscount($U$35,Y2267,,Trigger)</f>
        <v>0.92992104979387613</v>
      </c>
    </row>
    <row r="2268" spans="25:26" x14ac:dyDescent="0.25">
      <c r="Y2268" s="63">
        <v>44801</v>
      </c>
      <c r="Z2268" s="61">
        <f>_xll.qlYieldTSDiscount($U$35,Y2268,,Trigger)</f>
        <v>0.92988281630263747</v>
      </c>
    </row>
    <row r="2269" spans="25:26" x14ac:dyDescent="0.25">
      <c r="Y2269" s="63">
        <v>44802</v>
      </c>
      <c r="Z2269" s="61">
        <f>_xll.qlYieldTSDiscount($U$35,Y2269,,Trigger)</f>
        <v>0.92984458187486485</v>
      </c>
    </row>
    <row r="2270" spans="25:26" x14ac:dyDescent="0.25">
      <c r="Y2270" s="63">
        <v>44803</v>
      </c>
      <c r="Z2270" s="61">
        <f>_xll.qlYieldTSDiscount($U$35,Y2270,,Trigger)</f>
        <v>0.9298063465137496</v>
      </c>
    </row>
    <row r="2271" spans="25:26" x14ac:dyDescent="0.25">
      <c r="Y2271" s="63">
        <v>44804</v>
      </c>
      <c r="Z2271" s="61">
        <f>_xll.qlYieldTSDiscount($U$35,Y2271,,Trigger)</f>
        <v>0.92976811022248329</v>
      </c>
    </row>
    <row r="2272" spans="25:26" x14ac:dyDescent="0.25">
      <c r="Y2272" s="63">
        <v>44805</v>
      </c>
      <c r="Z2272" s="61">
        <f>_xll.qlYieldTSDiscount($U$35,Y2272,,Trigger)</f>
        <v>0.92972987300425713</v>
      </c>
    </row>
    <row r="2273" spans="25:26" x14ac:dyDescent="0.25">
      <c r="Y2273" s="63">
        <v>44806</v>
      </c>
      <c r="Z2273" s="61">
        <f>_xll.qlYieldTSDiscount($U$35,Y2273,,Trigger)</f>
        <v>0.92969163486226281</v>
      </c>
    </row>
    <row r="2274" spans="25:26" x14ac:dyDescent="0.25">
      <c r="Y2274" s="63">
        <v>44807</v>
      </c>
      <c r="Z2274" s="61">
        <f>_xll.qlYieldTSDiscount($U$35,Y2274,,Trigger)</f>
        <v>0.92965339579969153</v>
      </c>
    </row>
    <row r="2275" spans="25:26" x14ac:dyDescent="0.25">
      <c r="Y2275" s="63">
        <v>44808</v>
      </c>
      <c r="Z2275" s="61">
        <f>_xll.qlYieldTSDiscount($U$35,Y2275,,Trigger)</f>
        <v>0.92961515581973486</v>
      </c>
    </row>
    <row r="2276" spans="25:26" x14ac:dyDescent="0.25">
      <c r="Y2276" s="63">
        <v>44809</v>
      </c>
      <c r="Z2276" s="61">
        <f>_xll.qlYieldTSDiscount($U$35,Y2276,,Trigger)</f>
        <v>0.92957691492558414</v>
      </c>
    </row>
    <row r="2277" spans="25:26" x14ac:dyDescent="0.25">
      <c r="Y2277" s="63">
        <v>44810</v>
      </c>
      <c r="Z2277" s="61">
        <f>_xll.qlYieldTSDiscount($U$35,Y2277,,Trigger)</f>
        <v>0.92953867312043081</v>
      </c>
    </row>
    <row r="2278" spans="25:26" x14ac:dyDescent="0.25">
      <c r="Y2278" s="63">
        <v>44811</v>
      </c>
      <c r="Z2278" s="61">
        <f>_xll.qlYieldTSDiscount($U$35,Y2278,,Trigger)</f>
        <v>0.92950043040746633</v>
      </c>
    </row>
    <row r="2279" spans="25:26" x14ac:dyDescent="0.25">
      <c r="Y2279" s="63">
        <v>44812</v>
      </c>
      <c r="Z2279" s="61">
        <f>_xll.qlYieldTSDiscount($U$35,Y2279,,Trigger)</f>
        <v>0.92946218678988213</v>
      </c>
    </row>
    <row r="2280" spans="25:26" x14ac:dyDescent="0.25">
      <c r="Y2280" s="63">
        <v>44813</v>
      </c>
      <c r="Z2280" s="61">
        <f>_xll.qlYieldTSDiscount($U$35,Y2280,,Trigger)</f>
        <v>0.92942394227086955</v>
      </c>
    </row>
    <row r="2281" spans="25:26" x14ac:dyDescent="0.25">
      <c r="Y2281" s="63">
        <v>44814</v>
      </c>
      <c r="Z2281" s="61">
        <f>_xll.qlYieldTSDiscount($U$35,Y2281,,Trigger)</f>
        <v>0.92938569685362016</v>
      </c>
    </row>
    <row r="2282" spans="25:26" x14ac:dyDescent="0.25">
      <c r="Y2282" s="63">
        <v>44815</v>
      </c>
      <c r="Z2282" s="61">
        <f>_xll.qlYieldTSDiscount($U$35,Y2282,,Trigger)</f>
        <v>0.92934745054132517</v>
      </c>
    </row>
    <row r="2283" spans="25:26" x14ac:dyDescent="0.25">
      <c r="Y2283" s="63">
        <v>44816</v>
      </c>
      <c r="Z2283" s="61">
        <f>_xll.qlYieldTSDiscount($U$35,Y2283,,Trigger)</f>
        <v>0.92930920333717626</v>
      </c>
    </row>
    <row r="2284" spans="25:26" x14ac:dyDescent="0.25">
      <c r="Y2284" s="63">
        <v>44817</v>
      </c>
      <c r="Z2284" s="61">
        <f>_xll.qlYieldTSDiscount($U$35,Y2284,,Trigger)</f>
        <v>0.92927095524436465</v>
      </c>
    </row>
    <row r="2285" spans="25:26" x14ac:dyDescent="0.25">
      <c r="Y2285" s="63">
        <v>44818</v>
      </c>
      <c r="Z2285" s="61">
        <f>_xll.qlYieldTSDiscount($U$35,Y2285,,Trigger)</f>
        <v>0.9292327062660819</v>
      </c>
    </row>
    <row r="2286" spans="25:26" x14ac:dyDescent="0.25">
      <c r="Y2286" s="63">
        <v>44819</v>
      </c>
      <c r="Z2286" s="61">
        <f>_xll.qlYieldTSDiscount($U$35,Y2286,,Trigger)</f>
        <v>0.92919445640551934</v>
      </c>
    </row>
    <row r="2287" spans="25:26" x14ac:dyDescent="0.25">
      <c r="Y2287" s="63">
        <v>44820</v>
      </c>
      <c r="Z2287" s="61">
        <f>_xll.qlYieldTSDiscount($U$35,Y2287,,Trigger)</f>
        <v>0.92915620566586843</v>
      </c>
    </row>
    <row r="2288" spans="25:26" x14ac:dyDescent="0.25">
      <c r="Y2288" s="63">
        <v>44821</v>
      </c>
      <c r="Z2288" s="61">
        <f>_xll.qlYieldTSDiscount($U$35,Y2288,,Trigger)</f>
        <v>0.9291179540503206</v>
      </c>
    </row>
    <row r="2289" spans="25:26" x14ac:dyDescent="0.25">
      <c r="Y2289" s="63">
        <v>44822</v>
      </c>
      <c r="Z2289" s="61">
        <f>_xll.qlYieldTSDiscount($U$35,Y2289,,Trigger)</f>
        <v>0.92907970156206732</v>
      </c>
    </row>
    <row r="2290" spans="25:26" x14ac:dyDescent="0.25">
      <c r="Y2290" s="63">
        <v>44823</v>
      </c>
      <c r="Z2290" s="61">
        <f>_xll.qlYieldTSDiscount($U$35,Y2290,,Trigger)</f>
        <v>0.9290414482042999</v>
      </c>
    </row>
    <row r="2291" spans="25:26" x14ac:dyDescent="0.25">
      <c r="Y2291" s="63">
        <v>44824</v>
      </c>
      <c r="Z2291" s="61">
        <f>_xll.qlYieldTSDiscount($U$35,Y2291,,Trigger)</f>
        <v>0.92900319398020981</v>
      </c>
    </row>
    <row r="2292" spans="25:26" x14ac:dyDescent="0.25">
      <c r="Y2292" s="63">
        <v>44825</v>
      </c>
      <c r="Z2292" s="61">
        <f>_xll.qlYieldTSDiscount($U$35,Y2292,,Trigger)</f>
        <v>0.92896493889298859</v>
      </c>
    </row>
    <row r="2293" spans="25:26" x14ac:dyDescent="0.25">
      <c r="Y2293" s="63">
        <v>44826</v>
      </c>
      <c r="Z2293" s="61">
        <f>_xll.qlYieldTSDiscount($U$35,Y2293,,Trigger)</f>
        <v>0.92892668294582759</v>
      </c>
    </row>
    <row r="2294" spans="25:26" x14ac:dyDescent="0.25">
      <c r="Y2294" s="63">
        <v>44827</v>
      </c>
      <c r="Z2294" s="61">
        <f>_xll.qlYieldTSDiscount($U$35,Y2294,,Trigger)</f>
        <v>0.92888842614191813</v>
      </c>
    </row>
    <row r="2295" spans="25:26" x14ac:dyDescent="0.25">
      <c r="Y2295" s="63">
        <v>44828</v>
      </c>
      <c r="Z2295" s="61">
        <f>_xll.qlYieldTSDiscount($U$35,Y2295,,Trigger)</f>
        <v>0.92885016848445179</v>
      </c>
    </row>
    <row r="2296" spans="25:26" x14ac:dyDescent="0.25">
      <c r="Y2296" s="63">
        <v>44829</v>
      </c>
      <c r="Z2296" s="61">
        <f>_xll.qlYieldTSDiscount($U$35,Y2296,,Trigger)</f>
        <v>0.92881190997661989</v>
      </c>
    </row>
    <row r="2297" spans="25:26" x14ac:dyDescent="0.25">
      <c r="Y2297" s="63">
        <v>44830</v>
      </c>
      <c r="Z2297" s="61">
        <f>_xll.qlYieldTSDiscount($U$35,Y2297,,Trigger)</f>
        <v>0.92877365062161388</v>
      </c>
    </row>
    <row r="2298" spans="25:26" x14ac:dyDescent="0.25">
      <c r="Y2298" s="63">
        <v>44831</v>
      </c>
      <c r="Z2298" s="61">
        <f>_xll.qlYieldTSDiscount($U$35,Y2298,,Trigger)</f>
        <v>0.92873539042262532</v>
      </c>
    </row>
    <row r="2299" spans="25:26" x14ac:dyDescent="0.25">
      <c r="Y2299" s="63">
        <v>44832</v>
      </c>
      <c r="Z2299" s="61">
        <f>_xll.qlYieldTSDiscount($U$35,Y2299,,Trigger)</f>
        <v>0.92869712938284543</v>
      </c>
    </row>
    <row r="2300" spans="25:26" x14ac:dyDescent="0.25">
      <c r="Y2300" s="63">
        <v>44833</v>
      </c>
      <c r="Z2300" s="61">
        <f>_xll.qlYieldTSDiscount($U$35,Y2300,,Trigger)</f>
        <v>0.92865886750546567</v>
      </c>
    </row>
    <row r="2301" spans="25:26" x14ac:dyDescent="0.25">
      <c r="Y2301" s="63">
        <v>44834</v>
      </c>
      <c r="Z2301" s="61">
        <f>_xll.qlYieldTSDiscount($U$35,Y2301,,Trigger)</f>
        <v>0.92862060479367758</v>
      </c>
    </row>
    <row r="2302" spans="25:26" x14ac:dyDescent="0.25">
      <c r="Y2302" s="63">
        <v>44835</v>
      </c>
      <c r="Z2302" s="61">
        <f>_xll.qlYieldTSDiscount($U$35,Y2302,,Trigger)</f>
        <v>0.92858234125067252</v>
      </c>
    </row>
    <row r="2303" spans="25:26" x14ac:dyDescent="0.25">
      <c r="Y2303" s="63">
        <v>44836</v>
      </c>
      <c r="Z2303" s="61">
        <f>_xll.qlYieldTSDiscount($U$35,Y2303,,Trigger)</f>
        <v>0.92854407687964191</v>
      </c>
    </row>
    <row r="2304" spans="25:26" x14ac:dyDescent="0.25">
      <c r="Y2304" s="63">
        <v>44837</v>
      </c>
      <c r="Z2304" s="61">
        <f>_xll.qlYieldTSDiscount($U$35,Y2304,,Trigger)</f>
        <v>0.9285058116837771</v>
      </c>
    </row>
    <row r="2305" spans="25:26" x14ac:dyDescent="0.25">
      <c r="Y2305" s="63">
        <v>44838</v>
      </c>
      <c r="Z2305" s="61">
        <f>_xll.qlYieldTSDiscount($U$35,Y2305,,Trigger)</f>
        <v>0.92846754566626977</v>
      </c>
    </row>
    <row r="2306" spans="25:26" x14ac:dyDescent="0.25">
      <c r="Y2306" s="63">
        <v>44839</v>
      </c>
      <c r="Z2306" s="61">
        <f>_xll.qlYieldTSDiscount($U$35,Y2306,,Trigger)</f>
        <v>0.92842927883031101</v>
      </c>
    </row>
    <row r="2307" spans="25:26" x14ac:dyDescent="0.25">
      <c r="Y2307" s="63">
        <v>44840</v>
      </c>
      <c r="Z2307" s="61">
        <f>_xll.qlYieldTSDiscount($U$35,Y2307,,Trigger)</f>
        <v>0.92839101117909251</v>
      </c>
    </row>
    <row r="2308" spans="25:26" x14ac:dyDescent="0.25">
      <c r="Y2308" s="63">
        <v>44841</v>
      </c>
      <c r="Z2308" s="61">
        <f>_xll.qlYieldTSDiscount($U$35,Y2308,,Trigger)</f>
        <v>0.92835274271580548</v>
      </c>
    </row>
    <row r="2309" spans="25:26" x14ac:dyDescent="0.25">
      <c r="Y2309" s="63">
        <v>44842</v>
      </c>
      <c r="Z2309" s="61">
        <f>_xll.qlYieldTSDiscount($U$35,Y2309,,Trigger)</f>
        <v>0.9283144734436416</v>
      </c>
    </row>
    <row r="2310" spans="25:26" x14ac:dyDescent="0.25">
      <c r="Y2310" s="63">
        <v>44843</v>
      </c>
      <c r="Z2310" s="61">
        <f>_xll.qlYieldTSDiscount($U$35,Y2310,,Trigger)</f>
        <v>0.92827620336579209</v>
      </c>
    </row>
    <row r="2311" spans="25:26" x14ac:dyDescent="0.25">
      <c r="Y2311" s="63">
        <v>44844</v>
      </c>
      <c r="Z2311" s="61">
        <f>_xll.qlYieldTSDiscount($U$35,Y2311,,Trigger)</f>
        <v>0.92823793248544839</v>
      </c>
    </row>
    <row r="2312" spans="25:26" x14ac:dyDescent="0.25">
      <c r="Y2312" s="63">
        <v>44845</v>
      </c>
      <c r="Z2312" s="61">
        <f>_xll.qlYieldTSDiscount($U$35,Y2312,,Trigger)</f>
        <v>0.92819966080580196</v>
      </c>
    </row>
    <row r="2313" spans="25:26" x14ac:dyDescent="0.25">
      <c r="Y2313" s="63">
        <v>44846</v>
      </c>
      <c r="Z2313" s="61">
        <f>_xll.qlYieldTSDiscount($U$35,Y2313,,Trigger)</f>
        <v>0.92816138833004436</v>
      </c>
    </row>
    <row r="2314" spans="25:26" x14ac:dyDescent="0.25">
      <c r="Y2314" s="63">
        <v>44847</v>
      </c>
      <c r="Z2314" s="61">
        <f>_xll.qlYieldTSDiscount($U$35,Y2314,,Trigger)</f>
        <v>0.9281231150613668</v>
      </c>
    </row>
    <row r="2315" spans="25:26" x14ac:dyDescent="0.25">
      <c r="Y2315" s="63">
        <v>44848</v>
      </c>
      <c r="Z2315" s="61">
        <f>_xll.qlYieldTSDiscount($U$35,Y2315,,Trigger)</f>
        <v>0.92808484100296074</v>
      </c>
    </row>
    <row r="2316" spans="25:26" x14ac:dyDescent="0.25">
      <c r="Y2316" s="63">
        <v>44849</v>
      </c>
      <c r="Z2316" s="61">
        <f>_xll.qlYieldTSDiscount($U$35,Y2316,,Trigger)</f>
        <v>0.92804656615801773</v>
      </c>
    </row>
    <row r="2317" spans="25:26" x14ac:dyDescent="0.25">
      <c r="Y2317" s="63">
        <v>44850</v>
      </c>
      <c r="Z2317" s="61">
        <f>_xll.qlYieldTSDiscount($U$35,Y2317,,Trigger)</f>
        <v>0.92800829052972922</v>
      </c>
    </row>
    <row r="2318" spans="25:26" x14ac:dyDescent="0.25">
      <c r="Y2318" s="63">
        <v>44851</v>
      </c>
      <c r="Z2318" s="61">
        <f>_xll.qlYieldTSDiscount($U$35,Y2318,,Trigger)</f>
        <v>0.92797001412128644</v>
      </c>
    </row>
    <row r="2319" spans="25:26" x14ac:dyDescent="0.25">
      <c r="Y2319" s="63">
        <v>44852</v>
      </c>
      <c r="Z2319" s="61">
        <f>_xll.qlYieldTSDiscount($U$35,Y2319,,Trigger)</f>
        <v>0.92793173693588094</v>
      </c>
    </row>
    <row r="2320" spans="25:26" x14ac:dyDescent="0.25">
      <c r="Y2320" s="63">
        <v>44853</v>
      </c>
      <c r="Z2320" s="61">
        <f>_xll.qlYieldTSDiscount($U$35,Y2320,,Trigger)</f>
        <v>0.92789345897670406</v>
      </c>
    </row>
    <row r="2321" spans="25:26" x14ac:dyDescent="0.25">
      <c r="Y2321" s="63">
        <v>44854</v>
      </c>
      <c r="Z2321" s="61">
        <f>_xll.qlYieldTSDiscount($U$35,Y2321,,Trigger)</f>
        <v>0.92785518024694735</v>
      </c>
    </row>
    <row r="2322" spans="25:26" x14ac:dyDescent="0.25">
      <c r="Y2322" s="63">
        <v>44855</v>
      </c>
      <c r="Z2322" s="61">
        <f>_xll.qlYieldTSDiscount($U$35,Y2322,,Trigger)</f>
        <v>0.92781690074980216</v>
      </c>
    </row>
    <row r="2323" spans="25:26" x14ac:dyDescent="0.25">
      <c r="Y2323" s="63">
        <v>44856</v>
      </c>
      <c r="Z2323" s="61">
        <f>_xll.qlYieldTSDiscount($U$35,Y2323,,Trigger)</f>
        <v>0.92777862048845994</v>
      </c>
    </row>
    <row r="2324" spans="25:26" x14ac:dyDescent="0.25">
      <c r="Y2324" s="63">
        <v>44857</v>
      </c>
      <c r="Z2324" s="61">
        <f>_xll.qlYieldTSDiscount($U$35,Y2324,,Trigger)</f>
        <v>0.92774033946611212</v>
      </c>
    </row>
    <row r="2325" spans="25:26" x14ac:dyDescent="0.25">
      <c r="Y2325" s="63">
        <v>44858</v>
      </c>
      <c r="Z2325" s="61">
        <f>_xll.qlYieldTSDiscount($U$35,Y2325,,Trigger)</f>
        <v>0.92770205768595004</v>
      </c>
    </row>
    <row r="2326" spans="25:26" x14ac:dyDescent="0.25">
      <c r="Y2326" s="63">
        <v>44859</v>
      </c>
      <c r="Z2326" s="61">
        <f>_xll.qlYieldTSDiscount($U$35,Y2326,,Trigger)</f>
        <v>0.92766377515116527</v>
      </c>
    </row>
    <row r="2327" spans="25:26" x14ac:dyDescent="0.25">
      <c r="Y2327" s="63">
        <v>44860</v>
      </c>
      <c r="Z2327" s="61">
        <f>_xll.qlYieldTSDiscount($U$35,Y2327,,Trigger)</f>
        <v>0.92762549186494914</v>
      </c>
    </row>
    <row r="2328" spans="25:26" x14ac:dyDescent="0.25">
      <c r="Y2328" s="63">
        <v>44861</v>
      </c>
      <c r="Z2328" s="61">
        <f>_xll.qlYieldTSDiscount($U$35,Y2328,,Trigger)</f>
        <v>0.92758720783049309</v>
      </c>
    </row>
    <row r="2329" spans="25:26" x14ac:dyDescent="0.25">
      <c r="Y2329" s="63">
        <v>44862</v>
      </c>
      <c r="Z2329" s="61">
        <f>_xll.qlYieldTSDiscount($U$35,Y2329,,Trigger)</f>
        <v>0.92754892305098846</v>
      </c>
    </row>
    <row r="2330" spans="25:26" x14ac:dyDescent="0.25">
      <c r="Y2330" s="63">
        <v>44863</v>
      </c>
      <c r="Z2330" s="61">
        <f>_xll.qlYieldTSDiscount($U$35,Y2330,,Trigger)</f>
        <v>0.92751063752962681</v>
      </c>
    </row>
    <row r="2331" spans="25:26" x14ac:dyDescent="0.25">
      <c r="Y2331" s="63">
        <v>44864</v>
      </c>
      <c r="Z2331" s="61">
        <f>_xll.qlYieldTSDiscount($U$35,Y2331,,Trigger)</f>
        <v>0.92747235126959959</v>
      </c>
    </row>
    <row r="2332" spans="25:26" x14ac:dyDescent="0.25">
      <c r="Y2332" s="63">
        <v>44865</v>
      </c>
      <c r="Z2332" s="61">
        <f>_xll.qlYieldTSDiscount($U$35,Y2332,,Trigger)</f>
        <v>0.92743406427409814</v>
      </c>
    </row>
    <row r="2333" spans="25:26" x14ac:dyDescent="0.25">
      <c r="Y2333" s="63">
        <v>44866</v>
      </c>
      <c r="Z2333" s="61">
        <f>_xll.qlYieldTSDiscount($U$35,Y2333,,Trigger)</f>
        <v>0.92739577654631389</v>
      </c>
    </row>
    <row r="2334" spans="25:26" x14ac:dyDescent="0.25">
      <c r="Y2334" s="63">
        <v>44867</v>
      </c>
      <c r="Z2334" s="61">
        <f>_xll.qlYieldTSDiscount($U$35,Y2334,,Trigger)</f>
        <v>0.92735748808943819</v>
      </c>
    </row>
    <row r="2335" spans="25:26" x14ac:dyDescent="0.25">
      <c r="Y2335" s="63">
        <v>44868</v>
      </c>
      <c r="Z2335" s="61">
        <f>_xll.qlYieldTSDiscount($U$35,Y2335,,Trigger)</f>
        <v>0.9273191989066627</v>
      </c>
    </row>
    <row r="2336" spans="25:26" x14ac:dyDescent="0.25">
      <c r="Y2336" s="63">
        <v>44869</v>
      </c>
      <c r="Z2336" s="61">
        <f>_xll.qlYieldTSDiscount($U$35,Y2336,,Trigger)</f>
        <v>0.92728090900117854</v>
      </c>
    </row>
    <row r="2337" spans="25:26" x14ac:dyDescent="0.25">
      <c r="Y2337" s="63">
        <v>44870</v>
      </c>
      <c r="Z2337" s="61">
        <f>_xll.qlYieldTSDiscount($U$35,Y2337,,Trigger)</f>
        <v>0.92724261837617739</v>
      </c>
    </row>
    <row r="2338" spans="25:26" x14ac:dyDescent="0.25">
      <c r="Y2338" s="63">
        <v>44871</v>
      </c>
      <c r="Z2338" s="61">
        <f>_xll.qlYieldTSDiscount($U$35,Y2338,,Trigger)</f>
        <v>0.92720432703485056</v>
      </c>
    </row>
    <row r="2339" spans="25:26" x14ac:dyDescent="0.25">
      <c r="Y2339" s="63">
        <v>44872</v>
      </c>
      <c r="Z2339" s="61">
        <f>_xll.qlYieldTSDiscount($U$35,Y2339,,Trigger)</f>
        <v>0.92716603498038941</v>
      </c>
    </row>
    <row r="2340" spans="25:26" x14ac:dyDescent="0.25">
      <c r="Y2340" s="63">
        <v>44873</v>
      </c>
      <c r="Z2340" s="61">
        <f>_xll.qlYieldTSDiscount($U$35,Y2340,,Trigger)</f>
        <v>0.9271277422159856</v>
      </c>
    </row>
    <row r="2341" spans="25:26" x14ac:dyDescent="0.25">
      <c r="Y2341" s="63">
        <v>44874</v>
      </c>
      <c r="Z2341" s="61">
        <f>_xll.qlYieldTSDiscount($U$35,Y2341,,Trigger)</f>
        <v>0.92708944874483024</v>
      </c>
    </row>
    <row r="2342" spans="25:26" x14ac:dyDescent="0.25">
      <c r="Y2342" s="63">
        <v>44875</v>
      </c>
      <c r="Z2342" s="61">
        <f>_xll.qlYieldTSDiscount($U$35,Y2342,,Trigger)</f>
        <v>0.927051154570115</v>
      </c>
    </row>
    <row r="2343" spans="25:26" x14ac:dyDescent="0.25">
      <c r="Y2343" s="63">
        <v>44876</v>
      </c>
      <c r="Z2343" s="61">
        <f>_xll.qlYieldTSDiscount($U$35,Y2343,,Trigger)</f>
        <v>0.92701285969503122</v>
      </c>
    </row>
    <row r="2344" spans="25:26" x14ac:dyDescent="0.25">
      <c r="Y2344" s="63">
        <v>44877</v>
      </c>
      <c r="Z2344" s="61">
        <f>_xll.qlYieldTSDiscount($U$35,Y2344,,Trigger)</f>
        <v>0.92697456412277024</v>
      </c>
    </row>
    <row r="2345" spans="25:26" x14ac:dyDescent="0.25">
      <c r="Y2345" s="63">
        <v>44878</v>
      </c>
      <c r="Z2345" s="61">
        <f>_xll.qlYieldTSDiscount($U$35,Y2345,,Trigger)</f>
        <v>0.92693626785652372</v>
      </c>
    </row>
    <row r="2346" spans="25:26" x14ac:dyDescent="0.25">
      <c r="Y2346" s="63">
        <v>44879</v>
      </c>
      <c r="Z2346" s="61">
        <f>_xll.qlYieldTSDiscount($U$35,Y2346,,Trigger)</f>
        <v>0.92689797089948278</v>
      </c>
    </row>
    <row r="2347" spans="25:26" x14ac:dyDescent="0.25">
      <c r="Y2347" s="63">
        <v>44880</v>
      </c>
      <c r="Z2347" s="61">
        <f>_xll.qlYieldTSDiscount($U$35,Y2347,,Trigger)</f>
        <v>0.92685967325483909</v>
      </c>
    </row>
    <row r="2348" spans="25:26" x14ac:dyDescent="0.25">
      <c r="Y2348" s="63">
        <v>44881</v>
      </c>
      <c r="Z2348" s="61">
        <f>_xll.qlYieldTSDiscount($U$35,Y2348,,Trigger)</f>
        <v>0.92682137492578398</v>
      </c>
    </row>
    <row r="2349" spans="25:26" x14ac:dyDescent="0.25">
      <c r="Y2349" s="63">
        <v>44882</v>
      </c>
      <c r="Z2349" s="61">
        <f>_xll.qlYieldTSDiscount($U$35,Y2349,,Trigger)</f>
        <v>0.9267830759155089</v>
      </c>
    </row>
    <row r="2350" spans="25:26" x14ac:dyDescent="0.25">
      <c r="Y2350" s="63">
        <v>44883</v>
      </c>
      <c r="Z2350" s="61">
        <f>_xll.qlYieldTSDiscount($U$35,Y2350,,Trigger)</f>
        <v>0.92674477622720519</v>
      </c>
    </row>
    <row r="2351" spans="25:26" x14ac:dyDescent="0.25">
      <c r="Y2351" s="63">
        <v>44884</v>
      </c>
      <c r="Z2351" s="61">
        <f>_xll.qlYieldTSDiscount($U$35,Y2351,,Trigger)</f>
        <v>0.92670647586406441</v>
      </c>
    </row>
    <row r="2352" spans="25:26" x14ac:dyDescent="0.25">
      <c r="Y2352" s="63">
        <v>44885</v>
      </c>
      <c r="Z2352" s="61">
        <f>_xll.qlYieldTSDiscount($U$35,Y2352,,Trigger)</f>
        <v>0.92666817482927788</v>
      </c>
    </row>
    <row r="2353" spans="25:26" x14ac:dyDescent="0.25">
      <c r="Y2353" s="63">
        <v>44886</v>
      </c>
      <c r="Z2353" s="61">
        <f>_xll.qlYieldTSDiscount($U$35,Y2353,,Trigger)</f>
        <v>0.92662987312603706</v>
      </c>
    </row>
    <row r="2354" spans="25:26" x14ac:dyDescent="0.25">
      <c r="Y2354" s="63">
        <v>44887</v>
      </c>
      <c r="Z2354" s="61">
        <f>_xll.qlYieldTSDiscount($U$35,Y2354,,Trigger)</f>
        <v>0.92659157075753329</v>
      </c>
    </row>
    <row r="2355" spans="25:26" x14ac:dyDescent="0.25">
      <c r="Y2355" s="63">
        <v>44888</v>
      </c>
      <c r="Z2355" s="61">
        <f>_xll.qlYieldTSDiscount($U$35,Y2355,,Trigger)</f>
        <v>0.92655326772695823</v>
      </c>
    </row>
    <row r="2356" spans="25:26" x14ac:dyDescent="0.25">
      <c r="Y2356" s="63">
        <v>44889</v>
      </c>
      <c r="Z2356" s="61">
        <f>_xll.qlYieldTSDiscount($U$35,Y2356,,Trigger)</f>
        <v>0.92651496403750311</v>
      </c>
    </row>
    <row r="2357" spans="25:26" x14ac:dyDescent="0.25">
      <c r="Y2357" s="63">
        <v>44890</v>
      </c>
      <c r="Z2357" s="61">
        <f>_xll.qlYieldTSDiscount($U$35,Y2357,,Trigger)</f>
        <v>0.92647665969235937</v>
      </c>
    </row>
    <row r="2358" spans="25:26" x14ac:dyDescent="0.25">
      <c r="Y2358" s="63">
        <v>44891</v>
      </c>
      <c r="Z2358" s="61">
        <f>_xll.qlYieldTSDiscount($U$35,Y2358,,Trigger)</f>
        <v>0.92643835469471847</v>
      </c>
    </row>
    <row r="2359" spans="25:26" x14ac:dyDescent="0.25">
      <c r="Y2359" s="63">
        <v>44892</v>
      </c>
      <c r="Z2359" s="61">
        <f>_xll.qlYieldTSDiscount($U$35,Y2359,,Trigger)</f>
        <v>0.92640004904777185</v>
      </c>
    </row>
    <row r="2360" spans="25:26" x14ac:dyDescent="0.25">
      <c r="Y2360" s="63">
        <v>44893</v>
      </c>
      <c r="Z2360" s="61">
        <f>_xll.qlYieldTSDiscount($U$35,Y2360,,Trigger)</f>
        <v>0.92636174275471095</v>
      </c>
    </row>
    <row r="2361" spans="25:26" x14ac:dyDescent="0.25">
      <c r="Y2361" s="63">
        <v>44894</v>
      </c>
      <c r="Z2361" s="61">
        <f>_xll.qlYieldTSDiscount($U$35,Y2361,,Trigger)</f>
        <v>0.92632343581872711</v>
      </c>
    </row>
    <row r="2362" spans="25:26" x14ac:dyDescent="0.25">
      <c r="Y2362" s="63">
        <v>44895</v>
      </c>
      <c r="Z2362" s="61">
        <f>_xll.qlYieldTSDiscount($U$35,Y2362,,Trigger)</f>
        <v>0.92628512824301179</v>
      </c>
    </row>
    <row r="2363" spans="25:26" x14ac:dyDescent="0.25">
      <c r="Y2363" s="63">
        <v>44896</v>
      </c>
      <c r="Z2363" s="61">
        <f>_xll.qlYieldTSDiscount($U$35,Y2363,,Trigger)</f>
        <v>0.92624682003075642</v>
      </c>
    </row>
    <row r="2364" spans="25:26" x14ac:dyDescent="0.25">
      <c r="Y2364" s="63">
        <v>44897</v>
      </c>
      <c r="Z2364" s="61">
        <f>_xll.qlYieldTSDiscount($U$35,Y2364,,Trigger)</f>
        <v>0.92620851118515246</v>
      </c>
    </row>
    <row r="2365" spans="25:26" x14ac:dyDescent="0.25">
      <c r="Y2365" s="63">
        <v>44898</v>
      </c>
      <c r="Z2365" s="61">
        <f>_xll.qlYieldTSDiscount($U$35,Y2365,,Trigger)</f>
        <v>0.92617020170939135</v>
      </c>
    </row>
    <row r="2366" spans="25:26" x14ac:dyDescent="0.25">
      <c r="Y2366" s="63">
        <v>44899</v>
      </c>
      <c r="Z2366" s="61">
        <f>_xll.qlYieldTSDiscount($U$35,Y2366,,Trigger)</f>
        <v>0.92613189160666454</v>
      </c>
    </row>
    <row r="2367" spans="25:26" x14ac:dyDescent="0.25">
      <c r="Y2367" s="63">
        <v>44900</v>
      </c>
      <c r="Z2367" s="61">
        <f>_xll.qlYieldTSDiscount($U$35,Y2367,,Trigger)</f>
        <v>0.92609358088016325</v>
      </c>
    </row>
    <row r="2368" spans="25:26" x14ac:dyDescent="0.25">
      <c r="Y2368" s="63">
        <v>44901</v>
      </c>
      <c r="Z2368" s="61">
        <f>_xll.qlYieldTSDiscount($U$35,Y2368,,Trigger)</f>
        <v>0.92605526953307915</v>
      </c>
    </row>
    <row r="2369" spans="25:26" x14ac:dyDescent="0.25">
      <c r="Y2369" s="63">
        <v>44902</v>
      </c>
      <c r="Z2369" s="61">
        <f>_xll.qlYieldTSDiscount($U$35,Y2369,,Trigger)</f>
        <v>0.92601695756860347</v>
      </c>
    </row>
    <row r="2370" spans="25:26" x14ac:dyDescent="0.25">
      <c r="Y2370" s="63">
        <v>44903</v>
      </c>
      <c r="Z2370" s="61">
        <f>_xll.qlYieldTSDiscount($U$35,Y2370,,Trigger)</f>
        <v>0.92597864498992777</v>
      </c>
    </row>
    <row r="2371" spans="25:26" x14ac:dyDescent="0.25">
      <c r="Y2371" s="63">
        <v>44904</v>
      </c>
      <c r="Z2371" s="61">
        <f>_xll.qlYieldTSDiscount($U$35,Y2371,,Trigger)</f>
        <v>0.92594033180024349</v>
      </c>
    </row>
    <row r="2372" spans="25:26" x14ac:dyDescent="0.25">
      <c r="Y2372" s="63">
        <v>44905</v>
      </c>
      <c r="Z2372" s="61">
        <f>_xll.qlYieldTSDiscount($U$35,Y2372,,Trigger)</f>
        <v>0.92590201800274186</v>
      </c>
    </row>
    <row r="2373" spans="25:26" x14ac:dyDescent="0.25">
      <c r="Y2373" s="63">
        <v>44906</v>
      </c>
      <c r="Z2373" s="61">
        <f>_xll.qlYieldTSDiscount($U$35,Y2373,,Trigger)</f>
        <v>0.92586370360061454</v>
      </c>
    </row>
    <row r="2374" spans="25:26" x14ac:dyDescent="0.25">
      <c r="Y2374" s="63">
        <v>44907</v>
      </c>
      <c r="Z2374" s="61">
        <f>_xll.qlYieldTSDiscount($U$35,Y2374,,Trigger)</f>
        <v>0.92582538859705288</v>
      </c>
    </row>
    <row r="2375" spans="25:26" x14ac:dyDescent="0.25">
      <c r="Y2375" s="63">
        <v>44908</v>
      </c>
      <c r="Z2375" s="61">
        <f>_xll.qlYieldTSDiscount($U$35,Y2375,,Trigger)</f>
        <v>0.92578707299524821</v>
      </c>
    </row>
    <row r="2376" spans="25:26" x14ac:dyDescent="0.25">
      <c r="Y2376" s="63">
        <v>44909</v>
      </c>
      <c r="Z2376" s="61">
        <f>_xll.qlYieldTSDiscount($U$35,Y2376,,Trigger)</f>
        <v>0.92574875679839208</v>
      </c>
    </row>
    <row r="2377" spans="25:26" x14ac:dyDescent="0.25">
      <c r="Y2377" s="63">
        <v>44910</v>
      </c>
      <c r="Z2377" s="61">
        <f>_xll.qlYieldTSDiscount($U$35,Y2377,,Trigger)</f>
        <v>0.92571044000967584</v>
      </c>
    </row>
    <row r="2378" spans="25:26" x14ac:dyDescent="0.25">
      <c r="Y2378" s="63">
        <v>44911</v>
      </c>
      <c r="Z2378" s="61">
        <f>_xll.qlYieldTSDiscount($U$35,Y2378,,Trigger)</f>
        <v>0.92567212263229104</v>
      </c>
    </row>
    <row r="2379" spans="25:26" x14ac:dyDescent="0.25">
      <c r="Y2379" s="63">
        <v>44912</v>
      </c>
      <c r="Z2379" s="61">
        <f>_xll.qlYieldTSDiscount($U$35,Y2379,,Trigger)</f>
        <v>0.92563380466942891</v>
      </c>
    </row>
    <row r="2380" spans="25:26" x14ac:dyDescent="0.25">
      <c r="Y2380" s="63">
        <v>44913</v>
      </c>
      <c r="Z2380" s="61">
        <f>_xll.qlYieldTSDiscount($U$35,Y2380,,Trigger)</f>
        <v>0.92559548612428089</v>
      </c>
    </row>
    <row r="2381" spans="25:26" x14ac:dyDescent="0.25">
      <c r="Y2381" s="63">
        <v>44914</v>
      </c>
      <c r="Z2381" s="61">
        <f>_xll.qlYieldTSDiscount($U$35,Y2381,,Trigger)</f>
        <v>0.92555716700003865</v>
      </c>
    </row>
    <row r="2382" spans="25:26" x14ac:dyDescent="0.25">
      <c r="Y2382" s="63">
        <v>44915</v>
      </c>
      <c r="Z2382" s="61">
        <f>_xll.qlYieldTSDiscount($U$35,Y2382,,Trigger)</f>
        <v>0.92551884729989331</v>
      </c>
    </row>
    <row r="2383" spans="25:26" x14ac:dyDescent="0.25">
      <c r="Y2383" s="63">
        <v>44916</v>
      </c>
      <c r="Z2383" s="61">
        <f>_xll.qlYieldTSDiscount($U$35,Y2383,,Trigger)</f>
        <v>0.92548052702703654</v>
      </c>
    </row>
    <row r="2384" spans="25:26" x14ac:dyDescent="0.25">
      <c r="Y2384" s="63">
        <v>44917</v>
      </c>
      <c r="Z2384" s="61">
        <f>_xll.qlYieldTSDiscount($U$35,Y2384,,Trigger)</f>
        <v>0.92544220618465955</v>
      </c>
    </row>
    <row r="2385" spans="25:26" x14ac:dyDescent="0.25">
      <c r="Y2385" s="63">
        <v>44918</v>
      </c>
      <c r="Z2385" s="61">
        <f>_xll.qlYieldTSDiscount($U$35,Y2385,,Trigger)</f>
        <v>0.92540388477595392</v>
      </c>
    </row>
    <row r="2386" spans="25:26" x14ac:dyDescent="0.25">
      <c r="Y2386" s="63">
        <v>44919</v>
      </c>
      <c r="Z2386" s="61">
        <f>_xll.qlYieldTSDiscount($U$35,Y2386,,Trigger)</f>
        <v>0.92536556280411109</v>
      </c>
    </row>
    <row r="2387" spans="25:26" x14ac:dyDescent="0.25">
      <c r="Y2387" s="63">
        <v>44920</v>
      </c>
      <c r="Z2387" s="61">
        <f>_xll.qlYieldTSDiscount($U$35,Y2387,,Trigger)</f>
        <v>0.92532724027232238</v>
      </c>
    </row>
    <row r="2388" spans="25:26" x14ac:dyDescent="0.25">
      <c r="Y2388" s="63">
        <v>44921</v>
      </c>
      <c r="Z2388" s="61">
        <f>_xll.qlYieldTSDiscount($U$35,Y2388,,Trigger)</f>
        <v>0.92528891718377926</v>
      </c>
    </row>
    <row r="2389" spans="25:26" x14ac:dyDescent="0.25">
      <c r="Y2389" s="63">
        <v>44922</v>
      </c>
      <c r="Z2389" s="61">
        <f>_xll.qlYieldTSDiscount($U$35,Y2389,,Trigger)</f>
        <v>0.92525059354167316</v>
      </c>
    </row>
    <row r="2390" spans="25:26" x14ac:dyDescent="0.25">
      <c r="Y2390" s="63">
        <v>44923</v>
      </c>
      <c r="Z2390" s="61">
        <f>_xll.qlYieldTSDiscount($U$35,Y2390,,Trigger)</f>
        <v>0.92521226934919543</v>
      </c>
    </row>
    <row r="2391" spans="25:26" x14ac:dyDescent="0.25">
      <c r="Y2391" s="63">
        <v>44924</v>
      </c>
      <c r="Z2391" s="61">
        <f>_xll.qlYieldTSDiscount($U$35,Y2391,,Trigger)</f>
        <v>0.92517394460953772</v>
      </c>
    </row>
    <row r="2392" spans="25:26" x14ac:dyDescent="0.25">
      <c r="Y2392" s="63">
        <v>44925</v>
      </c>
      <c r="Z2392" s="61">
        <f>_xll.qlYieldTSDiscount($U$35,Y2392,,Trigger)</f>
        <v>0.92513561932589117</v>
      </c>
    </row>
    <row r="2393" spans="25:26" x14ac:dyDescent="0.25">
      <c r="Y2393" s="63">
        <v>44926</v>
      </c>
      <c r="Z2393" s="61">
        <f>_xll.qlYieldTSDiscount($U$35,Y2393,,Trigger)</f>
        <v>0.92509729350144732</v>
      </c>
    </row>
    <row r="2394" spans="25:26" x14ac:dyDescent="0.25">
      <c r="Y2394" s="63">
        <v>44927</v>
      </c>
      <c r="Z2394" s="61">
        <f>_xll.qlYieldTSDiscount($U$35,Y2394,,Trigger)</f>
        <v>0.92505896713939773</v>
      </c>
    </row>
    <row r="2395" spans="25:26" x14ac:dyDescent="0.25">
      <c r="Y2395" s="63">
        <v>44928</v>
      </c>
      <c r="Z2395" s="61">
        <f>_xll.qlYieldTSDiscount($U$35,Y2395,,Trigger)</f>
        <v>0.92502064024293362</v>
      </c>
    </row>
    <row r="2396" spans="25:26" x14ac:dyDescent="0.25">
      <c r="Y2396" s="63">
        <v>44929</v>
      </c>
      <c r="Z2396" s="61">
        <f>_xll.qlYieldTSDiscount($U$35,Y2396,,Trigger)</f>
        <v>0.92498231281524645</v>
      </c>
    </row>
    <row r="2397" spans="25:26" x14ac:dyDescent="0.25">
      <c r="Y2397" s="63">
        <v>44930</v>
      </c>
      <c r="Z2397" s="61">
        <f>_xll.qlYieldTSDiscount($U$35,Y2397,,Trigger)</f>
        <v>0.92494398485952778</v>
      </c>
    </row>
    <row r="2398" spans="25:26" x14ac:dyDescent="0.25">
      <c r="Y2398" s="63">
        <v>44931</v>
      </c>
      <c r="Z2398" s="61">
        <f>_xll.qlYieldTSDiscount($U$35,Y2398,,Trigger)</f>
        <v>0.92490565637896893</v>
      </c>
    </row>
    <row r="2399" spans="25:26" x14ac:dyDescent="0.25">
      <c r="Y2399" s="63">
        <v>44932</v>
      </c>
      <c r="Z2399" s="61">
        <f>_xll.qlYieldTSDiscount($U$35,Y2399,,Trigger)</f>
        <v>0.92486732737676136</v>
      </c>
    </row>
    <row r="2400" spans="25:26" x14ac:dyDescent="0.25">
      <c r="Y2400" s="63">
        <v>44933</v>
      </c>
      <c r="Z2400" s="61">
        <f>_xll.qlYieldTSDiscount($U$35,Y2400,,Trigger)</f>
        <v>0.92482899785609651</v>
      </c>
    </row>
    <row r="2401" spans="25:26" x14ac:dyDescent="0.25">
      <c r="Y2401" s="63">
        <v>44934</v>
      </c>
      <c r="Z2401" s="61">
        <f>_xll.qlYieldTSDiscount($U$35,Y2401,,Trigger)</f>
        <v>0.92479066782016572</v>
      </c>
    </row>
    <row r="2402" spans="25:26" x14ac:dyDescent="0.25">
      <c r="Y2402" s="63">
        <v>44935</v>
      </c>
      <c r="Z2402" s="61">
        <f>_xll.qlYieldTSDiscount($U$35,Y2402,,Trigger)</f>
        <v>0.92475233727216044</v>
      </c>
    </row>
    <row r="2403" spans="25:26" x14ac:dyDescent="0.25">
      <c r="Y2403" s="63">
        <v>44936</v>
      </c>
      <c r="Z2403" s="61">
        <f>_xll.qlYieldTSDiscount($U$35,Y2403,,Trigger)</f>
        <v>0.92471400621527222</v>
      </c>
    </row>
    <row r="2404" spans="25:26" x14ac:dyDescent="0.25">
      <c r="Y2404" s="63">
        <v>44937</v>
      </c>
      <c r="Z2404" s="61">
        <f>_xll.qlYieldTSDiscount($U$35,Y2404,,Trigger)</f>
        <v>0.92467567465269229</v>
      </c>
    </row>
    <row r="2405" spans="25:26" x14ac:dyDescent="0.25">
      <c r="Y2405" s="63">
        <v>44938</v>
      </c>
      <c r="Z2405" s="61">
        <f>_xll.qlYieldTSDiscount($U$35,Y2405,,Trigger)</f>
        <v>0.92463734258761221</v>
      </c>
    </row>
    <row r="2406" spans="25:26" x14ac:dyDescent="0.25">
      <c r="Y2406" s="63">
        <v>44939</v>
      </c>
      <c r="Z2406" s="61">
        <f>_xll.qlYieldTSDiscount($U$35,Y2406,,Trigger)</f>
        <v>0.92459901002322342</v>
      </c>
    </row>
    <row r="2407" spans="25:26" x14ac:dyDescent="0.25">
      <c r="Y2407" s="63">
        <v>44940</v>
      </c>
      <c r="Z2407" s="61">
        <f>_xll.qlYieldTSDiscount($U$35,Y2407,,Trigger)</f>
        <v>0.92456067696271726</v>
      </c>
    </row>
    <row r="2408" spans="25:26" x14ac:dyDescent="0.25">
      <c r="Y2408" s="63">
        <v>44941</v>
      </c>
      <c r="Z2408" s="61">
        <f>_xll.qlYieldTSDiscount($U$35,Y2408,,Trigger)</f>
        <v>0.92452234340928519</v>
      </c>
    </row>
    <row r="2409" spans="25:26" x14ac:dyDescent="0.25">
      <c r="Y2409" s="63">
        <v>44942</v>
      </c>
      <c r="Z2409" s="61">
        <f>_xll.qlYieldTSDiscount($U$35,Y2409,,Trigger)</f>
        <v>0.92448400936611863</v>
      </c>
    </row>
    <row r="2410" spans="25:26" x14ac:dyDescent="0.25">
      <c r="Y2410" s="63">
        <v>44943</v>
      </c>
      <c r="Z2410" s="61">
        <f>_xll.qlYieldTSDiscount($U$35,Y2410,,Trigger)</f>
        <v>0.92444567483640905</v>
      </c>
    </row>
    <row r="2411" spans="25:26" x14ac:dyDescent="0.25">
      <c r="Y2411" s="63">
        <v>44944</v>
      </c>
      <c r="Z2411" s="61">
        <f>_xll.qlYieldTSDiscount($U$35,Y2411,,Trigger)</f>
        <v>0.92440733982334777</v>
      </c>
    </row>
    <row r="2412" spans="25:26" x14ac:dyDescent="0.25">
      <c r="Y2412" s="63">
        <v>44945</v>
      </c>
      <c r="Z2412" s="61">
        <f>_xll.qlYieldTSDiscount($U$35,Y2412,,Trigger)</f>
        <v>0.92436900433012636</v>
      </c>
    </row>
    <row r="2413" spans="25:26" x14ac:dyDescent="0.25">
      <c r="Y2413" s="63">
        <v>44946</v>
      </c>
      <c r="Z2413" s="61">
        <f>_xll.qlYieldTSDiscount($U$35,Y2413,,Trigger)</f>
        <v>0.92433066835993616</v>
      </c>
    </row>
    <row r="2414" spans="25:26" x14ac:dyDescent="0.25">
      <c r="Y2414" s="63">
        <v>44947</v>
      </c>
      <c r="Z2414" s="61">
        <f>_xll.qlYieldTSDiscount($U$35,Y2414,,Trigger)</f>
        <v>0.92429233191596849</v>
      </c>
    </row>
    <row r="2415" spans="25:26" x14ac:dyDescent="0.25">
      <c r="Y2415" s="63">
        <v>44948</v>
      </c>
      <c r="Z2415" s="61">
        <f>_xll.qlYieldTSDiscount($U$35,Y2415,,Trigger)</f>
        <v>0.92425399500141503</v>
      </c>
    </row>
    <row r="2416" spans="25:26" x14ac:dyDescent="0.25">
      <c r="Y2416" s="63">
        <v>44949</v>
      </c>
      <c r="Z2416" s="61">
        <f>_xll.qlYieldTSDiscount($U$35,Y2416,,Trigger)</f>
        <v>0.924215657619467</v>
      </c>
    </row>
    <row r="2417" spans="25:26" x14ac:dyDescent="0.25">
      <c r="Y2417" s="63">
        <v>44950</v>
      </c>
      <c r="Z2417" s="61">
        <f>_xll.qlYieldTSDiscount($U$35,Y2417,,Trigger)</f>
        <v>0.92417731977331585</v>
      </c>
    </row>
    <row r="2418" spans="25:26" x14ac:dyDescent="0.25">
      <c r="Y2418" s="63">
        <v>44951</v>
      </c>
      <c r="Z2418" s="61">
        <f>_xll.qlYieldTSDiscount($U$35,Y2418,,Trigger)</f>
        <v>0.92413898146615314</v>
      </c>
    </row>
    <row r="2419" spans="25:26" x14ac:dyDescent="0.25">
      <c r="Y2419" s="63">
        <v>44952</v>
      </c>
      <c r="Z2419" s="61">
        <f>_xll.qlYieldTSDiscount($U$35,Y2419,,Trigger)</f>
        <v>0.92410064270117009</v>
      </c>
    </row>
    <row r="2420" spans="25:26" x14ac:dyDescent="0.25">
      <c r="Y2420" s="63">
        <v>44953</v>
      </c>
      <c r="Z2420" s="61">
        <f>_xll.qlYieldTSDiscount($U$35,Y2420,,Trigger)</f>
        <v>0.92406230348155827</v>
      </c>
    </row>
    <row r="2421" spans="25:26" x14ac:dyDescent="0.25">
      <c r="Y2421" s="63">
        <v>44954</v>
      </c>
      <c r="Z2421" s="61">
        <f>_xll.qlYieldTSDiscount($U$35,Y2421,,Trigger)</f>
        <v>0.92402396381050911</v>
      </c>
    </row>
    <row r="2422" spans="25:26" x14ac:dyDescent="0.25">
      <c r="Y2422" s="63">
        <v>44955</v>
      </c>
      <c r="Z2422" s="61">
        <f>_xll.qlYieldTSDiscount($U$35,Y2422,,Trigger)</f>
        <v>0.92398562369121395</v>
      </c>
    </row>
    <row r="2423" spans="25:26" x14ac:dyDescent="0.25">
      <c r="Y2423" s="63">
        <v>44956</v>
      </c>
      <c r="Z2423" s="61">
        <f>_xll.qlYieldTSDiscount($U$35,Y2423,,Trigger)</f>
        <v>0.92394728312686425</v>
      </c>
    </row>
    <row r="2424" spans="25:26" x14ac:dyDescent="0.25">
      <c r="Y2424" s="63">
        <v>44957</v>
      </c>
      <c r="Z2424" s="61">
        <f>_xll.qlYieldTSDiscount($U$35,Y2424,,Trigger)</f>
        <v>0.92390894212065144</v>
      </c>
    </row>
    <row r="2425" spans="25:26" x14ac:dyDescent="0.25">
      <c r="Y2425" s="63">
        <v>44958</v>
      </c>
      <c r="Z2425" s="61">
        <f>_xll.qlYieldTSDiscount($U$35,Y2425,,Trigger)</f>
        <v>0.92387060067576698</v>
      </c>
    </row>
    <row r="2426" spans="25:26" x14ac:dyDescent="0.25">
      <c r="Y2426" s="63">
        <v>44959</v>
      </c>
      <c r="Z2426" s="61">
        <f>_xll.qlYieldTSDiscount($U$35,Y2426,,Trigger)</f>
        <v>0.92383225879540232</v>
      </c>
    </row>
    <row r="2427" spans="25:26" x14ac:dyDescent="0.25">
      <c r="Y2427" s="63">
        <v>44960</v>
      </c>
      <c r="Z2427" s="61">
        <f>_xll.qlYieldTSDiscount($U$35,Y2427,,Trigger)</f>
        <v>0.92379391648274867</v>
      </c>
    </row>
    <row r="2428" spans="25:26" x14ac:dyDescent="0.25">
      <c r="Y2428" s="63">
        <v>44961</v>
      </c>
      <c r="Z2428" s="61">
        <f>_xll.qlYieldTSDiscount($U$35,Y2428,,Trigger)</f>
        <v>0.9237555737409977</v>
      </c>
    </row>
    <row r="2429" spans="25:26" x14ac:dyDescent="0.25">
      <c r="Y2429" s="63">
        <v>44962</v>
      </c>
      <c r="Z2429" s="61">
        <f>_xll.qlYieldTSDiscount($U$35,Y2429,,Trigger)</f>
        <v>0.92371723057334076</v>
      </c>
    </row>
    <row r="2430" spans="25:26" x14ac:dyDescent="0.25">
      <c r="Y2430" s="63">
        <v>44963</v>
      </c>
      <c r="Z2430" s="61">
        <f>_xll.qlYieldTSDiscount($U$35,Y2430,,Trigger)</f>
        <v>0.92367888698296929</v>
      </c>
    </row>
    <row r="2431" spans="25:26" x14ac:dyDescent="0.25">
      <c r="Y2431" s="63">
        <v>44964</v>
      </c>
      <c r="Z2431" s="61">
        <f>_xll.qlYieldTSDiscount($U$35,Y2431,,Trigger)</f>
        <v>0.92364054297307463</v>
      </c>
    </row>
    <row r="2432" spans="25:26" x14ac:dyDescent="0.25">
      <c r="Y2432" s="63">
        <v>44965</v>
      </c>
      <c r="Z2432" s="61">
        <f>_xll.qlYieldTSDiscount($U$35,Y2432,,Trigger)</f>
        <v>0.92360219854684833</v>
      </c>
    </row>
    <row r="2433" spans="25:26" x14ac:dyDescent="0.25">
      <c r="Y2433" s="63">
        <v>44966</v>
      </c>
      <c r="Z2433" s="61">
        <f>_xll.qlYieldTSDiscount($U$35,Y2433,,Trigger)</f>
        <v>0.92356385370748173</v>
      </c>
    </row>
    <row r="2434" spans="25:26" x14ac:dyDescent="0.25">
      <c r="Y2434" s="63">
        <v>44967</v>
      </c>
      <c r="Z2434" s="61">
        <f>_xll.qlYieldTSDiscount($U$35,Y2434,,Trigger)</f>
        <v>0.92352550845816617</v>
      </c>
    </row>
    <row r="2435" spans="25:26" x14ac:dyDescent="0.25">
      <c r="Y2435" s="63">
        <v>44968</v>
      </c>
      <c r="Z2435" s="61">
        <f>_xll.qlYieldTSDiscount($U$35,Y2435,,Trigger)</f>
        <v>0.92348716280209331</v>
      </c>
    </row>
    <row r="2436" spans="25:26" x14ac:dyDescent="0.25">
      <c r="Y2436" s="63">
        <v>44969</v>
      </c>
      <c r="Z2436" s="61">
        <f>_xll.qlYieldTSDiscount($U$35,Y2436,,Trigger)</f>
        <v>0.92344881674245438</v>
      </c>
    </row>
    <row r="2437" spans="25:26" x14ac:dyDescent="0.25">
      <c r="Y2437" s="63">
        <v>44970</v>
      </c>
      <c r="Z2437" s="61">
        <f>_xll.qlYieldTSDiscount($U$35,Y2437,,Trigger)</f>
        <v>0.92341047028244083</v>
      </c>
    </row>
    <row r="2438" spans="25:26" x14ac:dyDescent="0.25">
      <c r="Y2438" s="63">
        <v>44971</v>
      </c>
      <c r="Z2438" s="61">
        <f>_xll.qlYieldTSDiscount($U$35,Y2438,,Trigger)</f>
        <v>0.92337212342524422</v>
      </c>
    </row>
    <row r="2439" spans="25:26" x14ac:dyDescent="0.25">
      <c r="Y2439" s="63">
        <v>44972</v>
      </c>
      <c r="Z2439" s="61">
        <f>_xll.qlYieldTSDiscount($U$35,Y2439,,Trigger)</f>
        <v>0.92333377617405588</v>
      </c>
    </row>
    <row r="2440" spans="25:26" x14ac:dyDescent="0.25">
      <c r="Y2440" s="63">
        <v>44973</v>
      </c>
      <c r="Z2440" s="61">
        <f>_xll.qlYieldTSDiscount($U$35,Y2440,,Trigger)</f>
        <v>0.92329542853206714</v>
      </c>
    </row>
    <row r="2441" spans="25:26" x14ac:dyDescent="0.25">
      <c r="Y2441" s="63">
        <v>44974</v>
      </c>
      <c r="Z2441" s="61">
        <f>_xll.qlYieldTSDiscount($U$35,Y2441,,Trigger)</f>
        <v>0.92325708050246957</v>
      </c>
    </row>
    <row r="2442" spans="25:26" x14ac:dyDescent="0.25">
      <c r="Y2442" s="63">
        <v>44975</v>
      </c>
      <c r="Z2442" s="61">
        <f>_xll.qlYieldTSDiscount($U$35,Y2442,,Trigger)</f>
        <v>0.92321873208845462</v>
      </c>
    </row>
    <row r="2443" spans="25:26" x14ac:dyDescent="0.25">
      <c r="Y2443" s="63">
        <v>44976</v>
      </c>
      <c r="Z2443" s="61">
        <f>_xll.qlYieldTSDiscount($U$35,Y2443,,Trigger)</f>
        <v>0.9231803832932135</v>
      </c>
    </row>
    <row r="2444" spans="25:26" x14ac:dyDescent="0.25">
      <c r="Y2444" s="63">
        <v>44977</v>
      </c>
      <c r="Z2444" s="61">
        <f>_xll.qlYieldTSDiscount($U$35,Y2444,,Trigger)</f>
        <v>0.92314203411993789</v>
      </c>
    </row>
    <row r="2445" spans="25:26" x14ac:dyDescent="0.25">
      <c r="Y2445" s="63">
        <v>44978</v>
      </c>
      <c r="Z2445" s="61">
        <f>_xll.qlYieldTSDiscount($U$35,Y2445,,Trigger)</f>
        <v>0.92310368457181902</v>
      </c>
    </row>
    <row r="2446" spans="25:26" x14ac:dyDescent="0.25">
      <c r="Y2446" s="63">
        <v>44979</v>
      </c>
      <c r="Z2446" s="61">
        <f>_xll.qlYieldTSDiscount($U$35,Y2446,,Trigger)</f>
        <v>0.92306533465204843</v>
      </c>
    </row>
    <row r="2447" spans="25:26" x14ac:dyDescent="0.25">
      <c r="Y2447" s="63">
        <v>44980</v>
      </c>
      <c r="Z2447" s="61">
        <f>_xll.qlYieldTSDiscount($U$35,Y2447,,Trigger)</f>
        <v>0.92302698436381747</v>
      </c>
    </row>
    <row r="2448" spans="25:26" x14ac:dyDescent="0.25">
      <c r="Y2448" s="63">
        <v>44981</v>
      </c>
      <c r="Z2448" s="61">
        <f>_xll.qlYieldTSDiscount($U$35,Y2448,,Trigger)</f>
        <v>0.9229886337103177</v>
      </c>
    </row>
    <row r="2449" spans="25:26" x14ac:dyDescent="0.25">
      <c r="Y2449" s="63">
        <v>44982</v>
      </c>
      <c r="Z2449" s="61">
        <f>_xll.qlYieldTSDiscount($U$35,Y2449,,Trigger)</f>
        <v>0.92295028269474033</v>
      </c>
    </row>
    <row r="2450" spans="25:26" x14ac:dyDescent="0.25">
      <c r="Y2450" s="63">
        <v>44983</v>
      </c>
      <c r="Z2450" s="61">
        <f>_xll.qlYieldTSDiscount($U$35,Y2450,,Trigger)</f>
        <v>0.92291193132027705</v>
      </c>
    </row>
    <row r="2451" spans="25:26" x14ac:dyDescent="0.25">
      <c r="Y2451" s="63">
        <v>44984</v>
      </c>
      <c r="Z2451" s="61">
        <f>_xll.qlYieldTSDiscount($U$35,Y2451,,Trigger)</f>
        <v>0.92287357959011906</v>
      </c>
    </row>
    <row r="2452" spans="25:26" x14ac:dyDescent="0.25">
      <c r="Y2452" s="63">
        <v>44985</v>
      </c>
      <c r="Z2452" s="61">
        <f>_xll.qlYieldTSDiscount($U$35,Y2452,,Trigger)</f>
        <v>0.92283522750745783</v>
      </c>
    </row>
    <row r="2453" spans="25:26" x14ac:dyDescent="0.25">
      <c r="Y2453" s="63">
        <v>44986</v>
      </c>
      <c r="Z2453" s="61">
        <f>_xll.qlYieldTSDiscount($U$35,Y2453,,Trigger)</f>
        <v>0.92279687507548491</v>
      </c>
    </row>
    <row r="2454" spans="25:26" x14ac:dyDescent="0.25">
      <c r="Y2454" s="63">
        <v>44987</v>
      </c>
      <c r="Z2454" s="61">
        <f>_xll.qlYieldTSDiscount($U$35,Y2454,,Trigger)</f>
        <v>0.92275852229739153</v>
      </c>
    </row>
    <row r="2455" spans="25:26" x14ac:dyDescent="0.25">
      <c r="Y2455" s="63">
        <v>44988</v>
      </c>
      <c r="Z2455" s="61">
        <f>_xll.qlYieldTSDiscount($U$35,Y2455,,Trigger)</f>
        <v>0.92272016917636923</v>
      </c>
    </row>
    <row r="2456" spans="25:26" x14ac:dyDescent="0.25">
      <c r="Y2456" s="63">
        <v>44989</v>
      </c>
      <c r="Z2456" s="61">
        <f>_xll.qlYieldTSDiscount($U$35,Y2456,,Trigger)</f>
        <v>0.92268181571560948</v>
      </c>
    </row>
    <row r="2457" spans="25:26" x14ac:dyDescent="0.25">
      <c r="Y2457" s="63">
        <v>44990</v>
      </c>
      <c r="Z2457" s="61">
        <f>_xll.qlYieldTSDiscount($U$35,Y2457,,Trigger)</f>
        <v>0.92264346191830371</v>
      </c>
    </row>
    <row r="2458" spans="25:26" x14ac:dyDescent="0.25">
      <c r="Y2458" s="63">
        <v>44991</v>
      </c>
      <c r="Z2458" s="61">
        <f>_xll.qlYieldTSDiscount($U$35,Y2458,,Trigger)</f>
        <v>0.92260510778764315</v>
      </c>
    </row>
    <row r="2459" spans="25:26" x14ac:dyDescent="0.25">
      <c r="Y2459" s="63">
        <v>44992</v>
      </c>
      <c r="Z2459" s="61">
        <f>_xll.qlYieldTSDiscount($U$35,Y2459,,Trigger)</f>
        <v>0.92256675332681948</v>
      </c>
    </row>
    <row r="2460" spans="25:26" x14ac:dyDescent="0.25">
      <c r="Y2460" s="63">
        <v>44993</v>
      </c>
      <c r="Z2460" s="61">
        <f>_xll.qlYieldTSDiscount($U$35,Y2460,,Trigger)</f>
        <v>0.92252839853902391</v>
      </c>
    </row>
    <row r="2461" spans="25:26" x14ac:dyDescent="0.25">
      <c r="Y2461" s="63">
        <v>44994</v>
      </c>
      <c r="Z2461" s="61">
        <f>_xll.qlYieldTSDiscount($U$35,Y2461,,Trigger)</f>
        <v>0.922490043427448</v>
      </c>
    </row>
    <row r="2462" spans="25:26" x14ac:dyDescent="0.25">
      <c r="Y2462" s="63">
        <v>44995</v>
      </c>
      <c r="Z2462" s="61">
        <f>_xll.qlYieldTSDiscount($U$35,Y2462,,Trigger)</f>
        <v>0.92245168799528321</v>
      </c>
    </row>
    <row r="2463" spans="25:26" x14ac:dyDescent="0.25">
      <c r="Y2463" s="63">
        <v>44996</v>
      </c>
      <c r="Z2463" s="61">
        <f>_xll.qlYieldTSDiscount($U$35,Y2463,,Trigger)</f>
        <v>0.92241333224572075</v>
      </c>
    </row>
    <row r="2464" spans="25:26" x14ac:dyDescent="0.25">
      <c r="Y2464" s="63">
        <v>44997</v>
      </c>
      <c r="Z2464" s="61">
        <f>_xll.qlYieldTSDiscount($U$35,Y2464,,Trigger)</f>
        <v>0.9223749761819523</v>
      </c>
    </row>
    <row r="2465" spans="25:26" x14ac:dyDescent="0.25">
      <c r="Y2465" s="63">
        <v>44998</v>
      </c>
      <c r="Z2465" s="61">
        <f>_xll.qlYieldTSDiscount($U$35,Y2465,,Trigger)</f>
        <v>0.92233661980716919</v>
      </c>
    </row>
    <row r="2466" spans="25:26" x14ac:dyDescent="0.25">
      <c r="Y2466" s="63">
        <v>44999</v>
      </c>
      <c r="Z2466" s="61">
        <f>_xll.qlYieldTSDiscount($U$35,Y2466,,Trigger)</f>
        <v>0.92229826312456276</v>
      </c>
    </row>
    <row r="2467" spans="25:26" x14ac:dyDescent="0.25">
      <c r="Y2467" s="63">
        <v>45000</v>
      </c>
      <c r="Z2467" s="61">
        <f>_xll.qlYieldTSDiscount($U$35,Y2467,,Trigger)</f>
        <v>0.92225990613732445</v>
      </c>
    </row>
    <row r="2468" spans="25:26" x14ac:dyDescent="0.25">
      <c r="Y2468" s="63">
        <v>45001</v>
      </c>
      <c r="Z2468" s="61">
        <f>_xll.qlYieldTSDiscount($U$35,Y2468,,Trigger)</f>
        <v>0.92222154884864582</v>
      </c>
    </row>
    <row r="2469" spans="25:26" x14ac:dyDescent="0.25">
      <c r="Y2469" s="63">
        <v>45002</v>
      </c>
      <c r="Z2469" s="61">
        <f>_xll.qlYieldTSDiscount($U$35,Y2469,,Trigger)</f>
        <v>0.92218319126171822</v>
      </c>
    </row>
    <row r="2470" spans="25:26" x14ac:dyDescent="0.25">
      <c r="Y2470" s="63">
        <v>45003</v>
      </c>
      <c r="Z2470" s="61">
        <f>_xll.qlYieldTSDiscount($U$35,Y2470,,Trigger)</f>
        <v>0.92214483337973296</v>
      </c>
    </row>
    <row r="2471" spans="25:26" x14ac:dyDescent="0.25">
      <c r="Y2471" s="63">
        <v>45004</v>
      </c>
      <c r="Z2471" s="61">
        <f>_xll.qlYieldTSDiscount($U$35,Y2471,,Trigger)</f>
        <v>0.92210647520588174</v>
      </c>
    </row>
    <row r="2472" spans="25:26" x14ac:dyDescent="0.25">
      <c r="Y2472" s="63">
        <v>45005</v>
      </c>
      <c r="Z2472" s="61">
        <f>_xll.qlYieldTSDiscount($U$35,Y2472,,Trigger)</f>
        <v>0.92206811674335576</v>
      </c>
    </row>
    <row r="2473" spans="25:26" x14ac:dyDescent="0.25">
      <c r="Y2473" s="63">
        <v>45006</v>
      </c>
      <c r="Z2473" s="61">
        <f>_xll.qlYieldTSDiscount($U$35,Y2473,,Trigger)</f>
        <v>0.92202975799534648</v>
      </c>
    </row>
    <row r="2474" spans="25:26" x14ac:dyDescent="0.25">
      <c r="Y2474" s="63">
        <v>45007</v>
      </c>
      <c r="Z2474" s="61">
        <f>_xll.qlYieldTSDiscount($U$35,Y2474,,Trigger)</f>
        <v>0.92199139896504523</v>
      </c>
    </row>
    <row r="2475" spans="25:26" x14ac:dyDescent="0.25">
      <c r="Y2475" s="63">
        <v>45008</v>
      </c>
      <c r="Z2475" s="61">
        <f>_xll.qlYieldTSDiscount($U$35,Y2475,,Trigger)</f>
        <v>0.92195303965564368</v>
      </c>
    </row>
    <row r="2476" spans="25:26" x14ac:dyDescent="0.25">
      <c r="Y2476" s="63">
        <v>45009</v>
      </c>
      <c r="Z2476" s="61">
        <f>_xll.qlYieldTSDiscount($U$35,Y2476,,Trigger)</f>
        <v>0.92191468007033317</v>
      </c>
    </row>
    <row r="2477" spans="25:26" x14ac:dyDescent="0.25">
      <c r="Y2477" s="63">
        <v>45010</v>
      </c>
      <c r="Z2477" s="61">
        <f>_xll.qlYieldTSDiscount($U$35,Y2477,,Trigger)</f>
        <v>0.92187632021230503</v>
      </c>
    </row>
    <row r="2478" spans="25:26" x14ac:dyDescent="0.25">
      <c r="Y2478" s="63">
        <v>45011</v>
      </c>
      <c r="Z2478" s="61">
        <f>_xll.qlYieldTSDiscount($U$35,Y2478,,Trigger)</f>
        <v>0.92183796008475072</v>
      </c>
    </row>
    <row r="2479" spans="25:26" x14ac:dyDescent="0.25">
      <c r="Y2479" s="63">
        <v>45012</v>
      </c>
      <c r="Z2479" s="61">
        <f>_xll.qlYieldTSDiscount($U$35,Y2479,,Trigger)</f>
        <v>0.92179959969086167</v>
      </c>
    </row>
    <row r="2480" spans="25:26" x14ac:dyDescent="0.25">
      <c r="Y2480" s="63">
        <v>45013</v>
      </c>
      <c r="Z2480" s="61">
        <f>_xll.qlYieldTSDiscount($U$35,Y2480,,Trigger)</f>
        <v>0.92176123903382934</v>
      </c>
    </row>
    <row r="2481" spans="25:26" x14ac:dyDescent="0.25">
      <c r="Y2481" s="63">
        <v>45014</v>
      </c>
      <c r="Z2481" s="61">
        <f>_xll.qlYieldTSDiscount($U$35,Y2481,,Trigger)</f>
        <v>0.92172287811684517</v>
      </c>
    </row>
    <row r="2482" spans="25:26" x14ac:dyDescent="0.25">
      <c r="Y2482" s="63">
        <v>45015</v>
      </c>
      <c r="Z2482" s="61">
        <f>_xll.qlYieldTSDiscount($U$35,Y2482,,Trigger)</f>
        <v>0.9216845169431005</v>
      </c>
    </row>
    <row r="2483" spans="25:26" x14ac:dyDescent="0.25">
      <c r="Y2483" s="63">
        <v>45016</v>
      </c>
      <c r="Z2483" s="61">
        <f>_xll.qlYieldTSDiscount($U$35,Y2483,,Trigger)</f>
        <v>0.92164615551578688</v>
      </c>
    </row>
    <row r="2484" spans="25:26" x14ac:dyDescent="0.25">
      <c r="Y2484" s="63">
        <v>45017</v>
      </c>
      <c r="Z2484" s="61">
        <f>_xll.qlYieldTSDiscount($U$35,Y2484,,Trigger)</f>
        <v>0.92160779383809555</v>
      </c>
    </row>
    <row r="2485" spans="25:26" x14ac:dyDescent="0.25">
      <c r="Y2485" s="63">
        <v>45018</v>
      </c>
      <c r="Z2485" s="61">
        <f>_xll.qlYieldTSDiscount($U$35,Y2485,,Trigger)</f>
        <v>0.92156943191321816</v>
      </c>
    </row>
    <row r="2486" spans="25:26" x14ac:dyDescent="0.25">
      <c r="Y2486" s="63">
        <v>45019</v>
      </c>
      <c r="Z2486" s="61">
        <f>_xll.qlYieldTSDiscount($U$35,Y2486,,Trigger)</f>
        <v>0.92153106974434595</v>
      </c>
    </row>
    <row r="2487" spans="25:26" x14ac:dyDescent="0.25">
      <c r="Y2487" s="63">
        <v>45020</v>
      </c>
      <c r="Z2487" s="61">
        <f>_xll.qlYieldTSDiscount($U$35,Y2487,,Trigger)</f>
        <v>0.92149270733467037</v>
      </c>
    </row>
    <row r="2488" spans="25:26" x14ac:dyDescent="0.25">
      <c r="Y2488" s="63">
        <v>45021</v>
      </c>
      <c r="Z2488" s="61">
        <f>_xll.qlYieldTSDiscount($U$35,Y2488,,Trigger)</f>
        <v>0.92145434468738296</v>
      </c>
    </row>
    <row r="2489" spans="25:26" x14ac:dyDescent="0.25">
      <c r="Y2489" s="63">
        <v>45022</v>
      </c>
      <c r="Z2489" s="61">
        <f>_xll.qlYieldTSDiscount($U$35,Y2489,,Trigger)</f>
        <v>0.92141598180567508</v>
      </c>
    </row>
    <row r="2490" spans="25:26" x14ac:dyDescent="0.25">
      <c r="Y2490" s="63">
        <v>45023</v>
      </c>
      <c r="Z2490" s="61">
        <f>_xll.qlYieldTSDiscount($U$35,Y2490,,Trigger)</f>
        <v>0.92137761869273815</v>
      </c>
    </row>
    <row r="2491" spans="25:26" x14ac:dyDescent="0.25">
      <c r="Y2491" s="63">
        <v>45024</v>
      </c>
      <c r="Z2491" s="61">
        <f>_xll.qlYieldTSDiscount($U$35,Y2491,,Trigger)</f>
        <v>0.92133925535176353</v>
      </c>
    </row>
    <row r="2492" spans="25:26" x14ac:dyDescent="0.25">
      <c r="Y2492" s="63">
        <v>45025</v>
      </c>
      <c r="Z2492" s="61">
        <f>_xll.qlYieldTSDiscount($U$35,Y2492,,Trigger)</f>
        <v>0.92130089178594277</v>
      </c>
    </row>
    <row r="2493" spans="25:26" x14ac:dyDescent="0.25">
      <c r="Y2493" s="63">
        <v>45026</v>
      </c>
      <c r="Z2493" s="61">
        <f>_xll.qlYieldTSDiscount($U$35,Y2493,,Trigger)</f>
        <v>0.9212625279984672</v>
      </c>
    </row>
    <row r="2494" spans="25:26" x14ac:dyDescent="0.25">
      <c r="Y2494" s="63">
        <v>45027</v>
      </c>
      <c r="Z2494" s="61">
        <f>_xll.qlYieldTSDiscount($U$35,Y2494,,Trigger)</f>
        <v>0.92122416399252827</v>
      </c>
    </row>
    <row r="2495" spans="25:26" x14ac:dyDescent="0.25">
      <c r="Y2495" s="63">
        <v>45028</v>
      </c>
      <c r="Z2495" s="61">
        <f>_xll.qlYieldTSDiscount($U$35,Y2495,,Trigger)</f>
        <v>0.92118579977131743</v>
      </c>
    </row>
    <row r="2496" spans="25:26" x14ac:dyDescent="0.25">
      <c r="Y2496" s="63">
        <v>45029</v>
      </c>
      <c r="Z2496" s="61">
        <f>_xll.qlYieldTSDiscount($U$35,Y2496,,Trigger)</f>
        <v>0.92114743533802612</v>
      </c>
    </row>
    <row r="2497" spans="25:26" x14ac:dyDescent="0.25">
      <c r="Y2497" s="63">
        <v>45030</v>
      </c>
      <c r="Z2497" s="61">
        <f>_xll.qlYieldTSDiscount($U$35,Y2497,,Trigger)</f>
        <v>0.92110907069584569</v>
      </c>
    </row>
    <row r="2498" spans="25:26" x14ac:dyDescent="0.25">
      <c r="Y2498" s="63">
        <v>45031</v>
      </c>
      <c r="Z2498" s="61">
        <f>_xll.qlYieldTSDiscount($U$35,Y2498,,Trigger)</f>
        <v>0.92107070584796769</v>
      </c>
    </row>
    <row r="2499" spans="25:26" x14ac:dyDescent="0.25">
      <c r="Y2499" s="63">
        <v>45032</v>
      </c>
      <c r="Z2499" s="61">
        <f>_xll.qlYieldTSDiscount($U$35,Y2499,,Trigger)</f>
        <v>0.92103234079758334</v>
      </c>
    </row>
    <row r="2500" spans="25:26" x14ac:dyDescent="0.25">
      <c r="Y2500" s="63">
        <v>45033</v>
      </c>
      <c r="Z2500" s="61">
        <f>_xll.qlYieldTSDiscount($U$35,Y2500,,Trigger)</f>
        <v>0.92099397554788431</v>
      </c>
    </row>
    <row r="2501" spans="25:26" x14ac:dyDescent="0.25">
      <c r="Y2501" s="63">
        <v>45034</v>
      </c>
      <c r="Z2501" s="61">
        <f>_xll.qlYieldTSDiscount($U$35,Y2501,,Trigger)</f>
        <v>0.92095561010206184</v>
      </c>
    </row>
    <row r="2502" spans="25:26" x14ac:dyDescent="0.25">
      <c r="Y2502" s="63">
        <v>45035</v>
      </c>
      <c r="Z2502" s="61">
        <f>_xll.qlYieldTSDiscount($U$35,Y2502,,Trigger)</f>
        <v>0.92091724446330747</v>
      </c>
    </row>
    <row r="2503" spans="25:26" x14ac:dyDescent="0.25">
      <c r="Y2503" s="63">
        <v>45036</v>
      </c>
      <c r="Z2503" s="61">
        <f>_xll.qlYieldTSDiscount($U$35,Y2503,,Trigger)</f>
        <v>0.92087887863481255</v>
      </c>
    </row>
    <row r="2504" spans="25:26" x14ac:dyDescent="0.25">
      <c r="Y2504" s="63">
        <v>45037</v>
      </c>
      <c r="Z2504" s="61">
        <f>_xll.qlYieldTSDiscount($U$35,Y2504,,Trigger)</f>
        <v>0.92084051261976851</v>
      </c>
    </row>
    <row r="2505" spans="25:26" x14ac:dyDescent="0.25">
      <c r="Y2505" s="63">
        <v>45038</v>
      </c>
      <c r="Z2505" s="61">
        <f>_xll.qlYieldTSDiscount($U$35,Y2505,,Trigger)</f>
        <v>0.92080214642136682</v>
      </c>
    </row>
    <row r="2506" spans="25:26" x14ac:dyDescent="0.25">
      <c r="Y2506" s="63">
        <v>45039</v>
      </c>
      <c r="Z2506" s="61">
        <f>_xll.qlYieldTSDiscount($U$35,Y2506,,Trigger)</f>
        <v>0.92076378004279891</v>
      </c>
    </row>
    <row r="2507" spans="25:26" x14ac:dyDescent="0.25">
      <c r="Y2507" s="63">
        <v>45040</v>
      </c>
      <c r="Z2507" s="61">
        <f>_xll.qlYieldTSDiscount($U$35,Y2507,,Trigger)</f>
        <v>0.92072541348725612</v>
      </c>
    </row>
    <row r="2508" spans="25:26" x14ac:dyDescent="0.25">
      <c r="Y2508" s="63">
        <v>45041</v>
      </c>
      <c r="Z2508" s="61">
        <f>_xll.qlYieldTSDiscount($U$35,Y2508,,Trigger)</f>
        <v>0.92068704675792989</v>
      </c>
    </row>
    <row r="2509" spans="25:26" x14ac:dyDescent="0.25">
      <c r="Y2509" s="63">
        <v>45042</v>
      </c>
      <c r="Z2509" s="61">
        <f>_xll.qlYieldTSDiscount($U$35,Y2509,,Trigger)</f>
        <v>0.9206486798580118</v>
      </c>
    </row>
    <row r="2510" spans="25:26" x14ac:dyDescent="0.25">
      <c r="Y2510" s="63">
        <v>45043</v>
      </c>
      <c r="Z2510" s="61">
        <f>_xll.qlYieldTSDiscount($U$35,Y2510,,Trigger)</f>
        <v>0.92061031279069305</v>
      </c>
    </row>
    <row r="2511" spans="25:26" x14ac:dyDescent="0.25">
      <c r="Y2511" s="63">
        <v>45044</v>
      </c>
      <c r="Z2511" s="61">
        <f>_xll.qlYieldTSDiscount($U$35,Y2511,,Trigger)</f>
        <v>0.92057194555916522</v>
      </c>
    </row>
    <row r="2512" spans="25:26" x14ac:dyDescent="0.25">
      <c r="Y2512" s="63">
        <v>45045</v>
      </c>
      <c r="Z2512" s="61">
        <f>_xll.qlYieldTSDiscount($U$35,Y2512,,Trigger)</f>
        <v>0.92053357816661974</v>
      </c>
    </row>
    <row r="2513" spans="25:26" x14ac:dyDescent="0.25">
      <c r="Y2513" s="63">
        <v>45046</v>
      </c>
      <c r="Z2513" s="61">
        <f>_xll.qlYieldTSDiscount($U$35,Y2513,,Trigger)</f>
        <v>0.92049521061624795</v>
      </c>
    </row>
    <row r="2514" spans="25:26" x14ac:dyDescent="0.25">
      <c r="Y2514" s="63">
        <v>45047</v>
      </c>
      <c r="Z2514" s="61">
        <f>_xll.qlYieldTSDiscount($U$35,Y2514,,Trigger)</f>
        <v>0.9204568429112413</v>
      </c>
    </row>
    <row r="2515" spans="25:26" x14ac:dyDescent="0.25">
      <c r="Y2515" s="63">
        <v>45048</v>
      </c>
      <c r="Z2515" s="61">
        <f>_xll.qlYieldTSDiscount($U$35,Y2515,,Trigger)</f>
        <v>0.92041847505479124</v>
      </c>
    </row>
    <row r="2516" spans="25:26" x14ac:dyDescent="0.25">
      <c r="Y2516" s="63">
        <v>45049</v>
      </c>
      <c r="Z2516" s="61">
        <f>_xll.qlYieldTSDiscount($U$35,Y2516,,Trigger)</f>
        <v>0.92038010705008921</v>
      </c>
    </row>
    <row r="2517" spans="25:26" x14ac:dyDescent="0.25">
      <c r="Y2517" s="63">
        <v>45050</v>
      </c>
      <c r="Z2517" s="61">
        <f>_xll.qlYieldTSDiscount($U$35,Y2517,,Trigger)</f>
        <v>0.92034173890032656</v>
      </c>
    </row>
    <row r="2518" spans="25:26" x14ac:dyDescent="0.25">
      <c r="Y2518" s="63">
        <v>45051</v>
      </c>
      <c r="Z2518" s="61">
        <f>_xll.qlYieldTSDiscount($U$35,Y2518,,Trigger)</f>
        <v>0.92030337060869483</v>
      </c>
    </row>
    <row r="2519" spans="25:26" x14ac:dyDescent="0.25">
      <c r="Y2519" s="63">
        <v>45052</v>
      </c>
      <c r="Z2519" s="61">
        <f>_xll.qlYieldTSDiscount($U$35,Y2519,,Trigger)</f>
        <v>0.92026500217838536</v>
      </c>
    </row>
    <row r="2520" spans="25:26" x14ac:dyDescent="0.25">
      <c r="Y2520" s="63">
        <v>45053</v>
      </c>
      <c r="Z2520" s="61">
        <f>_xll.qlYieldTSDiscount($U$35,Y2520,,Trigger)</f>
        <v>0.9202266336125895</v>
      </c>
    </row>
    <row r="2521" spans="25:26" x14ac:dyDescent="0.25">
      <c r="Y2521" s="63">
        <v>45054</v>
      </c>
      <c r="Z2521" s="61">
        <f>_xll.qlYieldTSDiscount($U$35,Y2521,,Trigger)</f>
        <v>0.92018826491449879</v>
      </c>
    </row>
    <row r="2522" spans="25:26" x14ac:dyDescent="0.25">
      <c r="Y2522" s="63">
        <v>45055</v>
      </c>
      <c r="Z2522" s="61">
        <f>_xll.qlYieldTSDiscount($U$35,Y2522,,Trigger)</f>
        <v>0.92014989608730469</v>
      </c>
    </row>
    <row r="2523" spans="25:26" x14ac:dyDescent="0.25">
      <c r="Y2523" s="63">
        <v>45056</v>
      </c>
      <c r="Z2523" s="61">
        <f>_xll.qlYieldTSDiscount($U$35,Y2523,,Trigger)</f>
        <v>0.92011152713419864</v>
      </c>
    </row>
    <row r="2524" spans="25:26" x14ac:dyDescent="0.25">
      <c r="Y2524" s="63">
        <v>45057</v>
      </c>
      <c r="Z2524" s="61">
        <f>_xll.qlYieldTSDiscount($U$35,Y2524,,Trigger)</f>
        <v>0.92007315805837186</v>
      </c>
    </row>
    <row r="2525" spans="25:26" x14ac:dyDescent="0.25">
      <c r="Y2525" s="63">
        <v>45058</v>
      </c>
      <c r="Z2525" s="61">
        <f>_xll.qlYieldTSDiscount($U$35,Y2525,,Trigger)</f>
        <v>0.92003478886301593</v>
      </c>
    </row>
    <row r="2526" spans="25:26" x14ac:dyDescent="0.25">
      <c r="Y2526" s="63">
        <v>45059</v>
      </c>
      <c r="Z2526" s="61">
        <f>_xll.qlYieldTSDiscount($U$35,Y2526,,Trigger)</f>
        <v>0.91999641955132228</v>
      </c>
    </row>
    <row r="2527" spans="25:26" x14ac:dyDescent="0.25">
      <c r="Y2527" s="63">
        <v>45060</v>
      </c>
      <c r="Z2527" s="61">
        <f>_xll.qlYieldTSDiscount($U$35,Y2527,,Trigger)</f>
        <v>0.91995805012648235</v>
      </c>
    </row>
    <row r="2528" spans="25:26" x14ac:dyDescent="0.25">
      <c r="Y2528" s="63">
        <v>45061</v>
      </c>
      <c r="Z2528" s="61">
        <f>_xll.qlYieldTSDiscount($U$35,Y2528,,Trigger)</f>
        <v>0.91991968059168749</v>
      </c>
    </row>
    <row r="2529" spans="25:26" x14ac:dyDescent="0.25">
      <c r="Y2529" s="63">
        <v>45062</v>
      </c>
      <c r="Z2529" s="61">
        <f>_xll.qlYieldTSDiscount($U$35,Y2529,,Trigger)</f>
        <v>0.91988131095012915</v>
      </c>
    </row>
    <row r="2530" spans="25:26" x14ac:dyDescent="0.25">
      <c r="Y2530" s="63">
        <v>45063</v>
      </c>
      <c r="Z2530" s="61">
        <f>_xll.qlYieldTSDiscount($U$35,Y2530,,Trigger)</f>
        <v>0.91984294120499877</v>
      </c>
    </row>
    <row r="2531" spans="25:26" x14ac:dyDescent="0.25">
      <c r="Y2531" s="63">
        <v>45064</v>
      </c>
      <c r="Z2531" s="61">
        <f>_xll.qlYieldTSDiscount($U$35,Y2531,,Trigger)</f>
        <v>0.91980457135948768</v>
      </c>
    </row>
    <row r="2532" spans="25:26" x14ac:dyDescent="0.25">
      <c r="Y2532" s="63">
        <v>45065</v>
      </c>
      <c r="Z2532" s="61">
        <f>_xll.qlYieldTSDiscount($U$35,Y2532,,Trigger)</f>
        <v>0.91976620141678755</v>
      </c>
    </row>
    <row r="2533" spans="25:26" x14ac:dyDescent="0.25">
      <c r="Y2533" s="63">
        <v>45066</v>
      </c>
      <c r="Z2533" s="61">
        <f>_xll.qlYieldTSDiscount($U$35,Y2533,,Trigger)</f>
        <v>0.91972783138008951</v>
      </c>
    </row>
    <row r="2534" spans="25:26" x14ac:dyDescent="0.25">
      <c r="Y2534" s="63">
        <v>45067</v>
      </c>
      <c r="Z2534" s="61">
        <f>_xll.qlYieldTSDiscount($U$35,Y2534,,Trigger)</f>
        <v>0.91968946125258522</v>
      </c>
    </row>
    <row r="2535" spans="25:26" x14ac:dyDescent="0.25">
      <c r="Y2535" s="63">
        <v>45068</v>
      </c>
      <c r="Z2535" s="61">
        <f>_xll.qlYieldTSDiscount($U$35,Y2535,,Trigger)</f>
        <v>0.91965109103746601</v>
      </c>
    </row>
    <row r="2536" spans="25:26" x14ac:dyDescent="0.25">
      <c r="Y2536" s="63">
        <v>45069</v>
      </c>
      <c r="Z2536" s="61">
        <f>_xll.qlYieldTSDiscount($U$35,Y2536,,Trigger)</f>
        <v>0.91961272073792322</v>
      </c>
    </row>
    <row r="2537" spans="25:26" x14ac:dyDescent="0.25">
      <c r="Y2537" s="63">
        <v>45070</v>
      </c>
      <c r="Z2537" s="61">
        <f>_xll.qlYieldTSDiscount($U$35,Y2537,,Trigger)</f>
        <v>0.91957435035714841</v>
      </c>
    </row>
    <row r="2538" spans="25:26" x14ac:dyDescent="0.25">
      <c r="Y2538" s="63">
        <v>45071</v>
      </c>
      <c r="Z2538" s="61">
        <f>_xll.qlYieldTSDiscount($U$35,Y2538,,Trigger)</f>
        <v>0.91953597989833291</v>
      </c>
    </row>
    <row r="2539" spans="25:26" x14ac:dyDescent="0.25">
      <c r="Y2539" s="63">
        <v>45072</v>
      </c>
      <c r="Z2539" s="61">
        <f>_xll.qlYieldTSDiscount($U$35,Y2539,,Trigger)</f>
        <v>0.91949760936466829</v>
      </c>
    </row>
    <row r="2540" spans="25:26" x14ac:dyDescent="0.25">
      <c r="Y2540" s="63">
        <v>45073</v>
      </c>
      <c r="Z2540" s="61">
        <f>_xll.qlYieldTSDiscount($U$35,Y2540,,Trigger)</f>
        <v>0.91945923875934576</v>
      </c>
    </row>
    <row r="2541" spans="25:26" x14ac:dyDescent="0.25">
      <c r="Y2541" s="63">
        <v>45074</v>
      </c>
      <c r="Z2541" s="61">
        <f>_xll.qlYieldTSDiscount($U$35,Y2541,,Trigger)</f>
        <v>0.9194208680855569</v>
      </c>
    </row>
    <row r="2542" spans="25:26" x14ac:dyDescent="0.25">
      <c r="Y2542" s="63">
        <v>45075</v>
      </c>
      <c r="Z2542" s="61">
        <f>_xll.qlYieldTSDiscount($U$35,Y2542,,Trigger)</f>
        <v>0.91938249734649313</v>
      </c>
    </row>
    <row r="2543" spans="25:26" x14ac:dyDescent="0.25">
      <c r="Y2543" s="63">
        <v>45076</v>
      </c>
      <c r="Z2543" s="61">
        <f>_xll.qlYieldTSDiscount($U$35,Y2543,,Trigger)</f>
        <v>0.91934412654534581</v>
      </c>
    </row>
    <row r="2544" spans="25:26" x14ac:dyDescent="0.25">
      <c r="Y2544" s="63">
        <v>45077</v>
      </c>
      <c r="Z2544" s="61">
        <f>_xll.qlYieldTSDiscount($U$35,Y2544,,Trigger)</f>
        <v>0.91930575568530648</v>
      </c>
    </row>
    <row r="2545" spans="25:26" x14ac:dyDescent="0.25">
      <c r="Y2545" s="63">
        <v>45078</v>
      </c>
      <c r="Z2545" s="61">
        <f>_xll.qlYieldTSDiscount($U$35,Y2545,,Trigger)</f>
        <v>0.91926738476956638</v>
      </c>
    </row>
    <row r="2546" spans="25:26" x14ac:dyDescent="0.25">
      <c r="Y2546" s="63">
        <v>45079</v>
      </c>
      <c r="Z2546" s="61">
        <f>_xll.qlYieldTSDiscount($U$35,Y2546,,Trigger)</f>
        <v>0.91922901380131705</v>
      </c>
    </row>
    <row r="2547" spans="25:26" x14ac:dyDescent="0.25">
      <c r="Y2547" s="63">
        <v>45080</v>
      </c>
      <c r="Z2547" s="61">
        <f>_xll.qlYieldTSDiscount($U$35,Y2547,,Trigger)</f>
        <v>0.91919064278374996</v>
      </c>
    </row>
    <row r="2548" spans="25:26" x14ac:dyDescent="0.25">
      <c r="Y2548" s="63">
        <v>45081</v>
      </c>
      <c r="Z2548" s="61">
        <f>_xll.qlYieldTSDiscount($U$35,Y2548,,Trigger)</f>
        <v>0.91915227172005642</v>
      </c>
    </row>
    <row r="2549" spans="25:26" x14ac:dyDescent="0.25">
      <c r="Y2549" s="63">
        <v>45082</v>
      </c>
      <c r="Z2549" s="61">
        <f>_xll.qlYieldTSDiscount($U$35,Y2549,,Trigger)</f>
        <v>0.9191139006134279</v>
      </c>
    </row>
    <row r="2550" spans="25:26" x14ac:dyDescent="0.25">
      <c r="Y2550" s="63">
        <v>45083</v>
      </c>
      <c r="Z2550" s="61">
        <f>_xll.qlYieldTSDiscount($U$35,Y2550,,Trigger)</f>
        <v>0.91907552946705584</v>
      </c>
    </row>
    <row r="2551" spans="25:26" x14ac:dyDescent="0.25">
      <c r="Y2551" s="63">
        <v>45084</v>
      </c>
      <c r="Z2551" s="61">
        <f>_xll.qlYieldTSDiscount($U$35,Y2551,,Trigger)</f>
        <v>0.91903715828413168</v>
      </c>
    </row>
    <row r="2552" spans="25:26" x14ac:dyDescent="0.25">
      <c r="Y2552" s="63">
        <v>45085</v>
      </c>
      <c r="Z2552" s="61">
        <f>_xll.qlYieldTSDiscount($U$35,Y2552,,Trigger)</f>
        <v>0.91899878706784677</v>
      </c>
    </row>
    <row r="2553" spans="25:26" x14ac:dyDescent="0.25">
      <c r="Y2553" s="63">
        <v>45086</v>
      </c>
      <c r="Z2553" s="61">
        <f>_xll.qlYieldTSDiscount($U$35,Y2553,,Trigger)</f>
        <v>0.91896041582139265</v>
      </c>
    </row>
    <row r="2554" spans="25:26" x14ac:dyDescent="0.25">
      <c r="Y2554" s="63">
        <v>45087</v>
      </c>
      <c r="Z2554" s="61">
        <f>_xll.qlYieldTSDiscount($U$35,Y2554,,Trigger)</f>
        <v>0.91892204454796067</v>
      </c>
    </row>
    <row r="2555" spans="25:26" x14ac:dyDescent="0.25">
      <c r="Y2555" s="63">
        <v>45088</v>
      </c>
      <c r="Z2555" s="61">
        <f>_xll.qlYieldTSDiscount($U$35,Y2555,,Trigger)</f>
        <v>0.91888367325074227</v>
      </c>
    </row>
    <row r="2556" spans="25:26" x14ac:dyDescent="0.25">
      <c r="Y2556" s="63">
        <v>45089</v>
      </c>
      <c r="Z2556" s="61">
        <f>_xll.qlYieldTSDiscount($U$35,Y2556,,Trigger)</f>
        <v>0.9188453019329289</v>
      </c>
    </row>
    <row r="2557" spans="25:26" x14ac:dyDescent="0.25">
      <c r="Y2557" s="63">
        <v>45090</v>
      </c>
      <c r="Z2557" s="61">
        <f>_xll.qlYieldTSDiscount($U$35,Y2557,,Trigger)</f>
        <v>0.91880693059771201</v>
      </c>
    </row>
    <row r="2558" spans="25:26" x14ac:dyDescent="0.25">
      <c r="Y2558" s="63">
        <v>45091</v>
      </c>
      <c r="Z2558" s="61">
        <f>_xll.qlYieldTSDiscount($U$35,Y2558,,Trigger)</f>
        <v>0.91876855924828282</v>
      </c>
    </row>
    <row r="2559" spans="25:26" x14ac:dyDescent="0.25">
      <c r="Y2559" s="63">
        <v>45092</v>
      </c>
      <c r="Z2559" s="61">
        <f>_xll.qlYieldTSDiscount($U$35,Y2559,,Trigger)</f>
        <v>0.91873018788783312</v>
      </c>
    </row>
    <row r="2560" spans="25:26" x14ac:dyDescent="0.25">
      <c r="Y2560" s="63">
        <v>45093</v>
      </c>
      <c r="Z2560" s="61">
        <f>_xll.qlYieldTSDiscount($U$35,Y2560,,Trigger)</f>
        <v>0.91869181651955389</v>
      </c>
    </row>
    <row r="2561" spans="25:26" x14ac:dyDescent="0.25">
      <c r="Y2561" s="63">
        <v>45094</v>
      </c>
      <c r="Z2561" s="61">
        <f>_xll.qlYieldTSDiscount($U$35,Y2561,,Trigger)</f>
        <v>0.91865344514663694</v>
      </c>
    </row>
    <row r="2562" spans="25:26" x14ac:dyDescent="0.25">
      <c r="Y2562" s="63">
        <v>45095</v>
      </c>
      <c r="Z2562" s="61">
        <f>_xll.qlYieldTSDiscount($U$35,Y2562,,Trigger)</f>
        <v>0.91861507377227358</v>
      </c>
    </row>
    <row r="2563" spans="25:26" x14ac:dyDescent="0.25">
      <c r="Y2563" s="63">
        <v>45096</v>
      </c>
      <c r="Z2563" s="61">
        <f>_xll.qlYieldTSDiscount($U$35,Y2563,,Trigger)</f>
        <v>0.91857670239965517</v>
      </c>
    </row>
    <row r="2564" spans="25:26" x14ac:dyDescent="0.25">
      <c r="Y2564" s="63">
        <v>45097</v>
      </c>
      <c r="Z2564" s="61">
        <f>_xll.qlYieldTSDiscount($U$35,Y2564,,Trigger)</f>
        <v>0.91853833103197302</v>
      </c>
    </row>
    <row r="2565" spans="25:26" x14ac:dyDescent="0.25">
      <c r="Y2565" s="63">
        <v>45098</v>
      </c>
      <c r="Z2565" s="61">
        <f>_xll.qlYieldTSDiscount($U$35,Y2565,,Trigger)</f>
        <v>0.91849995967241893</v>
      </c>
    </row>
    <row r="2566" spans="25:26" x14ac:dyDescent="0.25">
      <c r="Y2566" s="63">
        <v>45099</v>
      </c>
      <c r="Z2566" s="61">
        <f>_xll.qlYieldTSDiscount($U$35,Y2566,,Trigger)</f>
        <v>0.9184615883241839</v>
      </c>
    </row>
    <row r="2567" spans="25:26" x14ac:dyDescent="0.25">
      <c r="Y2567" s="63">
        <v>45100</v>
      </c>
      <c r="Z2567" s="61">
        <f>_xll.qlYieldTSDiscount($U$35,Y2567,,Trigger)</f>
        <v>0.9184232169904597</v>
      </c>
    </row>
    <row r="2568" spans="25:26" x14ac:dyDescent="0.25">
      <c r="Y2568" s="63">
        <v>45101</v>
      </c>
      <c r="Z2568" s="61">
        <f>_xll.qlYieldTSDiscount($U$35,Y2568,,Trigger)</f>
        <v>0.91838484567443757</v>
      </c>
    </row>
    <row r="2569" spans="25:26" x14ac:dyDescent="0.25">
      <c r="Y2569" s="63">
        <v>45102</v>
      </c>
      <c r="Z2569" s="61">
        <f>_xll.qlYieldTSDiscount($U$35,Y2569,,Trigger)</f>
        <v>0.91834647437930894</v>
      </c>
    </row>
    <row r="2570" spans="25:26" x14ac:dyDescent="0.25">
      <c r="Y2570" s="63">
        <v>45103</v>
      </c>
      <c r="Z2570" s="61">
        <f>_xll.qlYieldTSDiscount($U$35,Y2570,,Trigger)</f>
        <v>0.91830810310826527</v>
      </c>
    </row>
    <row r="2571" spans="25:26" x14ac:dyDescent="0.25">
      <c r="Y2571" s="63">
        <v>45104</v>
      </c>
      <c r="Z2571" s="61">
        <f>_xll.qlYieldTSDiscount($U$35,Y2571,,Trigger)</f>
        <v>0.91826973186449801</v>
      </c>
    </row>
    <row r="2572" spans="25:26" x14ac:dyDescent="0.25">
      <c r="Y2572" s="63">
        <v>45105</v>
      </c>
      <c r="Z2572" s="61">
        <f>_xll.qlYieldTSDiscount($U$35,Y2572,,Trigger)</f>
        <v>0.91823136065119848</v>
      </c>
    </row>
    <row r="2573" spans="25:26" x14ac:dyDescent="0.25">
      <c r="Y2573" s="63">
        <v>45106</v>
      </c>
      <c r="Z2573" s="61">
        <f>_xll.qlYieldTSDiscount($U$35,Y2573,,Trigger)</f>
        <v>0.91819298947155825</v>
      </c>
    </row>
    <row r="2574" spans="25:26" x14ac:dyDescent="0.25">
      <c r="Y2574" s="63">
        <v>45107</v>
      </c>
      <c r="Z2574" s="61">
        <f>_xll.qlYieldTSDiscount($U$35,Y2574,,Trigger)</f>
        <v>0.91815461832876866</v>
      </c>
    </row>
    <row r="2575" spans="25:26" x14ac:dyDescent="0.25">
      <c r="Y2575" s="63">
        <v>45108</v>
      </c>
      <c r="Z2575" s="61">
        <f>_xll.qlYieldTSDiscount($U$35,Y2575,,Trigger)</f>
        <v>0.91811624722602114</v>
      </c>
    </row>
    <row r="2576" spans="25:26" x14ac:dyDescent="0.25">
      <c r="Y2576" s="63">
        <v>45109</v>
      </c>
      <c r="Z2576" s="61">
        <f>_xll.qlYieldTSDiscount($U$35,Y2576,,Trigger)</f>
        <v>0.91807787616650716</v>
      </c>
    </row>
    <row r="2577" spans="25:26" x14ac:dyDescent="0.25">
      <c r="Y2577" s="63">
        <v>45110</v>
      </c>
      <c r="Z2577" s="61">
        <f>_xll.qlYieldTSDiscount($U$35,Y2577,,Trigger)</f>
        <v>0.91803950515341814</v>
      </c>
    </row>
    <row r="2578" spans="25:26" x14ac:dyDescent="0.25">
      <c r="Y2578" s="63">
        <v>45111</v>
      </c>
      <c r="Z2578" s="61">
        <f>_xll.qlYieldTSDiscount($U$35,Y2578,,Trigger)</f>
        <v>0.91800113418994544</v>
      </c>
    </row>
    <row r="2579" spans="25:26" x14ac:dyDescent="0.25">
      <c r="Y2579" s="63">
        <v>45112</v>
      </c>
      <c r="Z2579" s="61">
        <f>_xll.qlYieldTSDiscount($U$35,Y2579,,Trigger)</f>
        <v>0.9179627632792805</v>
      </c>
    </row>
    <row r="2580" spans="25:26" x14ac:dyDescent="0.25">
      <c r="Y2580" s="63">
        <v>45113</v>
      </c>
      <c r="Z2580" s="61">
        <f>_xll.qlYieldTSDiscount($U$35,Y2580,,Trigger)</f>
        <v>0.91792439242461477</v>
      </c>
    </row>
    <row r="2581" spans="25:26" x14ac:dyDescent="0.25">
      <c r="Y2581" s="63">
        <v>45114</v>
      </c>
      <c r="Z2581" s="61">
        <f>_xll.qlYieldTSDiscount($U$35,Y2581,,Trigger)</f>
        <v>0.91788602162913968</v>
      </c>
    </row>
    <row r="2582" spans="25:26" x14ac:dyDescent="0.25">
      <c r="Y2582" s="63">
        <v>45115</v>
      </c>
      <c r="Z2582" s="61">
        <f>_xll.qlYieldTSDiscount($U$35,Y2582,,Trigger)</f>
        <v>0.9178476508960467</v>
      </c>
    </row>
    <row r="2583" spans="25:26" x14ac:dyDescent="0.25">
      <c r="Y2583" s="63">
        <v>45116</v>
      </c>
      <c r="Z2583" s="61">
        <f>_xll.qlYieldTSDiscount($U$35,Y2583,,Trigger)</f>
        <v>0.91780928022852715</v>
      </c>
    </row>
    <row r="2584" spans="25:26" x14ac:dyDescent="0.25">
      <c r="Y2584" s="63">
        <v>45117</v>
      </c>
      <c r="Z2584" s="61">
        <f>_xll.qlYieldTSDiscount($U$35,Y2584,,Trigger)</f>
        <v>0.91777090962977259</v>
      </c>
    </row>
    <row r="2585" spans="25:26" x14ac:dyDescent="0.25">
      <c r="Y2585" s="63">
        <v>45118</v>
      </c>
      <c r="Z2585" s="61">
        <f>_xll.qlYieldTSDiscount($U$35,Y2585,,Trigger)</f>
        <v>0.91773253910297425</v>
      </c>
    </row>
    <row r="2586" spans="25:26" x14ac:dyDescent="0.25">
      <c r="Y2586" s="63">
        <v>45119</v>
      </c>
      <c r="Z2586" s="61">
        <f>_xll.qlYieldTSDiscount($U$35,Y2586,,Trigger)</f>
        <v>0.91769416865132369</v>
      </c>
    </row>
    <row r="2587" spans="25:26" x14ac:dyDescent="0.25">
      <c r="Y2587" s="63">
        <v>45120</v>
      </c>
      <c r="Z2587" s="61">
        <f>_xll.qlYieldTSDiscount($U$35,Y2587,,Trigger)</f>
        <v>0.91765579827801236</v>
      </c>
    </row>
    <row r="2588" spans="25:26" x14ac:dyDescent="0.25">
      <c r="Y2588" s="63">
        <v>45121</v>
      </c>
      <c r="Z2588" s="61">
        <f>_xll.qlYieldTSDiscount($U$35,Y2588,,Trigger)</f>
        <v>0.91761742798623169</v>
      </c>
    </row>
    <row r="2589" spans="25:26" x14ac:dyDescent="0.25">
      <c r="Y2589" s="63">
        <v>45122</v>
      </c>
      <c r="Z2589" s="61">
        <f>_xll.qlYieldTSDiscount($U$35,Y2589,,Trigger)</f>
        <v>0.91757905777917292</v>
      </c>
    </row>
    <row r="2590" spans="25:26" x14ac:dyDescent="0.25">
      <c r="Y2590" s="63">
        <v>45123</v>
      </c>
      <c r="Z2590" s="61">
        <f>_xll.qlYieldTSDiscount($U$35,Y2590,,Trigger)</f>
        <v>0.91754068766002772</v>
      </c>
    </row>
    <row r="2591" spans="25:26" x14ac:dyDescent="0.25">
      <c r="Y2591" s="63">
        <v>45124</v>
      </c>
      <c r="Z2591" s="61">
        <f>_xll.qlYieldTSDiscount($U$35,Y2591,,Trigger)</f>
        <v>0.91750231763198731</v>
      </c>
    </row>
    <row r="2592" spans="25:26" x14ac:dyDescent="0.25">
      <c r="Y2592" s="63">
        <v>45125</v>
      </c>
      <c r="Z2592" s="61">
        <f>_xll.qlYieldTSDiscount($U$35,Y2592,,Trigger)</f>
        <v>0.91746394769824335</v>
      </c>
    </row>
    <row r="2593" spans="25:26" x14ac:dyDescent="0.25">
      <c r="Y2593" s="63">
        <v>45126</v>
      </c>
      <c r="Z2593" s="61">
        <f>_xll.qlYieldTSDiscount($U$35,Y2593,,Trigger)</f>
        <v>0.91742557786198697</v>
      </c>
    </row>
    <row r="2594" spans="25:26" x14ac:dyDescent="0.25">
      <c r="Y2594" s="63">
        <v>45127</v>
      </c>
      <c r="Z2594" s="61">
        <f>_xll.qlYieldTSDiscount($U$35,Y2594,,Trigger)</f>
        <v>0.91738720812640984</v>
      </c>
    </row>
    <row r="2595" spans="25:26" x14ac:dyDescent="0.25">
      <c r="Y2595" s="63">
        <v>45128</v>
      </c>
      <c r="Z2595" s="61">
        <f>_xll.qlYieldTSDiscount($U$35,Y2595,,Trigger)</f>
        <v>0.91734883849470328</v>
      </c>
    </row>
    <row r="2596" spans="25:26" x14ac:dyDescent="0.25">
      <c r="Y2596" s="63">
        <v>45129</v>
      </c>
      <c r="Z2596" s="61">
        <f>_xll.qlYieldTSDiscount($U$35,Y2596,,Trigger)</f>
        <v>0.91731046897005875</v>
      </c>
    </row>
    <row r="2597" spans="25:26" x14ac:dyDescent="0.25">
      <c r="Y2597" s="63">
        <v>45130</v>
      </c>
      <c r="Z2597" s="61">
        <f>_xll.qlYieldTSDiscount($U$35,Y2597,,Trigger)</f>
        <v>0.91727209955566757</v>
      </c>
    </row>
    <row r="2598" spans="25:26" x14ac:dyDescent="0.25">
      <c r="Y2598" s="63">
        <v>45131</v>
      </c>
      <c r="Z2598" s="61">
        <f>_xll.qlYieldTSDiscount($U$35,Y2598,,Trigger)</f>
        <v>0.91723373025472132</v>
      </c>
    </row>
    <row r="2599" spans="25:26" x14ac:dyDescent="0.25">
      <c r="Y2599" s="63">
        <v>45132</v>
      </c>
      <c r="Z2599" s="61">
        <f>_xll.qlYieldTSDiscount($U$35,Y2599,,Trigger)</f>
        <v>0.91719536107041133</v>
      </c>
    </row>
    <row r="2600" spans="25:26" x14ac:dyDescent="0.25">
      <c r="Y2600" s="63">
        <v>45133</v>
      </c>
      <c r="Z2600" s="61">
        <f>_xll.qlYieldTSDiscount($U$35,Y2600,,Trigger)</f>
        <v>0.91715699200592915</v>
      </c>
    </row>
    <row r="2601" spans="25:26" x14ac:dyDescent="0.25">
      <c r="Y2601" s="63">
        <v>45134</v>
      </c>
      <c r="Z2601" s="61">
        <f>_xll.qlYieldTSDiscount($U$35,Y2601,,Trigger)</f>
        <v>0.91711862306446601</v>
      </c>
    </row>
    <row r="2602" spans="25:26" x14ac:dyDescent="0.25">
      <c r="Y2602" s="63">
        <v>45135</v>
      </c>
      <c r="Z2602" s="61">
        <f>_xll.qlYieldTSDiscount($U$35,Y2602,,Trigger)</f>
        <v>0.91708025424921336</v>
      </c>
    </row>
    <row r="2603" spans="25:26" x14ac:dyDescent="0.25">
      <c r="Y2603" s="63">
        <v>45136</v>
      </c>
      <c r="Z2603" s="61">
        <f>_xll.qlYieldTSDiscount($U$35,Y2603,,Trigger)</f>
        <v>0.91704188556336286</v>
      </c>
    </row>
    <row r="2604" spans="25:26" x14ac:dyDescent="0.25">
      <c r="Y2604" s="63">
        <v>45137</v>
      </c>
      <c r="Z2604" s="61">
        <f>_xll.qlYieldTSDiscount($U$35,Y2604,,Trigger)</f>
        <v>0.91700351701010563</v>
      </c>
    </row>
    <row r="2605" spans="25:26" x14ac:dyDescent="0.25">
      <c r="Y2605" s="63">
        <v>45138</v>
      </c>
      <c r="Z2605" s="61">
        <f>_xll.qlYieldTSDiscount($U$35,Y2605,,Trigger)</f>
        <v>0.91696514859263334</v>
      </c>
    </row>
    <row r="2606" spans="25:26" x14ac:dyDescent="0.25">
      <c r="Y2606" s="63">
        <v>45139</v>
      </c>
      <c r="Z2606" s="61">
        <f>_xll.qlYieldTSDiscount($U$35,Y2606,,Trigger)</f>
        <v>0.91692678031413721</v>
      </c>
    </row>
    <row r="2607" spans="25:26" x14ac:dyDescent="0.25">
      <c r="Y2607" s="63">
        <v>45140</v>
      </c>
      <c r="Z2607" s="61">
        <f>_xll.qlYieldTSDiscount($U$35,Y2607,,Trigger)</f>
        <v>0.91688841217780881</v>
      </c>
    </row>
    <row r="2608" spans="25:26" x14ac:dyDescent="0.25">
      <c r="Y2608" s="63">
        <v>45141</v>
      </c>
      <c r="Z2608" s="61">
        <f>_xll.qlYieldTSDiscount($U$35,Y2608,,Trigger)</f>
        <v>0.91685004418683957</v>
      </c>
    </row>
    <row r="2609" spans="25:26" x14ac:dyDescent="0.25">
      <c r="Y2609" s="63">
        <v>45142</v>
      </c>
      <c r="Z2609" s="61">
        <f>_xll.qlYieldTSDiscount($U$35,Y2609,,Trigger)</f>
        <v>0.91681167634442085</v>
      </c>
    </row>
    <row r="2610" spans="25:26" x14ac:dyDescent="0.25">
      <c r="Y2610" s="63">
        <v>45143</v>
      </c>
      <c r="Z2610" s="61">
        <f>_xll.qlYieldTSDiscount($U$35,Y2610,,Trigger)</f>
        <v>0.91677330865374407</v>
      </c>
    </row>
    <row r="2611" spans="25:26" x14ac:dyDescent="0.25">
      <c r="Y2611" s="63">
        <v>45144</v>
      </c>
      <c r="Z2611" s="61">
        <f>_xll.qlYieldTSDiscount($U$35,Y2611,,Trigger)</f>
        <v>0.91673494111800069</v>
      </c>
    </row>
    <row r="2612" spans="25:26" x14ac:dyDescent="0.25">
      <c r="Y2612" s="63">
        <v>45145</v>
      </c>
      <c r="Z2612" s="61">
        <f>_xll.qlYieldTSDiscount($U$35,Y2612,,Trigger)</f>
        <v>0.91669657374038205</v>
      </c>
    </row>
    <row r="2613" spans="25:26" x14ac:dyDescent="0.25">
      <c r="Y2613" s="63">
        <v>45146</v>
      </c>
      <c r="Z2613" s="61">
        <f>_xll.qlYieldTSDiscount($U$35,Y2613,,Trigger)</f>
        <v>0.9166582065240797</v>
      </c>
    </row>
    <row r="2614" spans="25:26" x14ac:dyDescent="0.25">
      <c r="Y2614" s="63">
        <v>45147</v>
      </c>
      <c r="Z2614" s="61">
        <f>_xll.qlYieldTSDiscount($U$35,Y2614,,Trigger)</f>
        <v>0.91661983947228509</v>
      </c>
    </row>
    <row r="2615" spans="25:26" x14ac:dyDescent="0.25">
      <c r="Y2615" s="63">
        <v>45148</v>
      </c>
      <c r="Z2615" s="61">
        <f>_xll.qlYieldTSDiscount($U$35,Y2615,,Trigger)</f>
        <v>0.91658147258818945</v>
      </c>
    </row>
    <row r="2616" spans="25:26" x14ac:dyDescent="0.25">
      <c r="Y2616" s="63">
        <v>45149</v>
      </c>
      <c r="Z2616" s="61">
        <f>_xll.qlYieldTSDiscount($U$35,Y2616,,Trigger)</f>
        <v>0.91654310587498444</v>
      </c>
    </row>
    <row r="2617" spans="25:26" x14ac:dyDescent="0.25">
      <c r="Y2617" s="63">
        <v>45150</v>
      </c>
      <c r="Z2617" s="61">
        <f>_xll.qlYieldTSDiscount($U$35,Y2617,,Trigger)</f>
        <v>0.91650473933586118</v>
      </c>
    </row>
    <row r="2618" spans="25:26" x14ac:dyDescent="0.25">
      <c r="Y2618" s="63">
        <v>45151</v>
      </c>
      <c r="Z2618" s="61">
        <f>_xll.qlYieldTSDiscount($U$35,Y2618,,Trigger)</f>
        <v>0.91646637297401146</v>
      </c>
    </row>
    <row r="2619" spans="25:26" x14ac:dyDescent="0.25">
      <c r="Y2619" s="63">
        <v>45152</v>
      </c>
      <c r="Z2619" s="61">
        <f>_xll.qlYieldTSDiscount($U$35,Y2619,,Trigger)</f>
        <v>0.91642800679262648</v>
      </c>
    </row>
    <row r="2620" spans="25:26" x14ac:dyDescent="0.25">
      <c r="Y2620" s="63">
        <v>45153</v>
      </c>
      <c r="Z2620" s="61">
        <f>_xll.qlYieldTSDiscount($U$35,Y2620,,Trigger)</f>
        <v>0.91638964079489771</v>
      </c>
    </row>
    <row r="2621" spans="25:26" x14ac:dyDescent="0.25">
      <c r="Y2621" s="63">
        <v>45154</v>
      </c>
      <c r="Z2621" s="61">
        <f>_xll.qlYieldTSDiscount($U$35,Y2621,,Trigger)</f>
        <v>0.91635127498401658</v>
      </c>
    </row>
    <row r="2622" spans="25:26" x14ac:dyDescent="0.25">
      <c r="Y2622" s="63">
        <v>45155</v>
      </c>
      <c r="Z2622" s="61">
        <f>_xll.qlYieldTSDiscount($U$35,Y2622,,Trigger)</f>
        <v>0.91631290936317444</v>
      </c>
    </row>
    <row r="2623" spans="25:26" x14ac:dyDescent="0.25">
      <c r="Y2623" s="63">
        <v>45156</v>
      </c>
      <c r="Z2623" s="61">
        <f>_xll.qlYieldTSDiscount($U$35,Y2623,,Trigger)</f>
        <v>0.91627454393556285</v>
      </c>
    </row>
    <row r="2624" spans="25:26" x14ac:dyDescent="0.25">
      <c r="Y2624" s="63">
        <v>45157</v>
      </c>
      <c r="Z2624" s="61">
        <f>_xll.qlYieldTSDiscount($U$35,Y2624,,Trigger)</f>
        <v>0.91623617870437324</v>
      </c>
    </row>
    <row r="2625" spans="25:26" x14ac:dyDescent="0.25">
      <c r="Y2625" s="63">
        <v>45158</v>
      </c>
      <c r="Z2625" s="61">
        <f>_xll.qlYieldTSDiscount($U$35,Y2625,,Trigger)</f>
        <v>0.91619781367279685</v>
      </c>
    </row>
    <row r="2626" spans="25:26" x14ac:dyDescent="0.25">
      <c r="Y2626" s="63">
        <v>45159</v>
      </c>
      <c r="Z2626" s="61">
        <f>_xll.qlYieldTSDiscount($U$35,Y2626,,Trigger)</f>
        <v>0.91615944884402523</v>
      </c>
    </row>
    <row r="2627" spans="25:26" x14ac:dyDescent="0.25">
      <c r="Y2627" s="63">
        <v>45160</v>
      </c>
      <c r="Z2627" s="61">
        <f>_xll.qlYieldTSDiscount($U$35,Y2627,,Trigger)</f>
        <v>0.91612108422124983</v>
      </c>
    </row>
    <row r="2628" spans="25:26" x14ac:dyDescent="0.25">
      <c r="Y2628" s="63">
        <v>45161</v>
      </c>
      <c r="Z2628" s="61">
        <f>_xll.qlYieldTSDiscount($U$35,Y2628,,Trigger)</f>
        <v>0.91608271980766209</v>
      </c>
    </row>
    <row r="2629" spans="25:26" x14ac:dyDescent="0.25">
      <c r="Y2629" s="63">
        <v>45162</v>
      </c>
      <c r="Z2629" s="61">
        <f>_xll.qlYieldTSDiscount($U$35,Y2629,,Trigger)</f>
        <v>0.91604435560645336</v>
      </c>
    </row>
    <row r="2630" spans="25:26" x14ac:dyDescent="0.25">
      <c r="Y2630" s="63">
        <v>45163</v>
      </c>
      <c r="Z2630" s="61">
        <f>_xll.qlYieldTSDiscount($U$35,Y2630,,Trigger)</f>
        <v>0.91600599162081509</v>
      </c>
    </row>
    <row r="2631" spans="25:26" x14ac:dyDescent="0.25">
      <c r="Y2631" s="63">
        <v>45164</v>
      </c>
      <c r="Z2631" s="61">
        <f>_xll.qlYieldTSDiscount($U$35,Y2631,,Trigger)</f>
        <v>0.9159676278539387</v>
      </c>
    </row>
    <row r="2632" spans="25:26" x14ac:dyDescent="0.25">
      <c r="Y2632" s="63">
        <v>45165</v>
      </c>
      <c r="Z2632" s="61">
        <f>_xll.qlYieldTSDiscount($U$35,Y2632,,Trigger)</f>
        <v>0.91592926430901567</v>
      </c>
    </row>
    <row r="2633" spans="25:26" x14ac:dyDescent="0.25">
      <c r="Y2633" s="63">
        <v>45166</v>
      </c>
      <c r="Z2633" s="61">
        <f>_xll.qlYieldTSDiscount($U$35,Y2633,,Trigger)</f>
        <v>0.91589090098923731</v>
      </c>
    </row>
    <row r="2634" spans="25:26" x14ac:dyDescent="0.25">
      <c r="Y2634" s="63">
        <v>45167</v>
      </c>
      <c r="Z2634" s="61">
        <f>_xll.qlYieldTSDiscount($U$35,Y2634,,Trigger)</f>
        <v>0.91585253789779508</v>
      </c>
    </row>
    <row r="2635" spans="25:26" x14ac:dyDescent="0.25">
      <c r="Y2635" s="63">
        <v>45168</v>
      </c>
      <c r="Z2635" s="61">
        <f>_xll.qlYieldTSDiscount($U$35,Y2635,,Trigger)</f>
        <v>0.91581417503788054</v>
      </c>
    </row>
    <row r="2636" spans="25:26" x14ac:dyDescent="0.25">
      <c r="Y2636" s="63">
        <v>45169</v>
      </c>
      <c r="Z2636" s="61">
        <f>_xll.qlYieldTSDiscount($U$35,Y2636,,Trigger)</f>
        <v>0.91577581241268502</v>
      </c>
    </row>
    <row r="2637" spans="25:26" x14ac:dyDescent="0.25">
      <c r="Y2637" s="63">
        <v>45170</v>
      </c>
      <c r="Z2637" s="61">
        <f>_xll.qlYieldTSDiscount($U$35,Y2637,,Trigger)</f>
        <v>0.91573745002539986</v>
      </c>
    </row>
    <row r="2638" spans="25:26" x14ac:dyDescent="0.25">
      <c r="Y2638" s="63">
        <v>45171</v>
      </c>
      <c r="Z2638" s="61">
        <f>_xll.qlYieldTSDiscount($U$35,Y2638,,Trigger)</f>
        <v>0.91569908787921661</v>
      </c>
    </row>
    <row r="2639" spans="25:26" x14ac:dyDescent="0.25">
      <c r="Y2639" s="63">
        <v>45172</v>
      </c>
      <c r="Z2639" s="61">
        <f>_xll.qlYieldTSDiscount($U$35,Y2639,,Trigger)</f>
        <v>0.91566072597732662</v>
      </c>
    </row>
    <row r="2640" spans="25:26" x14ac:dyDescent="0.25">
      <c r="Y2640" s="63">
        <v>45173</v>
      </c>
      <c r="Z2640" s="61">
        <f>_xll.qlYieldTSDiscount($U$35,Y2640,,Trigger)</f>
        <v>0.91562236432292132</v>
      </c>
    </row>
    <row r="2641" spans="25:26" x14ac:dyDescent="0.25">
      <c r="Y2641" s="63">
        <v>45174</v>
      </c>
      <c r="Z2641" s="61">
        <f>_xll.qlYieldTSDiscount($U$35,Y2641,,Trigger)</f>
        <v>0.91558400291919217</v>
      </c>
    </row>
    <row r="2642" spans="25:26" x14ac:dyDescent="0.25">
      <c r="Y2642" s="63">
        <v>45175</v>
      </c>
      <c r="Z2642" s="61">
        <f>_xll.qlYieldTSDiscount($U$35,Y2642,,Trigger)</f>
        <v>0.91554564176933062</v>
      </c>
    </row>
    <row r="2643" spans="25:26" x14ac:dyDescent="0.25">
      <c r="Y2643" s="63">
        <v>45176</v>
      </c>
      <c r="Z2643" s="61">
        <f>_xll.qlYieldTSDiscount($U$35,Y2643,,Trigger)</f>
        <v>0.91550728087652811</v>
      </c>
    </row>
    <row r="2644" spans="25:26" x14ac:dyDescent="0.25">
      <c r="Y2644" s="63">
        <v>45177</v>
      </c>
      <c r="Z2644" s="61">
        <f>_xll.qlYieldTSDiscount($U$35,Y2644,,Trigger)</f>
        <v>0.91546892024397597</v>
      </c>
    </row>
    <row r="2645" spans="25:26" x14ac:dyDescent="0.25">
      <c r="Y2645" s="63">
        <v>45178</v>
      </c>
      <c r="Z2645" s="61">
        <f>_xll.qlYieldTSDiscount($U$35,Y2645,,Trigger)</f>
        <v>0.91543055987486566</v>
      </c>
    </row>
    <row r="2646" spans="25:26" x14ac:dyDescent="0.25">
      <c r="Y2646" s="63">
        <v>45179</v>
      </c>
      <c r="Z2646" s="61">
        <f>_xll.qlYieldTSDiscount($U$35,Y2646,,Trigger)</f>
        <v>0.91539219977238862</v>
      </c>
    </row>
    <row r="2647" spans="25:26" x14ac:dyDescent="0.25">
      <c r="Y2647" s="63">
        <v>45180</v>
      </c>
      <c r="Z2647" s="61">
        <f>_xll.qlYieldTSDiscount($U$35,Y2647,,Trigger)</f>
        <v>0.91535383993973629</v>
      </c>
    </row>
    <row r="2648" spans="25:26" x14ac:dyDescent="0.25">
      <c r="Y2648" s="63">
        <v>45181</v>
      </c>
      <c r="Z2648" s="61">
        <f>_xll.qlYieldTSDiscount($U$35,Y2648,,Trigger)</f>
        <v>0.91531548038010002</v>
      </c>
    </row>
    <row r="2649" spans="25:26" x14ac:dyDescent="0.25">
      <c r="Y2649" s="63">
        <v>45182</v>
      </c>
      <c r="Z2649" s="61">
        <f>_xll.qlYieldTSDiscount($U$35,Y2649,,Trigger)</f>
        <v>0.91527712109667136</v>
      </c>
    </row>
    <row r="2650" spans="25:26" x14ac:dyDescent="0.25">
      <c r="Y2650" s="63">
        <v>45183</v>
      </c>
      <c r="Z2650" s="61">
        <f>_xll.qlYieldTSDiscount($U$35,Y2650,,Trigger)</f>
        <v>0.91523876209264154</v>
      </c>
    </row>
    <row r="2651" spans="25:26" x14ac:dyDescent="0.25">
      <c r="Y2651" s="63">
        <v>45184</v>
      </c>
      <c r="Z2651" s="61">
        <f>_xll.qlYieldTSDiscount($U$35,Y2651,,Trigger)</f>
        <v>0.91520040337120223</v>
      </c>
    </row>
    <row r="2652" spans="25:26" x14ac:dyDescent="0.25">
      <c r="Y2652" s="63">
        <v>45185</v>
      </c>
      <c r="Z2652" s="61">
        <f>_xll.qlYieldTSDiscount($U$35,Y2652,,Trigger)</f>
        <v>0.91516204493554465</v>
      </c>
    </row>
    <row r="2653" spans="25:26" x14ac:dyDescent="0.25">
      <c r="Y2653" s="63">
        <v>45186</v>
      </c>
      <c r="Z2653" s="61">
        <f>_xll.qlYieldTSDiscount($U$35,Y2653,,Trigger)</f>
        <v>0.91512368678886047</v>
      </c>
    </row>
    <row r="2654" spans="25:26" x14ac:dyDescent="0.25">
      <c r="Y2654" s="63">
        <v>45187</v>
      </c>
      <c r="Z2654" s="61">
        <f>_xll.qlYieldTSDiscount($U$35,Y2654,,Trigger)</f>
        <v>0.9150853289343408</v>
      </c>
    </row>
    <row r="2655" spans="25:26" x14ac:dyDescent="0.25">
      <c r="Y2655" s="63">
        <v>45188</v>
      </c>
      <c r="Z2655" s="61">
        <f>_xll.qlYieldTSDiscount($U$35,Y2655,,Trigger)</f>
        <v>0.91504697137517732</v>
      </c>
    </row>
    <row r="2656" spans="25:26" x14ac:dyDescent="0.25">
      <c r="Y2656" s="63">
        <v>45189</v>
      </c>
      <c r="Z2656" s="61">
        <f>_xll.qlYieldTSDiscount($U$35,Y2656,,Trigger)</f>
        <v>0.91500861411456125</v>
      </c>
    </row>
    <row r="2657" spans="25:26" x14ac:dyDescent="0.25">
      <c r="Y2657" s="63">
        <v>45190</v>
      </c>
      <c r="Z2657" s="61">
        <f>_xll.qlYieldTSDiscount($U$35,Y2657,,Trigger)</f>
        <v>0.91497025715568414</v>
      </c>
    </row>
    <row r="2658" spans="25:26" x14ac:dyDescent="0.25">
      <c r="Y2658" s="63">
        <v>45191</v>
      </c>
      <c r="Z2658" s="61">
        <f>_xll.qlYieldTSDiscount($U$35,Y2658,,Trigger)</f>
        <v>0.91493190050173745</v>
      </c>
    </row>
    <row r="2659" spans="25:26" x14ac:dyDescent="0.25">
      <c r="Y2659" s="63">
        <v>45192</v>
      </c>
      <c r="Z2659" s="61">
        <f>_xll.qlYieldTSDiscount($U$35,Y2659,,Trigger)</f>
        <v>0.91489354415591262</v>
      </c>
    </row>
    <row r="2660" spans="25:26" x14ac:dyDescent="0.25">
      <c r="Y2660" s="63">
        <v>45193</v>
      </c>
      <c r="Z2660" s="61">
        <f>_xll.qlYieldTSDiscount($U$35,Y2660,,Trigger)</f>
        <v>0.91485518812140088</v>
      </c>
    </row>
    <row r="2661" spans="25:26" x14ac:dyDescent="0.25">
      <c r="Y2661" s="63">
        <v>45194</v>
      </c>
      <c r="Z2661" s="61">
        <f>_xll.qlYieldTSDiscount($U$35,Y2661,,Trigger)</f>
        <v>0.91481683240139378</v>
      </c>
    </row>
    <row r="2662" spans="25:26" x14ac:dyDescent="0.25">
      <c r="Y2662" s="63">
        <v>45195</v>
      </c>
      <c r="Z2662" s="61">
        <f>_xll.qlYieldTSDiscount($U$35,Y2662,,Trigger)</f>
        <v>0.91477847699908288</v>
      </c>
    </row>
    <row r="2663" spans="25:26" x14ac:dyDescent="0.25">
      <c r="Y2663" s="63">
        <v>45196</v>
      </c>
      <c r="Z2663" s="61">
        <f>_xll.qlYieldTSDiscount($U$35,Y2663,,Trigger)</f>
        <v>0.9147401219176593</v>
      </c>
    </row>
    <row r="2664" spans="25:26" x14ac:dyDescent="0.25">
      <c r="Y2664" s="63">
        <v>45197</v>
      </c>
      <c r="Z2664" s="61">
        <f>_xll.qlYieldTSDiscount($U$35,Y2664,,Trigger)</f>
        <v>0.9147017671603147</v>
      </c>
    </row>
    <row r="2665" spans="25:26" x14ac:dyDescent="0.25">
      <c r="Y2665" s="63">
        <v>45198</v>
      </c>
      <c r="Z2665" s="61">
        <f>_xll.qlYieldTSDiscount($U$35,Y2665,,Trigger)</f>
        <v>0.91466341273024054</v>
      </c>
    </row>
    <row r="2666" spans="25:26" x14ac:dyDescent="0.25">
      <c r="Y2666" s="63">
        <v>45199</v>
      </c>
      <c r="Z2666" s="61">
        <f>_xll.qlYieldTSDiscount($U$35,Y2666,,Trigger)</f>
        <v>0.91462505863062804</v>
      </c>
    </row>
    <row r="2667" spans="25:26" x14ac:dyDescent="0.25">
      <c r="Y2667" s="63">
        <v>45200</v>
      </c>
      <c r="Z2667" s="61">
        <f>_xll.qlYieldTSDiscount($U$35,Y2667,,Trigger)</f>
        <v>0.91458670486466875</v>
      </c>
    </row>
    <row r="2668" spans="25:26" x14ac:dyDescent="0.25">
      <c r="Y2668" s="63">
        <v>45201</v>
      </c>
      <c r="Z2668" s="61">
        <f>_xll.qlYieldTSDiscount($U$35,Y2668,,Trigger)</f>
        <v>0.91454835143555413</v>
      </c>
    </row>
    <row r="2669" spans="25:26" x14ac:dyDescent="0.25">
      <c r="Y2669" s="63">
        <v>45202</v>
      </c>
      <c r="Z2669" s="61">
        <f>_xll.qlYieldTSDiscount($U$35,Y2669,,Trigger)</f>
        <v>0.91450999834647551</v>
      </c>
    </row>
    <row r="2670" spans="25:26" x14ac:dyDescent="0.25">
      <c r="Y2670" s="63">
        <v>45203</v>
      </c>
      <c r="Z2670" s="61">
        <f>_xll.qlYieldTSDiscount($U$35,Y2670,,Trigger)</f>
        <v>0.91447164560062433</v>
      </c>
    </row>
    <row r="2671" spans="25:26" x14ac:dyDescent="0.25">
      <c r="Y2671" s="63">
        <v>45204</v>
      </c>
      <c r="Z2671" s="61">
        <f>_xll.qlYieldTSDiscount($U$35,Y2671,,Trigger)</f>
        <v>0.91443329320119204</v>
      </c>
    </row>
    <row r="2672" spans="25:26" x14ac:dyDescent="0.25">
      <c r="Y2672" s="63">
        <v>45205</v>
      </c>
      <c r="Z2672" s="61">
        <f>_xll.qlYieldTSDiscount($U$35,Y2672,,Trigger)</f>
        <v>0.9143949411513701</v>
      </c>
    </row>
    <row r="2673" spans="25:26" x14ac:dyDescent="0.25">
      <c r="Y2673" s="63">
        <v>45206</v>
      </c>
      <c r="Z2673" s="61">
        <f>_xll.qlYieldTSDiscount($U$35,Y2673,,Trigger)</f>
        <v>0.91435658945434994</v>
      </c>
    </row>
    <row r="2674" spans="25:26" x14ac:dyDescent="0.25">
      <c r="Y2674" s="63">
        <v>45207</v>
      </c>
      <c r="Z2674" s="61">
        <f>_xll.qlYieldTSDiscount($U$35,Y2674,,Trigger)</f>
        <v>0.91431823811332291</v>
      </c>
    </row>
    <row r="2675" spans="25:26" x14ac:dyDescent="0.25">
      <c r="Y2675" s="63">
        <v>45208</v>
      </c>
      <c r="Z2675" s="61">
        <f>_xll.qlYieldTSDiscount($U$35,Y2675,,Trigger)</f>
        <v>0.91427988713148045</v>
      </c>
    </row>
    <row r="2676" spans="25:26" x14ac:dyDescent="0.25">
      <c r="Y2676" s="63">
        <v>45209</v>
      </c>
      <c r="Z2676" s="61">
        <f>_xll.qlYieldTSDiscount($U$35,Y2676,,Trigger)</f>
        <v>0.91424153651201412</v>
      </c>
    </row>
    <row r="2677" spans="25:26" x14ac:dyDescent="0.25">
      <c r="Y2677" s="63">
        <v>45210</v>
      </c>
      <c r="Z2677" s="61">
        <f>_xll.qlYieldTSDiscount($U$35,Y2677,,Trigger)</f>
        <v>0.91420318625811514</v>
      </c>
    </row>
    <row r="2678" spans="25:26" x14ac:dyDescent="0.25">
      <c r="Y2678" s="63">
        <v>45211</v>
      </c>
      <c r="Z2678" s="61">
        <f>_xll.qlYieldTSDiscount($U$35,Y2678,,Trigger)</f>
        <v>0.91416483637297496</v>
      </c>
    </row>
    <row r="2679" spans="25:26" x14ac:dyDescent="0.25">
      <c r="Y2679" s="63">
        <v>45212</v>
      </c>
      <c r="Z2679" s="61">
        <f>_xll.qlYieldTSDiscount($U$35,Y2679,,Trigger)</f>
        <v>0.91412648685978515</v>
      </c>
    </row>
    <row r="2680" spans="25:26" x14ac:dyDescent="0.25">
      <c r="Y2680" s="63">
        <v>45213</v>
      </c>
      <c r="Z2680" s="61">
        <f>_xll.qlYieldTSDiscount($U$35,Y2680,,Trigger)</f>
        <v>0.91408813772173714</v>
      </c>
    </row>
    <row r="2681" spans="25:26" x14ac:dyDescent="0.25">
      <c r="Y2681" s="63">
        <v>45214</v>
      </c>
      <c r="Z2681" s="61">
        <f>_xll.qlYieldTSDiscount($U$35,Y2681,,Trigger)</f>
        <v>0.91404978896202216</v>
      </c>
    </row>
    <row r="2682" spans="25:26" x14ac:dyDescent="0.25">
      <c r="Y2682" s="63">
        <v>45215</v>
      </c>
      <c r="Z2682" s="61">
        <f>_xll.qlYieldTSDiscount($U$35,Y2682,,Trigger)</f>
        <v>0.91401144058383177</v>
      </c>
    </row>
    <row r="2683" spans="25:26" x14ac:dyDescent="0.25">
      <c r="Y2683" s="63">
        <v>45216</v>
      </c>
      <c r="Z2683" s="61">
        <f>_xll.qlYieldTSDiscount($U$35,Y2683,,Trigger)</f>
        <v>0.91397309259035742</v>
      </c>
    </row>
    <row r="2684" spans="25:26" x14ac:dyDescent="0.25">
      <c r="Y2684" s="63">
        <v>45217</v>
      </c>
      <c r="Z2684" s="61">
        <f>_xll.qlYieldTSDiscount($U$35,Y2684,,Trigger)</f>
        <v>0.91393474498479044</v>
      </c>
    </row>
    <row r="2685" spans="25:26" x14ac:dyDescent="0.25">
      <c r="Y2685" s="63">
        <v>45218</v>
      </c>
      <c r="Z2685" s="61">
        <f>_xll.qlYieldTSDiscount($U$35,Y2685,,Trigger)</f>
        <v>0.91389639777032228</v>
      </c>
    </row>
    <row r="2686" spans="25:26" x14ac:dyDescent="0.25">
      <c r="Y2686" s="63">
        <v>45219</v>
      </c>
      <c r="Z2686" s="61">
        <f>_xll.qlYieldTSDiscount($U$35,Y2686,,Trigger)</f>
        <v>0.91385805095014438</v>
      </c>
    </row>
    <row r="2687" spans="25:26" x14ac:dyDescent="0.25">
      <c r="Y2687" s="63">
        <v>45220</v>
      </c>
      <c r="Z2687" s="61">
        <f>_xll.qlYieldTSDiscount($U$35,Y2687,,Trigger)</f>
        <v>0.91381970452744821</v>
      </c>
    </row>
    <row r="2688" spans="25:26" x14ac:dyDescent="0.25">
      <c r="Y2688" s="63">
        <v>45221</v>
      </c>
      <c r="Z2688" s="61">
        <f>_xll.qlYieldTSDiscount($U$35,Y2688,,Trigger)</f>
        <v>0.91378135850542519</v>
      </c>
    </row>
    <row r="2689" spans="25:26" x14ac:dyDescent="0.25">
      <c r="Y2689" s="63">
        <v>45222</v>
      </c>
      <c r="Z2689" s="61">
        <f>_xll.qlYieldTSDiscount($U$35,Y2689,,Trigger)</f>
        <v>0.91374301288726667</v>
      </c>
    </row>
    <row r="2690" spans="25:26" x14ac:dyDescent="0.25">
      <c r="Y2690" s="63">
        <v>45223</v>
      </c>
      <c r="Z2690" s="61">
        <f>_xll.qlYieldTSDiscount($U$35,Y2690,,Trigger)</f>
        <v>0.91370466767616421</v>
      </c>
    </row>
    <row r="2691" spans="25:26" x14ac:dyDescent="0.25">
      <c r="Y2691" s="63">
        <v>45224</v>
      </c>
      <c r="Z2691" s="61">
        <f>_xll.qlYieldTSDiscount($U$35,Y2691,,Trigger)</f>
        <v>0.91366632287530902</v>
      </c>
    </row>
    <row r="2692" spans="25:26" x14ac:dyDescent="0.25">
      <c r="Y2692" s="63">
        <v>45225</v>
      </c>
      <c r="Z2692" s="61">
        <f>_xll.qlYieldTSDiscount($U$35,Y2692,,Trigger)</f>
        <v>0.91362797848789279</v>
      </c>
    </row>
    <row r="2693" spans="25:26" x14ac:dyDescent="0.25">
      <c r="Y2693" s="63">
        <v>45226</v>
      </c>
      <c r="Z2693" s="61">
        <f>_xll.qlYieldTSDiscount($U$35,Y2693,,Trigger)</f>
        <v>0.91358963451710662</v>
      </c>
    </row>
    <row r="2694" spans="25:26" x14ac:dyDescent="0.25">
      <c r="Y2694" s="63">
        <v>45227</v>
      </c>
      <c r="Z2694" s="61">
        <f>_xll.qlYieldTSDiscount($U$35,Y2694,,Trigger)</f>
        <v>0.91355129096614229</v>
      </c>
    </row>
    <row r="2695" spans="25:26" x14ac:dyDescent="0.25">
      <c r="Y2695" s="63">
        <v>45228</v>
      </c>
      <c r="Z2695" s="61">
        <f>_xll.qlYieldTSDiscount($U$35,Y2695,,Trigger)</f>
        <v>0.91351294783819093</v>
      </c>
    </row>
    <row r="2696" spans="25:26" x14ac:dyDescent="0.25">
      <c r="Y2696" s="63">
        <v>45229</v>
      </c>
      <c r="Z2696" s="61">
        <f>_xll.qlYieldTSDiscount($U$35,Y2696,,Trigger)</f>
        <v>0.91347460513644418</v>
      </c>
    </row>
    <row r="2697" spans="25:26" x14ac:dyDescent="0.25">
      <c r="Y2697" s="63">
        <v>45230</v>
      </c>
      <c r="Z2697" s="61">
        <f>_xll.qlYieldTSDiscount($U$35,Y2697,,Trigger)</f>
        <v>0.9134362628640933</v>
      </c>
    </row>
    <row r="2698" spans="25:26" x14ac:dyDescent="0.25">
      <c r="Y2698" s="63">
        <v>45231</v>
      </c>
      <c r="Z2698" s="61">
        <f>_xll.qlYieldTSDiscount($U$35,Y2698,,Trigger)</f>
        <v>0.91339792102432993</v>
      </c>
    </row>
    <row r="2699" spans="25:26" x14ac:dyDescent="0.25">
      <c r="Y2699" s="63">
        <v>45232</v>
      </c>
      <c r="Z2699" s="61">
        <f>_xll.qlYieldTSDiscount($U$35,Y2699,,Trigger)</f>
        <v>0.9133595796203452</v>
      </c>
    </row>
    <row r="2700" spans="25:26" x14ac:dyDescent="0.25">
      <c r="Y2700" s="63">
        <v>45233</v>
      </c>
      <c r="Z2700" s="61">
        <f>_xll.qlYieldTSDiscount($U$35,Y2700,,Trigger)</f>
        <v>0.91332123865533077</v>
      </c>
    </row>
    <row r="2701" spans="25:26" x14ac:dyDescent="0.25">
      <c r="Y2701" s="63">
        <v>45234</v>
      </c>
      <c r="Z2701" s="61">
        <f>_xll.qlYieldTSDiscount($U$35,Y2701,,Trigger)</f>
        <v>0.91328289813247798</v>
      </c>
    </row>
    <row r="2702" spans="25:26" x14ac:dyDescent="0.25">
      <c r="Y2702" s="63">
        <v>45235</v>
      </c>
      <c r="Z2702" s="61">
        <f>_xll.qlYieldTSDiscount($U$35,Y2702,,Trigger)</f>
        <v>0.91324455805497817</v>
      </c>
    </row>
    <row r="2703" spans="25:26" x14ac:dyDescent="0.25">
      <c r="Y2703" s="63">
        <v>45236</v>
      </c>
      <c r="Z2703" s="61">
        <f>_xll.qlYieldTSDiscount($U$35,Y2703,,Trigger)</f>
        <v>0.91320621842602301</v>
      </c>
    </row>
    <row r="2704" spans="25:26" x14ac:dyDescent="0.25">
      <c r="Y2704" s="63">
        <v>45237</v>
      </c>
      <c r="Z2704" s="61">
        <f>_xll.qlYieldTSDiscount($U$35,Y2704,,Trigger)</f>
        <v>0.9131678792488036</v>
      </c>
    </row>
    <row r="2705" spans="25:26" x14ac:dyDescent="0.25">
      <c r="Y2705" s="63">
        <v>45238</v>
      </c>
      <c r="Z2705" s="61">
        <f>_xll.qlYieldTSDiscount($U$35,Y2705,,Trigger)</f>
        <v>0.91312954052651163</v>
      </c>
    </row>
    <row r="2706" spans="25:26" x14ac:dyDescent="0.25">
      <c r="Y2706" s="63">
        <v>45239</v>
      </c>
      <c r="Z2706" s="61">
        <f>_xll.qlYieldTSDiscount($U$35,Y2706,,Trigger)</f>
        <v>0.91309120226233853</v>
      </c>
    </row>
    <row r="2707" spans="25:26" x14ac:dyDescent="0.25">
      <c r="Y2707" s="63">
        <v>45240</v>
      </c>
      <c r="Z2707" s="61">
        <f>_xll.qlYieldTSDiscount($U$35,Y2707,,Trigger)</f>
        <v>0.91305286445947553</v>
      </c>
    </row>
    <row r="2708" spans="25:26" x14ac:dyDescent="0.25">
      <c r="Y2708" s="63">
        <v>45241</v>
      </c>
      <c r="Z2708" s="61">
        <f>_xll.qlYieldTSDiscount($U$35,Y2708,,Trigger)</f>
        <v>0.91301452712111408</v>
      </c>
    </row>
    <row r="2709" spans="25:26" x14ac:dyDescent="0.25">
      <c r="Y2709" s="63">
        <v>45242</v>
      </c>
      <c r="Z2709" s="61">
        <f>_xll.qlYieldTSDiscount($U$35,Y2709,,Trigger)</f>
        <v>0.91297619025044574</v>
      </c>
    </row>
    <row r="2710" spans="25:26" x14ac:dyDescent="0.25">
      <c r="Y2710" s="63">
        <v>45243</v>
      </c>
      <c r="Z2710" s="61">
        <f>_xll.qlYieldTSDiscount($U$35,Y2710,,Trigger)</f>
        <v>0.91293785385066195</v>
      </c>
    </row>
    <row r="2711" spans="25:26" x14ac:dyDescent="0.25">
      <c r="Y2711" s="63">
        <v>45244</v>
      </c>
      <c r="Z2711" s="61">
        <f>_xll.qlYieldTSDiscount($U$35,Y2711,,Trigger)</f>
        <v>0.91289951792495394</v>
      </c>
    </row>
    <row r="2712" spans="25:26" x14ac:dyDescent="0.25">
      <c r="Y2712" s="63">
        <v>45245</v>
      </c>
      <c r="Z2712" s="61">
        <f>_xll.qlYieldTSDiscount($U$35,Y2712,,Trigger)</f>
        <v>0.91286118247651327</v>
      </c>
    </row>
    <row r="2713" spans="25:26" x14ac:dyDescent="0.25">
      <c r="Y2713" s="63">
        <v>45246</v>
      </c>
      <c r="Z2713" s="61">
        <f>_xll.qlYieldTSDiscount($U$35,Y2713,,Trigger)</f>
        <v>0.91282284750853138</v>
      </c>
    </row>
    <row r="2714" spans="25:26" x14ac:dyDescent="0.25">
      <c r="Y2714" s="63">
        <v>45247</v>
      </c>
      <c r="Z2714" s="61">
        <f>_xll.qlYieldTSDiscount($U$35,Y2714,,Trigger)</f>
        <v>0.91278451302419961</v>
      </c>
    </row>
    <row r="2715" spans="25:26" x14ac:dyDescent="0.25">
      <c r="Y2715" s="63">
        <v>45248</v>
      </c>
      <c r="Z2715" s="61">
        <f>_xll.qlYieldTSDiscount($U$35,Y2715,,Trigger)</f>
        <v>0.91274617902670951</v>
      </c>
    </row>
    <row r="2716" spans="25:26" x14ac:dyDescent="0.25">
      <c r="Y2716" s="63">
        <v>45249</v>
      </c>
      <c r="Z2716" s="61">
        <f>_xll.qlYieldTSDiscount($U$35,Y2716,,Trigger)</f>
        <v>0.91270784551925244</v>
      </c>
    </row>
    <row r="2717" spans="25:26" x14ac:dyDescent="0.25">
      <c r="Y2717" s="63">
        <v>45250</v>
      </c>
      <c r="Z2717" s="61">
        <f>_xll.qlYieldTSDiscount($U$35,Y2717,,Trigger)</f>
        <v>0.91266951250501971</v>
      </c>
    </row>
    <row r="2718" spans="25:26" x14ac:dyDescent="0.25">
      <c r="Y2718" s="63">
        <v>45251</v>
      </c>
      <c r="Z2718" s="61">
        <f>_xll.qlYieldTSDiscount($U$35,Y2718,,Trigger)</f>
        <v>0.912631179987203</v>
      </c>
    </row>
    <row r="2719" spans="25:26" x14ac:dyDescent="0.25">
      <c r="Y2719" s="63">
        <v>45252</v>
      </c>
      <c r="Z2719" s="61">
        <f>_xll.qlYieldTSDiscount($U$35,Y2719,,Trigger)</f>
        <v>0.91259284796899343</v>
      </c>
    </row>
    <row r="2720" spans="25:26" x14ac:dyDescent="0.25">
      <c r="Y2720" s="63">
        <v>45253</v>
      </c>
      <c r="Z2720" s="61">
        <f>_xll.qlYieldTSDiscount($U$35,Y2720,,Trigger)</f>
        <v>0.91255451645358265</v>
      </c>
    </row>
    <row r="2721" spans="25:26" x14ac:dyDescent="0.25">
      <c r="Y2721" s="63">
        <v>45254</v>
      </c>
      <c r="Z2721" s="61">
        <f>_xll.qlYieldTSDiscount($U$35,Y2721,,Trigger)</f>
        <v>0.91251618544416213</v>
      </c>
    </row>
    <row r="2722" spans="25:26" x14ac:dyDescent="0.25">
      <c r="Y2722" s="63">
        <v>45255</v>
      </c>
      <c r="Z2722" s="61">
        <f>_xll.qlYieldTSDiscount($U$35,Y2722,,Trigger)</f>
        <v>0.91247785494392308</v>
      </c>
    </row>
    <row r="2723" spans="25:26" x14ac:dyDescent="0.25">
      <c r="Y2723" s="63">
        <v>45256</v>
      </c>
      <c r="Z2723" s="61">
        <f>_xll.qlYieldTSDiscount($U$35,Y2723,,Trigger)</f>
        <v>0.91243952495605696</v>
      </c>
    </row>
    <row r="2724" spans="25:26" x14ac:dyDescent="0.25">
      <c r="Y2724" s="63">
        <v>45257</v>
      </c>
      <c r="Z2724" s="61">
        <f>_xll.qlYieldTSDiscount($U$35,Y2724,,Trigger)</f>
        <v>0.91240119548375531</v>
      </c>
    </row>
    <row r="2725" spans="25:26" x14ac:dyDescent="0.25">
      <c r="Y2725" s="63">
        <v>45258</v>
      </c>
      <c r="Z2725" s="61">
        <f>_xll.qlYieldTSDiscount($U$35,Y2725,,Trigger)</f>
        <v>0.91236286653020959</v>
      </c>
    </row>
    <row r="2726" spans="25:26" x14ac:dyDescent="0.25">
      <c r="Y2726" s="63">
        <v>45259</v>
      </c>
      <c r="Z2726" s="61">
        <f>_xll.qlYieldTSDiscount($U$35,Y2726,,Trigger)</f>
        <v>0.91232453809861103</v>
      </c>
    </row>
    <row r="2727" spans="25:26" x14ac:dyDescent="0.25">
      <c r="Y2727" s="63">
        <v>45260</v>
      </c>
      <c r="Z2727" s="61">
        <f>_xll.qlYieldTSDiscount($U$35,Y2727,,Trigger)</f>
        <v>0.91228621019215128</v>
      </c>
    </row>
    <row r="2728" spans="25:26" x14ac:dyDescent="0.25">
      <c r="Y2728" s="63">
        <v>45261</v>
      </c>
      <c r="Z2728" s="61">
        <f>_xll.qlYieldTSDiscount($U$35,Y2728,,Trigger)</f>
        <v>0.91224788281402158</v>
      </c>
    </row>
    <row r="2729" spans="25:26" x14ac:dyDescent="0.25">
      <c r="Y2729" s="63">
        <v>45262</v>
      </c>
      <c r="Z2729" s="61">
        <f>_xll.qlYieldTSDiscount($U$35,Y2729,,Trigger)</f>
        <v>0.91220955596741349</v>
      </c>
    </row>
    <row r="2730" spans="25:26" x14ac:dyDescent="0.25">
      <c r="Y2730" s="63">
        <v>45263</v>
      </c>
      <c r="Z2730" s="61">
        <f>_xll.qlYieldTSDiscount($U$35,Y2730,,Trigger)</f>
        <v>0.91217122965551822</v>
      </c>
    </row>
    <row r="2731" spans="25:26" x14ac:dyDescent="0.25">
      <c r="Y2731" s="63">
        <v>45264</v>
      </c>
      <c r="Z2731" s="61">
        <f>_xll.qlYieldTSDiscount($U$35,Y2731,,Trigger)</f>
        <v>0.91213290388152757</v>
      </c>
    </row>
    <row r="2732" spans="25:26" x14ac:dyDescent="0.25">
      <c r="Y2732" s="63">
        <v>45265</v>
      </c>
      <c r="Z2732" s="61">
        <f>_xll.qlYieldTSDiscount($U$35,Y2732,,Trigger)</f>
        <v>0.91209457864863253</v>
      </c>
    </row>
    <row r="2733" spans="25:26" x14ac:dyDescent="0.25">
      <c r="Y2733" s="63">
        <v>45266</v>
      </c>
      <c r="Z2733" s="61">
        <f>_xll.qlYieldTSDiscount($U$35,Y2733,,Trigger)</f>
        <v>0.91205625396002488</v>
      </c>
    </row>
    <row r="2734" spans="25:26" x14ac:dyDescent="0.25">
      <c r="Y2734" s="63">
        <v>45267</v>
      </c>
      <c r="Z2734" s="61">
        <f>_xll.qlYieldTSDiscount($U$35,Y2734,,Trigger)</f>
        <v>0.91201792981889584</v>
      </c>
    </row>
    <row r="2735" spans="25:26" x14ac:dyDescent="0.25">
      <c r="Y2735" s="63">
        <v>45268</v>
      </c>
      <c r="Z2735" s="61">
        <f>_xll.qlYieldTSDiscount($U$35,Y2735,,Trigger)</f>
        <v>0.91197960622843699</v>
      </c>
    </row>
    <row r="2736" spans="25:26" x14ac:dyDescent="0.25">
      <c r="Y2736" s="63">
        <v>45269</v>
      </c>
      <c r="Z2736" s="61">
        <f>_xll.qlYieldTSDiscount($U$35,Y2736,,Trigger)</f>
        <v>0.91194128319183954</v>
      </c>
    </row>
    <row r="2737" spans="25:26" x14ac:dyDescent="0.25">
      <c r="Y2737" s="63">
        <v>45270</v>
      </c>
      <c r="Z2737" s="61">
        <f>_xll.qlYieldTSDiscount($U$35,Y2737,,Trigger)</f>
        <v>0.91190296071229515</v>
      </c>
    </row>
    <row r="2738" spans="25:26" x14ac:dyDescent="0.25">
      <c r="Y2738" s="63">
        <v>45271</v>
      </c>
      <c r="Z2738" s="61">
        <f>_xll.qlYieldTSDiscount($U$35,Y2738,,Trigger)</f>
        <v>0.91186463879299506</v>
      </c>
    </row>
    <row r="2739" spans="25:26" x14ac:dyDescent="0.25">
      <c r="Y2739" s="63">
        <v>45272</v>
      </c>
      <c r="Z2739" s="61">
        <f>_xll.qlYieldTSDiscount($U$35,Y2739,,Trigger)</f>
        <v>0.91182631743713072</v>
      </c>
    </row>
    <row r="2740" spans="25:26" x14ac:dyDescent="0.25">
      <c r="Y2740" s="63">
        <v>45273</v>
      </c>
      <c r="Z2740" s="61">
        <f>_xll.qlYieldTSDiscount($U$35,Y2740,,Trigger)</f>
        <v>0.91178799664789367</v>
      </c>
    </row>
    <row r="2741" spans="25:26" x14ac:dyDescent="0.25">
      <c r="Y2741" s="63">
        <v>45274</v>
      </c>
      <c r="Z2741" s="61">
        <f>_xll.qlYieldTSDiscount($U$35,Y2741,,Trigger)</f>
        <v>0.91174967642847538</v>
      </c>
    </row>
    <row r="2742" spans="25:26" x14ac:dyDescent="0.25">
      <c r="Y2742" s="63">
        <v>45275</v>
      </c>
      <c r="Z2742" s="61">
        <f>_xll.qlYieldTSDiscount($U$35,Y2742,,Trigger)</f>
        <v>0.91171135678206694</v>
      </c>
    </row>
    <row r="2743" spans="25:26" x14ac:dyDescent="0.25">
      <c r="Y2743" s="63">
        <v>45276</v>
      </c>
      <c r="Z2743" s="61">
        <f>_xll.qlYieldTSDiscount($U$35,Y2743,,Trigger)</f>
        <v>0.91167303771186015</v>
      </c>
    </row>
    <row r="2744" spans="25:26" x14ac:dyDescent="0.25">
      <c r="Y2744" s="63">
        <v>45277</v>
      </c>
      <c r="Z2744" s="61">
        <f>_xll.qlYieldTSDiscount($U$35,Y2744,,Trigger)</f>
        <v>0.91163471922104633</v>
      </c>
    </row>
    <row r="2745" spans="25:26" x14ac:dyDescent="0.25">
      <c r="Y2745" s="63">
        <v>45278</v>
      </c>
      <c r="Z2745" s="61">
        <f>_xll.qlYieldTSDiscount($U$35,Y2745,,Trigger)</f>
        <v>0.91159640131281672</v>
      </c>
    </row>
    <row r="2746" spans="25:26" x14ac:dyDescent="0.25">
      <c r="Y2746" s="63">
        <v>45279</v>
      </c>
      <c r="Z2746" s="61">
        <f>_xll.qlYieldTSDiscount($U$35,Y2746,,Trigger)</f>
        <v>0.91155808399036298</v>
      </c>
    </row>
    <row r="2747" spans="25:26" x14ac:dyDescent="0.25">
      <c r="Y2747" s="63">
        <v>45280</v>
      </c>
      <c r="Z2747" s="61">
        <f>_xll.qlYieldTSDiscount($U$35,Y2747,,Trigger)</f>
        <v>0.91151976725687645</v>
      </c>
    </row>
    <row r="2748" spans="25:26" x14ac:dyDescent="0.25">
      <c r="Y2748" s="63">
        <v>45281</v>
      </c>
      <c r="Z2748" s="61">
        <f>_xll.qlYieldTSDiscount($U$35,Y2748,,Trigger)</f>
        <v>0.91148145111554846</v>
      </c>
    </row>
    <row r="2749" spans="25:26" x14ac:dyDescent="0.25">
      <c r="Y2749" s="63">
        <v>45282</v>
      </c>
      <c r="Z2749" s="61">
        <f>_xll.qlYieldTSDiscount($U$35,Y2749,,Trigger)</f>
        <v>0.91144313556957057</v>
      </c>
    </row>
    <row r="2750" spans="25:26" x14ac:dyDescent="0.25">
      <c r="Y2750" s="63">
        <v>45283</v>
      </c>
      <c r="Z2750" s="61">
        <f>_xll.qlYieldTSDiscount($U$35,Y2750,,Trigger)</f>
        <v>0.91140482062213413</v>
      </c>
    </row>
    <row r="2751" spans="25:26" x14ac:dyDescent="0.25">
      <c r="Y2751" s="63">
        <v>45284</v>
      </c>
      <c r="Z2751" s="61">
        <f>_xll.qlYieldTSDiscount($U$35,Y2751,,Trigger)</f>
        <v>0.91136650627643057</v>
      </c>
    </row>
    <row r="2752" spans="25:26" x14ac:dyDescent="0.25">
      <c r="Y2752" s="63">
        <v>45285</v>
      </c>
      <c r="Z2752" s="61">
        <f>_xll.qlYieldTSDiscount($U$35,Y2752,,Trigger)</f>
        <v>0.91132819253565145</v>
      </c>
    </row>
    <row r="2753" spans="25:26" x14ac:dyDescent="0.25">
      <c r="Y2753" s="63">
        <v>45286</v>
      </c>
      <c r="Z2753" s="61">
        <f>_xll.qlYieldTSDiscount($U$35,Y2753,,Trigger)</f>
        <v>0.911289879402988</v>
      </c>
    </row>
    <row r="2754" spans="25:26" x14ac:dyDescent="0.25">
      <c r="Y2754" s="63">
        <v>45287</v>
      </c>
      <c r="Z2754" s="61">
        <f>_xll.qlYieldTSDiscount($U$35,Y2754,,Trigger)</f>
        <v>0.91125156688163167</v>
      </c>
    </row>
    <row r="2755" spans="25:26" x14ac:dyDescent="0.25">
      <c r="Y2755" s="63">
        <v>45288</v>
      </c>
      <c r="Z2755" s="61">
        <f>_xll.qlYieldTSDiscount($U$35,Y2755,,Trigger)</f>
        <v>0.91121325497477401</v>
      </c>
    </row>
    <row r="2756" spans="25:26" x14ac:dyDescent="0.25">
      <c r="Y2756" s="63">
        <v>45289</v>
      </c>
      <c r="Z2756" s="61">
        <f>_xll.qlYieldTSDiscount($U$35,Y2756,,Trigger)</f>
        <v>0.91117494368560636</v>
      </c>
    </row>
    <row r="2757" spans="25:26" x14ac:dyDescent="0.25">
      <c r="Y2757" s="63">
        <v>45290</v>
      </c>
      <c r="Z2757" s="61">
        <f>_xll.qlYieldTSDiscount($U$35,Y2757,,Trigger)</f>
        <v>0.91113663301732017</v>
      </c>
    </row>
    <row r="2758" spans="25:26" x14ac:dyDescent="0.25">
      <c r="Y2758" s="63">
        <v>45291</v>
      </c>
      <c r="Z2758" s="61">
        <f>_xll.qlYieldTSDiscount($U$35,Y2758,,Trigger)</f>
        <v>0.91109832297310689</v>
      </c>
    </row>
    <row r="2759" spans="25:26" x14ac:dyDescent="0.25">
      <c r="Y2759" s="63">
        <v>45292</v>
      </c>
      <c r="Z2759" s="61">
        <f>_xll.qlYieldTSDiscount($U$35,Y2759,,Trigger)</f>
        <v>0.91106001355615795</v>
      </c>
    </row>
    <row r="2760" spans="25:26" x14ac:dyDescent="0.25">
      <c r="Y2760" s="63">
        <v>45293</v>
      </c>
      <c r="Z2760" s="61">
        <f>_xll.qlYieldTSDiscount($U$35,Y2760,,Trigger)</f>
        <v>0.9110217047696646</v>
      </c>
    </row>
    <row r="2761" spans="25:26" x14ac:dyDescent="0.25">
      <c r="Y2761" s="63">
        <v>45294</v>
      </c>
      <c r="Z2761" s="61">
        <f>_xll.qlYieldTSDiscount($U$35,Y2761,,Trigger)</f>
        <v>0.91098339661681849</v>
      </c>
    </row>
    <row r="2762" spans="25:26" x14ac:dyDescent="0.25">
      <c r="Y2762" s="63">
        <v>45295</v>
      </c>
      <c r="Z2762" s="61">
        <f>_xll.qlYieldTSDiscount($U$35,Y2762,,Trigger)</f>
        <v>0.91094508910081096</v>
      </c>
    </row>
    <row r="2763" spans="25:26" x14ac:dyDescent="0.25">
      <c r="Y2763" s="63">
        <v>45296</v>
      </c>
      <c r="Z2763" s="61">
        <f>_xll.qlYieldTSDiscount($U$35,Y2763,,Trigger)</f>
        <v>0.91090678222483334</v>
      </c>
    </row>
    <row r="2764" spans="25:26" x14ac:dyDescent="0.25">
      <c r="Y2764" s="63">
        <v>45297</v>
      </c>
      <c r="Z2764" s="61">
        <f>_xll.qlYieldTSDiscount($U$35,Y2764,,Trigger)</f>
        <v>0.91086847599207721</v>
      </c>
    </row>
    <row r="2765" spans="25:26" x14ac:dyDescent="0.25">
      <c r="Y2765" s="63">
        <v>45298</v>
      </c>
      <c r="Z2765" s="61">
        <f>_xll.qlYieldTSDiscount($U$35,Y2765,,Trigger)</f>
        <v>0.910830170405734</v>
      </c>
    </row>
    <row r="2766" spans="25:26" x14ac:dyDescent="0.25">
      <c r="Y2766" s="63">
        <v>45299</v>
      </c>
      <c r="Z2766" s="61">
        <f>_xll.qlYieldTSDiscount($U$35,Y2766,,Trigger)</f>
        <v>0.91079186546899493</v>
      </c>
    </row>
    <row r="2767" spans="25:26" x14ac:dyDescent="0.25">
      <c r="Y2767" s="63">
        <v>45300</v>
      </c>
      <c r="Z2767" s="61">
        <f>_xll.qlYieldTSDiscount($U$35,Y2767,,Trigger)</f>
        <v>0.91075356118505169</v>
      </c>
    </row>
    <row r="2768" spans="25:26" x14ac:dyDescent="0.25">
      <c r="Y2768" s="63">
        <v>45301</v>
      </c>
      <c r="Z2768" s="61">
        <f>_xll.qlYieldTSDiscount($U$35,Y2768,,Trigger)</f>
        <v>0.91071525755709548</v>
      </c>
    </row>
    <row r="2769" spans="25:26" x14ac:dyDescent="0.25">
      <c r="Y2769" s="63">
        <v>45302</v>
      </c>
      <c r="Z2769" s="61">
        <f>_xll.qlYieldTSDiscount($U$35,Y2769,,Trigger)</f>
        <v>0.91067695458831788</v>
      </c>
    </row>
    <row r="2770" spans="25:26" x14ac:dyDescent="0.25">
      <c r="Y2770" s="63">
        <v>45303</v>
      </c>
      <c r="Z2770" s="61">
        <f>_xll.qlYieldTSDiscount($U$35,Y2770,,Trigger)</f>
        <v>0.91063865228191021</v>
      </c>
    </row>
    <row r="2771" spans="25:26" x14ac:dyDescent="0.25">
      <c r="Y2771" s="63">
        <v>45304</v>
      </c>
      <c r="Z2771" s="61">
        <f>_xll.qlYieldTSDiscount($U$35,Y2771,,Trigger)</f>
        <v>0.91060035064106404</v>
      </c>
    </row>
    <row r="2772" spans="25:26" x14ac:dyDescent="0.25">
      <c r="Y2772" s="63">
        <v>45305</v>
      </c>
      <c r="Z2772" s="61">
        <f>_xll.qlYieldTSDiscount($U$35,Y2772,,Trigger)</f>
        <v>0.91056204966897059</v>
      </c>
    </row>
    <row r="2773" spans="25:26" x14ac:dyDescent="0.25">
      <c r="Y2773" s="63">
        <v>45306</v>
      </c>
      <c r="Z2773" s="61">
        <f>_xll.qlYieldTSDiscount($U$35,Y2773,,Trigger)</f>
        <v>0.91052374936882141</v>
      </c>
    </row>
    <row r="2774" spans="25:26" x14ac:dyDescent="0.25">
      <c r="Y2774" s="63">
        <v>45307</v>
      </c>
      <c r="Z2774" s="61">
        <f>_xll.qlYieldTSDiscount($U$35,Y2774,,Trigger)</f>
        <v>0.91048544974380796</v>
      </c>
    </row>
    <row r="2775" spans="25:26" x14ac:dyDescent="0.25">
      <c r="Y2775" s="63">
        <v>45308</v>
      </c>
      <c r="Z2775" s="61">
        <f>_xll.qlYieldTSDiscount($U$35,Y2775,,Trigger)</f>
        <v>0.91044715079712157</v>
      </c>
    </row>
    <row r="2776" spans="25:26" x14ac:dyDescent="0.25">
      <c r="Y2776" s="63">
        <v>45309</v>
      </c>
      <c r="Z2776" s="61">
        <f>_xll.qlYieldTSDiscount($U$35,Y2776,,Trigger)</f>
        <v>0.9104088525319538</v>
      </c>
    </row>
    <row r="2777" spans="25:26" x14ac:dyDescent="0.25">
      <c r="Y2777" s="63">
        <v>45310</v>
      </c>
      <c r="Z2777" s="61">
        <f>_xll.qlYieldTSDiscount($U$35,Y2777,,Trigger)</f>
        <v>0.91037055495149588</v>
      </c>
    </row>
    <row r="2778" spans="25:26" x14ac:dyDescent="0.25">
      <c r="Y2778" s="63">
        <v>45311</v>
      </c>
      <c r="Z2778" s="61">
        <f>_xll.qlYieldTSDiscount($U$35,Y2778,,Trigger)</f>
        <v>0.91033225805893936</v>
      </c>
    </row>
    <row r="2779" spans="25:26" x14ac:dyDescent="0.25">
      <c r="Y2779" s="63">
        <v>45312</v>
      </c>
      <c r="Z2779" s="61">
        <f>_xll.qlYieldTSDiscount($U$35,Y2779,,Trigger)</f>
        <v>0.91029396185747569</v>
      </c>
    </row>
    <row r="2780" spans="25:26" x14ac:dyDescent="0.25">
      <c r="Y2780" s="63">
        <v>45313</v>
      </c>
      <c r="Z2780" s="61">
        <f>_xll.qlYieldTSDiscount($U$35,Y2780,,Trigger)</f>
        <v>0.9102556663502962</v>
      </c>
    </row>
    <row r="2781" spans="25:26" x14ac:dyDescent="0.25">
      <c r="Y2781" s="63">
        <v>45314</v>
      </c>
      <c r="Z2781" s="61">
        <f>_xll.qlYieldTSDiscount($U$35,Y2781,,Trigger)</f>
        <v>0.91021737154059235</v>
      </c>
    </row>
    <row r="2782" spans="25:26" x14ac:dyDescent="0.25">
      <c r="Y2782" s="63">
        <v>45315</v>
      </c>
      <c r="Z2782" s="61">
        <f>_xll.qlYieldTSDiscount($U$35,Y2782,,Trigger)</f>
        <v>0.91017907743155557</v>
      </c>
    </row>
    <row r="2783" spans="25:26" x14ac:dyDescent="0.25">
      <c r="Y2783" s="63">
        <v>45316</v>
      </c>
      <c r="Z2783" s="61">
        <f>_xll.qlYieldTSDiscount($U$35,Y2783,,Trigger)</f>
        <v>0.91014078402637733</v>
      </c>
    </row>
    <row r="2784" spans="25:26" x14ac:dyDescent="0.25">
      <c r="Y2784" s="63">
        <v>45317</v>
      </c>
      <c r="Z2784" s="61">
        <f>_xll.qlYieldTSDiscount($U$35,Y2784,,Trigger)</f>
        <v>0.91010249132824905</v>
      </c>
    </row>
    <row r="2785" spans="25:26" x14ac:dyDescent="0.25">
      <c r="Y2785" s="63">
        <v>45318</v>
      </c>
      <c r="Z2785" s="61">
        <f>_xll.qlYieldTSDiscount($U$35,Y2785,,Trigger)</f>
        <v>0.91006419934036209</v>
      </c>
    </row>
    <row r="2786" spans="25:26" x14ac:dyDescent="0.25">
      <c r="Y2786" s="63">
        <v>45319</v>
      </c>
      <c r="Z2786" s="61">
        <f>_xll.qlYieldTSDiscount($U$35,Y2786,,Trigger)</f>
        <v>0.91002590806590788</v>
      </c>
    </row>
    <row r="2787" spans="25:26" x14ac:dyDescent="0.25">
      <c r="Y2787" s="63">
        <v>45320</v>
      </c>
      <c r="Z2787" s="61">
        <f>_xll.qlYieldTSDiscount($U$35,Y2787,,Trigger)</f>
        <v>0.90998761750807788</v>
      </c>
    </row>
    <row r="2788" spans="25:26" x14ac:dyDescent="0.25">
      <c r="Y2788" s="63">
        <v>45321</v>
      </c>
      <c r="Z2788" s="61">
        <f>_xll.qlYieldTSDiscount($U$35,Y2788,,Trigger)</f>
        <v>0.90994932767006353</v>
      </c>
    </row>
    <row r="2789" spans="25:26" x14ac:dyDescent="0.25">
      <c r="Y2789" s="63">
        <v>45322</v>
      </c>
      <c r="Z2789" s="61">
        <f>_xll.qlYieldTSDiscount($U$35,Y2789,,Trigger)</f>
        <v>0.90991103855505628</v>
      </c>
    </row>
    <row r="2790" spans="25:26" x14ac:dyDescent="0.25">
      <c r="Y2790" s="63">
        <v>45323</v>
      </c>
      <c r="Z2790" s="61">
        <f>_xll.qlYieldTSDiscount($U$35,Y2790,,Trigger)</f>
        <v>0.90987275016624747</v>
      </c>
    </row>
    <row r="2791" spans="25:26" x14ac:dyDescent="0.25">
      <c r="Y2791" s="63">
        <v>45324</v>
      </c>
      <c r="Z2791" s="61">
        <f>_xll.qlYieldTSDiscount($U$35,Y2791,,Trigger)</f>
        <v>0.90983446250682853</v>
      </c>
    </row>
    <row r="2792" spans="25:26" x14ac:dyDescent="0.25">
      <c r="Y2792" s="63">
        <v>45325</v>
      </c>
      <c r="Z2792" s="61">
        <f>_xll.qlYieldTSDiscount($U$35,Y2792,,Trigger)</f>
        <v>0.90979617557999093</v>
      </c>
    </row>
    <row r="2793" spans="25:26" x14ac:dyDescent="0.25">
      <c r="Y2793" s="63">
        <v>45326</v>
      </c>
      <c r="Z2793" s="61">
        <f>_xll.qlYieldTSDiscount($U$35,Y2793,,Trigger)</f>
        <v>0.9097578893889261</v>
      </c>
    </row>
    <row r="2794" spans="25:26" x14ac:dyDescent="0.25">
      <c r="Y2794" s="63">
        <v>45327</v>
      </c>
      <c r="Z2794" s="61">
        <f>_xll.qlYieldTSDiscount($U$35,Y2794,,Trigger)</f>
        <v>0.90971960393682549</v>
      </c>
    </row>
    <row r="2795" spans="25:26" x14ac:dyDescent="0.25">
      <c r="Y2795" s="63">
        <v>45328</v>
      </c>
      <c r="Z2795" s="61">
        <f>_xll.qlYieldTSDiscount($U$35,Y2795,,Trigger)</f>
        <v>0.90968131922688045</v>
      </c>
    </row>
    <row r="2796" spans="25:26" x14ac:dyDescent="0.25">
      <c r="Y2796" s="63">
        <v>45329</v>
      </c>
      <c r="Z2796" s="61">
        <f>_xll.qlYieldTSDiscount($U$35,Y2796,,Trigger)</f>
        <v>0.90964303526228241</v>
      </c>
    </row>
    <row r="2797" spans="25:26" x14ac:dyDescent="0.25">
      <c r="Y2797" s="63">
        <v>45330</v>
      </c>
      <c r="Z2797" s="61">
        <f>_xll.qlYieldTSDiscount($U$35,Y2797,,Trigger)</f>
        <v>0.90960475204622282</v>
      </c>
    </row>
    <row r="2798" spans="25:26" x14ac:dyDescent="0.25">
      <c r="Y2798" s="63">
        <v>45331</v>
      </c>
      <c r="Z2798" s="61">
        <f>_xll.qlYieldTSDiscount($U$35,Y2798,,Trigger)</f>
        <v>0.90956646958189324</v>
      </c>
    </row>
    <row r="2799" spans="25:26" x14ac:dyDescent="0.25">
      <c r="Y2799" s="63">
        <v>45332</v>
      </c>
      <c r="Z2799" s="61">
        <f>_xll.qlYieldTSDiscount($U$35,Y2799,,Trigger)</f>
        <v>0.90952818787248479</v>
      </c>
    </row>
    <row r="2800" spans="25:26" x14ac:dyDescent="0.25">
      <c r="Y2800" s="63">
        <v>45333</v>
      </c>
      <c r="Z2800" s="61">
        <f>_xll.qlYieldTSDiscount($U$35,Y2800,,Trigger)</f>
        <v>0.90948990692118914</v>
      </c>
    </row>
    <row r="2801" spans="25:26" x14ac:dyDescent="0.25">
      <c r="Y2801" s="63">
        <v>45334</v>
      </c>
      <c r="Z2801" s="61">
        <f>_xll.qlYieldTSDiscount($U$35,Y2801,,Trigger)</f>
        <v>0.90945162673119773</v>
      </c>
    </row>
    <row r="2802" spans="25:26" x14ac:dyDescent="0.25">
      <c r="Y2802" s="63">
        <v>45335</v>
      </c>
      <c r="Z2802" s="61">
        <f>_xll.qlYieldTSDiscount($U$35,Y2802,,Trigger)</f>
        <v>0.90941334730570178</v>
      </c>
    </row>
    <row r="2803" spans="25:26" x14ac:dyDescent="0.25">
      <c r="Y2803" s="63">
        <v>45336</v>
      </c>
      <c r="Z2803" s="61">
        <f>_xll.qlYieldTSDiscount($U$35,Y2803,,Trigger)</f>
        <v>0.90937506864789286</v>
      </c>
    </row>
    <row r="2804" spans="25:26" x14ac:dyDescent="0.25">
      <c r="Y2804" s="63">
        <v>45337</v>
      </c>
      <c r="Z2804" s="61">
        <f>_xll.qlYieldTSDiscount($U$35,Y2804,,Trigger)</f>
        <v>0.90933679076096241</v>
      </c>
    </row>
    <row r="2805" spans="25:26" x14ac:dyDescent="0.25">
      <c r="Y2805" s="63">
        <v>45338</v>
      </c>
      <c r="Z2805" s="61">
        <f>_xll.qlYieldTSDiscount($U$35,Y2805,,Trigger)</f>
        <v>0.90929851364810177</v>
      </c>
    </row>
    <row r="2806" spans="25:26" x14ac:dyDescent="0.25">
      <c r="Y2806" s="63">
        <v>45339</v>
      </c>
      <c r="Z2806" s="61">
        <f>_xll.qlYieldTSDiscount($U$35,Y2806,,Trigger)</f>
        <v>0.9092602373125025</v>
      </c>
    </row>
    <row r="2807" spans="25:26" x14ac:dyDescent="0.25">
      <c r="Y2807" s="63">
        <v>45340</v>
      </c>
      <c r="Z2807" s="61">
        <f>_xll.qlYieldTSDiscount($U$35,Y2807,,Trigger)</f>
        <v>0.90922196175735592</v>
      </c>
    </row>
    <row r="2808" spans="25:26" x14ac:dyDescent="0.25">
      <c r="Y2808" s="63">
        <v>45341</v>
      </c>
      <c r="Z2808" s="61">
        <f>_xll.qlYieldTSDiscount($U$35,Y2808,,Trigger)</f>
        <v>0.90918368698585339</v>
      </c>
    </row>
    <row r="2809" spans="25:26" x14ac:dyDescent="0.25">
      <c r="Y2809" s="63">
        <v>45342</v>
      </c>
      <c r="Z2809" s="61">
        <f>_xll.qlYieldTSDiscount($U$35,Y2809,,Trigger)</f>
        <v>0.90914541300118645</v>
      </c>
    </row>
    <row r="2810" spans="25:26" x14ac:dyDescent="0.25">
      <c r="Y2810" s="63">
        <v>45343</v>
      </c>
      <c r="Z2810" s="61">
        <f>_xll.qlYieldTSDiscount($U$35,Y2810,,Trigger)</f>
        <v>0.90910713980654645</v>
      </c>
    </row>
    <row r="2811" spans="25:26" x14ac:dyDescent="0.25">
      <c r="Y2811" s="63">
        <v>45344</v>
      </c>
      <c r="Z2811" s="61">
        <f>_xll.qlYieldTSDiscount($U$35,Y2811,,Trigger)</f>
        <v>0.90906886740512494</v>
      </c>
    </row>
    <row r="2812" spans="25:26" x14ac:dyDescent="0.25">
      <c r="Y2812" s="63">
        <v>45345</v>
      </c>
      <c r="Z2812" s="61">
        <f>_xll.qlYieldTSDiscount($U$35,Y2812,,Trigger)</f>
        <v>0.90903059580011325</v>
      </c>
    </row>
    <row r="2813" spans="25:26" x14ac:dyDescent="0.25">
      <c r="Y2813" s="63">
        <v>45346</v>
      </c>
      <c r="Z2813" s="61">
        <f>_xll.qlYieldTSDiscount($U$35,Y2813,,Trigger)</f>
        <v>0.90899232499470273</v>
      </c>
    </row>
    <row r="2814" spans="25:26" x14ac:dyDescent="0.25">
      <c r="Y2814" s="63">
        <v>45347</v>
      </c>
      <c r="Z2814" s="61">
        <f>_xll.qlYieldTSDiscount($U$35,Y2814,,Trigger)</f>
        <v>0.90895405499208504</v>
      </c>
    </row>
    <row r="2815" spans="25:26" x14ac:dyDescent="0.25">
      <c r="Y2815" s="63">
        <v>45348</v>
      </c>
      <c r="Z2815" s="61">
        <f>_xll.qlYieldTSDiscount($U$35,Y2815,,Trigger)</f>
        <v>0.90891578579545129</v>
      </c>
    </row>
    <row r="2816" spans="25:26" x14ac:dyDescent="0.25">
      <c r="Y2816" s="63">
        <v>45349</v>
      </c>
      <c r="Z2816" s="61">
        <f>_xll.qlYieldTSDiscount($U$35,Y2816,,Trigger)</f>
        <v>0.90887751740799316</v>
      </c>
    </row>
    <row r="2817" spans="25:26" x14ac:dyDescent="0.25">
      <c r="Y2817" s="63">
        <v>45350</v>
      </c>
      <c r="Z2817" s="61">
        <f>_xll.qlYieldTSDiscount($U$35,Y2817,,Trigger)</f>
        <v>0.90883924983290199</v>
      </c>
    </row>
    <row r="2818" spans="25:26" x14ac:dyDescent="0.25">
      <c r="Y2818" s="63">
        <v>45351</v>
      </c>
      <c r="Z2818" s="61">
        <f>_xll.qlYieldTSDiscount($U$35,Y2818,,Trigger)</f>
        <v>0.90880098307336921</v>
      </c>
    </row>
    <row r="2819" spans="25:26" x14ac:dyDescent="0.25">
      <c r="Y2819" s="63">
        <v>45352</v>
      </c>
      <c r="Z2819" s="61">
        <f>_xll.qlYieldTSDiscount($U$35,Y2819,,Trigger)</f>
        <v>0.90876271713258627</v>
      </c>
    </row>
    <row r="2820" spans="25:26" x14ac:dyDescent="0.25">
      <c r="Y2820" s="63">
        <v>45353</v>
      </c>
      <c r="Z2820" s="61">
        <f>_xll.qlYieldTSDiscount($U$35,Y2820,,Trigger)</f>
        <v>0.90872445201374452</v>
      </c>
    </row>
    <row r="2821" spans="25:26" x14ac:dyDescent="0.25">
      <c r="Y2821" s="63">
        <v>45354</v>
      </c>
      <c r="Z2821" s="61">
        <f>_xll.qlYieldTSDiscount($U$35,Y2821,,Trigger)</f>
        <v>0.9086861877200354</v>
      </c>
    </row>
    <row r="2822" spans="25:26" x14ac:dyDescent="0.25">
      <c r="Y2822" s="63">
        <v>45355</v>
      </c>
      <c r="Z2822" s="61">
        <f>_xll.qlYieldTSDiscount($U$35,Y2822,,Trigger)</f>
        <v>0.90864792425465035</v>
      </c>
    </row>
    <row r="2823" spans="25:26" x14ac:dyDescent="0.25">
      <c r="Y2823" s="63">
        <v>45356</v>
      </c>
      <c r="Z2823" s="61">
        <f>_xll.qlYieldTSDiscount($U$35,Y2823,,Trigger)</f>
        <v>0.90860966162078083</v>
      </c>
    </row>
    <row r="2824" spans="25:26" x14ac:dyDescent="0.25">
      <c r="Y2824" s="63">
        <v>45357</v>
      </c>
      <c r="Z2824" s="61">
        <f>_xll.qlYieldTSDiscount($U$35,Y2824,,Trigger)</f>
        <v>0.90857139982161828</v>
      </c>
    </row>
    <row r="2825" spans="25:26" x14ac:dyDescent="0.25">
      <c r="Y2825" s="63">
        <v>45358</v>
      </c>
      <c r="Z2825" s="61">
        <f>_xll.qlYieldTSDiscount($U$35,Y2825,,Trigger)</f>
        <v>0.90853313886035403</v>
      </c>
    </row>
    <row r="2826" spans="25:26" x14ac:dyDescent="0.25">
      <c r="Y2826" s="63">
        <v>45359</v>
      </c>
      <c r="Z2826" s="61">
        <f>_xll.qlYieldTSDiscount($U$35,Y2826,,Trigger)</f>
        <v>0.90849487874017965</v>
      </c>
    </row>
    <row r="2827" spans="25:26" x14ac:dyDescent="0.25">
      <c r="Y2827" s="63">
        <v>45360</v>
      </c>
      <c r="Z2827" s="61">
        <f>_xll.qlYieldTSDiscount($U$35,Y2827,,Trigger)</f>
        <v>0.90845661946428635</v>
      </c>
    </row>
    <row r="2828" spans="25:26" x14ac:dyDescent="0.25">
      <c r="Y2828" s="63">
        <v>45361</v>
      </c>
      <c r="Z2828" s="61">
        <f>_xll.qlYieldTSDiscount($U$35,Y2828,,Trigger)</f>
        <v>0.90841836103586582</v>
      </c>
    </row>
    <row r="2829" spans="25:26" x14ac:dyDescent="0.25">
      <c r="Y2829" s="63">
        <v>45362</v>
      </c>
      <c r="Z2829" s="61">
        <f>_xll.qlYieldTSDiscount($U$35,Y2829,,Trigger)</f>
        <v>0.90838010345810927</v>
      </c>
    </row>
    <row r="2830" spans="25:26" x14ac:dyDescent="0.25">
      <c r="Y2830" s="63">
        <v>45363</v>
      </c>
      <c r="Z2830" s="61">
        <f>_xll.qlYieldTSDiscount($U$35,Y2830,,Trigger)</f>
        <v>0.90834184673420826</v>
      </c>
    </row>
    <row r="2831" spans="25:26" x14ac:dyDescent="0.25">
      <c r="Y2831" s="63">
        <v>45364</v>
      </c>
      <c r="Z2831" s="61">
        <f>_xll.qlYieldTSDiscount($U$35,Y2831,,Trigger)</f>
        <v>0.90830359086735413</v>
      </c>
    </row>
    <row r="2832" spans="25:26" x14ac:dyDescent="0.25">
      <c r="Y2832" s="63">
        <v>45365</v>
      </c>
      <c r="Z2832" s="61">
        <f>_xll.qlYieldTSDiscount($U$35,Y2832,,Trigger)</f>
        <v>0.90826533586073832</v>
      </c>
    </row>
    <row r="2833" spans="25:26" x14ac:dyDescent="0.25">
      <c r="Y2833" s="63">
        <v>45366</v>
      </c>
      <c r="Z2833" s="61">
        <f>_xll.qlYieldTSDiscount($U$35,Y2833,,Trigger)</f>
        <v>0.90822708171755218</v>
      </c>
    </row>
    <row r="2834" spans="25:26" x14ac:dyDescent="0.25">
      <c r="Y2834" s="63">
        <v>45367</v>
      </c>
      <c r="Z2834" s="61">
        <f>_xll.qlYieldTSDiscount($U$35,Y2834,,Trigger)</f>
        <v>0.90818882844098736</v>
      </c>
    </row>
    <row r="2835" spans="25:26" x14ac:dyDescent="0.25">
      <c r="Y2835" s="63">
        <v>45368</v>
      </c>
      <c r="Z2835" s="61">
        <f>_xll.qlYieldTSDiscount($U$35,Y2835,,Trigger)</f>
        <v>0.9081505760342351</v>
      </c>
    </row>
    <row r="2836" spans="25:26" x14ac:dyDescent="0.25">
      <c r="Y2836" s="63">
        <v>45369</v>
      </c>
      <c r="Z2836" s="61">
        <f>_xll.qlYieldTSDiscount($U$35,Y2836,,Trigger)</f>
        <v>0.90811232450048684</v>
      </c>
    </row>
    <row r="2837" spans="25:26" x14ac:dyDescent="0.25">
      <c r="Y2837" s="63">
        <v>45370</v>
      </c>
      <c r="Z2837" s="61">
        <f>_xll.qlYieldTSDiscount($U$35,Y2837,,Trigger)</f>
        <v>0.90807407384293415</v>
      </c>
    </row>
    <row r="2838" spans="25:26" x14ac:dyDescent="0.25">
      <c r="Y2838" s="63">
        <v>45371</v>
      </c>
      <c r="Z2838" s="61">
        <f>_xll.qlYieldTSDiscount($U$35,Y2838,,Trigger)</f>
        <v>0.90803582406476824</v>
      </c>
    </row>
    <row r="2839" spans="25:26" x14ac:dyDescent="0.25">
      <c r="Y2839" s="63">
        <v>45372</v>
      </c>
      <c r="Z2839" s="61">
        <f>_xll.qlYieldTSDiscount($U$35,Y2839,,Trigger)</f>
        <v>0.90799757516918067</v>
      </c>
    </row>
    <row r="2840" spans="25:26" x14ac:dyDescent="0.25">
      <c r="Y2840" s="63">
        <v>45373</v>
      </c>
      <c r="Z2840" s="61">
        <f>_xll.qlYieldTSDiscount($U$35,Y2840,,Trigger)</f>
        <v>0.90795932715936278</v>
      </c>
    </row>
    <row r="2841" spans="25:26" x14ac:dyDescent="0.25">
      <c r="Y2841" s="63">
        <v>45374</v>
      </c>
      <c r="Z2841" s="61">
        <f>_xll.qlYieldTSDiscount($U$35,Y2841,,Trigger)</f>
        <v>0.90792108003850613</v>
      </c>
    </row>
    <row r="2842" spans="25:26" x14ac:dyDescent="0.25">
      <c r="Y2842" s="63">
        <v>45375</v>
      </c>
      <c r="Z2842" s="61">
        <f>_xll.qlYieldTSDiscount($U$35,Y2842,,Trigger)</f>
        <v>0.90788283380980206</v>
      </c>
    </row>
    <row r="2843" spans="25:26" x14ac:dyDescent="0.25">
      <c r="Y2843" s="63">
        <v>45376</v>
      </c>
      <c r="Z2843" s="61">
        <f>_xll.qlYieldTSDiscount($U$35,Y2843,,Trigger)</f>
        <v>0.907844588476442</v>
      </c>
    </row>
    <row r="2844" spans="25:26" x14ac:dyDescent="0.25">
      <c r="Y2844" s="63">
        <v>45377</v>
      </c>
      <c r="Z2844" s="61">
        <f>_xll.qlYieldTSDiscount($U$35,Y2844,,Trigger)</f>
        <v>0.90780634404161731</v>
      </c>
    </row>
    <row r="2845" spans="25:26" x14ac:dyDescent="0.25">
      <c r="Y2845" s="63">
        <v>45378</v>
      </c>
      <c r="Z2845" s="61">
        <f>_xll.qlYieldTSDiscount($U$35,Y2845,,Trigger)</f>
        <v>0.90776810050851953</v>
      </c>
    </row>
    <row r="2846" spans="25:26" x14ac:dyDescent="0.25">
      <c r="Y2846" s="63">
        <v>45379</v>
      </c>
      <c r="Z2846" s="61">
        <f>_xll.qlYieldTSDiscount($U$35,Y2846,,Trigger)</f>
        <v>0.90772985788034011</v>
      </c>
    </row>
    <row r="2847" spans="25:26" x14ac:dyDescent="0.25">
      <c r="Y2847" s="63">
        <v>45380</v>
      </c>
      <c r="Z2847" s="61">
        <f>_xll.qlYieldTSDiscount($U$35,Y2847,,Trigger)</f>
        <v>0.90769161616027028</v>
      </c>
    </row>
    <row r="2848" spans="25:26" x14ac:dyDescent="0.25">
      <c r="Y2848" s="63">
        <v>45381</v>
      </c>
      <c r="Z2848" s="61">
        <f>_xll.qlYieldTSDiscount($U$35,Y2848,,Trigger)</f>
        <v>0.90765337535150159</v>
      </c>
    </row>
    <row r="2849" spans="25:26" x14ac:dyDescent="0.25">
      <c r="Y2849" s="63">
        <v>45382</v>
      </c>
      <c r="Z2849" s="61">
        <f>_xll.qlYieldTSDiscount($U$35,Y2849,,Trigger)</f>
        <v>0.9076151354572255</v>
      </c>
    </row>
    <row r="2850" spans="25:26" x14ac:dyDescent="0.25">
      <c r="Y2850" s="63">
        <v>45383</v>
      </c>
      <c r="Z2850" s="61">
        <f>_xll.qlYieldTSDiscount($U$35,Y2850,,Trigger)</f>
        <v>0.90757689648063344</v>
      </c>
    </row>
    <row r="2851" spans="25:26" x14ac:dyDescent="0.25">
      <c r="Y2851" s="63">
        <v>45384</v>
      </c>
      <c r="Z2851" s="61">
        <f>_xll.qlYieldTSDiscount($U$35,Y2851,,Trigger)</f>
        <v>0.90753865842491677</v>
      </c>
    </row>
    <row r="2852" spans="25:26" x14ac:dyDescent="0.25">
      <c r="Y2852" s="63">
        <v>45385</v>
      </c>
      <c r="Z2852" s="61">
        <f>_xll.qlYieldTSDiscount($U$35,Y2852,,Trigger)</f>
        <v>0.90750042129326691</v>
      </c>
    </row>
    <row r="2853" spans="25:26" x14ac:dyDescent="0.25">
      <c r="Y2853" s="63">
        <v>45386</v>
      </c>
      <c r="Z2853" s="61">
        <f>_xll.qlYieldTSDiscount($U$35,Y2853,,Trigger)</f>
        <v>0.90746218508887522</v>
      </c>
    </row>
    <row r="2854" spans="25:26" x14ac:dyDescent="0.25">
      <c r="Y2854" s="63">
        <v>45387</v>
      </c>
      <c r="Z2854" s="61">
        <f>_xll.qlYieldTSDiscount($U$35,Y2854,,Trigger)</f>
        <v>0.90742394981493335</v>
      </c>
    </row>
    <row r="2855" spans="25:26" x14ac:dyDescent="0.25">
      <c r="Y2855" s="63">
        <v>45388</v>
      </c>
      <c r="Z2855" s="61">
        <f>_xll.qlYieldTSDiscount($U$35,Y2855,,Trigger)</f>
        <v>0.90738571547463254</v>
      </c>
    </row>
    <row r="2856" spans="25:26" x14ac:dyDescent="0.25">
      <c r="Y2856" s="63">
        <v>45389</v>
      </c>
      <c r="Z2856" s="61">
        <f>_xll.qlYieldTSDiscount($U$35,Y2856,,Trigger)</f>
        <v>0.90734748207116422</v>
      </c>
    </row>
    <row r="2857" spans="25:26" x14ac:dyDescent="0.25">
      <c r="Y2857" s="63">
        <v>45390</v>
      </c>
      <c r="Z2857" s="61">
        <f>_xll.qlYieldTSDiscount($U$35,Y2857,,Trigger)</f>
        <v>0.90730924960771997</v>
      </c>
    </row>
    <row r="2858" spans="25:26" x14ac:dyDescent="0.25">
      <c r="Y2858" s="63">
        <v>45391</v>
      </c>
      <c r="Z2858" s="61">
        <f>_xll.qlYieldTSDiscount($U$35,Y2858,,Trigger)</f>
        <v>0.907271018087491</v>
      </c>
    </row>
    <row r="2859" spans="25:26" x14ac:dyDescent="0.25">
      <c r="Y2859" s="63">
        <v>45392</v>
      </c>
      <c r="Z2859" s="61">
        <f>_xll.qlYieldTSDiscount($U$35,Y2859,,Trigger)</f>
        <v>0.90723278751366898</v>
      </c>
    </row>
    <row r="2860" spans="25:26" x14ac:dyDescent="0.25">
      <c r="Y2860" s="63">
        <v>45393</v>
      </c>
      <c r="Z2860" s="61">
        <f>_xll.qlYieldTSDiscount($U$35,Y2860,,Trigger)</f>
        <v>0.90719455788944503</v>
      </c>
    </row>
    <row r="2861" spans="25:26" x14ac:dyDescent="0.25">
      <c r="Y2861" s="63">
        <v>45394</v>
      </c>
      <c r="Z2861" s="61">
        <f>_xll.qlYieldTSDiscount($U$35,Y2861,,Trigger)</f>
        <v>0.90715632921801082</v>
      </c>
    </row>
    <row r="2862" spans="25:26" x14ac:dyDescent="0.25">
      <c r="Y2862" s="63">
        <v>45395</v>
      </c>
      <c r="Z2862" s="61">
        <f>_xll.qlYieldTSDiscount($U$35,Y2862,,Trigger)</f>
        <v>0.90711810150255778</v>
      </c>
    </row>
    <row r="2863" spans="25:26" x14ac:dyDescent="0.25">
      <c r="Y2863" s="63">
        <v>45396</v>
      </c>
      <c r="Z2863" s="61">
        <f>_xll.qlYieldTSDiscount($U$35,Y2863,,Trigger)</f>
        <v>0.90707987474627716</v>
      </c>
    </row>
    <row r="2864" spans="25:26" x14ac:dyDescent="0.25">
      <c r="Y2864" s="63">
        <v>45397</v>
      </c>
      <c r="Z2864" s="61">
        <f>_xll.qlYieldTSDiscount($U$35,Y2864,,Trigger)</f>
        <v>0.90704164895236039</v>
      </c>
    </row>
    <row r="2865" spans="25:26" x14ac:dyDescent="0.25">
      <c r="Y2865" s="63">
        <v>45398</v>
      </c>
      <c r="Z2865" s="61">
        <f>_xll.qlYieldTSDiscount($U$35,Y2865,,Trigger)</f>
        <v>0.90700342412399915</v>
      </c>
    </row>
    <row r="2866" spans="25:26" x14ac:dyDescent="0.25">
      <c r="Y2866" s="63">
        <v>45399</v>
      </c>
      <c r="Z2866" s="61">
        <f>_xll.qlYieldTSDiscount($U$35,Y2866,,Trigger)</f>
        <v>0.90696520026438465</v>
      </c>
    </row>
    <row r="2867" spans="25:26" x14ac:dyDescent="0.25">
      <c r="Y2867" s="63">
        <v>45400</v>
      </c>
      <c r="Z2867" s="61">
        <f>_xll.qlYieldTSDiscount($U$35,Y2867,,Trigger)</f>
        <v>0.90692697737670824</v>
      </c>
    </row>
    <row r="2868" spans="25:26" x14ac:dyDescent="0.25">
      <c r="Y2868" s="63">
        <v>45401</v>
      </c>
      <c r="Z2868" s="61">
        <f>_xll.qlYieldTSDiscount($U$35,Y2868,,Trigger)</f>
        <v>0.90688875546416159</v>
      </c>
    </row>
    <row r="2869" spans="25:26" x14ac:dyDescent="0.25">
      <c r="Y2869" s="63">
        <v>45402</v>
      </c>
      <c r="Z2869" s="61">
        <f>_xll.qlYieldTSDiscount($U$35,Y2869,,Trigger)</f>
        <v>0.90685053452993603</v>
      </c>
    </row>
    <row r="2870" spans="25:26" x14ac:dyDescent="0.25">
      <c r="Y2870" s="63">
        <v>45403</v>
      </c>
      <c r="Z2870" s="61">
        <f>_xll.qlYieldTSDiscount($U$35,Y2870,,Trigger)</f>
        <v>0.90681231457722289</v>
      </c>
    </row>
    <row r="2871" spans="25:26" x14ac:dyDescent="0.25">
      <c r="Y2871" s="63">
        <v>45404</v>
      </c>
      <c r="Z2871" s="61">
        <f>_xll.qlYieldTSDiscount($U$35,Y2871,,Trigger)</f>
        <v>0.90677409560921363</v>
      </c>
    </row>
    <row r="2872" spans="25:26" x14ac:dyDescent="0.25">
      <c r="Y2872" s="63">
        <v>45405</v>
      </c>
      <c r="Z2872" s="61">
        <f>_xll.qlYieldTSDiscount($U$35,Y2872,,Trigger)</f>
        <v>0.9067358776290998</v>
      </c>
    </row>
    <row r="2873" spans="25:26" x14ac:dyDescent="0.25">
      <c r="Y2873" s="63">
        <v>45406</v>
      </c>
      <c r="Z2873" s="61">
        <f>_xll.qlYieldTSDiscount($U$35,Y2873,,Trigger)</f>
        <v>0.90669766064007262</v>
      </c>
    </row>
    <row r="2874" spans="25:26" x14ac:dyDescent="0.25">
      <c r="Y2874" s="63">
        <v>45407</v>
      </c>
      <c r="Z2874" s="61">
        <f>_xll.qlYieldTSDiscount($U$35,Y2874,,Trigger)</f>
        <v>0.90665944464532378</v>
      </c>
    </row>
    <row r="2875" spans="25:26" x14ac:dyDescent="0.25">
      <c r="Y2875" s="63">
        <v>45408</v>
      </c>
      <c r="Z2875" s="61">
        <f>_xll.qlYieldTSDiscount($U$35,Y2875,,Trigger)</f>
        <v>0.90662122964804448</v>
      </c>
    </row>
    <row r="2876" spans="25:26" x14ac:dyDescent="0.25">
      <c r="Y2876" s="63">
        <v>45409</v>
      </c>
      <c r="Z2876" s="61">
        <f>_xll.qlYieldTSDiscount($U$35,Y2876,,Trigger)</f>
        <v>0.90658301565142618</v>
      </c>
    </row>
    <row r="2877" spans="25:26" x14ac:dyDescent="0.25">
      <c r="Y2877" s="63">
        <v>45410</v>
      </c>
      <c r="Z2877" s="61">
        <f>_xll.qlYieldTSDiscount($U$35,Y2877,,Trigger)</f>
        <v>0.90654480265866033</v>
      </c>
    </row>
    <row r="2878" spans="25:26" x14ac:dyDescent="0.25">
      <c r="Y2878" s="63">
        <v>45411</v>
      </c>
      <c r="Z2878" s="61">
        <f>_xll.qlYieldTSDiscount($U$35,Y2878,,Trigger)</f>
        <v>0.90650659067293837</v>
      </c>
    </row>
    <row r="2879" spans="25:26" x14ac:dyDescent="0.25">
      <c r="Y2879" s="63">
        <v>45412</v>
      </c>
      <c r="Z2879" s="61">
        <f>_xll.qlYieldTSDiscount($U$35,Y2879,,Trigger)</f>
        <v>0.90646837969745186</v>
      </c>
    </row>
    <row r="2880" spans="25:26" x14ac:dyDescent="0.25">
      <c r="Y2880" s="63">
        <v>45413</v>
      </c>
      <c r="Z2880" s="61">
        <f>_xll.qlYieldTSDiscount($U$35,Y2880,,Trigger)</f>
        <v>0.90643016973539192</v>
      </c>
    </row>
    <row r="2881" spans="25:26" x14ac:dyDescent="0.25">
      <c r="Y2881" s="63">
        <v>45414</v>
      </c>
      <c r="Z2881" s="61">
        <f>_xll.qlYieldTSDiscount($U$35,Y2881,,Trigger)</f>
        <v>0.90639196078995021</v>
      </c>
    </row>
    <row r="2882" spans="25:26" x14ac:dyDescent="0.25">
      <c r="Y2882" s="63">
        <v>45415</v>
      </c>
      <c r="Z2882" s="61">
        <f>_xll.qlYieldTSDiscount($U$35,Y2882,,Trigger)</f>
        <v>0.90635375286431819</v>
      </c>
    </row>
    <row r="2883" spans="25:26" x14ac:dyDescent="0.25">
      <c r="Y2883" s="63">
        <v>45416</v>
      </c>
      <c r="Z2883" s="61">
        <f>_xll.qlYieldTSDiscount($U$35,Y2883,,Trigger)</f>
        <v>0.90631554596168706</v>
      </c>
    </row>
    <row r="2884" spans="25:26" x14ac:dyDescent="0.25">
      <c r="Y2884" s="63">
        <v>45417</v>
      </c>
      <c r="Z2884" s="61">
        <f>_xll.qlYieldTSDiscount($U$35,Y2884,,Trigger)</f>
        <v>0.90627734008524841</v>
      </c>
    </row>
    <row r="2885" spans="25:26" x14ac:dyDescent="0.25">
      <c r="Y2885" s="63">
        <v>45418</v>
      </c>
      <c r="Z2885" s="61">
        <f>_xll.qlYieldTSDiscount($U$35,Y2885,,Trigger)</f>
        <v>0.90623913523819355</v>
      </c>
    </row>
    <row r="2886" spans="25:26" x14ac:dyDescent="0.25">
      <c r="Y2886" s="63">
        <v>45419</v>
      </c>
      <c r="Z2886" s="61">
        <f>_xll.qlYieldTSDiscount($U$35,Y2886,,Trigger)</f>
        <v>0.90620093142371405</v>
      </c>
    </row>
    <row r="2887" spans="25:26" x14ac:dyDescent="0.25">
      <c r="Y2887" s="63">
        <v>45420</v>
      </c>
      <c r="Z2887" s="61">
        <f>_xll.qlYieldTSDiscount($U$35,Y2887,,Trigger)</f>
        <v>0.90616272864500125</v>
      </c>
    </row>
    <row r="2888" spans="25:26" x14ac:dyDescent="0.25">
      <c r="Y2888" s="63">
        <v>45421</v>
      </c>
      <c r="Z2888" s="61">
        <f>_xll.qlYieldTSDiscount($U$35,Y2888,,Trigger)</f>
        <v>0.90612452690524659</v>
      </c>
    </row>
    <row r="2889" spans="25:26" x14ac:dyDescent="0.25">
      <c r="Y2889" s="63">
        <v>45422</v>
      </c>
      <c r="Z2889" s="61">
        <f>_xll.qlYieldTSDiscount($U$35,Y2889,,Trigger)</f>
        <v>0.90608632620764151</v>
      </c>
    </row>
    <row r="2890" spans="25:26" x14ac:dyDescent="0.25">
      <c r="Y2890" s="63">
        <v>45423</v>
      </c>
      <c r="Z2890" s="61">
        <f>_xll.qlYieldTSDiscount($U$35,Y2890,,Trigger)</f>
        <v>0.90604812655537736</v>
      </c>
    </row>
    <row r="2891" spans="25:26" x14ac:dyDescent="0.25">
      <c r="Y2891" s="63">
        <v>45424</v>
      </c>
      <c r="Z2891" s="61">
        <f>_xll.qlYieldTSDiscount($U$35,Y2891,,Trigger)</f>
        <v>0.9060099279516457</v>
      </c>
    </row>
    <row r="2892" spans="25:26" x14ac:dyDescent="0.25">
      <c r="Y2892" s="63">
        <v>45425</v>
      </c>
      <c r="Z2892" s="61">
        <f>_xll.qlYieldTSDiscount($U$35,Y2892,,Trigger)</f>
        <v>0.90597173039963785</v>
      </c>
    </row>
    <row r="2893" spans="25:26" x14ac:dyDescent="0.25">
      <c r="Y2893" s="63">
        <v>45426</v>
      </c>
      <c r="Z2893" s="61">
        <f>_xll.qlYieldTSDiscount($U$35,Y2893,,Trigger)</f>
        <v>0.90593353390254527</v>
      </c>
    </row>
    <row r="2894" spans="25:26" x14ac:dyDescent="0.25">
      <c r="Y2894" s="63">
        <v>45427</v>
      </c>
      <c r="Z2894" s="61">
        <f>_xll.qlYieldTSDiscount($U$35,Y2894,,Trigger)</f>
        <v>0.90589533846355941</v>
      </c>
    </row>
    <row r="2895" spans="25:26" x14ac:dyDescent="0.25">
      <c r="Y2895" s="63">
        <v>45428</v>
      </c>
      <c r="Z2895" s="61">
        <f>_xll.qlYieldTSDiscount($U$35,Y2895,,Trigger)</f>
        <v>0.90585714408587159</v>
      </c>
    </row>
    <row r="2896" spans="25:26" x14ac:dyDescent="0.25">
      <c r="Y2896" s="63">
        <v>45429</v>
      </c>
      <c r="Z2896" s="61">
        <f>_xll.qlYieldTSDiscount($U$35,Y2896,,Trigger)</f>
        <v>0.90581895077267338</v>
      </c>
    </row>
    <row r="2897" spans="25:26" x14ac:dyDescent="0.25">
      <c r="Y2897" s="63">
        <v>45430</v>
      </c>
      <c r="Z2897" s="61">
        <f>_xll.qlYieldTSDiscount($U$35,Y2897,,Trigger)</f>
        <v>0.90578075852715612</v>
      </c>
    </row>
    <row r="2898" spans="25:26" x14ac:dyDescent="0.25">
      <c r="Y2898" s="63">
        <v>45431</v>
      </c>
      <c r="Z2898" s="61">
        <f>_xll.qlYieldTSDiscount($U$35,Y2898,,Trigger)</f>
        <v>0.90574256735251124</v>
      </c>
    </row>
    <row r="2899" spans="25:26" x14ac:dyDescent="0.25">
      <c r="Y2899" s="63">
        <v>45432</v>
      </c>
      <c r="Z2899" s="61">
        <f>_xll.qlYieldTSDiscount($U$35,Y2899,,Trigger)</f>
        <v>0.90570437725193009</v>
      </c>
    </row>
    <row r="2900" spans="25:26" x14ac:dyDescent="0.25">
      <c r="Y2900" s="63">
        <v>45433</v>
      </c>
      <c r="Z2900" s="61">
        <f>_xll.qlYieldTSDiscount($U$35,Y2900,,Trigger)</f>
        <v>0.90566618822860434</v>
      </c>
    </row>
    <row r="2901" spans="25:26" x14ac:dyDescent="0.25">
      <c r="Y2901" s="63">
        <v>45434</v>
      </c>
      <c r="Z2901" s="61">
        <f>_xll.qlYieldTSDiscount($U$35,Y2901,,Trigger)</f>
        <v>0.9056280002857251</v>
      </c>
    </row>
    <row r="2902" spans="25:26" x14ac:dyDescent="0.25">
      <c r="Y2902" s="63">
        <v>45435</v>
      </c>
      <c r="Z2902" s="61">
        <f>_xll.qlYieldTSDiscount($U$35,Y2902,,Trigger)</f>
        <v>0.90558981342648404</v>
      </c>
    </row>
    <row r="2903" spans="25:26" x14ac:dyDescent="0.25">
      <c r="Y2903" s="63">
        <v>45436</v>
      </c>
      <c r="Z2903" s="61">
        <f>_xll.qlYieldTSDiscount($U$35,Y2903,,Trigger)</f>
        <v>0.90555162765407249</v>
      </c>
    </row>
    <row r="2904" spans="25:26" x14ac:dyDescent="0.25">
      <c r="Y2904" s="63">
        <v>45437</v>
      </c>
      <c r="Z2904" s="61">
        <f>_xll.qlYieldTSDiscount($U$35,Y2904,,Trigger)</f>
        <v>0.9055134429716819</v>
      </c>
    </row>
    <row r="2905" spans="25:26" x14ac:dyDescent="0.25">
      <c r="Y2905" s="63">
        <v>45438</v>
      </c>
      <c r="Z2905" s="61">
        <f>_xll.qlYieldTSDiscount($U$35,Y2905,,Trigger)</f>
        <v>0.90547525938250362</v>
      </c>
    </row>
    <row r="2906" spans="25:26" x14ac:dyDescent="0.25">
      <c r="Y2906" s="63">
        <v>45439</v>
      </c>
      <c r="Z2906" s="61">
        <f>_xll.qlYieldTSDiscount($U$35,Y2906,,Trigger)</f>
        <v>0.90543707688972919</v>
      </c>
    </row>
    <row r="2907" spans="25:26" x14ac:dyDescent="0.25">
      <c r="Y2907" s="63">
        <v>45440</v>
      </c>
      <c r="Z2907" s="61">
        <f>_xll.qlYieldTSDiscount($U$35,Y2907,,Trigger)</f>
        <v>0.90539889549654995</v>
      </c>
    </row>
    <row r="2908" spans="25:26" x14ac:dyDescent="0.25">
      <c r="Y2908" s="63">
        <v>45441</v>
      </c>
      <c r="Z2908" s="61">
        <f>_xll.qlYieldTSDiscount($U$35,Y2908,,Trigger)</f>
        <v>0.90536071520615735</v>
      </c>
    </row>
    <row r="2909" spans="25:26" x14ac:dyDescent="0.25">
      <c r="Y2909" s="63">
        <v>45442</v>
      </c>
      <c r="Z2909" s="61">
        <f>_xll.qlYieldTSDiscount($U$35,Y2909,,Trigger)</f>
        <v>0.90532253602174284</v>
      </c>
    </row>
    <row r="2910" spans="25:26" x14ac:dyDescent="0.25">
      <c r="Y2910" s="63">
        <v>45443</v>
      </c>
      <c r="Z2910" s="61">
        <f>_xll.qlYieldTSDiscount($U$35,Y2910,,Trigger)</f>
        <v>0.90528435794649775</v>
      </c>
    </row>
    <row r="2911" spans="25:26" x14ac:dyDescent="0.25">
      <c r="Y2911" s="63">
        <v>45444</v>
      </c>
      <c r="Z2911" s="61">
        <f>_xll.qlYieldTSDiscount($U$35,Y2911,,Trigger)</f>
        <v>0.90524618098361365</v>
      </c>
    </row>
    <row r="2912" spans="25:26" x14ac:dyDescent="0.25">
      <c r="Y2912" s="63">
        <v>45445</v>
      </c>
      <c r="Z2912" s="61">
        <f>_xll.qlYieldTSDiscount($U$35,Y2912,,Trigger)</f>
        <v>0.90520800513628186</v>
      </c>
    </row>
    <row r="2913" spans="25:26" x14ac:dyDescent="0.25">
      <c r="Y2913" s="63">
        <v>45446</v>
      </c>
      <c r="Z2913" s="61">
        <f>_xll.qlYieldTSDiscount($U$35,Y2913,,Trigger)</f>
        <v>0.90516983040769383</v>
      </c>
    </row>
    <row r="2914" spans="25:26" x14ac:dyDescent="0.25">
      <c r="Y2914" s="63">
        <v>45447</v>
      </c>
      <c r="Z2914" s="61">
        <f>_xll.qlYieldTSDiscount($U$35,Y2914,,Trigger)</f>
        <v>0.90513165680104102</v>
      </c>
    </row>
    <row r="2915" spans="25:26" x14ac:dyDescent="0.25">
      <c r="Y2915" s="63">
        <v>45448</v>
      </c>
      <c r="Z2915" s="61">
        <f>_xll.qlYieldTSDiscount($U$35,Y2915,,Trigger)</f>
        <v>0.90509348431951486</v>
      </c>
    </row>
    <row r="2916" spans="25:26" x14ac:dyDescent="0.25">
      <c r="Y2916" s="63">
        <v>45449</v>
      </c>
      <c r="Z2916" s="61">
        <f>_xll.qlYieldTSDiscount($U$35,Y2916,,Trigger)</f>
        <v>0.9050553129663067</v>
      </c>
    </row>
    <row r="2917" spans="25:26" x14ac:dyDescent="0.25">
      <c r="Y2917" s="63">
        <v>45450</v>
      </c>
      <c r="Z2917" s="61">
        <f>_xll.qlYieldTSDiscount($U$35,Y2917,,Trigger)</f>
        <v>0.90501714274460798</v>
      </c>
    </row>
    <row r="2918" spans="25:26" x14ac:dyDescent="0.25">
      <c r="Y2918" s="63">
        <v>45451</v>
      </c>
      <c r="Z2918" s="61">
        <f>_xll.qlYieldTSDiscount($U$35,Y2918,,Trigger)</f>
        <v>0.90497897365761015</v>
      </c>
    </row>
    <row r="2919" spans="25:26" x14ac:dyDescent="0.25">
      <c r="Y2919" s="63">
        <v>45452</v>
      </c>
      <c r="Z2919" s="61">
        <f>_xll.qlYieldTSDiscount($U$35,Y2919,,Trigger)</f>
        <v>0.90494080570850466</v>
      </c>
    </row>
    <row r="2920" spans="25:26" x14ac:dyDescent="0.25">
      <c r="Y2920" s="63">
        <v>45453</v>
      </c>
      <c r="Z2920" s="61">
        <f>_xll.qlYieldTSDiscount($U$35,Y2920,,Trigger)</f>
        <v>0.90490263890048295</v>
      </c>
    </row>
    <row r="2921" spans="25:26" x14ac:dyDescent="0.25">
      <c r="Y2921" s="63">
        <v>45454</v>
      </c>
      <c r="Z2921" s="61">
        <f>_xll.qlYieldTSDiscount($U$35,Y2921,,Trigger)</f>
        <v>0.90486447323673636</v>
      </c>
    </row>
    <row r="2922" spans="25:26" x14ac:dyDescent="0.25">
      <c r="Y2922" s="63">
        <v>45455</v>
      </c>
      <c r="Z2922" s="61">
        <f>_xll.qlYieldTSDiscount($U$35,Y2922,,Trigger)</f>
        <v>0.90482630872045633</v>
      </c>
    </row>
    <row r="2923" spans="25:26" x14ac:dyDescent="0.25">
      <c r="Y2923" s="63">
        <v>45456</v>
      </c>
      <c r="Z2923" s="61">
        <f>_xll.qlYieldTSDiscount($U$35,Y2923,,Trigger)</f>
        <v>0.90478814535483443</v>
      </c>
    </row>
    <row r="2924" spans="25:26" x14ac:dyDescent="0.25">
      <c r="Y2924" s="63">
        <v>45457</v>
      </c>
      <c r="Z2924" s="61">
        <f>_xll.qlYieldTSDiscount($U$35,Y2924,,Trigger)</f>
        <v>0.90474998314306188</v>
      </c>
    </row>
    <row r="2925" spans="25:26" x14ac:dyDescent="0.25">
      <c r="Y2925" s="63">
        <v>45458</v>
      </c>
      <c r="Z2925" s="61">
        <f>_xll.qlYieldTSDiscount($U$35,Y2925,,Trigger)</f>
        <v>0.90471182208833023</v>
      </c>
    </row>
    <row r="2926" spans="25:26" x14ac:dyDescent="0.25">
      <c r="Y2926" s="63">
        <v>45459</v>
      </c>
      <c r="Z2926" s="61">
        <f>_xll.qlYieldTSDiscount($U$35,Y2926,,Trigger)</f>
        <v>0.90467366219383083</v>
      </c>
    </row>
    <row r="2927" spans="25:26" x14ac:dyDescent="0.25">
      <c r="Y2927" s="63">
        <v>45460</v>
      </c>
      <c r="Z2927" s="61">
        <f>_xll.qlYieldTSDiscount($U$35,Y2927,,Trigger)</f>
        <v>0.90463550346275523</v>
      </c>
    </row>
    <row r="2928" spans="25:26" x14ac:dyDescent="0.25">
      <c r="Y2928" s="63">
        <v>45461</v>
      </c>
      <c r="Z2928" s="61">
        <f>_xll.qlYieldTSDiscount($U$35,Y2928,,Trigger)</f>
        <v>0.90459734589829477</v>
      </c>
    </row>
    <row r="2929" spans="25:26" x14ac:dyDescent="0.25">
      <c r="Y2929" s="63">
        <v>45462</v>
      </c>
      <c r="Z2929" s="61">
        <f>_xll.qlYieldTSDiscount($U$35,Y2929,,Trigger)</f>
        <v>0.90455918950364078</v>
      </c>
    </row>
    <row r="2930" spans="25:26" x14ac:dyDescent="0.25">
      <c r="Y2930" s="63">
        <v>45463</v>
      </c>
      <c r="Z2930" s="61">
        <f>_xll.qlYieldTSDiscount($U$35,Y2930,,Trigger)</f>
        <v>0.90452103428198483</v>
      </c>
    </row>
    <row r="2931" spans="25:26" x14ac:dyDescent="0.25">
      <c r="Y2931" s="63">
        <v>45464</v>
      </c>
      <c r="Z2931" s="61">
        <f>_xll.qlYieldTSDiscount($U$35,Y2931,,Trigger)</f>
        <v>0.90448288023651835</v>
      </c>
    </row>
    <row r="2932" spans="25:26" x14ac:dyDescent="0.25">
      <c r="Y2932" s="63">
        <v>45465</v>
      </c>
      <c r="Z2932" s="61">
        <f>_xll.qlYieldTSDiscount($U$35,Y2932,,Trigger)</f>
        <v>0.90444472737043269</v>
      </c>
    </row>
    <row r="2933" spans="25:26" x14ac:dyDescent="0.25">
      <c r="Y2933" s="63">
        <v>45466</v>
      </c>
      <c r="Z2933" s="61">
        <f>_xll.qlYieldTSDiscount($U$35,Y2933,,Trigger)</f>
        <v>0.90440657568691918</v>
      </c>
    </row>
    <row r="2934" spans="25:26" x14ac:dyDescent="0.25">
      <c r="Y2934" s="63">
        <v>45467</v>
      </c>
      <c r="Z2934" s="61">
        <f>_xll.qlYieldTSDiscount($U$35,Y2934,,Trigger)</f>
        <v>0.90436842518916949</v>
      </c>
    </row>
    <row r="2935" spans="25:26" x14ac:dyDescent="0.25">
      <c r="Y2935" s="63">
        <v>45468</v>
      </c>
      <c r="Z2935" s="61">
        <f>_xll.qlYieldTSDiscount($U$35,Y2935,,Trigger)</f>
        <v>0.90433027588037496</v>
      </c>
    </row>
    <row r="2936" spans="25:26" x14ac:dyDescent="0.25">
      <c r="Y2936" s="63">
        <v>45469</v>
      </c>
      <c r="Z2936" s="61">
        <f>_xll.qlYieldTSDiscount($U$35,Y2936,,Trigger)</f>
        <v>0.90429212776372692</v>
      </c>
    </row>
    <row r="2937" spans="25:26" x14ac:dyDescent="0.25">
      <c r="Y2937" s="63">
        <v>45470</v>
      </c>
      <c r="Z2937" s="61">
        <f>_xll.qlYieldTSDiscount($U$35,Y2937,,Trigger)</f>
        <v>0.90425398084241682</v>
      </c>
    </row>
    <row r="2938" spans="25:26" x14ac:dyDescent="0.25">
      <c r="Y2938" s="63">
        <v>45471</v>
      </c>
      <c r="Z2938" s="61">
        <f>_xll.qlYieldTSDiscount($U$35,Y2938,,Trigger)</f>
        <v>0.9042158351196361</v>
      </c>
    </row>
    <row r="2939" spans="25:26" x14ac:dyDescent="0.25">
      <c r="Y2939" s="63">
        <v>45472</v>
      </c>
      <c r="Z2939" s="61">
        <f>_xll.qlYieldTSDiscount($U$35,Y2939,,Trigger)</f>
        <v>0.90417769059857622</v>
      </c>
    </row>
    <row r="2940" spans="25:26" x14ac:dyDescent="0.25">
      <c r="Y2940" s="63">
        <v>45473</v>
      </c>
      <c r="Z2940" s="61">
        <f>_xll.qlYieldTSDiscount($U$35,Y2940,,Trigger)</f>
        <v>0.90413954728242862</v>
      </c>
    </row>
    <row r="2941" spans="25:26" x14ac:dyDescent="0.25">
      <c r="Y2941" s="63">
        <v>45474</v>
      </c>
      <c r="Z2941" s="61">
        <f>_xll.qlYieldTSDiscount($U$35,Y2941,,Trigger)</f>
        <v>0.90410140517438464</v>
      </c>
    </row>
    <row r="2942" spans="25:26" x14ac:dyDescent="0.25">
      <c r="Y2942" s="63">
        <v>45475</v>
      </c>
      <c r="Z2942" s="61">
        <f>_xll.qlYieldTSDiscount($U$35,Y2942,,Trigger)</f>
        <v>0.90406326427763584</v>
      </c>
    </row>
    <row r="2943" spans="25:26" x14ac:dyDescent="0.25">
      <c r="Y2943" s="63">
        <v>45476</v>
      </c>
      <c r="Z2943" s="61">
        <f>_xll.qlYieldTSDiscount($U$35,Y2943,,Trigger)</f>
        <v>0.90402512459537343</v>
      </c>
    </row>
    <row r="2944" spans="25:26" x14ac:dyDescent="0.25">
      <c r="Y2944" s="63">
        <v>45477</v>
      </c>
      <c r="Z2944" s="61">
        <f>_xll.qlYieldTSDiscount($U$35,Y2944,,Trigger)</f>
        <v>0.90398698613078909</v>
      </c>
    </row>
    <row r="2945" spans="25:26" x14ac:dyDescent="0.25">
      <c r="Y2945" s="63">
        <v>45478</v>
      </c>
      <c r="Z2945" s="61">
        <f>_xll.qlYieldTSDiscount($U$35,Y2945,,Trigger)</f>
        <v>0.90394884888707405</v>
      </c>
    </row>
    <row r="2946" spans="25:26" x14ac:dyDescent="0.25">
      <c r="Y2946" s="63">
        <v>45479</v>
      </c>
      <c r="Z2946" s="61">
        <f>_xll.qlYieldTSDiscount($U$35,Y2946,,Trigger)</f>
        <v>0.90391071286741975</v>
      </c>
    </row>
    <row r="2947" spans="25:26" x14ac:dyDescent="0.25">
      <c r="Y2947" s="63">
        <v>45480</v>
      </c>
      <c r="Z2947" s="61">
        <f>_xll.qlYieldTSDiscount($U$35,Y2947,,Trigger)</f>
        <v>0.90387257807501775</v>
      </c>
    </row>
    <row r="2948" spans="25:26" x14ac:dyDescent="0.25">
      <c r="Y2948" s="63">
        <v>45481</v>
      </c>
      <c r="Z2948" s="61">
        <f>_xll.qlYieldTSDiscount($U$35,Y2948,,Trigger)</f>
        <v>0.9038344445130595</v>
      </c>
    </row>
    <row r="2949" spans="25:26" x14ac:dyDescent="0.25">
      <c r="Y2949" s="63">
        <v>45482</v>
      </c>
      <c r="Z2949" s="61">
        <f>_xll.qlYieldTSDiscount($U$35,Y2949,,Trigger)</f>
        <v>0.90379631218473611</v>
      </c>
    </row>
    <row r="2950" spans="25:26" x14ac:dyDescent="0.25">
      <c r="Y2950" s="63">
        <v>45483</v>
      </c>
      <c r="Z2950" s="61">
        <f>_xll.qlYieldTSDiscount($U$35,Y2950,,Trigger)</f>
        <v>0.90375818109323935</v>
      </c>
    </row>
    <row r="2951" spans="25:26" x14ac:dyDescent="0.25">
      <c r="Y2951" s="63">
        <v>45484</v>
      </c>
      <c r="Z2951" s="61">
        <f>_xll.qlYieldTSDiscount($U$35,Y2951,,Trigger)</f>
        <v>0.90372005124176047</v>
      </c>
    </row>
    <row r="2952" spans="25:26" x14ac:dyDescent="0.25">
      <c r="Y2952" s="63">
        <v>45485</v>
      </c>
      <c r="Z2952" s="61">
        <f>_xll.qlYieldTSDiscount($U$35,Y2952,,Trigger)</f>
        <v>0.9036819226334909</v>
      </c>
    </row>
    <row r="2953" spans="25:26" x14ac:dyDescent="0.25">
      <c r="Y2953" s="63">
        <v>45486</v>
      </c>
      <c r="Z2953" s="61">
        <f>_xll.qlYieldTSDiscount($U$35,Y2953,,Trigger)</f>
        <v>0.9036437952716222</v>
      </c>
    </row>
    <row r="2954" spans="25:26" x14ac:dyDescent="0.25">
      <c r="Y2954" s="63">
        <v>45487</v>
      </c>
      <c r="Z2954" s="61">
        <f>_xll.qlYieldTSDiscount($U$35,Y2954,,Trigger)</f>
        <v>0.90360566915934559</v>
      </c>
    </row>
    <row r="2955" spans="25:26" x14ac:dyDescent="0.25">
      <c r="Y2955" s="63">
        <v>45488</v>
      </c>
      <c r="Z2955" s="61">
        <f>_xll.qlYieldTSDiscount($U$35,Y2955,,Trigger)</f>
        <v>0.90356754429985264</v>
      </c>
    </row>
    <row r="2956" spans="25:26" x14ac:dyDescent="0.25">
      <c r="Y2956" s="63">
        <v>45489</v>
      </c>
      <c r="Z2956" s="61">
        <f>_xll.qlYieldTSDiscount($U$35,Y2956,,Trigger)</f>
        <v>0.9035294206963348</v>
      </c>
    </row>
    <row r="2957" spans="25:26" x14ac:dyDescent="0.25">
      <c r="Y2957" s="63">
        <v>45490</v>
      </c>
      <c r="Z2957" s="61">
        <f>_xll.qlYieldTSDiscount($U$35,Y2957,,Trigger)</f>
        <v>0.90349129835198339</v>
      </c>
    </row>
    <row r="2958" spans="25:26" x14ac:dyDescent="0.25">
      <c r="Y2958" s="63">
        <v>45491</v>
      </c>
      <c r="Z2958" s="61">
        <f>_xll.qlYieldTSDiscount($U$35,Y2958,,Trigger)</f>
        <v>0.90345317726998986</v>
      </c>
    </row>
    <row r="2959" spans="25:26" x14ac:dyDescent="0.25">
      <c r="Y2959" s="63">
        <v>45492</v>
      </c>
      <c r="Z2959" s="61">
        <f>_xll.qlYieldTSDiscount($U$35,Y2959,,Trigger)</f>
        <v>0.90341505745354556</v>
      </c>
    </row>
    <row r="2960" spans="25:26" x14ac:dyDescent="0.25">
      <c r="Y2960" s="63">
        <v>45493</v>
      </c>
      <c r="Z2960" s="61">
        <f>_xll.qlYieldTSDiscount($U$35,Y2960,,Trigger)</f>
        <v>0.90337693890584214</v>
      </c>
    </row>
    <row r="2961" spans="25:26" x14ac:dyDescent="0.25">
      <c r="Y2961" s="63">
        <v>45494</v>
      </c>
      <c r="Z2961" s="61">
        <f>_xll.qlYieldTSDiscount($U$35,Y2961,,Trigger)</f>
        <v>0.90333882163007084</v>
      </c>
    </row>
    <row r="2962" spans="25:26" x14ac:dyDescent="0.25">
      <c r="Y2962" s="63">
        <v>45495</v>
      </c>
      <c r="Z2962" s="61">
        <f>_xll.qlYieldTSDiscount($U$35,Y2962,,Trigger)</f>
        <v>0.90330070562942311</v>
      </c>
    </row>
    <row r="2963" spans="25:26" x14ac:dyDescent="0.25">
      <c r="Y2963" s="63">
        <v>45496</v>
      </c>
      <c r="Z2963" s="61">
        <f>_xll.qlYieldTSDiscount($U$35,Y2963,,Trigger)</f>
        <v>0.90326259090709049</v>
      </c>
    </row>
    <row r="2964" spans="25:26" x14ac:dyDescent="0.25">
      <c r="Y2964" s="63">
        <v>45497</v>
      </c>
      <c r="Z2964" s="61">
        <f>_xll.qlYieldTSDiscount($U$35,Y2964,,Trigger)</f>
        <v>0.90322447746626422</v>
      </c>
    </row>
    <row r="2965" spans="25:26" x14ac:dyDescent="0.25">
      <c r="Y2965" s="63">
        <v>45498</v>
      </c>
      <c r="Z2965" s="61">
        <f>_xll.qlYieldTSDiscount($U$35,Y2965,,Trigger)</f>
        <v>0.90318636531013596</v>
      </c>
    </row>
    <row r="2966" spans="25:26" x14ac:dyDescent="0.25">
      <c r="Y2966" s="63">
        <v>45499</v>
      </c>
      <c r="Z2966" s="61">
        <f>_xll.qlYieldTSDiscount($U$35,Y2966,,Trigger)</f>
        <v>0.90314825444189684</v>
      </c>
    </row>
    <row r="2967" spans="25:26" x14ac:dyDescent="0.25">
      <c r="Y2967" s="63">
        <v>45500</v>
      </c>
      <c r="Z2967" s="61">
        <f>_xll.qlYieldTSDiscount($U$35,Y2967,,Trigger)</f>
        <v>0.90311014486473851</v>
      </c>
    </row>
    <row r="2968" spans="25:26" x14ac:dyDescent="0.25">
      <c r="Y2968" s="63">
        <v>45501</v>
      </c>
      <c r="Z2968" s="61">
        <f>_xll.qlYieldTSDiscount($U$35,Y2968,,Trigger)</f>
        <v>0.90307203658185231</v>
      </c>
    </row>
    <row r="2969" spans="25:26" x14ac:dyDescent="0.25">
      <c r="Y2969" s="63">
        <v>45502</v>
      </c>
      <c r="Z2969" s="61">
        <f>_xll.qlYieldTSDiscount($U$35,Y2969,,Trigger)</f>
        <v>0.9030339295964297</v>
      </c>
    </row>
    <row r="2970" spans="25:26" x14ac:dyDescent="0.25">
      <c r="Y2970" s="63">
        <v>45503</v>
      </c>
      <c r="Z2970" s="61">
        <f>_xll.qlYieldTSDiscount($U$35,Y2970,,Trigger)</f>
        <v>0.90299582391166211</v>
      </c>
    </row>
    <row r="2971" spans="25:26" x14ac:dyDescent="0.25">
      <c r="Y2971" s="63">
        <v>45504</v>
      </c>
      <c r="Z2971" s="61">
        <f>_xll.qlYieldTSDiscount($U$35,Y2971,,Trigger)</f>
        <v>0.90295771953074089</v>
      </c>
    </row>
    <row r="2972" spans="25:26" x14ac:dyDescent="0.25">
      <c r="Y2972" s="63">
        <v>45505</v>
      </c>
      <c r="Z2972" s="61">
        <f>_xll.qlYieldTSDiscount($U$35,Y2972,,Trigger)</f>
        <v>0.90291961645685759</v>
      </c>
    </row>
    <row r="2973" spans="25:26" x14ac:dyDescent="0.25">
      <c r="Y2973" s="63">
        <v>45506</v>
      </c>
      <c r="Z2973" s="61">
        <f>_xll.qlYieldTSDiscount($U$35,Y2973,,Trigger)</f>
        <v>0.90288151469320355</v>
      </c>
    </row>
    <row r="2974" spans="25:26" x14ac:dyDescent="0.25">
      <c r="Y2974" s="63">
        <v>45507</v>
      </c>
      <c r="Z2974" s="61">
        <f>_xll.qlYieldTSDiscount($U$35,Y2974,,Trigger)</f>
        <v>0.9028434142429701</v>
      </c>
    </row>
    <row r="2975" spans="25:26" x14ac:dyDescent="0.25">
      <c r="Y2975" s="63">
        <v>45508</v>
      </c>
      <c r="Z2975" s="61">
        <f>_xll.qlYieldTSDiscount($U$35,Y2975,,Trigger)</f>
        <v>0.90280531510934892</v>
      </c>
    </row>
    <row r="2976" spans="25:26" x14ac:dyDescent="0.25">
      <c r="Y2976" s="63">
        <v>45509</v>
      </c>
      <c r="Z2976" s="61">
        <f>_xll.qlYieldTSDiscount($U$35,Y2976,,Trigger)</f>
        <v>0.90276721729553122</v>
      </c>
    </row>
    <row r="2977" spans="25:26" x14ac:dyDescent="0.25">
      <c r="Y2977" s="63">
        <v>45510</v>
      </c>
      <c r="Z2977" s="61">
        <f>_xll.qlYieldTSDiscount($U$35,Y2977,,Trigger)</f>
        <v>0.90272912080470846</v>
      </c>
    </row>
    <row r="2978" spans="25:26" x14ac:dyDescent="0.25">
      <c r="Y2978" s="63">
        <v>45511</v>
      </c>
      <c r="Z2978" s="61">
        <f>_xll.qlYieldTSDiscount($U$35,Y2978,,Trigger)</f>
        <v>0.90269102564007209</v>
      </c>
    </row>
    <row r="2979" spans="25:26" x14ac:dyDescent="0.25">
      <c r="Y2979" s="63">
        <v>45512</v>
      </c>
      <c r="Z2979" s="61">
        <f>_xll.qlYieldTSDiscount($U$35,Y2979,,Trigger)</f>
        <v>0.90265293180481365</v>
      </c>
    </row>
    <row r="2980" spans="25:26" x14ac:dyDescent="0.25">
      <c r="Y2980" s="63">
        <v>45513</v>
      </c>
      <c r="Z2980" s="61">
        <f>_xll.qlYieldTSDiscount($U$35,Y2980,,Trigger)</f>
        <v>0.90261483930212438</v>
      </c>
    </row>
    <row r="2981" spans="25:26" x14ac:dyDescent="0.25">
      <c r="Y2981" s="63">
        <v>45514</v>
      </c>
      <c r="Z2981" s="61">
        <f>_xll.qlYieldTSDiscount($U$35,Y2981,,Trigger)</f>
        <v>0.90257674813519573</v>
      </c>
    </row>
    <row r="2982" spans="25:26" x14ac:dyDescent="0.25">
      <c r="Y2982" s="63">
        <v>45515</v>
      </c>
      <c r="Z2982" s="61">
        <f>_xll.qlYieldTSDiscount($U$35,Y2982,,Trigger)</f>
        <v>0.90253865830721924</v>
      </c>
    </row>
    <row r="2983" spans="25:26" x14ac:dyDescent="0.25">
      <c r="Y2983" s="63">
        <v>45516</v>
      </c>
      <c r="Z2983" s="61">
        <f>_xll.qlYieldTSDiscount($U$35,Y2983,,Trigger)</f>
        <v>0.90250056982138627</v>
      </c>
    </row>
    <row r="2984" spans="25:26" x14ac:dyDescent="0.25">
      <c r="Y2984" s="63">
        <v>45517</v>
      </c>
      <c r="Z2984" s="61">
        <f>_xll.qlYieldTSDiscount($U$35,Y2984,,Trigger)</f>
        <v>0.90246248268088824</v>
      </c>
    </row>
    <row r="2985" spans="25:26" x14ac:dyDescent="0.25">
      <c r="Y2985" s="63">
        <v>45518</v>
      </c>
      <c r="Z2985" s="61">
        <f>_xll.qlYieldTSDiscount($U$35,Y2985,,Trigger)</f>
        <v>0.90242439688891662</v>
      </c>
    </row>
    <row r="2986" spans="25:26" x14ac:dyDescent="0.25">
      <c r="Y2986" s="63">
        <v>45519</v>
      </c>
      <c r="Z2986" s="61">
        <f>_xll.qlYieldTSDiscount($U$35,Y2986,,Trigger)</f>
        <v>0.90238631244866285</v>
      </c>
    </row>
    <row r="2987" spans="25:26" x14ac:dyDescent="0.25">
      <c r="Y2987" s="63">
        <v>45520</v>
      </c>
      <c r="Z2987" s="61">
        <f>_xll.qlYieldTSDiscount($U$35,Y2987,,Trigger)</f>
        <v>0.90234822936331816</v>
      </c>
    </row>
    <row r="2988" spans="25:26" x14ac:dyDescent="0.25">
      <c r="Y2988" s="63">
        <v>45521</v>
      </c>
      <c r="Z2988" s="61">
        <f>_xll.qlYieldTSDiscount($U$35,Y2988,,Trigger)</f>
        <v>0.9023101476360742</v>
      </c>
    </row>
    <row r="2989" spans="25:26" x14ac:dyDescent="0.25">
      <c r="Y2989" s="63">
        <v>45522</v>
      </c>
      <c r="Z2989" s="61">
        <f>_xll.qlYieldTSDiscount($U$35,Y2989,,Trigger)</f>
        <v>0.90227206727012232</v>
      </c>
    </row>
    <row r="2990" spans="25:26" x14ac:dyDescent="0.25">
      <c r="Y2990" s="63">
        <v>45523</v>
      </c>
      <c r="Z2990" s="61">
        <f>_xll.qlYieldTSDiscount($U$35,Y2990,,Trigger)</f>
        <v>0.90223398826865397</v>
      </c>
    </row>
    <row r="2991" spans="25:26" x14ac:dyDescent="0.25">
      <c r="Y2991" s="63">
        <v>45524</v>
      </c>
      <c r="Z2991" s="61">
        <f>_xll.qlYieldTSDiscount($U$35,Y2991,,Trigger)</f>
        <v>0.90219591063486049</v>
      </c>
    </row>
    <row r="2992" spans="25:26" x14ac:dyDescent="0.25">
      <c r="Y2992" s="63">
        <v>45525</v>
      </c>
      <c r="Z2992" s="61">
        <f>_xll.qlYieldTSDiscount($U$35,Y2992,,Trigger)</f>
        <v>0.90215783437193342</v>
      </c>
    </row>
    <row r="2993" spans="25:26" x14ac:dyDescent="0.25">
      <c r="Y2993" s="63">
        <v>45526</v>
      </c>
      <c r="Z2993" s="61">
        <f>_xll.qlYieldTSDiscount($U$35,Y2993,,Trigger)</f>
        <v>0.902119759483064</v>
      </c>
    </row>
    <row r="2994" spans="25:26" x14ac:dyDescent="0.25">
      <c r="Y2994" s="63">
        <v>45527</v>
      </c>
      <c r="Z2994" s="61">
        <f>_xll.qlYieldTSDiscount($U$35,Y2994,,Trigger)</f>
        <v>0.90208168597144389</v>
      </c>
    </row>
    <row r="2995" spans="25:26" x14ac:dyDescent="0.25">
      <c r="Y2995" s="63">
        <v>45528</v>
      </c>
      <c r="Z2995" s="61">
        <f>_xll.qlYieldTSDiscount($U$35,Y2995,,Trigger)</f>
        <v>0.90204361384026432</v>
      </c>
    </row>
    <row r="2996" spans="25:26" x14ac:dyDescent="0.25">
      <c r="Y2996" s="63">
        <v>45529</v>
      </c>
      <c r="Z2996" s="61">
        <f>_xll.qlYieldTSDiscount($U$35,Y2996,,Trigger)</f>
        <v>0.90200554309271685</v>
      </c>
    </row>
    <row r="2997" spans="25:26" x14ac:dyDescent="0.25">
      <c r="Y2997" s="63">
        <v>45530</v>
      </c>
      <c r="Z2997" s="61">
        <f>_xll.qlYieldTSDiscount($U$35,Y2997,,Trigger)</f>
        <v>0.90196747373199293</v>
      </c>
    </row>
    <row r="2998" spans="25:26" x14ac:dyDescent="0.25">
      <c r="Y2998" s="63">
        <v>45531</v>
      </c>
      <c r="Z2998" s="61">
        <f>_xll.qlYieldTSDiscount($U$35,Y2998,,Trigger)</f>
        <v>0.90192940576128378</v>
      </c>
    </row>
    <row r="2999" spans="25:26" x14ac:dyDescent="0.25">
      <c r="Y2999" s="63">
        <v>45532</v>
      </c>
      <c r="Z2999" s="61">
        <f>_xll.qlYieldTSDiscount($U$35,Y2999,,Trigger)</f>
        <v>0.90189133918378106</v>
      </c>
    </row>
    <row r="3000" spans="25:26" x14ac:dyDescent="0.25">
      <c r="Y3000" s="63">
        <v>45533</v>
      </c>
      <c r="Z3000" s="61">
        <f>_xll.qlYieldTSDiscount($U$35,Y3000,,Trigger)</f>
        <v>0.90185327400267601</v>
      </c>
    </row>
    <row r="3001" spans="25:26" x14ac:dyDescent="0.25">
      <c r="Y3001" s="63">
        <v>45534</v>
      </c>
      <c r="Z3001" s="61">
        <f>_xll.qlYieldTSDiscount($U$35,Y3001,,Trigger)</f>
        <v>0.90181521022116018</v>
      </c>
    </row>
    <row r="3002" spans="25:26" x14ac:dyDescent="0.25">
      <c r="Y3002" s="63">
        <v>45535</v>
      </c>
      <c r="Z3002" s="61">
        <f>_xll.qlYieldTSDiscount($U$35,Y3002,,Trigger)</f>
        <v>0.90177714784242491</v>
      </c>
    </row>
    <row r="3003" spans="25:26" x14ac:dyDescent="0.25">
      <c r="Y3003" s="63">
        <v>45536</v>
      </c>
      <c r="Z3003" s="61">
        <f>_xll.qlYieldTSDiscount($U$35,Y3003,,Trigger)</f>
        <v>0.90173908686966175</v>
      </c>
    </row>
    <row r="3004" spans="25:26" x14ac:dyDescent="0.25">
      <c r="Y3004" s="63">
        <v>45537</v>
      </c>
      <c r="Z3004" s="61">
        <f>_xll.qlYieldTSDiscount($U$35,Y3004,,Trigger)</f>
        <v>0.90170102730606194</v>
      </c>
    </row>
    <row r="3005" spans="25:26" x14ac:dyDescent="0.25">
      <c r="Y3005" s="63">
        <v>45538</v>
      </c>
      <c r="Z3005" s="61">
        <f>_xll.qlYieldTSDiscount($U$35,Y3005,,Trigger)</f>
        <v>0.90166296915481703</v>
      </c>
    </row>
    <row r="3006" spans="25:26" x14ac:dyDescent="0.25">
      <c r="Y3006" s="63">
        <v>45539</v>
      </c>
      <c r="Z3006" s="61">
        <f>_xll.qlYieldTSDiscount($U$35,Y3006,,Trigger)</f>
        <v>0.90162491241911846</v>
      </c>
    </row>
    <row r="3007" spans="25:26" x14ac:dyDescent="0.25">
      <c r="Y3007" s="63">
        <v>45540</v>
      </c>
      <c r="Z3007" s="61">
        <f>_xll.qlYieldTSDiscount($U$35,Y3007,,Trigger)</f>
        <v>0.90158685710215758</v>
      </c>
    </row>
    <row r="3008" spans="25:26" x14ac:dyDescent="0.25">
      <c r="Y3008" s="63">
        <v>45541</v>
      </c>
      <c r="Z3008" s="61">
        <f>_xll.qlYieldTSDiscount($U$35,Y3008,,Trigger)</f>
        <v>0.90154880320712594</v>
      </c>
    </row>
    <row r="3009" spans="25:26" x14ac:dyDescent="0.25">
      <c r="Y3009" s="63">
        <v>45542</v>
      </c>
      <c r="Z3009" s="61">
        <f>_xll.qlYieldTSDiscount($U$35,Y3009,,Trigger)</f>
        <v>0.90151075073721476</v>
      </c>
    </row>
    <row r="3010" spans="25:26" x14ac:dyDescent="0.25">
      <c r="Y3010" s="63">
        <v>45543</v>
      </c>
      <c r="Z3010" s="61">
        <f>_xll.qlYieldTSDiscount($U$35,Y3010,,Trigger)</f>
        <v>0.90147269969561561</v>
      </c>
    </row>
    <row r="3011" spans="25:26" x14ac:dyDescent="0.25">
      <c r="Y3011" s="63">
        <v>45544</v>
      </c>
      <c r="Z3011" s="61">
        <f>_xll.qlYieldTSDiscount($U$35,Y3011,,Trigger)</f>
        <v>0.90143465008551993</v>
      </c>
    </row>
    <row r="3012" spans="25:26" x14ac:dyDescent="0.25">
      <c r="Y3012" s="63">
        <v>45545</v>
      </c>
      <c r="Z3012" s="61">
        <f>_xll.qlYieldTSDiscount($U$35,Y3012,,Trigger)</f>
        <v>0.90139660191011906</v>
      </c>
    </row>
    <row r="3013" spans="25:26" x14ac:dyDescent="0.25">
      <c r="Y3013" s="63">
        <v>45546</v>
      </c>
      <c r="Z3013" s="61">
        <f>_xll.qlYieldTSDiscount($U$35,Y3013,,Trigger)</f>
        <v>0.90135855517260455</v>
      </c>
    </row>
    <row r="3014" spans="25:26" x14ac:dyDescent="0.25">
      <c r="Y3014" s="63">
        <v>45547</v>
      </c>
      <c r="Z3014" s="61">
        <f>_xll.qlYieldTSDiscount($U$35,Y3014,,Trigger)</f>
        <v>0.90132050987616763</v>
      </c>
    </row>
    <row r="3015" spans="25:26" x14ac:dyDescent="0.25">
      <c r="Y3015" s="63">
        <v>45548</v>
      </c>
      <c r="Z3015" s="61">
        <f>_xll.qlYieldTSDiscount($U$35,Y3015,,Trigger)</f>
        <v>0.90128246602399986</v>
      </c>
    </row>
    <row r="3016" spans="25:26" x14ac:dyDescent="0.25">
      <c r="Y3016" s="63">
        <v>45549</v>
      </c>
      <c r="Z3016" s="61">
        <f>_xll.qlYieldTSDiscount($U$35,Y3016,,Trigger)</f>
        <v>0.90124442361929269</v>
      </c>
    </row>
    <row r="3017" spans="25:26" x14ac:dyDescent="0.25">
      <c r="Y3017" s="63">
        <v>45550</v>
      </c>
      <c r="Z3017" s="61">
        <f>_xll.qlYieldTSDiscount($U$35,Y3017,,Trigger)</f>
        <v>0.90120638266523745</v>
      </c>
    </row>
    <row r="3018" spans="25:26" x14ac:dyDescent="0.25">
      <c r="Y3018" s="63">
        <v>45551</v>
      </c>
      <c r="Z3018" s="61">
        <f>_xll.qlYieldTSDiscount($U$35,Y3018,,Trigger)</f>
        <v>0.9011683431650257</v>
      </c>
    </row>
    <row r="3019" spans="25:26" x14ac:dyDescent="0.25">
      <c r="Y3019" s="63">
        <v>45552</v>
      </c>
      <c r="Z3019" s="61">
        <f>_xll.qlYieldTSDiscount($U$35,Y3019,,Trigger)</f>
        <v>0.90113030512184866</v>
      </c>
    </row>
    <row r="3020" spans="25:26" x14ac:dyDescent="0.25">
      <c r="Y3020" s="63">
        <v>45553</v>
      </c>
      <c r="Z3020" s="61">
        <f>_xll.qlYieldTSDiscount($U$35,Y3020,,Trigger)</f>
        <v>0.9010922685388979</v>
      </c>
    </row>
    <row r="3021" spans="25:26" x14ac:dyDescent="0.25">
      <c r="Y3021" s="63">
        <v>45554</v>
      </c>
      <c r="Z3021" s="61">
        <f>_xll.qlYieldTSDiscount($U$35,Y3021,,Trigger)</f>
        <v>0.90105423341936486</v>
      </c>
    </row>
    <row r="3022" spans="25:26" x14ac:dyDescent="0.25">
      <c r="Y3022" s="63">
        <v>45555</v>
      </c>
      <c r="Z3022" s="61">
        <f>_xll.qlYieldTSDiscount($U$35,Y3022,,Trigger)</f>
        <v>0.90101619976644098</v>
      </c>
    </row>
    <row r="3023" spans="25:26" x14ac:dyDescent="0.25">
      <c r="Y3023" s="63">
        <v>45556</v>
      </c>
      <c r="Z3023" s="61">
        <f>_xll.qlYieldTSDiscount($U$35,Y3023,,Trigger)</f>
        <v>0.9009781675833175</v>
      </c>
    </row>
    <row r="3024" spans="25:26" x14ac:dyDescent="0.25">
      <c r="Y3024" s="63">
        <v>45557</v>
      </c>
      <c r="Z3024" s="61">
        <f>_xll.qlYieldTSDiscount($U$35,Y3024,,Trigger)</f>
        <v>0.90094013687318608</v>
      </c>
    </row>
    <row r="3025" spans="25:26" x14ac:dyDescent="0.25">
      <c r="Y3025" s="63">
        <v>45558</v>
      </c>
      <c r="Z3025" s="61">
        <f>_xll.qlYieldTSDiscount($U$35,Y3025,,Trigger)</f>
        <v>0.90090210763923795</v>
      </c>
    </row>
    <row r="3026" spans="25:26" x14ac:dyDescent="0.25">
      <c r="Y3026" s="63">
        <v>45559</v>
      </c>
      <c r="Z3026" s="61">
        <f>_xll.qlYieldTSDiscount($U$35,Y3026,,Trigger)</f>
        <v>0.90086407988466466</v>
      </c>
    </row>
    <row r="3027" spans="25:26" x14ac:dyDescent="0.25">
      <c r="Y3027" s="63">
        <v>45560</v>
      </c>
      <c r="Z3027" s="61">
        <f>_xll.qlYieldTSDiscount($U$35,Y3027,,Trigger)</f>
        <v>0.90082605361265755</v>
      </c>
    </row>
    <row r="3028" spans="25:26" x14ac:dyDescent="0.25">
      <c r="Y3028" s="63">
        <v>45561</v>
      </c>
      <c r="Z3028" s="61">
        <f>_xll.qlYieldTSDiscount($U$35,Y3028,,Trigger)</f>
        <v>0.90078802882640818</v>
      </c>
    </row>
    <row r="3029" spans="25:26" x14ac:dyDescent="0.25">
      <c r="Y3029" s="63">
        <v>45562</v>
      </c>
      <c r="Z3029" s="61">
        <f>_xll.qlYieldTSDiscount($U$35,Y3029,,Trigger)</f>
        <v>0.90075000552910778</v>
      </c>
    </row>
    <row r="3030" spans="25:26" x14ac:dyDescent="0.25">
      <c r="Y3030" s="63">
        <v>45563</v>
      </c>
      <c r="Z3030" s="61">
        <f>_xll.qlYieldTSDiscount($U$35,Y3030,,Trigger)</f>
        <v>0.90071198372394801</v>
      </c>
    </row>
    <row r="3031" spans="25:26" x14ac:dyDescent="0.25">
      <c r="Y3031" s="63">
        <v>45564</v>
      </c>
      <c r="Z3031" s="61">
        <f>_xll.qlYieldTSDiscount($U$35,Y3031,,Trigger)</f>
        <v>0.90067396341412009</v>
      </c>
    </row>
    <row r="3032" spans="25:26" x14ac:dyDescent="0.25">
      <c r="Y3032" s="63">
        <v>45565</v>
      </c>
      <c r="Z3032" s="61">
        <f>_xll.qlYieldTSDiscount($U$35,Y3032,,Trigger)</f>
        <v>0.9006359446028156</v>
      </c>
    </row>
    <row r="3033" spans="25:26" x14ac:dyDescent="0.25">
      <c r="Y3033" s="63">
        <v>45566</v>
      </c>
      <c r="Z3033" s="61">
        <f>_xll.qlYieldTSDiscount($U$35,Y3033,,Trigger)</f>
        <v>0.90059792729322574</v>
      </c>
    </row>
    <row r="3034" spans="25:26" x14ac:dyDescent="0.25">
      <c r="Y3034" s="63">
        <v>45567</v>
      </c>
      <c r="Z3034" s="61">
        <f>_xll.qlYieldTSDiscount($U$35,Y3034,,Trigger)</f>
        <v>0.9005599114885422</v>
      </c>
    </row>
    <row r="3035" spans="25:26" x14ac:dyDescent="0.25">
      <c r="Y3035" s="63">
        <v>45568</v>
      </c>
      <c r="Z3035" s="61">
        <f>_xll.qlYieldTSDiscount($U$35,Y3035,,Trigger)</f>
        <v>0.9005218971919563</v>
      </c>
    </row>
    <row r="3036" spans="25:26" x14ac:dyDescent="0.25">
      <c r="Y3036" s="63">
        <v>45569</v>
      </c>
      <c r="Z3036" s="61">
        <f>_xll.qlYieldTSDiscount($U$35,Y3036,,Trigger)</f>
        <v>0.90048388440665939</v>
      </c>
    </row>
    <row r="3037" spans="25:26" x14ac:dyDescent="0.25">
      <c r="Y3037" s="63">
        <v>45570</v>
      </c>
      <c r="Z3037" s="61">
        <f>_xll.qlYieldTSDiscount($U$35,Y3037,,Trigger)</f>
        <v>0.90044587313584301</v>
      </c>
    </row>
    <row r="3038" spans="25:26" x14ac:dyDescent="0.25">
      <c r="Y3038" s="63">
        <v>45571</v>
      </c>
      <c r="Z3038" s="61">
        <f>_xll.qlYieldTSDiscount($U$35,Y3038,,Trigger)</f>
        <v>0.90040786338269851</v>
      </c>
    </row>
    <row r="3039" spans="25:26" x14ac:dyDescent="0.25">
      <c r="Y3039" s="63">
        <v>45572</v>
      </c>
      <c r="Z3039" s="61">
        <f>_xll.qlYieldTSDiscount($U$35,Y3039,,Trigger)</f>
        <v>0.90036985515041734</v>
      </c>
    </row>
    <row r="3040" spans="25:26" x14ac:dyDescent="0.25">
      <c r="Y3040" s="63">
        <v>45573</v>
      </c>
      <c r="Z3040" s="61">
        <f>_xll.qlYieldTSDiscount($U$35,Y3040,,Trigger)</f>
        <v>0.90033184844219094</v>
      </c>
    </row>
    <row r="3041" spans="25:26" x14ac:dyDescent="0.25">
      <c r="Y3041" s="63">
        <v>45574</v>
      </c>
      <c r="Z3041" s="61">
        <f>_xll.qlYieldTSDiscount($U$35,Y3041,,Trigger)</f>
        <v>0.90029384326121065</v>
      </c>
    </row>
    <row r="3042" spans="25:26" x14ac:dyDescent="0.25">
      <c r="Y3042" s="63">
        <v>45575</v>
      </c>
      <c r="Z3042" s="61">
        <f>_xll.qlYieldTSDiscount($U$35,Y3042,,Trigger)</f>
        <v>0.90025583961066813</v>
      </c>
    </row>
    <row r="3043" spans="25:26" x14ac:dyDescent="0.25">
      <c r="Y3043" s="63">
        <v>45576</v>
      </c>
      <c r="Z3043" s="61">
        <f>_xll.qlYieldTSDiscount($U$35,Y3043,,Trigger)</f>
        <v>0.9002178374937545</v>
      </c>
    </row>
    <row r="3044" spans="25:26" x14ac:dyDescent="0.25">
      <c r="Y3044" s="63">
        <v>45577</v>
      </c>
      <c r="Z3044" s="61">
        <f>_xll.qlYieldTSDiscount($U$35,Y3044,,Trigger)</f>
        <v>0.90017983691366132</v>
      </c>
    </row>
    <row r="3045" spans="25:26" x14ac:dyDescent="0.25">
      <c r="Y3045" s="63">
        <v>45578</v>
      </c>
      <c r="Z3045" s="61">
        <f>_xll.qlYieldTSDiscount($U$35,Y3045,,Trigger)</f>
        <v>0.90014183787358004</v>
      </c>
    </row>
    <row r="3046" spans="25:26" x14ac:dyDescent="0.25">
      <c r="Y3046" s="63">
        <v>45579</v>
      </c>
      <c r="Z3046" s="61">
        <f>_xll.qlYieldTSDiscount($U$35,Y3046,,Trigger)</f>
        <v>0.9001038403767021</v>
      </c>
    </row>
    <row r="3047" spans="25:26" x14ac:dyDescent="0.25">
      <c r="Y3047" s="63">
        <v>45580</v>
      </c>
      <c r="Z3047" s="61">
        <f>_xll.qlYieldTSDiscount($U$35,Y3047,,Trigger)</f>
        <v>0.90006584442621884</v>
      </c>
    </row>
    <row r="3048" spans="25:26" x14ac:dyDescent="0.25">
      <c r="Y3048" s="63">
        <v>45581</v>
      </c>
      <c r="Z3048" s="61">
        <f>_xll.qlYieldTSDiscount($U$35,Y3048,,Trigger)</f>
        <v>0.90002785002532182</v>
      </c>
    </row>
    <row r="3049" spans="25:26" x14ac:dyDescent="0.25">
      <c r="Y3049" s="63">
        <v>45582</v>
      </c>
      <c r="Z3049" s="61">
        <f>_xll.qlYieldTSDiscount($U$35,Y3049,,Trigger)</f>
        <v>0.89998985717720226</v>
      </c>
    </row>
    <row r="3050" spans="25:26" x14ac:dyDescent="0.25">
      <c r="Y3050" s="63">
        <v>45583</v>
      </c>
      <c r="Z3050" s="61">
        <f>_xll.qlYieldTSDiscount($U$35,Y3050,,Trigger)</f>
        <v>0.89995186588505183</v>
      </c>
    </row>
    <row r="3051" spans="25:26" x14ac:dyDescent="0.25">
      <c r="Y3051" s="63">
        <v>45584</v>
      </c>
      <c r="Z3051" s="61">
        <f>_xll.qlYieldTSDiscount($U$35,Y3051,,Trigger)</f>
        <v>0.89991387615206175</v>
      </c>
    </row>
    <row r="3052" spans="25:26" x14ac:dyDescent="0.25">
      <c r="Y3052" s="63">
        <v>45585</v>
      </c>
      <c r="Z3052" s="61">
        <f>_xll.qlYieldTSDiscount($U$35,Y3052,,Trigger)</f>
        <v>0.89987588798142359</v>
      </c>
    </row>
    <row r="3053" spans="25:26" x14ac:dyDescent="0.25">
      <c r="Y3053" s="63">
        <v>45586</v>
      </c>
      <c r="Z3053" s="61">
        <f>_xll.qlYieldTSDiscount($U$35,Y3053,,Trigger)</f>
        <v>0.89983790137632869</v>
      </c>
    </row>
    <row r="3054" spans="25:26" x14ac:dyDescent="0.25">
      <c r="Y3054" s="63">
        <v>45587</v>
      </c>
      <c r="Z3054" s="61">
        <f>_xll.qlYieldTSDiscount($U$35,Y3054,,Trigger)</f>
        <v>0.89979991633996848</v>
      </c>
    </row>
    <row r="3055" spans="25:26" x14ac:dyDescent="0.25">
      <c r="Y3055" s="63">
        <v>45588</v>
      </c>
      <c r="Z3055" s="61">
        <f>_xll.qlYieldTSDiscount($U$35,Y3055,,Trigger)</f>
        <v>0.89976193287553441</v>
      </c>
    </row>
    <row r="3056" spans="25:26" x14ac:dyDescent="0.25">
      <c r="Y3056" s="63">
        <v>45589</v>
      </c>
      <c r="Z3056" s="61">
        <f>_xll.qlYieldTSDiscount($U$35,Y3056,,Trigger)</f>
        <v>0.89972395098621782</v>
      </c>
    </row>
    <row r="3057" spans="25:26" x14ac:dyDescent="0.25">
      <c r="Y3057" s="63">
        <v>45590</v>
      </c>
      <c r="Z3057" s="61">
        <f>_xll.qlYieldTSDiscount($U$35,Y3057,,Trigger)</f>
        <v>0.89968597067521028</v>
      </c>
    </row>
    <row r="3058" spans="25:26" x14ac:dyDescent="0.25">
      <c r="Y3058" s="63">
        <v>45591</v>
      </c>
      <c r="Z3058" s="61">
        <f>_xll.qlYieldTSDiscount($U$35,Y3058,,Trigger)</f>
        <v>0.89964799194570311</v>
      </c>
    </row>
    <row r="3059" spans="25:26" x14ac:dyDescent="0.25">
      <c r="Y3059" s="63">
        <v>45592</v>
      </c>
      <c r="Z3059" s="61">
        <f>_xll.qlYieldTSDiscount($U$35,Y3059,,Trigger)</f>
        <v>0.89961001480088787</v>
      </c>
    </row>
    <row r="3060" spans="25:26" x14ac:dyDescent="0.25">
      <c r="Y3060" s="63">
        <v>45593</v>
      </c>
      <c r="Z3060" s="61">
        <f>_xll.qlYieldTSDiscount($U$35,Y3060,,Trigger)</f>
        <v>0.89957203924395579</v>
      </c>
    </row>
    <row r="3061" spans="25:26" x14ac:dyDescent="0.25">
      <c r="Y3061" s="63">
        <v>45594</v>
      </c>
      <c r="Z3061" s="61">
        <f>_xll.qlYieldTSDiscount($U$35,Y3061,,Trigger)</f>
        <v>0.89953406527809843</v>
      </c>
    </row>
    <row r="3062" spans="25:26" x14ac:dyDescent="0.25">
      <c r="Y3062" s="63">
        <v>45595</v>
      </c>
      <c r="Z3062" s="61">
        <f>_xll.qlYieldTSDiscount($U$35,Y3062,,Trigger)</f>
        <v>0.89949609290650712</v>
      </c>
    </row>
    <row r="3063" spans="25:26" x14ac:dyDescent="0.25">
      <c r="Y3063" s="63">
        <v>45596</v>
      </c>
      <c r="Z3063" s="61">
        <f>_xll.qlYieldTSDiscount($U$35,Y3063,,Trigger)</f>
        <v>0.89945812213237342</v>
      </c>
    </row>
    <row r="3064" spans="25:26" x14ac:dyDescent="0.25">
      <c r="Y3064" s="63">
        <v>45597</v>
      </c>
      <c r="Z3064" s="61">
        <f>_xll.qlYieldTSDiscount($U$35,Y3064,,Trigger)</f>
        <v>0.89942015295888866</v>
      </c>
    </row>
    <row r="3065" spans="25:26" x14ac:dyDescent="0.25">
      <c r="Y3065" s="63">
        <v>45598</v>
      </c>
      <c r="Z3065" s="61">
        <f>_xll.qlYieldTSDiscount($U$35,Y3065,,Trigger)</f>
        <v>0.8993821853892443</v>
      </c>
    </row>
    <row r="3066" spans="25:26" x14ac:dyDescent="0.25">
      <c r="Y3066" s="63">
        <v>45599</v>
      </c>
      <c r="Z3066" s="61">
        <f>_xll.qlYieldTSDiscount($U$35,Y3066,,Trigger)</f>
        <v>0.89934421942663167</v>
      </c>
    </row>
    <row r="3067" spans="25:26" x14ac:dyDescent="0.25">
      <c r="Y3067" s="63">
        <v>45600</v>
      </c>
      <c r="Z3067" s="61">
        <f>_xll.qlYieldTSDiscount($U$35,Y3067,,Trigger)</f>
        <v>0.89930625507424233</v>
      </c>
    </row>
    <row r="3068" spans="25:26" x14ac:dyDescent="0.25">
      <c r="Y3068" s="63">
        <v>45601</v>
      </c>
      <c r="Z3068" s="61">
        <f>_xll.qlYieldTSDiscount($U$35,Y3068,,Trigger)</f>
        <v>0.89926829233526762</v>
      </c>
    </row>
    <row r="3069" spans="25:26" x14ac:dyDescent="0.25">
      <c r="Y3069" s="63">
        <v>45602</v>
      </c>
      <c r="Z3069" s="61">
        <f>_xll.qlYieldTSDiscount($U$35,Y3069,,Trigger)</f>
        <v>0.89923033121289897</v>
      </c>
    </row>
    <row r="3070" spans="25:26" x14ac:dyDescent="0.25">
      <c r="Y3070" s="63">
        <v>45603</v>
      </c>
      <c r="Z3070" s="61">
        <f>_xll.qlYieldTSDiscount($U$35,Y3070,,Trigger)</f>
        <v>0.89919237171032784</v>
      </c>
    </row>
    <row r="3071" spans="25:26" x14ac:dyDescent="0.25">
      <c r="Y3071" s="63">
        <v>45604</v>
      </c>
      <c r="Z3071" s="61">
        <f>_xll.qlYieldTSDiscount($U$35,Y3071,,Trigger)</f>
        <v>0.89915441383074568</v>
      </c>
    </row>
    <row r="3072" spans="25:26" x14ac:dyDescent="0.25">
      <c r="Y3072" s="63">
        <v>45605</v>
      </c>
      <c r="Z3072" s="61">
        <f>_xll.qlYieldTSDiscount($U$35,Y3072,,Trigger)</f>
        <v>0.89911645757734393</v>
      </c>
    </row>
    <row r="3073" spans="25:26" x14ac:dyDescent="0.25">
      <c r="Y3073" s="63">
        <v>45606</v>
      </c>
      <c r="Z3073" s="61">
        <f>_xll.qlYieldTSDiscount($U$35,Y3073,,Trigger)</f>
        <v>0.89907850295331393</v>
      </c>
    </row>
    <row r="3074" spans="25:26" x14ac:dyDescent="0.25">
      <c r="Y3074" s="63">
        <v>45607</v>
      </c>
      <c r="Z3074" s="61">
        <f>_xll.qlYieldTSDiscount($U$35,Y3074,,Trigger)</f>
        <v>0.89904054996184701</v>
      </c>
    </row>
    <row r="3075" spans="25:26" x14ac:dyDescent="0.25">
      <c r="Y3075" s="63">
        <v>45608</v>
      </c>
      <c r="Z3075" s="61">
        <f>_xll.qlYieldTSDiscount($U$35,Y3075,,Trigger)</f>
        <v>0.89900259860613485</v>
      </c>
    </row>
    <row r="3076" spans="25:26" x14ac:dyDescent="0.25">
      <c r="Y3076" s="63">
        <v>45609</v>
      </c>
      <c r="Z3076" s="61">
        <f>_xll.qlYieldTSDiscount($U$35,Y3076,,Trigger)</f>
        <v>0.89896464888936878</v>
      </c>
    </row>
    <row r="3077" spans="25:26" x14ac:dyDescent="0.25">
      <c r="Y3077" s="63">
        <v>45610</v>
      </c>
      <c r="Z3077" s="61">
        <f>_xll.qlYieldTSDiscount($U$35,Y3077,,Trigger)</f>
        <v>0.89892670081474013</v>
      </c>
    </row>
    <row r="3078" spans="25:26" x14ac:dyDescent="0.25">
      <c r="Y3078" s="63">
        <v>45611</v>
      </c>
      <c r="Z3078" s="61">
        <f>_xll.qlYieldTSDiscount($U$35,Y3078,,Trigger)</f>
        <v>0.89888875438544036</v>
      </c>
    </row>
    <row r="3079" spans="25:26" x14ac:dyDescent="0.25">
      <c r="Y3079" s="63">
        <v>45612</v>
      </c>
      <c r="Z3079" s="61">
        <f>_xll.qlYieldTSDiscount($U$35,Y3079,,Trigger)</f>
        <v>0.89885080960466091</v>
      </c>
    </row>
    <row r="3080" spans="25:26" x14ac:dyDescent="0.25">
      <c r="Y3080" s="63">
        <v>45613</v>
      </c>
      <c r="Z3080" s="61">
        <f>_xll.qlYieldTSDiscount($U$35,Y3080,,Trigger)</f>
        <v>0.89881286647559333</v>
      </c>
    </row>
    <row r="3081" spans="25:26" x14ac:dyDescent="0.25">
      <c r="Y3081" s="63">
        <v>45614</v>
      </c>
      <c r="Z3081" s="61">
        <f>_xll.qlYieldTSDiscount($U$35,Y3081,,Trigger)</f>
        <v>0.89877492500142886</v>
      </c>
    </row>
    <row r="3082" spans="25:26" x14ac:dyDescent="0.25">
      <c r="Y3082" s="63">
        <v>45615</v>
      </c>
      <c r="Z3082" s="61">
        <f>_xll.qlYieldTSDiscount($U$35,Y3082,,Trigger)</f>
        <v>0.89873698518535894</v>
      </c>
    </row>
    <row r="3083" spans="25:26" x14ac:dyDescent="0.25">
      <c r="Y3083" s="63">
        <v>45616</v>
      </c>
      <c r="Z3083" s="61">
        <f>_xll.qlYieldTSDiscount($U$35,Y3083,,Trigger)</f>
        <v>0.89869904703057513</v>
      </c>
    </row>
    <row r="3084" spans="25:26" x14ac:dyDescent="0.25">
      <c r="Y3084" s="63">
        <v>45617</v>
      </c>
      <c r="Z3084" s="61">
        <f>_xll.qlYieldTSDiscount($U$35,Y3084,,Trigger)</f>
        <v>0.89866111054026876</v>
      </c>
    </row>
    <row r="3085" spans="25:26" x14ac:dyDescent="0.25">
      <c r="Y3085" s="63">
        <v>45618</v>
      </c>
      <c r="Z3085" s="61">
        <f>_xll.qlYieldTSDiscount($U$35,Y3085,,Trigger)</f>
        <v>0.89862317571763128</v>
      </c>
    </row>
    <row r="3086" spans="25:26" x14ac:dyDescent="0.25">
      <c r="Y3086" s="63">
        <v>45619</v>
      </c>
      <c r="Z3086" s="61">
        <f>_xll.qlYieldTSDiscount($U$35,Y3086,,Trigger)</f>
        <v>0.89858524256585415</v>
      </c>
    </row>
    <row r="3087" spans="25:26" x14ac:dyDescent="0.25">
      <c r="Y3087" s="63">
        <v>45620</v>
      </c>
      <c r="Z3087" s="61">
        <f>_xll.qlYieldTSDiscount($U$35,Y3087,,Trigger)</f>
        <v>0.89854731108812869</v>
      </c>
    </row>
    <row r="3088" spans="25:26" x14ac:dyDescent="0.25">
      <c r="Y3088" s="63">
        <v>45621</v>
      </c>
      <c r="Z3088" s="61">
        <f>_xll.qlYieldTSDiscount($U$35,Y3088,,Trigger)</f>
        <v>0.89850938128764646</v>
      </c>
    </row>
    <row r="3089" spans="25:26" x14ac:dyDescent="0.25">
      <c r="Y3089" s="63">
        <v>45622</v>
      </c>
      <c r="Z3089" s="61">
        <f>_xll.qlYieldTSDiscount($U$35,Y3089,,Trigger)</f>
        <v>0.89847145316759869</v>
      </c>
    </row>
    <row r="3090" spans="25:26" x14ac:dyDescent="0.25">
      <c r="Y3090" s="63">
        <v>45623</v>
      </c>
      <c r="Z3090" s="61">
        <f>_xll.qlYieldTSDiscount($U$35,Y3090,,Trigger)</f>
        <v>0.89843352673117705</v>
      </c>
    </row>
    <row r="3091" spans="25:26" x14ac:dyDescent="0.25">
      <c r="Y3091" s="63">
        <v>45624</v>
      </c>
      <c r="Z3091" s="61">
        <f>_xll.qlYieldTSDiscount($U$35,Y3091,,Trigger)</f>
        <v>0.89839560198157276</v>
      </c>
    </row>
    <row r="3092" spans="25:26" x14ac:dyDescent="0.25">
      <c r="Y3092" s="63">
        <v>45625</v>
      </c>
      <c r="Z3092" s="61">
        <f>_xll.qlYieldTSDiscount($U$35,Y3092,,Trigger)</f>
        <v>0.89835767892197738</v>
      </c>
    </row>
    <row r="3093" spans="25:26" x14ac:dyDescent="0.25">
      <c r="Y3093" s="63">
        <v>45626</v>
      </c>
      <c r="Z3093" s="61">
        <f>_xll.qlYieldTSDiscount($U$35,Y3093,,Trigger)</f>
        <v>0.89831975755558224</v>
      </c>
    </row>
    <row r="3094" spans="25:26" x14ac:dyDescent="0.25">
      <c r="Y3094" s="63">
        <v>45627</v>
      </c>
      <c r="Z3094" s="61">
        <f>_xll.qlYieldTSDiscount($U$35,Y3094,,Trigger)</f>
        <v>0.89828183788557892</v>
      </c>
    </row>
    <row r="3095" spans="25:26" x14ac:dyDescent="0.25">
      <c r="Y3095" s="63">
        <v>45628</v>
      </c>
      <c r="Z3095" s="61">
        <f>_xll.qlYieldTSDiscount($U$35,Y3095,,Trigger)</f>
        <v>0.89824391991515862</v>
      </c>
    </row>
    <row r="3096" spans="25:26" x14ac:dyDescent="0.25">
      <c r="Y3096" s="63">
        <v>45629</v>
      </c>
      <c r="Z3096" s="61">
        <f>_xll.qlYieldTSDiscount($U$35,Y3096,,Trigger)</f>
        <v>0.89820600364751291</v>
      </c>
    </row>
    <row r="3097" spans="25:26" x14ac:dyDescent="0.25">
      <c r="Y3097" s="63">
        <v>45630</v>
      </c>
      <c r="Z3097" s="61">
        <f>_xll.qlYieldTSDiscount($U$35,Y3097,,Trigger)</f>
        <v>0.89816808908583323</v>
      </c>
    </row>
    <row r="3098" spans="25:26" x14ac:dyDescent="0.25">
      <c r="Y3098" s="63">
        <v>45631</v>
      </c>
      <c r="Z3098" s="61">
        <f>_xll.qlYieldTSDiscount($U$35,Y3098,,Trigger)</f>
        <v>0.89813017623331093</v>
      </c>
    </row>
    <row r="3099" spans="25:26" x14ac:dyDescent="0.25">
      <c r="Y3099" s="63">
        <v>45632</v>
      </c>
      <c r="Z3099" s="61">
        <f>_xll.qlYieldTSDiscount($U$35,Y3099,,Trigger)</f>
        <v>0.89809226509313744</v>
      </c>
    </row>
    <row r="3100" spans="25:26" x14ac:dyDescent="0.25">
      <c r="Y3100" s="63">
        <v>45633</v>
      </c>
      <c r="Z3100" s="61">
        <f>_xll.qlYieldTSDiscount($U$35,Y3100,,Trigger)</f>
        <v>0.89805435566850422</v>
      </c>
    </row>
    <row r="3101" spans="25:26" x14ac:dyDescent="0.25">
      <c r="Y3101" s="63">
        <v>45634</v>
      </c>
      <c r="Z3101" s="61">
        <f>_xll.qlYieldTSDiscount($U$35,Y3101,,Trigger)</f>
        <v>0.89801644796260272</v>
      </c>
    </row>
    <row r="3102" spans="25:26" x14ac:dyDescent="0.25">
      <c r="Y3102" s="63">
        <v>45635</v>
      </c>
      <c r="Z3102" s="61">
        <f>_xll.qlYieldTSDiscount($U$35,Y3102,,Trigger)</f>
        <v>0.89797854197862437</v>
      </c>
    </row>
    <row r="3103" spans="25:26" x14ac:dyDescent="0.25">
      <c r="Y3103" s="63">
        <v>45636</v>
      </c>
      <c r="Z3103" s="61">
        <f>_xll.qlYieldTSDiscount($U$35,Y3103,,Trigger)</f>
        <v>0.8979406377197604</v>
      </c>
    </row>
    <row r="3104" spans="25:26" x14ac:dyDescent="0.25">
      <c r="Y3104" s="63">
        <v>45637</v>
      </c>
      <c r="Z3104" s="61">
        <f>_xll.qlYieldTSDiscount($U$35,Y3104,,Trigger)</f>
        <v>0.89790273518920249</v>
      </c>
    </row>
    <row r="3105" spans="25:26" x14ac:dyDescent="0.25">
      <c r="Y3105" s="63">
        <v>45638</v>
      </c>
      <c r="Z3105" s="61">
        <f>_xll.qlYieldTSDiscount($U$35,Y3105,,Trigger)</f>
        <v>0.89786483439014197</v>
      </c>
    </row>
    <row r="3106" spans="25:26" x14ac:dyDescent="0.25">
      <c r="Y3106" s="63">
        <v>45639</v>
      </c>
      <c r="Z3106" s="61">
        <f>_xll.qlYieldTSDiscount($U$35,Y3106,,Trigger)</f>
        <v>0.89782693532577029</v>
      </c>
    </row>
    <row r="3107" spans="25:26" x14ac:dyDescent="0.25">
      <c r="Y3107" s="63">
        <v>45640</v>
      </c>
      <c r="Z3107" s="61">
        <f>_xll.qlYieldTSDiscount($U$35,Y3107,,Trigger)</f>
        <v>0.89778903799927878</v>
      </c>
    </row>
    <row r="3108" spans="25:26" x14ac:dyDescent="0.25">
      <c r="Y3108" s="63">
        <v>45641</v>
      </c>
      <c r="Z3108" s="61">
        <f>_xll.qlYieldTSDiscount($U$35,Y3108,,Trigger)</f>
        <v>0.897751142413859</v>
      </c>
    </row>
    <row r="3109" spans="25:26" x14ac:dyDescent="0.25">
      <c r="Y3109" s="63">
        <v>45642</v>
      </c>
      <c r="Z3109" s="61">
        <f>_xll.qlYieldTSDiscount($U$35,Y3109,,Trigger)</f>
        <v>0.89771324857270229</v>
      </c>
    </row>
    <row r="3110" spans="25:26" x14ac:dyDescent="0.25">
      <c r="Y3110" s="63">
        <v>45643</v>
      </c>
      <c r="Z3110" s="61">
        <f>_xll.qlYieldTSDiscount($U$35,Y3110,,Trigger)</f>
        <v>0.89767535647899999</v>
      </c>
    </row>
    <row r="3111" spans="25:26" x14ac:dyDescent="0.25">
      <c r="Y3111" s="63">
        <v>45644</v>
      </c>
      <c r="Z3111" s="61">
        <f>_xll.qlYieldTSDiscount($U$35,Y3111,,Trigger)</f>
        <v>0.89763746613594375</v>
      </c>
    </row>
    <row r="3112" spans="25:26" x14ac:dyDescent="0.25">
      <c r="Y3112" s="63">
        <v>45645</v>
      </c>
      <c r="Z3112" s="61">
        <f>_xll.qlYieldTSDiscount($U$35,Y3112,,Trigger)</f>
        <v>0.89759957754672481</v>
      </c>
    </row>
    <row r="3113" spans="25:26" x14ac:dyDescent="0.25">
      <c r="Y3113" s="63">
        <v>45646</v>
      </c>
      <c r="Z3113" s="61">
        <f>_xll.qlYieldTSDiscount($U$35,Y3113,,Trigger)</f>
        <v>0.89756169071453473</v>
      </c>
    </row>
    <row r="3114" spans="25:26" x14ac:dyDescent="0.25">
      <c r="Y3114" s="63">
        <v>45647</v>
      </c>
      <c r="Z3114" s="61">
        <f>_xll.qlYieldTSDiscount($U$35,Y3114,,Trigger)</f>
        <v>0.89752380564256473</v>
      </c>
    </row>
    <row r="3115" spans="25:26" x14ac:dyDescent="0.25">
      <c r="Y3115" s="63">
        <v>45648</v>
      </c>
      <c r="Z3115" s="61">
        <f>_xll.qlYieldTSDiscount($U$35,Y3115,,Trigger)</f>
        <v>0.89748592233400648</v>
      </c>
    </row>
    <row r="3116" spans="25:26" x14ac:dyDescent="0.25">
      <c r="Y3116" s="63">
        <v>45649</v>
      </c>
      <c r="Z3116" s="61">
        <f>_xll.qlYieldTSDiscount($U$35,Y3116,,Trigger)</f>
        <v>0.8974480407920512</v>
      </c>
    </row>
    <row r="3117" spans="25:26" x14ac:dyDescent="0.25">
      <c r="Y3117" s="63">
        <v>45650</v>
      </c>
      <c r="Z3117" s="61">
        <f>_xll.qlYieldTSDiscount($U$35,Y3117,,Trigger)</f>
        <v>0.89741016101989046</v>
      </c>
    </row>
    <row r="3118" spans="25:26" x14ac:dyDescent="0.25">
      <c r="Y3118" s="63">
        <v>45651</v>
      </c>
      <c r="Z3118" s="61">
        <f>_xll.qlYieldTSDiscount($U$35,Y3118,,Trigger)</f>
        <v>0.8973722830207157</v>
      </c>
    </row>
    <row r="3119" spans="25:26" x14ac:dyDescent="0.25">
      <c r="Y3119" s="63">
        <v>45652</v>
      </c>
      <c r="Z3119" s="61">
        <f>_xll.qlYieldTSDiscount($U$35,Y3119,,Trigger)</f>
        <v>0.89733440679771814</v>
      </c>
    </row>
    <row r="3120" spans="25:26" x14ac:dyDescent="0.25">
      <c r="Y3120" s="63">
        <v>45653</v>
      </c>
      <c r="Z3120" s="61">
        <f>_xll.qlYieldTSDiscount($U$35,Y3120,,Trigger)</f>
        <v>0.89729653235408946</v>
      </c>
    </row>
    <row r="3121" spans="25:26" x14ac:dyDescent="0.25">
      <c r="Y3121" s="63">
        <v>45654</v>
      </c>
      <c r="Z3121" s="61">
        <f>_xll.qlYieldTSDiscount($U$35,Y3121,,Trigger)</f>
        <v>0.89725865969302099</v>
      </c>
    </row>
    <row r="3122" spans="25:26" x14ac:dyDescent="0.25">
      <c r="Y3122" s="63">
        <v>45655</v>
      </c>
      <c r="Z3122" s="61">
        <f>_xll.qlYieldTSDiscount($U$35,Y3122,,Trigger)</f>
        <v>0.89722078881770395</v>
      </c>
    </row>
    <row r="3123" spans="25:26" x14ac:dyDescent="0.25">
      <c r="Y3123" s="63">
        <v>45656</v>
      </c>
      <c r="Z3123" s="61">
        <f>_xll.qlYieldTSDiscount($U$35,Y3123,,Trigger)</f>
        <v>0.89718291973133013</v>
      </c>
    </row>
    <row r="3124" spans="25:26" x14ac:dyDescent="0.25">
      <c r="Y3124" s="63">
        <v>45657</v>
      </c>
      <c r="Z3124" s="61">
        <f>_xll.qlYieldTSDiscount($U$35,Y3124,,Trigger)</f>
        <v>0.89714505243709075</v>
      </c>
    </row>
    <row r="3125" spans="25:26" x14ac:dyDescent="0.25">
      <c r="Y3125" s="63">
        <v>45658</v>
      </c>
      <c r="Z3125" s="61">
        <f>_xll.qlYieldTSDiscount($U$35,Y3125,,Trigger)</f>
        <v>0.89710718693817715</v>
      </c>
    </row>
    <row r="3126" spans="25:26" x14ac:dyDescent="0.25">
      <c r="Y3126" s="63">
        <v>45659</v>
      </c>
      <c r="Z3126" s="61">
        <f>_xll.qlYieldTSDiscount($U$35,Y3126,,Trigger)</f>
        <v>0.89706932323778088</v>
      </c>
    </row>
    <row r="3127" spans="25:26" x14ac:dyDescent="0.25">
      <c r="Y3127" s="63">
        <v>45660</v>
      </c>
      <c r="Z3127" s="61">
        <f>_xll.qlYieldTSDiscount($U$35,Y3127,,Trigger)</f>
        <v>0.89703146133909339</v>
      </c>
    </row>
    <row r="3128" spans="25:26" x14ac:dyDescent="0.25">
      <c r="Y3128" s="63">
        <v>45661</v>
      </c>
      <c r="Z3128" s="61">
        <f>_xll.qlYieldTSDiscount($U$35,Y3128,,Trigger)</f>
        <v>0.89699360124530614</v>
      </c>
    </row>
    <row r="3129" spans="25:26" x14ac:dyDescent="0.25">
      <c r="Y3129" s="63">
        <v>45662</v>
      </c>
      <c r="Z3129" s="61">
        <f>_xll.qlYieldTSDiscount($U$35,Y3129,,Trigger)</f>
        <v>0.89695574295961045</v>
      </c>
    </row>
    <row r="3130" spans="25:26" x14ac:dyDescent="0.25">
      <c r="Y3130" s="63">
        <v>45663</v>
      </c>
      <c r="Z3130" s="61">
        <f>_xll.qlYieldTSDiscount($U$35,Y3130,,Trigger)</f>
        <v>0.89691788648519766</v>
      </c>
    </row>
    <row r="3131" spans="25:26" x14ac:dyDescent="0.25">
      <c r="Y3131" s="63">
        <v>45664</v>
      </c>
      <c r="Z3131" s="61">
        <f>_xll.qlYieldTSDiscount($U$35,Y3131,,Trigger)</f>
        <v>0.89688003182525944</v>
      </c>
    </row>
    <row r="3132" spans="25:26" x14ac:dyDescent="0.25">
      <c r="Y3132" s="63">
        <v>45665</v>
      </c>
      <c r="Z3132" s="61">
        <f>_xll.qlYieldTSDiscount($U$35,Y3132,,Trigger)</f>
        <v>0.89684217898298701</v>
      </c>
    </row>
    <row r="3133" spans="25:26" x14ac:dyDescent="0.25">
      <c r="Y3133" s="63">
        <v>45666</v>
      </c>
      <c r="Z3133" s="61">
        <f>_xll.qlYieldTSDiscount($U$35,Y3133,,Trigger)</f>
        <v>0.89680432796157183</v>
      </c>
    </row>
    <row r="3134" spans="25:26" x14ac:dyDescent="0.25">
      <c r="Y3134" s="63">
        <v>45667</v>
      </c>
      <c r="Z3134" s="61">
        <f>_xll.qlYieldTSDiscount($U$35,Y3134,,Trigger)</f>
        <v>0.89676647876420545</v>
      </c>
    </row>
    <row r="3135" spans="25:26" x14ac:dyDescent="0.25">
      <c r="Y3135" s="63">
        <v>45668</v>
      </c>
      <c r="Z3135" s="61">
        <f>_xll.qlYieldTSDiscount($U$35,Y3135,,Trigger)</f>
        <v>0.8967286313940791</v>
      </c>
    </row>
    <row r="3136" spans="25:26" x14ac:dyDescent="0.25">
      <c r="Y3136" s="63">
        <v>45669</v>
      </c>
      <c r="Z3136" s="61">
        <f>_xll.qlYieldTSDiscount($U$35,Y3136,,Trigger)</f>
        <v>0.89669078585438444</v>
      </c>
    </row>
    <row r="3137" spans="25:26" x14ac:dyDescent="0.25">
      <c r="Y3137" s="63">
        <v>45670</v>
      </c>
      <c r="Z3137" s="61">
        <f>_xll.qlYieldTSDiscount($U$35,Y3137,,Trigger)</f>
        <v>0.8966529421483127</v>
      </c>
    </row>
    <row r="3138" spans="25:26" x14ac:dyDescent="0.25">
      <c r="Y3138" s="63">
        <v>45671</v>
      </c>
      <c r="Z3138" s="61">
        <f>_xll.qlYieldTSDiscount($U$35,Y3138,,Trigger)</f>
        <v>0.89661510027905544</v>
      </c>
    </row>
    <row r="3139" spans="25:26" x14ac:dyDescent="0.25">
      <c r="Y3139" s="63">
        <v>45672</v>
      </c>
      <c r="Z3139" s="61">
        <f>_xll.qlYieldTSDiscount($U$35,Y3139,,Trigger)</f>
        <v>0.89657726024980389</v>
      </c>
    </row>
    <row r="3140" spans="25:26" x14ac:dyDescent="0.25">
      <c r="Y3140" s="63">
        <v>45673</v>
      </c>
      <c r="Z3140" s="61">
        <f>_xll.qlYieldTSDiscount($U$35,Y3140,,Trigger)</f>
        <v>0.8965394220637497</v>
      </c>
    </row>
    <row r="3141" spans="25:26" x14ac:dyDescent="0.25">
      <c r="Y3141" s="63">
        <v>45674</v>
      </c>
      <c r="Z3141" s="61">
        <f>_xll.qlYieldTSDiscount($U$35,Y3141,,Trigger)</f>
        <v>0.89650158572408423</v>
      </c>
    </row>
    <row r="3142" spans="25:26" x14ac:dyDescent="0.25">
      <c r="Y3142" s="63">
        <v>45675</v>
      </c>
      <c r="Z3142" s="61">
        <f>_xll.qlYieldTSDiscount($U$35,Y3142,,Trigger)</f>
        <v>0.8964637512339988</v>
      </c>
    </row>
    <row r="3143" spans="25:26" x14ac:dyDescent="0.25">
      <c r="Y3143" s="63">
        <v>45676</v>
      </c>
      <c r="Z3143" s="61">
        <f>_xll.qlYieldTSDiscount($U$35,Y3143,,Trigger)</f>
        <v>0.89642591859668497</v>
      </c>
    </row>
    <row r="3144" spans="25:26" x14ac:dyDescent="0.25">
      <c r="Y3144" s="63">
        <v>45677</v>
      </c>
      <c r="Z3144" s="61">
        <f>_xll.qlYieldTSDiscount($U$35,Y3144,,Trigger)</f>
        <v>0.89638808781533408</v>
      </c>
    </row>
    <row r="3145" spans="25:26" x14ac:dyDescent="0.25">
      <c r="Y3145" s="63">
        <v>45678</v>
      </c>
      <c r="Z3145" s="61">
        <f>_xll.qlYieldTSDiscount($U$35,Y3145,,Trigger)</f>
        <v>0.89635025889313757</v>
      </c>
    </row>
    <row r="3146" spans="25:26" x14ac:dyDescent="0.25">
      <c r="Y3146" s="63">
        <v>45679</v>
      </c>
      <c r="Z3146" s="61">
        <f>_xll.qlYieldTSDiscount($U$35,Y3146,,Trigger)</f>
        <v>0.8963124318332869</v>
      </c>
    </row>
    <row r="3147" spans="25:26" x14ac:dyDescent="0.25">
      <c r="Y3147" s="63">
        <v>45680</v>
      </c>
      <c r="Z3147" s="61">
        <f>_xll.qlYieldTSDiscount($U$35,Y3147,,Trigger)</f>
        <v>0.8962746066389734</v>
      </c>
    </row>
    <row r="3148" spans="25:26" x14ac:dyDescent="0.25">
      <c r="Y3148" s="63">
        <v>45681</v>
      </c>
      <c r="Z3148" s="61">
        <f>_xll.qlYieldTSDiscount($U$35,Y3148,,Trigger)</f>
        <v>0.89623678331338863</v>
      </c>
    </row>
    <row r="3149" spans="25:26" x14ac:dyDescent="0.25">
      <c r="Y3149" s="63">
        <v>45682</v>
      </c>
      <c r="Z3149" s="61">
        <f>_xll.qlYieldTSDiscount($U$35,Y3149,,Trigger)</f>
        <v>0.89619896185972392</v>
      </c>
    </row>
    <row r="3150" spans="25:26" x14ac:dyDescent="0.25">
      <c r="Y3150" s="63">
        <v>45683</v>
      </c>
      <c r="Z3150" s="61">
        <f>_xll.qlYieldTSDiscount($U$35,Y3150,,Trigger)</f>
        <v>0.89616114228117072</v>
      </c>
    </row>
    <row r="3151" spans="25:26" x14ac:dyDescent="0.25">
      <c r="Y3151" s="63">
        <v>45684</v>
      </c>
      <c r="Z3151" s="61">
        <f>_xll.qlYieldTSDiscount($U$35,Y3151,,Trigger)</f>
        <v>0.89612332458092048</v>
      </c>
    </row>
    <row r="3152" spans="25:26" x14ac:dyDescent="0.25">
      <c r="Y3152" s="63">
        <v>45685</v>
      </c>
      <c r="Z3152" s="61">
        <f>_xll.qlYieldTSDiscount($U$35,Y3152,,Trigger)</f>
        <v>0.89608550876216464</v>
      </c>
    </row>
    <row r="3153" spans="25:26" x14ac:dyDescent="0.25">
      <c r="Y3153" s="63">
        <v>45686</v>
      </c>
      <c r="Z3153" s="61">
        <f>_xll.qlYieldTSDiscount($U$35,Y3153,,Trigger)</f>
        <v>0.89604769482809454</v>
      </c>
    </row>
    <row r="3154" spans="25:26" x14ac:dyDescent="0.25">
      <c r="Y3154" s="63">
        <v>45687</v>
      </c>
      <c r="Z3154" s="61">
        <f>_xll.qlYieldTSDiscount($U$35,Y3154,,Trigger)</f>
        <v>0.89600988278190175</v>
      </c>
    </row>
    <row r="3155" spans="25:26" x14ac:dyDescent="0.25">
      <c r="Y3155" s="63">
        <v>45688</v>
      </c>
      <c r="Z3155" s="61">
        <f>_xll.qlYieldTSDiscount($U$35,Y3155,,Trigger)</f>
        <v>0.89597207262677747</v>
      </c>
    </row>
    <row r="3156" spans="25:26" x14ac:dyDescent="0.25">
      <c r="Y3156" s="63">
        <v>45689</v>
      </c>
      <c r="Z3156" s="61">
        <f>_xll.qlYieldTSDiscount($U$35,Y3156,,Trigger)</f>
        <v>0.89593426436591328</v>
      </c>
    </row>
    <row r="3157" spans="25:26" x14ac:dyDescent="0.25">
      <c r="Y3157" s="63">
        <v>45690</v>
      </c>
      <c r="Z3157" s="61">
        <f>_xll.qlYieldTSDiscount($U$35,Y3157,,Trigger)</f>
        <v>0.89589645800250073</v>
      </c>
    </row>
    <row r="3158" spans="25:26" x14ac:dyDescent="0.25">
      <c r="Y3158" s="63">
        <v>45691</v>
      </c>
      <c r="Z3158" s="61">
        <f>_xll.qlYieldTSDiscount($U$35,Y3158,,Trigger)</f>
        <v>0.89585865353973093</v>
      </c>
    </row>
    <row r="3159" spans="25:26" x14ac:dyDescent="0.25">
      <c r="Y3159" s="63">
        <v>45692</v>
      </c>
      <c r="Z3159" s="61">
        <f>_xll.qlYieldTSDiscount($U$35,Y3159,,Trigger)</f>
        <v>0.89582085098079556</v>
      </c>
    </row>
    <row r="3160" spans="25:26" x14ac:dyDescent="0.25">
      <c r="Y3160" s="63">
        <v>45693</v>
      </c>
      <c r="Z3160" s="61">
        <f>_xll.qlYieldTSDiscount($U$35,Y3160,,Trigger)</f>
        <v>0.89578305032888583</v>
      </c>
    </row>
    <row r="3161" spans="25:26" x14ac:dyDescent="0.25">
      <c r="Y3161" s="63">
        <v>45694</v>
      </c>
      <c r="Z3161" s="61">
        <f>_xll.qlYieldTSDiscount($U$35,Y3161,,Trigger)</f>
        <v>0.89574525158719343</v>
      </c>
    </row>
    <row r="3162" spans="25:26" x14ac:dyDescent="0.25">
      <c r="Y3162" s="63">
        <v>45695</v>
      </c>
      <c r="Z3162" s="61">
        <f>_xll.qlYieldTSDiscount($U$35,Y3162,,Trigger)</f>
        <v>0.89570745475890956</v>
      </c>
    </row>
    <row r="3163" spans="25:26" x14ac:dyDescent="0.25">
      <c r="Y3163" s="63">
        <v>45696</v>
      </c>
      <c r="Z3163" s="61">
        <f>_xll.qlYieldTSDiscount($U$35,Y3163,,Trigger)</f>
        <v>0.8956696598472258</v>
      </c>
    </row>
    <row r="3164" spans="25:26" x14ac:dyDescent="0.25">
      <c r="Y3164" s="63">
        <v>45697</v>
      </c>
      <c r="Z3164" s="61">
        <f>_xll.qlYieldTSDiscount($U$35,Y3164,,Trigger)</f>
        <v>0.89563186685533347</v>
      </c>
    </row>
    <row r="3165" spans="25:26" x14ac:dyDescent="0.25">
      <c r="Y3165" s="63">
        <v>45698</v>
      </c>
      <c r="Z3165" s="61">
        <f>_xll.qlYieldTSDiscount($U$35,Y3165,,Trigger)</f>
        <v>0.89559407578642403</v>
      </c>
    </row>
    <row r="3166" spans="25:26" x14ac:dyDescent="0.25">
      <c r="Y3166" s="63">
        <v>45699</v>
      </c>
      <c r="Z3166" s="61">
        <f>_xll.qlYieldTSDiscount($U$35,Y3166,,Trigger)</f>
        <v>0.89555628664368891</v>
      </c>
    </row>
    <row r="3167" spans="25:26" x14ac:dyDescent="0.25">
      <c r="Y3167" s="63">
        <v>45700</v>
      </c>
      <c r="Z3167" s="61">
        <f>_xll.qlYieldTSDiscount($U$35,Y3167,,Trigger)</f>
        <v>0.89551849943031958</v>
      </c>
    </row>
    <row r="3168" spans="25:26" x14ac:dyDescent="0.25">
      <c r="Y3168" s="63">
        <v>45701</v>
      </c>
      <c r="Z3168" s="61">
        <f>_xll.qlYieldTSDiscount($U$35,Y3168,,Trigger)</f>
        <v>0.89548071414950736</v>
      </c>
    </row>
    <row r="3169" spans="25:26" x14ac:dyDescent="0.25">
      <c r="Y3169" s="63">
        <v>45702</v>
      </c>
      <c r="Z3169" s="61">
        <f>_xll.qlYieldTSDiscount($U$35,Y3169,,Trigger)</f>
        <v>0.8954429308044437</v>
      </c>
    </row>
    <row r="3170" spans="25:26" x14ac:dyDescent="0.25">
      <c r="Y3170" s="63">
        <v>45703</v>
      </c>
      <c r="Z3170" s="61">
        <f>_xll.qlYieldTSDiscount($U$35,Y3170,,Trigger)</f>
        <v>0.89540514939832017</v>
      </c>
    </row>
    <row r="3171" spans="25:26" x14ac:dyDescent="0.25">
      <c r="Y3171" s="63">
        <v>45704</v>
      </c>
      <c r="Z3171" s="61">
        <f>_xll.qlYieldTSDiscount($U$35,Y3171,,Trigger)</f>
        <v>0.89536736993432797</v>
      </c>
    </row>
    <row r="3172" spans="25:26" x14ac:dyDescent="0.25">
      <c r="Y3172" s="63">
        <v>45705</v>
      </c>
      <c r="Z3172" s="61">
        <f>_xll.qlYieldTSDiscount($U$35,Y3172,,Trigger)</f>
        <v>0.89532959241565868</v>
      </c>
    </row>
    <row r="3173" spans="25:26" x14ac:dyDescent="0.25">
      <c r="Y3173" s="63">
        <v>45706</v>
      </c>
      <c r="Z3173" s="61">
        <f>_xll.qlYieldTSDiscount($U$35,Y3173,,Trigger)</f>
        <v>0.89529181684550374</v>
      </c>
    </row>
    <row r="3174" spans="25:26" x14ac:dyDescent="0.25">
      <c r="Y3174" s="63">
        <v>45707</v>
      </c>
      <c r="Z3174" s="61">
        <f>_xll.qlYieldTSDiscount($U$35,Y3174,,Trigger)</f>
        <v>0.89525404322705437</v>
      </c>
    </row>
    <row r="3175" spans="25:26" x14ac:dyDescent="0.25">
      <c r="Y3175" s="63">
        <v>45708</v>
      </c>
      <c r="Z3175" s="61">
        <f>_xll.qlYieldTSDiscount($U$35,Y3175,,Trigger)</f>
        <v>0.89521627156350225</v>
      </c>
    </row>
    <row r="3176" spans="25:26" x14ac:dyDescent="0.25">
      <c r="Y3176" s="63">
        <v>45709</v>
      </c>
      <c r="Z3176" s="61">
        <f>_xll.qlYieldTSDiscount($U$35,Y3176,,Trigger)</f>
        <v>0.89517850185803871</v>
      </c>
    </row>
    <row r="3177" spans="25:26" x14ac:dyDescent="0.25">
      <c r="Y3177" s="63">
        <v>45710</v>
      </c>
      <c r="Z3177" s="61">
        <f>_xll.qlYieldTSDiscount($U$35,Y3177,,Trigger)</f>
        <v>0.8951407341138552</v>
      </c>
    </row>
    <row r="3178" spans="25:26" x14ac:dyDescent="0.25">
      <c r="Y3178" s="63">
        <v>45711</v>
      </c>
      <c r="Z3178" s="61">
        <f>_xll.qlYieldTSDiscount($U$35,Y3178,,Trigger)</f>
        <v>0.89510296833414305</v>
      </c>
    </row>
    <row r="3179" spans="25:26" x14ac:dyDescent="0.25">
      <c r="Y3179" s="63">
        <v>45712</v>
      </c>
      <c r="Z3179" s="61">
        <f>_xll.qlYieldTSDiscount($U$35,Y3179,,Trigger)</f>
        <v>0.8950652045220937</v>
      </c>
    </row>
    <row r="3180" spans="25:26" x14ac:dyDescent="0.25">
      <c r="Y3180" s="63">
        <v>45713</v>
      </c>
      <c r="Z3180" s="61">
        <f>_xll.qlYieldTSDiscount($U$35,Y3180,,Trigger)</f>
        <v>0.89502744268089862</v>
      </c>
    </row>
    <row r="3181" spans="25:26" x14ac:dyDescent="0.25">
      <c r="Y3181" s="63">
        <v>45714</v>
      </c>
      <c r="Z3181" s="61">
        <f>_xll.qlYieldTSDiscount($U$35,Y3181,,Trigger)</f>
        <v>0.89498968281374924</v>
      </c>
    </row>
    <row r="3182" spans="25:26" x14ac:dyDescent="0.25">
      <c r="Y3182" s="63">
        <v>45715</v>
      </c>
      <c r="Z3182" s="61">
        <f>_xll.qlYieldTSDiscount($U$35,Y3182,,Trigger)</f>
        <v>0.89495192492383713</v>
      </c>
    </row>
    <row r="3183" spans="25:26" x14ac:dyDescent="0.25">
      <c r="Y3183" s="63">
        <v>45716</v>
      </c>
      <c r="Z3183" s="61">
        <f>_xll.qlYieldTSDiscount($U$35,Y3183,,Trigger)</f>
        <v>0.89491416901435339</v>
      </c>
    </row>
    <row r="3184" spans="25:26" x14ac:dyDescent="0.25">
      <c r="Y3184" s="63">
        <v>45717</v>
      </c>
      <c r="Z3184" s="61">
        <f>_xll.qlYieldTSDiscount($U$35,Y3184,,Trigger)</f>
        <v>0.8948764150884897</v>
      </c>
    </row>
    <row r="3185" spans="25:26" x14ac:dyDescent="0.25">
      <c r="Y3185" s="63">
        <v>45718</v>
      </c>
      <c r="Z3185" s="61">
        <f>_xll.qlYieldTSDiscount($U$35,Y3185,,Trigger)</f>
        <v>0.89483866314943739</v>
      </c>
    </row>
    <row r="3186" spans="25:26" x14ac:dyDescent="0.25">
      <c r="Y3186" s="63">
        <v>45719</v>
      </c>
      <c r="Z3186" s="61">
        <f>_xll.qlYieldTSDiscount($U$35,Y3186,,Trigger)</f>
        <v>0.8948009132003879</v>
      </c>
    </row>
    <row r="3187" spans="25:26" x14ac:dyDescent="0.25">
      <c r="Y3187" s="63">
        <v>45720</v>
      </c>
      <c r="Z3187" s="61">
        <f>_xll.qlYieldTSDiscount($U$35,Y3187,,Trigger)</f>
        <v>0.89476316524453259</v>
      </c>
    </row>
    <row r="3188" spans="25:26" x14ac:dyDescent="0.25">
      <c r="Y3188" s="63">
        <v>45721</v>
      </c>
      <c r="Z3188" s="61">
        <f>_xll.qlYieldTSDiscount($U$35,Y3188,,Trigger)</f>
        <v>0.894725419285063</v>
      </c>
    </row>
    <row r="3189" spans="25:26" x14ac:dyDescent="0.25">
      <c r="Y3189" s="63">
        <v>45722</v>
      </c>
      <c r="Z3189" s="61">
        <f>_xll.qlYieldTSDiscount($U$35,Y3189,,Trigger)</f>
        <v>0.89468767532517046</v>
      </c>
    </row>
    <row r="3190" spans="25:26" x14ac:dyDescent="0.25">
      <c r="Y3190" s="63">
        <v>45723</v>
      </c>
      <c r="Z3190" s="61">
        <f>_xll.qlYieldTSDiscount($U$35,Y3190,,Trigger)</f>
        <v>0.89464993336804655</v>
      </c>
    </row>
    <row r="3191" spans="25:26" x14ac:dyDescent="0.25">
      <c r="Y3191" s="63">
        <v>45724</v>
      </c>
      <c r="Z3191" s="61">
        <f>_xll.qlYieldTSDiscount($U$35,Y3191,,Trigger)</f>
        <v>0.89461219341688247</v>
      </c>
    </row>
    <row r="3192" spans="25:26" x14ac:dyDescent="0.25">
      <c r="Y3192" s="63">
        <v>45725</v>
      </c>
      <c r="Z3192" s="61">
        <f>_xll.qlYieldTSDiscount($U$35,Y3192,,Trigger)</f>
        <v>0.8945744554748698</v>
      </c>
    </row>
    <row r="3193" spans="25:26" x14ac:dyDescent="0.25">
      <c r="Y3193" s="63">
        <v>45726</v>
      </c>
      <c r="Z3193" s="61">
        <f>_xll.qlYieldTSDiscount($U$35,Y3193,,Trigger)</f>
        <v>0.89453671954519998</v>
      </c>
    </row>
    <row r="3194" spans="25:26" x14ac:dyDescent="0.25">
      <c r="Y3194" s="63">
        <v>45727</v>
      </c>
      <c r="Z3194" s="61">
        <f>_xll.qlYieldTSDiscount($U$35,Y3194,,Trigger)</f>
        <v>0.89449898563106434</v>
      </c>
    </row>
    <row r="3195" spans="25:26" x14ac:dyDescent="0.25">
      <c r="Y3195" s="63">
        <v>45728</v>
      </c>
      <c r="Z3195" s="61">
        <f>_xll.qlYieldTSDiscount($U$35,Y3195,,Trigger)</f>
        <v>0.89446125373565433</v>
      </c>
    </row>
    <row r="3196" spans="25:26" x14ac:dyDescent="0.25">
      <c r="Y3196" s="63">
        <v>45729</v>
      </c>
      <c r="Z3196" s="61">
        <f>_xll.qlYieldTSDiscount($U$35,Y3196,,Trigger)</f>
        <v>0.8944235238621614</v>
      </c>
    </row>
    <row r="3197" spans="25:26" x14ac:dyDescent="0.25">
      <c r="Y3197" s="63">
        <v>45730</v>
      </c>
      <c r="Z3197" s="61">
        <f>_xll.qlYieldTSDiscount($U$35,Y3197,,Trigger)</f>
        <v>0.89438579601377699</v>
      </c>
    </row>
    <row r="3198" spans="25:26" x14ac:dyDescent="0.25">
      <c r="Y3198" s="63">
        <v>45731</v>
      </c>
      <c r="Z3198" s="61">
        <f>_xll.qlYieldTSDiscount($U$35,Y3198,,Trigger)</f>
        <v>0.89434807019369245</v>
      </c>
    </row>
    <row r="3199" spans="25:26" x14ac:dyDescent="0.25">
      <c r="Y3199" s="63">
        <v>45732</v>
      </c>
      <c r="Z3199" s="61">
        <f>_xll.qlYieldTSDiscount($U$35,Y3199,,Trigger)</f>
        <v>0.89431034640509932</v>
      </c>
    </row>
    <row r="3200" spans="25:26" x14ac:dyDescent="0.25">
      <c r="Y3200" s="63">
        <v>45733</v>
      </c>
      <c r="Z3200" s="61">
        <f>_xll.qlYieldTSDiscount($U$35,Y3200,,Trigger)</f>
        <v>0.89427262465118884</v>
      </c>
    </row>
    <row r="3201" spans="25:26" x14ac:dyDescent="0.25">
      <c r="Y3201" s="63">
        <v>45734</v>
      </c>
      <c r="Z3201" s="61">
        <f>_xll.qlYieldTSDiscount($U$35,Y3201,,Trigger)</f>
        <v>0.89423490493515267</v>
      </c>
    </row>
    <row r="3202" spans="25:26" x14ac:dyDescent="0.25">
      <c r="Y3202" s="63">
        <v>45735</v>
      </c>
      <c r="Z3202" s="61">
        <f>_xll.qlYieldTSDiscount($U$35,Y3202,,Trigger)</f>
        <v>0.89419718726018216</v>
      </c>
    </row>
    <row r="3203" spans="25:26" x14ac:dyDescent="0.25">
      <c r="Y3203" s="63">
        <v>45736</v>
      </c>
      <c r="Z3203" s="61">
        <f>_xll.qlYieldTSDiscount($U$35,Y3203,,Trigger)</f>
        <v>0.89415947162946852</v>
      </c>
    </row>
    <row r="3204" spans="25:26" x14ac:dyDescent="0.25">
      <c r="Y3204" s="63">
        <v>45737</v>
      </c>
      <c r="Z3204" s="61">
        <f>_xll.qlYieldTSDiscount($U$35,Y3204,,Trigger)</f>
        <v>0.89412175804620353</v>
      </c>
    </row>
    <row r="3205" spans="25:26" x14ac:dyDescent="0.25">
      <c r="Y3205" s="63">
        <v>45738</v>
      </c>
      <c r="Z3205" s="61">
        <f>_xll.qlYieldTSDiscount($U$35,Y3205,,Trigger)</f>
        <v>0.89408404651357831</v>
      </c>
    </row>
    <row r="3206" spans="25:26" x14ac:dyDescent="0.25">
      <c r="Y3206" s="63">
        <v>45739</v>
      </c>
      <c r="Z3206" s="61">
        <f>_xll.qlYieldTSDiscount($U$35,Y3206,,Trigger)</f>
        <v>0.89404633703478453</v>
      </c>
    </row>
    <row r="3207" spans="25:26" x14ac:dyDescent="0.25">
      <c r="Y3207" s="63">
        <v>45740</v>
      </c>
      <c r="Z3207" s="61">
        <f>_xll.qlYieldTSDiscount($U$35,Y3207,,Trigger)</f>
        <v>0.89400862961301342</v>
      </c>
    </row>
    <row r="3208" spans="25:26" x14ac:dyDescent="0.25">
      <c r="Y3208" s="63">
        <v>45741</v>
      </c>
      <c r="Z3208" s="61">
        <f>_xll.qlYieldTSDiscount($U$35,Y3208,,Trigger)</f>
        <v>0.89397092425145641</v>
      </c>
    </row>
    <row r="3209" spans="25:26" x14ac:dyDescent="0.25">
      <c r="Y3209" s="63">
        <v>45742</v>
      </c>
      <c r="Z3209" s="61">
        <f>_xll.qlYieldTSDiscount($U$35,Y3209,,Trigger)</f>
        <v>0.89393322095330507</v>
      </c>
    </row>
    <row r="3210" spans="25:26" x14ac:dyDescent="0.25">
      <c r="Y3210" s="63">
        <v>45743</v>
      </c>
      <c r="Z3210" s="61">
        <f>_xll.qlYieldTSDiscount($U$35,Y3210,,Trigger)</f>
        <v>0.89389551972175085</v>
      </c>
    </row>
    <row r="3211" spans="25:26" x14ac:dyDescent="0.25">
      <c r="Y3211" s="63">
        <v>45744</v>
      </c>
      <c r="Z3211" s="61">
        <f>_xll.qlYieldTSDiscount($U$35,Y3211,,Trigger)</f>
        <v>0.89385782055998497</v>
      </c>
    </row>
    <row r="3212" spans="25:26" x14ac:dyDescent="0.25">
      <c r="Y3212" s="63">
        <v>45745</v>
      </c>
      <c r="Z3212" s="61">
        <f>_xll.qlYieldTSDiscount($U$35,Y3212,,Trigger)</f>
        <v>0.89382012347119899</v>
      </c>
    </row>
    <row r="3213" spans="25:26" x14ac:dyDescent="0.25">
      <c r="Y3213" s="63">
        <v>45746</v>
      </c>
      <c r="Z3213" s="61">
        <f>_xll.qlYieldTSDiscount($U$35,Y3213,,Trigger)</f>
        <v>0.89378242845858424</v>
      </c>
    </row>
    <row r="3214" spans="25:26" x14ac:dyDescent="0.25">
      <c r="Y3214" s="63">
        <v>45747</v>
      </c>
      <c r="Z3214" s="61">
        <f>_xll.qlYieldTSDiscount($U$35,Y3214,,Trigger)</f>
        <v>0.89374473552533229</v>
      </c>
    </row>
    <row r="3215" spans="25:26" x14ac:dyDescent="0.25">
      <c r="Y3215" s="63">
        <v>45748</v>
      </c>
      <c r="Z3215" s="61">
        <f>_xll.qlYieldTSDiscount($U$35,Y3215,,Trigger)</f>
        <v>0.89370704467463447</v>
      </c>
    </row>
    <row r="3216" spans="25:26" x14ac:dyDescent="0.25">
      <c r="Y3216" s="63">
        <v>45749</v>
      </c>
      <c r="Z3216" s="61">
        <f>_xll.qlYieldTSDiscount($U$35,Y3216,,Trigger)</f>
        <v>0.89366935590968222</v>
      </c>
    </row>
    <row r="3217" spans="25:26" x14ac:dyDescent="0.25">
      <c r="Y3217" s="63">
        <v>45750</v>
      </c>
      <c r="Z3217" s="61">
        <f>_xll.qlYieldTSDiscount($U$35,Y3217,,Trigger)</f>
        <v>0.89363166923366688</v>
      </c>
    </row>
    <row r="3218" spans="25:26" x14ac:dyDescent="0.25">
      <c r="Y3218" s="63">
        <v>45751</v>
      </c>
      <c r="Z3218" s="61">
        <f>_xll.qlYieldTSDiscount($U$35,Y3218,,Trigger)</f>
        <v>0.89359398464978013</v>
      </c>
    </row>
    <row r="3219" spans="25:26" x14ac:dyDescent="0.25">
      <c r="Y3219" s="63">
        <v>45752</v>
      </c>
      <c r="Z3219" s="61">
        <f>_xll.qlYieldTSDiscount($U$35,Y3219,,Trigger)</f>
        <v>0.89355630216121307</v>
      </c>
    </row>
    <row r="3220" spans="25:26" x14ac:dyDescent="0.25">
      <c r="Y3220" s="63">
        <v>45753</v>
      </c>
      <c r="Z3220" s="61">
        <f>_xll.qlYieldTSDiscount($U$35,Y3220,,Trigger)</f>
        <v>0.89351862177115737</v>
      </c>
    </row>
    <row r="3221" spans="25:26" x14ac:dyDescent="0.25">
      <c r="Y3221" s="63">
        <v>45754</v>
      </c>
      <c r="Z3221" s="61">
        <f>_xll.qlYieldTSDiscount($U$35,Y3221,,Trigger)</f>
        <v>0.89348094348280438</v>
      </c>
    </row>
    <row r="3222" spans="25:26" x14ac:dyDescent="0.25">
      <c r="Y3222" s="63">
        <v>45755</v>
      </c>
      <c r="Z3222" s="61">
        <f>_xll.qlYieldTSDiscount($U$35,Y3222,,Trigger)</f>
        <v>0.89344326729934553</v>
      </c>
    </row>
    <row r="3223" spans="25:26" x14ac:dyDescent="0.25">
      <c r="Y3223" s="63">
        <v>45756</v>
      </c>
      <c r="Z3223" s="61">
        <f>_xll.qlYieldTSDiscount($U$35,Y3223,,Trigger)</f>
        <v>0.89340559322397217</v>
      </c>
    </row>
    <row r="3224" spans="25:26" x14ac:dyDescent="0.25">
      <c r="Y3224" s="63">
        <v>45757</v>
      </c>
      <c r="Z3224" s="61">
        <f>_xll.qlYieldTSDiscount($U$35,Y3224,,Trigger)</f>
        <v>0.89336792125987574</v>
      </c>
    </row>
    <row r="3225" spans="25:26" x14ac:dyDescent="0.25">
      <c r="Y3225" s="63">
        <v>45758</v>
      </c>
      <c r="Z3225" s="61">
        <f>_xll.qlYieldTSDiscount($U$35,Y3225,,Trigger)</f>
        <v>0.8933302514102478</v>
      </c>
    </row>
    <row r="3226" spans="25:26" x14ac:dyDescent="0.25">
      <c r="Y3226" s="63">
        <v>45759</v>
      </c>
      <c r="Z3226" s="61">
        <f>_xll.qlYieldTSDiscount($U$35,Y3226,,Trigger)</f>
        <v>0.89329258367827957</v>
      </c>
    </row>
    <row r="3227" spans="25:26" x14ac:dyDescent="0.25">
      <c r="Y3227" s="63">
        <v>45760</v>
      </c>
      <c r="Z3227" s="61">
        <f>_xll.qlYieldTSDiscount($U$35,Y3227,,Trigger)</f>
        <v>0.89325491806716273</v>
      </c>
    </row>
    <row r="3228" spans="25:26" x14ac:dyDescent="0.25">
      <c r="Y3228" s="63">
        <v>45761</v>
      </c>
      <c r="Z3228" s="61">
        <f>_xll.qlYieldTSDiscount($U$35,Y3228,,Trigger)</f>
        <v>0.89321725458008849</v>
      </c>
    </row>
    <row r="3229" spans="25:26" x14ac:dyDescent="0.25">
      <c r="Y3229" s="63">
        <v>45762</v>
      </c>
      <c r="Z3229" s="61">
        <f>_xll.qlYieldTSDiscount($U$35,Y3229,,Trigger)</f>
        <v>0.89317959322024831</v>
      </c>
    </row>
    <row r="3230" spans="25:26" x14ac:dyDescent="0.25">
      <c r="Y3230" s="63">
        <v>45763</v>
      </c>
      <c r="Z3230" s="61">
        <f>_xll.qlYieldTSDiscount($U$35,Y3230,,Trigger)</f>
        <v>0.89314193399083375</v>
      </c>
    </row>
    <row r="3231" spans="25:26" x14ac:dyDescent="0.25">
      <c r="Y3231" s="63">
        <v>45764</v>
      </c>
      <c r="Z3231" s="61">
        <f>_xll.qlYieldTSDiscount($U$35,Y3231,,Trigger)</f>
        <v>0.89310427689503602</v>
      </c>
    </row>
    <row r="3232" spans="25:26" x14ac:dyDescent="0.25">
      <c r="Y3232" s="63">
        <v>45765</v>
      </c>
      <c r="Z3232" s="61">
        <f>_xll.qlYieldTSDiscount($U$35,Y3232,,Trigger)</f>
        <v>0.8930666219360468</v>
      </c>
    </row>
    <row r="3233" spans="25:26" x14ac:dyDescent="0.25">
      <c r="Y3233" s="63">
        <v>45766</v>
      </c>
      <c r="Z3233" s="61">
        <f>_xll.qlYieldTSDiscount($U$35,Y3233,,Trigger)</f>
        <v>0.89302896911705731</v>
      </c>
    </row>
    <row r="3234" spans="25:26" x14ac:dyDescent="0.25">
      <c r="Y3234" s="63">
        <v>45767</v>
      </c>
      <c r="Z3234" s="61">
        <f>_xll.qlYieldTSDiscount($U$35,Y3234,,Trigger)</f>
        <v>0.89299131844125901</v>
      </c>
    </row>
    <row r="3235" spans="25:26" x14ac:dyDescent="0.25">
      <c r="Y3235" s="63">
        <v>45768</v>
      </c>
      <c r="Z3235" s="61">
        <f>_xll.qlYieldTSDiscount($U$35,Y3235,,Trigger)</f>
        <v>0.89295366991184344</v>
      </c>
    </row>
    <row r="3236" spans="25:26" x14ac:dyDescent="0.25">
      <c r="Y3236" s="63">
        <v>45769</v>
      </c>
      <c r="Z3236" s="61">
        <f>_xll.qlYieldTSDiscount($U$35,Y3236,,Trigger)</f>
        <v>0.89291602353200183</v>
      </c>
    </row>
    <row r="3237" spans="25:26" x14ac:dyDescent="0.25">
      <c r="Y3237" s="63">
        <v>45770</v>
      </c>
      <c r="Z3237" s="61">
        <f>_xll.qlYieldTSDiscount($U$35,Y3237,,Trigger)</f>
        <v>0.89287837930492575</v>
      </c>
    </row>
    <row r="3238" spans="25:26" x14ac:dyDescent="0.25">
      <c r="Y3238" s="63">
        <v>45771</v>
      </c>
      <c r="Z3238" s="61">
        <f>_xll.qlYieldTSDiscount($U$35,Y3238,,Trigger)</f>
        <v>0.89284073723380664</v>
      </c>
    </row>
    <row r="3239" spans="25:26" x14ac:dyDescent="0.25">
      <c r="Y3239" s="63">
        <v>45772</v>
      </c>
      <c r="Z3239" s="61">
        <f>_xll.qlYieldTSDiscount($U$35,Y3239,,Trigger)</f>
        <v>0.89280309732183594</v>
      </c>
    </row>
    <row r="3240" spans="25:26" x14ac:dyDescent="0.25">
      <c r="Y3240" s="63">
        <v>45773</v>
      </c>
      <c r="Z3240" s="61">
        <f>_xll.qlYieldTSDiscount($U$35,Y3240,,Trigger)</f>
        <v>0.89276545957220488</v>
      </c>
    </row>
    <row r="3241" spans="25:26" x14ac:dyDescent="0.25">
      <c r="Y3241" s="63">
        <v>45774</v>
      </c>
      <c r="Z3241" s="61">
        <f>_xll.qlYieldTSDiscount($U$35,Y3241,,Trigger)</f>
        <v>0.89272782398810513</v>
      </c>
    </row>
    <row r="3242" spans="25:26" x14ac:dyDescent="0.25">
      <c r="Y3242" s="63">
        <v>45775</v>
      </c>
      <c r="Z3242" s="61">
        <f>_xll.qlYieldTSDiscount($U$35,Y3242,,Trigger)</f>
        <v>0.89269019057272792</v>
      </c>
    </row>
    <row r="3243" spans="25:26" x14ac:dyDescent="0.25">
      <c r="Y3243" s="63">
        <v>45776</v>
      </c>
      <c r="Z3243" s="61">
        <f>_xll.qlYieldTSDiscount($U$35,Y3243,,Trigger)</f>
        <v>0.89265255932926491</v>
      </c>
    </row>
    <row r="3244" spans="25:26" x14ac:dyDescent="0.25">
      <c r="Y3244" s="63">
        <v>45777</v>
      </c>
      <c r="Z3244" s="61">
        <f>_xll.qlYieldTSDiscount($U$35,Y3244,,Trigger)</f>
        <v>0.89261493026090721</v>
      </c>
    </row>
    <row r="3245" spans="25:26" x14ac:dyDescent="0.25">
      <c r="Y3245" s="63">
        <v>45778</v>
      </c>
      <c r="Z3245" s="61">
        <f>_xll.qlYieldTSDiscount($U$35,Y3245,,Trigger)</f>
        <v>0.8925773033708464</v>
      </c>
    </row>
    <row r="3246" spans="25:26" x14ac:dyDescent="0.25">
      <c r="Y3246" s="63">
        <v>45779</v>
      </c>
      <c r="Z3246" s="61">
        <f>_xll.qlYieldTSDiscount($U$35,Y3246,,Trigger)</f>
        <v>0.89253967866227402</v>
      </c>
    </row>
    <row r="3247" spans="25:26" x14ac:dyDescent="0.25">
      <c r="Y3247" s="63">
        <v>45780</v>
      </c>
      <c r="Z3247" s="61">
        <f>_xll.qlYieldTSDiscount($U$35,Y3247,,Trigger)</f>
        <v>0.89250205613838141</v>
      </c>
    </row>
    <row r="3248" spans="25:26" x14ac:dyDescent="0.25">
      <c r="Y3248" s="63">
        <v>45781</v>
      </c>
      <c r="Z3248" s="61">
        <f>_xll.qlYieldTSDiscount($U$35,Y3248,,Trigger)</f>
        <v>0.8924644358023599</v>
      </c>
    </row>
    <row r="3249" spans="25:26" x14ac:dyDescent="0.25">
      <c r="Y3249" s="63">
        <v>45782</v>
      </c>
      <c r="Z3249" s="61">
        <f>_xll.qlYieldTSDiscount($U$35,Y3249,,Trigger)</f>
        <v>0.89242681765740095</v>
      </c>
    </row>
    <row r="3250" spans="25:26" x14ac:dyDescent="0.25">
      <c r="Y3250" s="63">
        <v>45783</v>
      </c>
      <c r="Z3250" s="61">
        <f>_xll.qlYieldTSDiscount($U$35,Y3250,,Trigger)</f>
        <v>0.89238920170669611</v>
      </c>
    </row>
    <row r="3251" spans="25:26" x14ac:dyDescent="0.25">
      <c r="Y3251" s="63">
        <v>45784</v>
      </c>
      <c r="Z3251" s="61">
        <f>_xll.qlYieldTSDiscount($U$35,Y3251,,Trigger)</f>
        <v>0.89235158795343672</v>
      </c>
    </row>
    <row r="3252" spans="25:26" x14ac:dyDescent="0.25">
      <c r="Y3252" s="63">
        <v>45785</v>
      </c>
      <c r="Z3252" s="61">
        <f>_xll.qlYieldTSDiscount($U$35,Y3252,,Trigger)</f>
        <v>0.89231397640081411</v>
      </c>
    </row>
    <row r="3253" spans="25:26" x14ac:dyDescent="0.25">
      <c r="Y3253" s="63">
        <v>45786</v>
      </c>
      <c r="Z3253" s="61">
        <f>_xll.qlYieldTSDiscount($U$35,Y3253,,Trigger)</f>
        <v>0.89227636705201985</v>
      </c>
    </row>
    <row r="3254" spans="25:26" x14ac:dyDescent="0.25">
      <c r="Y3254" s="63">
        <v>45787</v>
      </c>
      <c r="Z3254" s="61">
        <f>_xll.qlYieldTSDiscount($U$35,Y3254,,Trigger)</f>
        <v>0.89223875991024537</v>
      </c>
    </row>
    <row r="3255" spans="25:26" x14ac:dyDescent="0.25">
      <c r="Y3255" s="63">
        <v>45788</v>
      </c>
      <c r="Z3255" s="61">
        <f>_xll.qlYieldTSDiscount($U$35,Y3255,,Trigger)</f>
        <v>0.89220115497868202</v>
      </c>
    </row>
    <row r="3256" spans="25:26" x14ac:dyDescent="0.25">
      <c r="Y3256" s="63">
        <v>45789</v>
      </c>
      <c r="Z3256" s="61">
        <f>_xll.qlYieldTSDiscount($U$35,Y3256,,Trigger)</f>
        <v>0.89216355226052124</v>
      </c>
    </row>
    <row r="3257" spans="25:26" x14ac:dyDescent="0.25">
      <c r="Y3257" s="63">
        <v>45790</v>
      </c>
      <c r="Z3257" s="61">
        <f>_xll.qlYieldTSDiscount($U$35,Y3257,,Trigger)</f>
        <v>0.89212595175895437</v>
      </c>
    </row>
    <row r="3258" spans="25:26" x14ac:dyDescent="0.25">
      <c r="Y3258" s="63">
        <v>45791</v>
      </c>
      <c r="Z3258" s="61">
        <f>_xll.qlYieldTSDiscount($U$35,Y3258,,Trigger)</f>
        <v>0.89208835347717308</v>
      </c>
    </row>
    <row r="3259" spans="25:26" x14ac:dyDescent="0.25">
      <c r="Y3259" s="63">
        <v>45792</v>
      </c>
      <c r="Z3259" s="61">
        <f>_xll.qlYieldTSDiscount($U$35,Y3259,,Trigger)</f>
        <v>0.89205075741836859</v>
      </c>
    </row>
    <row r="3260" spans="25:26" x14ac:dyDescent="0.25">
      <c r="Y3260" s="63">
        <v>45793</v>
      </c>
      <c r="Z3260" s="61">
        <f>_xll.qlYieldTSDiscount($U$35,Y3260,,Trigger)</f>
        <v>0.89201316358573235</v>
      </c>
    </row>
    <row r="3261" spans="25:26" x14ac:dyDescent="0.25">
      <c r="Y3261" s="63">
        <v>45794</v>
      </c>
      <c r="Z3261" s="61">
        <f>_xll.qlYieldTSDiscount($U$35,Y3261,,Trigger)</f>
        <v>0.89197557198245581</v>
      </c>
    </row>
    <row r="3262" spans="25:26" x14ac:dyDescent="0.25">
      <c r="Y3262" s="63">
        <v>45795</v>
      </c>
      <c r="Z3262" s="61">
        <f>_xll.qlYieldTSDiscount($U$35,Y3262,,Trigger)</f>
        <v>0.89193798261173041</v>
      </c>
    </row>
    <row r="3263" spans="25:26" x14ac:dyDescent="0.25">
      <c r="Y3263" s="63">
        <v>45796</v>
      </c>
      <c r="Z3263" s="61">
        <f>_xll.qlYieldTSDiscount($U$35,Y3263,,Trigger)</f>
        <v>0.89190039547674749</v>
      </c>
    </row>
    <row r="3264" spans="25:26" x14ac:dyDescent="0.25">
      <c r="Y3264" s="63">
        <v>45797</v>
      </c>
      <c r="Z3264" s="61">
        <f>_xll.qlYieldTSDiscount($U$35,Y3264,,Trigger)</f>
        <v>0.89186281058069872</v>
      </c>
    </row>
    <row r="3265" spans="25:26" x14ac:dyDescent="0.25">
      <c r="Y3265" s="63">
        <v>45798</v>
      </c>
      <c r="Z3265" s="61">
        <f>_xll.qlYieldTSDiscount($U$35,Y3265,,Trigger)</f>
        <v>0.89182522792677521</v>
      </c>
    </row>
    <row r="3266" spans="25:26" x14ac:dyDescent="0.25">
      <c r="Y3266" s="63">
        <v>45799</v>
      </c>
      <c r="Z3266" s="61">
        <f>_xll.qlYieldTSDiscount($U$35,Y3266,,Trigger)</f>
        <v>0.89178764751816852</v>
      </c>
    </row>
    <row r="3267" spans="25:26" x14ac:dyDescent="0.25">
      <c r="Y3267" s="63">
        <v>45800</v>
      </c>
      <c r="Z3267" s="61">
        <f>_xll.qlYieldTSDiscount($U$35,Y3267,,Trigger)</f>
        <v>0.89175006935807011</v>
      </c>
    </row>
    <row r="3268" spans="25:26" x14ac:dyDescent="0.25">
      <c r="Y3268" s="63">
        <v>45801</v>
      </c>
      <c r="Z3268" s="61">
        <f>_xll.qlYieldTSDiscount($U$35,Y3268,,Trigger)</f>
        <v>0.89171249344967141</v>
      </c>
    </row>
    <row r="3269" spans="25:26" x14ac:dyDescent="0.25">
      <c r="Y3269" s="63">
        <v>45802</v>
      </c>
      <c r="Z3269" s="61">
        <f>_xll.qlYieldTSDiscount($U$35,Y3269,,Trigger)</f>
        <v>0.89167491979616376</v>
      </c>
    </row>
    <row r="3270" spans="25:26" x14ac:dyDescent="0.25">
      <c r="Y3270" s="63">
        <v>45803</v>
      </c>
      <c r="Z3270" s="61">
        <f>_xll.qlYieldTSDiscount($U$35,Y3270,,Trigger)</f>
        <v>0.89163734840073872</v>
      </c>
    </row>
    <row r="3271" spans="25:26" x14ac:dyDescent="0.25">
      <c r="Y3271" s="63">
        <v>45804</v>
      </c>
      <c r="Z3271" s="61">
        <f>_xll.qlYieldTSDiscount($U$35,Y3271,,Trigger)</f>
        <v>0.89159977926658762</v>
      </c>
    </row>
    <row r="3272" spans="25:26" x14ac:dyDescent="0.25">
      <c r="Y3272" s="63">
        <v>45805</v>
      </c>
      <c r="Z3272" s="61">
        <f>_xll.qlYieldTSDiscount($U$35,Y3272,,Trigger)</f>
        <v>0.89156221239690181</v>
      </c>
    </row>
    <row r="3273" spans="25:26" x14ac:dyDescent="0.25">
      <c r="Y3273" s="63">
        <v>45806</v>
      </c>
      <c r="Z3273" s="61">
        <f>_xll.qlYieldTSDiscount($U$35,Y3273,,Trigger)</f>
        <v>0.89152464779487284</v>
      </c>
    </row>
    <row r="3274" spans="25:26" x14ac:dyDescent="0.25">
      <c r="Y3274" s="63">
        <v>45807</v>
      </c>
      <c r="Z3274" s="61">
        <f>_xll.qlYieldTSDiscount($U$35,Y3274,,Trigger)</f>
        <v>0.89148708546369215</v>
      </c>
    </row>
    <row r="3275" spans="25:26" x14ac:dyDescent="0.25">
      <c r="Y3275" s="63">
        <v>45808</v>
      </c>
      <c r="Z3275" s="61">
        <f>_xll.qlYieldTSDiscount($U$35,Y3275,,Trigger)</f>
        <v>0.89144952540655109</v>
      </c>
    </row>
    <row r="3276" spans="25:26" x14ac:dyDescent="0.25">
      <c r="Y3276" s="63">
        <v>45809</v>
      </c>
      <c r="Z3276" s="61">
        <f>_xll.qlYieldTSDiscount($U$35,Y3276,,Trigger)</f>
        <v>0.8914119676266411</v>
      </c>
    </row>
    <row r="3277" spans="25:26" x14ac:dyDescent="0.25">
      <c r="Y3277" s="63">
        <v>45810</v>
      </c>
      <c r="Z3277" s="61">
        <f>_xll.qlYieldTSDiscount($U$35,Y3277,,Trigger)</f>
        <v>0.89137441212715363</v>
      </c>
    </row>
    <row r="3278" spans="25:26" x14ac:dyDescent="0.25">
      <c r="Y3278" s="63">
        <v>45811</v>
      </c>
      <c r="Z3278" s="61">
        <f>_xll.qlYieldTSDiscount($U$35,Y3278,,Trigger)</f>
        <v>0.89133685891128001</v>
      </c>
    </row>
    <row r="3279" spans="25:26" x14ac:dyDescent="0.25">
      <c r="Y3279" s="63">
        <v>45812</v>
      </c>
      <c r="Z3279" s="61">
        <f>_xll.qlYieldTSDiscount($U$35,Y3279,,Trigger)</f>
        <v>0.8912993079822118</v>
      </c>
    </row>
    <row r="3280" spans="25:26" x14ac:dyDescent="0.25">
      <c r="Y3280" s="63">
        <v>45813</v>
      </c>
      <c r="Z3280" s="61">
        <f>_xll.qlYieldTSDiscount($U$35,Y3280,,Trigger)</f>
        <v>0.89126175934314034</v>
      </c>
    </row>
    <row r="3281" spans="25:26" x14ac:dyDescent="0.25">
      <c r="Y3281" s="63">
        <v>45814</v>
      </c>
      <c r="Z3281" s="61">
        <f>_xll.qlYieldTSDiscount($U$35,Y3281,,Trigger)</f>
        <v>0.89122421299725718</v>
      </c>
    </row>
    <row r="3282" spans="25:26" x14ac:dyDescent="0.25">
      <c r="Y3282" s="63">
        <v>45815</v>
      </c>
      <c r="Z3282" s="61">
        <f>_xll.qlYieldTSDiscount($U$35,Y3282,,Trigger)</f>
        <v>0.89118666894775356</v>
      </c>
    </row>
    <row r="3283" spans="25:26" x14ac:dyDescent="0.25">
      <c r="Y3283" s="63">
        <v>45816</v>
      </c>
      <c r="Z3283" s="61">
        <f>_xll.qlYieldTSDiscount($U$35,Y3283,,Trigger)</f>
        <v>0.89114912719782102</v>
      </c>
    </row>
    <row r="3284" spans="25:26" x14ac:dyDescent="0.25">
      <c r="Y3284" s="63">
        <v>45817</v>
      </c>
      <c r="Z3284" s="61">
        <f>_xll.qlYieldTSDiscount($U$35,Y3284,,Trigger)</f>
        <v>0.89111158775065091</v>
      </c>
    </row>
    <row r="3285" spans="25:26" x14ac:dyDescent="0.25">
      <c r="Y3285" s="63">
        <v>45818</v>
      </c>
      <c r="Z3285" s="61">
        <f>_xll.qlYieldTSDiscount($U$35,Y3285,,Trigger)</f>
        <v>0.89107405060943479</v>
      </c>
    </row>
    <row r="3286" spans="25:26" x14ac:dyDescent="0.25">
      <c r="Y3286" s="63">
        <v>45819</v>
      </c>
      <c r="Z3286" s="61">
        <f>_xll.qlYieldTSDiscount($U$35,Y3286,,Trigger)</f>
        <v>0.89103651577736387</v>
      </c>
    </row>
    <row r="3287" spans="25:26" x14ac:dyDescent="0.25">
      <c r="Y3287" s="63">
        <v>45820</v>
      </c>
      <c r="Z3287" s="61">
        <f>_xll.qlYieldTSDiscount($U$35,Y3287,,Trigger)</f>
        <v>0.89099898325762983</v>
      </c>
    </row>
    <row r="3288" spans="25:26" x14ac:dyDescent="0.25">
      <c r="Y3288" s="63">
        <v>45821</v>
      </c>
      <c r="Z3288" s="61">
        <f>_xll.qlYieldTSDiscount($U$35,Y3288,,Trigger)</f>
        <v>0.890961453053424</v>
      </c>
    </row>
    <row r="3289" spans="25:26" x14ac:dyDescent="0.25">
      <c r="Y3289" s="63">
        <v>45822</v>
      </c>
      <c r="Z3289" s="61">
        <f>_xll.qlYieldTSDiscount($U$35,Y3289,,Trigger)</f>
        <v>0.89092392516793761</v>
      </c>
    </row>
    <row r="3290" spans="25:26" x14ac:dyDescent="0.25">
      <c r="Y3290" s="63">
        <v>45823</v>
      </c>
      <c r="Z3290" s="61">
        <f>_xll.qlYieldTSDiscount($U$35,Y3290,,Trigger)</f>
        <v>0.89088639960436233</v>
      </c>
    </row>
    <row r="3291" spans="25:26" x14ac:dyDescent="0.25">
      <c r="Y3291" s="63">
        <v>45824</v>
      </c>
      <c r="Z3291" s="61">
        <f>_xll.qlYieldTSDiscount($U$35,Y3291,,Trigger)</f>
        <v>0.89084887636588961</v>
      </c>
    </row>
    <row r="3292" spans="25:26" x14ac:dyDescent="0.25">
      <c r="Y3292" s="63">
        <v>45825</v>
      </c>
      <c r="Z3292" s="61">
        <f>_xll.qlYieldTSDiscount($U$35,Y3292,,Trigger)</f>
        <v>0.89081135545571066</v>
      </c>
    </row>
    <row r="3293" spans="25:26" x14ac:dyDescent="0.25">
      <c r="Y3293" s="63">
        <v>45826</v>
      </c>
      <c r="Z3293" s="61">
        <f>_xll.qlYieldTSDiscount($U$35,Y3293,,Trigger)</f>
        <v>0.89077383687701706</v>
      </c>
    </row>
    <row r="3294" spans="25:26" x14ac:dyDescent="0.25">
      <c r="Y3294" s="63">
        <v>45827</v>
      </c>
      <c r="Z3294" s="61">
        <f>_xll.qlYieldTSDiscount($U$35,Y3294,,Trigger)</f>
        <v>0.89073632063300012</v>
      </c>
    </row>
    <row r="3295" spans="25:26" x14ac:dyDescent="0.25">
      <c r="Y3295" s="63">
        <v>45828</v>
      </c>
      <c r="Z3295" s="61">
        <f>_xll.qlYieldTSDiscount($U$35,Y3295,,Trigger)</f>
        <v>0.89069880672685131</v>
      </c>
    </row>
    <row r="3296" spans="25:26" x14ac:dyDescent="0.25">
      <c r="Y3296" s="63">
        <v>45829</v>
      </c>
      <c r="Z3296" s="61">
        <f>_xll.qlYieldTSDiscount($U$35,Y3296,,Trigger)</f>
        <v>0.89066129516176218</v>
      </c>
    </row>
    <row r="3297" spans="25:26" x14ac:dyDescent="0.25">
      <c r="Y3297" s="63">
        <v>45830</v>
      </c>
      <c r="Z3297" s="61">
        <f>_xll.qlYieldTSDiscount($U$35,Y3297,,Trigger)</f>
        <v>0.89062378594092406</v>
      </c>
    </row>
    <row r="3298" spans="25:26" x14ac:dyDescent="0.25">
      <c r="Y3298" s="63">
        <v>45831</v>
      </c>
      <c r="Z3298" s="61">
        <f>_xll.qlYieldTSDiscount($U$35,Y3298,,Trigger)</f>
        <v>0.8905862790675283</v>
      </c>
    </row>
    <row r="3299" spans="25:26" x14ac:dyDescent="0.25">
      <c r="Y3299" s="63">
        <v>45832</v>
      </c>
      <c r="Z3299" s="61">
        <f>_xll.qlYieldTSDiscount($U$35,Y3299,,Trigger)</f>
        <v>0.89054877454476644</v>
      </c>
    </row>
    <row r="3300" spans="25:26" x14ac:dyDescent="0.25">
      <c r="Y3300" s="63">
        <v>45833</v>
      </c>
      <c r="Z3300" s="61">
        <f>_xll.qlYieldTSDiscount($U$35,Y3300,,Trigger)</f>
        <v>0.89051127237582983</v>
      </c>
    </row>
    <row r="3301" spans="25:26" x14ac:dyDescent="0.25">
      <c r="Y3301" s="63">
        <v>45834</v>
      </c>
      <c r="Z3301" s="61">
        <f>_xll.qlYieldTSDiscount($U$35,Y3301,,Trigger)</f>
        <v>0.89047377256391003</v>
      </c>
    </row>
    <row r="3302" spans="25:26" x14ac:dyDescent="0.25">
      <c r="Y3302" s="63">
        <v>45835</v>
      </c>
      <c r="Z3302" s="61">
        <f>_xll.qlYieldTSDiscount($U$35,Y3302,,Trigger)</f>
        <v>0.89043627511219825</v>
      </c>
    </row>
    <row r="3303" spans="25:26" x14ac:dyDescent="0.25">
      <c r="Y3303" s="63">
        <v>45836</v>
      </c>
      <c r="Z3303" s="61">
        <f>_xll.qlYieldTSDiscount($U$35,Y3303,,Trigger)</f>
        <v>0.89039878002388606</v>
      </c>
    </row>
    <row r="3304" spans="25:26" x14ac:dyDescent="0.25">
      <c r="Y3304" s="63">
        <v>45837</v>
      </c>
      <c r="Z3304" s="61">
        <f>_xll.qlYieldTSDiscount($U$35,Y3304,,Trigger)</f>
        <v>0.89036128730216479</v>
      </c>
    </row>
    <row r="3305" spans="25:26" x14ac:dyDescent="0.25">
      <c r="Y3305" s="63">
        <v>45838</v>
      </c>
      <c r="Z3305" s="61">
        <f>_xll.qlYieldTSDiscount($U$35,Y3305,,Trigger)</f>
        <v>0.89032379695022601</v>
      </c>
    </row>
    <row r="3306" spans="25:26" x14ac:dyDescent="0.25">
      <c r="Y3306" s="63">
        <v>45839</v>
      </c>
      <c r="Z3306" s="61">
        <f>_xll.qlYieldTSDiscount($U$35,Y3306,,Trigger)</f>
        <v>0.89028630897126104</v>
      </c>
    </row>
    <row r="3307" spans="25:26" x14ac:dyDescent="0.25">
      <c r="Y3307" s="63">
        <v>45840</v>
      </c>
      <c r="Z3307" s="61">
        <f>_xll.qlYieldTSDiscount($U$35,Y3307,,Trigger)</f>
        <v>0.89024882336846134</v>
      </c>
    </row>
    <row r="3308" spans="25:26" x14ac:dyDescent="0.25">
      <c r="Y3308" s="63">
        <v>45841</v>
      </c>
      <c r="Z3308" s="61">
        <f>_xll.qlYieldTSDiscount($U$35,Y3308,,Trigger)</f>
        <v>0.89021134014501824</v>
      </c>
    </row>
    <row r="3309" spans="25:26" x14ac:dyDescent="0.25">
      <c r="Y3309" s="63">
        <v>45842</v>
      </c>
      <c r="Z3309" s="61">
        <f>_xll.qlYieldTSDiscount($U$35,Y3309,,Trigger)</f>
        <v>0.89017385930412329</v>
      </c>
    </row>
    <row r="3310" spans="25:26" x14ac:dyDescent="0.25">
      <c r="Y3310" s="63">
        <v>45843</v>
      </c>
      <c r="Z3310" s="61">
        <f>_xll.qlYieldTSDiscount($U$35,Y3310,,Trigger)</f>
        <v>0.89013638084896796</v>
      </c>
    </row>
    <row r="3311" spans="25:26" x14ac:dyDescent="0.25">
      <c r="Y3311" s="63">
        <v>45844</v>
      </c>
      <c r="Z3311" s="61">
        <f>_xll.qlYieldTSDiscount($U$35,Y3311,,Trigger)</f>
        <v>0.89009890478274345</v>
      </c>
    </row>
    <row r="3312" spans="25:26" x14ac:dyDescent="0.25">
      <c r="Y3312" s="63">
        <v>45845</v>
      </c>
      <c r="Z3312" s="61">
        <f>_xll.qlYieldTSDiscount($U$35,Y3312,,Trigger)</f>
        <v>0.89006143110864144</v>
      </c>
    </row>
    <row r="3313" spans="25:26" x14ac:dyDescent="0.25">
      <c r="Y3313" s="63">
        <v>45846</v>
      </c>
      <c r="Z3313" s="61">
        <f>_xll.qlYieldTSDiscount($U$35,Y3313,,Trigger)</f>
        <v>0.89002395982985316</v>
      </c>
    </row>
    <row r="3314" spans="25:26" x14ac:dyDescent="0.25">
      <c r="Y3314" s="63">
        <v>45847</v>
      </c>
      <c r="Z3314" s="61">
        <f>_xll.qlYieldTSDiscount($U$35,Y3314,,Trigger)</f>
        <v>0.88998649094957005</v>
      </c>
    </row>
    <row r="3315" spans="25:26" x14ac:dyDescent="0.25">
      <c r="Y3315" s="63">
        <v>45848</v>
      </c>
      <c r="Z3315" s="61">
        <f>_xll.qlYieldTSDiscount($U$35,Y3315,,Trigger)</f>
        <v>0.88994902447098378</v>
      </c>
    </row>
    <row r="3316" spans="25:26" x14ac:dyDescent="0.25">
      <c r="Y3316" s="63">
        <v>45849</v>
      </c>
      <c r="Z3316" s="61">
        <f>_xll.qlYieldTSDiscount($U$35,Y3316,,Trigger)</f>
        <v>0.88991156039728547</v>
      </c>
    </row>
    <row r="3317" spans="25:26" x14ac:dyDescent="0.25">
      <c r="Y3317" s="63">
        <v>45850</v>
      </c>
      <c r="Z3317" s="61">
        <f>_xll.qlYieldTSDiscount($U$35,Y3317,,Trigger)</f>
        <v>0.88987409873166667</v>
      </c>
    </row>
    <row r="3318" spans="25:26" x14ac:dyDescent="0.25">
      <c r="Y3318" s="63">
        <v>45851</v>
      </c>
      <c r="Z3318" s="61">
        <f>_xll.qlYieldTSDiscount($U$35,Y3318,,Trigger)</f>
        <v>0.88983663947731884</v>
      </c>
    </row>
    <row r="3319" spans="25:26" x14ac:dyDescent="0.25">
      <c r="Y3319" s="63">
        <v>45852</v>
      </c>
      <c r="Z3319" s="61">
        <f>_xll.qlYieldTSDiscount($U$35,Y3319,,Trigger)</f>
        <v>0.88979918263743329</v>
      </c>
    </row>
    <row r="3320" spans="25:26" x14ac:dyDescent="0.25">
      <c r="Y3320" s="63">
        <v>45853</v>
      </c>
      <c r="Z3320" s="61">
        <f>_xll.qlYieldTSDiscount($U$35,Y3320,,Trigger)</f>
        <v>0.88976172821520161</v>
      </c>
    </row>
    <row r="3321" spans="25:26" x14ac:dyDescent="0.25">
      <c r="Y3321" s="63">
        <v>45854</v>
      </c>
      <c r="Z3321" s="61">
        <f>_xll.qlYieldTSDiscount($U$35,Y3321,,Trigger)</f>
        <v>0.88972427621381511</v>
      </c>
    </row>
    <row r="3322" spans="25:26" x14ac:dyDescent="0.25">
      <c r="Y3322" s="63">
        <v>45855</v>
      </c>
      <c r="Z3322" s="61">
        <f>_xll.qlYieldTSDiscount($U$35,Y3322,,Trigger)</f>
        <v>0.88968682663646526</v>
      </c>
    </row>
    <row r="3323" spans="25:26" x14ac:dyDescent="0.25">
      <c r="Y3323" s="63">
        <v>45856</v>
      </c>
      <c r="Z3323" s="61">
        <f>_xll.qlYieldTSDiscount($U$35,Y3323,,Trigger)</f>
        <v>0.88964937948634337</v>
      </c>
    </row>
    <row r="3324" spans="25:26" x14ac:dyDescent="0.25">
      <c r="Y3324" s="63">
        <v>45857</v>
      </c>
      <c r="Z3324" s="61">
        <f>_xll.qlYieldTSDiscount($U$35,Y3324,,Trigger)</f>
        <v>0.88961193476664113</v>
      </c>
    </row>
    <row r="3325" spans="25:26" x14ac:dyDescent="0.25">
      <c r="Y3325" s="63">
        <v>45858</v>
      </c>
      <c r="Z3325" s="61">
        <f>_xll.qlYieldTSDiscount($U$35,Y3325,,Trigger)</f>
        <v>0.88957449248054965</v>
      </c>
    </row>
    <row r="3326" spans="25:26" x14ac:dyDescent="0.25">
      <c r="Y3326" s="63">
        <v>45859</v>
      </c>
      <c r="Z3326" s="61">
        <f>_xll.qlYieldTSDiscount($U$35,Y3326,,Trigger)</f>
        <v>0.88953705263126059</v>
      </c>
    </row>
    <row r="3327" spans="25:26" x14ac:dyDescent="0.25">
      <c r="Y3327" s="63">
        <v>45860</v>
      </c>
      <c r="Z3327" s="61">
        <f>_xll.qlYieldTSDiscount($U$35,Y3327,,Trigger)</f>
        <v>0.8894996152219653</v>
      </c>
    </row>
    <row r="3328" spans="25:26" x14ac:dyDescent="0.25">
      <c r="Y3328" s="63">
        <v>45861</v>
      </c>
      <c r="Z3328" s="61">
        <f>_xll.qlYieldTSDiscount($U$35,Y3328,,Trigger)</f>
        <v>0.88946218025585511</v>
      </c>
    </row>
    <row r="3329" spans="25:26" x14ac:dyDescent="0.25">
      <c r="Y3329" s="63">
        <v>45862</v>
      </c>
      <c r="Z3329" s="61">
        <f>_xll.qlYieldTSDiscount($U$35,Y3329,,Trigger)</f>
        <v>0.88942474773612157</v>
      </c>
    </row>
    <row r="3330" spans="25:26" x14ac:dyDescent="0.25">
      <c r="Y3330" s="63">
        <v>45863</v>
      </c>
      <c r="Z3330" s="61">
        <f>_xll.qlYieldTSDiscount($U$35,Y3330,,Trigger)</f>
        <v>0.88938731766595613</v>
      </c>
    </row>
    <row r="3331" spans="25:26" x14ac:dyDescent="0.25">
      <c r="Y3331" s="63">
        <v>45864</v>
      </c>
      <c r="Z3331" s="61">
        <f>_xll.qlYieldTSDiscount($U$35,Y3331,,Trigger)</f>
        <v>0.88934989004855003</v>
      </c>
    </row>
    <row r="3332" spans="25:26" x14ac:dyDescent="0.25">
      <c r="Y3332" s="63">
        <v>45865</v>
      </c>
      <c r="Z3332" s="61">
        <f>_xll.qlYieldTSDiscount($U$35,Y3332,,Trigger)</f>
        <v>0.88931246488709492</v>
      </c>
    </row>
    <row r="3333" spans="25:26" x14ac:dyDescent="0.25">
      <c r="Y3333" s="63">
        <v>45866</v>
      </c>
      <c r="Z3333" s="61">
        <f>_xll.qlYieldTSDiscount($U$35,Y3333,,Trigger)</f>
        <v>0.88927504218478204</v>
      </c>
    </row>
    <row r="3334" spans="25:26" x14ac:dyDescent="0.25">
      <c r="Y3334" s="63">
        <v>45867</v>
      </c>
      <c r="Z3334" s="61">
        <f>_xll.qlYieldTSDiscount($U$35,Y3334,,Trigger)</f>
        <v>0.88923762194480294</v>
      </c>
    </row>
    <row r="3335" spans="25:26" x14ac:dyDescent="0.25">
      <c r="Y3335" s="63">
        <v>45868</v>
      </c>
      <c r="Z3335" s="61">
        <f>_xll.qlYieldTSDiscount($U$35,Y3335,,Trigger)</f>
        <v>0.88920020417034895</v>
      </c>
    </row>
    <row r="3336" spans="25:26" x14ac:dyDescent="0.25">
      <c r="Y3336" s="63">
        <v>45869</v>
      </c>
      <c r="Z3336" s="61">
        <f>_xll.qlYieldTSDiscount($U$35,Y3336,,Trigger)</f>
        <v>0.88916278886461153</v>
      </c>
    </row>
    <row r="3337" spans="25:26" x14ac:dyDescent="0.25">
      <c r="Y3337" s="63">
        <v>45870</v>
      </c>
      <c r="Z3337" s="61">
        <f>_xll.qlYieldTSDiscount($U$35,Y3337,,Trigger)</f>
        <v>0.88912537603078223</v>
      </c>
    </row>
    <row r="3338" spans="25:26" x14ac:dyDescent="0.25">
      <c r="Y3338" s="63">
        <v>45871</v>
      </c>
      <c r="Z3338" s="61">
        <f>_xll.qlYieldTSDiscount($U$35,Y3338,,Trigger)</f>
        <v>0.88908796567205228</v>
      </c>
    </row>
    <row r="3339" spans="25:26" x14ac:dyDescent="0.25">
      <c r="Y3339" s="63">
        <v>45872</v>
      </c>
      <c r="Z3339" s="61">
        <f>_xll.qlYieldTSDiscount($U$35,Y3339,,Trigger)</f>
        <v>0.88905055779161324</v>
      </c>
    </row>
    <row r="3340" spans="25:26" x14ac:dyDescent="0.25">
      <c r="Y3340" s="63">
        <v>45873</v>
      </c>
      <c r="Z3340" s="61">
        <f>_xll.qlYieldTSDiscount($U$35,Y3340,,Trigger)</f>
        <v>0.88901315239265644</v>
      </c>
    </row>
    <row r="3341" spans="25:26" x14ac:dyDescent="0.25">
      <c r="Y3341" s="63">
        <v>45874</v>
      </c>
      <c r="Z3341" s="61">
        <f>_xll.qlYieldTSDiscount($U$35,Y3341,,Trigger)</f>
        <v>0.88897574947837332</v>
      </c>
    </row>
    <row r="3342" spans="25:26" x14ac:dyDescent="0.25">
      <c r="Y3342" s="63">
        <v>45875</v>
      </c>
      <c r="Z3342" s="61">
        <f>_xll.qlYieldTSDiscount($U$35,Y3342,,Trigger)</f>
        <v>0.88893834905195535</v>
      </c>
    </row>
    <row r="3343" spans="25:26" x14ac:dyDescent="0.25">
      <c r="Y3343" s="63">
        <v>45876</v>
      </c>
      <c r="Z3343" s="61">
        <f>_xll.qlYieldTSDiscount($U$35,Y3343,,Trigger)</f>
        <v>0.88890095111659395</v>
      </c>
    </row>
    <row r="3344" spans="25:26" x14ac:dyDescent="0.25">
      <c r="Y3344" s="63">
        <v>45877</v>
      </c>
      <c r="Z3344" s="61">
        <f>_xll.qlYieldTSDiscount($U$35,Y3344,,Trigger)</f>
        <v>0.88886355567548059</v>
      </c>
    </row>
    <row r="3345" spans="25:26" x14ac:dyDescent="0.25">
      <c r="Y3345" s="63">
        <v>45878</v>
      </c>
      <c r="Z3345" s="61">
        <f>_xll.qlYieldTSDiscount($U$35,Y3345,,Trigger)</f>
        <v>0.88882616273180659</v>
      </c>
    </row>
    <row r="3346" spans="25:26" x14ac:dyDescent="0.25">
      <c r="Y3346" s="63">
        <v>45879</v>
      </c>
      <c r="Z3346" s="61">
        <f>_xll.qlYieldTSDiscount($U$35,Y3346,,Trigger)</f>
        <v>0.88878877228876352</v>
      </c>
    </row>
    <row r="3347" spans="25:26" x14ac:dyDescent="0.25">
      <c r="Y3347" s="63">
        <v>45880</v>
      </c>
      <c r="Z3347" s="61">
        <f>_xll.qlYieldTSDiscount($U$35,Y3347,,Trigger)</f>
        <v>0.88875138434954259</v>
      </c>
    </row>
    <row r="3348" spans="25:26" x14ac:dyDescent="0.25">
      <c r="Y3348" s="63">
        <v>45881</v>
      </c>
      <c r="Z3348" s="61">
        <f>_xll.qlYieldTSDiscount($U$35,Y3348,,Trigger)</f>
        <v>0.88871399891733538</v>
      </c>
    </row>
    <row r="3349" spans="25:26" x14ac:dyDescent="0.25">
      <c r="Y3349" s="63">
        <v>45882</v>
      </c>
      <c r="Z3349" s="61">
        <f>_xll.qlYieldTSDiscount($U$35,Y3349,,Trigger)</f>
        <v>0.88867661599533332</v>
      </c>
    </row>
    <row r="3350" spans="25:26" x14ac:dyDescent="0.25">
      <c r="Y3350" s="63">
        <v>45883</v>
      </c>
      <c r="Z3350" s="61">
        <f>_xll.qlYieldTSDiscount($U$35,Y3350,,Trigger)</f>
        <v>0.88863923558672775</v>
      </c>
    </row>
    <row r="3351" spans="25:26" x14ac:dyDescent="0.25">
      <c r="Y3351" s="63">
        <v>45884</v>
      </c>
      <c r="Z3351" s="61">
        <f>_xll.qlYieldTSDiscount($U$35,Y3351,,Trigger)</f>
        <v>0.88860185769471012</v>
      </c>
    </row>
    <row r="3352" spans="25:26" x14ac:dyDescent="0.25">
      <c r="Y3352" s="63">
        <v>45885</v>
      </c>
      <c r="Z3352" s="61">
        <f>_xll.qlYieldTSDiscount($U$35,Y3352,,Trigger)</f>
        <v>0.88856448232247187</v>
      </c>
    </row>
    <row r="3353" spans="25:26" x14ac:dyDescent="0.25">
      <c r="Y3353" s="63">
        <v>45886</v>
      </c>
      <c r="Z3353" s="61">
        <f>_xll.qlYieldTSDiscount($U$35,Y3353,,Trigger)</f>
        <v>0.88852710947320446</v>
      </c>
    </row>
    <row r="3354" spans="25:26" x14ac:dyDescent="0.25">
      <c r="Y3354" s="63">
        <v>45887</v>
      </c>
      <c r="Z3354" s="61">
        <f>_xll.qlYieldTSDiscount($U$35,Y3354,,Trigger)</f>
        <v>0.88848973915009932</v>
      </c>
    </row>
    <row r="3355" spans="25:26" x14ac:dyDescent="0.25">
      <c r="Y3355" s="63">
        <v>45888</v>
      </c>
      <c r="Z3355" s="61">
        <f>_xll.qlYieldTSDiscount($U$35,Y3355,,Trigger)</f>
        <v>0.8884523713563478</v>
      </c>
    </row>
    <row r="3356" spans="25:26" x14ac:dyDescent="0.25">
      <c r="Y3356" s="63">
        <v>45889</v>
      </c>
      <c r="Z3356" s="61">
        <f>_xll.qlYieldTSDiscount($U$35,Y3356,,Trigger)</f>
        <v>0.88841500609514135</v>
      </c>
    </row>
    <row r="3357" spans="25:26" x14ac:dyDescent="0.25">
      <c r="Y3357" s="63">
        <v>45890</v>
      </c>
      <c r="Z3357" s="61">
        <f>_xll.qlYieldTSDiscount($U$35,Y3357,,Trigger)</f>
        <v>0.88837764336967151</v>
      </c>
    </row>
    <row r="3358" spans="25:26" x14ac:dyDescent="0.25">
      <c r="Y3358" s="63">
        <v>45891</v>
      </c>
      <c r="Z3358" s="61">
        <f>_xll.qlYieldTSDiscount($U$35,Y3358,,Trigger)</f>
        <v>0.88834028318312952</v>
      </c>
    </row>
    <row r="3359" spans="25:26" x14ac:dyDescent="0.25">
      <c r="Y3359" s="63">
        <v>45892</v>
      </c>
      <c r="Z3359" s="61">
        <f>_xll.qlYieldTSDiscount($U$35,Y3359,,Trigger)</f>
        <v>0.88830292553870693</v>
      </c>
    </row>
    <row r="3360" spans="25:26" x14ac:dyDescent="0.25">
      <c r="Y3360" s="63">
        <v>45893</v>
      </c>
      <c r="Z3360" s="61">
        <f>_xll.qlYieldTSDiscount($U$35,Y3360,,Trigger)</f>
        <v>0.88826557043959509</v>
      </c>
    </row>
    <row r="3361" spans="25:26" x14ac:dyDescent="0.25">
      <c r="Y3361" s="63">
        <v>45894</v>
      </c>
      <c r="Z3361" s="61">
        <f>_xll.qlYieldTSDiscount($U$35,Y3361,,Trigger)</f>
        <v>0.88822821788898543</v>
      </c>
    </row>
    <row r="3362" spans="25:26" x14ac:dyDescent="0.25">
      <c r="Y3362" s="63">
        <v>45895</v>
      </c>
      <c r="Z3362" s="61">
        <f>_xll.qlYieldTSDiscount($U$35,Y3362,,Trigger)</f>
        <v>0.88819086789006951</v>
      </c>
    </row>
    <row r="3363" spans="25:26" x14ac:dyDescent="0.25">
      <c r="Y3363" s="63">
        <v>45896</v>
      </c>
      <c r="Z3363" s="61">
        <f>_xll.qlYieldTSDiscount($U$35,Y3363,,Trigger)</f>
        <v>0.88815352044603857</v>
      </c>
    </row>
    <row r="3364" spans="25:26" x14ac:dyDescent="0.25">
      <c r="Y3364" s="63">
        <v>45897</v>
      </c>
      <c r="Z3364" s="61">
        <f>_xll.qlYieldTSDiscount($U$35,Y3364,,Trigger)</f>
        <v>0.88811617556008415</v>
      </c>
    </row>
    <row r="3365" spans="25:26" x14ac:dyDescent="0.25">
      <c r="Y3365" s="63">
        <v>45898</v>
      </c>
      <c r="Z3365" s="61">
        <f>_xll.qlYieldTSDiscount($U$35,Y3365,,Trigger)</f>
        <v>0.8880788332353976</v>
      </c>
    </row>
    <row r="3366" spans="25:26" x14ac:dyDescent="0.25">
      <c r="Y3366" s="63">
        <v>45899</v>
      </c>
      <c r="Z3366" s="61">
        <f>_xll.qlYieldTSDiscount($U$35,Y3366,,Trigger)</f>
        <v>0.88804149347517047</v>
      </c>
    </row>
    <row r="3367" spans="25:26" x14ac:dyDescent="0.25">
      <c r="Y3367" s="63">
        <v>45900</v>
      </c>
      <c r="Z3367" s="61">
        <f>_xll.qlYieldTSDiscount($U$35,Y3367,,Trigger)</f>
        <v>0.88800415628259399</v>
      </c>
    </row>
    <row r="3368" spans="25:26" x14ac:dyDescent="0.25">
      <c r="Y3368" s="63">
        <v>45901</v>
      </c>
      <c r="Z3368" s="61">
        <f>_xll.qlYieldTSDiscount($U$35,Y3368,,Trigger)</f>
        <v>0.88796682166085972</v>
      </c>
    </row>
    <row r="3369" spans="25:26" x14ac:dyDescent="0.25">
      <c r="Y3369" s="63">
        <v>45902</v>
      </c>
      <c r="Z3369" s="61">
        <f>_xll.qlYieldTSDiscount($U$35,Y3369,,Trigger)</f>
        <v>0.8879294896131591</v>
      </c>
    </row>
    <row r="3370" spans="25:26" x14ac:dyDescent="0.25">
      <c r="Y3370" s="63">
        <v>45903</v>
      </c>
      <c r="Z3370" s="61">
        <f>_xll.qlYieldTSDiscount($U$35,Y3370,,Trigger)</f>
        <v>0.88789216014268357</v>
      </c>
    </row>
    <row r="3371" spans="25:26" x14ac:dyDescent="0.25">
      <c r="Y3371" s="63">
        <v>45904</v>
      </c>
      <c r="Z3371" s="61">
        <f>_xll.qlYieldTSDiscount($U$35,Y3371,,Trigger)</f>
        <v>0.88785483325262449</v>
      </c>
    </row>
    <row r="3372" spans="25:26" x14ac:dyDescent="0.25">
      <c r="Y3372" s="63">
        <v>45905</v>
      </c>
      <c r="Z3372" s="61">
        <f>_xll.qlYieldTSDiscount($U$35,Y3372,,Trigger)</f>
        <v>0.88781750894617317</v>
      </c>
    </row>
    <row r="3373" spans="25:26" x14ac:dyDescent="0.25">
      <c r="Y3373" s="63">
        <v>45906</v>
      </c>
      <c r="Z3373" s="61">
        <f>_xll.qlYieldTSDiscount($U$35,Y3373,,Trigger)</f>
        <v>0.8877801872265213</v>
      </c>
    </row>
    <row r="3374" spans="25:26" x14ac:dyDescent="0.25">
      <c r="Y3374" s="63">
        <v>45907</v>
      </c>
      <c r="Z3374" s="61">
        <f>_xll.qlYieldTSDiscount($U$35,Y3374,,Trigger)</f>
        <v>0.88774286809686009</v>
      </c>
    </row>
    <row r="3375" spans="25:26" x14ac:dyDescent="0.25">
      <c r="Y3375" s="63">
        <v>45908</v>
      </c>
      <c r="Z3375" s="61">
        <f>_xll.qlYieldTSDiscount($U$35,Y3375,,Trigger)</f>
        <v>0.88770555156038111</v>
      </c>
    </row>
    <row r="3376" spans="25:26" x14ac:dyDescent="0.25">
      <c r="Y3376" s="63">
        <v>45909</v>
      </c>
      <c r="Z3376" s="61">
        <f>_xll.qlYieldTSDiscount($U$35,Y3376,,Trigger)</f>
        <v>0.88766823762027569</v>
      </c>
    </row>
    <row r="3377" spans="25:26" x14ac:dyDescent="0.25">
      <c r="Y3377" s="63">
        <v>45910</v>
      </c>
      <c r="Z3377" s="61">
        <f>_xll.qlYieldTSDiscount($U$35,Y3377,,Trigger)</f>
        <v>0.88763092627973528</v>
      </c>
    </row>
    <row r="3378" spans="25:26" x14ac:dyDescent="0.25">
      <c r="Y3378" s="63">
        <v>45911</v>
      </c>
      <c r="Z3378" s="61">
        <f>_xll.qlYieldTSDiscount($U$35,Y3378,,Trigger)</f>
        <v>0.88759361754195132</v>
      </c>
    </row>
    <row r="3379" spans="25:26" x14ac:dyDescent="0.25">
      <c r="Y3379" s="63">
        <v>45912</v>
      </c>
      <c r="Z3379" s="61">
        <f>_xll.qlYieldTSDiscount($U$35,Y3379,,Trigger)</f>
        <v>0.88755631141011515</v>
      </c>
    </row>
    <row r="3380" spans="25:26" x14ac:dyDescent="0.25">
      <c r="Y3380" s="63">
        <v>45913</v>
      </c>
      <c r="Z3380" s="61">
        <f>_xll.qlYieldTSDiscount($U$35,Y3380,,Trigger)</f>
        <v>0.88751900788741833</v>
      </c>
    </row>
    <row r="3381" spans="25:26" x14ac:dyDescent="0.25">
      <c r="Y3381" s="63">
        <v>45914</v>
      </c>
      <c r="Z3381" s="61">
        <f>_xll.qlYieldTSDiscount($U$35,Y3381,,Trigger)</f>
        <v>0.8874817069770522</v>
      </c>
    </row>
    <row r="3382" spans="25:26" x14ac:dyDescent="0.25">
      <c r="Y3382" s="63">
        <v>45915</v>
      </c>
      <c r="Z3382" s="61">
        <f>_xll.qlYieldTSDiscount($U$35,Y3382,,Trigger)</f>
        <v>0.88744440868220831</v>
      </c>
    </row>
    <row r="3383" spans="25:26" x14ac:dyDescent="0.25">
      <c r="Y3383" s="63">
        <v>45916</v>
      </c>
      <c r="Z3383" s="61">
        <f>_xll.qlYieldTSDiscount($U$35,Y3383,,Trigger)</f>
        <v>0.88740711300607789</v>
      </c>
    </row>
    <row r="3384" spans="25:26" x14ac:dyDescent="0.25">
      <c r="Y3384" s="63">
        <v>45917</v>
      </c>
      <c r="Z3384" s="61">
        <f>_xll.qlYieldTSDiscount($U$35,Y3384,,Trigger)</f>
        <v>0.88736981995185238</v>
      </c>
    </row>
    <row r="3385" spans="25:26" x14ac:dyDescent="0.25">
      <c r="Y3385" s="63">
        <v>45918</v>
      </c>
      <c r="Z3385" s="61">
        <f>_xll.qlYieldTSDiscount($U$35,Y3385,,Trigger)</f>
        <v>0.88733252952272346</v>
      </c>
    </row>
    <row r="3386" spans="25:26" x14ac:dyDescent="0.25">
      <c r="Y3386" s="63">
        <v>45919</v>
      </c>
      <c r="Z3386" s="61">
        <f>_xll.qlYieldTSDiscount($U$35,Y3386,,Trigger)</f>
        <v>0.88729524172188223</v>
      </c>
    </row>
    <row r="3387" spans="25:26" x14ac:dyDescent="0.25">
      <c r="Y3387" s="63">
        <v>45920</v>
      </c>
      <c r="Z3387" s="61">
        <f>_xll.qlYieldTSDiscount($U$35,Y3387,,Trigger)</f>
        <v>0.88725795655252038</v>
      </c>
    </row>
    <row r="3388" spans="25:26" x14ac:dyDescent="0.25">
      <c r="Y3388" s="63">
        <v>45921</v>
      </c>
      <c r="Z3388" s="61">
        <f>_xll.qlYieldTSDiscount($U$35,Y3388,,Trigger)</f>
        <v>0.88722067401782911</v>
      </c>
    </row>
    <row r="3389" spans="25:26" x14ac:dyDescent="0.25">
      <c r="Y3389" s="63">
        <v>45922</v>
      </c>
      <c r="Z3389" s="61">
        <f>_xll.qlYieldTSDiscount($U$35,Y3389,,Trigger)</f>
        <v>0.887183394121</v>
      </c>
    </row>
    <row r="3390" spans="25:26" x14ac:dyDescent="0.25">
      <c r="Y3390" s="63">
        <v>45923</v>
      </c>
      <c r="Z3390" s="61">
        <f>_xll.qlYieldTSDiscount($U$35,Y3390,,Trigger)</f>
        <v>0.88714611686522449</v>
      </c>
    </row>
    <row r="3391" spans="25:26" x14ac:dyDescent="0.25">
      <c r="Y3391" s="63">
        <v>45924</v>
      </c>
      <c r="Z3391" s="61">
        <f>_xll.qlYieldTSDiscount($U$35,Y3391,,Trigger)</f>
        <v>0.88710884225369391</v>
      </c>
    </row>
    <row r="3392" spans="25:26" x14ac:dyDescent="0.25">
      <c r="Y3392" s="63">
        <v>45925</v>
      </c>
      <c r="Z3392" s="61">
        <f>_xll.qlYieldTSDiscount($U$35,Y3392,,Trigger)</f>
        <v>0.88707157028959971</v>
      </c>
    </row>
    <row r="3393" spans="25:26" x14ac:dyDescent="0.25">
      <c r="Y3393" s="63">
        <v>45926</v>
      </c>
      <c r="Z3393" s="61">
        <f>_xll.qlYieldTSDiscount($U$35,Y3393,,Trigger)</f>
        <v>0.88703430097613334</v>
      </c>
    </row>
    <row r="3394" spans="25:26" x14ac:dyDescent="0.25">
      <c r="Y3394" s="63">
        <v>45927</v>
      </c>
      <c r="Z3394" s="61">
        <f>_xll.qlYieldTSDiscount($U$35,Y3394,,Trigger)</f>
        <v>0.88699703431648613</v>
      </c>
    </row>
    <row r="3395" spans="25:26" x14ac:dyDescent="0.25">
      <c r="Y3395" s="63">
        <v>45928</v>
      </c>
      <c r="Z3395" s="61">
        <f>_xll.qlYieldTSDiscount($U$35,Y3395,,Trigger)</f>
        <v>0.88695977031384965</v>
      </c>
    </row>
    <row r="3396" spans="25:26" x14ac:dyDescent="0.25">
      <c r="Y3396" s="63">
        <v>45929</v>
      </c>
      <c r="Z3396" s="61">
        <f>_xll.qlYieldTSDiscount($U$35,Y3396,,Trigger)</f>
        <v>0.88692250897141522</v>
      </c>
    </row>
    <row r="3397" spans="25:26" x14ac:dyDescent="0.25">
      <c r="Y3397" s="63">
        <v>45930</v>
      </c>
      <c r="Z3397" s="61">
        <f>_xll.qlYieldTSDiscount($U$35,Y3397,,Trigger)</f>
        <v>0.88688525029237442</v>
      </c>
    </row>
    <row r="3398" spans="25:26" x14ac:dyDescent="0.25">
      <c r="Y3398" s="63">
        <v>45931</v>
      </c>
      <c r="Z3398" s="61">
        <f>_xll.qlYieldTSDiscount($U$35,Y3398,,Trigger)</f>
        <v>0.88684799427991845</v>
      </c>
    </row>
    <row r="3399" spans="25:26" x14ac:dyDescent="0.25">
      <c r="Y3399" s="63">
        <v>45932</v>
      </c>
      <c r="Z3399" s="61">
        <f>_xll.qlYieldTSDiscount($U$35,Y3399,,Trigger)</f>
        <v>0.88681074093723888</v>
      </c>
    </row>
    <row r="3400" spans="25:26" x14ac:dyDescent="0.25">
      <c r="Y3400" s="63">
        <v>45933</v>
      </c>
      <c r="Z3400" s="61">
        <f>_xll.qlYieldTSDiscount($U$35,Y3400,,Trigger)</f>
        <v>0.88677349026752705</v>
      </c>
    </row>
    <row r="3401" spans="25:26" x14ac:dyDescent="0.25">
      <c r="Y3401" s="63">
        <v>45934</v>
      </c>
      <c r="Z3401" s="61">
        <f>_xll.qlYieldTSDiscount($U$35,Y3401,,Trigger)</f>
        <v>0.88673624227397452</v>
      </c>
    </row>
    <row r="3402" spans="25:26" x14ac:dyDescent="0.25">
      <c r="Y3402" s="63">
        <v>45935</v>
      </c>
      <c r="Z3402" s="61">
        <f>_xll.qlYieldTSDiscount($U$35,Y3402,,Trigger)</f>
        <v>0.88669899695977261</v>
      </c>
    </row>
    <row r="3403" spans="25:26" x14ac:dyDescent="0.25">
      <c r="Y3403" s="63">
        <v>45936</v>
      </c>
      <c r="Z3403" s="61">
        <f>_xll.qlYieldTSDiscount($U$35,Y3403,,Trigger)</f>
        <v>0.88666175432811278</v>
      </c>
    </row>
    <row r="3404" spans="25:26" x14ac:dyDescent="0.25">
      <c r="Y3404" s="63">
        <v>45937</v>
      </c>
      <c r="Z3404" s="61">
        <f>_xll.qlYieldTSDiscount($U$35,Y3404,,Trigger)</f>
        <v>0.88662451438218637</v>
      </c>
    </row>
    <row r="3405" spans="25:26" x14ac:dyDescent="0.25">
      <c r="Y3405" s="63">
        <v>45938</v>
      </c>
      <c r="Z3405" s="61">
        <f>_xll.qlYieldTSDiscount($U$35,Y3405,,Trigger)</f>
        <v>0.88658727712518492</v>
      </c>
    </row>
    <row r="3406" spans="25:26" x14ac:dyDescent="0.25">
      <c r="Y3406" s="63">
        <v>45939</v>
      </c>
      <c r="Z3406" s="61">
        <f>_xll.qlYieldTSDiscount($U$35,Y3406,,Trigger)</f>
        <v>0.88655004256029979</v>
      </c>
    </row>
    <row r="3407" spans="25:26" x14ac:dyDescent="0.25">
      <c r="Y3407" s="63">
        <v>45940</v>
      </c>
      <c r="Z3407" s="61">
        <f>_xll.qlYieldTSDiscount($U$35,Y3407,,Trigger)</f>
        <v>0.88651281069072241</v>
      </c>
    </row>
    <row r="3408" spans="25:26" x14ac:dyDescent="0.25">
      <c r="Y3408" s="63">
        <v>45941</v>
      </c>
      <c r="Z3408" s="61">
        <f>_xll.qlYieldTSDiscount($U$35,Y3408,,Trigger)</f>
        <v>0.88647558151964434</v>
      </c>
    </row>
    <row r="3409" spans="25:26" x14ac:dyDescent="0.25">
      <c r="Y3409" s="63">
        <v>45942</v>
      </c>
      <c r="Z3409" s="61">
        <f>_xll.qlYieldTSDiscount($U$35,Y3409,,Trigger)</f>
        <v>0.8864383550502567</v>
      </c>
    </row>
    <row r="3410" spans="25:26" x14ac:dyDescent="0.25">
      <c r="Y3410" s="63">
        <v>45943</v>
      </c>
      <c r="Z3410" s="61">
        <f>_xll.qlYieldTSDiscount($U$35,Y3410,,Trigger)</f>
        <v>0.88640113128575126</v>
      </c>
    </row>
    <row r="3411" spans="25:26" x14ac:dyDescent="0.25">
      <c r="Y3411" s="63">
        <v>45944</v>
      </c>
      <c r="Z3411" s="61">
        <f>_xll.qlYieldTSDiscount($U$35,Y3411,,Trigger)</f>
        <v>0.88636391022931926</v>
      </c>
    </row>
    <row r="3412" spans="25:26" x14ac:dyDescent="0.25">
      <c r="Y3412" s="63">
        <v>45945</v>
      </c>
      <c r="Z3412" s="61">
        <f>_xll.qlYieldTSDiscount($U$35,Y3412,,Trigger)</f>
        <v>0.88632669188415203</v>
      </c>
    </row>
    <row r="3413" spans="25:26" x14ac:dyDescent="0.25">
      <c r="Y3413" s="63">
        <v>45946</v>
      </c>
      <c r="Z3413" s="61">
        <f>_xll.qlYieldTSDiscount($U$35,Y3413,,Trigger)</f>
        <v>0.88628947625344123</v>
      </c>
    </row>
    <row r="3414" spans="25:26" x14ac:dyDescent="0.25">
      <c r="Y3414" s="63">
        <v>45947</v>
      </c>
      <c r="Z3414" s="61">
        <f>_xll.qlYieldTSDiscount($U$35,Y3414,,Trigger)</f>
        <v>0.88625226334037821</v>
      </c>
    </row>
    <row r="3415" spans="25:26" x14ac:dyDescent="0.25">
      <c r="Y3415" s="63">
        <v>45948</v>
      </c>
      <c r="Z3415" s="61">
        <f>_xll.qlYieldTSDiscount($U$35,Y3415,,Trigger)</f>
        <v>0.8862150531481543</v>
      </c>
    </row>
    <row r="3416" spans="25:26" x14ac:dyDescent="0.25">
      <c r="Y3416" s="63">
        <v>45949</v>
      </c>
      <c r="Z3416" s="61">
        <f>_xll.qlYieldTSDiscount($U$35,Y3416,,Trigger)</f>
        <v>0.88617784567996094</v>
      </c>
    </row>
    <row r="3417" spans="25:26" x14ac:dyDescent="0.25">
      <c r="Y3417" s="63">
        <v>45950</v>
      </c>
      <c r="Z3417" s="61">
        <f>_xll.qlYieldTSDiscount($U$35,Y3417,,Trigger)</f>
        <v>0.88614064093898959</v>
      </c>
    </row>
    <row r="3418" spans="25:26" x14ac:dyDescent="0.25">
      <c r="Y3418" s="63">
        <v>45951</v>
      </c>
      <c r="Z3418" s="61">
        <f>_xll.qlYieldTSDiscount($U$35,Y3418,,Trigger)</f>
        <v>0.8861034389284318</v>
      </c>
    </row>
    <row r="3419" spans="25:26" x14ac:dyDescent="0.25">
      <c r="Y3419" s="63">
        <v>45952</v>
      </c>
      <c r="Z3419" s="61">
        <f>_xll.qlYieldTSDiscount($U$35,Y3419,,Trigger)</f>
        <v>0.88606623965147879</v>
      </c>
    </row>
    <row r="3420" spans="25:26" x14ac:dyDescent="0.25">
      <c r="Y3420" s="63">
        <v>45953</v>
      </c>
      <c r="Z3420" s="61">
        <f>_xll.qlYieldTSDiscount($U$35,Y3420,,Trigger)</f>
        <v>0.88602904311132202</v>
      </c>
    </row>
    <row r="3421" spans="25:26" x14ac:dyDescent="0.25">
      <c r="Y3421" s="63">
        <v>45954</v>
      </c>
      <c r="Z3421" s="61">
        <f>_xll.qlYieldTSDiscount($U$35,Y3421,,Trigger)</f>
        <v>0.88599184931115305</v>
      </c>
    </row>
    <row r="3422" spans="25:26" x14ac:dyDescent="0.25">
      <c r="Y3422" s="63">
        <v>45955</v>
      </c>
      <c r="Z3422" s="61">
        <f>_xll.qlYieldTSDiscount($U$35,Y3422,,Trigger)</f>
        <v>0.8859546582541632</v>
      </c>
    </row>
    <row r="3423" spans="25:26" x14ac:dyDescent="0.25">
      <c r="Y3423" s="63">
        <v>45956</v>
      </c>
      <c r="Z3423" s="61">
        <f>_xll.qlYieldTSDiscount($U$35,Y3423,,Trigger)</f>
        <v>0.88591746994354403</v>
      </c>
    </row>
    <row r="3424" spans="25:26" x14ac:dyDescent="0.25">
      <c r="Y3424" s="63">
        <v>45957</v>
      </c>
      <c r="Z3424" s="61">
        <f>_xll.qlYieldTSDiscount($U$35,Y3424,,Trigger)</f>
        <v>0.88588028438248667</v>
      </c>
    </row>
    <row r="3425" spans="25:26" x14ac:dyDescent="0.25">
      <c r="Y3425" s="63">
        <v>45958</v>
      </c>
      <c r="Z3425" s="61">
        <f>_xll.qlYieldTSDiscount($U$35,Y3425,,Trigger)</f>
        <v>0.88584310157418278</v>
      </c>
    </row>
    <row r="3426" spans="25:26" x14ac:dyDescent="0.25">
      <c r="Y3426" s="63">
        <v>45959</v>
      </c>
      <c r="Z3426" s="61">
        <f>_xll.qlYieldTSDiscount($U$35,Y3426,,Trigger)</f>
        <v>0.8858059215218238</v>
      </c>
    </row>
    <row r="3427" spans="25:26" x14ac:dyDescent="0.25">
      <c r="Y3427" s="63">
        <v>45960</v>
      </c>
      <c r="Z3427" s="61">
        <f>_xll.qlYieldTSDiscount($U$35,Y3427,,Trigger)</f>
        <v>0.88576874422860108</v>
      </c>
    </row>
    <row r="3428" spans="25:26" x14ac:dyDescent="0.25">
      <c r="Y3428" s="63">
        <v>45961</v>
      </c>
      <c r="Z3428" s="61">
        <f>_xll.qlYieldTSDiscount($U$35,Y3428,,Trigger)</f>
        <v>0.88573156969770594</v>
      </c>
    </row>
    <row r="3429" spans="25:26" x14ac:dyDescent="0.25">
      <c r="Y3429" s="63">
        <v>45962</v>
      </c>
      <c r="Z3429" s="61">
        <f>_xll.qlYieldTSDiscount($U$35,Y3429,,Trigger)</f>
        <v>0.88569439793233007</v>
      </c>
    </row>
    <row r="3430" spans="25:26" x14ac:dyDescent="0.25">
      <c r="Y3430" s="63">
        <v>45963</v>
      </c>
      <c r="Z3430" s="61">
        <f>_xll.qlYieldTSDiscount($U$35,Y3430,,Trigger)</f>
        <v>0.88565722893566468</v>
      </c>
    </row>
    <row r="3431" spans="25:26" x14ac:dyDescent="0.25">
      <c r="Y3431" s="63">
        <v>45964</v>
      </c>
      <c r="Z3431" s="61">
        <f>_xll.qlYieldTSDiscount($U$35,Y3431,,Trigger)</f>
        <v>0.88562006271090121</v>
      </c>
    </row>
    <row r="3432" spans="25:26" x14ac:dyDescent="0.25">
      <c r="Y3432" s="63">
        <v>45965</v>
      </c>
      <c r="Z3432" s="61">
        <f>_xll.qlYieldTSDiscount($U$35,Y3432,,Trigger)</f>
        <v>0.88558289926123124</v>
      </c>
    </row>
    <row r="3433" spans="25:26" x14ac:dyDescent="0.25">
      <c r="Y3433" s="63">
        <v>45966</v>
      </c>
      <c r="Z3433" s="61">
        <f>_xll.qlYieldTSDiscount($U$35,Y3433,,Trigger)</f>
        <v>0.88554573858984598</v>
      </c>
    </row>
    <row r="3434" spans="25:26" x14ac:dyDescent="0.25">
      <c r="Y3434" s="63">
        <v>45967</v>
      </c>
      <c r="Z3434" s="61">
        <f>_xll.qlYieldTSDiscount($U$35,Y3434,,Trigger)</f>
        <v>0.88550858069993699</v>
      </c>
    </row>
    <row r="3435" spans="25:26" x14ac:dyDescent="0.25">
      <c r="Y3435" s="63">
        <v>45968</v>
      </c>
      <c r="Z3435" s="61">
        <f>_xll.qlYieldTSDiscount($U$35,Y3435,,Trigger)</f>
        <v>0.88547142559469572</v>
      </c>
    </row>
    <row r="3436" spans="25:26" x14ac:dyDescent="0.25">
      <c r="Y3436" s="63">
        <v>45969</v>
      </c>
      <c r="Z3436" s="61">
        <f>_xll.qlYieldTSDiscount($U$35,Y3436,,Trigger)</f>
        <v>0.8854342732773135</v>
      </c>
    </row>
    <row r="3437" spans="25:26" x14ac:dyDescent="0.25">
      <c r="Y3437" s="63">
        <v>45970</v>
      </c>
      <c r="Z3437" s="61">
        <f>_xll.qlYieldTSDiscount($U$35,Y3437,,Trigger)</f>
        <v>0.88539712375098178</v>
      </c>
    </row>
    <row r="3438" spans="25:26" x14ac:dyDescent="0.25">
      <c r="Y3438" s="63">
        <v>45971</v>
      </c>
      <c r="Z3438" s="61">
        <f>_xll.qlYieldTSDiscount($U$35,Y3438,,Trigger)</f>
        <v>0.88535997701889202</v>
      </c>
    </row>
    <row r="3439" spans="25:26" x14ac:dyDescent="0.25">
      <c r="Y3439" s="63">
        <v>45972</v>
      </c>
      <c r="Z3439" s="61">
        <f>_xll.qlYieldTSDiscount($U$35,Y3439,,Trigger)</f>
        <v>0.88532283308423565</v>
      </c>
    </row>
    <row r="3440" spans="25:26" x14ac:dyDescent="0.25">
      <c r="Y3440" s="63">
        <v>45973</v>
      </c>
      <c r="Z3440" s="61">
        <f>_xll.qlYieldTSDiscount($U$35,Y3440,,Trigger)</f>
        <v>0.88528569195020412</v>
      </c>
    </row>
    <row r="3441" spans="25:26" x14ac:dyDescent="0.25">
      <c r="Y3441" s="63">
        <v>45974</v>
      </c>
      <c r="Z3441" s="61">
        <f>_xll.qlYieldTSDiscount($U$35,Y3441,,Trigger)</f>
        <v>0.88524855361998878</v>
      </c>
    </row>
    <row r="3442" spans="25:26" x14ac:dyDescent="0.25">
      <c r="Y3442" s="63">
        <v>45975</v>
      </c>
      <c r="Z3442" s="61">
        <f>_xll.qlYieldTSDiscount($U$35,Y3442,,Trigger)</f>
        <v>0.88521141809678106</v>
      </c>
    </row>
    <row r="3443" spans="25:26" x14ac:dyDescent="0.25">
      <c r="Y3443" s="63">
        <v>45976</v>
      </c>
      <c r="Z3443" s="61">
        <f>_xll.qlYieldTSDiscount($U$35,Y3443,,Trigger)</f>
        <v>0.88517428538377241</v>
      </c>
    </row>
    <row r="3444" spans="25:26" x14ac:dyDescent="0.25">
      <c r="Y3444" s="63">
        <v>45977</v>
      </c>
      <c r="Z3444" s="61">
        <f>_xll.qlYieldTSDiscount($U$35,Y3444,,Trigger)</f>
        <v>0.88513715548415428</v>
      </c>
    </row>
    <row r="3445" spans="25:26" x14ac:dyDescent="0.25">
      <c r="Y3445" s="63">
        <v>45978</v>
      </c>
      <c r="Z3445" s="61">
        <f>_xll.qlYieldTSDiscount($U$35,Y3445,,Trigger)</f>
        <v>0.88510002840111801</v>
      </c>
    </row>
    <row r="3446" spans="25:26" x14ac:dyDescent="0.25">
      <c r="Y3446" s="63">
        <v>45979</v>
      </c>
      <c r="Z3446" s="61">
        <f>_xll.qlYieldTSDiscount($U$35,Y3446,,Trigger)</f>
        <v>0.88506290413785504</v>
      </c>
    </row>
    <row r="3447" spans="25:26" x14ac:dyDescent="0.25">
      <c r="Y3447" s="63">
        <v>45980</v>
      </c>
      <c r="Z3447" s="61">
        <f>_xll.qlYieldTSDiscount($U$35,Y3447,,Trigger)</f>
        <v>0.88502578269755705</v>
      </c>
    </row>
    <row r="3448" spans="25:26" x14ac:dyDescent="0.25">
      <c r="Y3448" s="63">
        <v>45981</v>
      </c>
      <c r="Z3448" s="61">
        <f>_xll.qlYieldTSDiscount($U$35,Y3448,,Trigger)</f>
        <v>0.88498866408341503</v>
      </c>
    </row>
    <row r="3449" spans="25:26" x14ac:dyDescent="0.25">
      <c r="Y3449" s="63">
        <v>45982</v>
      </c>
      <c r="Z3449" s="61">
        <f>_xll.qlYieldTSDiscount($U$35,Y3449,,Trigger)</f>
        <v>0.88495154829862077</v>
      </c>
    </row>
    <row r="3450" spans="25:26" x14ac:dyDescent="0.25">
      <c r="Y3450" s="63">
        <v>45983</v>
      </c>
      <c r="Z3450" s="61">
        <f>_xll.qlYieldTSDiscount($U$35,Y3450,,Trigger)</f>
        <v>0.88491443534636549</v>
      </c>
    </row>
    <row r="3451" spans="25:26" x14ac:dyDescent="0.25">
      <c r="Y3451" s="63">
        <v>45984</v>
      </c>
      <c r="Z3451" s="61">
        <f>_xll.qlYieldTSDiscount($U$35,Y3451,,Trigger)</f>
        <v>0.88487732522984075</v>
      </c>
    </row>
    <row r="3452" spans="25:26" x14ac:dyDescent="0.25">
      <c r="Y3452" s="63">
        <v>45985</v>
      </c>
      <c r="Z3452" s="61">
        <f>_xll.qlYieldTSDiscount($U$35,Y3452,,Trigger)</f>
        <v>0.88484021795223788</v>
      </c>
    </row>
    <row r="3453" spans="25:26" x14ac:dyDescent="0.25">
      <c r="Y3453" s="63">
        <v>45986</v>
      </c>
      <c r="Z3453" s="61">
        <f>_xll.qlYieldTSDiscount($U$35,Y3453,,Trigger)</f>
        <v>0.88480311351674823</v>
      </c>
    </row>
    <row r="3454" spans="25:26" x14ac:dyDescent="0.25">
      <c r="Y3454" s="63">
        <v>45987</v>
      </c>
      <c r="Z3454" s="61">
        <f>_xll.qlYieldTSDiscount($U$35,Y3454,,Trigger)</f>
        <v>0.88476601192656346</v>
      </c>
    </row>
    <row r="3455" spans="25:26" x14ac:dyDescent="0.25">
      <c r="Y3455" s="63">
        <v>45988</v>
      </c>
      <c r="Z3455" s="61">
        <f>_xll.qlYieldTSDiscount($U$35,Y3455,,Trigger)</f>
        <v>0.88472891318487479</v>
      </c>
    </row>
    <row r="3456" spans="25:26" x14ac:dyDescent="0.25">
      <c r="Y3456" s="63">
        <v>45989</v>
      </c>
      <c r="Z3456" s="61">
        <f>_xll.qlYieldTSDiscount($U$35,Y3456,,Trigger)</f>
        <v>0.88469181729487378</v>
      </c>
    </row>
    <row r="3457" spans="25:26" x14ac:dyDescent="0.25">
      <c r="Y3457" s="63">
        <v>45990</v>
      </c>
      <c r="Z3457" s="61">
        <f>_xll.qlYieldTSDiscount($U$35,Y3457,,Trigger)</f>
        <v>0.88465472425975167</v>
      </c>
    </row>
    <row r="3458" spans="25:26" x14ac:dyDescent="0.25">
      <c r="Y3458" s="63">
        <v>45991</v>
      </c>
      <c r="Z3458" s="61">
        <f>_xll.qlYieldTSDiscount($U$35,Y3458,,Trigger)</f>
        <v>0.88461763408270011</v>
      </c>
    </row>
    <row r="3459" spans="25:26" x14ac:dyDescent="0.25">
      <c r="Y3459" s="63">
        <v>45992</v>
      </c>
      <c r="Z3459" s="61">
        <f>_xll.qlYieldTSDiscount($U$35,Y3459,,Trigger)</f>
        <v>0.88458054676691034</v>
      </c>
    </row>
    <row r="3460" spans="25:26" x14ac:dyDescent="0.25">
      <c r="Y3460" s="63">
        <v>45993</v>
      </c>
      <c r="Z3460" s="61">
        <f>_xll.qlYieldTSDiscount($U$35,Y3460,,Trigger)</f>
        <v>0.88454346231557401</v>
      </c>
    </row>
    <row r="3461" spans="25:26" x14ac:dyDescent="0.25">
      <c r="Y3461" s="63">
        <v>45994</v>
      </c>
      <c r="Z3461" s="61">
        <f>_xll.qlYieldTSDiscount($U$35,Y3461,,Trigger)</f>
        <v>0.88450638073188226</v>
      </c>
    </row>
    <row r="3462" spans="25:26" x14ac:dyDescent="0.25">
      <c r="Y3462" s="63">
        <v>45995</v>
      </c>
      <c r="Z3462" s="61">
        <f>_xll.qlYieldTSDiscount($U$35,Y3462,,Trigger)</f>
        <v>0.88446930201902674</v>
      </c>
    </row>
    <row r="3463" spans="25:26" x14ac:dyDescent="0.25">
      <c r="Y3463" s="63">
        <v>45996</v>
      </c>
      <c r="Z3463" s="61">
        <f>_xll.qlYieldTSDiscount($U$35,Y3463,,Trigger)</f>
        <v>0.88443222618019879</v>
      </c>
    </row>
    <row r="3464" spans="25:26" x14ac:dyDescent="0.25">
      <c r="Y3464" s="63">
        <v>45997</v>
      </c>
      <c r="Z3464" s="61">
        <f>_xll.qlYieldTSDiscount($U$35,Y3464,,Trigger)</f>
        <v>0.88439515321858975</v>
      </c>
    </row>
    <row r="3465" spans="25:26" x14ac:dyDescent="0.25">
      <c r="Y3465" s="63">
        <v>45998</v>
      </c>
      <c r="Z3465" s="61">
        <f>_xll.qlYieldTSDiscount($U$35,Y3465,,Trigger)</f>
        <v>0.88435808313739117</v>
      </c>
    </row>
    <row r="3466" spans="25:26" x14ac:dyDescent="0.25">
      <c r="Y3466" s="63">
        <v>45999</v>
      </c>
      <c r="Z3466" s="61">
        <f>_xll.qlYieldTSDiscount($U$35,Y3466,,Trigger)</f>
        <v>0.88432101593979451</v>
      </c>
    </row>
    <row r="3467" spans="25:26" x14ac:dyDescent="0.25">
      <c r="Y3467" s="63">
        <v>46000</v>
      </c>
      <c r="Z3467" s="61">
        <f>_xll.qlYieldTSDiscount($U$35,Y3467,,Trigger)</f>
        <v>0.88428395162899109</v>
      </c>
    </row>
    <row r="3468" spans="25:26" x14ac:dyDescent="0.25">
      <c r="Y3468" s="63">
        <v>46001</v>
      </c>
      <c r="Z3468" s="61">
        <f>_xll.qlYieldTSDiscount($U$35,Y3468,,Trigger)</f>
        <v>0.88424689020817238</v>
      </c>
    </row>
    <row r="3469" spans="25:26" x14ac:dyDescent="0.25">
      <c r="Y3469" s="63">
        <v>46002</v>
      </c>
      <c r="Z3469" s="61">
        <f>_xll.qlYieldTSDiscount($U$35,Y3469,,Trigger)</f>
        <v>0.88420983168052969</v>
      </c>
    </row>
    <row r="3470" spans="25:26" x14ac:dyDescent="0.25">
      <c r="Y3470" s="63">
        <v>46003</v>
      </c>
      <c r="Z3470" s="61">
        <f>_xll.qlYieldTSDiscount($U$35,Y3470,,Trigger)</f>
        <v>0.88417277604925459</v>
      </c>
    </row>
    <row r="3471" spans="25:26" x14ac:dyDescent="0.25">
      <c r="Y3471" s="63">
        <v>46004</v>
      </c>
      <c r="Z3471" s="61">
        <f>_xll.qlYieldTSDiscount($U$35,Y3471,,Trigger)</f>
        <v>0.88413572331753854</v>
      </c>
    </row>
    <row r="3472" spans="25:26" x14ac:dyDescent="0.25">
      <c r="Y3472" s="63">
        <v>46005</v>
      </c>
      <c r="Z3472" s="61">
        <f>_xll.qlYieldTSDiscount($U$35,Y3472,,Trigger)</f>
        <v>0.88409867348857285</v>
      </c>
    </row>
    <row r="3473" spans="25:26" x14ac:dyDescent="0.25">
      <c r="Y3473" s="63">
        <v>46006</v>
      </c>
      <c r="Z3473" s="61">
        <f>_xll.qlYieldTSDiscount($U$35,Y3473,,Trigger)</f>
        <v>0.88406162656554899</v>
      </c>
    </row>
    <row r="3474" spans="25:26" x14ac:dyDescent="0.25">
      <c r="Y3474" s="63">
        <v>46007</v>
      </c>
      <c r="Z3474" s="61">
        <f>_xll.qlYieldTSDiscount($U$35,Y3474,,Trigger)</f>
        <v>0.88402458255165828</v>
      </c>
    </row>
    <row r="3475" spans="25:26" x14ac:dyDescent="0.25">
      <c r="Y3475" s="63">
        <v>46008</v>
      </c>
      <c r="Z3475" s="61">
        <f>_xll.qlYieldTSDiscount($U$35,Y3475,,Trigger)</f>
        <v>0.88398754145009228</v>
      </c>
    </row>
    <row r="3476" spans="25:26" x14ac:dyDescent="0.25">
      <c r="Y3476" s="63">
        <v>46009</v>
      </c>
      <c r="Z3476" s="61">
        <f>_xll.qlYieldTSDiscount($U$35,Y3476,,Trigger)</f>
        <v>0.88395050326404245</v>
      </c>
    </row>
    <row r="3477" spans="25:26" x14ac:dyDescent="0.25">
      <c r="Y3477" s="63">
        <v>46010</v>
      </c>
      <c r="Z3477" s="61">
        <f>_xll.qlYieldTSDiscount($U$35,Y3477,,Trigger)</f>
        <v>0.88391346799670012</v>
      </c>
    </row>
    <row r="3478" spans="25:26" x14ac:dyDescent="0.25">
      <c r="Y3478" s="63">
        <v>46011</v>
      </c>
      <c r="Z3478" s="61">
        <f>_xll.qlYieldTSDiscount($U$35,Y3478,,Trigger)</f>
        <v>0.88387643565125673</v>
      </c>
    </row>
    <row r="3479" spans="25:26" x14ac:dyDescent="0.25">
      <c r="Y3479" s="63">
        <v>46012</v>
      </c>
      <c r="Z3479" s="61">
        <f>_xll.qlYieldTSDiscount($U$35,Y3479,,Trigger)</f>
        <v>0.88383940623090373</v>
      </c>
    </row>
    <row r="3480" spans="25:26" x14ac:dyDescent="0.25">
      <c r="Y3480" s="63">
        <v>46013</v>
      </c>
      <c r="Z3480" s="61">
        <f>_xll.qlYieldTSDiscount($U$35,Y3480,,Trigger)</f>
        <v>0.88380237973883247</v>
      </c>
    </row>
    <row r="3481" spans="25:26" x14ac:dyDescent="0.25">
      <c r="Y3481" s="63">
        <v>46014</v>
      </c>
      <c r="Z3481" s="61">
        <f>_xll.qlYieldTSDiscount($U$35,Y3481,,Trigger)</f>
        <v>0.88376535617823448</v>
      </c>
    </row>
    <row r="3482" spans="25:26" x14ac:dyDescent="0.25">
      <c r="Y3482" s="63">
        <v>46015</v>
      </c>
      <c r="Z3482" s="61">
        <f>_xll.qlYieldTSDiscount($U$35,Y3482,,Trigger)</f>
        <v>0.88372833555230113</v>
      </c>
    </row>
    <row r="3483" spans="25:26" x14ac:dyDescent="0.25">
      <c r="Y3483" s="63">
        <v>46016</v>
      </c>
      <c r="Z3483" s="61">
        <f>_xll.qlYieldTSDiscount($U$35,Y3483,,Trigger)</f>
        <v>0.88369131786422384</v>
      </c>
    </row>
    <row r="3484" spans="25:26" x14ac:dyDescent="0.25">
      <c r="Y3484" s="63">
        <v>46017</v>
      </c>
      <c r="Z3484" s="61">
        <f>_xll.qlYieldTSDiscount($U$35,Y3484,,Trigger)</f>
        <v>0.88365430311719417</v>
      </c>
    </row>
    <row r="3485" spans="25:26" x14ac:dyDescent="0.25">
      <c r="Y3485" s="63">
        <v>46018</v>
      </c>
      <c r="Z3485" s="61">
        <f>_xll.qlYieldTSDiscount($U$35,Y3485,,Trigger)</f>
        <v>0.88361729131440325</v>
      </c>
    </row>
    <row r="3486" spans="25:26" x14ac:dyDescent="0.25">
      <c r="Y3486" s="63">
        <v>46019</v>
      </c>
      <c r="Z3486" s="61">
        <f>_xll.qlYieldTSDiscount($U$35,Y3486,,Trigger)</f>
        <v>0.88358028245904274</v>
      </c>
    </row>
    <row r="3487" spans="25:26" x14ac:dyDescent="0.25">
      <c r="Y3487" s="63">
        <v>46020</v>
      </c>
      <c r="Z3487" s="61">
        <f>_xll.qlYieldTSDiscount($U$35,Y3487,,Trigger)</f>
        <v>0.88354327655430398</v>
      </c>
    </row>
    <row r="3488" spans="25:26" x14ac:dyDescent="0.25">
      <c r="Y3488" s="63">
        <v>46021</v>
      </c>
      <c r="Z3488" s="61">
        <f>_xll.qlYieldTSDiscount($U$35,Y3488,,Trigger)</f>
        <v>0.88350627360337852</v>
      </c>
    </row>
    <row r="3489" spans="25:26" x14ac:dyDescent="0.25">
      <c r="Y3489" s="63">
        <v>46022</v>
      </c>
      <c r="Z3489" s="61">
        <f>_xll.qlYieldTSDiscount($U$35,Y3489,,Trigger)</f>
        <v>0.88346927360945759</v>
      </c>
    </row>
    <row r="3490" spans="25:26" x14ac:dyDescent="0.25">
      <c r="Y3490" s="63">
        <v>46023</v>
      </c>
      <c r="Z3490" s="61">
        <f>_xll.qlYieldTSDiscount($U$35,Y3490,,Trigger)</f>
        <v>0.88343227657573276</v>
      </c>
    </row>
    <row r="3491" spans="25:26" x14ac:dyDescent="0.25">
      <c r="Y3491" s="63">
        <v>46024</v>
      </c>
      <c r="Z3491" s="61">
        <f>_xll.qlYieldTSDiscount($U$35,Y3491,,Trigger)</f>
        <v>0.88339528250539534</v>
      </c>
    </row>
    <row r="3492" spans="25:26" x14ac:dyDescent="0.25">
      <c r="Y3492" s="63">
        <v>46025</v>
      </c>
      <c r="Z3492" s="61">
        <f>_xll.qlYieldTSDiscount($U$35,Y3492,,Trigger)</f>
        <v>0.88335829140163691</v>
      </c>
    </row>
    <row r="3493" spans="25:26" x14ac:dyDescent="0.25">
      <c r="Y3493" s="63">
        <v>46026</v>
      </c>
      <c r="Z3493" s="61">
        <f>_xll.qlYieldTSDiscount($U$35,Y3493,,Trigger)</f>
        <v>0.88332130326764879</v>
      </c>
    </row>
    <row r="3494" spans="25:26" x14ac:dyDescent="0.25">
      <c r="Y3494" s="63">
        <v>46027</v>
      </c>
      <c r="Z3494" s="61">
        <f>_xll.qlYieldTSDiscount($U$35,Y3494,,Trigger)</f>
        <v>0.88328431810662233</v>
      </c>
    </row>
    <row r="3495" spans="25:26" x14ac:dyDescent="0.25">
      <c r="Y3495" s="63">
        <v>46028</v>
      </c>
      <c r="Z3495" s="61">
        <f>_xll.qlYieldTSDiscount($U$35,Y3495,,Trigger)</f>
        <v>0.88324733592174909</v>
      </c>
    </row>
    <row r="3496" spans="25:26" x14ac:dyDescent="0.25">
      <c r="Y3496" s="63">
        <v>46029</v>
      </c>
      <c r="Z3496" s="61">
        <f>_xll.qlYieldTSDiscount($U$35,Y3496,,Trigger)</f>
        <v>0.8832103567162205</v>
      </c>
    </row>
    <row r="3497" spans="25:26" x14ac:dyDescent="0.25">
      <c r="Y3497" s="63">
        <v>46030</v>
      </c>
      <c r="Z3497" s="61">
        <f>_xll.qlYieldTSDiscount($U$35,Y3497,,Trigger)</f>
        <v>0.88317338049322791</v>
      </c>
    </row>
    <row r="3498" spans="25:26" x14ac:dyDescent="0.25">
      <c r="Y3498" s="63">
        <v>46031</v>
      </c>
      <c r="Z3498" s="61">
        <f>_xll.qlYieldTSDiscount($U$35,Y3498,,Trigger)</f>
        <v>0.88313640725596276</v>
      </c>
    </row>
    <row r="3499" spans="25:26" x14ac:dyDescent="0.25">
      <c r="Y3499" s="63">
        <v>46032</v>
      </c>
      <c r="Z3499" s="61">
        <f>_xll.qlYieldTSDiscount($U$35,Y3499,,Trigger)</f>
        <v>0.88309943700761639</v>
      </c>
    </row>
    <row r="3500" spans="25:26" x14ac:dyDescent="0.25">
      <c r="Y3500" s="63">
        <v>46033</v>
      </c>
      <c r="Z3500" s="61">
        <f>_xll.qlYieldTSDiscount($U$35,Y3500,,Trigger)</f>
        <v>0.88306246975138047</v>
      </c>
    </row>
    <row r="3501" spans="25:26" x14ac:dyDescent="0.25">
      <c r="Y3501" s="63">
        <v>46034</v>
      </c>
      <c r="Z3501" s="61">
        <f>_xll.qlYieldTSDiscount($U$35,Y3501,,Trigger)</f>
        <v>0.88302550549044623</v>
      </c>
    </row>
    <row r="3502" spans="25:26" x14ac:dyDescent="0.25">
      <c r="Y3502" s="63">
        <v>46035</v>
      </c>
      <c r="Z3502" s="61">
        <f>_xll.qlYieldTSDiscount($U$35,Y3502,,Trigger)</f>
        <v>0.8829885442280051</v>
      </c>
    </row>
    <row r="3503" spans="25:26" x14ac:dyDescent="0.25">
      <c r="Y3503" s="63">
        <v>46036</v>
      </c>
      <c r="Z3503" s="61">
        <f>_xll.qlYieldTSDiscount($U$35,Y3503,,Trigger)</f>
        <v>0.88295158596724854</v>
      </c>
    </row>
    <row r="3504" spans="25:26" x14ac:dyDescent="0.25">
      <c r="Y3504" s="63">
        <v>46037</v>
      </c>
      <c r="Z3504" s="61">
        <f>_xll.qlYieldTSDiscount($U$35,Y3504,,Trigger)</f>
        <v>0.882914630711368</v>
      </c>
    </row>
    <row r="3505" spans="25:26" x14ac:dyDescent="0.25">
      <c r="Y3505" s="63">
        <v>46038</v>
      </c>
      <c r="Z3505" s="61">
        <f>_xll.qlYieldTSDiscount($U$35,Y3505,,Trigger)</f>
        <v>0.88287767846355503</v>
      </c>
    </row>
    <row r="3506" spans="25:26" x14ac:dyDescent="0.25">
      <c r="Y3506" s="63">
        <v>46039</v>
      </c>
      <c r="Z3506" s="61">
        <f>_xll.qlYieldTSDiscount($U$35,Y3506,,Trigger)</f>
        <v>0.88284072922700074</v>
      </c>
    </row>
    <row r="3507" spans="25:26" x14ac:dyDescent="0.25">
      <c r="Y3507" s="63">
        <v>46040</v>
      </c>
      <c r="Z3507" s="61">
        <f>_xll.qlYieldTSDiscount($U$35,Y3507,,Trigger)</f>
        <v>0.8828037830048967</v>
      </c>
    </row>
    <row r="3508" spans="25:26" x14ac:dyDescent="0.25">
      <c r="Y3508" s="63">
        <v>46041</v>
      </c>
      <c r="Z3508" s="61">
        <f>_xll.qlYieldTSDiscount($U$35,Y3508,,Trigger)</f>
        <v>0.88276683980043447</v>
      </c>
    </row>
    <row r="3509" spans="25:26" x14ac:dyDescent="0.25">
      <c r="Y3509" s="63">
        <v>46042</v>
      </c>
      <c r="Z3509" s="61">
        <f>_xll.qlYieldTSDiscount($U$35,Y3509,,Trigger)</f>
        <v>0.88272989961680537</v>
      </c>
    </row>
    <row r="3510" spans="25:26" x14ac:dyDescent="0.25">
      <c r="Y3510" s="63">
        <v>46043</v>
      </c>
      <c r="Z3510" s="61">
        <f>_xll.qlYieldTSDiscount($U$35,Y3510,,Trigger)</f>
        <v>0.88269296245720075</v>
      </c>
    </row>
    <row r="3511" spans="25:26" x14ac:dyDescent="0.25">
      <c r="Y3511" s="63">
        <v>46044</v>
      </c>
      <c r="Z3511" s="61">
        <f>_xll.qlYieldTSDiscount($U$35,Y3511,,Trigger)</f>
        <v>0.88265602832481216</v>
      </c>
    </row>
    <row r="3512" spans="25:26" x14ac:dyDescent="0.25">
      <c r="Y3512" s="63">
        <v>46045</v>
      </c>
      <c r="Z3512" s="61">
        <f>_xll.qlYieldTSDiscount($U$35,Y3512,,Trigger)</f>
        <v>0.88261909722283094</v>
      </c>
    </row>
    <row r="3513" spans="25:26" x14ac:dyDescent="0.25">
      <c r="Y3513" s="63">
        <v>46046</v>
      </c>
      <c r="Z3513" s="61">
        <f>_xll.qlYieldTSDiscount($U$35,Y3513,,Trigger)</f>
        <v>0.88258216915444854</v>
      </c>
    </row>
    <row r="3514" spans="25:26" x14ac:dyDescent="0.25">
      <c r="Y3514" s="63">
        <v>46047</v>
      </c>
      <c r="Z3514" s="61">
        <f>_xll.qlYieldTSDiscount($U$35,Y3514,,Trigger)</f>
        <v>0.8825452441228564</v>
      </c>
    </row>
    <row r="3515" spans="25:26" x14ac:dyDescent="0.25">
      <c r="Y3515" s="63">
        <v>46048</v>
      </c>
      <c r="Z3515" s="61">
        <f>_xll.qlYieldTSDiscount($U$35,Y3515,,Trigger)</f>
        <v>0.88250832213124597</v>
      </c>
    </row>
    <row r="3516" spans="25:26" x14ac:dyDescent="0.25">
      <c r="Y3516" s="63">
        <v>46049</v>
      </c>
      <c r="Z3516" s="61">
        <f>_xll.qlYieldTSDiscount($U$35,Y3516,,Trigger)</f>
        <v>0.88247140318280859</v>
      </c>
    </row>
    <row r="3517" spans="25:26" x14ac:dyDescent="0.25">
      <c r="Y3517" s="63">
        <v>46050</v>
      </c>
      <c r="Z3517" s="61">
        <f>_xll.qlYieldTSDiscount($U$35,Y3517,,Trigger)</f>
        <v>0.8824344872807357</v>
      </c>
    </row>
    <row r="3518" spans="25:26" x14ac:dyDescent="0.25">
      <c r="Y3518" s="63">
        <v>46051</v>
      </c>
      <c r="Z3518" s="61">
        <f>_xll.qlYieldTSDiscount($U$35,Y3518,,Trigger)</f>
        <v>0.88239757442821887</v>
      </c>
    </row>
    <row r="3519" spans="25:26" x14ac:dyDescent="0.25">
      <c r="Y3519" s="63">
        <v>46052</v>
      </c>
      <c r="Z3519" s="61">
        <f>_xll.qlYieldTSDiscount($U$35,Y3519,,Trigger)</f>
        <v>0.88236066462844942</v>
      </c>
    </row>
    <row r="3520" spans="25:26" x14ac:dyDescent="0.25">
      <c r="Y3520" s="63">
        <v>46053</v>
      </c>
      <c r="Z3520" s="61">
        <f>_xll.qlYieldTSDiscount($U$35,Y3520,,Trigger)</f>
        <v>0.8823237578846187</v>
      </c>
    </row>
    <row r="3521" spans="25:26" x14ac:dyDescent="0.25">
      <c r="Y3521" s="63">
        <v>46054</v>
      </c>
      <c r="Z3521" s="61">
        <f>_xll.qlYieldTSDiscount($U$35,Y3521,,Trigger)</f>
        <v>0.88228685419991826</v>
      </c>
    </row>
    <row r="3522" spans="25:26" x14ac:dyDescent="0.25">
      <c r="Y3522" s="63">
        <v>46055</v>
      </c>
      <c r="Z3522" s="61">
        <f>_xll.qlYieldTSDiscount($U$35,Y3522,,Trigger)</f>
        <v>0.88224995357753944</v>
      </c>
    </row>
    <row r="3523" spans="25:26" x14ac:dyDescent="0.25">
      <c r="Y3523" s="63">
        <v>46056</v>
      </c>
      <c r="Z3523" s="61">
        <f>_xll.qlYieldTSDiscount($U$35,Y3523,,Trigger)</f>
        <v>0.88221305602067368</v>
      </c>
    </row>
    <row r="3524" spans="25:26" x14ac:dyDescent="0.25">
      <c r="Y3524" s="63">
        <v>46057</v>
      </c>
      <c r="Z3524" s="61">
        <f>_xll.qlYieldTSDiscount($U$35,Y3524,,Trigger)</f>
        <v>0.88217616153251244</v>
      </c>
    </row>
    <row r="3525" spans="25:26" x14ac:dyDescent="0.25">
      <c r="Y3525" s="63">
        <v>46058</v>
      </c>
      <c r="Z3525" s="61">
        <f>_xll.qlYieldTSDiscount($U$35,Y3525,,Trigger)</f>
        <v>0.88213927011624715</v>
      </c>
    </row>
    <row r="3526" spans="25:26" x14ac:dyDescent="0.25">
      <c r="Y3526" s="63">
        <v>46059</v>
      </c>
      <c r="Z3526" s="61">
        <f>_xll.qlYieldTSDiscount($U$35,Y3526,,Trigger)</f>
        <v>0.88210238177506917</v>
      </c>
    </row>
    <row r="3527" spans="25:26" x14ac:dyDescent="0.25">
      <c r="Y3527" s="63">
        <v>46060</v>
      </c>
      <c r="Z3527" s="61">
        <f>_xll.qlYieldTSDiscount($U$35,Y3527,,Trigger)</f>
        <v>0.88206549651216992</v>
      </c>
    </row>
    <row r="3528" spans="25:26" x14ac:dyDescent="0.25">
      <c r="Y3528" s="63">
        <v>46061</v>
      </c>
      <c r="Z3528" s="61">
        <f>_xll.qlYieldTSDiscount($U$35,Y3528,,Trigger)</f>
        <v>0.88202861433074098</v>
      </c>
    </row>
    <row r="3529" spans="25:26" x14ac:dyDescent="0.25">
      <c r="Y3529" s="63">
        <v>46062</v>
      </c>
      <c r="Z3529" s="61">
        <f>_xll.qlYieldTSDiscount($U$35,Y3529,,Trigger)</f>
        <v>0.88199173523397367</v>
      </c>
    </row>
    <row r="3530" spans="25:26" x14ac:dyDescent="0.25">
      <c r="Y3530" s="63">
        <v>46063</v>
      </c>
      <c r="Z3530" s="61">
        <f>_xll.qlYieldTSDiscount($U$35,Y3530,,Trigger)</f>
        <v>0.88195485922505934</v>
      </c>
    </row>
    <row r="3531" spans="25:26" x14ac:dyDescent="0.25">
      <c r="Y3531" s="63">
        <v>46064</v>
      </c>
      <c r="Z3531" s="61">
        <f>_xll.qlYieldTSDiscount($U$35,Y3531,,Trigger)</f>
        <v>0.88191798630718954</v>
      </c>
    </row>
    <row r="3532" spans="25:26" x14ac:dyDescent="0.25">
      <c r="Y3532" s="63">
        <v>46065</v>
      </c>
      <c r="Z3532" s="61">
        <f>_xll.qlYieldTSDiscount($U$35,Y3532,,Trigger)</f>
        <v>0.8818811164835556</v>
      </c>
    </row>
    <row r="3533" spans="25:26" x14ac:dyDescent="0.25">
      <c r="Y3533" s="63">
        <v>46066</v>
      </c>
      <c r="Z3533" s="61">
        <f>_xll.qlYieldTSDiscount($U$35,Y3533,,Trigger)</f>
        <v>0.8818442497573491</v>
      </c>
    </row>
    <row r="3534" spans="25:26" x14ac:dyDescent="0.25">
      <c r="Y3534" s="63">
        <v>46067</v>
      </c>
      <c r="Z3534" s="61">
        <f>_xll.qlYieldTSDiscount($U$35,Y3534,,Trigger)</f>
        <v>0.88180738613176124</v>
      </c>
    </row>
    <row r="3535" spans="25:26" x14ac:dyDescent="0.25">
      <c r="Y3535" s="63">
        <v>46068</v>
      </c>
      <c r="Z3535" s="61">
        <f>_xll.qlYieldTSDiscount($U$35,Y3535,,Trigger)</f>
        <v>0.88177052560998359</v>
      </c>
    </row>
    <row r="3536" spans="25:26" x14ac:dyDescent="0.25">
      <c r="Y3536" s="63">
        <v>46069</v>
      </c>
      <c r="Z3536" s="61">
        <f>_xll.qlYieldTSDiscount($U$35,Y3536,,Trigger)</f>
        <v>0.88173366819520749</v>
      </c>
    </row>
    <row r="3537" spans="25:26" x14ac:dyDescent="0.25">
      <c r="Y3537" s="63">
        <v>46070</v>
      </c>
      <c r="Z3537" s="61">
        <f>_xll.qlYieldTSDiscount($U$35,Y3537,,Trigger)</f>
        <v>0.88169681389062449</v>
      </c>
    </row>
    <row r="3538" spans="25:26" x14ac:dyDescent="0.25">
      <c r="Y3538" s="63">
        <v>46071</v>
      </c>
      <c r="Z3538" s="61">
        <f>_xll.qlYieldTSDiscount($U$35,Y3538,,Trigger)</f>
        <v>0.88165996269942593</v>
      </c>
    </row>
    <row r="3539" spans="25:26" x14ac:dyDescent="0.25">
      <c r="Y3539" s="63">
        <v>46072</v>
      </c>
      <c r="Z3539" s="61">
        <f>_xll.qlYieldTSDiscount($U$35,Y3539,,Trigger)</f>
        <v>0.88162311462480325</v>
      </c>
    </row>
    <row r="3540" spans="25:26" x14ac:dyDescent="0.25">
      <c r="Y3540" s="63">
        <v>46073</v>
      </c>
      <c r="Z3540" s="61">
        <f>_xll.qlYieldTSDiscount($U$35,Y3540,,Trigger)</f>
        <v>0.88158626966994791</v>
      </c>
    </row>
    <row r="3541" spans="25:26" x14ac:dyDescent="0.25">
      <c r="Y3541" s="63">
        <v>46074</v>
      </c>
      <c r="Z3541" s="61">
        <f>_xll.qlYieldTSDiscount($U$35,Y3541,,Trigger)</f>
        <v>0.88154942783805124</v>
      </c>
    </row>
    <row r="3542" spans="25:26" x14ac:dyDescent="0.25">
      <c r="Y3542" s="63">
        <v>46075</v>
      </c>
      <c r="Z3542" s="61">
        <f>_xll.qlYieldTSDiscount($U$35,Y3542,,Trigger)</f>
        <v>0.88151258913230479</v>
      </c>
    </row>
    <row r="3543" spans="25:26" x14ac:dyDescent="0.25">
      <c r="Y3543" s="63">
        <v>46076</v>
      </c>
      <c r="Z3543" s="61">
        <f>_xll.qlYieldTSDiscount($U$35,Y3543,,Trigger)</f>
        <v>0.88147575355589991</v>
      </c>
    </row>
    <row r="3544" spans="25:26" x14ac:dyDescent="0.25">
      <c r="Y3544" s="63">
        <v>46077</v>
      </c>
      <c r="Z3544" s="61">
        <f>_xll.qlYieldTSDiscount($U$35,Y3544,,Trigger)</f>
        <v>0.88143892111202793</v>
      </c>
    </row>
    <row r="3545" spans="25:26" x14ac:dyDescent="0.25">
      <c r="Y3545" s="63">
        <v>46078</v>
      </c>
      <c r="Z3545" s="61">
        <f>_xll.qlYieldTSDiscount($U$35,Y3545,,Trigger)</f>
        <v>0.88140209180388052</v>
      </c>
    </row>
    <row r="3546" spans="25:26" x14ac:dyDescent="0.25">
      <c r="Y3546" s="63">
        <v>46079</v>
      </c>
      <c r="Z3546" s="61">
        <f>_xll.qlYieldTSDiscount($U$35,Y3546,,Trigger)</f>
        <v>0.8813652656346489</v>
      </c>
    </row>
    <row r="3547" spans="25:26" x14ac:dyDescent="0.25">
      <c r="Y3547" s="63">
        <v>46080</v>
      </c>
      <c r="Z3547" s="61">
        <f>_xll.qlYieldTSDiscount($U$35,Y3547,,Trigger)</f>
        <v>0.88132844260752452</v>
      </c>
    </row>
    <row r="3548" spans="25:26" x14ac:dyDescent="0.25">
      <c r="Y3548" s="63">
        <v>46081</v>
      </c>
      <c r="Z3548" s="61">
        <f>_xll.qlYieldTSDiscount($U$35,Y3548,,Trigger)</f>
        <v>0.88129162272569883</v>
      </c>
    </row>
    <row r="3549" spans="25:26" x14ac:dyDescent="0.25">
      <c r="Y3549" s="63">
        <v>46082</v>
      </c>
      <c r="Z3549" s="61">
        <f>_xll.qlYieldTSDiscount($U$35,Y3549,,Trigger)</f>
        <v>0.88125480599236339</v>
      </c>
    </row>
    <row r="3550" spans="25:26" x14ac:dyDescent="0.25">
      <c r="Y3550" s="63">
        <v>46083</v>
      </c>
      <c r="Z3550" s="61">
        <f>_xll.qlYieldTSDiscount($U$35,Y3550,,Trigger)</f>
        <v>0.88121799241070942</v>
      </c>
    </row>
    <row r="3551" spans="25:26" x14ac:dyDescent="0.25">
      <c r="Y3551" s="63">
        <v>46084</v>
      </c>
      <c r="Z3551" s="61">
        <f>_xll.qlYieldTSDiscount($U$35,Y3551,,Trigger)</f>
        <v>0.88118118198392847</v>
      </c>
    </row>
    <row r="3552" spans="25:26" x14ac:dyDescent="0.25">
      <c r="Y3552" s="63">
        <v>46085</v>
      </c>
      <c r="Z3552" s="61">
        <f>_xll.qlYieldTSDiscount($U$35,Y3552,,Trigger)</f>
        <v>0.8811443747152119</v>
      </c>
    </row>
    <row r="3553" spans="25:26" x14ac:dyDescent="0.25">
      <c r="Y3553" s="63">
        <v>46086</v>
      </c>
      <c r="Z3553" s="61">
        <f>_xll.qlYieldTSDiscount($U$35,Y3553,,Trigger)</f>
        <v>0.88110757060775113</v>
      </c>
    </row>
    <row r="3554" spans="25:26" x14ac:dyDescent="0.25">
      <c r="Y3554" s="63">
        <v>46087</v>
      </c>
      <c r="Z3554" s="61">
        <f>_xll.qlYieldTSDiscount($U$35,Y3554,,Trigger)</f>
        <v>0.88107076966473774</v>
      </c>
    </row>
    <row r="3555" spans="25:26" x14ac:dyDescent="0.25">
      <c r="Y3555" s="63">
        <v>46088</v>
      </c>
      <c r="Z3555" s="61">
        <f>_xll.qlYieldTSDiscount($U$35,Y3555,,Trigger)</f>
        <v>0.88103397188936294</v>
      </c>
    </row>
    <row r="3556" spans="25:26" x14ac:dyDescent="0.25">
      <c r="Y3556" s="63">
        <v>46089</v>
      </c>
      <c r="Z3556" s="61">
        <f>_xll.qlYieldTSDiscount($U$35,Y3556,,Trigger)</f>
        <v>0.88099717728481819</v>
      </c>
    </row>
    <row r="3557" spans="25:26" x14ac:dyDescent="0.25">
      <c r="Y3557" s="63">
        <v>46090</v>
      </c>
      <c r="Z3557" s="61">
        <f>_xll.qlYieldTSDiscount($U$35,Y3557,,Trigger)</f>
        <v>0.88096038585429504</v>
      </c>
    </row>
    <row r="3558" spans="25:26" x14ac:dyDescent="0.25">
      <c r="Y3558" s="63">
        <v>46091</v>
      </c>
      <c r="Z3558" s="61">
        <f>_xll.qlYieldTSDiscount($U$35,Y3558,,Trigger)</f>
        <v>0.88092359760098482</v>
      </c>
    </row>
    <row r="3559" spans="25:26" x14ac:dyDescent="0.25">
      <c r="Y3559" s="63">
        <v>46092</v>
      </c>
      <c r="Z3559" s="61">
        <f>_xll.qlYieldTSDiscount($U$35,Y3559,,Trigger)</f>
        <v>0.88088681252807899</v>
      </c>
    </row>
    <row r="3560" spans="25:26" x14ac:dyDescent="0.25">
      <c r="Y3560" s="63">
        <v>46093</v>
      </c>
      <c r="Z3560" s="61">
        <f>_xll.qlYieldTSDiscount($U$35,Y3560,,Trigger)</f>
        <v>0.88085003063876899</v>
      </c>
    </row>
    <row r="3561" spans="25:26" x14ac:dyDescent="0.25">
      <c r="Y3561" s="63">
        <v>46094</v>
      </c>
      <c r="Z3561" s="61">
        <f>_xll.qlYieldTSDiscount($U$35,Y3561,,Trigger)</f>
        <v>0.88081325193624627</v>
      </c>
    </row>
    <row r="3562" spans="25:26" x14ac:dyDescent="0.25">
      <c r="Y3562" s="63">
        <v>46095</v>
      </c>
      <c r="Z3562" s="61">
        <f>_xll.qlYieldTSDiscount($U$35,Y3562,,Trigger)</f>
        <v>0.88077647642370205</v>
      </c>
    </row>
    <row r="3563" spans="25:26" x14ac:dyDescent="0.25">
      <c r="Y3563" s="63">
        <v>46096</v>
      </c>
      <c r="Z3563" s="61">
        <f>_xll.qlYieldTSDiscount($U$35,Y3563,,Trigger)</f>
        <v>0.88073970410432811</v>
      </c>
    </row>
    <row r="3564" spans="25:26" x14ac:dyDescent="0.25">
      <c r="Y3564" s="63">
        <v>46097</v>
      </c>
      <c r="Z3564" s="61">
        <f>_xll.qlYieldTSDiscount($U$35,Y3564,,Trigger)</f>
        <v>0.88070293498131547</v>
      </c>
    </row>
    <row r="3565" spans="25:26" x14ac:dyDescent="0.25">
      <c r="Y3565" s="63">
        <v>46098</v>
      </c>
      <c r="Z3565" s="61">
        <f>_xll.qlYieldTSDiscount($U$35,Y3565,,Trigger)</f>
        <v>0.88066616905785589</v>
      </c>
    </row>
    <row r="3566" spans="25:26" x14ac:dyDescent="0.25">
      <c r="Y3566" s="63">
        <v>46099</v>
      </c>
      <c r="Z3566" s="61">
        <f>_xll.qlYieldTSDiscount($U$35,Y3566,,Trigger)</f>
        <v>0.88062940633714071</v>
      </c>
    </row>
    <row r="3567" spans="25:26" x14ac:dyDescent="0.25">
      <c r="Y3567" s="63">
        <v>46100</v>
      </c>
      <c r="Z3567" s="61">
        <f>_xll.qlYieldTSDiscount($U$35,Y3567,,Trigger)</f>
        <v>0.88059264682236116</v>
      </c>
    </row>
    <row r="3568" spans="25:26" x14ac:dyDescent="0.25">
      <c r="Y3568" s="63">
        <v>46101</v>
      </c>
      <c r="Z3568" s="61">
        <f>_xll.qlYieldTSDiscount($U$35,Y3568,,Trigger)</f>
        <v>0.88055589051670891</v>
      </c>
    </row>
    <row r="3569" spans="25:26" x14ac:dyDescent="0.25">
      <c r="Y3569" s="63">
        <v>46102</v>
      </c>
      <c r="Z3569" s="61">
        <f>_xll.qlYieldTSDiscount($U$35,Y3569,,Trigger)</f>
        <v>0.88051913742337529</v>
      </c>
    </row>
    <row r="3570" spans="25:26" x14ac:dyDescent="0.25">
      <c r="Y3570" s="63">
        <v>46103</v>
      </c>
      <c r="Z3570" s="61">
        <f>_xll.qlYieldTSDiscount($U$35,Y3570,,Trigger)</f>
        <v>0.88048238754555175</v>
      </c>
    </row>
    <row r="3571" spans="25:26" x14ac:dyDescent="0.25">
      <c r="Y3571" s="63">
        <v>46104</v>
      </c>
      <c r="Z3571" s="61">
        <f>_xll.qlYieldTSDiscount($U$35,Y3571,,Trigger)</f>
        <v>0.88044564088642963</v>
      </c>
    </row>
    <row r="3572" spans="25:26" x14ac:dyDescent="0.25">
      <c r="Y3572" s="63">
        <v>46105</v>
      </c>
      <c r="Z3572" s="61">
        <f>_xll.qlYieldTSDiscount($U$35,Y3572,,Trigger)</f>
        <v>0.88040889744920048</v>
      </c>
    </row>
    <row r="3573" spans="25:26" x14ac:dyDescent="0.25">
      <c r="Y3573" s="63">
        <v>46106</v>
      </c>
      <c r="Z3573" s="61">
        <f>_xll.qlYieldTSDiscount($U$35,Y3573,,Trigger)</f>
        <v>0.88037215723705564</v>
      </c>
    </row>
    <row r="3574" spans="25:26" x14ac:dyDescent="0.25">
      <c r="Y3574" s="63">
        <v>46107</v>
      </c>
      <c r="Z3574" s="61">
        <f>_xll.qlYieldTSDiscount($U$35,Y3574,,Trigger)</f>
        <v>0.88033542025318656</v>
      </c>
    </row>
    <row r="3575" spans="25:26" x14ac:dyDescent="0.25">
      <c r="Y3575" s="63">
        <v>46108</v>
      </c>
      <c r="Z3575" s="61">
        <f>_xll.qlYieldTSDiscount($U$35,Y3575,,Trigger)</f>
        <v>0.88029868650078469</v>
      </c>
    </row>
    <row r="3576" spans="25:26" x14ac:dyDescent="0.25">
      <c r="Y3576" s="63">
        <v>46109</v>
      </c>
      <c r="Z3576" s="61">
        <f>_xll.qlYieldTSDiscount($U$35,Y3576,,Trigger)</f>
        <v>0.88026195598304136</v>
      </c>
    </row>
    <row r="3577" spans="25:26" x14ac:dyDescent="0.25">
      <c r="Y3577" s="63">
        <v>46110</v>
      </c>
      <c r="Z3577" s="61">
        <f>_xll.qlYieldTSDiscount($U$35,Y3577,,Trigger)</f>
        <v>0.88022522870314801</v>
      </c>
    </row>
    <row r="3578" spans="25:26" x14ac:dyDescent="0.25">
      <c r="Y3578" s="63">
        <v>46111</v>
      </c>
      <c r="Z3578" s="61">
        <f>_xll.qlYieldTSDiscount($U$35,Y3578,,Trigger)</f>
        <v>0.88018850466429632</v>
      </c>
    </row>
    <row r="3579" spans="25:26" x14ac:dyDescent="0.25">
      <c r="Y3579" s="63">
        <v>46112</v>
      </c>
      <c r="Z3579" s="61">
        <f>_xll.qlYieldTSDiscount($U$35,Y3579,,Trigger)</f>
        <v>0.8801517838696773</v>
      </c>
    </row>
    <row r="3580" spans="25:26" x14ac:dyDescent="0.25">
      <c r="Y3580" s="63">
        <v>46113</v>
      </c>
      <c r="Z3580" s="61">
        <f>_xll.qlYieldTSDiscount($U$35,Y3580,,Trigger)</f>
        <v>0.88011506632248271</v>
      </c>
    </row>
    <row r="3581" spans="25:26" x14ac:dyDescent="0.25">
      <c r="Y3581" s="63">
        <v>46114</v>
      </c>
      <c r="Z3581" s="61">
        <f>_xll.qlYieldTSDiscount($U$35,Y3581,,Trigger)</f>
        <v>0.8800783520259039</v>
      </c>
    </row>
    <row r="3582" spans="25:26" x14ac:dyDescent="0.25">
      <c r="Y3582" s="63">
        <v>46115</v>
      </c>
      <c r="Z3582" s="61">
        <f>_xll.qlYieldTSDiscount($U$35,Y3582,,Trigger)</f>
        <v>0.8800416409831322</v>
      </c>
    </row>
    <row r="3583" spans="25:26" x14ac:dyDescent="0.25">
      <c r="Y3583" s="63">
        <v>46116</v>
      </c>
      <c r="Z3583" s="61">
        <f>_xll.qlYieldTSDiscount($U$35,Y3583,,Trigger)</f>
        <v>0.88000493319735895</v>
      </c>
    </row>
    <row r="3584" spans="25:26" x14ac:dyDescent="0.25">
      <c r="Y3584" s="63">
        <v>46117</v>
      </c>
      <c r="Z3584" s="61">
        <f>_xll.qlYieldTSDiscount($U$35,Y3584,,Trigger)</f>
        <v>0.87996822867177582</v>
      </c>
    </row>
    <row r="3585" spans="25:26" x14ac:dyDescent="0.25">
      <c r="Y3585" s="63">
        <v>46118</v>
      </c>
      <c r="Z3585" s="61">
        <f>_xll.qlYieldTSDiscount($U$35,Y3585,,Trigger)</f>
        <v>0.87993152740957414</v>
      </c>
    </row>
    <row r="3586" spans="25:26" x14ac:dyDescent="0.25">
      <c r="Y3586" s="63">
        <v>46119</v>
      </c>
      <c r="Z3586" s="61">
        <f>_xll.qlYieldTSDiscount($U$35,Y3586,,Trigger)</f>
        <v>0.87989482941394537</v>
      </c>
    </row>
    <row r="3587" spans="25:26" x14ac:dyDescent="0.25">
      <c r="Y3587" s="63">
        <v>46120</v>
      </c>
      <c r="Z3587" s="61">
        <f>_xll.qlYieldTSDiscount($U$35,Y3587,,Trigger)</f>
        <v>0.87985813468808083</v>
      </c>
    </row>
    <row r="3588" spans="25:26" x14ac:dyDescent="0.25">
      <c r="Y3588" s="63">
        <v>46121</v>
      </c>
      <c r="Z3588" s="61">
        <f>_xll.qlYieldTSDiscount($U$35,Y3588,,Trigger)</f>
        <v>0.87982144323517197</v>
      </c>
    </row>
    <row r="3589" spans="25:26" x14ac:dyDescent="0.25">
      <c r="Y3589" s="63">
        <v>46122</v>
      </c>
      <c r="Z3589" s="61">
        <f>_xll.qlYieldTSDiscount($U$35,Y3589,,Trigger)</f>
        <v>0.87978475505841025</v>
      </c>
    </row>
    <row r="3590" spans="25:26" x14ac:dyDescent="0.25">
      <c r="Y3590" s="63">
        <v>46123</v>
      </c>
      <c r="Z3590" s="61">
        <f>_xll.qlYieldTSDiscount($U$35,Y3590,,Trigger)</f>
        <v>0.87974807016098711</v>
      </c>
    </row>
    <row r="3591" spans="25:26" x14ac:dyDescent="0.25">
      <c r="Y3591" s="63">
        <v>46124</v>
      </c>
      <c r="Z3591" s="61">
        <f>_xll.qlYieldTSDiscount($U$35,Y3591,,Trigger)</f>
        <v>0.87971138854609399</v>
      </c>
    </row>
    <row r="3592" spans="25:26" x14ac:dyDescent="0.25">
      <c r="Y3592" s="63">
        <v>46125</v>
      </c>
      <c r="Z3592" s="61">
        <f>_xll.qlYieldTSDiscount($U$35,Y3592,,Trigger)</f>
        <v>0.87967471021692223</v>
      </c>
    </row>
    <row r="3593" spans="25:26" x14ac:dyDescent="0.25">
      <c r="Y3593" s="63">
        <v>46126</v>
      </c>
      <c r="Z3593" s="61">
        <f>_xll.qlYieldTSDiscount($U$35,Y3593,,Trigger)</f>
        <v>0.87963803517666328</v>
      </c>
    </row>
    <row r="3594" spans="25:26" x14ac:dyDescent="0.25">
      <c r="Y3594" s="63">
        <v>46127</v>
      </c>
      <c r="Z3594" s="61">
        <f>_xll.qlYieldTSDiscount($U$35,Y3594,,Trigger)</f>
        <v>0.87960136342850859</v>
      </c>
    </row>
    <row r="3595" spans="25:26" x14ac:dyDescent="0.25">
      <c r="Y3595" s="63">
        <v>46128</v>
      </c>
      <c r="Z3595" s="61">
        <f>_xll.qlYieldTSDiscount($U$35,Y3595,,Trigger)</f>
        <v>0.8795646949756496</v>
      </c>
    </row>
    <row r="3596" spans="25:26" x14ac:dyDescent="0.25">
      <c r="Y3596" s="63">
        <v>46129</v>
      </c>
      <c r="Z3596" s="61">
        <f>_xll.qlYieldTSDiscount($U$35,Y3596,,Trigger)</f>
        <v>0.87952802982127776</v>
      </c>
    </row>
    <row r="3597" spans="25:26" x14ac:dyDescent="0.25">
      <c r="Y3597" s="63">
        <v>46130</v>
      </c>
      <c r="Z3597" s="61">
        <f>_xll.qlYieldTSDiscount($U$35,Y3597,,Trigger)</f>
        <v>0.8794913679685844</v>
      </c>
    </row>
    <row r="3598" spans="25:26" x14ac:dyDescent="0.25">
      <c r="Y3598" s="63">
        <v>46131</v>
      </c>
      <c r="Z3598" s="61">
        <f>_xll.qlYieldTSDiscount($U$35,Y3598,,Trigger)</f>
        <v>0.87945470942076109</v>
      </c>
    </row>
    <row r="3599" spans="25:26" x14ac:dyDescent="0.25">
      <c r="Y3599" s="63">
        <v>46132</v>
      </c>
      <c r="Z3599" s="61">
        <f>_xll.qlYieldTSDiscount($U$35,Y3599,,Trigger)</f>
        <v>0.87941805418099905</v>
      </c>
    </row>
    <row r="3600" spans="25:26" x14ac:dyDescent="0.25">
      <c r="Y3600" s="63">
        <v>46133</v>
      </c>
      <c r="Z3600" s="61">
        <f>_xll.qlYieldTSDiscount($U$35,Y3600,,Trigger)</f>
        <v>0.87938140225248995</v>
      </c>
    </row>
    <row r="3601" spans="25:26" x14ac:dyDescent="0.25">
      <c r="Y3601" s="63">
        <v>46134</v>
      </c>
      <c r="Z3601" s="61">
        <f>_xll.qlYieldTSDiscount($U$35,Y3601,,Trigger)</f>
        <v>0.8793447536384249</v>
      </c>
    </row>
    <row r="3602" spans="25:26" x14ac:dyDescent="0.25">
      <c r="Y3602" s="63">
        <v>46135</v>
      </c>
      <c r="Z3602" s="61">
        <f>_xll.qlYieldTSDiscount($U$35,Y3602,,Trigger)</f>
        <v>0.87930810834199569</v>
      </c>
    </row>
    <row r="3603" spans="25:26" x14ac:dyDescent="0.25">
      <c r="Y3603" s="63">
        <v>46136</v>
      </c>
      <c r="Z3603" s="61">
        <f>_xll.qlYieldTSDiscount($U$35,Y3603,,Trigger)</f>
        <v>0.87927146636639353</v>
      </c>
    </row>
    <row r="3604" spans="25:26" x14ac:dyDescent="0.25">
      <c r="Y3604" s="63">
        <v>46137</v>
      </c>
      <c r="Z3604" s="61">
        <f>_xll.qlYieldTSDiscount($U$35,Y3604,,Trigger)</f>
        <v>0.87923482771480987</v>
      </c>
    </row>
    <row r="3605" spans="25:26" x14ac:dyDescent="0.25">
      <c r="Y3605" s="63">
        <v>46138</v>
      </c>
      <c r="Z3605" s="61">
        <f>_xll.qlYieldTSDiscount($U$35,Y3605,,Trigger)</f>
        <v>0.87919819239043606</v>
      </c>
    </row>
    <row r="3606" spans="25:26" x14ac:dyDescent="0.25">
      <c r="Y3606" s="63">
        <v>46139</v>
      </c>
      <c r="Z3606" s="61">
        <f>_xll.qlYieldTSDiscount($U$35,Y3606,,Trigger)</f>
        <v>0.87916156039646365</v>
      </c>
    </row>
    <row r="3607" spans="25:26" x14ac:dyDescent="0.25">
      <c r="Y3607" s="63">
        <v>46140</v>
      </c>
      <c r="Z3607" s="61">
        <f>_xll.qlYieldTSDiscount($U$35,Y3607,,Trigger)</f>
        <v>0.87912493173608408</v>
      </c>
    </row>
    <row r="3608" spans="25:26" x14ac:dyDescent="0.25">
      <c r="Y3608" s="63">
        <v>46141</v>
      </c>
      <c r="Z3608" s="61">
        <f>_xll.qlYieldTSDiscount($U$35,Y3608,,Trigger)</f>
        <v>0.8790883064124887</v>
      </c>
    </row>
    <row r="3609" spans="25:26" x14ac:dyDescent="0.25">
      <c r="Y3609" s="63">
        <v>46142</v>
      </c>
      <c r="Z3609" s="61">
        <f>_xll.qlYieldTSDiscount($U$35,Y3609,,Trigger)</f>
        <v>0.87905168442886894</v>
      </c>
    </row>
    <row r="3610" spans="25:26" x14ac:dyDescent="0.25">
      <c r="Y3610" s="63">
        <v>46143</v>
      </c>
      <c r="Z3610" s="61">
        <f>_xll.qlYieldTSDiscount($U$35,Y3610,,Trigger)</f>
        <v>0.87901506578841626</v>
      </c>
    </row>
    <row r="3611" spans="25:26" x14ac:dyDescent="0.25">
      <c r="Y3611" s="63">
        <v>46144</v>
      </c>
      <c r="Z3611" s="61">
        <f>_xll.qlYieldTSDiscount($U$35,Y3611,,Trigger)</f>
        <v>0.87897845049432211</v>
      </c>
    </row>
    <row r="3612" spans="25:26" x14ac:dyDescent="0.25">
      <c r="Y3612" s="63">
        <v>46145</v>
      </c>
      <c r="Z3612" s="61">
        <f>_xll.qlYieldTSDiscount($U$35,Y3612,,Trigger)</f>
        <v>0.87894183854977781</v>
      </c>
    </row>
    <row r="3613" spans="25:26" x14ac:dyDescent="0.25">
      <c r="Y3613" s="63">
        <v>46146</v>
      </c>
      <c r="Z3613" s="61">
        <f>_xll.qlYieldTSDiscount($U$35,Y3613,,Trigger)</f>
        <v>0.87890522995797482</v>
      </c>
    </row>
    <row r="3614" spans="25:26" x14ac:dyDescent="0.25">
      <c r="Y3614" s="63">
        <v>46147</v>
      </c>
      <c r="Z3614" s="61">
        <f>_xll.qlYieldTSDiscount($U$35,Y3614,,Trigger)</f>
        <v>0.8788686247221047</v>
      </c>
    </row>
    <row r="3615" spans="25:26" x14ac:dyDescent="0.25">
      <c r="Y3615" s="63">
        <v>46148</v>
      </c>
      <c r="Z3615" s="61">
        <f>_xll.qlYieldTSDiscount($U$35,Y3615,,Trigger)</f>
        <v>0.87883202284535866</v>
      </c>
    </row>
    <row r="3616" spans="25:26" x14ac:dyDescent="0.25">
      <c r="Y3616" s="63">
        <v>46149</v>
      </c>
      <c r="Z3616" s="61">
        <f>_xll.qlYieldTSDiscount($U$35,Y3616,,Trigger)</f>
        <v>0.87879542433092828</v>
      </c>
    </row>
    <row r="3617" spans="25:26" x14ac:dyDescent="0.25">
      <c r="Y3617" s="63">
        <v>46150</v>
      </c>
      <c r="Z3617" s="61">
        <f>_xll.qlYieldTSDiscount($U$35,Y3617,,Trigger)</f>
        <v>0.87875882918200487</v>
      </c>
    </row>
    <row r="3618" spans="25:26" x14ac:dyDescent="0.25">
      <c r="Y3618" s="63">
        <v>46151</v>
      </c>
      <c r="Z3618" s="61">
        <f>_xll.qlYieldTSDiscount($U$35,Y3618,,Trigger)</f>
        <v>0.87872223740178002</v>
      </c>
    </row>
    <row r="3619" spans="25:26" x14ac:dyDescent="0.25">
      <c r="Y3619" s="63">
        <v>46152</v>
      </c>
      <c r="Z3619" s="61">
        <f>_xll.qlYieldTSDiscount($U$35,Y3619,,Trigger)</f>
        <v>0.87868564899344503</v>
      </c>
    </row>
    <row r="3620" spans="25:26" x14ac:dyDescent="0.25">
      <c r="Y3620" s="63">
        <v>46153</v>
      </c>
      <c r="Z3620" s="61">
        <f>_xll.qlYieldTSDiscount($U$35,Y3620,,Trigger)</f>
        <v>0.87864906396019138</v>
      </c>
    </row>
    <row r="3621" spans="25:26" x14ac:dyDescent="0.25">
      <c r="Y3621" s="63">
        <v>46154</v>
      </c>
      <c r="Z3621" s="61">
        <f>_xll.qlYieldTSDiscount($U$35,Y3621,,Trigger)</f>
        <v>0.87861248230521038</v>
      </c>
    </row>
    <row r="3622" spans="25:26" x14ac:dyDescent="0.25">
      <c r="Y3622" s="63">
        <v>46155</v>
      </c>
      <c r="Z3622" s="61">
        <f>_xll.qlYieldTSDiscount($U$35,Y3622,,Trigger)</f>
        <v>0.87857590403169361</v>
      </c>
    </row>
    <row r="3623" spans="25:26" x14ac:dyDescent="0.25">
      <c r="Y3623" s="63">
        <v>46156</v>
      </c>
      <c r="Z3623" s="61">
        <f>_xll.qlYieldTSDiscount($U$35,Y3623,,Trigger)</f>
        <v>0.87853932914283239</v>
      </c>
    </row>
    <row r="3624" spans="25:26" x14ac:dyDescent="0.25">
      <c r="Y3624" s="63">
        <v>46157</v>
      </c>
      <c r="Z3624" s="61">
        <f>_xll.qlYieldTSDiscount($U$35,Y3624,,Trigger)</f>
        <v>0.87850275764181818</v>
      </c>
    </row>
    <row r="3625" spans="25:26" x14ac:dyDescent="0.25">
      <c r="Y3625" s="63">
        <v>46158</v>
      </c>
      <c r="Z3625" s="61">
        <f>_xll.qlYieldTSDiscount($U$35,Y3625,,Trigger)</f>
        <v>0.87846618953184241</v>
      </c>
    </row>
    <row r="3626" spans="25:26" x14ac:dyDescent="0.25">
      <c r="Y3626" s="63">
        <v>46159</v>
      </c>
      <c r="Z3626" s="61">
        <f>_xll.qlYieldTSDiscount($U$35,Y3626,,Trigger)</f>
        <v>0.87842962481609654</v>
      </c>
    </row>
    <row r="3627" spans="25:26" x14ac:dyDescent="0.25">
      <c r="Y3627" s="63">
        <v>46160</v>
      </c>
      <c r="Z3627" s="61">
        <f>_xll.qlYieldTSDiscount($U$35,Y3627,,Trigger)</f>
        <v>0.87839306349777191</v>
      </c>
    </row>
    <row r="3628" spans="25:26" x14ac:dyDescent="0.25">
      <c r="Y3628" s="63">
        <v>46161</v>
      </c>
      <c r="Z3628" s="61">
        <f>_xll.qlYieldTSDiscount($U$35,Y3628,,Trigger)</f>
        <v>0.87835650558006007</v>
      </c>
    </row>
    <row r="3629" spans="25:26" x14ac:dyDescent="0.25">
      <c r="Y3629" s="63">
        <v>46162</v>
      </c>
      <c r="Z3629" s="61">
        <f>_xll.qlYieldTSDiscount($U$35,Y3629,,Trigger)</f>
        <v>0.87831995106615235</v>
      </c>
    </row>
    <row r="3630" spans="25:26" x14ac:dyDescent="0.25">
      <c r="Y3630" s="63">
        <v>46163</v>
      </c>
      <c r="Z3630" s="61">
        <f>_xll.qlYieldTSDiscount($U$35,Y3630,,Trigger)</f>
        <v>0.8782833999592401</v>
      </c>
    </row>
    <row r="3631" spans="25:26" x14ac:dyDescent="0.25">
      <c r="Y3631" s="63">
        <v>46164</v>
      </c>
      <c r="Z3631" s="61">
        <f>_xll.qlYieldTSDiscount($U$35,Y3631,,Trigger)</f>
        <v>0.87824685226251487</v>
      </c>
    </row>
    <row r="3632" spans="25:26" x14ac:dyDescent="0.25">
      <c r="Y3632" s="63">
        <v>46165</v>
      </c>
      <c r="Z3632" s="61">
        <f>_xll.qlYieldTSDiscount($U$35,Y3632,,Trigger)</f>
        <v>0.8782103079791681</v>
      </c>
    </row>
    <row r="3633" spans="25:26" x14ac:dyDescent="0.25">
      <c r="Y3633" s="63">
        <v>46166</v>
      </c>
      <c r="Z3633" s="61">
        <f>_xll.qlYieldTSDiscount($U$35,Y3633,,Trigger)</f>
        <v>0.87817376711239115</v>
      </c>
    </row>
    <row r="3634" spans="25:26" x14ac:dyDescent="0.25">
      <c r="Y3634" s="63">
        <v>46167</v>
      </c>
      <c r="Z3634" s="61">
        <f>_xll.qlYieldTSDiscount($U$35,Y3634,,Trigger)</f>
        <v>0.87813722966537555</v>
      </c>
    </row>
    <row r="3635" spans="25:26" x14ac:dyDescent="0.25">
      <c r="Y3635" s="63">
        <v>46168</v>
      </c>
      <c r="Z3635" s="61">
        <f>_xll.qlYieldTSDiscount($U$35,Y3635,,Trigger)</f>
        <v>0.87810069564131243</v>
      </c>
    </row>
    <row r="3636" spans="25:26" x14ac:dyDescent="0.25">
      <c r="Y3636" s="63">
        <v>46169</v>
      </c>
      <c r="Z3636" s="61">
        <f>_xll.qlYieldTSDiscount($U$35,Y3636,,Trigger)</f>
        <v>0.87806416504339369</v>
      </c>
    </row>
    <row r="3637" spans="25:26" x14ac:dyDescent="0.25">
      <c r="Y3637" s="63">
        <v>46170</v>
      </c>
      <c r="Z3637" s="61">
        <f>_xll.qlYieldTSDiscount($U$35,Y3637,,Trigger)</f>
        <v>0.87802763787481031</v>
      </c>
    </row>
    <row r="3638" spans="25:26" x14ac:dyDescent="0.25">
      <c r="Y3638" s="63">
        <v>46171</v>
      </c>
      <c r="Z3638" s="61">
        <f>_xll.qlYieldTSDiscount($U$35,Y3638,,Trigger)</f>
        <v>0.87799111413875397</v>
      </c>
    </row>
    <row r="3639" spans="25:26" x14ac:dyDescent="0.25">
      <c r="Y3639" s="63">
        <v>46172</v>
      </c>
      <c r="Z3639" s="61">
        <f>_xll.qlYieldTSDiscount($U$35,Y3639,,Trigger)</f>
        <v>0.8779545938384159</v>
      </c>
    </row>
    <row r="3640" spans="25:26" x14ac:dyDescent="0.25">
      <c r="Y3640" s="63">
        <v>46173</v>
      </c>
      <c r="Z3640" s="61">
        <f>_xll.qlYieldTSDiscount($U$35,Y3640,,Trigger)</f>
        <v>0.87791807697698776</v>
      </c>
    </row>
    <row r="3641" spans="25:26" x14ac:dyDescent="0.25">
      <c r="Y3641" s="63">
        <v>46174</v>
      </c>
      <c r="Z3641" s="61">
        <f>_xll.qlYieldTSDiscount($U$35,Y3641,,Trigger)</f>
        <v>0.87788156355766089</v>
      </c>
    </row>
    <row r="3642" spans="25:26" x14ac:dyDescent="0.25">
      <c r="Y3642" s="63">
        <v>46175</v>
      </c>
      <c r="Z3642" s="61">
        <f>_xll.qlYieldTSDiscount($U$35,Y3642,,Trigger)</f>
        <v>0.87784505358362652</v>
      </c>
    </row>
    <row r="3643" spans="25:26" x14ac:dyDescent="0.25">
      <c r="Y3643" s="63">
        <v>46176</v>
      </c>
      <c r="Z3643" s="61">
        <f>_xll.qlYieldTSDiscount($U$35,Y3643,,Trigger)</f>
        <v>0.87780854705807632</v>
      </c>
    </row>
    <row r="3644" spans="25:26" x14ac:dyDescent="0.25">
      <c r="Y3644" s="63">
        <v>46177</v>
      </c>
      <c r="Z3644" s="61">
        <f>_xll.qlYieldTSDiscount($U$35,Y3644,,Trigger)</f>
        <v>0.87777204398420172</v>
      </c>
    </row>
    <row r="3645" spans="25:26" x14ac:dyDescent="0.25">
      <c r="Y3645" s="63">
        <v>46178</v>
      </c>
      <c r="Z3645" s="61">
        <f>_xll.qlYieldTSDiscount($U$35,Y3645,,Trigger)</f>
        <v>0.87773554436519396</v>
      </c>
    </row>
    <row r="3646" spans="25:26" x14ac:dyDescent="0.25">
      <c r="Y3646" s="63">
        <v>46179</v>
      </c>
      <c r="Z3646" s="61">
        <f>_xll.qlYieldTSDiscount($U$35,Y3646,,Trigger)</f>
        <v>0.8776990482042446</v>
      </c>
    </row>
    <row r="3647" spans="25:26" x14ac:dyDescent="0.25">
      <c r="Y3647" s="63">
        <v>46180</v>
      </c>
      <c r="Z3647" s="61">
        <f>_xll.qlYieldTSDiscount($U$35,Y3647,,Trigger)</f>
        <v>0.87766255550454508</v>
      </c>
    </row>
    <row r="3648" spans="25:26" x14ac:dyDescent="0.25">
      <c r="Y3648" s="63">
        <v>46181</v>
      </c>
      <c r="Z3648" s="61">
        <f>_xll.qlYieldTSDiscount($U$35,Y3648,,Trigger)</f>
        <v>0.87762606626928674</v>
      </c>
    </row>
    <row r="3649" spans="25:26" x14ac:dyDescent="0.25">
      <c r="Y3649" s="63">
        <v>46182</v>
      </c>
      <c r="Z3649" s="61">
        <f>_xll.qlYieldTSDiscount($U$35,Y3649,,Trigger)</f>
        <v>0.87758958050166103</v>
      </c>
    </row>
    <row r="3650" spans="25:26" x14ac:dyDescent="0.25">
      <c r="Y3650" s="63">
        <v>46183</v>
      </c>
      <c r="Z3650" s="61">
        <f>_xll.qlYieldTSDiscount($U$35,Y3650,,Trigger)</f>
        <v>0.87755309820485938</v>
      </c>
    </row>
    <row r="3651" spans="25:26" x14ac:dyDescent="0.25">
      <c r="Y3651" s="63">
        <v>46184</v>
      </c>
      <c r="Z3651" s="61">
        <f>_xll.qlYieldTSDiscount($U$35,Y3651,,Trigger)</f>
        <v>0.87751661938207315</v>
      </c>
    </row>
    <row r="3652" spans="25:26" x14ac:dyDescent="0.25">
      <c r="Y3652" s="63">
        <v>46185</v>
      </c>
      <c r="Z3652" s="61">
        <f>_xll.qlYieldTSDiscount($U$35,Y3652,,Trigger)</f>
        <v>0.87748014403649399</v>
      </c>
    </row>
    <row r="3653" spans="25:26" x14ac:dyDescent="0.25">
      <c r="Y3653" s="63">
        <v>46186</v>
      </c>
      <c r="Z3653" s="61">
        <f>_xll.qlYieldTSDiscount($U$35,Y3653,,Trigger)</f>
        <v>0.87744367217131303</v>
      </c>
    </row>
    <row r="3654" spans="25:26" x14ac:dyDescent="0.25">
      <c r="Y3654" s="63">
        <v>46187</v>
      </c>
      <c r="Z3654" s="61">
        <f>_xll.qlYieldTSDiscount($U$35,Y3654,,Trigger)</f>
        <v>0.87740720378972192</v>
      </c>
    </row>
    <row r="3655" spans="25:26" x14ac:dyDescent="0.25">
      <c r="Y3655" s="63">
        <v>46188</v>
      </c>
      <c r="Z3655" s="61">
        <f>_xll.qlYieldTSDiscount($U$35,Y3655,,Trigger)</f>
        <v>0.87737073889491202</v>
      </c>
    </row>
    <row r="3656" spans="25:26" x14ac:dyDescent="0.25">
      <c r="Y3656" s="63">
        <v>46189</v>
      </c>
      <c r="Z3656" s="61">
        <f>_xll.qlYieldTSDiscount($U$35,Y3656,,Trigger)</f>
        <v>0.87733427749007475</v>
      </c>
    </row>
    <row r="3657" spans="25:26" x14ac:dyDescent="0.25">
      <c r="Y3657" s="63">
        <v>46190</v>
      </c>
      <c r="Z3657" s="61">
        <f>_xll.qlYieldTSDiscount($U$35,Y3657,,Trigger)</f>
        <v>0.87729781957840136</v>
      </c>
    </row>
    <row r="3658" spans="25:26" x14ac:dyDescent="0.25">
      <c r="Y3658" s="63">
        <v>46191</v>
      </c>
      <c r="Z3658" s="61">
        <f>_xll.qlYieldTSDiscount($U$35,Y3658,,Trigger)</f>
        <v>0.87726136516308362</v>
      </c>
    </row>
    <row r="3659" spans="25:26" x14ac:dyDescent="0.25">
      <c r="Y3659" s="63">
        <v>46192</v>
      </c>
      <c r="Z3659" s="61">
        <f>_xll.qlYieldTSDiscount($U$35,Y3659,,Trigger)</f>
        <v>0.87722491424731264</v>
      </c>
    </row>
    <row r="3660" spans="25:26" x14ac:dyDescent="0.25">
      <c r="Y3660" s="63">
        <v>46193</v>
      </c>
      <c r="Z3660" s="61">
        <f>_xll.qlYieldTSDiscount($U$35,Y3660,,Trigger)</f>
        <v>0.87718846683428009</v>
      </c>
    </row>
    <row r="3661" spans="25:26" x14ac:dyDescent="0.25">
      <c r="Y3661" s="63">
        <v>46194</v>
      </c>
      <c r="Z3661" s="61">
        <f>_xll.qlYieldTSDiscount($U$35,Y3661,,Trigger)</f>
        <v>0.8771520229271772</v>
      </c>
    </row>
    <row r="3662" spans="25:26" x14ac:dyDescent="0.25">
      <c r="Y3662" s="63">
        <v>46195</v>
      </c>
      <c r="Z3662" s="61">
        <f>_xll.qlYieldTSDiscount($U$35,Y3662,,Trigger)</f>
        <v>0.87711558252919541</v>
      </c>
    </row>
    <row r="3663" spans="25:26" x14ac:dyDescent="0.25">
      <c r="Y3663" s="63">
        <v>46196</v>
      </c>
      <c r="Z3663" s="61">
        <f>_xll.qlYieldTSDiscount($U$35,Y3663,,Trigger)</f>
        <v>0.8770791456435264</v>
      </c>
    </row>
    <row r="3664" spans="25:26" x14ac:dyDescent="0.25">
      <c r="Y3664" s="63">
        <v>46197</v>
      </c>
      <c r="Z3664" s="61">
        <f>_xll.qlYieldTSDiscount($U$35,Y3664,,Trigger)</f>
        <v>0.87704271227336128</v>
      </c>
    </row>
    <row r="3665" spans="25:26" x14ac:dyDescent="0.25">
      <c r="Y3665" s="63">
        <v>46198</v>
      </c>
      <c r="Z3665" s="61">
        <f>_xll.qlYieldTSDiscount($U$35,Y3665,,Trigger)</f>
        <v>0.8770062824218916</v>
      </c>
    </row>
    <row r="3666" spans="25:26" x14ac:dyDescent="0.25">
      <c r="Y3666" s="63">
        <v>46199</v>
      </c>
      <c r="Z3666" s="61">
        <f>_xll.qlYieldTSDiscount($U$35,Y3666,,Trigger)</f>
        <v>0.87696985609230882</v>
      </c>
    </row>
    <row r="3667" spans="25:26" x14ac:dyDescent="0.25">
      <c r="Y3667" s="63">
        <v>46200</v>
      </c>
      <c r="Z3667" s="61">
        <f>_xll.qlYieldTSDiscount($U$35,Y3667,,Trigger)</f>
        <v>0.87693343328780438</v>
      </c>
    </row>
    <row r="3668" spans="25:26" x14ac:dyDescent="0.25">
      <c r="Y3668" s="63">
        <v>46201</v>
      </c>
      <c r="Z3668" s="61">
        <f>_xll.qlYieldTSDiscount($U$35,Y3668,,Trigger)</f>
        <v>0.87689701401156961</v>
      </c>
    </row>
    <row r="3669" spans="25:26" x14ac:dyDescent="0.25">
      <c r="Y3669" s="63">
        <v>46202</v>
      </c>
      <c r="Z3669" s="61">
        <f>_xll.qlYieldTSDiscount($U$35,Y3669,,Trigger)</f>
        <v>0.87686059826679597</v>
      </c>
    </row>
    <row r="3670" spans="25:26" x14ac:dyDescent="0.25">
      <c r="Y3670" s="63">
        <v>46203</v>
      </c>
      <c r="Z3670" s="61">
        <f>_xll.qlYieldTSDiscount($U$35,Y3670,,Trigger)</f>
        <v>0.87682418605667489</v>
      </c>
    </row>
    <row r="3671" spans="25:26" x14ac:dyDescent="0.25">
      <c r="Y3671" s="63">
        <v>46204</v>
      </c>
      <c r="Z3671" s="61">
        <f>_xll.qlYieldTSDiscount($U$35,Y3671,,Trigger)</f>
        <v>0.87678777738439784</v>
      </c>
    </row>
    <row r="3672" spans="25:26" x14ac:dyDescent="0.25">
      <c r="Y3672" s="63">
        <v>46205</v>
      </c>
      <c r="Z3672" s="61">
        <f>_xll.qlYieldTSDiscount($U$35,Y3672,,Trigger)</f>
        <v>0.87675137225315614</v>
      </c>
    </row>
    <row r="3673" spans="25:26" x14ac:dyDescent="0.25">
      <c r="Y3673" s="63">
        <v>46206</v>
      </c>
      <c r="Z3673" s="61">
        <f>_xll.qlYieldTSDiscount($U$35,Y3673,,Trigger)</f>
        <v>0.87671497066614135</v>
      </c>
    </row>
    <row r="3674" spans="25:26" x14ac:dyDescent="0.25">
      <c r="Y3674" s="63">
        <v>46207</v>
      </c>
      <c r="Z3674" s="61">
        <f>_xll.qlYieldTSDiscount($U$35,Y3674,,Trigger)</f>
        <v>0.87667857262654481</v>
      </c>
    </row>
    <row r="3675" spans="25:26" x14ac:dyDescent="0.25">
      <c r="Y3675" s="63">
        <v>46208</v>
      </c>
      <c r="Z3675" s="61">
        <f>_xll.qlYieldTSDiscount($U$35,Y3675,,Trigger)</f>
        <v>0.87664217813755796</v>
      </c>
    </row>
    <row r="3676" spans="25:26" x14ac:dyDescent="0.25">
      <c r="Y3676" s="63">
        <v>46209</v>
      </c>
      <c r="Z3676" s="61">
        <f>_xll.qlYieldTSDiscount($U$35,Y3676,,Trigger)</f>
        <v>0.87660578720237226</v>
      </c>
    </row>
    <row r="3677" spans="25:26" x14ac:dyDescent="0.25">
      <c r="Y3677" s="63">
        <v>46210</v>
      </c>
      <c r="Z3677" s="61">
        <f>_xll.qlYieldTSDiscount($U$35,Y3677,,Trigger)</f>
        <v>0.87656939982417903</v>
      </c>
    </row>
    <row r="3678" spans="25:26" x14ac:dyDescent="0.25">
      <c r="Y3678" s="63">
        <v>46211</v>
      </c>
      <c r="Z3678" s="61">
        <f>_xll.qlYieldTSDiscount($U$35,Y3678,,Trigger)</f>
        <v>0.87653301600616984</v>
      </c>
    </row>
    <row r="3679" spans="25:26" x14ac:dyDescent="0.25">
      <c r="Y3679" s="63">
        <v>46212</v>
      </c>
      <c r="Z3679" s="61">
        <f>_xll.qlYieldTSDiscount($U$35,Y3679,,Trigger)</f>
        <v>0.87649663575153602</v>
      </c>
    </row>
    <row r="3680" spans="25:26" x14ac:dyDescent="0.25">
      <c r="Y3680" s="63">
        <v>46213</v>
      </c>
      <c r="Z3680" s="61">
        <f>_xll.qlYieldTSDiscount($U$35,Y3680,,Trigger)</f>
        <v>0.87646025906346892</v>
      </c>
    </row>
    <row r="3681" spans="25:26" x14ac:dyDescent="0.25">
      <c r="Y3681" s="63">
        <v>46214</v>
      </c>
      <c r="Z3681" s="61">
        <f>_xll.qlYieldTSDiscount($U$35,Y3681,,Trigger)</f>
        <v>0.87642388594516019</v>
      </c>
    </row>
    <row r="3682" spans="25:26" x14ac:dyDescent="0.25">
      <c r="Y3682" s="63">
        <v>46215</v>
      </c>
      <c r="Z3682" s="61">
        <f>_xll.qlYieldTSDiscount($U$35,Y3682,,Trigger)</f>
        <v>0.87638751639980106</v>
      </c>
    </row>
    <row r="3683" spans="25:26" x14ac:dyDescent="0.25">
      <c r="Y3683" s="63">
        <v>46216</v>
      </c>
      <c r="Z3683" s="61">
        <f>_xll.qlYieldTSDiscount($U$35,Y3683,,Trigger)</f>
        <v>0.87635115043058309</v>
      </c>
    </row>
    <row r="3684" spans="25:26" x14ac:dyDescent="0.25">
      <c r="Y3684" s="63">
        <v>46217</v>
      </c>
      <c r="Z3684" s="61">
        <f>_xll.qlYieldTSDiscount($U$35,Y3684,,Trigger)</f>
        <v>0.87631478803976681</v>
      </c>
    </row>
    <row r="3685" spans="25:26" x14ac:dyDescent="0.25">
      <c r="Y3685" s="63">
        <v>46218</v>
      </c>
      <c r="Z3685" s="61">
        <f>_xll.qlYieldTSDiscount($U$35,Y3685,,Trigger)</f>
        <v>0.8762784292258895</v>
      </c>
    </row>
    <row r="3686" spans="25:26" x14ac:dyDescent="0.25">
      <c r="Y3686" s="63">
        <v>46219</v>
      </c>
      <c r="Z3686" s="61">
        <f>_xll.qlYieldTSDiscount($U$35,Y3686,,Trigger)</f>
        <v>0.87624207398655762</v>
      </c>
    </row>
    <row r="3687" spans="25:26" x14ac:dyDescent="0.25">
      <c r="Y3687" s="63">
        <v>46220</v>
      </c>
      <c r="Z3687" s="61">
        <f>_xll.qlYieldTSDiscount($U$35,Y3687,,Trigger)</f>
        <v>0.87620572231937777</v>
      </c>
    </row>
    <row r="3688" spans="25:26" x14ac:dyDescent="0.25">
      <c r="Y3688" s="63">
        <v>46221</v>
      </c>
      <c r="Z3688" s="61">
        <f>_xll.qlYieldTSDiscount($U$35,Y3688,,Trigger)</f>
        <v>0.8761693742219564</v>
      </c>
    </row>
    <row r="3689" spans="25:26" x14ac:dyDescent="0.25">
      <c r="Y3689" s="63">
        <v>46222</v>
      </c>
      <c r="Z3689" s="61">
        <f>_xll.qlYieldTSDiscount($U$35,Y3689,,Trigger)</f>
        <v>0.87613302969189988</v>
      </c>
    </row>
    <row r="3690" spans="25:26" x14ac:dyDescent="0.25">
      <c r="Y3690" s="63">
        <v>46223</v>
      </c>
      <c r="Z3690" s="61">
        <f>_xll.qlYieldTSDiscount($U$35,Y3690,,Trigger)</f>
        <v>0.87609668872681479</v>
      </c>
    </row>
    <row r="3691" spans="25:26" x14ac:dyDescent="0.25">
      <c r="Y3691" s="63">
        <v>46224</v>
      </c>
      <c r="Z3691" s="61">
        <f>_xll.qlYieldTSDiscount($U$35,Y3691,,Trigger)</f>
        <v>0.87606035132430748</v>
      </c>
    </row>
    <row r="3692" spans="25:26" x14ac:dyDescent="0.25">
      <c r="Y3692" s="63">
        <v>46225</v>
      </c>
      <c r="Z3692" s="61">
        <f>_xll.qlYieldTSDiscount($U$35,Y3692,,Trigger)</f>
        <v>0.87602401748198466</v>
      </c>
    </row>
    <row r="3693" spans="25:26" x14ac:dyDescent="0.25">
      <c r="Y3693" s="63">
        <v>46226</v>
      </c>
      <c r="Z3693" s="61">
        <f>_xll.qlYieldTSDiscount($U$35,Y3693,,Trigger)</f>
        <v>0.87598768719745268</v>
      </c>
    </row>
    <row r="3694" spans="25:26" x14ac:dyDescent="0.25">
      <c r="Y3694" s="63">
        <v>46227</v>
      </c>
      <c r="Z3694" s="61">
        <f>_xll.qlYieldTSDiscount($U$35,Y3694,,Trigger)</f>
        <v>0.87595136046831801</v>
      </c>
    </row>
    <row r="3695" spans="25:26" x14ac:dyDescent="0.25">
      <c r="Y3695" s="63">
        <v>46228</v>
      </c>
      <c r="Z3695" s="61">
        <f>_xll.qlYieldTSDiscount($U$35,Y3695,,Trigger)</f>
        <v>0.87591503729218712</v>
      </c>
    </row>
    <row r="3696" spans="25:26" x14ac:dyDescent="0.25">
      <c r="Y3696" s="63">
        <v>46229</v>
      </c>
      <c r="Z3696" s="61">
        <f>_xll.qlYieldTSDiscount($U$35,Y3696,,Trigger)</f>
        <v>0.87587871766666647</v>
      </c>
    </row>
    <row r="3697" spans="25:26" x14ac:dyDescent="0.25">
      <c r="Y3697" s="63">
        <v>46230</v>
      </c>
      <c r="Z3697" s="61">
        <f>_xll.qlYieldTSDiscount($U$35,Y3697,,Trigger)</f>
        <v>0.87584240158936266</v>
      </c>
    </row>
    <row r="3698" spans="25:26" x14ac:dyDescent="0.25">
      <c r="Y3698" s="63">
        <v>46231</v>
      </c>
      <c r="Z3698" s="61">
        <f>_xll.qlYieldTSDiscount($U$35,Y3698,,Trigger)</f>
        <v>0.87580608905788215</v>
      </c>
    </row>
    <row r="3699" spans="25:26" x14ac:dyDescent="0.25">
      <c r="Y3699" s="63">
        <v>46232</v>
      </c>
      <c r="Z3699" s="61">
        <f>_xll.qlYieldTSDiscount($U$35,Y3699,,Trigger)</f>
        <v>0.87576978006983131</v>
      </c>
    </row>
    <row r="3700" spans="25:26" x14ac:dyDescent="0.25">
      <c r="Y3700" s="63">
        <v>46233</v>
      </c>
      <c r="Z3700" s="61">
        <f>_xll.qlYieldTSDiscount($U$35,Y3700,,Trigger)</f>
        <v>0.87573347462281659</v>
      </c>
    </row>
    <row r="3701" spans="25:26" x14ac:dyDescent="0.25">
      <c r="Y3701" s="63">
        <v>46234</v>
      </c>
      <c r="Z3701" s="61">
        <f>_xll.qlYieldTSDiscount($U$35,Y3701,,Trigger)</f>
        <v>0.87569717271444469</v>
      </c>
    </row>
    <row r="3702" spans="25:26" x14ac:dyDescent="0.25">
      <c r="Y3702" s="63">
        <v>46235</v>
      </c>
      <c r="Z3702" s="61">
        <f>_xll.qlYieldTSDiscount($U$35,Y3702,,Trigger)</f>
        <v>0.87566087434232187</v>
      </c>
    </row>
    <row r="3703" spans="25:26" x14ac:dyDescent="0.25">
      <c r="Y3703" s="63">
        <v>46236</v>
      </c>
      <c r="Z3703" s="61">
        <f>_xll.qlYieldTSDiscount($U$35,Y3703,,Trigger)</f>
        <v>0.8756245795040547</v>
      </c>
    </row>
    <row r="3704" spans="25:26" x14ac:dyDescent="0.25">
      <c r="Y3704" s="63">
        <v>46237</v>
      </c>
      <c r="Z3704" s="61">
        <f>_xll.qlYieldTSDiscount($U$35,Y3704,,Trigger)</f>
        <v>0.87558828819724976</v>
      </c>
    </row>
    <row r="3705" spans="25:26" x14ac:dyDescent="0.25">
      <c r="Y3705" s="63">
        <v>46238</v>
      </c>
      <c r="Z3705" s="61">
        <f>_xll.qlYieldTSDiscount($U$35,Y3705,,Trigger)</f>
        <v>0.87555200041951342</v>
      </c>
    </row>
    <row r="3706" spans="25:26" x14ac:dyDescent="0.25">
      <c r="Y3706" s="63">
        <v>46239</v>
      </c>
      <c r="Z3706" s="61">
        <f>_xll.qlYieldTSDiscount($U$35,Y3706,,Trigger)</f>
        <v>0.87551571616845203</v>
      </c>
    </row>
    <row r="3707" spans="25:26" x14ac:dyDescent="0.25">
      <c r="Y3707" s="63">
        <v>46240</v>
      </c>
      <c r="Z3707" s="61">
        <f>_xll.qlYieldTSDiscount($U$35,Y3707,,Trigger)</f>
        <v>0.87547943544167228</v>
      </c>
    </row>
    <row r="3708" spans="25:26" x14ac:dyDescent="0.25">
      <c r="Y3708" s="63">
        <v>46241</v>
      </c>
      <c r="Z3708" s="61">
        <f>_xll.qlYieldTSDiscount($U$35,Y3708,,Trigger)</f>
        <v>0.87544315823678065</v>
      </c>
    </row>
    <row r="3709" spans="25:26" x14ac:dyDescent="0.25">
      <c r="Y3709" s="63">
        <v>46242</v>
      </c>
      <c r="Z3709" s="61">
        <f>_xll.qlYieldTSDiscount($U$35,Y3709,,Trigger)</f>
        <v>0.87540688455138349</v>
      </c>
    </row>
    <row r="3710" spans="25:26" x14ac:dyDescent="0.25">
      <c r="Y3710" s="63">
        <v>46243</v>
      </c>
      <c r="Z3710" s="61">
        <f>_xll.qlYieldTSDiscount($U$35,Y3710,,Trigger)</f>
        <v>0.87537061438308739</v>
      </c>
    </row>
    <row r="3711" spans="25:26" x14ac:dyDescent="0.25">
      <c r="Y3711" s="63">
        <v>46244</v>
      </c>
      <c r="Z3711" s="61">
        <f>_xll.qlYieldTSDiscount($U$35,Y3711,,Trigger)</f>
        <v>0.87533434772949881</v>
      </c>
    </row>
    <row r="3712" spans="25:26" x14ac:dyDescent="0.25">
      <c r="Y3712" s="63">
        <v>46245</v>
      </c>
      <c r="Z3712" s="61">
        <f>_xll.qlYieldTSDiscount($U$35,Y3712,,Trigger)</f>
        <v>0.87529808458822411</v>
      </c>
    </row>
    <row r="3713" spans="25:26" x14ac:dyDescent="0.25">
      <c r="Y3713" s="63">
        <v>46246</v>
      </c>
      <c r="Z3713" s="61">
        <f>_xll.qlYieldTSDiscount($U$35,Y3713,,Trigger)</f>
        <v>0.87526182495686999</v>
      </c>
    </row>
    <row r="3714" spans="25:26" x14ac:dyDescent="0.25">
      <c r="Y3714" s="63">
        <v>46247</v>
      </c>
      <c r="Z3714" s="61">
        <f>_xll.qlYieldTSDiscount($U$35,Y3714,,Trigger)</f>
        <v>0.8752255688330427</v>
      </c>
    </row>
    <row r="3715" spans="25:26" x14ac:dyDescent="0.25">
      <c r="Y3715" s="63">
        <v>46248</v>
      </c>
      <c r="Z3715" s="61">
        <f>_xll.qlYieldTSDiscount($U$35,Y3715,,Trigger)</f>
        <v>0.87518931621434881</v>
      </c>
    </row>
    <row r="3716" spans="25:26" x14ac:dyDescent="0.25">
      <c r="Y3716" s="63">
        <v>46249</v>
      </c>
      <c r="Z3716" s="61">
        <f>_xll.qlYieldTSDiscount($U$35,Y3716,,Trigger)</f>
        <v>0.87515306709839491</v>
      </c>
    </row>
    <row r="3717" spans="25:26" x14ac:dyDescent="0.25">
      <c r="Y3717" s="63">
        <v>46250</v>
      </c>
      <c r="Z3717" s="61">
        <f>_xll.qlYieldTSDiscount($U$35,Y3717,,Trigger)</f>
        <v>0.87511682148278735</v>
      </c>
    </row>
    <row r="3718" spans="25:26" x14ac:dyDescent="0.25">
      <c r="Y3718" s="63">
        <v>46251</v>
      </c>
      <c r="Z3718" s="61">
        <f>_xll.qlYieldTSDiscount($U$35,Y3718,,Trigger)</f>
        <v>0.87508057936513262</v>
      </c>
    </row>
    <row r="3719" spans="25:26" x14ac:dyDescent="0.25">
      <c r="Y3719" s="63">
        <v>46252</v>
      </c>
      <c r="Z3719" s="61">
        <f>_xll.qlYieldTSDiscount($U$35,Y3719,,Trigger)</f>
        <v>0.87504434074303727</v>
      </c>
    </row>
    <row r="3720" spans="25:26" x14ac:dyDescent="0.25">
      <c r="Y3720" s="63">
        <v>46253</v>
      </c>
      <c r="Z3720" s="61">
        <f>_xll.qlYieldTSDiscount($U$35,Y3720,,Trigger)</f>
        <v>0.8750081056141078</v>
      </c>
    </row>
    <row r="3721" spans="25:26" x14ac:dyDescent="0.25">
      <c r="Y3721" s="63">
        <v>46254</v>
      </c>
      <c r="Z3721" s="61">
        <f>_xll.qlYieldTSDiscount($U$35,Y3721,,Trigger)</f>
        <v>0.87497187397595055</v>
      </c>
    </row>
    <row r="3722" spans="25:26" x14ac:dyDescent="0.25">
      <c r="Y3722" s="63">
        <v>46255</v>
      </c>
      <c r="Z3722" s="61">
        <f>_xll.qlYieldTSDiscount($U$35,Y3722,,Trigger)</f>
        <v>0.87493564582617211</v>
      </c>
    </row>
    <row r="3723" spans="25:26" x14ac:dyDescent="0.25">
      <c r="Y3723" s="63">
        <v>46256</v>
      </c>
      <c r="Z3723" s="61">
        <f>_xll.qlYieldTSDiscount($U$35,Y3723,,Trigger)</f>
        <v>0.87489942116237884</v>
      </c>
    </row>
    <row r="3724" spans="25:26" x14ac:dyDescent="0.25">
      <c r="Y3724" s="63">
        <v>46257</v>
      </c>
      <c r="Z3724" s="61">
        <f>_xll.qlYieldTSDiscount($U$35,Y3724,,Trigger)</f>
        <v>0.87486319998217743</v>
      </c>
    </row>
    <row r="3725" spans="25:26" x14ac:dyDescent="0.25">
      <c r="Y3725" s="63">
        <v>46258</v>
      </c>
      <c r="Z3725" s="61">
        <f>_xll.qlYieldTSDiscount($U$35,Y3725,,Trigger)</f>
        <v>0.87482698228317424</v>
      </c>
    </row>
    <row r="3726" spans="25:26" x14ac:dyDescent="0.25">
      <c r="Y3726" s="63">
        <v>46259</v>
      </c>
      <c r="Z3726" s="61">
        <f>_xll.qlYieldTSDiscount($U$35,Y3726,,Trigger)</f>
        <v>0.87479076806297573</v>
      </c>
    </row>
    <row r="3727" spans="25:26" x14ac:dyDescent="0.25">
      <c r="Y3727" s="63">
        <v>46260</v>
      </c>
      <c r="Z3727" s="61">
        <f>_xll.qlYieldTSDiscount($U$35,Y3727,,Trigger)</f>
        <v>0.87475455731918839</v>
      </c>
    </row>
    <row r="3728" spans="25:26" x14ac:dyDescent="0.25">
      <c r="Y3728" s="63">
        <v>46261</v>
      </c>
      <c r="Z3728" s="61">
        <f>_xll.qlYieldTSDiscount($U$35,Y3728,,Trigger)</f>
        <v>0.87471835004941867</v>
      </c>
    </row>
    <row r="3729" spans="25:26" x14ac:dyDescent="0.25">
      <c r="Y3729" s="63">
        <v>46262</v>
      </c>
      <c r="Z3729" s="61">
        <f>_xll.qlYieldTSDiscount($U$35,Y3729,,Trigger)</f>
        <v>0.87468214625127316</v>
      </c>
    </row>
    <row r="3730" spans="25:26" x14ac:dyDescent="0.25">
      <c r="Y3730" s="63">
        <v>46263</v>
      </c>
      <c r="Z3730" s="61">
        <f>_xll.qlYieldTSDiscount($U$35,Y3730,,Trigger)</f>
        <v>0.87464594592235834</v>
      </c>
    </row>
    <row r="3731" spans="25:26" x14ac:dyDescent="0.25">
      <c r="Y3731" s="63">
        <v>46264</v>
      </c>
      <c r="Z3731" s="61">
        <f>_xll.qlYieldTSDiscount($U$35,Y3731,,Trigger)</f>
        <v>0.87460974906028055</v>
      </c>
    </row>
    <row r="3732" spans="25:26" x14ac:dyDescent="0.25">
      <c r="Y3732" s="63">
        <v>46265</v>
      </c>
      <c r="Z3732" s="61">
        <f>_xll.qlYieldTSDiscount($U$35,Y3732,,Trigger)</f>
        <v>0.87457355566264627</v>
      </c>
    </row>
    <row r="3733" spans="25:26" x14ac:dyDescent="0.25">
      <c r="Y3733" s="63">
        <v>46266</v>
      </c>
      <c r="Z3733" s="61">
        <f>_xll.qlYieldTSDiscount($U$35,Y3733,,Trigger)</f>
        <v>0.8745373657270622</v>
      </c>
    </row>
    <row r="3734" spans="25:26" x14ac:dyDescent="0.25">
      <c r="Y3734" s="63">
        <v>46267</v>
      </c>
      <c r="Z3734" s="61">
        <f>_xll.qlYieldTSDiscount($U$35,Y3734,,Trigger)</f>
        <v>0.87450117925113457</v>
      </c>
    </row>
    <row r="3735" spans="25:26" x14ac:dyDescent="0.25">
      <c r="Y3735" s="63">
        <v>46268</v>
      </c>
      <c r="Z3735" s="61">
        <f>_xll.qlYieldTSDiscount($U$35,Y3735,,Trigger)</f>
        <v>0.87446499623247009</v>
      </c>
    </row>
    <row r="3736" spans="25:26" x14ac:dyDescent="0.25">
      <c r="Y3736" s="63">
        <v>46269</v>
      </c>
      <c r="Z3736" s="61">
        <f>_xll.qlYieldTSDiscount($U$35,Y3736,,Trigger)</f>
        <v>0.874428816668675</v>
      </c>
    </row>
    <row r="3737" spans="25:26" x14ac:dyDescent="0.25">
      <c r="Y3737" s="63">
        <v>46270</v>
      </c>
      <c r="Z3737" s="61">
        <f>_xll.qlYieldTSDiscount($U$35,Y3737,,Trigger)</f>
        <v>0.87439264055735599</v>
      </c>
    </row>
    <row r="3738" spans="25:26" x14ac:dyDescent="0.25">
      <c r="Y3738" s="63">
        <v>46271</v>
      </c>
      <c r="Z3738" s="61">
        <f>_xll.qlYieldTSDiscount($U$35,Y3738,,Trigger)</f>
        <v>0.87435646789611943</v>
      </c>
    </row>
    <row r="3739" spans="25:26" x14ac:dyDescent="0.25">
      <c r="Y3739" s="63">
        <v>46272</v>
      </c>
      <c r="Z3739" s="61">
        <f>_xll.qlYieldTSDiscount($U$35,Y3739,,Trigger)</f>
        <v>0.87432029868257177</v>
      </c>
    </row>
    <row r="3740" spans="25:26" x14ac:dyDescent="0.25">
      <c r="Y3740" s="63">
        <v>46273</v>
      </c>
      <c r="Z3740" s="61">
        <f>_xll.qlYieldTSDiscount($U$35,Y3740,,Trigger)</f>
        <v>0.87428413291431961</v>
      </c>
    </row>
    <row r="3741" spans="25:26" x14ac:dyDescent="0.25">
      <c r="Y3741" s="63">
        <v>46274</v>
      </c>
      <c r="Z3741" s="61">
        <f>_xll.qlYieldTSDiscount($U$35,Y3741,,Trigger)</f>
        <v>0.8742479705889693</v>
      </c>
    </row>
    <row r="3742" spans="25:26" x14ac:dyDescent="0.25">
      <c r="Y3742" s="63">
        <v>46275</v>
      </c>
      <c r="Z3742" s="61">
        <f>_xll.qlYieldTSDiscount($U$35,Y3742,,Trigger)</f>
        <v>0.87421181170412743</v>
      </c>
    </row>
    <row r="3743" spans="25:26" x14ac:dyDescent="0.25">
      <c r="Y3743" s="63">
        <v>46276</v>
      </c>
      <c r="Z3743" s="61">
        <f>_xll.qlYieldTSDiscount($U$35,Y3743,,Trigger)</f>
        <v>0.87417565625740046</v>
      </c>
    </row>
    <row r="3744" spans="25:26" x14ac:dyDescent="0.25">
      <c r="Y3744" s="63">
        <v>46277</v>
      </c>
      <c r="Z3744" s="61">
        <f>_xll.qlYieldTSDiscount($U$35,Y3744,,Trigger)</f>
        <v>0.87413950424639486</v>
      </c>
    </row>
    <row r="3745" spans="25:26" x14ac:dyDescent="0.25">
      <c r="Y3745" s="63">
        <v>46278</v>
      </c>
      <c r="Z3745" s="61">
        <f>_xll.qlYieldTSDiscount($U$35,Y3745,,Trigger)</f>
        <v>0.874103355668717</v>
      </c>
    </row>
    <row r="3746" spans="25:26" x14ac:dyDescent="0.25">
      <c r="Y3746" s="63">
        <v>46279</v>
      </c>
      <c r="Z3746" s="61">
        <f>_xll.qlYieldTSDiscount($U$35,Y3746,,Trigger)</f>
        <v>0.87406721052197356</v>
      </c>
    </row>
    <row r="3747" spans="25:26" x14ac:dyDescent="0.25">
      <c r="Y3747" s="63">
        <v>46280</v>
      </c>
      <c r="Z3747" s="61">
        <f>_xll.qlYieldTSDiscount($U$35,Y3747,,Trigger)</f>
        <v>0.87403106880377079</v>
      </c>
    </row>
    <row r="3748" spans="25:26" x14ac:dyDescent="0.25">
      <c r="Y3748" s="63">
        <v>46281</v>
      </c>
      <c r="Z3748" s="61">
        <f>_xll.qlYieldTSDiscount($U$35,Y3748,,Trigger)</f>
        <v>0.8739949305117154</v>
      </c>
    </row>
    <row r="3749" spans="25:26" x14ac:dyDescent="0.25">
      <c r="Y3749" s="63">
        <v>46282</v>
      </c>
      <c r="Z3749" s="61">
        <f>_xll.qlYieldTSDiscount($U$35,Y3749,,Trigger)</f>
        <v>0.87395879564341372</v>
      </c>
    </row>
    <row r="3750" spans="25:26" x14ac:dyDescent="0.25">
      <c r="Y3750" s="63">
        <v>46283</v>
      </c>
      <c r="Z3750" s="61">
        <f>_xll.qlYieldTSDiscount($U$35,Y3750,,Trigger)</f>
        <v>0.87392266419647235</v>
      </c>
    </row>
    <row r="3751" spans="25:26" x14ac:dyDescent="0.25">
      <c r="Y3751" s="63">
        <v>46284</v>
      </c>
      <c r="Z3751" s="61">
        <f>_xll.qlYieldTSDiscount($U$35,Y3751,,Trigger)</f>
        <v>0.87388653616849765</v>
      </c>
    </row>
    <row r="3752" spans="25:26" x14ac:dyDescent="0.25">
      <c r="Y3752" s="63">
        <v>46285</v>
      </c>
      <c r="Z3752" s="61">
        <f>_xll.qlYieldTSDiscount($U$35,Y3752,,Trigger)</f>
        <v>0.8738504115570962</v>
      </c>
    </row>
    <row r="3753" spans="25:26" x14ac:dyDescent="0.25">
      <c r="Y3753" s="63">
        <v>46286</v>
      </c>
      <c r="Z3753" s="61">
        <f>_xll.qlYieldTSDiscount($U$35,Y3753,,Trigger)</f>
        <v>0.87381429035987435</v>
      </c>
    </row>
    <row r="3754" spans="25:26" x14ac:dyDescent="0.25">
      <c r="Y3754" s="63">
        <v>46287</v>
      </c>
      <c r="Z3754" s="61">
        <f>_xll.qlYieldTSDiscount($U$35,Y3754,,Trigger)</f>
        <v>0.87377817257443868</v>
      </c>
    </row>
    <row r="3755" spans="25:26" x14ac:dyDescent="0.25">
      <c r="Y3755" s="63">
        <v>46288</v>
      </c>
      <c r="Z3755" s="61">
        <f>_xll.qlYieldTSDiscount($U$35,Y3755,,Trigger)</f>
        <v>0.87374205819839568</v>
      </c>
    </row>
    <row r="3756" spans="25:26" x14ac:dyDescent="0.25">
      <c r="Y3756" s="63">
        <v>46289</v>
      </c>
      <c r="Z3756" s="61">
        <f>_xll.qlYieldTSDiscount($U$35,Y3756,,Trigger)</f>
        <v>0.8737059472293518</v>
      </c>
    </row>
    <row r="3757" spans="25:26" x14ac:dyDescent="0.25">
      <c r="Y3757" s="63">
        <v>46290</v>
      </c>
      <c r="Z3757" s="61">
        <f>_xll.qlYieldTSDiscount($U$35,Y3757,,Trigger)</f>
        <v>0.87366983966491352</v>
      </c>
    </row>
    <row r="3758" spans="25:26" x14ac:dyDescent="0.25">
      <c r="Y3758" s="63">
        <v>46291</v>
      </c>
      <c r="Z3758" s="61">
        <f>_xll.qlYieldTSDiscount($U$35,Y3758,,Trigger)</f>
        <v>0.8736337355026873</v>
      </c>
    </row>
    <row r="3759" spans="25:26" x14ac:dyDescent="0.25">
      <c r="Y3759" s="63">
        <v>46292</v>
      </c>
      <c r="Z3759" s="61">
        <f>_xll.qlYieldTSDiscount($U$35,Y3759,,Trigger)</f>
        <v>0.87359763474027974</v>
      </c>
    </row>
    <row r="3760" spans="25:26" x14ac:dyDescent="0.25">
      <c r="Y3760" s="63">
        <v>46293</v>
      </c>
      <c r="Z3760" s="61">
        <f>_xll.qlYieldTSDiscount($U$35,Y3760,,Trigger)</f>
        <v>0.87356153737529707</v>
      </c>
    </row>
    <row r="3761" spans="25:26" x14ac:dyDescent="0.25">
      <c r="Y3761" s="63">
        <v>46294</v>
      </c>
      <c r="Z3761" s="61">
        <f>_xll.qlYieldTSDiscount($U$35,Y3761,,Trigger)</f>
        <v>0.87352544340534599</v>
      </c>
    </row>
    <row r="3762" spans="25:26" x14ac:dyDescent="0.25">
      <c r="Y3762" s="63">
        <v>46295</v>
      </c>
      <c r="Z3762" s="61">
        <f>_xll.qlYieldTSDiscount($U$35,Y3762,,Trigger)</f>
        <v>0.87348935282803297</v>
      </c>
    </row>
    <row r="3763" spans="25:26" x14ac:dyDescent="0.25">
      <c r="Y3763" s="63">
        <v>46296</v>
      </c>
      <c r="Z3763" s="61">
        <f>_xll.qlYieldTSDiscount($U$35,Y3763,,Trigger)</f>
        <v>0.87345326564096448</v>
      </c>
    </row>
    <row r="3764" spans="25:26" x14ac:dyDescent="0.25">
      <c r="Y3764" s="63">
        <v>46297</v>
      </c>
      <c r="Z3764" s="61">
        <f>_xll.qlYieldTSDiscount($U$35,Y3764,,Trigger)</f>
        <v>0.87341718184174688</v>
      </c>
    </row>
    <row r="3765" spans="25:26" x14ac:dyDescent="0.25">
      <c r="Y3765" s="63">
        <v>46298</v>
      </c>
      <c r="Z3765" s="61">
        <f>_xll.qlYieldTSDiscount($U$35,Y3765,,Trigger)</f>
        <v>0.87338110142798664</v>
      </c>
    </row>
    <row r="3766" spans="25:26" x14ac:dyDescent="0.25">
      <c r="Y3766" s="63">
        <v>46299</v>
      </c>
      <c r="Z3766" s="61">
        <f>_xll.qlYieldTSDiscount($U$35,Y3766,,Trigger)</f>
        <v>0.87334502439729045</v>
      </c>
    </row>
    <row r="3767" spans="25:26" x14ac:dyDescent="0.25">
      <c r="Y3767" s="63">
        <v>46300</v>
      </c>
      <c r="Z3767" s="61">
        <f>_xll.qlYieldTSDiscount($U$35,Y3767,,Trigger)</f>
        <v>0.87330895074726467</v>
      </c>
    </row>
    <row r="3768" spans="25:26" x14ac:dyDescent="0.25">
      <c r="Y3768" s="63">
        <v>46301</v>
      </c>
      <c r="Z3768" s="61">
        <f>_xll.qlYieldTSDiscount($U$35,Y3768,,Trigger)</f>
        <v>0.87327288047551577</v>
      </c>
    </row>
    <row r="3769" spans="25:26" x14ac:dyDescent="0.25">
      <c r="Y3769" s="63">
        <v>46302</v>
      </c>
      <c r="Z3769" s="61">
        <f>_xll.qlYieldTSDiscount($U$35,Y3769,,Trigger)</f>
        <v>0.87323681357965022</v>
      </c>
    </row>
    <row r="3770" spans="25:26" x14ac:dyDescent="0.25">
      <c r="Y3770" s="63">
        <v>46303</v>
      </c>
      <c r="Z3770" s="61">
        <f>_xll.qlYieldTSDiscount($U$35,Y3770,,Trigger)</f>
        <v>0.87320075005727449</v>
      </c>
    </row>
    <row r="3771" spans="25:26" x14ac:dyDescent="0.25">
      <c r="Y3771" s="63">
        <v>46304</v>
      </c>
      <c r="Z3771" s="61">
        <f>_xll.qlYieldTSDiscount($U$35,Y3771,,Trigger)</f>
        <v>0.87316468990599516</v>
      </c>
    </row>
    <row r="3772" spans="25:26" x14ac:dyDescent="0.25">
      <c r="Y3772" s="63">
        <v>46305</v>
      </c>
      <c r="Z3772" s="61">
        <f>_xll.qlYieldTSDiscount($U$35,Y3772,,Trigger)</f>
        <v>0.8731286331234186</v>
      </c>
    </row>
    <row r="3773" spans="25:26" x14ac:dyDescent="0.25">
      <c r="Y3773" s="63">
        <v>46306</v>
      </c>
      <c r="Z3773" s="61">
        <f>_xll.qlYieldTSDiscount($U$35,Y3773,,Trigger)</f>
        <v>0.87309257970715137</v>
      </c>
    </row>
    <row r="3774" spans="25:26" x14ac:dyDescent="0.25">
      <c r="Y3774" s="63">
        <v>46307</v>
      </c>
      <c r="Z3774" s="61">
        <f>_xll.qlYieldTSDiscount($U$35,Y3774,,Trigger)</f>
        <v>0.87305652965479985</v>
      </c>
    </row>
    <row r="3775" spans="25:26" x14ac:dyDescent="0.25">
      <c r="Y3775" s="63">
        <v>46308</v>
      </c>
      <c r="Z3775" s="61">
        <f>_xll.qlYieldTSDiscount($U$35,Y3775,,Trigger)</f>
        <v>0.87302048296397061</v>
      </c>
    </row>
    <row r="3776" spans="25:26" x14ac:dyDescent="0.25">
      <c r="Y3776" s="63">
        <v>46309</v>
      </c>
      <c r="Z3776" s="61">
        <f>_xll.qlYieldTSDiscount($U$35,Y3776,,Trigger)</f>
        <v>0.87298443963227013</v>
      </c>
    </row>
    <row r="3777" spans="25:26" x14ac:dyDescent="0.25">
      <c r="Y3777" s="63">
        <v>46310</v>
      </c>
      <c r="Z3777" s="61">
        <f>_xll.qlYieldTSDiscount($U$35,Y3777,,Trigger)</f>
        <v>0.87294839965730486</v>
      </c>
    </row>
    <row r="3778" spans="25:26" x14ac:dyDescent="0.25">
      <c r="Y3778" s="63">
        <v>46311</v>
      </c>
      <c r="Z3778" s="61">
        <f>_xll.qlYieldTSDiscount($U$35,Y3778,,Trigger)</f>
        <v>0.87291236303668129</v>
      </c>
    </row>
    <row r="3779" spans="25:26" x14ac:dyDescent="0.25">
      <c r="Y3779" s="63">
        <v>46312</v>
      </c>
      <c r="Z3779" s="61">
        <f>_xll.qlYieldTSDiscount($U$35,Y3779,,Trigger)</f>
        <v>0.87287632976800589</v>
      </c>
    </row>
    <row r="3780" spans="25:26" x14ac:dyDescent="0.25">
      <c r="Y3780" s="63">
        <v>46313</v>
      </c>
      <c r="Z3780" s="61">
        <f>_xll.qlYieldTSDiscount($U$35,Y3780,,Trigger)</f>
        <v>0.87284029984888523</v>
      </c>
    </row>
    <row r="3781" spans="25:26" x14ac:dyDescent="0.25">
      <c r="Y3781" s="63">
        <v>46314</v>
      </c>
      <c r="Z3781" s="61">
        <f>_xll.qlYieldTSDiscount($U$35,Y3781,,Trigger)</f>
        <v>0.87280427327692556</v>
      </c>
    </row>
    <row r="3782" spans="25:26" x14ac:dyDescent="0.25">
      <c r="Y3782" s="63">
        <v>46315</v>
      </c>
      <c r="Z3782" s="61">
        <f>_xll.qlYieldTSDiscount($U$35,Y3782,,Trigger)</f>
        <v>0.87276825004973357</v>
      </c>
    </row>
    <row r="3783" spans="25:26" x14ac:dyDescent="0.25">
      <c r="Y3783" s="63">
        <v>46316</v>
      </c>
      <c r="Z3783" s="61">
        <f>_xll.qlYieldTSDiscount($U$35,Y3783,,Trigger)</f>
        <v>0.87273223016491575</v>
      </c>
    </row>
    <row r="3784" spans="25:26" x14ac:dyDescent="0.25">
      <c r="Y3784" s="63">
        <v>46317</v>
      </c>
      <c r="Z3784" s="61">
        <f>_xll.qlYieldTSDiscount($U$35,Y3784,,Trigger)</f>
        <v>0.87269621362007843</v>
      </c>
    </row>
    <row r="3785" spans="25:26" x14ac:dyDescent="0.25">
      <c r="Y3785" s="63">
        <v>46318</v>
      </c>
      <c r="Z3785" s="61">
        <f>_xll.qlYieldTSDiscount($U$35,Y3785,,Trigger)</f>
        <v>0.87266020041282821</v>
      </c>
    </row>
    <row r="3786" spans="25:26" x14ac:dyDescent="0.25">
      <c r="Y3786" s="63">
        <v>46319</v>
      </c>
      <c r="Z3786" s="61">
        <f>_xll.qlYieldTSDiscount($U$35,Y3786,,Trigger)</f>
        <v>0.87262419054077145</v>
      </c>
    </row>
    <row r="3787" spans="25:26" x14ac:dyDescent="0.25">
      <c r="Y3787" s="63">
        <v>46320</v>
      </c>
      <c r="Z3787" s="61">
        <f>_xll.qlYieldTSDiscount($U$35,Y3787,,Trigger)</f>
        <v>0.87258818400151483</v>
      </c>
    </row>
    <row r="3788" spans="25:26" x14ac:dyDescent="0.25">
      <c r="Y3788" s="63">
        <v>46321</v>
      </c>
      <c r="Z3788" s="61">
        <f>_xll.qlYieldTSDiscount($U$35,Y3788,,Trigger)</f>
        <v>0.87255218079266461</v>
      </c>
    </row>
    <row r="3789" spans="25:26" x14ac:dyDescent="0.25">
      <c r="Y3789" s="63">
        <v>46322</v>
      </c>
      <c r="Z3789" s="61">
        <f>_xll.qlYieldTSDiscount($U$35,Y3789,,Trigger)</f>
        <v>0.87251618091182748</v>
      </c>
    </row>
    <row r="3790" spans="25:26" x14ac:dyDescent="0.25">
      <c r="Y3790" s="63">
        <v>46323</v>
      </c>
      <c r="Z3790" s="61">
        <f>_xll.qlYieldTSDiscount($U$35,Y3790,,Trigger)</f>
        <v>0.87248018435660968</v>
      </c>
    </row>
    <row r="3791" spans="25:26" x14ac:dyDescent="0.25">
      <c r="Y3791" s="63">
        <v>46324</v>
      </c>
      <c r="Z3791" s="61">
        <f>_xll.qlYieldTSDiscount($U$35,Y3791,,Trigger)</f>
        <v>0.87244419112461791</v>
      </c>
    </row>
    <row r="3792" spans="25:26" x14ac:dyDescent="0.25">
      <c r="Y3792" s="63">
        <v>46325</v>
      </c>
      <c r="Z3792" s="61">
        <f>_xll.qlYieldTSDiscount($U$35,Y3792,,Trigger)</f>
        <v>0.87240820121345863</v>
      </c>
    </row>
    <row r="3793" spans="25:26" x14ac:dyDescent="0.25">
      <c r="Y3793" s="63">
        <v>46326</v>
      </c>
      <c r="Z3793" s="61">
        <f>_xll.qlYieldTSDiscount($U$35,Y3793,,Trigger)</f>
        <v>0.87237221462073811</v>
      </c>
    </row>
    <row r="3794" spans="25:26" x14ac:dyDescent="0.25">
      <c r="Y3794" s="63">
        <v>46327</v>
      </c>
      <c r="Z3794" s="61">
        <f>_xll.qlYieldTSDiscount($U$35,Y3794,,Trigger)</f>
        <v>0.87233623134406302</v>
      </c>
    </row>
    <row r="3795" spans="25:26" x14ac:dyDescent="0.25">
      <c r="Y3795" s="63">
        <v>46328</v>
      </c>
      <c r="Z3795" s="61">
        <f>_xll.qlYieldTSDiscount($U$35,Y3795,,Trigger)</f>
        <v>0.87230025138103984</v>
      </c>
    </row>
    <row r="3796" spans="25:26" x14ac:dyDescent="0.25">
      <c r="Y3796" s="63">
        <v>46329</v>
      </c>
      <c r="Z3796" s="61">
        <f>_xll.qlYieldTSDiscount($U$35,Y3796,,Trigger)</f>
        <v>0.87226427472927504</v>
      </c>
    </row>
    <row r="3797" spans="25:26" x14ac:dyDescent="0.25">
      <c r="Y3797" s="63">
        <v>46330</v>
      </c>
      <c r="Z3797" s="61">
        <f>_xll.qlYieldTSDiscount($U$35,Y3797,,Trigger)</f>
        <v>0.87222830138637497</v>
      </c>
    </row>
    <row r="3798" spans="25:26" x14ac:dyDescent="0.25">
      <c r="Y3798" s="63">
        <v>46331</v>
      </c>
      <c r="Z3798" s="61">
        <f>_xll.qlYieldTSDiscount($U$35,Y3798,,Trigger)</f>
        <v>0.87219233134994634</v>
      </c>
    </row>
    <row r="3799" spans="25:26" x14ac:dyDescent="0.25">
      <c r="Y3799" s="63">
        <v>46332</v>
      </c>
      <c r="Z3799" s="61">
        <f>_xll.qlYieldTSDiscount($U$35,Y3799,,Trigger)</f>
        <v>0.87215636461759538</v>
      </c>
    </row>
    <row r="3800" spans="25:26" x14ac:dyDescent="0.25">
      <c r="Y3800" s="63">
        <v>46333</v>
      </c>
      <c r="Z3800" s="61">
        <f>_xll.qlYieldTSDiscount($U$35,Y3800,,Trigger)</f>
        <v>0.8721204011869288</v>
      </c>
    </row>
    <row r="3801" spans="25:26" x14ac:dyDescent="0.25">
      <c r="Y3801" s="63">
        <v>46334</v>
      </c>
      <c r="Z3801" s="61">
        <f>_xll.qlYieldTSDiscount($U$35,Y3801,,Trigger)</f>
        <v>0.87208444105555283</v>
      </c>
    </row>
    <row r="3802" spans="25:26" x14ac:dyDescent="0.25">
      <c r="Y3802" s="63">
        <v>46335</v>
      </c>
      <c r="Z3802" s="61">
        <f>_xll.qlYieldTSDiscount($U$35,Y3802,,Trigger)</f>
        <v>0.87204848422107417</v>
      </c>
    </row>
    <row r="3803" spans="25:26" x14ac:dyDescent="0.25">
      <c r="Y3803" s="63">
        <v>46336</v>
      </c>
      <c r="Z3803" s="61">
        <f>_xll.qlYieldTSDiscount($U$35,Y3803,,Trigger)</f>
        <v>0.8720125306810993</v>
      </c>
    </row>
    <row r="3804" spans="25:26" x14ac:dyDescent="0.25">
      <c r="Y3804" s="63">
        <v>46337</v>
      </c>
      <c r="Z3804" s="61">
        <f>_xll.qlYieldTSDiscount($U$35,Y3804,,Trigger)</f>
        <v>0.87197658043323445</v>
      </c>
    </row>
    <row r="3805" spans="25:26" x14ac:dyDescent="0.25">
      <c r="Y3805" s="63">
        <v>46338</v>
      </c>
      <c r="Z3805" s="61">
        <f>_xll.qlYieldTSDiscount($U$35,Y3805,,Trigger)</f>
        <v>0.87194063347508644</v>
      </c>
    </row>
    <row r="3806" spans="25:26" x14ac:dyDescent="0.25">
      <c r="Y3806" s="63">
        <v>46339</v>
      </c>
      <c r="Z3806" s="61">
        <f>_xll.qlYieldTSDiscount($U$35,Y3806,,Trigger)</f>
        <v>0.8719046898042615</v>
      </c>
    </row>
    <row r="3807" spans="25:26" x14ac:dyDescent="0.25">
      <c r="Y3807" s="63">
        <v>46340</v>
      </c>
      <c r="Z3807" s="61">
        <f>_xll.qlYieldTSDiscount($U$35,Y3807,,Trigger)</f>
        <v>0.87186874941836623</v>
      </c>
    </row>
    <row r="3808" spans="25:26" x14ac:dyDescent="0.25">
      <c r="Y3808" s="63">
        <v>46341</v>
      </c>
      <c r="Z3808" s="61">
        <f>_xll.qlYieldTSDiscount($U$35,Y3808,,Trigger)</f>
        <v>0.87183281231500698</v>
      </c>
    </row>
    <row r="3809" spans="25:26" x14ac:dyDescent="0.25">
      <c r="Y3809" s="63">
        <v>46342</v>
      </c>
      <c r="Z3809" s="61">
        <f>_xll.qlYieldTSDiscount($U$35,Y3809,,Trigger)</f>
        <v>0.87179687849179044</v>
      </c>
    </row>
    <row r="3810" spans="25:26" x14ac:dyDescent="0.25">
      <c r="Y3810" s="63">
        <v>46343</v>
      </c>
      <c r="Z3810" s="61">
        <f>_xll.qlYieldTSDiscount($U$35,Y3810,,Trigger)</f>
        <v>0.87176094794632286</v>
      </c>
    </row>
    <row r="3811" spans="25:26" x14ac:dyDescent="0.25">
      <c r="Y3811" s="63">
        <v>46344</v>
      </c>
      <c r="Z3811" s="61">
        <f>_xll.qlYieldTSDiscount($U$35,Y3811,,Trigger)</f>
        <v>0.87172502067621094</v>
      </c>
    </row>
    <row r="3812" spans="25:26" x14ac:dyDescent="0.25">
      <c r="Y3812" s="63">
        <v>46345</v>
      </c>
      <c r="Z3812" s="61">
        <f>_xll.qlYieldTSDiscount($U$35,Y3812,,Trigger)</f>
        <v>0.87168909667906103</v>
      </c>
    </row>
    <row r="3813" spans="25:26" x14ac:dyDescent="0.25">
      <c r="Y3813" s="63">
        <v>46346</v>
      </c>
      <c r="Z3813" s="61">
        <f>_xll.qlYieldTSDiscount($U$35,Y3813,,Trigger)</f>
        <v>0.8716531759524796</v>
      </c>
    </row>
    <row r="3814" spans="25:26" x14ac:dyDescent="0.25">
      <c r="Y3814" s="63">
        <v>46347</v>
      </c>
      <c r="Z3814" s="61">
        <f>_xll.qlYieldTSDiscount($U$35,Y3814,,Trigger)</f>
        <v>0.87161725849407323</v>
      </c>
    </row>
    <row r="3815" spans="25:26" x14ac:dyDescent="0.25">
      <c r="Y3815" s="63">
        <v>46348</v>
      </c>
      <c r="Z3815" s="61">
        <f>_xll.qlYieldTSDiscount($U$35,Y3815,,Trigger)</f>
        <v>0.87158134430144829</v>
      </c>
    </row>
    <row r="3816" spans="25:26" x14ac:dyDescent="0.25">
      <c r="Y3816" s="63">
        <v>46349</v>
      </c>
      <c r="Z3816" s="61">
        <f>_xll.qlYieldTSDiscount($U$35,Y3816,,Trigger)</f>
        <v>0.87154543337221135</v>
      </c>
    </row>
    <row r="3817" spans="25:26" x14ac:dyDescent="0.25">
      <c r="Y3817" s="63">
        <v>46350</v>
      </c>
      <c r="Z3817" s="61">
        <f>_xll.qlYieldTSDiscount($U$35,Y3817,,Trigger)</f>
        <v>0.87150952570396889</v>
      </c>
    </row>
    <row r="3818" spans="25:26" x14ac:dyDescent="0.25">
      <c r="Y3818" s="63">
        <v>46351</v>
      </c>
      <c r="Z3818" s="61">
        <f>_xll.qlYieldTSDiscount($U$35,Y3818,,Trigger)</f>
        <v>0.87147362129432726</v>
      </c>
    </row>
    <row r="3819" spans="25:26" x14ac:dyDescent="0.25">
      <c r="Y3819" s="63">
        <v>46352</v>
      </c>
      <c r="Z3819" s="61">
        <f>_xll.qlYieldTSDiscount($U$35,Y3819,,Trigger)</f>
        <v>0.87143772014089305</v>
      </c>
    </row>
    <row r="3820" spans="25:26" x14ac:dyDescent="0.25">
      <c r="Y3820" s="63">
        <v>46353</v>
      </c>
      <c r="Z3820" s="61">
        <f>_xll.qlYieldTSDiscount($U$35,Y3820,,Trigger)</f>
        <v>0.87140182224127283</v>
      </c>
    </row>
    <row r="3821" spans="25:26" x14ac:dyDescent="0.25">
      <c r="Y3821" s="63">
        <v>46354</v>
      </c>
      <c r="Z3821" s="61">
        <f>_xll.qlYieldTSDiscount($U$35,Y3821,,Trigger)</f>
        <v>0.87136592759307285</v>
      </c>
    </row>
    <row r="3822" spans="25:26" x14ac:dyDescent="0.25">
      <c r="Y3822" s="63">
        <v>46355</v>
      </c>
      <c r="Z3822" s="61">
        <f>_xll.qlYieldTSDiscount($U$35,Y3822,,Trigger)</f>
        <v>0.8713300361938997</v>
      </c>
    </row>
    <row r="3823" spans="25:26" x14ac:dyDescent="0.25">
      <c r="Y3823" s="63">
        <v>46356</v>
      </c>
      <c r="Z3823" s="61">
        <f>_xll.qlYieldTSDiscount($U$35,Y3823,,Trigger)</f>
        <v>0.87129414804135996</v>
      </c>
    </row>
    <row r="3824" spans="25:26" x14ac:dyDescent="0.25">
      <c r="Y3824" s="63">
        <v>46357</v>
      </c>
      <c r="Z3824" s="61">
        <f>_xll.qlYieldTSDiscount($U$35,Y3824,,Trigger)</f>
        <v>0.87125826313305998</v>
      </c>
    </row>
    <row r="3825" spans="25:26" x14ac:dyDescent="0.25">
      <c r="Y3825" s="63">
        <v>46358</v>
      </c>
      <c r="Z3825" s="61">
        <f>_xll.qlYieldTSDiscount($U$35,Y3825,,Trigger)</f>
        <v>0.87122238146660635</v>
      </c>
    </row>
    <row r="3826" spans="25:26" x14ac:dyDescent="0.25">
      <c r="Y3826" s="63">
        <v>46359</v>
      </c>
      <c r="Z3826" s="61">
        <f>_xll.qlYieldTSDiscount($U$35,Y3826,,Trigger)</f>
        <v>0.87118650303960543</v>
      </c>
    </row>
    <row r="3827" spans="25:26" x14ac:dyDescent="0.25">
      <c r="Y3827" s="63">
        <v>46360</v>
      </c>
      <c r="Z3827" s="61">
        <f>_xll.qlYieldTSDiscount($U$35,Y3827,,Trigger)</f>
        <v>0.87115062784966368</v>
      </c>
    </row>
    <row r="3828" spans="25:26" x14ac:dyDescent="0.25">
      <c r="Y3828" s="63">
        <v>46361</v>
      </c>
      <c r="Z3828" s="61">
        <f>_xll.qlYieldTSDiscount($U$35,Y3828,,Trigger)</f>
        <v>0.8711147558943878</v>
      </c>
    </row>
    <row r="3829" spans="25:26" x14ac:dyDescent="0.25">
      <c r="Y3829" s="63">
        <v>46362</v>
      </c>
      <c r="Z3829" s="61">
        <f>_xll.qlYieldTSDiscount($U$35,Y3829,,Trigger)</f>
        <v>0.87107888717138404</v>
      </c>
    </row>
    <row r="3830" spans="25:26" x14ac:dyDescent="0.25">
      <c r="Y3830" s="63">
        <v>46363</v>
      </c>
      <c r="Z3830" s="61">
        <f>_xll.qlYieldTSDiscount($U$35,Y3830,,Trigger)</f>
        <v>0.87104302167825898</v>
      </c>
    </row>
    <row r="3831" spans="25:26" x14ac:dyDescent="0.25">
      <c r="Y3831" s="63">
        <v>46364</v>
      </c>
      <c r="Z3831" s="61">
        <f>_xll.qlYieldTSDiscount($U$35,Y3831,,Trigger)</f>
        <v>0.87100715941261908</v>
      </c>
    </row>
    <row r="3832" spans="25:26" x14ac:dyDescent="0.25">
      <c r="Y3832" s="63">
        <v>46365</v>
      </c>
      <c r="Z3832" s="61">
        <f>_xll.qlYieldTSDiscount($U$35,Y3832,,Trigger)</f>
        <v>0.87097130037207093</v>
      </c>
    </row>
    <row r="3833" spans="25:26" x14ac:dyDescent="0.25">
      <c r="Y3833" s="63">
        <v>46366</v>
      </c>
      <c r="Z3833" s="61">
        <f>_xll.qlYieldTSDiscount($U$35,Y3833,,Trigger)</f>
        <v>0.87093544455422078</v>
      </c>
    </row>
    <row r="3834" spans="25:26" x14ac:dyDescent="0.25">
      <c r="Y3834" s="63">
        <v>46367</v>
      </c>
      <c r="Z3834" s="61">
        <f>_xll.qlYieldTSDiscount($U$35,Y3834,,Trigger)</f>
        <v>0.87089959195667532</v>
      </c>
    </row>
    <row r="3835" spans="25:26" x14ac:dyDescent="0.25">
      <c r="Y3835" s="63">
        <v>46368</v>
      </c>
      <c r="Z3835" s="61">
        <f>_xll.qlYieldTSDiscount($U$35,Y3835,,Trigger)</f>
        <v>0.87086374257704091</v>
      </c>
    </row>
    <row r="3836" spans="25:26" x14ac:dyDescent="0.25">
      <c r="Y3836" s="63">
        <v>46369</v>
      </c>
      <c r="Z3836" s="61">
        <f>_xll.qlYieldTSDiscount($U$35,Y3836,,Trigger)</f>
        <v>0.87082789641292413</v>
      </c>
    </row>
    <row r="3837" spans="25:26" x14ac:dyDescent="0.25">
      <c r="Y3837" s="63">
        <v>46370</v>
      </c>
      <c r="Z3837" s="61">
        <f>_xll.qlYieldTSDiscount($U$35,Y3837,,Trigger)</f>
        <v>0.87079205346193134</v>
      </c>
    </row>
    <row r="3838" spans="25:26" x14ac:dyDescent="0.25">
      <c r="Y3838" s="63">
        <v>46371</v>
      </c>
      <c r="Z3838" s="61">
        <f>_xll.qlYieldTSDiscount($U$35,Y3838,,Trigger)</f>
        <v>0.87075621372166911</v>
      </c>
    </row>
    <row r="3839" spans="25:26" x14ac:dyDescent="0.25">
      <c r="Y3839" s="63">
        <v>46372</v>
      </c>
      <c r="Z3839" s="61">
        <f>_xll.qlYieldTSDiscount($U$35,Y3839,,Trigger)</f>
        <v>0.87072037718974393</v>
      </c>
    </row>
    <row r="3840" spans="25:26" x14ac:dyDescent="0.25">
      <c r="Y3840" s="63">
        <v>46373</v>
      </c>
      <c r="Z3840" s="61">
        <f>_xll.qlYieldTSDiscount($U$35,Y3840,,Trigger)</f>
        <v>0.87068454386376226</v>
      </c>
    </row>
    <row r="3841" spans="25:26" x14ac:dyDescent="0.25">
      <c r="Y3841" s="63">
        <v>46374</v>
      </c>
      <c r="Z3841" s="61">
        <f>_xll.qlYieldTSDiscount($U$35,Y3841,,Trigger)</f>
        <v>0.87064871374133046</v>
      </c>
    </row>
    <row r="3842" spans="25:26" x14ac:dyDescent="0.25">
      <c r="Y3842" s="63">
        <v>46375</v>
      </c>
      <c r="Z3842" s="61">
        <f>_xll.qlYieldTSDiscount($U$35,Y3842,,Trigger)</f>
        <v>0.87061288682005522</v>
      </c>
    </row>
    <row r="3843" spans="25:26" x14ac:dyDescent="0.25">
      <c r="Y3843" s="63">
        <v>46376</v>
      </c>
      <c r="Z3843" s="61">
        <f>_xll.qlYieldTSDiscount($U$35,Y3843,,Trigger)</f>
        <v>0.87057706309754279</v>
      </c>
    </row>
    <row r="3844" spans="25:26" x14ac:dyDescent="0.25">
      <c r="Y3844" s="63">
        <v>46377</v>
      </c>
      <c r="Z3844" s="61">
        <f>_xll.qlYieldTSDiscount($U$35,Y3844,,Trigger)</f>
        <v>0.87054124257139986</v>
      </c>
    </row>
    <row r="3845" spans="25:26" x14ac:dyDescent="0.25">
      <c r="Y3845" s="63">
        <v>46378</v>
      </c>
      <c r="Z3845" s="61">
        <f>_xll.qlYieldTSDiscount($U$35,Y3845,,Trigger)</f>
        <v>0.87050542523923291</v>
      </c>
    </row>
    <row r="3846" spans="25:26" x14ac:dyDescent="0.25">
      <c r="Y3846" s="63">
        <v>46379</v>
      </c>
      <c r="Z3846" s="61">
        <f>_xll.qlYieldTSDiscount($U$35,Y3846,,Trigger)</f>
        <v>0.87046961109864818</v>
      </c>
    </row>
    <row r="3847" spans="25:26" x14ac:dyDescent="0.25">
      <c r="Y3847" s="63">
        <v>46380</v>
      </c>
      <c r="Z3847" s="61">
        <f>_xll.qlYieldTSDiscount($U$35,Y3847,,Trigger)</f>
        <v>0.87043380014725247</v>
      </c>
    </row>
    <row r="3848" spans="25:26" x14ac:dyDescent="0.25">
      <c r="Y3848" s="63">
        <v>46381</v>
      </c>
      <c r="Z3848" s="61">
        <f>_xll.qlYieldTSDiscount($U$35,Y3848,,Trigger)</f>
        <v>0.87039799238265203</v>
      </c>
    </row>
    <row r="3849" spans="25:26" x14ac:dyDescent="0.25">
      <c r="Y3849" s="63">
        <v>46382</v>
      </c>
      <c r="Z3849" s="61">
        <f>_xll.qlYieldTSDiscount($U$35,Y3849,,Trigger)</f>
        <v>0.87036218780245334</v>
      </c>
    </row>
    <row r="3850" spans="25:26" x14ac:dyDescent="0.25">
      <c r="Y3850" s="63">
        <v>46383</v>
      </c>
      <c r="Z3850" s="61">
        <f>_xll.qlYieldTSDiscount($U$35,Y3850,,Trigger)</f>
        <v>0.87032638640426296</v>
      </c>
    </row>
    <row r="3851" spans="25:26" x14ac:dyDescent="0.25">
      <c r="Y3851" s="63">
        <v>46384</v>
      </c>
      <c r="Z3851" s="61">
        <f>_xll.qlYieldTSDiscount($U$35,Y3851,,Trigger)</f>
        <v>0.8702905881856875</v>
      </c>
    </row>
    <row r="3852" spans="25:26" x14ac:dyDescent="0.25">
      <c r="Y3852" s="63">
        <v>46385</v>
      </c>
      <c r="Z3852" s="61">
        <f>_xll.qlYieldTSDiscount($U$35,Y3852,,Trigger)</f>
        <v>0.87025479314433318</v>
      </c>
    </row>
    <row r="3853" spans="25:26" x14ac:dyDescent="0.25">
      <c r="Y3853" s="63">
        <v>46386</v>
      </c>
      <c r="Z3853" s="61">
        <f>_xll.qlYieldTSDiscount($U$35,Y3853,,Trigger)</f>
        <v>0.8702190012778066</v>
      </c>
    </row>
    <row r="3854" spans="25:26" x14ac:dyDescent="0.25">
      <c r="Y3854" s="63">
        <v>46387</v>
      </c>
      <c r="Z3854" s="61">
        <f>_xll.qlYieldTSDiscount($U$35,Y3854,,Trigger)</f>
        <v>0.87018321258371434</v>
      </c>
    </row>
    <row r="3855" spans="25:26" x14ac:dyDescent="0.25">
      <c r="Y3855" s="63">
        <v>46388</v>
      </c>
      <c r="Z3855" s="61">
        <f>_xll.qlYieldTSDiscount($U$35,Y3855,,Trigger)</f>
        <v>0.87014742705966264</v>
      </c>
    </row>
    <row r="3856" spans="25:26" x14ac:dyDescent="0.25">
      <c r="Y3856" s="63">
        <v>46389</v>
      </c>
      <c r="Z3856" s="61">
        <f>_xll.qlYieldTSDiscount($U$35,Y3856,,Trigger)</f>
        <v>0.87011164470325819</v>
      </c>
    </row>
    <row r="3857" spans="25:26" x14ac:dyDescent="0.25">
      <c r="Y3857" s="63">
        <v>46390</v>
      </c>
      <c r="Z3857" s="61">
        <f>_xll.qlYieldTSDiscount($U$35,Y3857,,Trigger)</f>
        <v>0.87007586551210747</v>
      </c>
    </row>
    <row r="3858" spans="25:26" x14ac:dyDescent="0.25">
      <c r="Y3858" s="63">
        <v>46391</v>
      </c>
      <c r="Z3858" s="61">
        <f>_xll.qlYieldTSDiscount($U$35,Y3858,,Trigger)</f>
        <v>0.87004008948381684</v>
      </c>
    </row>
    <row r="3859" spans="25:26" x14ac:dyDescent="0.25">
      <c r="Y3859" s="63">
        <v>46392</v>
      </c>
      <c r="Z3859" s="61">
        <f>_xll.qlYieldTSDiscount($U$35,Y3859,,Trigger)</f>
        <v>0.87000431661599287</v>
      </c>
    </row>
    <row r="3860" spans="25:26" x14ac:dyDescent="0.25">
      <c r="Y3860" s="63">
        <v>46393</v>
      </c>
      <c r="Z3860" s="61">
        <f>_xll.qlYieldTSDiscount($U$35,Y3860,,Trigger)</f>
        <v>0.86996854690624192</v>
      </c>
    </row>
    <row r="3861" spans="25:26" x14ac:dyDescent="0.25">
      <c r="Y3861" s="63">
        <v>46394</v>
      </c>
      <c r="Z3861" s="61">
        <f>_xll.qlYieldTSDiscount($U$35,Y3861,,Trigger)</f>
        <v>0.8699327803521707</v>
      </c>
    </row>
    <row r="3862" spans="25:26" x14ac:dyDescent="0.25">
      <c r="Y3862" s="63">
        <v>46395</v>
      </c>
      <c r="Z3862" s="61">
        <f>_xll.qlYieldTSDiscount($U$35,Y3862,,Trigger)</f>
        <v>0.86989701695138544</v>
      </c>
    </row>
    <row r="3863" spans="25:26" x14ac:dyDescent="0.25">
      <c r="Y3863" s="63">
        <v>46396</v>
      </c>
      <c r="Z3863" s="61">
        <f>_xll.qlYieldTSDiscount($U$35,Y3863,,Trigger)</f>
        <v>0.86986125670149272</v>
      </c>
    </row>
    <row r="3864" spans="25:26" x14ac:dyDescent="0.25">
      <c r="Y3864" s="63">
        <v>46397</v>
      </c>
      <c r="Z3864" s="61">
        <f>_xll.qlYieldTSDiscount($U$35,Y3864,,Trigger)</f>
        <v>0.86982549960009914</v>
      </c>
    </row>
    <row r="3865" spans="25:26" x14ac:dyDescent="0.25">
      <c r="Y3865" s="63">
        <v>46398</v>
      </c>
      <c r="Z3865" s="61">
        <f>_xll.qlYieldTSDiscount($U$35,Y3865,,Trigger)</f>
        <v>0.86978974564481104</v>
      </c>
    </row>
    <row r="3866" spans="25:26" x14ac:dyDescent="0.25">
      <c r="Y3866" s="63">
        <v>46399</v>
      </c>
      <c r="Z3866" s="61">
        <f>_xll.qlYieldTSDiscount($U$35,Y3866,,Trigger)</f>
        <v>0.8697539948332349</v>
      </c>
    </row>
    <row r="3867" spans="25:26" x14ac:dyDescent="0.25">
      <c r="Y3867" s="63">
        <v>46400</v>
      </c>
      <c r="Z3867" s="61">
        <f>_xll.qlYieldTSDiscount($U$35,Y3867,,Trigger)</f>
        <v>0.86971824716297719</v>
      </c>
    </row>
    <row r="3868" spans="25:26" x14ac:dyDescent="0.25">
      <c r="Y3868" s="63">
        <v>46401</v>
      </c>
      <c r="Z3868" s="61">
        <f>_xll.qlYieldTSDiscount($U$35,Y3868,,Trigger)</f>
        <v>0.86968250263164448</v>
      </c>
    </row>
    <row r="3869" spans="25:26" x14ac:dyDescent="0.25">
      <c r="Y3869" s="63">
        <v>46402</v>
      </c>
      <c r="Z3869" s="61">
        <f>_xll.qlYieldTSDiscount($U$35,Y3869,,Trigger)</f>
        <v>0.86964676123684315</v>
      </c>
    </row>
    <row r="3870" spans="25:26" x14ac:dyDescent="0.25">
      <c r="Y3870" s="63">
        <v>46403</v>
      </c>
      <c r="Z3870" s="61">
        <f>_xll.qlYieldTSDiscount($U$35,Y3870,,Trigger)</f>
        <v>0.86961102297617976</v>
      </c>
    </row>
    <row r="3871" spans="25:26" x14ac:dyDescent="0.25">
      <c r="Y3871" s="63">
        <v>46404</v>
      </c>
      <c r="Z3871" s="61">
        <f>_xll.qlYieldTSDiscount($U$35,Y3871,,Trigger)</f>
        <v>0.86957528784726079</v>
      </c>
    </row>
    <row r="3872" spans="25:26" x14ac:dyDescent="0.25">
      <c r="Y3872" s="63">
        <v>46405</v>
      </c>
      <c r="Z3872" s="61">
        <f>_xll.qlYieldTSDiscount($U$35,Y3872,,Trigger)</f>
        <v>0.86953955584769271</v>
      </c>
    </row>
    <row r="3873" spans="25:26" x14ac:dyDescent="0.25">
      <c r="Y3873" s="63">
        <v>46406</v>
      </c>
      <c r="Z3873" s="61">
        <f>_xll.qlYieldTSDiscount($U$35,Y3873,,Trigger)</f>
        <v>0.86950382697508199</v>
      </c>
    </row>
    <row r="3874" spans="25:26" x14ac:dyDescent="0.25">
      <c r="Y3874" s="63">
        <v>46407</v>
      </c>
      <c r="Z3874" s="61">
        <f>_xll.qlYieldTSDiscount($U$35,Y3874,,Trigger)</f>
        <v>0.869468101227035</v>
      </c>
    </row>
    <row r="3875" spans="25:26" x14ac:dyDescent="0.25">
      <c r="Y3875" s="63">
        <v>46408</v>
      </c>
      <c r="Z3875" s="61">
        <f>_xll.qlYieldTSDiscount($U$35,Y3875,,Trigger)</f>
        <v>0.86943237860115841</v>
      </c>
    </row>
    <row r="3876" spans="25:26" x14ac:dyDescent="0.25">
      <c r="Y3876" s="63">
        <v>46409</v>
      </c>
      <c r="Z3876" s="61">
        <f>_xll.qlYieldTSDiscount($U$35,Y3876,,Trigger)</f>
        <v>0.86939665909505859</v>
      </c>
    </row>
    <row r="3877" spans="25:26" x14ac:dyDescent="0.25">
      <c r="Y3877" s="63">
        <v>46410</v>
      </c>
      <c r="Z3877" s="61">
        <f>_xll.qlYieldTSDiscount($U$35,Y3877,,Trigger)</f>
        <v>0.86936094270634212</v>
      </c>
    </row>
    <row r="3878" spans="25:26" x14ac:dyDescent="0.25">
      <c r="Y3878" s="63">
        <v>46411</v>
      </c>
      <c r="Z3878" s="61">
        <f>_xll.qlYieldTSDiscount($U$35,Y3878,,Trigger)</f>
        <v>0.86932522943261537</v>
      </c>
    </row>
    <row r="3879" spans="25:26" x14ac:dyDescent="0.25">
      <c r="Y3879" s="63">
        <v>46412</v>
      </c>
      <c r="Z3879" s="61">
        <f>_xll.qlYieldTSDiscount($U$35,Y3879,,Trigger)</f>
        <v>0.86928951927148479</v>
      </c>
    </row>
    <row r="3880" spans="25:26" x14ac:dyDescent="0.25">
      <c r="Y3880" s="63">
        <v>46413</v>
      </c>
      <c r="Z3880" s="61">
        <f>_xll.qlYieldTSDiscount($U$35,Y3880,,Trigger)</f>
        <v>0.86925381222055698</v>
      </c>
    </row>
    <row r="3881" spans="25:26" x14ac:dyDescent="0.25">
      <c r="Y3881" s="63">
        <v>46414</v>
      </c>
      <c r="Z3881" s="61">
        <f>_xll.qlYieldTSDiscount($U$35,Y3881,,Trigger)</f>
        <v>0.86921810827743839</v>
      </c>
    </row>
    <row r="3882" spans="25:26" x14ac:dyDescent="0.25">
      <c r="Y3882" s="63">
        <v>46415</v>
      </c>
      <c r="Z3882" s="61">
        <f>_xll.qlYieldTSDiscount($U$35,Y3882,,Trigger)</f>
        <v>0.86918240743973552</v>
      </c>
    </row>
    <row r="3883" spans="25:26" x14ac:dyDescent="0.25">
      <c r="Y3883" s="63">
        <v>46416</v>
      </c>
      <c r="Z3883" s="61">
        <f>_xll.qlYieldTSDiscount($U$35,Y3883,,Trigger)</f>
        <v>0.8691467097050547</v>
      </c>
    </row>
    <row r="3884" spans="25:26" x14ac:dyDescent="0.25">
      <c r="Y3884" s="63">
        <v>46417</v>
      </c>
      <c r="Z3884" s="61">
        <f>_xll.qlYieldTSDiscount($U$35,Y3884,,Trigger)</f>
        <v>0.86911101507100263</v>
      </c>
    </row>
    <row r="3885" spans="25:26" x14ac:dyDescent="0.25">
      <c r="Y3885" s="63">
        <v>46418</v>
      </c>
      <c r="Z3885" s="61">
        <f>_xll.qlYieldTSDiscount($U$35,Y3885,,Trigger)</f>
        <v>0.86907532353518568</v>
      </c>
    </row>
    <row r="3886" spans="25:26" x14ac:dyDescent="0.25">
      <c r="Y3886" s="63">
        <v>46419</v>
      </c>
      <c r="Z3886" s="61">
        <f>_xll.qlYieldTSDiscount($U$35,Y3886,,Trigger)</f>
        <v>0.86903963509521021</v>
      </c>
    </row>
    <row r="3887" spans="25:26" x14ac:dyDescent="0.25">
      <c r="Y3887" s="63">
        <v>46420</v>
      </c>
      <c r="Z3887" s="61">
        <f>_xll.qlYieldTSDiscount($U$35,Y3887,,Trigger)</f>
        <v>0.86900394974868289</v>
      </c>
    </row>
    <row r="3888" spans="25:26" x14ac:dyDescent="0.25">
      <c r="Y3888" s="63">
        <v>46421</v>
      </c>
      <c r="Z3888" s="61">
        <f>_xll.qlYieldTSDiscount($U$35,Y3888,,Trigger)</f>
        <v>0.86896826749321021</v>
      </c>
    </row>
    <row r="3889" spans="25:26" x14ac:dyDescent="0.25">
      <c r="Y3889" s="63">
        <v>46422</v>
      </c>
      <c r="Z3889" s="61">
        <f>_xll.qlYieldTSDiscount($U$35,Y3889,,Trigger)</f>
        <v>0.86893258832639853</v>
      </c>
    </row>
    <row r="3890" spans="25:26" x14ac:dyDescent="0.25">
      <c r="Y3890" s="63">
        <v>46423</v>
      </c>
      <c r="Z3890" s="61">
        <f>_xll.qlYieldTSDiscount($U$35,Y3890,,Trigger)</f>
        <v>0.8688969122458543</v>
      </c>
    </row>
    <row r="3891" spans="25:26" x14ac:dyDescent="0.25">
      <c r="Y3891" s="63">
        <v>46424</v>
      </c>
      <c r="Z3891" s="61">
        <f>_xll.qlYieldTSDiscount($U$35,Y3891,,Trigger)</f>
        <v>0.86886123924918413</v>
      </c>
    </row>
    <row r="3892" spans="25:26" x14ac:dyDescent="0.25">
      <c r="Y3892" s="63">
        <v>46425</v>
      </c>
      <c r="Z3892" s="61">
        <f>_xll.qlYieldTSDiscount($U$35,Y3892,,Trigger)</f>
        <v>0.86882556933399446</v>
      </c>
    </row>
    <row r="3893" spans="25:26" x14ac:dyDescent="0.25">
      <c r="Y3893" s="63">
        <v>46426</v>
      </c>
      <c r="Z3893" s="61">
        <f>_xll.qlYieldTSDiscount($U$35,Y3893,,Trigger)</f>
        <v>0.86878990249789179</v>
      </c>
    </row>
    <row r="3894" spans="25:26" x14ac:dyDescent="0.25">
      <c r="Y3894" s="63">
        <v>46427</v>
      </c>
      <c r="Z3894" s="61">
        <f>_xll.qlYieldTSDiscount($U$35,Y3894,,Trigger)</f>
        <v>0.86875423873848256</v>
      </c>
    </row>
    <row r="3895" spans="25:26" x14ac:dyDescent="0.25">
      <c r="Y3895" s="63">
        <v>46428</v>
      </c>
      <c r="Z3895" s="61">
        <f>_xll.qlYieldTSDiscount($U$35,Y3895,,Trigger)</f>
        <v>0.86871857805337316</v>
      </c>
    </row>
    <row r="3896" spans="25:26" x14ac:dyDescent="0.25">
      <c r="Y3896" s="63">
        <v>46429</v>
      </c>
      <c r="Z3896" s="61">
        <f>_xll.qlYieldTSDiscount($U$35,Y3896,,Trigger)</f>
        <v>0.86868292044017026</v>
      </c>
    </row>
    <row r="3897" spans="25:26" x14ac:dyDescent="0.25">
      <c r="Y3897" s="63">
        <v>46430</v>
      </c>
      <c r="Z3897" s="61">
        <f>_xll.qlYieldTSDiscount($U$35,Y3897,,Trigger)</f>
        <v>0.86864726589648023</v>
      </c>
    </row>
    <row r="3898" spans="25:26" x14ac:dyDescent="0.25">
      <c r="Y3898" s="63">
        <v>46431</v>
      </c>
      <c r="Z3898" s="61">
        <f>_xll.qlYieldTSDiscount($U$35,Y3898,,Trigger)</f>
        <v>0.86861161441990964</v>
      </c>
    </row>
    <row r="3899" spans="25:26" x14ac:dyDescent="0.25">
      <c r="Y3899" s="63">
        <v>46432</v>
      </c>
      <c r="Z3899" s="61">
        <f>_xll.qlYieldTSDiscount($U$35,Y3899,,Trigger)</f>
        <v>0.86857596600806475</v>
      </c>
    </row>
    <row r="3900" spans="25:26" x14ac:dyDescent="0.25">
      <c r="Y3900" s="63">
        <v>46433</v>
      </c>
      <c r="Z3900" s="61">
        <f>_xll.qlYieldTSDiscount($U$35,Y3900,,Trigger)</f>
        <v>0.86854032065855225</v>
      </c>
    </row>
    <row r="3901" spans="25:26" x14ac:dyDescent="0.25">
      <c r="Y3901" s="63">
        <v>46434</v>
      </c>
      <c r="Z3901" s="61">
        <f>_xll.qlYieldTSDiscount($U$35,Y3901,,Trigger)</f>
        <v>0.8685046783689786</v>
      </c>
    </row>
    <row r="3902" spans="25:26" x14ac:dyDescent="0.25">
      <c r="Y3902" s="63">
        <v>46435</v>
      </c>
      <c r="Z3902" s="61">
        <f>_xll.qlYieldTSDiscount($U$35,Y3902,,Trigger)</f>
        <v>0.86846903913695028</v>
      </c>
    </row>
    <row r="3903" spans="25:26" x14ac:dyDescent="0.25">
      <c r="Y3903" s="63">
        <v>46436</v>
      </c>
      <c r="Z3903" s="61">
        <f>_xll.qlYieldTSDiscount($U$35,Y3903,,Trigger)</f>
        <v>0.86843340296007365</v>
      </c>
    </row>
    <row r="3904" spans="25:26" x14ac:dyDescent="0.25">
      <c r="Y3904" s="63">
        <v>46437</v>
      </c>
      <c r="Z3904" s="61">
        <f>_xll.qlYieldTSDiscount($U$35,Y3904,,Trigger)</f>
        <v>0.86839776983595529</v>
      </c>
    </row>
    <row r="3905" spans="25:26" x14ac:dyDescent="0.25">
      <c r="Y3905" s="63">
        <v>46438</v>
      </c>
      <c r="Z3905" s="61">
        <f>_xll.qlYieldTSDiscount($U$35,Y3905,,Trigger)</f>
        <v>0.86836213976220167</v>
      </c>
    </row>
    <row r="3906" spans="25:26" x14ac:dyDescent="0.25">
      <c r="Y3906" s="63">
        <v>46439</v>
      </c>
      <c r="Z3906" s="61">
        <f>_xll.qlYieldTSDiscount($U$35,Y3906,,Trigger)</f>
        <v>0.86832651273641936</v>
      </c>
    </row>
    <row r="3907" spans="25:26" x14ac:dyDescent="0.25">
      <c r="Y3907" s="63">
        <v>46440</v>
      </c>
      <c r="Z3907" s="61">
        <f>_xll.qlYieldTSDiscount($U$35,Y3907,,Trigger)</f>
        <v>0.86829088875621463</v>
      </c>
    </row>
    <row r="3908" spans="25:26" x14ac:dyDescent="0.25">
      <c r="Y3908" s="63">
        <v>46441</v>
      </c>
      <c r="Z3908" s="61">
        <f>_xll.qlYieldTSDiscount($U$35,Y3908,,Trigger)</f>
        <v>0.86825526781919415</v>
      </c>
    </row>
    <row r="3909" spans="25:26" x14ac:dyDescent="0.25">
      <c r="Y3909" s="63">
        <v>46442</v>
      </c>
      <c r="Z3909" s="61">
        <f>_xll.qlYieldTSDiscount($U$35,Y3909,,Trigger)</f>
        <v>0.8682196499229643</v>
      </c>
    </row>
    <row r="3910" spans="25:26" x14ac:dyDescent="0.25">
      <c r="Y3910" s="63">
        <v>46443</v>
      </c>
      <c r="Z3910" s="61">
        <f>_xll.qlYieldTSDiscount($U$35,Y3910,,Trigger)</f>
        <v>0.86818403506513153</v>
      </c>
    </row>
    <row r="3911" spans="25:26" x14ac:dyDescent="0.25">
      <c r="Y3911" s="63">
        <v>46444</v>
      </c>
      <c r="Z3911" s="61">
        <f>_xll.qlYieldTSDiscount($U$35,Y3911,,Trigger)</f>
        <v>0.86814842324330244</v>
      </c>
    </row>
    <row r="3912" spans="25:26" x14ac:dyDescent="0.25">
      <c r="Y3912" s="63">
        <v>46445</v>
      </c>
      <c r="Z3912" s="61">
        <f>_xll.qlYieldTSDiscount($U$35,Y3912,,Trigger)</f>
        <v>0.86811281445508348</v>
      </c>
    </row>
    <row r="3913" spans="25:26" x14ac:dyDescent="0.25">
      <c r="Y3913" s="63">
        <v>46446</v>
      </c>
      <c r="Z3913" s="61">
        <f>_xll.qlYieldTSDiscount($U$35,Y3913,,Trigger)</f>
        <v>0.86807720869808103</v>
      </c>
    </row>
    <row r="3914" spans="25:26" x14ac:dyDescent="0.25">
      <c r="Y3914" s="63">
        <v>46447</v>
      </c>
      <c r="Z3914" s="61">
        <f>_xll.qlYieldTSDiscount($U$35,Y3914,,Trigger)</f>
        <v>0.86804160596990165</v>
      </c>
    </row>
    <row r="3915" spans="25:26" x14ac:dyDescent="0.25">
      <c r="Y3915" s="63">
        <v>46448</v>
      </c>
      <c r="Z3915" s="61">
        <f>_xll.qlYieldTSDiscount($U$35,Y3915,,Trigger)</f>
        <v>0.86800600626815183</v>
      </c>
    </row>
    <row r="3916" spans="25:26" x14ac:dyDescent="0.25">
      <c r="Y3916" s="63">
        <v>46449</v>
      </c>
      <c r="Z3916" s="61">
        <f>_xll.qlYieldTSDiscount($U$35,Y3916,,Trigger)</f>
        <v>0.86797040959043803</v>
      </c>
    </row>
    <row r="3917" spans="25:26" x14ac:dyDescent="0.25">
      <c r="Y3917" s="63">
        <v>46450</v>
      </c>
      <c r="Z3917" s="61">
        <f>_xll.qlYieldTSDiscount($U$35,Y3917,,Trigger)</f>
        <v>0.86793481593436672</v>
      </c>
    </row>
    <row r="3918" spans="25:26" x14ac:dyDescent="0.25">
      <c r="Y3918" s="63">
        <v>46451</v>
      </c>
      <c r="Z3918" s="61">
        <f>_xll.qlYieldTSDiscount($U$35,Y3918,,Trigger)</f>
        <v>0.86789922529754449</v>
      </c>
    </row>
    <row r="3919" spans="25:26" x14ac:dyDescent="0.25">
      <c r="Y3919" s="63">
        <v>46452</v>
      </c>
      <c r="Z3919" s="61">
        <f>_xll.qlYieldTSDiscount($U$35,Y3919,,Trigger)</f>
        <v>0.86786363767757757</v>
      </c>
    </row>
    <row r="3920" spans="25:26" x14ac:dyDescent="0.25">
      <c r="Y3920" s="63">
        <v>46453</v>
      </c>
      <c r="Z3920" s="61">
        <f>_xll.qlYieldTSDiscount($U$35,Y3920,,Trigger)</f>
        <v>0.86782805307207267</v>
      </c>
    </row>
    <row r="3921" spans="25:26" x14ac:dyDescent="0.25">
      <c r="Y3921" s="63">
        <v>46454</v>
      </c>
      <c r="Z3921" s="61">
        <f>_xll.qlYieldTSDiscount($U$35,Y3921,,Trigger)</f>
        <v>0.86779247147863625</v>
      </c>
    </row>
    <row r="3922" spans="25:26" x14ac:dyDescent="0.25">
      <c r="Y3922" s="63">
        <v>46455</v>
      </c>
      <c r="Z3922" s="61">
        <f>_xll.qlYieldTSDiscount($U$35,Y3922,,Trigger)</f>
        <v>0.86775689289487468</v>
      </c>
    </row>
    <row r="3923" spans="25:26" x14ac:dyDescent="0.25">
      <c r="Y3923" s="63">
        <v>46456</v>
      </c>
      <c r="Z3923" s="61">
        <f>_xll.qlYieldTSDiscount($U$35,Y3923,,Trigger)</f>
        <v>0.86772131731839452</v>
      </c>
    </row>
    <row r="3924" spans="25:26" x14ac:dyDescent="0.25">
      <c r="Y3924" s="63">
        <v>46457</v>
      </c>
      <c r="Z3924" s="61">
        <f>_xll.qlYieldTSDiscount($U$35,Y3924,,Trigger)</f>
        <v>0.86768574474680216</v>
      </c>
    </row>
    <row r="3925" spans="25:26" x14ac:dyDescent="0.25">
      <c r="Y3925" s="63">
        <v>46458</v>
      </c>
      <c r="Z3925" s="61">
        <f>_xll.qlYieldTSDiscount($U$35,Y3925,,Trigger)</f>
        <v>0.86765017517770415</v>
      </c>
    </row>
    <row r="3926" spans="25:26" x14ac:dyDescent="0.25">
      <c r="Y3926" s="63">
        <v>46459</v>
      </c>
      <c r="Z3926" s="61">
        <f>_xll.qlYieldTSDiscount($U$35,Y3926,,Trigger)</f>
        <v>0.86761460860870709</v>
      </c>
    </row>
    <row r="3927" spans="25:26" x14ac:dyDescent="0.25">
      <c r="Y3927" s="63">
        <v>46460</v>
      </c>
      <c r="Z3927" s="61">
        <f>_xll.qlYieldTSDiscount($U$35,Y3927,,Trigger)</f>
        <v>0.86757904503741723</v>
      </c>
    </row>
    <row r="3928" spans="25:26" x14ac:dyDescent="0.25">
      <c r="Y3928" s="63">
        <v>46461</v>
      </c>
      <c r="Z3928" s="61">
        <f>_xll.qlYieldTSDiscount($U$35,Y3928,,Trigger)</f>
        <v>0.86754348446144114</v>
      </c>
    </row>
    <row r="3929" spans="25:26" x14ac:dyDescent="0.25">
      <c r="Y3929" s="63">
        <v>46462</v>
      </c>
      <c r="Z3929" s="61">
        <f>_xll.qlYieldTSDiscount($U$35,Y3929,,Trigger)</f>
        <v>0.8675079268783854</v>
      </c>
    </row>
    <row r="3930" spans="25:26" x14ac:dyDescent="0.25">
      <c r="Y3930" s="63">
        <v>46463</v>
      </c>
      <c r="Z3930" s="61">
        <f>_xll.qlYieldTSDiscount($U$35,Y3930,,Trigger)</f>
        <v>0.86747237228585639</v>
      </c>
    </row>
    <row r="3931" spans="25:26" x14ac:dyDescent="0.25">
      <c r="Y3931" s="63">
        <v>46464</v>
      </c>
      <c r="Z3931" s="61">
        <f>_xll.qlYieldTSDiscount($U$35,Y3931,,Trigger)</f>
        <v>0.86743682068146066</v>
      </c>
    </row>
    <row r="3932" spans="25:26" x14ac:dyDescent="0.25">
      <c r="Y3932" s="63">
        <v>46465</v>
      </c>
      <c r="Z3932" s="61">
        <f>_xll.qlYieldTSDiscount($U$35,Y3932,,Trigger)</f>
        <v>0.86740127206280448</v>
      </c>
    </row>
    <row r="3933" spans="25:26" x14ac:dyDescent="0.25">
      <c r="Y3933" s="63">
        <v>46466</v>
      </c>
      <c r="Z3933" s="61">
        <f>_xll.qlYieldTSDiscount($U$35,Y3933,,Trigger)</f>
        <v>0.86736572642749465</v>
      </c>
    </row>
    <row r="3934" spans="25:26" x14ac:dyDescent="0.25">
      <c r="Y3934" s="63">
        <v>46467</v>
      </c>
      <c r="Z3934" s="61">
        <f>_xll.qlYieldTSDiscount($U$35,Y3934,,Trigger)</f>
        <v>0.86733018377313742</v>
      </c>
    </row>
    <row r="3935" spans="25:26" x14ac:dyDescent="0.25">
      <c r="Y3935" s="63">
        <v>46468</v>
      </c>
      <c r="Z3935" s="61">
        <f>_xll.qlYieldTSDiscount($U$35,Y3935,,Trigger)</f>
        <v>0.86729464409733936</v>
      </c>
    </row>
    <row r="3936" spans="25:26" x14ac:dyDescent="0.25">
      <c r="Y3936" s="63">
        <v>46469</v>
      </c>
      <c r="Z3936" s="61">
        <f>_xll.qlYieldTSDiscount($U$35,Y3936,,Trigger)</f>
        <v>0.86725910739770695</v>
      </c>
    </row>
    <row r="3937" spans="25:26" x14ac:dyDescent="0.25">
      <c r="Y3937" s="63">
        <v>46470</v>
      </c>
      <c r="Z3937" s="61">
        <f>_xll.qlYieldTSDiscount($U$35,Y3937,,Trigger)</f>
        <v>0.86722357367184666</v>
      </c>
    </row>
    <row r="3938" spans="25:26" x14ac:dyDescent="0.25">
      <c r="Y3938" s="63">
        <v>46471</v>
      </c>
      <c r="Z3938" s="61">
        <f>_xll.qlYieldTSDiscount($U$35,Y3938,,Trigger)</f>
        <v>0.86718804291736495</v>
      </c>
    </row>
    <row r="3939" spans="25:26" x14ac:dyDescent="0.25">
      <c r="Y3939" s="63">
        <v>46472</v>
      </c>
      <c r="Z3939" s="61">
        <f>_xll.qlYieldTSDiscount($U$35,Y3939,,Trigger)</f>
        <v>0.86715251513186831</v>
      </c>
    </row>
    <row r="3940" spans="25:26" x14ac:dyDescent="0.25">
      <c r="Y3940" s="63">
        <v>46473</v>
      </c>
      <c r="Z3940" s="61">
        <f>_xll.qlYieldTSDiscount($U$35,Y3940,,Trigger)</f>
        <v>0.86711699031296319</v>
      </c>
    </row>
    <row r="3941" spans="25:26" x14ac:dyDescent="0.25">
      <c r="Y3941" s="63">
        <v>46474</v>
      </c>
      <c r="Z3941" s="61">
        <f>_xll.qlYieldTSDiscount($U$35,Y3941,,Trigger)</f>
        <v>0.86708146845825618</v>
      </c>
    </row>
    <row r="3942" spans="25:26" x14ac:dyDescent="0.25">
      <c r="Y3942" s="63">
        <v>46475</v>
      </c>
      <c r="Z3942" s="61">
        <f>_xll.qlYieldTSDiscount($U$35,Y3942,,Trigger)</f>
        <v>0.86704594956535364</v>
      </c>
    </row>
    <row r="3943" spans="25:26" x14ac:dyDescent="0.25">
      <c r="Y3943" s="63">
        <v>46476</v>
      </c>
      <c r="Z3943" s="61">
        <f>_xll.qlYieldTSDiscount($U$35,Y3943,,Trigger)</f>
        <v>0.86701043363186214</v>
      </c>
    </row>
    <row r="3944" spans="25:26" x14ac:dyDescent="0.25">
      <c r="Y3944" s="63">
        <v>46477</v>
      </c>
      <c r="Z3944" s="61">
        <f>_xll.qlYieldTSDiscount($U$35,Y3944,,Trigger)</f>
        <v>0.86697492065538806</v>
      </c>
    </row>
    <row r="3945" spans="25:26" x14ac:dyDescent="0.25">
      <c r="Y3945" s="63">
        <v>46478</v>
      </c>
      <c r="Z3945" s="61">
        <f>_xll.qlYieldTSDiscount($U$35,Y3945,,Trigger)</f>
        <v>0.86693941063353797</v>
      </c>
    </row>
    <row r="3946" spans="25:26" x14ac:dyDescent="0.25">
      <c r="Y3946" s="63">
        <v>46479</v>
      </c>
      <c r="Z3946" s="61">
        <f>_xll.qlYieldTSDiscount($U$35,Y3946,,Trigger)</f>
        <v>0.86690390356391833</v>
      </c>
    </row>
    <row r="3947" spans="25:26" x14ac:dyDescent="0.25">
      <c r="Y3947" s="63">
        <v>46480</v>
      </c>
      <c r="Z3947" s="61">
        <f>_xll.qlYieldTSDiscount($U$35,Y3947,,Trigger)</f>
        <v>0.86686839944413563</v>
      </c>
    </row>
    <row r="3948" spans="25:26" x14ac:dyDescent="0.25">
      <c r="Y3948" s="63">
        <v>46481</v>
      </c>
      <c r="Z3948" s="61">
        <f>_xll.qlYieldTSDiscount($U$35,Y3948,,Trigger)</f>
        <v>0.86683289827179633</v>
      </c>
    </row>
    <row r="3949" spans="25:26" x14ac:dyDescent="0.25">
      <c r="Y3949" s="63">
        <v>46482</v>
      </c>
      <c r="Z3949" s="61">
        <f>_xll.qlYieldTSDiscount($U$35,Y3949,,Trigger)</f>
        <v>0.86679740004450689</v>
      </c>
    </row>
    <row r="3950" spans="25:26" x14ac:dyDescent="0.25">
      <c r="Y3950" s="63">
        <v>46483</v>
      </c>
      <c r="Z3950" s="61">
        <f>_xll.qlYieldTSDiscount($U$35,Y3950,,Trigger)</f>
        <v>0.8667619047598738</v>
      </c>
    </row>
    <row r="3951" spans="25:26" x14ac:dyDescent="0.25">
      <c r="Y3951" s="63">
        <v>46484</v>
      </c>
      <c r="Z3951" s="61">
        <f>_xll.qlYieldTSDiscount($U$35,Y3951,,Trigger)</f>
        <v>0.86672641241550363</v>
      </c>
    </row>
    <row r="3952" spans="25:26" x14ac:dyDescent="0.25">
      <c r="Y3952" s="63">
        <v>46485</v>
      </c>
      <c r="Z3952" s="61">
        <f>_xll.qlYieldTSDiscount($U$35,Y3952,,Trigger)</f>
        <v>0.86669092300900274</v>
      </c>
    </row>
    <row r="3953" spans="25:26" x14ac:dyDescent="0.25">
      <c r="Y3953" s="63">
        <v>46486</v>
      </c>
      <c r="Z3953" s="61">
        <f>_xll.qlYieldTSDiscount($U$35,Y3953,,Trigger)</f>
        <v>0.86665543653797761</v>
      </c>
    </row>
    <row r="3954" spans="25:26" x14ac:dyDescent="0.25">
      <c r="Y3954" s="63">
        <v>46487</v>
      </c>
      <c r="Z3954" s="61">
        <f>_xll.qlYieldTSDiscount($U$35,Y3954,,Trigger)</f>
        <v>0.8666199530000348</v>
      </c>
    </row>
    <row r="3955" spans="25:26" x14ac:dyDescent="0.25">
      <c r="Y3955" s="63">
        <v>46488</v>
      </c>
      <c r="Z3955" s="61">
        <f>_xll.qlYieldTSDiscount($U$35,Y3955,,Trigger)</f>
        <v>0.86658447239278069</v>
      </c>
    </row>
    <row r="3956" spans="25:26" x14ac:dyDescent="0.25">
      <c r="Y3956" s="63">
        <v>46489</v>
      </c>
      <c r="Z3956" s="61">
        <f>_xll.qlYieldTSDiscount($U$35,Y3956,,Trigger)</f>
        <v>0.86654899471382196</v>
      </c>
    </row>
    <row r="3957" spans="25:26" x14ac:dyDescent="0.25">
      <c r="Y3957" s="63">
        <v>46490</v>
      </c>
      <c r="Z3957" s="61">
        <f>_xll.qlYieldTSDiscount($U$35,Y3957,,Trigger)</f>
        <v>0.86651351996076487</v>
      </c>
    </row>
    <row r="3958" spans="25:26" x14ac:dyDescent="0.25">
      <c r="Y3958" s="63">
        <v>46491</v>
      </c>
      <c r="Z3958" s="61">
        <f>_xll.qlYieldTSDiscount($U$35,Y3958,,Trigger)</f>
        <v>0.86647804813121598</v>
      </c>
    </row>
    <row r="3959" spans="25:26" x14ac:dyDescent="0.25">
      <c r="Y3959" s="63">
        <v>46492</v>
      </c>
      <c r="Z3959" s="61">
        <f>_xll.qlYieldTSDiscount($U$35,Y3959,,Trigger)</f>
        <v>0.86644257922278178</v>
      </c>
    </row>
    <row r="3960" spans="25:26" x14ac:dyDescent="0.25">
      <c r="Y3960" s="63">
        <v>46493</v>
      </c>
      <c r="Z3960" s="61">
        <f>_xll.qlYieldTSDiscount($U$35,Y3960,,Trigger)</f>
        <v>0.86640711323306885</v>
      </c>
    </row>
    <row r="3961" spans="25:26" x14ac:dyDescent="0.25">
      <c r="Y3961" s="63">
        <v>46494</v>
      </c>
      <c r="Z3961" s="61">
        <f>_xll.qlYieldTSDiscount($U$35,Y3961,,Trigger)</f>
        <v>0.86637165015968343</v>
      </c>
    </row>
    <row r="3962" spans="25:26" x14ac:dyDescent="0.25">
      <c r="Y3962" s="63">
        <v>46495</v>
      </c>
      <c r="Z3962" s="61">
        <f>_xll.qlYieldTSDiscount($U$35,Y3962,,Trigger)</f>
        <v>0.86633619000023221</v>
      </c>
    </row>
    <row r="3963" spans="25:26" x14ac:dyDescent="0.25">
      <c r="Y3963" s="63">
        <v>46496</v>
      </c>
      <c r="Z3963" s="61">
        <f>_xll.qlYieldTSDiscount($U$35,Y3963,,Trigger)</f>
        <v>0.86630073275232156</v>
      </c>
    </row>
    <row r="3964" spans="25:26" x14ac:dyDescent="0.25">
      <c r="Y3964" s="63">
        <v>46497</v>
      </c>
      <c r="Z3964" s="61">
        <f>_xll.qlYieldTSDiscount($U$35,Y3964,,Trigger)</f>
        <v>0.86626527841355805</v>
      </c>
    </row>
    <row r="3965" spans="25:26" x14ac:dyDescent="0.25">
      <c r="Y3965" s="63">
        <v>46498</v>
      </c>
      <c r="Z3965" s="61">
        <f>_xll.qlYieldTSDiscount($U$35,Y3965,,Trigger)</f>
        <v>0.86622982698154816</v>
      </c>
    </row>
    <row r="3966" spans="25:26" x14ac:dyDescent="0.25">
      <c r="Y3966" s="63">
        <v>46499</v>
      </c>
      <c r="Z3966" s="61">
        <f>_xll.qlYieldTSDiscount($U$35,Y3966,,Trigger)</f>
        <v>0.86619437845389824</v>
      </c>
    </row>
    <row r="3967" spans="25:26" x14ac:dyDescent="0.25">
      <c r="Y3967" s="63">
        <v>46500</v>
      </c>
      <c r="Z3967" s="61">
        <f>_xll.qlYieldTSDiscount($U$35,Y3967,,Trigger)</f>
        <v>0.86615893282821488</v>
      </c>
    </row>
    <row r="3968" spans="25:26" x14ac:dyDescent="0.25">
      <c r="Y3968" s="63">
        <v>46501</v>
      </c>
      <c r="Z3968" s="61">
        <f>_xll.qlYieldTSDiscount($U$35,Y3968,,Trigger)</f>
        <v>0.86612349010210454</v>
      </c>
    </row>
    <row r="3969" spans="25:26" x14ac:dyDescent="0.25">
      <c r="Y3969" s="63">
        <v>46502</v>
      </c>
      <c r="Z3969" s="61">
        <f>_xll.qlYieldTSDiscount($U$35,Y3969,,Trigger)</f>
        <v>0.86608805027317359</v>
      </c>
    </row>
    <row r="3970" spans="25:26" x14ac:dyDescent="0.25">
      <c r="Y3970" s="63">
        <v>46503</v>
      </c>
      <c r="Z3970" s="61">
        <f>_xll.qlYieldTSDiscount($U$35,Y3970,,Trigger)</f>
        <v>0.86605261333902872</v>
      </c>
    </row>
    <row r="3971" spans="25:26" x14ac:dyDescent="0.25">
      <c r="Y3971" s="63">
        <v>46504</v>
      </c>
      <c r="Z3971" s="61">
        <f>_xll.qlYieldTSDiscount($U$35,Y3971,,Trigger)</f>
        <v>0.86601717929727628</v>
      </c>
    </row>
    <row r="3972" spans="25:26" x14ac:dyDescent="0.25">
      <c r="Y3972" s="63">
        <v>46505</v>
      </c>
      <c r="Z3972" s="61">
        <f>_xll.qlYieldTSDiscount($U$35,Y3972,,Trigger)</f>
        <v>0.86598174814552287</v>
      </c>
    </row>
    <row r="3973" spans="25:26" x14ac:dyDescent="0.25">
      <c r="Y3973" s="63">
        <v>46506</v>
      </c>
      <c r="Z3973" s="61">
        <f>_xll.qlYieldTSDiscount($U$35,Y3973,,Trigger)</f>
        <v>0.86594631988137472</v>
      </c>
    </row>
    <row r="3974" spans="25:26" x14ac:dyDescent="0.25">
      <c r="Y3974" s="63">
        <v>46507</v>
      </c>
      <c r="Z3974" s="61">
        <f>_xll.qlYieldTSDiscount($U$35,Y3974,,Trigger)</f>
        <v>0.86591089450243863</v>
      </c>
    </row>
    <row r="3975" spans="25:26" x14ac:dyDescent="0.25">
      <c r="Y3975" s="63">
        <v>46508</v>
      </c>
      <c r="Z3975" s="61">
        <f>_xll.qlYieldTSDiscount($U$35,Y3975,,Trigger)</f>
        <v>0.86587547200632076</v>
      </c>
    </row>
    <row r="3976" spans="25:26" x14ac:dyDescent="0.25">
      <c r="Y3976" s="63">
        <v>46509</v>
      </c>
      <c r="Z3976" s="61">
        <f>_xll.qlYieldTSDiscount($U$35,Y3976,,Trigger)</f>
        <v>0.86584005239062789</v>
      </c>
    </row>
    <row r="3977" spans="25:26" x14ac:dyDescent="0.25">
      <c r="Y3977" s="63">
        <v>46510</v>
      </c>
      <c r="Z3977" s="61">
        <f>_xll.qlYieldTSDiscount($U$35,Y3977,,Trigger)</f>
        <v>0.86580463565296628</v>
      </c>
    </row>
    <row r="3978" spans="25:26" x14ac:dyDescent="0.25">
      <c r="Y3978" s="63">
        <v>46511</v>
      </c>
      <c r="Z3978" s="61">
        <f>_xll.qlYieldTSDiscount($U$35,Y3978,,Trigger)</f>
        <v>0.86576922179094251</v>
      </c>
    </row>
    <row r="3979" spans="25:26" x14ac:dyDescent="0.25">
      <c r="Y3979" s="63">
        <v>46512</v>
      </c>
      <c r="Z3979" s="61">
        <f>_xll.qlYieldTSDiscount($U$35,Y3979,,Trigger)</f>
        <v>0.86573381080216305</v>
      </c>
    </row>
    <row r="3980" spans="25:26" x14ac:dyDescent="0.25">
      <c r="Y3980" s="63">
        <v>46513</v>
      </c>
      <c r="Z3980" s="61">
        <f>_xll.qlYieldTSDiscount($U$35,Y3980,,Trigger)</f>
        <v>0.86569840268423437</v>
      </c>
    </row>
    <row r="3981" spans="25:26" x14ac:dyDescent="0.25">
      <c r="Y3981" s="63">
        <v>46514</v>
      </c>
      <c r="Z3981" s="61">
        <f>_xll.qlYieldTSDiscount($U$35,Y3981,,Trigger)</f>
        <v>0.86566299743476294</v>
      </c>
    </row>
    <row r="3982" spans="25:26" x14ac:dyDescent="0.25">
      <c r="Y3982" s="63">
        <v>46515</v>
      </c>
      <c r="Z3982" s="61">
        <f>_xll.qlYieldTSDiscount($U$35,Y3982,,Trigger)</f>
        <v>0.86562759505135523</v>
      </c>
    </row>
    <row r="3983" spans="25:26" x14ac:dyDescent="0.25">
      <c r="Y3983" s="63">
        <v>46516</v>
      </c>
      <c r="Z3983" s="61">
        <f>_xll.qlYieldTSDiscount($U$35,Y3983,,Trigger)</f>
        <v>0.8655921955316177</v>
      </c>
    </row>
    <row r="3984" spans="25:26" x14ac:dyDescent="0.25">
      <c r="Y3984" s="63">
        <v>46517</v>
      </c>
      <c r="Z3984" s="61">
        <f>_xll.qlYieldTSDiscount($U$35,Y3984,,Trigger)</f>
        <v>0.86555679887315695</v>
      </c>
    </row>
    <row r="3985" spans="25:26" x14ac:dyDescent="0.25">
      <c r="Y3985" s="63">
        <v>46518</v>
      </c>
      <c r="Z3985" s="61">
        <f>_xll.qlYieldTSDiscount($U$35,Y3985,,Trigger)</f>
        <v>0.86552140507357944</v>
      </c>
    </row>
    <row r="3986" spans="25:26" x14ac:dyDescent="0.25">
      <c r="Y3986" s="63">
        <v>46519</v>
      </c>
      <c r="Z3986" s="61">
        <f>_xll.qlYieldTSDiscount($U$35,Y3986,,Trigger)</f>
        <v>0.86548601413049153</v>
      </c>
    </row>
    <row r="3987" spans="25:26" x14ac:dyDescent="0.25">
      <c r="Y3987" s="63">
        <v>46520</v>
      </c>
      <c r="Z3987" s="61">
        <f>_xll.qlYieldTSDiscount($U$35,Y3987,,Trigger)</f>
        <v>0.8654506260414998</v>
      </c>
    </row>
    <row r="3988" spans="25:26" x14ac:dyDescent="0.25">
      <c r="Y3988" s="63">
        <v>46521</v>
      </c>
      <c r="Z3988" s="61">
        <f>_xll.qlYieldTSDiscount($U$35,Y3988,,Trigger)</f>
        <v>0.86541524080421062</v>
      </c>
    </row>
    <row r="3989" spans="25:26" x14ac:dyDescent="0.25">
      <c r="Y3989" s="63">
        <v>46522</v>
      </c>
      <c r="Z3989" s="61">
        <f>_xll.qlYieldTSDiscount($U$35,Y3989,,Trigger)</f>
        <v>0.86537985841623055</v>
      </c>
    </row>
    <row r="3990" spans="25:26" x14ac:dyDescent="0.25">
      <c r="Y3990" s="63">
        <v>46523</v>
      </c>
      <c r="Z3990" s="61">
        <f>_xll.qlYieldTSDiscount($U$35,Y3990,,Trigger)</f>
        <v>0.86534447887516608</v>
      </c>
    </row>
    <row r="3991" spans="25:26" x14ac:dyDescent="0.25">
      <c r="Y3991" s="63">
        <v>46524</v>
      </c>
      <c r="Z3991" s="61">
        <f>_xll.qlYieldTSDiscount($U$35,Y3991,,Trigger)</f>
        <v>0.86530910217862378</v>
      </c>
    </row>
    <row r="3992" spans="25:26" x14ac:dyDescent="0.25">
      <c r="Y3992" s="63">
        <v>46525</v>
      </c>
      <c r="Z3992" s="61">
        <f>_xll.qlYieldTSDiscount($U$35,Y3992,,Trigger)</f>
        <v>0.8652737283242099</v>
      </c>
    </row>
    <row r="3993" spans="25:26" x14ac:dyDescent="0.25">
      <c r="Y3993" s="63">
        <v>46526</v>
      </c>
      <c r="Z3993" s="61">
        <f>_xll.qlYieldTSDiscount($U$35,Y3993,,Trigger)</f>
        <v>0.86523835730953114</v>
      </c>
    </row>
    <row r="3994" spans="25:26" x14ac:dyDescent="0.25">
      <c r="Y3994" s="63">
        <v>46527</v>
      </c>
      <c r="Z3994" s="61">
        <f>_xll.qlYieldTSDiscount($U$35,Y3994,,Trigger)</f>
        <v>0.86520298913219384</v>
      </c>
    </row>
    <row r="3995" spans="25:26" x14ac:dyDescent="0.25">
      <c r="Y3995" s="63">
        <v>46528</v>
      </c>
      <c r="Z3995" s="61">
        <f>_xll.qlYieldTSDiscount($U$35,Y3995,,Trigger)</f>
        <v>0.8651676237898045</v>
      </c>
    </row>
    <row r="3996" spans="25:26" x14ac:dyDescent="0.25">
      <c r="Y3996" s="63">
        <v>46529</v>
      </c>
      <c r="Z3996" s="61">
        <f>_xll.qlYieldTSDiscount($U$35,Y3996,,Trigger)</f>
        <v>0.86513226127996978</v>
      </c>
    </row>
    <row r="3997" spans="25:26" x14ac:dyDescent="0.25">
      <c r="Y3997" s="63">
        <v>46530</v>
      </c>
      <c r="Z3997" s="61">
        <f>_xll.qlYieldTSDiscount($U$35,Y3997,,Trigger)</f>
        <v>0.86509690160029584</v>
      </c>
    </row>
    <row r="3998" spans="25:26" x14ac:dyDescent="0.25">
      <c r="Y3998" s="63">
        <v>46531</v>
      </c>
      <c r="Z3998" s="61">
        <f>_xll.qlYieldTSDiscount($U$35,Y3998,,Trigger)</f>
        <v>0.86506154474838948</v>
      </c>
    </row>
    <row r="3999" spans="25:26" x14ac:dyDescent="0.25">
      <c r="Y3999" s="63">
        <v>46532</v>
      </c>
      <c r="Z3999" s="61">
        <f>_xll.qlYieldTSDiscount($U$35,Y3999,,Trigger)</f>
        <v>0.86502619072185694</v>
      </c>
    </row>
    <row r="4000" spans="25:26" x14ac:dyDescent="0.25">
      <c r="Y4000" s="63">
        <v>46533</v>
      </c>
      <c r="Z4000" s="61">
        <f>_xll.qlYieldTSDiscount($U$35,Y4000,,Trigger)</f>
        <v>0.8649908395183048</v>
      </c>
    </row>
    <row r="4001" spans="25:26" x14ac:dyDescent="0.25">
      <c r="Y4001" s="63">
        <v>46534</v>
      </c>
      <c r="Z4001" s="61">
        <f>_xll.qlYieldTSDiscount($U$35,Y4001,,Trigger)</f>
        <v>0.86495549113533954</v>
      </c>
    </row>
    <row r="4002" spans="25:26" x14ac:dyDescent="0.25">
      <c r="Y4002" s="63">
        <v>46535</v>
      </c>
      <c r="Z4002" s="61">
        <f>_xll.qlYieldTSDiscount($U$35,Y4002,,Trigger)</f>
        <v>0.86492014557056762</v>
      </c>
    </row>
    <row r="4003" spans="25:26" x14ac:dyDescent="0.25">
      <c r="Y4003" s="63">
        <v>46536</v>
      </c>
      <c r="Z4003" s="61">
        <f>_xll.qlYieldTSDiscount($U$35,Y4003,,Trigger)</f>
        <v>0.86488480282159552</v>
      </c>
    </row>
    <row r="4004" spans="25:26" x14ac:dyDescent="0.25">
      <c r="Y4004" s="63">
        <v>46537</v>
      </c>
      <c r="Z4004" s="61">
        <f>_xll.qlYieldTSDiscount($U$35,Y4004,,Trigger)</f>
        <v>0.86484946288602982</v>
      </c>
    </row>
    <row r="4005" spans="25:26" x14ac:dyDescent="0.25">
      <c r="Y4005" s="63">
        <v>46538</v>
      </c>
      <c r="Z4005" s="61">
        <f>_xll.qlYieldTSDiscount($U$35,Y4005,,Trigger)</f>
        <v>0.86481412576147687</v>
      </c>
    </row>
    <row r="4006" spans="25:26" x14ac:dyDescent="0.25">
      <c r="Y4006" s="63">
        <v>46539</v>
      </c>
      <c r="Z4006" s="61">
        <f>_xll.qlYieldTSDiscount($U$35,Y4006,,Trigger)</f>
        <v>0.86477879144554315</v>
      </c>
    </row>
    <row r="4007" spans="25:26" x14ac:dyDescent="0.25">
      <c r="Y4007" s="63">
        <v>46540</v>
      </c>
      <c r="Z4007" s="61">
        <f>_xll.qlYieldTSDiscount($U$35,Y4007,,Trigger)</f>
        <v>0.86474345993583523</v>
      </c>
    </row>
    <row r="4008" spans="25:26" x14ac:dyDescent="0.25">
      <c r="Y4008" s="63">
        <v>46541</v>
      </c>
      <c r="Z4008" s="61">
        <f>_xll.qlYieldTSDiscount($U$35,Y4008,,Trigger)</f>
        <v>0.8647081312299596</v>
      </c>
    </row>
    <row r="4009" spans="25:26" x14ac:dyDescent="0.25">
      <c r="Y4009" s="63">
        <v>46542</v>
      </c>
      <c r="Z4009" s="61">
        <f>_xll.qlYieldTSDiscount($U$35,Y4009,,Trigger)</f>
        <v>0.8646728053255226</v>
      </c>
    </row>
    <row r="4010" spans="25:26" x14ac:dyDescent="0.25">
      <c r="Y4010" s="63">
        <v>46543</v>
      </c>
      <c r="Z4010" s="61">
        <f>_xll.qlYieldTSDiscount($U$35,Y4010,,Trigger)</f>
        <v>0.86463748222013093</v>
      </c>
    </row>
    <row r="4011" spans="25:26" x14ac:dyDescent="0.25">
      <c r="Y4011" s="63">
        <v>46544</v>
      </c>
      <c r="Z4011" s="61">
        <f>_xll.qlYieldTSDiscount($U$35,Y4011,,Trigger)</f>
        <v>0.86460216191139083</v>
      </c>
    </row>
    <row r="4012" spans="25:26" x14ac:dyDescent="0.25">
      <c r="Y4012" s="63">
        <v>46545</v>
      </c>
      <c r="Z4012" s="61">
        <f>_xll.qlYieldTSDiscount($U$35,Y4012,,Trigger)</f>
        <v>0.8645668443969089</v>
      </c>
    </row>
    <row r="4013" spans="25:26" x14ac:dyDescent="0.25">
      <c r="Y4013" s="63">
        <v>46546</v>
      </c>
      <c r="Z4013" s="61">
        <f>_xll.qlYieldTSDiscount($U$35,Y4013,,Trigger)</f>
        <v>0.86453152967429159</v>
      </c>
    </row>
    <row r="4014" spans="25:26" x14ac:dyDescent="0.25">
      <c r="Y4014" s="63">
        <v>46547</v>
      </c>
      <c r="Z4014" s="61">
        <f>_xll.qlYieldTSDiscount($U$35,Y4014,,Trigger)</f>
        <v>0.86449621774114549</v>
      </c>
    </row>
    <row r="4015" spans="25:26" x14ac:dyDescent="0.25">
      <c r="Y4015" s="63">
        <v>46548</v>
      </c>
      <c r="Z4015" s="61">
        <f>_xll.qlYieldTSDiscount($U$35,Y4015,,Trigger)</f>
        <v>0.86446090859507696</v>
      </c>
    </row>
    <row r="4016" spans="25:26" x14ac:dyDescent="0.25">
      <c r="Y4016" s="63">
        <v>46549</v>
      </c>
      <c r="Z4016" s="61">
        <f>_xll.qlYieldTSDiscount($U$35,Y4016,,Trigger)</f>
        <v>0.86442560223369247</v>
      </c>
    </row>
    <row r="4017" spans="25:26" x14ac:dyDescent="0.25">
      <c r="Y4017" s="63">
        <v>46550</v>
      </c>
      <c r="Z4017" s="61">
        <f>_xll.qlYieldTSDiscount($U$35,Y4017,,Trigger)</f>
        <v>0.8643902986545986</v>
      </c>
    </row>
    <row r="4018" spans="25:26" x14ac:dyDescent="0.25">
      <c r="Y4018" s="63">
        <v>46551</v>
      </c>
      <c r="Z4018" s="61">
        <f>_xll.qlYieldTSDiscount($U$35,Y4018,,Trigger)</f>
        <v>0.86435499785540171</v>
      </c>
    </row>
    <row r="4019" spans="25:26" x14ac:dyDescent="0.25">
      <c r="Y4019" s="63">
        <v>46552</v>
      </c>
      <c r="Z4019" s="61">
        <f>_xll.qlYieldTSDiscount($U$35,Y4019,,Trigger)</f>
        <v>0.86431969983370838</v>
      </c>
    </row>
    <row r="4020" spans="25:26" x14ac:dyDescent="0.25">
      <c r="Y4020" s="63">
        <v>46553</v>
      </c>
      <c r="Z4020" s="61">
        <f>_xll.qlYieldTSDiscount($U$35,Y4020,,Trigger)</f>
        <v>0.86428440458712508</v>
      </c>
    </row>
    <row r="4021" spans="25:26" x14ac:dyDescent="0.25">
      <c r="Y4021" s="63">
        <v>46554</v>
      </c>
      <c r="Z4021" s="61">
        <f>_xll.qlYieldTSDiscount($U$35,Y4021,,Trigger)</f>
        <v>0.86424911211325828</v>
      </c>
    </row>
    <row r="4022" spans="25:26" x14ac:dyDescent="0.25">
      <c r="Y4022" s="63">
        <v>46555</v>
      </c>
      <c r="Z4022" s="61">
        <f>_xll.qlYieldTSDiscount($U$35,Y4022,,Trigger)</f>
        <v>0.86421382240971445</v>
      </c>
    </row>
    <row r="4023" spans="25:26" x14ac:dyDescent="0.25">
      <c r="Y4023" s="63">
        <v>46556</v>
      </c>
      <c r="Z4023" s="61">
        <f>_xll.qlYieldTSDiscount($U$35,Y4023,,Trigger)</f>
        <v>0.86417853547409995</v>
      </c>
    </row>
    <row r="4024" spans="25:26" x14ac:dyDescent="0.25">
      <c r="Y4024" s="63">
        <v>46557</v>
      </c>
      <c r="Z4024" s="61">
        <f>_xll.qlYieldTSDiscount($U$35,Y4024,,Trigger)</f>
        <v>0.86414325130402148</v>
      </c>
    </row>
    <row r="4025" spans="25:26" x14ac:dyDescent="0.25">
      <c r="Y4025" s="63">
        <v>46558</v>
      </c>
      <c r="Z4025" s="61">
        <f>_xll.qlYieldTSDiscount($U$35,Y4025,,Trigger)</f>
        <v>0.86410796989708538</v>
      </c>
    </row>
    <row r="4026" spans="25:26" x14ac:dyDescent="0.25">
      <c r="Y4026" s="63">
        <v>46559</v>
      </c>
      <c r="Z4026" s="61">
        <f>_xll.qlYieldTSDiscount($U$35,Y4026,,Trigger)</f>
        <v>0.86407269125089825</v>
      </c>
    </row>
    <row r="4027" spans="25:26" x14ac:dyDescent="0.25">
      <c r="Y4027" s="63">
        <v>46560</v>
      </c>
      <c r="Z4027" s="61">
        <f>_xll.qlYieldTSDiscount($U$35,Y4027,,Trigger)</f>
        <v>0.86403741536306644</v>
      </c>
    </row>
    <row r="4028" spans="25:26" x14ac:dyDescent="0.25">
      <c r="Y4028" s="63">
        <v>46561</v>
      </c>
      <c r="Z4028" s="61">
        <f>_xll.qlYieldTSDiscount($U$35,Y4028,,Trigger)</f>
        <v>0.86400214223119642</v>
      </c>
    </row>
    <row r="4029" spans="25:26" x14ac:dyDescent="0.25">
      <c r="Y4029" s="63">
        <v>46562</v>
      </c>
      <c r="Z4029" s="61">
        <f>_xll.qlYieldTSDiscount($U$35,Y4029,,Trigger)</f>
        <v>0.86396687185289478</v>
      </c>
    </row>
    <row r="4030" spans="25:26" x14ac:dyDescent="0.25">
      <c r="Y4030" s="63">
        <v>46563</v>
      </c>
      <c r="Z4030" s="61">
        <f>_xll.qlYieldTSDiscount($U$35,Y4030,,Trigger)</f>
        <v>0.86393160422576798</v>
      </c>
    </row>
    <row r="4031" spans="25:26" x14ac:dyDescent="0.25">
      <c r="Y4031" s="63">
        <v>46564</v>
      </c>
      <c r="Z4031" s="61">
        <f>_xll.qlYieldTSDiscount($U$35,Y4031,,Trigger)</f>
        <v>0.86389633934742249</v>
      </c>
    </row>
    <row r="4032" spans="25:26" x14ac:dyDescent="0.25">
      <c r="Y4032" s="63">
        <v>46565</v>
      </c>
      <c r="Z4032" s="61">
        <f>_xll.qlYieldTSDiscount($U$35,Y4032,,Trigger)</f>
        <v>0.86386107721546468</v>
      </c>
    </row>
    <row r="4033" spans="25:26" x14ac:dyDescent="0.25">
      <c r="Y4033" s="63">
        <v>46566</v>
      </c>
      <c r="Z4033" s="61">
        <f>_xll.qlYieldTSDiscount($U$35,Y4033,,Trigger)</f>
        <v>0.86382581782750123</v>
      </c>
    </row>
    <row r="4034" spans="25:26" x14ac:dyDescent="0.25">
      <c r="Y4034" s="63">
        <v>46567</v>
      </c>
      <c r="Z4034" s="61">
        <f>_xll.qlYieldTSDiscount($U$35,Y4034,,Trigger)</f>
        <v>0.86379056118113839</v>
      </c>
    </row>
    <row r="4035" spans="25:26" x14ac:dyDescent="0.25">
      <c r="Y4035" s="63">
        <v>46568</v>
      </c>
      <c r="Z4035" s="61">
        <f>_xll.qlYieldTSDiscount($U$35,Y4035,,Trigger)</f>
        <v>0.86375530727398286</v>
      </c>
    </row>
    <row r="4036" spans="25:26" x14ac:dyDescent="0.25">
      <c r="Y4036" s="63">
        <v>46569</v>
      </c>
      <c r="Z4036" s="61">
        <f>_xll.qlYieldTSDiscount($U$35,Y4036,,Trigger)</f>
        <v>0.863720056103641</v>
      </c>
    </row>
    <row r="4037" spans="25:26" x14ac:dyDescent="0.25">
      <c r="Y4037" s="63">
        <v>46570</v>
      </c>
      <c r="Z4037" s="61">
        <f>_xll.qlYieldTSDiscount($U$35,Y4037,,Trigger)</f>
        <v>0.86368480766771938</v>
      </c>
    </row>
    <row r="4038" spans="25:26" x14ac:dyDescent="0.25">
      <c r="Y4038" s="63">
        <v>46571</v>
      </c>
      <c r="Z4038" s="61">
        <f>_xll.qlYieldTSDiscount($U$35,Y4038,,Trigger)</f>
        <v>0.86364956196382436</v>
      </c>
    </row>
    <row r="4039" spans="25:26" x14ac:dyDescent="0.25">
      <c r="Y4039" s="63">
        <v>46572</v>
      </c>
      <c r="Z4039" s="61">
        <f>_xll.qlYieldTSDiscount($U$35,Y4039,,Trigger)</f>
        <v>0.86361431898956242</v>
      </c>
    </row>
    <row r="4040" spans="25:26" x14ac:dyDescent="0.25">
      <c r="Y4040" s="63">
        <v>46573</v>
      </c>
      <c r="Z4040" s="61">
        <f>_xll.qlYieldTSDiscount($U$35,Y4040,,Trigger)</f>
        <v>0.86357907874254014</v>
      </c>
    </row>
    <row r="4041" spans="25:26" x14ac:dyDescent="0.25">
      <c r="Y4041" s="63">
        <v>46574</v>
      </c>
      <c r="Z4041" s="61">
        <f>_xll.qlYieldTSDiscount($U$35,Y4041,,Trigger)</f>
        <v>0.86354384122036409</v>
      </c>
    </row>
    <row r="4042" spans="25:26" x14ac:dyDescent="0.25">
      <c r="Y4042" s="63">
        <v>46575</v>
      </c>
      <c r="Z4042" s="61">
        <f>_xll.qlYieldTSDiscount($U$35,Y4042,,Trigger)</f>
        <v>0.86350860642064042</v>
      </c>
    </row>
    <row r="4043" spans="25:26" x14ac:dyDescent="0.25">
      <c r="Y4043" s="63">
        <v>46576</v>
      </c>
      <c r="Z4043" s="61">
        <f>_xll.qlYieldTSDiscount($U$35,Y4043,,Trigger)</f>
        <v>0.86347337434097593</v>
      </c>
    </row>
    <row r="4044" spans="25:26" x14ac:dyDescent="0.25">
      <c r="Y4044" s="63">
        <v>46577</v>
      </c>
      <c r="Z4044" s="61">
        <f>_xll.qlYieldTSDiscount($U$35,Y4044,,Trigger)</f>
        <v>0.86343814497897697</v>
      </c>
    </row>
    <row r="4045" spans="25:26" x14ac:dyDescent="0.25">
      <c r="Y4045" s="63">
        <v>46578</v>
      </c>
      <c r="Z4045" s="61">
        <f>_xll.qlYieldTSDiscount($U$35,Y4045,,Trigger)</f>
        <v>0.86340291833225002</v>
      </c>
    </row>
    <row r="4046" spans="25:26" x14ac:dyDescent="0.25">
      <c r="Y4046" s="63">
        <v>46579</v>
      </c>
      <c r="Z4046" s="61">
        <f>_xll.qlYieldTSDiscount($U$35,Y4046,,Trigger)</f>
        <v>0.86336769439840155</v>
      </c>
    </row>
    <row r="4047" spans="25:26" x14ac:dyDescent="0.25">
      <c r="Y4047" s="63">
        <v>46580</v>
      </c>
      <c r="Z4047" s="61">
        <f>_xll.qlYieldTSDiscount($U$35,Y4047,,Trigger)</f>
        <v>0.86333247317503803</v>
      </c>
    </row>
    <row r="4048" spans="25:26" x14ac:dyDescent="0.25">
      <c r="Y4048" s="63">
        <v>46581</v>
      </c>
      <c r="Z4048" s="61">
        <f>_xll.qlYieldTSDiscount($U$35,Y4048,,Trigger)</f>
        <v>0.86329725465976603</v>
      </c>
    </row>
    <row r="4049" spans="25:26" x14ac:dyDescent="0.25">
      <c r="Y4049" s="63">
        <v>46582</v>
      </c>
      <c r="Z4049" s="61">
        <f>_xll.qlYieldTSDiscount($U$35,Y4049,,Trigger)</f>
        <v>0.86326203885019204</v>
      </c>
    </row>
    <row r="4050" spans="25:26" x14ac:dyDescent="0.25">
      <c r="Y4050" s="63">
        <v>46583</v>
      </c>
      <c r="Z4050" s="61">
        <f>_xll.qlYieldTSDiscount($U$35,Y4050,,Trigger)</f>
        <v>0.8632268257439224</v>
      </c>
    </row>
    <row r="4051" spans="25:26" x14ac:dyDescent="0.25">
      <c r="Y4051" s="63">
        <v>46584</v>
      </c>
      <c r="Z4051" s="61">
        <f>_xll.qlYieldTSDiscount($U$35,Y4051,,Trigger)</f>
        <v>0.86319161533856359</v>
      </c>
    </row>
    <row r="4052" spans="25:26" x14ac:dyDescent="0.25">
      <c r="Y4052" s="63">
        <v>46585</v>
      </c>
      <c r="Z4052" s="61">
        <f>_xll.qlYieldTSDiscount($U$35,Y4052,,Trigger)</f>
        <v>0.8631564076317223</v>
      </c>
    </row>
    <row r="4053" spans="25:26" x14ac:dyDescent="0.25">
      <c r="Y4053" s="63">
        <v>46586</v>
      </c>
      <c r="Z4053" s="61">
        <f>_xll.qlYieldTSDiscount($U$35,Y4053,,Trigger)</f>
        <v>0.86312120262100478</v>
      </c>
    </row>
    <row r="4054" spans="25:26" x14ac:dyDescent="0.25">
      <c r="Y4054" s="63">
        <v>46587</v>
      </c>
      <c r="Z4054" s="61">
        <f>_xll.qlYieldTSDiscount($U$35,Y4054,,Trigger)</f>
        <v>0.86308600030401761</v>
      </c>
    </row>
    <row r="4055" spans="25:26" x14ac:dyDescent="0.25">
      <c r="Y4055" s="63">
        <v>46588</v>
      </c>
      <c r="Z4055" s="61">
        <f>_xll.qlYieldTSDiscount($U$35,Y4055,,Trigger)</f>
        <v>0.86305080067836737</v>
      </c>
    </row>
    <row r="4056" spans="25:26" x14ac:dyDescent="0.25">
      <c r="Y4056" s="63">
        <v>46589</v>
      </c>
      <c r="Z4056" s="61">
        <f>_xll.qlYieldTSDiscount($U$35,Y4056,,Trigger)</f>
        <v>0.86301560374166031</v>
      </c>
    </row>
    <row r="4057" spans="25:26" x14ac:dyDescent="0.25">
      <c r="Y4057" s="63">
        <v>46590</v>
      </c>
      <c r="Z4057" s="61">
        <f>_xll.qlYieldTSDiscount($U$35,Y4057,,Trigger)</f>
        <v>0.86298040949150312</v>
      </c>
    </row>
    <row r="4058" spans="25:26" x14ac:dyDescent="0.25">
      <c r="Y4058" s="63">
        <v>46591</v>
      </c>
      <c r="Z4058" s="61">
        <f>_xll.qlYieldTSDiscount($U$35,Y4058,,Trigger)</f>
        <v>0.86294521792550216</v>
      </c>
    </row>
    <row r="4059" spans="25:26" x14ac:dyDescent="0.25">
      <c r="Y4059" s="63">
        <v>46592</v>
      </c>
      <c r="Z4059" s="61">
        <f>_xll.qlYieldTSDiscount($U$35,Y4059,,Trigger)</f>
        <v>0.86291002904126402</v>
      </c>
    </row>
    <row r="4060" spans="25:26" x14ac:dyDescent="0.25">
      <c r="Y4060" s="63">
        <v>46593</v>
      </c>
      <c r="Z4060" s="61">
        <f>_xll.qlYieldTSDiscount($U$35,Y4060,,Trigger)</f>
        <v>0.86287484283639504</v>
      </c>
    </row>
    <row r="4061" spans="25:26" x14ac:dyDescent="0.25">
      <c r="Y4061" s="63">
        <v>46594</v>
      </c>
      <c r="Z4061" s="61">
        <f>_xll.qlYieldTSDiscount($U$35,Y4061,,Trigger)</f>
        <v>0.86283965930850182</v>
      </c>
    </row>
    <row r="4062" spans="25:26" x14ac:dyDescent="0.25">
      <c r="Y4062" s="63">
        <v>46595</v>
      </c>
      <c r="Z4062" s="61">
        <f>_xll.qlYieldTSDiscount($U$35,Y4062,,Trigger)</f>
        <v>0.8628044784551907</v>
      </c>
    </row>
    <row r="4063" spans="25:26" x14ac:dyDescent="0.25">
      <c r="Y4063" s="63">
        <v>46596</v>
      </c>
      <c r="Z4063" s="61">
        <f>_xll.qlYieldTSDiscount($U$35,Y4063,,Trigger)</f>
        <v>0.8627693002740684</v>
      </c>
    </row>
    <row r="4064" spans="25:26" x14ac:dyDescent="0.25">
      <c r="Y4064" s="63">
        <v>46597</v>
      </c>
      <c r="Z4064" s="61">
        <f>_xll.qlYieldTSDiscount($U$35,Y4064,,Trigger)</f>
        <v>0.86273412476274114</v>
      </c>
    </row>
    <row r="4065" spans="25:26" x14ac:dyDescent="0.25">
      <c r="Y4065" s="63">
        <v>46598</v>
      </c>
      <c r="Z4065" s="61">
        <f>_xll.qlYieldTSDiscount($U$35,Y4065,,Trigger)</f>
        <v>0.86269895191881552</v>
      </c>
    </row>
    <row r="4066" spans="25:26" x14ac:dyDescent="0.25">
      <c r="Y4066" s="63">
        <v>46599</v>
      </c>
      <c r="Z4066" s="61">
        <f>_xll.qlYieldTSDiscount($U$35,Y4066,,Trigger)</f>
        <v>0.86266378173989811</v>
      </c>
    </row>
    <row r="4067" spans="25:26" x14ac:dyDescent="0.25">
      <c r="Y4067" s="63">
        <v>46600</v>
      </c>
      <c r="Z4067" s="61">
        <f>_xll.qlYieldTSDiscount($U$35,Y4067,,Trigger)</f>
        <v>0.86262861422359516</v>
      </c>
    </row>
    <row r="4068" spans="25:26" x14ac:dyDescent="0.25">
      <c r="Y4068" s="63">
        <v>46601</v>
      </c>
      <c r="Z4068" s="61">
        <f>_xll.qlYieldTSDiscount($U$35,Y4068,,Trigger)</f>
        <v>0.86259344936751337</v>
      </c>
    </row>
    <row r="4069" spans="25:26" x14ac:dyDescent="0.25">
      <c r="Y4069" s="63">
        <v>46602</v>
      </c>
      <c r="Z4069" s="61">
        <f>_xll.qlYieldTSDiscount($U$35,Y4069,,Trigger)</f>
        <v>0.8625582871692592</v>
      </c>
    </row>
    <row r="4070" spans="25:26" x14ac:dyDescent="0.25">
      <c r="Y4070" s="63">
        <v>46603</v>
      </c>
      <c r="Z4070" s="61">
        <f>_xll.qlYieldTSDiscount($U$35,Y4070,,Trigger)</f>
        <v>0.8625231276264389</v>
      </c>
    </row>
    <row r="4071" spans="25:26" x14ac:dyDescent="0.25">
      <c r="Y4071" s="63">
        <v>46604</v>
      </c>
      <c r="Z4071" s="61">
        <f>_xll.qlYieldTSDiscount($U$35,Y4071,,Trigger)</f>
        <v>0.86248797073665917</v>
      </c>
    </row>
    <row r="4072" spans="25:26" x14ac:dyDescent="0.25">
      <c r="Y4072" s="63">
        <v>46605</v>
      </c>
      <c r="Z4072" s="61">
        <f>_xll.qlYieldTSDiscount($U$35,Y4072,,Trigger)</f>
        <v>0.86245281649752648</v>
      </c>
    </row>
    <row r="4073" spans="25:26" x14ac:dyDescent="0.25">
      <c r="Y4073" s="63">
        <v>46606</v>
      </c>
      <c r="Z4073" s="61">
        <f>_xll.qlYieldTSDiscount($U$35,Y4073,,Trigger)</f>
        <v>0.86241766490664729</v>
      </c>
    </row>
    <row r="4074" spans="25:26" x14ac:dyDescent="0.25">
      <c r="Y4074" s="63">
        <v>46607</v>
      </c>
      <c r="Z4074" s="61">
        <f>_xll.qlYieldTSDiscount($U$35,Y4074,,Trigger)</f>
        <v>0.86238251596162807</v>
      </c>
    </row>
    <row r="4075" spans="25:26" x14ac:dyDescent="0.25">
      <c r="Y4075" s="63">
        <v>46608</v>
      </c>
      <c r="Z4075" s="61">
        <f>_xll.qlYieldTSDiscount($U$35,Y4075,,Trigger)</f>
        <v>0.86234736966007519</v>
      </c>
    </row>
    <row r="4076" spans="25:26" x14ac:dyDescent="0.25">
      <c r="Y4076" s="63">
        <v>46609</v>
      </c>
      <c r="Z4076" s="61">
        <f>_xll.qlYieldTSDiscount($U$35,Y4076,,Trigger)</f>
        <v>0.86231222599959534</v>
      </c>
    </row>
    <row r="4077" spans="25:26" x14ac:dyDescent="0.25">
      <c r="Y4077" s="63">
        <v>46610</v>
      </c>
      <c r="Z4077" s="61">
        <f>_xll.qlYieldTSDiscount($U$35,Y4077,,Trigger)</f>
        <v>0.86227708497779487</v>
      </c>
    </row>
    <row r="4078" spans="25:26" x14ac:dyDescent="0.25">
      <c r="Y4078" s="63">
        <v>46611</v>
      </c>
      <c r="Z4078" s="61">
        <f>_xll.qlYieldTSDiscount($U$35,Y4078,,Trigger)</f>
        <v>0.86224194659228026</v>
      </c>
    </row>
    <row r="4079" spans="25:26" x14ac:dyDescent="0.25">
      <c r="Y4079" s="63">
        <v>46612</v>
      </c>
      <c r="Z4079" s="61">
        <f>_xll.qlYieldTSDiscount($U$35,Y4079,,Trigger)</f>
        <v>0.86220681084065798</v>
      </c>
    </row>
    <row r="4080" spans="25:26" x14ac:dyDescent="0.25">
      <c r="Y4080" s="63">
        <v>46613</v>
      </c>
      <c r="Z4080" s="61">
        <f>_xll.qlYieldTSDiscount($U$35,Y4080,,Trigger)</f>
        <v>0.8621716777205346</v>
      </c>
    </row>
    <row r="4081" spans="25:26" x14ac:dyDescent="0.25">
      <c r="Y4081" s="63">
        <v>46614</v>
      </c>
      <c r="Z4081" s="61">
        <f>_xll.qlYieldTSDiscount($U$35,Y4081,,Trigger)</f>
        <v>0.86213654722951649</v>
      </c>
    </row>
    <row r="4082" spans="25:26" x14ac:dyDescent="0.25">
      <c r="Y4082" s="63">
        <v>46615</v>
      </c>
      <c r="Z4082" s="61">
        <f>_xll.qlYieldTSDiscount($U$35,Y4082,,Trigger)</f>
        <v>0.86210141936521023</v>
      </c>
    </row>
    <row r="4083" spans="25:26" x14ac:dyDescent="0.25">
      <c r="Y4083" s="63">
        <v>46616</v>
      </c>
      <c r="Z4083" s="61">
        <f>_xll.qlYieldTSDiscount($U$35,Y4083,,Trigger)</f>
        <v>0.86206629412522218</v>
      </c>
    </row>
    <row r="4084" spans="25:26" x14ac:dyDescent="0.25">
      <c r="Y4084" s="63">
        <v>46617</v>
      </c>
      <c r="Z4084" s="61">
        <f>_xll.qlYieldTSDiscount($U$35,Y4084,,Trigger)</f>
        <v>0.86203117150715902</v>
      </c>
    </row>
    <row r="4085" spans="25:26" x14ac:dyDescent="0.25">
      <c r="Y4085" s="63">
        <v>46618</v>
      </c>
      <c r="Z4085" s="61">
        <f>_xll.qlYieldTSDiscount($U$35,Y4085,,Trigger)</f>
        <v>0.86199605150862701</v>
      </c>
    </row>
    <row r="4086" spans="25:26" x14ac:dyDescent="0.25">
      <c r="Y4086" s="63">
        <v>46619</v>
      </c>
      <c r="Z4086" s="61">
        <f>_xll.qlYieldTSDiscount($U$35,Y4086,,Trigger)</f>
        <v>0.86196093412723274</v>
      </c>
    </row>
    <row r="4087" spans="25:26" x14ac:dyDescent="0.25">
      <c r="Y4087" s="63">
        <v>46620</v>
      </c>
      <c r="Z4087" s="61">
        <f>_xll.qlYieldTSDiscount($U$35,Y4087,,Trigger)</f>
        <v>0.86192581936058277</v>
      </c>
    </row>
    <row r="4088" spans="25:26" x14ac:dyDescent="0.25">
      <c r="Y4088" s="63">
        <v>46621</v>
      </c>
      <c r="Z4088" s="61">
        <f>_xll.qlYieldTSDiscount($U$35,Y4088,,Trigger)</f>
        <v>0.86189070720628336</v>
      </c>
    </row>
    <row r="4089" spans="25:26" x14ac:dyDescent="0.25">
      <c r="Y4089" s="63">
        <v>46622</v>
      </c>
      <c r="Z4089" s="61">
        <f>_xll.qlYieldTSDiscount($U$35,Y4089,,Trigger)</f>
        <v>0.8618555976619412</v>
      </c>
    </row>
    <row r="4090" spans="25:26" x14ac:dyDescent="0.25">
      <c r="Y4090" s="63">
        <v>46623</v>
      </c>
      <c r="Z4090" s="61">
        <f>_xll.qlYieldTSDiscount($U$35,Y4090,,Trigger)</f>
        <v>0.86182049072516265</v>
      </c>
    </row>
    <row r="4091" spans="25:26" x14ac:dyDescent="0.25">
      <c r="Y4091" s="63">
        <v>46624</v>
      </c>
      <c r="Z4091" s="61">
        <f>_xll.qlYieldTSDiscount($U$35,Y4091,,Trigger)</f>
        <v>0.86178538639355429</v>
      </c>
    </row>
    <row r="4092" spans="25:26" x14ac:dyDescent="0.25">
      <c r="Y4092" s="63">
        <v>46625</v>
      </c>
      <c r="Z4092" s="61">
        <f>_xll.qlYieldTSDiscount($U$35,Y4092,,Trigger)</f>
        <v>0.86175028466472248</v>
      </c>
    </row>
    <row r="4093" spans="25:26" x14ac:dyDescent="0.25">
      <c r="Y4093" s="63">
        <v>46626</v>
      </c>
      <c r="Z4093" s="61">
        <f>_xll.qlYieldTSDiscount($U$35,Y4093,,Trigger)</f>
        <v>0.86171518553627369</v>
      </c>
    </row>
    <row r="4094" spans="25:26" x14ac:dyDescent="0.25">
      <c r="Y4094" s="63">
        <v>46627</v>
      </c>
      <c r="Z4094" s="61">
        <f>_xll.qlYieldTSDiscount($U$35,Y4094,,Trigger)</f>
        <v>0.86168008900581461</v>
      </c>
    </row>
    <row r="4095" spans="25:26" x14ac:dyDescent="0.25">
      <c r="Y4095" s="63">
        <v>46628</v>
      </c>
      <c r="Z4095" s="61">
        <f>_xll.qlYieldTSDiscount($U$35,Y4095,,Trigger)</f>
        <v>0.86164499507095149</v>
      </c>
    </row>
    <row r="4096" spans="25:26" x14ac:dyDescent="0.25">
      <c r="Y4096" s="63">
        <v>46629</v>
      </c>
      <c r="Z4096" s="61">
        <f>_xll.qlYieldTSDiscount($U$35,Y4096,,Trigger)</f>
        <v>0.86160990372929092</v>
      </c>
    </row>
    <row r="4097" spans="25:26" x14ac:dyDescent="0.25">
      <c r="Y4097" s="63">
        <v>46630</v>
      </c>
      <c r="Z4097" s="61">
        <f>_xll.qlYieldTSDiscount($U$35,Y4097,,Trigger)</f>
        <v>0.86157481497843946</v>
      </c>
    </row>
    <row r="4098" spans="25:26" x14ac:dyDescent="0.25">
      <c r="Y4098" s="63">
        <v>46631</v>
      </c>
      <c r="Z4098" s="61">
        <f>_xll.qlYieldTSDiscount($U$35,Y4098,,Trigger)</f>
        <v>0.86153972881600338</v>
      </c>
    </row>
    <row r="4099" spans="25:26" x14ac:dyDescent="0.25">
      <c r="Y4099" s="63">
        <v>46632</v>
      </c>
      <c r="Z4099" s="61">
        <f>_xll.qlYieldTSDiscount($U$35,Y4099,,Trigger)</f>
        <v>0.86150464523958936</v>
      </c>
    </row>
    <row r="4100" spans="25:26" x14ac:dyDescent="0.25">
      <c r="Y4100" s="63">
        <v>46633</v>
      </c>
      <c r="Z4100" s="61">
        <f>_xll.qlYieldTSDiscount($U$35,Y4100,,Trigger)</f>
        <v>0.86146956424680377</v>
      </c>
    </row>
    <row r="4101" spans="25:26" x14ac:dyDescent="0.25">
      <c r="Y4101" s="63">
        <v>46634</v>
      </c>
      <c r="Z4101" s="61">
        <f>_xll.qlYieldTSDiscount($U$35,Y4101,,Trigger)</f>
        <v>0.86143448583525306</v>
      </c>
    </row>
    <row r="4102" spans="25:26" x14ac:dyDescent="0.25">
      <c r="Y4102" s="63">
        <v>46635</v>
      </c>
      <c r="Z4102" s="61">
        <f>_xll.qlYieldTSDiscount($U$35,Y4102,,Trigger)</f>
        <v>0.86139941000254383</v>
      </c>
    </row>
    <row r="4103" spans="25:26" x14ac:dyDescent="0.25">
      <c r="Y4103" s="63">
        <v>46636</v>
      </c>
      <c r="Z4103" s="61">
        <f>_xll.qlYieldTSDiscount($U$35,Y4103,,Trigger)</f>
        <v>0.86136433674628243</v>
      </c>
    </row>
    <row r="4104" spans="25:26" x14ac:dyDescent="0.25">
      <c r="Y4104" s="63">
        <v>46637</v>
      </c>
      <c r="Z4104" s="61">
        <f>_xll.qlYieldTSDiscount($U$35,Y4104,,Trigger)</f>
        <v>0.86132926606407545</v>
      </c>
    </row>
    <row r="4105" spans="25:26" x14ac:dyDescent="0.25">
      <c r="Y4105" s="63">
        <v>46638</v>
      </c>
      <c r="Z4105" s="61">
        <f>_xll.qlYieldTSDiscount($U$35,Y4105,,Trigger)</f>
        <v>0.86129419795352935</v>
      </c>
    </row>
    <row r="4106" spans="25:26" x14ac:dyDescent="0.25">
      <c r="Y4106" s="63">
        <v>46639</v>
      </c>
      <c r="Z4106" s="61">
        <f>_xll.qlYieldTSDiscount($U$35,Y4106,,Trigger)</f>
        <v>0.86125913241225061</v>
      </c>
    </row>
    <row r="4107" spans="25:26" x14ac:dyDescent="0.25">
      <c r="Y4107" s="63">
        <v>46640</v>
      </c>
      <c r="Z4107" s="61">
        <f>_xll.qlYieldTSDiscount($U$35,Y4107,,Trigger)</f>
        <v>0.86122406943784557</v>
      </c>
    </row>
    <row r="4108" spans="25:26" x14ac:dyDescent="0.25">
      <c r="Y4108" s="63">
        <v>46641</v>
      </c>
      <c r="Z4108" s="61">
        <f>_xll.qlYieldTSDiscount($U$35,Y4108,,Trigger)</f>
        <v>0.86118900902792095</v>
      </c>
    </row>
    <row r="4109" spans="25:26" x14ac:dyDescent="0.25">
      <c r="Y4109" s="63">
        <v>46642</v>
      </c>
      <c r="Z4109" s="61">
        <f>_xll.qlYieldTSDiscount($U$35,Y4109,,Trigger)</f>
        <v>0.86115395118008309</v>
      </c>
    </row>
    <row r="4110" spans="25:26" x14ac:dyDescent="0.25">
      <c r="Y4110" s="63">
        <v>46643</v>
      </c>
      <c r="Z4110" s="61">
        <f>_xll.qlYieldTSDiscount($U$35,Y4110,,Trigger)</f>
        <v>0.86111889589193846</v>
      </c>
    </row>
    <row r="4111" spans="25:26" x14ac:dyDescent="0.25">
      <c r="Y4111" s="63">
        <v>46644</v>
      </c>
      <c r="Z4111" s="61">
        <f>_xll.qlYieldTSDiscount($U$35,Y4111,,Trigger)</f>
        <v>0.86108384316109354</v>
      </c>
    </row>
    <row r="4112" spans="25:26" x14ac:dyDescent="0.25">
      <c r="Y4112" s="63">
        <v>46645</v>
      </c>
      <c r="Z4112" s="61">
        <f>_xll.qlYieldTSDiscount($U$35,Y4112,,Trigger)</f>
        <v>0.86104879298515491</v>
      </c>
    </row>
    <row r="4113" spans="25:26" x14ac:dyDescent="0.25">
      <c r="Y4113" s="63">
        <v>46646</v>
      </c>
      <c r="Z4113" s="61">
        <f>_xll.qlYieldTSDiscount($U$35,Y4113,,Trigger)</f>
        <v>0.86101374536172892</v>
      </c>
    </row>
    <row r="4114" spans="25:26" x14ac:dyDescent="0.25">
      <c r="Y4114" s="63">
        <v>46647</v>
      </c>
      <c r="Z4114" s="61">
        <f>_xll.qlYieldTSDiscount($U$35,Y4114,,Trigger)</f>
        <v>0.86097870028842227</v>
      </c>
    </row>
    <row r="4115" spans="25:26" x14ac:dyDescent="0.25">
      <c r="Y4115" s="63">
        <v>46648</v>
      </c>
      <c r="Z4115" s="61">
        <f>_xll.qlYieldTSDiscount($U$35,Y4115,,Trigger)</f>
        <v>0.8609436577628411</v>
      </c>
    </row>
    <row r="4116" spans="25:26" x14ac:dyDescent="0.25">
      <c r="Y4116" s="63">
        <v>46649</v>
      </c>
      <c r="Z4116" s="61">
        <f>_xll.qlYieldTSDiscount($U$35,Y4116,,Trigger)</f>
        <v>0.8609086177825922</v>
      </c>
    </row>
    <row r="4117" spans="25:26" x14ac:dyDescent="0.25">
      <c r="Y4117" s="63">
        <v>46650</v>
      </c>
      <c r="Z4117" s="61">
        <f>_xll.qlYieldTSDiscount($U$35,Y4117,,Trigger)</f>
        <v>0.86087358034528183</v>
      </c>
    </row>
    <row r="4118" spans="25:26" x14ac:dyDescent="0.25">
      <c r="Y4118" s="63">
        <v>46651</v>
      </c>
      <c r="Z4118" s="61">
        <f>_xll.qlYieldTSDiscount($U$35,Y4118,,Trigger)</f>
        <v>0.86083854544851668</v>
      </c>
    </row>
    <row r="4119" spans="25:26" x14ac:dyDescent="0.25">
      <c r="Y4119" s="63">
        <v>46652</v>
      </c>
      <c r="Z4119" s="61">
        <f>_xll.qlYieldTSDiscount($U$35,Y4119,,Trigger)</f>
        <v>0.86080351308990299</v>
      </c>
    </row>
    <row r="4120" spans="25:26" x14ac:dyDescent="0.25">
      <c r="Y4120" s="63">
        <v>46653</v>
      </c>
      <c r="Z4120" s="61">
        <f>_xll.qlYieldTSDiscount($U$35,Y4120,,Trigger)</f>
        <v>0.86076848326704747</v>
      </c>
    </row>
    <row r="4121" spans="25:26" x14ac:dyDescent="0.25">
      <c r="Y4121" s="63">
        <v>46654</v>
      </c>
      <c r="Z4121" s="61">
        <f>_xll.qlYieldTSDiscount($U$35,Y4121,,Trigger)</f>
        <v>0.86073345597755646</v>
      </c>
    </row>
    <row r="4122" spans="25:26" x14ac:dyDescent="0.25">
      <c r="Y4122" s="63">
        <v>46655</v>
      </c>
      <c r="Z4122" s="61">
        <f>_xll.qlYieldTSDiscount($U$35,Y4122,,Trigger)</f>
        <v>0.86069843121903644</v>
      </c>
    </row>
    <row r="4123" spans="25:26" x14ac:dyDescent="0.25">
      <c r="Y4123" s="63">
        <v>46656</v>
      </c>
      <c r="Z4123" s="61">
        <f>_xll.qlYieldTSDiscount($U$35,Y4123,,Trigger)</f>
        <v>0.86066340898909399</v>
      </c>
    </row>
    <row r="4124" spans="25:26" x14ac:dyDescent="0.25">
      <c r="Y4124" s="63">
        <v>46657</v>
      </c>
      <c r="Z4124" s="61">
        <f>_xll.qlYieldTSDiscount($U$35,Y4124,,Trigger)</f>
        <v>0.86062838928533547</v>
      </c>
    </row>
    <row r="4125" spans="25:26" x14ac:dyDescent="0.25">
      <c r="Y4125" s="63">
        <v>46658</v>
      </c>
      <c r="Z4125" s="61">
        <f>_xll.qlYieldTSDiscount($U$35,Y4125,,Trigger)</f>
        <v>0.86059337210536746</v>
      </c>
    </row>
    <row r="4126" spans="25:26" x14ac:dyDescent="0.25">
      <c r="Y4126" s="63">
        <v>46659</v>
      </c>
      <c r="Z4126" s="61">
        <f>_xll.qlYieldTSDiscount($U$35,Y4126,,Trigger)</f>
        <v>0.86055835744679643</v>
      </c>
    </row>
    <row r="4127" spans="25:26" x14ac:dyDescent="0.25">
      <c r="Y4127" s="63">
        <v>46660</v>
      </c>
      <c r="Z4127" s="61">
        <f>_xll.qlYieldTSDiscount($U$35,Y4127,,Trigger)</f>
        <v>0.86052334530722874</v>
      </c>
    </row>
    <row r="4128" spans="25:26" x14ac:dyDescent="0.25">
      <c r="Y4128" s="63">
        <v>46661</v>
      </c>
      <c r="Z4128" s="61">
        <f>_xll.qlYieldTSDiscount($U$35,Y4128,,Trigger)</f>
        <v>0.86048833568427108</v>
      </c>
    </row>
    <row r="4129" spans="25:26" x14ac:dyDescent="0.25">
      <c r="Y4129" s="63">
        <v>46662</v>
      </c>
      <c r="Z4129" s="61">
        <f>_xll.qlYieldTSDiscount($U$35,Y4129,,Trigger)</f>
        <v>0.8604533285755297</v>
      </c>
    </row>
    <row r="4130" spans="25:26" x14ac:dyDescent="0.25">
      <c r="Y4130" s="63">
        <v>46663</v>
      </c>
      <c r="Z4130" s="61">
        <f>_xll.qlYieldTSDiscount($U$35,Y4130,,Trigger)</f>
        <v>0.86041832397861129</v>
      </c>
    </row>
    <row r="4131" spans="25:26" x14ac:dyDescent="0.25">
      <c r="Y4131" s="63">
        <v>46664</v>
      </c>
      <c r="Z4131" s="61">
        <f>_xll.qlYieldTSDiscount($U$35,Y4131,,Trigger)</f>
        <v>0.86038332189112221</v>
      </c>
    </row>
    <row r="4132" spans="25:26" x14ac:dyDescent="0.25">
      <c r="Y4132" s="63">
        <v>46665</v>
      </c>
      <c r="Z4132" s="61">
        <f>_xll.qlYieldTSDiscount($U$35,Y4132,,Trigger)</f>
        <v>0.86034832231066893</v>
      </c>
    </row>
    <row r="4133" spans="25:26" x14ac:dyDescent="0.25">
      <c r="Y4133" s="63">
        <v>46666</v>
      </c>
      <c r="Z4133" s="61">
        <f>_xll.qlYieldTSDiscount($U$35,Y4133,,Trigger)</f>
        <v>0.86031332523485804</v>
      </c>
    </row>
    <row r="4134" spans="25:26" x14ac:dyDescent="0.25">
      <c r="Y4134" s="63">
        <v>46667</v>
      </c>
      <c r="Z4134" s="61">
        <f>_xll.qlYieldTSDiscount($U$35,Y4134,,Trigger)</f>
        <v>0.86027833066129589</v>
      </c>
    </row>
    <row r="4135" spans="25:26" x14ac:dyDescent="0.25">
      <c r="Y4135" s="63">
        <v>46668</v>
      </c>
      <c r="Z4135" s="61">
        <f>_xll.qlYieldTSDiscount($U$35,Y4135,,Trigger)</f>
        <v>0.86024333858758895</v>
      </c>
    </row>
    <row r="4136" spans="25:26" x14ac:dyDescent="0.25">
      <c r="Y4136" s="63">
        <v>46669</v>
      </c>
      <c r="Z4136" s="61">
        <f>_xll.qlYieldTSDiscount($U$35,Y4136,,Trigger)</f>
        <v>0.86020834901134391</v>
      </c>
    </row>
    <row r="4137" spans="25:26" x14ac:dyDescent="0.25">
      <c r="Y4137" s="63">
        <v>46670</v>
      </c>
      <c r="Z4137" s="61">
        <f>_xll.qlYieldTSDiscount($U$35,Y4137,,Trigger)</f>
        <v>0.86017336193016702</v>
      </c>
    </row>
    <row r="4138" spans="25:26" x14ac:dyDescent="0.25">
      <c r="Y4138" s="63">
        <v>46671</v>
      </c>
      <c r="Z4138" s="61">
        <f>_xll.qlYieldTSDiscount($U$35,Y4138,,Trigger)</f>
        <v>0.86013837734166487</v>
      </c>
    </row>
    <row r="4139" spans="25:26" x14ac:dyDescent="0.25">
      <c r="Y4139" s="63">
        <v>46672</v>
      </c>
      <c r="Z4139" s="61">
        <f>_xll.qlYieldTSDiscount($U$35,Y4139,,Trigger)</f>
        <v>0.86010339524344392</v>
      </c>
    </row>
    <row r="4140" spans="25:26" x14ac:dyDescent="0.25">
      <c r="Y4140" s="63">
        <v>46673</v>
      </c>
      <c r="Z4140" s="61">
        <f>_xll.qlYieldTSDiscount($U$35,Y4140,,Trigger)</f>
        <v>0.86006841563311065</v>
      </c>
    </row>
    <row r="4141" spans="25:26" x14ac:dyDescent="0.25">
      <c r="Y4141" s="63">
        <v>46674</v>
      </c>
      <c r="Z4141" s="61">
        <f>_xll.qlYieldTSDiscount($U$35,Y4141,,Trigger)</f>
        <v>0.86003343850827152</v>
      </c>
    </row>
    <row r="4142" spans="25:26" x14ac:dyDescent="0.25">
      <c r="Y4142" s="63">
        <v>46675</v>
      </c>
      <c r="Z4142" s="61">
        <f>_xll.qlYieldTSDiscount($U$35,Y4142,,Trigger)</f>
        <v>0.859998463866533</v>
      </c>
    </row>
    <row r="4143" spans="25:26" x14ac:dyDescent="0.25">
      <c r="Y4143" s="63">
        <v>46676</v>
      </c>
      <c r="Z4143" s="61">
        <f>_xll.qlYieldTSDiscount($U$35,Y4143,,Trigger)</f>
        <v>0.85996349170550168</v>
      </c>
    </row>
    <row r="4144" spans="25:26" x14ac:dyDescent="0.25">
      <c r="Y4144" s="63">
        <v>46677</v>
      </c>
      <c r="Z4144" s="61">
        <f>_xll.qlYieldTSDiscount($U$35,Y4144,,Trigger)</f>
        <v>0.85992852202278403</v>
      </c>
    </row>
    <row r="4145" spans="25:26" x14ac:dyDescent="0.25">
      <c r="Y4145" s="63">
        <v>46678</v>
      </c>
      <c r="Z4145" s="61">
        <f>_xll.qlYieldTSDiscount($U$35,Y4145,,Trigger)</f>
        <v>0.85989355481598628</v>
      </c>
    </row>
    <row r="4146" spans="25:26" x14ac:dyDescent="0.25">
      <c r="Y4146" s="63">
        <v>46679</v>
      </c>
      <c r="Z4146" s="61">
        <f>_xll.qlYieldTSDiscount($U$35,Y4146,,Trigger)</f>
        <v>0.85985859008271526</v>
      </c>
    </row>
    <row r="4147" spans="25:26" x14ac:dyDescent="0.25">
      <c r="Y4147" s="63">
        <v>46680</v>
      </c>
      <c r="Z4147" s="61">
        <f>_xll.qlYieldTSDiscount($U$35,Y4147,,Trigger)</f>
        <v>0.8598236278205772</v>
      </c>
    </row>
    <row r="4148" spans="25:26" x14ac:dyDescent="0.25">
      <c r="Y4148" s="63">
        <v>46681</v>
      </c>
      <c r="Z4148" s="61">
        <f>_xll.qlYieldTSDiscount($U$35,Y4148,,Trigger)</f>
        <v>0.85978866802717868</v>
      </c>
    </row>
    <row r="4149" spans="25:26" x14ac:dyDescent="0.25">
      <c r="Y4149" s="63">
        <v>46682</v>
      </c>
      <c r="Z4149" s="61">
        <f>_xll.qlYieldTSDiscount($U$35,Y4149,,Trigger)</f>
        <v>0.85975371070012618</v>
      </c>
    </row>
    <row r="4150" spans="25:26" x14ac:dyDescent="0.25">
      <c r="Y4150" s="63">
        <v>46683</v>
      </c>
      <c r="Z4150" s="61">
        <f>_xll.qlYieldTSDiscount($U$35,Y4150,,Trigger)</f>
        <v>0.85971875583702606</v>
      </c>
    </row>
    <row r="4151" spans="25:26" x14ac:dyDescent="0.25">
      <c r="Y4151" s="63">
        <v>46684</v>
      </c>
      <c r="Z4151" s="61">
        <f>_xll.qlYieldTSDiscount($U$35,Y4151,,Trigger)</f>
        <v>0.85968380343548501</v>
      </c>
    </row>
    <row r="4152" spans="25:26" x14ac:dyDescent="0.25">
      <c r="Y4152" s="63">
        <v>46685</v>
      </c>
      <c r="Z4152" s="61">
        <f>_xll.qlYieldTSDiscount($U$35,Y4152,,Trigger)</f>
        <v>0.85964885349310938</v>
      </c>
    </row>
    <row r="4153" spans="25:26" x14ac:dyDescent="0.25">
      <c r="Y4153" s="63">
        <v>46686</v>
      </c>
      <c r="Z4153" s="61">
        <f>_xll.qlYieldTSDiscount($U$35,Y4153,,Trigger)</f>
        <v>0.85961390600750576</v>
      </c>
    </row>
    <row r="4154" spans="25:26" x14ac:dyDescent="0.25">
      <c r="Y4154" s="63">
        <v>46687</v>
      </c>
      <c r="Z4154" s="61">
        <f>_xll.qlYieldTSDiscount($U$35,Y4154,,Trigger)</f>
        <v>0.8595789609762805</v>
      </c>
    </row>
    <row r="4155" spans="25:26" x14ac:dyDescent="0.25">
      <c r="Y4155" s="63">
        <v>46688</v>
      </c>
      <c r="Z4155" s="61">
        <f>_xll.qlYieldTSDiscount($U$35,Y4155,,Trigger)</f>
        <v>0.85954401839704009</v>
      </c>
    </row>
    <row r="4156" spans="25:26" x14ac:dyDescent="0.25">
      <c r="Y4156" s="63">
        <v>46689</v>
      </c>
      <c r="Z4156" s="61">
        <f>_xll.qlYieldTSDiscount($U$35,Y4156,,Trigger)</f>
        <v>0.85950907826739109</v>
      </c>
    </row>
    <row r="4157" spans="25:26" x14ac:dyDescent="0.25">
      <c r="Y4157" s="63">
        <v>46690</v>
      </c>
      <c r="Z4157" s="61">
        <f>_xll.qlYieldTSDiscount($U$35,Y4157,,Trigger)</f>
        <v>0.85947414058493987</v>
      </c>
    </row>
    <row r="4158" spans="25:26" x14ac:dyDescent="0.25">
      <c r="Y4158" s="63">
        <v>46691</v>
      </c>
      <c r="Z4158" s="61">
        <f>_xll.qlYieldTSDiscount($U$35,Y4158,,Trigger)</f>
        <v>0.85943920534729301</v>
      </c>
    </row>
    <row r="4159" spans="25:26" x14ac:dyDescent="0.25">
      <c r="Y4159" s="63">
        <v>46692</v>
      </c>
      <c r="Z4159" s="61">
        <f>_xll.qlYieldTSDiscount($U$35,Y4159,,Trigger)</f>
        <v>0.85940427255205698</v>
      </c>
    </row>
    <row r="4160" spans="25:26" x14ac:dyDescent="0.25">
      <c r="Y4160" s="63">
        <v>46693</v>
      </c>
      <c r="Z4160" s="61">
        <f>_xll.qlYieldTSDiscount($U$35,Y4160,,Trigger)</f>
        <v>0.85936934219683825</v>
      </c>
    </row>
    <row r="4161" spans="25:26" x14ac:dyDescent="0.25">
      <c r="Y4161" s="63">
        <v>46694</v>
      </c>
      <c r="Z4161" s="61">
        <f>_xll.qlYieldTSDiscount($U$35,Y4161,,Trigger)</f>
        <v>0.85933441427924329</v>
      </c>
    </row>
    <row r="4162" spans="25:26" x14ac:dyDescent="0.25">
      <c r="Y4162" s="63">
        <v>46695</v>
      </c>
      <c r="Z4162" s="61">
        <f>_xll.qlYieldTSDiscount($U$35,Y4162,,Trigger)</f>
        <v>0.85929948879687867</v>
      </c>
    </row>
    <row r="4163" spans="25:26" x14ac:dyDescent="0.25">
      <c r="Y4163" s="63">
        <v>46696</v>
      </c>
      <c r="Z4163" s="61">
        <f>_xll.qlYieldTSDiscount($U$35,Y4163,,Trigger)</f>
        <v>0.85926456574735066</v>
      </c>
    </row>
    <row r="4164" spans="25:26" x14ac:dyDescent="0.25">
      <c r="Y4164" s="63">
        <v>46697</v>
      </c>
      <c r="Z4164" s="61">
        <f>_xll.qlYieldTSDiscount($U$35,Y4164,,Trigger)</f>
        <v>0.85922964512826594</v>
      </c>
    </row>
    <row r="4165" spans="25:26" x14ac:dyDescent="0.25">
      <c r="Y4165" s="63">
        <v>46698</v>
      </c>
      <c r="Z4165" s="61">
        <f>_xll.qlYieldTSDiscount($U$35,Y4165,,Trigger)</f>
        <v>0.85919472693723087</v>
      </c>
    </row>
    <row r="4166" spans="25:26" x14ac:dyDescent="0.25">
      <c r="Y4166" s="63">
        <v>46699</v>
      </c>
      <c r="Z4166" s="61">
        <f>_xll.qlYieldTSDiscount($U$35,Y4166,,Trigger)</f>
        <v>0.85915981117185192</v>
      </c>
    </row>
    <row r="4167" spans="25:26" x14ac:dyDescent="0.25">
      <c r="Y4167" s="63">
        <v>46700</v>
      </c>
      <c r="Z4167" s="61">
        <f>_xll.qlYieldTSDiscount($U$35,Y4167,,Trigger)</f>
        <v>0.85912489782973578</v>
      </c>
    </row>
    <row r="4168" spans="25:26" x14ac:dyDescent="0.25">
      <c r="Y4168" s="63">
        <v>46701</v>
      </c>
      <c r="Z4168" s="61">
        <f>_xll.qlYieldTSDiscount($U$35,Y4168,,Trigger)</f>
        <v>0.8590899869084887</v>
      </c>
    </row>
    <row r="4169" spans="25:26" x14ac:dyDescent="0.25">
      <c r="Y4169" s="63">
        <v>46702</v>
      </c>
      <c r="Z4169" s="61">
        <f>_xll.qlYieldTSDiscount($U$35,Y4169,,Trigger)</f>
        <v>0.85905507840571715</v>
      </c>
    </row>
    <row r="4170" spans="25:26" x14ac:dyDescent="0.25">
      <c r="Y4170" s="63">
        <v>46703</v>
      </c>
      <c r="Z4170" s="61">
        <f>_xll.qlYieldTSDiscount($U$35,Y4170,,Trigger)</f>
        <v>0.85902017231902783</v>
      </c>
    </row>
    <row r="4171" spans="25:26" x14ac:dyDescent="0.25">
      <c r="Y4171" s="63">
        <v>46704</v>
      </c>
      <c r="Z4171" s="61">
        <f>_xll.qlYieldTSDiscount($U$35,Y4171,,Trigger)</f>
        <v>0.85898526864602698</v>
      </c>
    </row>
    <row r="4172" spans="25:26" x14ac:dyDescent="0.25">
      <c r="Y4172" s="63">
        <v>46705</v>
      </c>
      <c r="Z4172" s="61">
        <f>_xll.qlYieldTSDiscount($U$35,Y4172,,Trigger)</f>
        <v>0.85895036738432129</v>
      </c>
    </row>
    <row r="4173" spans="25:26" x14ac:dyDescent="0.25">
      <c r="Y4173" s="63">
        <v>46706</v>
      </c>
      <c r="Z4173" s="61">
        <f>_xll.qlYieldTSDiscount($U$35,Y4173,,Trigger)</f>
        <v>0.85891546853151712</v>
      </c>
    </row>
    <row r="4174" spans="25:26" x14ac:dyDescent="0.25">
      <c r="Y4174" s="63">
        <v>46707</v>
      </c>
      <c r="Z4174" s="61">
        <f>_xll.qlYieldTSDiscount($U$35,Y4174,,Trigger)</f>
        <v>0.85888057208522095</v>
      </c>
    </row>
    <row r="4175" spans="25:26" x14ac:dyDescent="0.25">
      <c r="Y4175" s="63">
        <v>46708</v>
      </c>
      <c r="Z4175" s="61">
        <f>_xll.qlYieldTSDiscount($U$35,Y4175,,Trigger)</f>
        <v>0.85884567804303924</v>
      </c>
    </row>
    <row r="4176" spans="25:26" x14ac:dyDescent="0.25">
      <c r="Y4176" s="63">
        <v>46709</v>
      </c>
      <c r="Z4176" s="61">
        <f>_xll.qlYieldTSDiscount($U$35,Y4176,,Trigger)</f>
        <v>0.85881078640257857</v>
      </c>
    </row>
    <row r="4177" spans="25:26" x14ac:dyDescent="0.25">
      <c r="Y4177" s="63">
        <v>46710</v>
      </c>
      <c r="Z4177" s="61">
        <f>_xll.qlYieldTSDiscount($U$35,Y4177,,Trigger)</f>
        <v>0.85877589716144542</v>
      </c>
    </row>
    <row r="4178" spans="25:26" x14ac:dyDescent="0.25">
      <c r="Y4178" s="63">
        <v>46711</v>
      </c>
      <c r="Z4178" s="61">
        <f>_xll.qlYieldTSDiscount($U$35,Y4178,,Trigger)</f>
        <v>0.85874101031724615</v>
      </c>
    </row>
    <row r="4179" spans="25:26" x14ac:dyDescent="0.25">
      <c r="Y4179" s="63">
        <v>46712</v>
      </c>
      <c r="Z4179" s="61">
        <f>_xll.qlYieldTSDiscount($U$35,Y4179,,Trigger)</f>
        <v>0.85870612586758721</v>
      </c>
    </row>
    <row r="4180" spans="25:26" x14ac:dyDescent="0.25">
      <c r="Y4180" s="63">
        <v>46713</v>
      </c>
      <c r="Z4180" s="61">
        <f>_xll.qlYieldTSDiscount($U$35,Y4180,,Trigger)</f>
        <v>0.85867124381007531</v>
      </c>
    </row>
    <row r="4181" spans="25:26" x14ac:dyDescent="0.25">
      <c r="Y4181" s="63">
        <v>46714</v>
      </c>
      <c r="Z4181" s="61">
        <f>_xll.qlYieldTSDiscount($U$35,Y4181,,Trigger)</f>
        <v>0.85863636414231681</v>
      </c>
    </row>
    <row r="4182" spans="25:26" x14ac:dyDescent="0.25">
      <c r="Y4182" s="63">
        <v>46715</v>
      </c>
      <c r="Z4182" s="61">
        <f>_xll.qlYieldTSDiscount($U$35,Y4182,,Trigger)</f>
        <v>0.85860148686191806</v>
      </c>
    </row>
    <row r="4183" spans="25:26" x14ac:dyDescent="0.25">
      <c r="Y4183" s="63">
        <v>46716</v>
      </c>
      <c r="Z4183" s="61">
        <f>_xll.qlYieldTSDiscount($U$35,Y4183,,Trigger)</f>
        <v>0.85856661196648576</v>
      </c>
    </row>
    <row r="4184" spans="25:26" x14ac:dyDescent="0.25">
      <c r="Y4184" s="63">
        <v>46717</v>
      </c>
      <c r="Z4184" s="61">
        <f>_xll.qlYieldTSDiscount($U$35,Y4184,,Trigger)</f>
        <v>0.85853173945362626</v>
      </c>
    </row>
    <row r="4185" spans="25:26" x14ac:dyDescent="0.25">
      <c r="Y4185" s="63">
        <v>46718</v>
      </c>
      <c r="Z4185" s="61">
        <f>_xll.qlYieldTSDiscount($U$35,Y4185,,Trigger)</f>
        <v>0.85849686932094604</v>
      </c>
    </row>
    <row r="4186" spans="25:26" x14ac:dyDescent="0.25">
      <c r="Y4186" s="63">
        <v>46719</v>
      </c>
      <c r="Z4186" s="61">
        <f>_xll.qlYieldTSDiscount($U$35,Y4186,,Trigger)</f>
        <v>0.85846200156605157</v>
      </c>
    </row>
    <row r="4187" spans="25:26" x14ac:dyDescent="0.25">
      <c r="Y4187" s="63">
        <v>46720</v>
      </c>
      <c r="Z4187" s="61">
        <f>_xll.qlYieldTSDiscount($U$35,Y4187,,Trigger)</f>
        <v>0.85842713618654942</v>
      </c>
    </row>
    <row r="4188" spans="25:26" x14ac:dyDescent="0.25">
      <c r="Y4188" s="63">
        <v>46721</v>
      </c>
      <c r="Z4188" s="61">
        <f>_xll.qlYieldTSDiscount($U$35,Y4188,,Trigger)</f>
        <v>0.85839227318004607</v>
      </c>
    </row>
    <row r="4189" spans="25:26" x14ac:dyDescent="0.25">
      <c r="Y4189" s="63">
        <v>46722</v>
      </c>
      <c r="Z4189" s="61">
        <f>_xll.qlYieldTSDiscount($U$35,Y4189,,Trigger)</f>
        <v>0.85835741254414788</v>
      </c>
    </row>
    <row r="4190" spans="25:26" x14ac:dyDescent="0.25">
      <c r="Y4190" s="63">
        <v>46723</v>
      </c>
      <c r="Z4190" s="61">
        <f>_xll.qlYieldTSDiscount($U$35,Y4190,,Trigger)</f>
        <v>0.85832255427646142</v>
      </c>
    </row>
    <row r="4191" spans="25:26" x14ac:dyDescent="0.25">
      <c r="Y4191" s="63">
        <v>46724</v>
      </c>
      <c r="Z4191" s="61">
        <f>_xll.qlYieldTSDiscount($U$35,Y4191,,Trigger)</f>
        <v>0.85828769837459307</v>
      </c>
    </row>
    <row r="4192" spans="25:26" x14ac:dyDescent="0.25">
      <c r="Y4192" s="63">
        <v>46725</v>
      </c>
      <c r="Z4192" s="61">
        <f>_xll.qlYieldTSDiscount($U$35,Y4192,,Trigger)</f>
        <v>0.8582528448361495</v>
      </c>
    </row>
    <row r="4193" spans="25:26" x14ac:dyDescent="0.25">
      <c r="Y4193" s="63">
        <v>46726</v>
      </c>
      <c r="Z4193" s="61">
        <f>_xll.qlYieldTSDiscount($U$35,Y4193,,Trigger)</f>
        <v>0.85821799365873708</v>
      </c>
    </row>
    <row r="4194" spans="25:26" x14ac:dyDescent="0.25">
      <c r="Y4194" s="63">
        <v>46727</v>
      </c>
      <c r="Z4194" s="61">
        <f>_xll.qlYieldTSDiscount($U$35,Y4194,,Trigger)</f>
        <v>0.85818314483996228</v>
      </c>
    </row>
    <row r="4195" spans="25:26" x14ac:dyDescent="0.25">
      <c r="Y4195" s="63">
        <v>46728</v>
      </c>
      <c r="Z4195" s="61">
        <f>_xll.qlYieldTSDiscount($U$35,Y4195,,Trigger)</f>
        <v>0.85814829837743156</v>
      </c>
    </row>
    <row r="4196" spans="25:26" x14ac:dyDescent="0.25">
      <c r="Y4196" s="63">
        <v>46729</v>
      </c>
      <c r="Z4196" s="61">
        <f>_xll.qlYieldTSDiscount($U$35,Y4196,,Trigger)</f>
        <v>0.85811345426875152</v>
      </c>
    </row>
    <row r="4197" spans="25:26" x14ac:dyDescent="0.25">
      <c r="Y4197" s="63">
        <v>46730</v>
      </c>
      <c r="Z4197" s="61">
        <f>_xll.qlYieldTSDiscount($U$35,Y4197,,Trigger)</f>
        <v>0.8580786125115285</v>
      </c>
    </row>
    <row r="4198" spans="25:26" x14ac:dyDescent="0.25">
      <c r="Y4198" s="63">
        <v>46731</v>
      </c>
      <c r="Z4198" s="61">
        <f>_xll.qlYieldTSDiscount($U$35,Y4198,,Trigger)</f>
        <v>0.85804377310336899</v>
      </c>
    </row>
    <row r="4199" spans="25:26" x14ac:dyDescent="0.25">
      <c r="Y4199" s="63">
        <v>46732</v>
      </c>
      <c r="Z4199" s="61">
        <f>_xll.qlYieldTSDiscount($U$35,Y4199,,Trigger)</f>
        <v>0.85800893604187956</v>
      </c>
    </row>
    <row r="4200" spans="25:26" x14ac:dyDescent="0.25">
      <c r="Y4200" s="63">
        <v>46733</v>
      </c>
      <c r="Z4200" s="61">
        <f>_xll.qlYieldTSDiscount($U$35,Y4200,,Trigger)</f>
        <v>0.85797410132466667</v>
      </c>
    </row>
    <row r="4201" spans="25:26" x14ac:dyDescent="0.25">
      <c r="Y4201" s="63">
        <v>46734</v>
      </c>
      <c r="Z4201" s="61">
        <f>_xll.qlYieldTSDiscount($U$35,Y4201,,Trigger)</f>
        <v>0.85793926894933681</v>
      </c>
    </row>
    <row r="4202" spans="25:26" x14ac:dyDescent="0.25">
      <c r="Y4202" s="63">
        <v>46735</v>
      </c>
      <c r="Z4202" s="61">
        <f>_xll.qlYieldTSDiscount($U$35,Y4202,,Trigger)</f>
        <v>0.85790443891349633</v>
      </c>
    </row>
    <row r="4203" spans="25:26" x14ac:dyDescent="0.25">
      <c r="Y4203" s="63">
        <v>46736</v>
      </c>
      <c r="Z4203" s="61">
        <f>_xll.qlYieldTSDiscount($U$35,Y4203,,Trigger)</f>
        <v>0.8578696112147518</v>
      </c>
    </row>
    <row r="4204" spans="25:26" x14ac:dyDescent="0.25">
      <c r="Y4204" s="63">
        <v>46737</v>
      </c>
      <c r="Z4204" s="61">
        <f>_xll.qlYieldTSDiscount($U$35,Y4204,,Trigger)</f>
        <v>0.85783478585070982</v>
      </c>
    </row>
    <row r="4205" spans="25:26" x14ac:dyDescent="0.25">
      <c r="Y4205" s="63">
        <v>46738</v>
      </c>
      <c r="Z4205" s="61">
        <f>_xll.qlYieldTSDiscount($U$35,Y4205,,Trigger)</f>
        <v>0.85779996281897675</v>
      </c>
    </row>
    <row r="4206" spans="25:26" x14ac:dyDescent="0.25">
      <c r="Y4206" s="63">
        <v>46739</v>
      </c>
      <c r="Z4206" s="61">
        <f>_xll.qlYieldTSDiscount($U$35,Y4206,,Trigger)</f>
        <v>0.85776514211715893</v>
      </c>
    </row>
    <row r="4207" spans="25:26" x14ac:dyDescent="0.25">
      <c r="Y4207" s="63">
        <v>46740</v>
      </c>
      <c r="Z4207" s="61">
        <f>_xll.qlYieldTSDiscount($U$35,Y4207,,Trigger)</f>
        <v>0.85773032374286318</v>
      </c>
    </row>
    <row r="4208" spans="25:26" x14ac:dyDescent="0.25">
      <c r="Y4208" s="63">
        <v>46741</v>
      </c>
      <c r="Z4208" s="61">
        <f>_xll.qlYieldTSDiscount($U$35,Y4208,,Trigger)</f>
        <v>0.85769550769369574</v>
      </c>
    </row>
    <row r="4209" spans="25:26" x14ac:dyDescent="0.25">
      <c r="Y4209" s="63">
        <v>46742</v>
      </c>
      <c r="Z4209" s="61">
        <f>_xll.qlYieldTSDiscount($U$35,Y4209,,Trigger)</f>
        <v>0.85766069396726308</v>
      </c>
    </row>
    <row r="4210" spans="25:26" x14ac:dyDescent="0.25">
      <c r="Y4210" s="63">
        <v>46743</v>
      </c>
      <c r="Z4210" s="61">
        <f>_xll.qlYieldTSDiscount($U$35,Y4210,,Trigger)</f>
        <v>0.85762588256117178</v>
      </c>
    </row>
    <row r="4211" spans="25:26" x14ac:dyDescent="0.25">
      <c r="Y4211" s="63">
        <v>46744</v>
      </c>
      <c r="Z4211" s="61">
        <f>_xll.qlYieldTSDiscount($U$35,Y4211,,Trigger)</f>
        <v>0.85759107347302821</v>
      </c>
    </row>
    <row r="4212" spans="25:26" x14ac:dyDescent="0.25">
      <c r="Y4212" s="63">
        <v>46745</v>
      </c>
      <c r="Z4212" s="61">
        <f>_xll.qlYieldTSDiscount($U$35,Y4212,,Trigger)</f>
        <v>0.85755626670043905</v>
      </c>
    </row>
    <row r="4213" spans="25:26" x14ac:dyDescent="0.25">
      <c r="Y4213" s="63">
        <v>46746</v>
      </c>
      <c r="Z4213" s="61">
        <f>_xll.qlYieldTSDiscount($U$35,Y4213,,Trigger)</f>
        <v>0.85752146224101056</v>
      </c>
    </row>
    <row r="4214" spans="25:26" x14ac:dyDescent="0.25">
      <c r="Y4214" s="63">
        <v>46747</v>
      </c>
      <c r="Z4214" s="61">
        <f>_xll.qlYieldTSDiscount($U$35,Y4214,,Trigger)</f>
        <v>0.85748666009234942</v>
      </c>
    </row>
    <row r="4215" spans="25:26" x14ac:dyDescent="0.25">
      <c r="Y4215" s="63">
        <v>46748</v>
      </c>
      <c r="Z4215" s="61">
        <f>_xll.qlYieldTSDiscount($U$35,Y4215,,Trigger)</f>
        <v>0.85745186025206188</v>
      </c>
    </row>
    <row r="4216" spans="25:26" x14ac:dyDescent="0.25">
      <c r="Y4216" s="63">
        <v>46749</v>
      </c>
      <c r="Z4216" s="61">
        <f>_xll.qlYieldTSDiscount($U$35,Y4216,,Trigger)</f>
        <v>0.85741706271775464</v>
      </c>
    </row>
    <row r="4217" spans="25:26" x14ac:dyDescent="0.25">
      <c r="Y4217" s="63">
        <v>46750</v>
      </c>
      <c r="Z4217" s="61">
        <f>_xll.qlYieldTSDiscount($U$35,Y4217,,Trigger)</f>
        <v>0.85738226748703406</v>
      </c>
    </row>
    <row r="4218" spans="25:26" x14ac:dyDescent="0.25">
      <c r="Y4218" s="63">
        <v>46751</v>
      </c>
      <c r="Z4218" s="61">
        <f>_xll.qlYieldTSDiscount($U$35,Y4218,,Trigger)</f>
        <v>0.85734747455750671</v>
      </c>
    </row>
    <row r="4219" spans="25:26" x14ac:dyDescent="0.25">
      <c r="Y4219" s="63">
        <v>46752</v>
      </c>
      <c r="Z4219" s="61">
        <f>_xll.qlYieldTSDiscount($U$35,Y4219,,Trigger)</f>
        <v>0.85731268392677895</v>
      </c>
    </row>
    <row r="4220" spans="25:26" x14ac:dyDescent="0.25">
      <c r="Y4220" s="63">
        <v>46753</v>
      </c>
      <c r="Z4220" s="61">
        <f>_xll.qlYieldTSDiscount($U$35,Y4220,,Trigger)</f>
        <v>0.85727789559245726</v>
      </c>
    </row>
    <row r="4221" spans="25:26" x14ac:dyDescent="0.25">
      <c r="Y4221" s="63">
        <v>46754</v>
      </c>
      <c r="Z4221" s="61">
        <f>_xll.qlYieldTSDiscount($U$35,Y4221,,Trigger)</f>
        <v>0.85724310955214822</v>
      </c>
    </row>
    <row r="4222" spans="25:26" x14ac:dyDescent="0.25">
      <c r="Y4222" s="63">
        <v>46755</v>
      </c>
      <c r="Z4222" s="61">
        <f>_xll.qlYieldTSDiscount($U$35,Y4222,,Trigger)</f>
        <v>0.85720832580345829</v>
      </c>
    </row>
    <row r="4223" spans="25:26" x14ac:dyDescent="0.25">
      <c r="Y4223" s="63">
        <v>46756</v>
      </c>
      <c r="Z4223" s="61">
        <f>_xll.qlYieldTSDiscount($U$35,Y4223,,Trigger)</f>
        <v>0.85717354434399395</v>
      </c>
    </row>
    <row r="4224" spans="25:26" x14ac:dyDescent="0.25">
      <c r="Y4224" s="63">
        <v>46757</v>
      </c>
      <c r="Z4224" s="61">
        <f>_xll.qlYieldTSDiscount($U$35,Y4224,,Trigger)</f>
        <v>0.85713876517136167</v>
      </c>
    </row>
    <row r="4225" spans="25:26" x14ac:dyDescent="0.25">
      <c r="Y4225" s="63">
        <v>46758</v>
      </c>
      <c r="Z4225" s="61">
        <f>_xll.qlYieldTSDiscount($U$35,Y4225,,Trigger)</f>
        <v>0.85710398828316792</v>
      </c>
    </row>
    <row r="4226" spans="25:26" x14ac:dyDescent="0.25">
      <c r="Y4226" s="63">
        <v>46759</v>
      </c>
      <c r="Z4226" s="61">
        <f>_xll.qlYieldTSDiscount($U$35,Y4226,,Trigger)</f>
        <v>0.85706921367701916</v>
      </c>
    </row>
    <row r="4227" spans="25:26" x14ac:dyDescent="0.25">
      <c r="Y4227" s="63">
        <v>46760</v>
      </c>
      <c r="Z4227" s="61">
        <f>_xll.qlYieldTSDiscount($U$35,Y4227,,Trigger)</f>
        <v>0.85703444135052187</v>
      </c>
    </row>
    <row r="4228" spans="25:26" x14ac:dyDescent="0.25">
      <c r="Y4228" s="63">
        <v>46761</v>
      </c>
      <c r="Z4228" s="61">
        <f>_xll.qlYieldTSDiscount($U$35,Y4228,,Trigger)</f>
        <v>0.85699967130128252</v>
      </c>
    </row>
    <row r="4229" spans="25:26" x14ac:dyDescent="0.25">
      <c r="Y4229" s="63">
        <v>46762</v>
      </c>
      <c r="Z4229" s="61">
        <f>_xll.qlYieldTSDiscount($U$35,Y4229,,Trigger)</f>
        <v>0.8569649035269078</v>
      </c>
    </row>
    <row r="4230" spans="25:26" x14ac:dyDescent="0.25">
      <c r="Y4230" s="63">
        <v>46763</v>
      </c>
      <c r="Z4230" s="61">
        <f>_xll.qlYieldTSDiscount($U$35,Y4230,,Trigger)</f>
        <v>0.85693013802500384</v>
      </c>
    </row>
    <row r="4231" spans="25:26" x14ac:dyDescent="0.25">
      <c r="Y4231" s="63">
        <v>46764</v>
      </c>
      <c r="Z4231" s="61">
        <f>_xll.qlYieldTSDiscount($U$35,Y4231,,Trigger)</f>
        <v>0.85689537479317734</v>
      </c>
    </row>
    <row r="4232" spans="25:26" x14ac:dyDescent="0.25">
      <c r="Y4232" s="63">
        <v>46765</v>
      </c>
      <c r="Z4232" s="61">
        <f>_xll.qlYieldTSDiscount($U$35,Y4232,,Trigger)</f>
        <v>0.85686061382903478</v>
      </c>
    </row>
    <row r="4233" spans="25:26" x14ac:dyDescent="0.25">
      <c r="Y4233" s="63">
        <v>46766</v>
      </c>
      <c r="Z4233" s="61">
        <f>_xll.qlYieldTSDiscount($U$35,Y4233,,Trigger)</f>
        <v>0.85682585513018261</v>
      </c>
    </row>
    <row r="4234" spans="25:26" x14ac:dyDescent="0.25">
      <c r="Y4234" s="63">
        <v>46767</v>
      </c>
      <c r="Z4234" s="61">
        <f>_xll.qlYieldTSDiscount($U$35,Y4234,,Trigger)</f>
        <v>0.8567910986942272</v>
      </c>
    </row>
    <row r="4235" spans="25:26" x14ac:dyDescent="0.25">
      <c r="Y4235" s="63">
        <v>46768</v>
      </c>
      <c r="Z4235" s="61">
        <f>_xll.qlYieldTSDiscount($U$35,Y4235,,Trigger)</f>
        <v>0.85675634451877525</v>
      </c>
    </row>
    <row r="4236" spans="25:26" x14ac:dyDescent="0.25">
      <c r="Y4236" s="63">
        <v>46769</v>
      </c>
      <c r="Z4236" s="61">
        <f>_xll.qlYieldTSDiscount($U$35,Y4236,,Trigger)</f>
        <v>0.85672159260143299</v>
      </c>
    </row>
    <row r="4237" spans="25:26" x14ac:dyDescent="0.25">
      <c r="Y4237" s="63">
        <v>46770</v>
      </c>
      <c r="Z4237" s="61">
        <f>_xll.qlYieldTSDiscount($U$35,Y4237,,Trigger)</f>
        <v>0.85668684293980712</v>
      </c>
    </row>
    <row r="4238" spans="25:26" x14ac:dyDescent="0.25">
      <c r="Y4238" s="63">
        <v>46771</v>
      </c>
      <c r="Z4238" s="61">
        <f>_xll.qlYieldTSDiscount($U$35,Y4238,,Trigger)</f>
        <v>0.85665209553150401</v>
      </c>
    </row>
    <row r="4239" spans="25:26" x14ac:dyDescent="0.25">
      <c r="Y4239" s="63">
        <v>46772</v>
      </c>
      <c r="Z4239" s="61">
        <f>_xll.qlYieldTSDiscount($U$35,Y4239,,Trigger)</f>
        <v>0.85661735037413023</v>
      </c>
    </row>
    <row r="4240" spans="25:26" x14ac:dyDescent="0.25">
      <c r="Y4240" s="63">
        <v>46773</v>
      </c>
      <c r="Z4240" s="61">
        <f>_xll.qlYieldTSDiscount($U$35,Y4240,,Trigger)</f>
        <v>0.85658260746529202</v>
      </c>
    </row>
    <row r="4241" spans="25:26" x14ac:dyDescent="0.25">
      <c r="Y4241" s="63">
        <v>46774</v>
      </c>
      <c r="Z4241" s="61">
        <f>_xll.qlYieldTSDiscount($U$35,Y4241,,Trigger)</f>
        <v>0.8565478668025962</v>
      </c>
    </row>
    <row r="4242" spans="25:26" x14ac:dyDescent="0.25">
      <c r="Y4242" s="63">
        <v>46775</v>
      </c>
      <c r="Z4242" s="61">
        <f>_xll.qlYieldTSDiscount($U$35,Y4242,,Trigger)</f>
        <v>0.85651312838364901</v>
      </c>
    </row>
    <row r="4243" spans="25:26" x14ac:dyDescent="0.25">
      <c r="Y4243" s="63">
        <v>46776</v>
      </c>
      <c r="Z4243" s="61">
        <f>_xll.qlYieldTSDiscount($U$35,Y4243,,Trigger)</f>
        <v>0.85647839220605704</v>
      </c>
    </row>
    <row r="4244" spans="25:26" x14ac:dyDescent="0.25">
      <c r="Y4244" s="63">
        <v>46777</v>
      </c>
      <c r="Z4244" s="61">
        <f>_xll.qlYieldTSDiscount($U$35,Y4244,,Trigger)</f>
        <v>0.85644365826742674</v>
      </c>
    </row>
    <row r="4245" spans="25:26" x14ac:dyDescent="0.25">
      <c r="Y4245" s="63">
        <v>46778</v>
      </c>
      <c r="Z4245" s="61">
        <f>_xll.qlYieldTSDiscount($U$35,Y4245,,Trigger)</f>
        <v>0.85640892656536449</v>
      </c>
    </row>
    <row r="4246" spans="25:26" x14ac:dyDescent="0.25">
      <c r="Y4246" s="63">
        <v>46779</v>
      </c>
      <c r="Z4246" s="61">
        <f>_xll.qlYieldTSDiscount($U$35,Y4246,,Trigger)</f>
        <v>0.85637419709747697</v>
      </c>
    </row>
    <row r="4247" spans="25:26" x14ac:dyDescent="0.25">
      <c r="Y4247" s="63">
        <v>46780</v>
      </c>
      <c r="Z4247" s="61">
        <f>_xll.qlYieldTSDiscount($U$35,Y4247,,Trigger)</f>
        <v>0.85633946986137055</v>
      </c>
    </row>
    <row r="4248" spans="25:26" x14ac:dyDescent="0.25">
      <c r="Y4248" s="63">
        <v>46781</v>
      </c>
      <c r="Z4248" s="61">
        <f>_xll.qlYieldTSDiscount($U$35,Y4248,,Trigger)</f>
        <v>0.85630474485465169</v>
      </c>
    </row>
    <row r="4249" spans="25:26" x14ac:dyDescent="0.25">
      <c r="Y4249" s="63">
        <v>46782</v>
      </c>
      <c r="Z4249" s="61">
        <f>_xll.qlYieldTSDiscount($U$35,Y4249,,Trigger)</f>
        <v>0.85627002207492686</v>
      </c>
    </row>
    <row r="4250" spans="25:26" x14ac:dyDescent="0.25">
      <c r="Y4250" s="63">
        <v>46783</v>
      </c>
      <c r="Z4250" s="61">
        <f>_xll.qlYieldTSDiscount($U$35,Y4250,,Trigger)</f>
        <v>0.85623530151980265</v>
      </c>
    </row>
    <row r="4251" spans="25:26" x14ac:dyDescent="0.25">
      <c r="Y4251" s="63">
        <v>46784</v>
      </c>
      <c r="Z4251" s="61">
        <f>_xll.qlYieldTSDiscount($U$35,Y4251,,Trigger)</f>
        <v>0.85620058318688541</v>
      </c>
    </row>
    <row r="4252" spans="25:26" x14ac:dyDescent="0.25">
      <c r="Y4252" s="63">
        <v>46785</v>
      </c>
      <c r="Z4252" s="61">
        <f>_xll.qlYieldTSDiscount($U$35,Y4252,,Trigger)</f>
        <v>0.85616586707378173</v>
      </c>
    </row>
    <row r="4253" spans="25:26" x14ac:dyDescent="0.25">
      <c r="Y4253" s="63">
        <v>46786</v>
      </c>
      <c r="Z4253" s="61">
        <f>_xll.qlYieldTSDiscount($U$35,Y4253,,Trigger)</f>
        <v>0.85613115317809796</v>
      </c>
    </row>
    <row r="4254" spans="25:26" x14ac:dyDescent="0.25">
      <c r="Y4254" s="63">
        <v>46787</v>
      </c>
      <c r="Z4254" s="61">
        <f>_xll.qlYieldTSDiscount($U$35,Y4254,,Trigger)</f>
        <v>0.85609644149744069</v>
      </c>
    </row>
    <row r="4255" spans="25:26" x14ac:dyDescent="0.25">
      <c r="Y4255" s="63">
        <v>46788</v>
      </c>
      <c r="Z4255" s="61">
        <f>_xll.qlYieldTSDiscount($U$35,Y4255,,Trigger)</f>
        <v>0.85606173202941638</v>
      </c>
    </row>
    <row r="4256" spans="25:26" x14ac:dyDescent="0.25">
      <c r="Y4256" s="63">
        <v>46789</v>
      </c>
      <c r="Z4256" s="61">
        <f>_xll.qlYieldTSDiscount($U$35,Y4256,,Trigger)</f>
        <v>0.85602702477163151</v>
      </c>
    </row>
    <row r="4257" spans="25:26" x14ac:dyDescent="0.25">
      <c r="Y4257" s="63">
        <v>46790</v>
      </c>
      <c r="Z4257" s="61">
        <f>_xll.qlYieldTSDiscount($U$35,Y4257,,Trigger)</f>
        <v>0.85599231972169265</v>
      </c>
    </row>
    <row r="4258" spans="25:26" x14ac:dyDescent="0.25">
      <c r="Y4258" s="63">
        <v>46791</v>
      </c>
      <c r="Z4258" s="61">
        <f>_xll.qlYieldTSDiscount($U$35,Y4258,,Trigger)</f>
        <v>0.85595761687720606</v>
      </c>
    </row>
    <row r="4259" spans="25:26" x14ac:dyDescent="0.25">
      <c r="Y4259" s="63">
        <v>46792</v>
      </c>
      <c r="Z4259" s="61">
        <f>_xll.qlYieldTSDiscount($U$35,Y4259,,Trigger)</f>
        <v>0.85592291623577832</v>
      </c>
    </row>
    <row r="4260" spans="25:26" x14ac:dyDescent="0.25">
      <c r="Y4260" s="63">
        <v>46793</v>
      </c>
      <c r="Z4260" s="61">
        <f>_xll.qlYieldTSDiscount($U$35,Y4260,,Trigger)</f>
        <v>0.855888217795016</v>
      </c>
    </row>
    <row r="4261" spans="25:26" x14ac:dyDescent="0.25">
      <c r="Y4261" s="63">
        <v>46794</v>
      </c>
      <c r="Z4261" s="61">
        <f>_xll.qlYieldTSDiscount($U$35,Y4261,,Trigger)</f>
        <v>0.85585352155252548</v>
      </c>
    </row>
    <row r="4262" spans="25:26" x14ac:dyDescent="0.25">
      <c r="Y4262" s="63">
        <v>46795</v>
      </c>
      <c r="Z4262" s="61">
        <f>_xll.qlYieldTSDiscount($U$35,Y4262,,Trigger)</f>
        <v>0.85581882750591332</v>
      </c>
    </row>
    <row r="4263" spans="25:26" x14ac:dyDescent="0.25">
      <c r="Y4263" s="63">
        <v>46796</v>
      </c>
      <c r="Z4263" s="61">
        <f>_xll.qlYieldTSDiscount($U$35,Y4263,,Trigger)</f>
        <v>0.85578413565278599</v>
      </c>
    </row>
    <row r="4264" spans="25:26" x14ac:dyDescent="0.25">
      <c r="Y4264" s="63">
        <v>46797</v>
      </c>
      <c r="Z4264" s="61">
        <f>_xll.qlYieldTSDiscount($U$35,Y4264,,Trigger)</f>
        <v>0.85574944599074987</v>
      </c>
    </row>
    <row r="4265" spans="25:26" x14ac:dyDescent="0.25">
      <c r="Y4265" s="63">
        <v>46798</v>
      </c>
      <c r="Z4265" s="61">
        <f>_xll.qlYieldTSDiscount($U$35,Y4265,,Trigger)</f>
        <v>0.85571475851741152</v>
      </c>
    </row>
    <row r="4266" spans="25:26" x14ac:dyDescent="0.25">
      <c r="Y4266" s="63">
        <v>46799</v>
      </c>
      <c r="Z4266" s="61">
        <f>_xll.qlYieldTSDiscount($U$35,Y4266,,Trigger)</f>
        <v>0.85568007323037742</v>
      </c>
    </row>
    <row r="4267" spans="25:26" x14ac:dyDescent="0.25">
      <c r="Y4267" s="63">
        <v>46800</v>
      </c>
      <c r="Z4267" s="61">
        <f>_xll.qlYieldTSDiscount($U$35,Y4267,,Trigger)</f>
        <v>0.85564539012725405</v>
      </c>
    </row>
    <row r="4268" spans="25:26" x14ac:dyDescent="0.25">
      <c r="Y4268" s="63">
        <v>46801</v>
      </c>
      <c r="Z4268" s="61">
        <f>_xll.qlYieldTSDiscount($U$35,Y4268,,Trigger)</f>
        <v>0.85561070920564786</v>
      </c>
    </row>
    <row r="4269" spans="25:26" x14ac:dyDescent="0.25">
      <c r="Y4269" s="63">
        <v>46802</v>
      </c>
      <c r="Z4269" s="61">
        <f>_xll.qlYieldTSDiscount($U$35,Y4269,,Trigger)</f>
        <v>0.85557603046316533</v>
      </c>
    </row>
    <row r="4270" spans="25:26" x14ac:dyDescent="0.25">
      <c r="Y4270" s="63">
        <v>46803</v>
      </c>
      <c r="Z4270" s="61">
        <f>_xll.qlYieldTSDiscount($U$35,Y4270,,Trigger)</f>
        <v>0.85554135389741304</v>
      </c>
    </row>
    <row r="4271" spans="25:26" x14ac:dyDescent="0.25">
      <c r="Y4271" s="63">
        <v>46804</v>
      </c>
      <c r="Z4271" s="61">
        <f>_xll.qlYieldTSDiscount($U$35,Y4271,,Trigger)</f>
        <v>0.85550667950599724</v>
      </c>
    </row>
    <row r="4272" spans="25:26" x14ac:dyDescent="0.25">
      <c r="Y4272" s="63">
        <v>46805</v>
      </c>
      <c r="Z4272" s="61">
        <f>_xll.qlYieldTSDiscount($U$35,Y4272,,Trigger)</f>
        <v>0.85547200728652473</v>
      </c>
    </row>
    <row r="4273" spans="25:26" x14ac:dyDescent="0.25">
      <c r="Y4273" s="63">
        <v>46806</v>
      </c>
      <c r="Z4273" s="61">
        <f>_xll.qlYieldTSDiscount($U$35,Y4273,,Trigger)</f>
        <v>0.85543733723660165</v>
      </c>
    </row>
    <row r="4274" spans="25:26" x14ac:dyDescent="0.25">
      <c r="Y4274" s="63">
        <v>46807</v>
      </c>
      <c r="Z4274" s="61">
        <f>_xll.qlYieldTSDiscount($U$35,Y4274,,Trigger)</f>
        <v>0.8554026693538348</v>
      </c>
    </row>
    <row r="4275" spans="25:26" x14ac:dyDescent="0.25">
      <c r="Y4275" s="63">
        <v>46808</v>
      </c>
      <c r="Z4275" s="61">
        <f>_xll.qlYieldTSDiscount($U$35,Y4275,,Trigger)</f>
        <v>0.85536800363583043</v>
      </c>
    </row>
    <row r="4276" spans="25:26" x14ac:dyDescent="0.25">
      <c r="Y4276" s="63">
        <v>46809</v>
      </c>
      <c r="Z4276" s="61">
        <f>_xll.qlYieldTSDiscount($U$35,Y4276,,Trigger)</f>
        <v>0.85533334008019513</v>
      </c>
    </row>
    <row r="4277" spans="25:26" x14ac:dyDescent="0.25">
      <c r="Y4277" s="63">
        <v>46810</v>
      </c>
      <c r="Z4277" s="61">
        <f>_xll.qlYieldTSDiscount($U$35,Y4277,,Trigger)</f>
        <v>0.85529867868453535</v>
      </c>
    </row>
    <row r="4278" spans="25:26" x14ac:dyDescent="0.25">
      <c r="Y4278" s="63">
        <v>46811</v>
      </c>
      <c r="Z4278" s="61">
        <f>_xll.qlYieldTSDiscount($U$35,Y4278,,Trigger)</f>
        <v>0.85526401944645769</v>
      </c>
    </row>
    <row r="4279" spans="25:26" x14ac:dyDescent="0.25">
      <c r="Y4279" s="63">
        <v>46812</v>
      </c>
      <c r="Z4279" s="61">
        <f>_xll.qlYieldTSDiscount($U$35,Y4279,,Trigger)</f>
        <v>0.85522936236356839</v>
      </c>
    </row>
    <row r="4280" spans="25:26" x14ac:dyDescent="0.25">
      <c r="Y4280" s="63">
        <v>46813</v>
      </c>
      <c r="Z4280" s="61">
        <f>_xll.qlYieldTSDiscount($U$35,Y4280,,Trigger)</f>
        <v>0.85519470743347403</v>
      </c>
    </row>
    <row r="4281" spans="25:26" x14ac:dyDescent="0.25">
      <c r="Y4281" s="63">
        <v>46814</v>
      </c>
      <c r="Z4281" s="61">
        <f>_xll.qlYieldTSDiscount($U$35,Y4281,,Trigger)</f>
        <v>0.8551600546537812</v>
      </c>
    </row>
    <row r="4282" spans="25:26" x14ac:dyDescent="0.25">
      <c r="Y4282" s="63">
        <v>46815</v>
      </c>
      <c r="Z4282" s="61">
        <f>_xll.qlYieldTSDiscount($U$35,Y4282,,Trigger)</f>
        <v>0.85512540402209625</v>
      </c>
    </row>
    <row r="4283" spans="25:26" x14ac:dyDescent="0.25">
      <c r="Y4283" s="63">
        <v>46816</v>
      </c>
      <c r="Z4283" s="61">
        <f>_xll.qlYieldTSDiscount($U$35,Y4283,,Trigger)</f>
        <v>0.85509075553602576</v>
      </c>
    </row>
    <row r="4284" spans="25:26" x14ac:dyDescent="0.25">
      <c r="Y4284" s="63">
        <v>46817</v>
      </c>
      <c r="Z4284" s="61">
        <f>_xll.qlYieldTSDiscount($U$35,Y4284,,Trigger)</f>
        <v>0.85505610919317609</v>
      </c>
    </row>
    <row r="4285" spans="25:26" x14ac:dyDescent="0.25">
      <c r="Y4285" s="63">
        <v>46818</v>
      </c>
      <c r="Z4285" s="61">
        <f>_xll.qlYieldTSDiscount($U$35,Y4285,,Trigger)</f>
        <v>0.85502146499115383</v>
      </c>
    </row>
    <row r="4286" spans="25:26" x14ac:dyDescent="0.25">
      <c r="Y4286" s="63">
        <v>46819</v>
      </c>
      <c r="Z4286" s="61">
        <f>_xll.qlYieldTSDiscount($U$35,Y4286,,Trigger)</f>
        <v>0.85498682292756545</v>
      </c>
    </row>
    <row r="4287" spans="25:26" x14ac:dyDescent="0.25">
      <c r="Y4287" s="63">
        <v>46820</v>
      </c>
      <c r="Z4287" s="61">
        <f>_xll.qlYieldTSDiscount($U$35,Y4287,,Trigger)</f>
        <v>0.85495218300001741</v>
      </c>
    </row>
    <row r="4288" spans="25:26" x14ac:dyDescent="0.25">
      <c r="Y4288" s="63">
        <v>46821</v>
      </c>
      <c r="Z4288" s="61">
        <f>_xll.qlYieldTSDiscount($U$35,Y4288,,Trigger)</f>
        <v>0.85491754520611607</v>
      </c>
    </row>
    <row r="4289" spans="25:26" x14ac:dyDescent="0.25">
      <c r="Y4289" s="63">
        <v>46822</v>
      </c>
      <c r="Z4289" s="61">
        <f>_xll.qlYieldTSDiscount($U$35,Y4289,,Trigger)</f>
        <v>0.85488290954346813</v>
      </c>
    </row>
    <row r="4290" spans="25:26" x14ac:dyDescent="0.25">
      <c r="Y4290" s="63">
        <v>46823</v>
      </c>
      <c r="Z4290" s="61">
        <f>_xll.qlYieldTSDiscount($U$35,Y4290,,Trigger)</f>
        <v>0.85484827600967994</v>
      </c>
    </row>
    <row r="4291" spans="25:26" x14ac:dyDescent="0.25">
      <c r="Y4291" s="63">
        <v>46824</v>
      </c>
      <c r="Z4291" s="61">
        <f>_xll.qlYieldTSDiscount($U$35,Y4291,,Trigger)</f>
        <v>0.85481364460235798</v>
      </c>
    </row>
    <row r="4292" spans="25:26" x14ac:dyDescent="0.25">
      <c r="Y4292" s="63">
        <v>46825</v>
      </c>
      <c r="Z4292" s="61">
        <f>_xll.qlYieldTSDiscount($U$35,Y4292,,Trigger)</f>
        <v>0.85477901531910871</v>
      </c>
    </row>
    <row r="4293" spans="25:26" x14ac:dyDescent="0.25">
      <c r="Y4293" s="63">
        <v>46826</v>
      </c>
      <c r="Z4293" s="61">
        <f>_xll.qlYieldTSDiscount($U$35,Y4293,,Trigger)</f>
        <v>0.85474438815753873</v>
      </c>
    </row>
    <row r="4294" spans="25:26" x14ac:dyDescent="0.25">
      <c r="Y4294" s="63">
        <v>46827</v>
      </c>
      <c r="Z4294" s="61">
        <f>_xll.qlYieldTSDiscount($U$35,Y4294,,Trigger)</f>
        <v>0.85470976311525448</v>
      </c>
    </row>
    <row r="4295" spans="25:26" x14ac:dyDescent="0.25">
      <c r="Y4295" s="63">
        <v>46828</v>
      </c>
      <c r="Z4295" s="61">
        <f>_xll.qlYieldTSDiscount($U$35,Y4295,,Trigger)</f>
        <v>0.85467514018986235</v>
      </c>
    </row>
    <row r="4296" spans="25:26" x14ac:dyDescent="0.25">
      <c r="Y4296" s="63">
        <v>46829</v>
      </c>
      <c r="Z4296" s="61">
        <f>_xll.qlYieldTSDiscount($U$35,Y4296,,Trigger)</f>
        <v>0.85464051937896879</v>
      </c>
    </row>
    <row r="4297" spans="25:26" x14ac:dyDescent="0.25">
      <c r="Y4297" s="63">
        <v>46830</v>
      </c>
      <c r="Z4297" s="61">
        <f>_xll.qlYieldTSDiscount($U$35,Y4297,,Trigger)</f>
        <v>0.8546059006801805</v>
      </c>
    </row>
    <row r="4298" spans="25:26" x14ac:dyDescent="0.25">
      <c r="Y4298" s="63">
        <v>46831</v>
      </c>
      <c r="Z4298" s="61">
        <f>_xll.qlYieldTSDiscount($U$35,Y4298,,Trigger)</f>
        <v>0.85457128409110383</v>
      </c>
    </row>
    <row r="4299" spans="25:26" x14ac:dyDescent="0.25">
      <c r="Y4299" s="63">
        <v>46832</v>
      </c>
      <c r="Z4299" s="61">
        <f>_xll.qlYieldTSDiscount($U$35,Y4299,,Trigger)</f>
        <v>0.85453666960934516</v>
      </c>
    </row>
    <row r="4300" spans="25:26" x14ac:dyDescent="0.25">
      <c r="Y4300" s="63">
        <v>46833</v>
      </c>
      <c r="Z4300" s="61">
        <f>_xll.qlYieldTSDiscount($U$35,Y4300,,Trigger)</f>
        <v>0.85450205723251116</v>
      </c>
    </row>
    <row r="4301" spans="25:26" x14ac:dyDescent="0.25">
      <c r="Y4301" s="63">
        <v>46834</v>
      </c>
      <c r="Z4301" s="61">
        <f>_xll.qlYieldTSDiscount($U$35,Y4301,,Trigger)</f>
        <v>0.85446744695820809</v>
      </c>
    </row>
    <row r="4302" spans="25:26" x14ac:dyDescent="0.25">
      <c r="Y4302" s="63">
        <v>46835</v>
      </c>
      <c r="Z4302" s="61">
        <f>_xll.qlYieldTSDiscount($U$35,Y4302,,Trigger)</f>
        <v>0.85443283878404275</v>
      </c>
    </row>
    <row r="4303" spans="25:26" x14ac:dyDescent="0.25">
      <c r="Y4303" s="63">
        <v>46836</v>
      </c>
      <c r="Z4303" s="61">
        <f>_xll.qlYieldTSDiscount($U$35,Y4303,,Trigger)</f>
        <v>0.85439823270762127</v>
      </c>
    </row>
    <row r="4304" spans="25:26" x14ac:dyDescent="0.25">
      <c r="Y4304" s="63">
        <v>46837</v>
      </c>
      <c r="Z4304" s="61">
        <f>_xll.qlYieldTSDiscount($U$35,Y4304,,Trigger)</f>
        <v>0.85436362872655036</v>
      </c>
    </row>
    <row r="4305" spans="25:26" x14ac:dyDescent="0.25">
      <c r="Y4305" s="63">
        <v>46838</v>
      </c>
      <c r="Z4305" s="61">
        <f>_xll.qlYieldTSDiscount($U$35,Y4305,,Trigger)</f>
        <v>0.85432902683843648</v>
      </c>
    </row>
    <row r="4306" spans="25:26" x14ac:dyDescent="0.25">
      <c r="Y4306" s="63">
        <v>46839</v>
      </c>
      <c r="Z4306" s="61">
        <f>_xll.qlYieldTSDiscount($U$35,Y4306,,Trigger)</f>
        <v>0.85429442704088598</v>
      </c>
    </row>
    <row r="4307" spans="25:26" x14ac:dyDescent="0.25">
      <c r="Y4307" s="63">
        <v>46840</v>
      </c>
      <c r="Z4307" s="61">
        <f>_xll.qlYieldTSDiscount($U$35,Y4307,,Trigger)</f>
        <v>0.85425982933150546</v>
      </c>
    </row>
    <row r="4308" spans="25:26" x14ac:dyDescent="0.25">
      <c r="Y4308" s="63">
        <v>46841</v>
      </c>
      <c r="Z4308" s="61">
        <f>_xll.qlYieldTSDiscount($U$35,Y4308,,Trigger)</f>
        <v>0.85422523370790138</v>
      </c>
    </row>
    <row r="4309" spans="25:26" x14ac:dyDescent="0.25">
      <c r="Y4309" s="63">
        <v>46842</v>
      </c>
      <c r="Z4309" s="61">
        <f>_xll.qlYieldTSDiscount($U$35,Y4309,,Trigger)</f>
        <v>0.85419064016768009</v>
      </c>
    </row>
    <row r="4310" spans="25:26" x14ac:dyDescent="0.25">
      <c r="Y4310" s="63">
        <v>46843</v>
      </c>
      <c r="Z4310" s="61">
        <f>_xll.qlYieldTSDiscount($U$35,Y4310,,Trigger)</f>
        <v>0.8541560487084483</v>
      </c>
    </row>
    <row r="4311" spans="25:26" x14ac:dyDescent="0.25">
      <c r="Y4311" s="63">
        <v>46844</v>
      </c>
      <c r="Z4311" s="61">
        <f>_xll.qlYieldTSDiscount($U$35,Y4311,,Trigger)</f>
        <v>0.85412145932781236</v>
      </c>
    </row>
    <row r="4312" spans="25:26" x14ac:dyDescent="0.25">
      <c r="Y4312" s="63">
        <v>46845</v>
      </c>
      <c r="Z4312" s="61">
        <f>_xll.qlYieldTSDiscount($U$35,Y4312,,Trigger)</f>
        <v>0.85408687202337874</v>
      </c>
    </row>
    <row r="4313" spans="25:26" x14ac:dyDescent="0.25">
      <c r="Y4313" s="63">
        <v>46846</v>
      </c>
      <c r="Z4313" s="61">
        <f>_xll.qlYieldTSDiscount($U$35,Y4313,,Trigger)</f>
        <v>0.85405228679275402</v>
      </c>
    </row>
    <row r="4314" spans="25:26" x14ac:dyDescent="0.25">
      <c r="Y4314" s="63">
        <v>46847</v>
      </c>
      <c r="Z4314" s="61">
        <f>_xll.qlYieldTSDiscount($U$35,Y4314,,Trigger)</f>
        <v>0.85401770363354457</v>
      </c>
    </row>
    <row r="4315" spans="25:26" x14ac:dyDescent="0.25">
      <c r="Y4315" s="63">
        <v>46848</v>
      </c>
      <c r="Z4315" s="61">
        <f>_xll.qlYieldTSDiscount($U$35,Y4315,,Trigger)</f>
        <v>0.85398312254335684</v>
      </c>
    </row>
    <row r="4316" spans="25:26" x14ac:dyDescent="0.25">
      <c r="Y4316" s="63">
        <v>46849</v>
      </c>
      <c r="Z4316" s="61">
        <f>_xll.qlYieldTSDiscount($U$35,Y4316,,Trigger)</f>
        <v>0.85394854351979743</v>
      </c>
    </row>
    <row r="4317" spans="25:26" x14ac:dyDescent="0.25">
      <c r="Y4317" s="63">
        <v>46850</v>
      </c>
      <c r="Z4317" s="61">
        <f>_xll.qlYieldTSDiscount($U$35,Y4317,,Trigger)</f>
        <v>0.8539139665604728</v>
      </c>
    </row>
    <row r="4318" spans="25:26" x14ac:dyDescent="0.25">
      <c r="Y4318" s="63">
        <v>46851</v>
      </c>
      <c r="Z4318" s="61">
        <f>_xll.qlYieldTSDiscount($U$35,Y4318,,Trigger)</f>
        <v>0.85387939166298932</v>
      </c>
    </row>
    <row r="4319" spans="25:26" x14ac:dyDescent="0.25">
      <c r="Y4319" s="63">
        <v>46852</v>
      </c>
      <c r="Z4319" s="61">
        <f>_xll.qlYieldTSDiscount($U$35,Y4319,,Trigger)</f>
        <v>0.85384481882495367</v>
      </c>
    </row>
    <row r="4320" spans="25:26" x14ac:dyDescent="0.25">
      <c r="Y4320" s="63">
        <v>46853</v>
      </c>
      <c r="Z4320" s="61">
        <f>_xll.qlYieldTSDiscount($U$35,Y4320,,Trigger)</f>
        <v>0.8538102480439721</v>
      </c>
    </row>
    <row r="4321" spans="25:26" x14ac:dyDescent="0.25">
      <c r="Y4321" s="63">
        <v>46854</v>
      </c>
      <c r="Z4321" s="61">
        <f>_xll.qlYieldTSDiscount($U$35,Y4321,,Trigger)</f>
        <v>0.8537756793176513</v>
      </c>
    </row>
    <row r="4322" spans="25:26" x14ac:dyDescent="0.25">
      <c r="Y4322" s="63">
        <v>46855</v>
      </c>
      <c r="Z4322" s="61">
        <f>_xll.qlYieldTSDiscount($U$35,Y4322,,Trigger)</f>
        <v>0.85374111264359753</v>
      </c>
    </row>
    <row r="4323" spans="25:26" x14ac:dyDescent="0.25">
      <c r="Y4323" s="63">
        <v>46856</v>
      </c>
      <c r="Z4323" s="61">
        <f>_xll.qlYieldTSDiscount($U$35,Y4323,,Trigger)</f>
        <v>0.85370654801941748</v>
      </c>
    </row>
    <row r="4324" spans="25:26" x14ac:dyDescent="0.25">
      <c r="Y4324" s="63">
        <v>46857</v>
      </c>
      <c r="Z4324" s="61">
        <f>_xll.qlYieldTSDiscount($U$35,Y4324,,Trigger)</f>
        <v>0.85367198544271761</v>
      </c>
    </row>
    <row r="4325" spans="25:26" x14ac:dyDescent="0.25">
      <c r="Y4325" s="63">
        <v>46858</v>
      </c>
      <c r="Z4325" s="61">
        <f>_xll.qlYieldTSDiscount($U$35,Y4325,,Trigger)</f>
        <v>0.85363742491110417</v>
      </c>
    </row>
    <row r="4326" spans="25:26" x14ac:dyDescent="0.25">
      <c r="Y4326" s="63">
        <v>46859</v>
      </c>
      <c r="Z4326" s="61">
        <f>_xll.qlYieldTSDiscount($U$35,Y4326,,Trigger)</f>
        <v>0.85360286642218397</v>
      </c>
    </row>
    <row r="4327" spans="25:26" x14ac:dyDescent="0.25">
      <c r="Y4327" s="63">
        <v>46860</v>
      </c>
      <c r="Z4327" s="61">
        <f>_xll.qlYieldTSDiscount($U$35,Y4327,,Trigger)</f>
        <v>0.85356830997356326</v>
      </c>
    </row>
    <row r="4328" spans="25:26" x14ac:dyDescent="0.25">
      <c r="Y4328" s="63">
        <v>46861</v>
      </c>
      <c r="Z4328" s="61">
        <f>_xll.qlYieldTSDiscount($U$35,Y4328,,Trigger)</f>
        <v>0.8535337555628485</v>
      </c>
    </row>
    <row r="4329" spans="25:26" x14ac:dyDescent="0.25">
      <c r="Y4329" s="63">
        <v>46862</v>
      </c>
      <c r="Z4329" s="61">
        <f>_xll.qlYieldTSDiscount($U$35,Y4329,,Trigger)</f>
        <v>0.85349920318764638</v>
      </c>
    </row>
    <row r="4330" spans="25:26" x14ac:dyDescent="0.25">
      <c r="Y4330" s="63">
        <v>46863</v>
      </c>
      <c r="Z4330" s="61">
        <f>_xll.qlYieldTSDiscount($U$35,Y4330,,Trigger)</f>
        <v>0.85346465284556317</v>
      </c>
    </row>
    <row r="4331" spans="25:26" x14ac:dyDescent="0.25">
      <c r="Y4331" s="63">
        <v>46864</v>
      </c>
      <c r="Z4331" s="61">
        <f>_xll.qlYieldTSDiscount($U$35,Y4331,,Trigger)</f>
        <v>0.85343010453420554</v>
      </c>
    </row>
    <row r="4332" spans="25:26" x14ac:dyDescent="0.25">
      <c r="Y4332" s="63">
        <v>46865</v>
      </c>
      <c r="Z4332" s="61">
        <f>_xll.qlYieldTSDiscount($U$35,Y4332,,Trigger)</f>
        <v>0.85339555825117974</v>
      </c>
    </row>
    <row r="4333" spans="25:26" x14ac:dyDescent="0.25">
      <c r="Y4333" s="63">
        <v>46866</v>
      </c>
      <c r="Z4333" s="61">
        <f>_xll.qlYieldTSDiscount($U$35,Y4333,,Trigger)</f>
        <v>0.85336101399409248</v>
      </c>
    </row>
    <row r="4334" spans="25:26" x14ac:dyDescent="0.25">
      <c r="Y4334" s="63">
        <v>46867</v>
      </c>
      <c r="Z4334" s="61">
        <f>_xll.qlYieldTSDiscount($U$35,Y4334,,Trigger)</f>
        <v>0.8533264717605501</v>
      </c>
    </row>
    <row r="4335" spans="25:26" x14ac:dyDescent="0.25">
      <c r="Y4335" s="63">
        <v>46868</v>
      </c>
      <c r="Z4335" s="61">
        <f>_xll.qlYieldTSDiscount($U$35,Y4335,,Trigger)</f>
        <v>0.85329193154815908</v>
      </c>
    </row>
    <row r="4336" spans="25:26" x14ac:dyDescent="0.25">
      <c r="Y4336" s="63">
        <v>46869</v>
      </c>
      <c r="Z4336" s="61">
        <f>_xll.qlYieldTSDiscount($U$35,Y4336,,Trigger)</f>
        <v>0.85325739335452599</v>
      </c>
    </row>
    <row r="4337" spans="25:26" x14ac:dyDescent="0.25">
      <c r="Y4337" s="63">
        <v>46870</v>
      </c>
      <c r="Z4337" s="61">
        <f>_xll.qlYieldTSDiscount($U$35,Y4337,,Trigger)</f>
        <v>0.85322285717725732</v>
      </c>
    </row>
    <row r="4338" spans="25:26" x14ac:dyDescent="0.25">
      <c r="Y4338" s="63">
        <v>46871</v>
      </c>
      <c r="Z4338" s="61">
        <f>_xll.qlYieldTSDiscount($U$35,Y4338,,Trigger)</f>
        <v>0.85318832301395942</v>
      </c>
    </row>
    <row r="4339" spans="25:26" x14ac:dyDescent="0.25">
      <c r="Y4339" s="63">
        <v>46872</v>
      </c>
      <c r="Z4339" s="61">
        <f>_xll.qlYieldTSDiscount($U$35,Y4339,,Trigger)</f>
        <v>0.85315379086223886</v>
      </c>
    </row>
    <row r="4340" spans="25:26" x14ac:dyDescent="0.25">
      <c r="Y4340" s="63">
        <v>46873</v>
      </c>
      <c r="Z4340" s="61">
        <f>_xll.qlYieldTSDiscount($U$35,Y4340,,Trigger)</f>
        <v>0.85311926071970201</v>
      </c>
    </row>
    <row r="4341" spans="25:26" x14ac:dyDescent="0.25">
      <c r="Y4341" s="63">
        <v>46874</v>
      </c>
      <c r="Z4341" s="61">
        <f>_xll.qlYieldTSDiscount($U$35,Y4341,,Trigger)</f>
        <v>0.85308473258395556</v>
      </c>
    </row>
    <row r="4342" spans="25:26" x14ac:dyDescent="0.25">
      <c r="Y4342" s="63">
        <v>46875</v>
      </c>
      <c r="Z4342" s="61">
        <f>_xll.qlYieldTSDiscount($U$35,Y4342,,Trigger)</f>
        <v>0.85305020645260587</v>
      </c>
    </row>
    <row r="4343" spans="25:26" x14ac:dyDescent="0.25">
      <c r="Y4343" s="63">
        <v>46876</v>
      </c>
      <c r="Z4343" s="61">
        <f>_xll.qlYieldTSDiscount($U$35,Y4343,,Trigger)</f>
        <v>0.85301568232325942</v>
      </c>
    </row>
    <row r="4344" spans="25:26" x14ac:dyDescent="0.25">
      <c r="Y4344" s="63">
        <v>46877</v>
      </c>
      <c r="Z4344" s="61">
        <f>_xll.qlYieldTSDiscount($U$35,Y4344,,Trigger)</f>
        <v>0.85298116019352266</v>
      </c>
    </row>
    <row r="4345" spans="25:26" x14ac:dyDescent="0.25">
      <c r="Y4345" s="63">
        <v>46878</v>
      </c>
      <c r="Z4345" s="61">
        <f>_xll.qlYieldTSDiscount($U$35,Y4345,,Trigger)</f>
        <v>0.85294664006100218</v>
      </c>
    </row>
    <row r="4346" spans="25:26" x14ac:dyDescent="0.25">
      <c r="Y4346" s="63">
        <v>46879</v>
      </c>
      <c r="Z4346" s="61">
        <f>_xll.qlYieldTSDiscount($U$35,Y4346,,Trigger)</f>
        <v>0.85291212192330423</v>
      </c>
    </row>
    <row r="4347" spans="25:26" x14ac:dyDescent="0.25">
      <c r="Y4347" s="63">
        <v>46880</v>
      </c>
      <c r="Z4347" s="61">
        <f>_xll.qlYieldTSDiscount($U$35,Y4347,,Trigger)</f>
        <v>0.85287760577803562</v>
      </c>
    </row>
    <row r="4348" spans="25:26" x14ac:dyDescent="0.25">
      <c r="Y4348" s="63">
        <v>46881</v>
      </c>
      <c r="Z4348" s="61">
        <f>_xll.qlYieldTSDiscount($U$35,Y4348,,Trigger)</f>
        <v>0.85284309162280258</v>
      </c>
    </row>
    <row r="4349" spans="25:26" x14ac:dyDescent="0.25">
      <c r="Y4349" s="63">
        <v>46882</v>
      </c>
      <c r="Z4349" s="61">
        <f>_xll.qlYieldTSDiscount($U$35,Y4349,,Trigger)</f>
        <v>0.85280857945521171</v>
      </c>
    </row>
    <row r="4350" spans="25:26" x14ac:dyDescent="0.25">
      <c r="Y4350" s="63">
        <v>46883</v>
      </c>
      <c r="Z4350" s="61">
        <f>_xll.qlYieldTSDiscount($U$35,Y4350,,Trigger)</f>
        <v>0.85277406927286936</v>
      </c>
    </row>
    <row r="4351" spans="25:26" x14ac:dyDescent="0.25">
      <c r="Y4351" s="63">
        <v>46884</v>
      </c>
      <c r="Z4351" s="61">
        <f>_xll.qlYieldTSDiscount($U$35,Y4351,,Trigger)</f>
        <v>0.85273956107338222</v>
      </c>
    </row>
    <row r="4352" spans="25:26" x14ac:dyDescent="0.25">
      <c r="Y4352" s="63">
        <v>46885</v>
      </c>
      <c r="Z4352" s="61">
        <f>_xll.qlYieldTSDiscount($U$35,Y4352,,Trigger)</f>
        <v>0.85270505485435655</v>
      </c>
    </row>
    <row r="4353" spans="25:26" x14ac:dyDescent="0.25">
      <c r="Y4353" s="63">
        <v>46886</v>
      </c>
      <c r="Z4353" s="61">
        <f>_xll.qlYieldTSDiscount($U$35,Y4353,,Trigger)</f>
        <v>0.85267055061339903</v>
      </c>
    </row>
    <row r="4354" spans="25:26" x14ac:dyDescent="0.25">
      <c r="Y4354" s="63">
        <v>46887</v>
      </c>
      <c r="Z4354" s="61">
        <f>_xll.qlYieldTSDiscount($U$35,Y4354,,Trigger)</f>
        <v>0.8526360483481159</v>
      </c>
    </row>
    <row r="4355" spans="25:26" x14ac:dyDescent="0.25">
      <c r="Y4355" s="63">
        <v>46888</v>
      </c>
      <c r="Z4355" s="61">
        <f>_xll.qlYieldTSDiscount($U$35,Y4355,,Trigger)</f>
        <v>0.85260154805611388</v>
      </c>
    </row>
    <row r="4356" spans="25:26" x14ac:dyDescent="0.25">
      <c r="Y4356" s="63">
        <v>46889</v>
      </c>
      <c r="Z4356" s="61">
        <f>_xll.qlYieldTSDiscount($U$35,Y4356,,Trigger)</f>
        <v>0.85256704973499942</v>
      </c>
    </row>
    <row r="4357" spans="25:26" x14ac:dyDescent="0.25">
      <c r="Y4357" s="63">
        <v>46890</v>
      </c>
      <c r="Z4357" s="61">
        <f>_xll.qlYieldTSDiscount($U$35,Y4357,,Trigger)</f>
        <v>0.85253255338237888</v>
      </c>
    </row>
    <row r="4358" spans="25:26" x14ac:dyDescent="0.25">
      <c r="Y4358" s="63">
        <v>46891</v>
      </c>
      <c r="Z4358" s="61">
        <f>_xll.qlYieldTSDiscount($U$35,Y4358,,Trigger)</f>
        <v>0.85249805899585873</v>
      </c>
    </row>
    <row r="4359" spans="25:26" x14ac:dyDescent="0.25">
      <c r="Y4359" s="63">
        <v>46892</v>
      </c>
      <c r="Z4359" s="61">
        <f>_xll.qlYieldTSDiscount($U$35,Y4359,,Trigger)</f>
        <v>0.85246356657304556</v>
      </c>
    </row>
    <row r="4360" spans="25:26" x14ac:dyDescent="0.25">
      <c r="Y4360" s="63">
        <v>46893</v>
      </c>
      <c r="Z4360" s="61">
        <f>_xll.qlYieldTSDiscount($U$35,Y4360,,Trigger)</f>
        <v>0.85242907611154584</v>
      </c>
    </row>
    <row r="4361" spans="25:26" x14ac:dyDescent="0.25">
      <c r="Y4361" s="63">
        <v>46894</v>
      </c>
      <c r="Z4361" s="61">
        <f>_xll.qlYieldTSDiscount($U$35,Y4361,,Trigger)</f>
        <v>0.85239458760896591</v>
      </c>
    </row>
    <row r="4362" spans="25:26" x14ac:dyDescent="0.25">
      <c r="Y4362" s="63">
        <v>46895</v>
      </c>
      <c r="Z4362" s="61">
        <f>_xll.qlYieldTSDiscount($U$35,Y4362,,Trigger)</f>
        <v>0.85236010106291249</v>
      </c>
    </row>
    <row r="4363" spans="25:26" x14ac:dyDescent="0.25">
      <c r="Y4363" s="63">
        <v>46896</v>
      </c>
      <c r="Z4363" s="61">
        <f>_xll.qlYieldTSDiscount($U$35,Y4363,,Trigger)</f>
        <v>0.85232561647099181</v>
      </c>
    </row>
    <row r="4364" spans="25:26" x14ac:dyDescent="0.25">
      <c r="Y4364" s="63">
        <v>46897</v>
      </c>
      <c r="Z4364" s="61">
        <f>_xll.qlYieldTSDiscount($U$35,Y4364,,Trigger)</f>
        <v>0.85229113383081057</v>
      </c>
    </row>
    <row r="4365" spans="25:26" x14ac:dyDescent="0.25">
      <c r="Y4365" s="63">
        <v>46898</v>
      </c>
      <c r="Z4365" s="61">
        <f>_xll.qlYieldTSDiscount($U$35,Y4365,,Trigger)</f>
        <v>0.85225665313997512</v>
      </c>
    </row>
    <row r="4366" spans="25:26" x14ac:dyDescent="0.25">
      <c r="Y4366" s="63">
        <v>46899</v>
      </c>
      <c r="Z4366" s="61">
        <f>_xll.qlYieldTSDiscount($U$35,Y4366,,Trigger)</f>
        <v>0.85222217439609194</v>
      </c>
    </row>
    <row r="4367" spans="25:26" x14ac:dyDescent="0.25">
      <c r="Y4367" s="63">
        <v>46900</v>
      </c>
      <c r="Z4367" s="61">
        <f>_xll.qlYieldTSDiscount($U$35,Y4367,,Trigger)</f>
        <v>0.8521876975967676</v>
      </c>
    </row>
    <row r="4368" spans="25:26" x14ac:dyDescent="0.25">
      <c r="Y4368" s="63">
        <v>46901</v>
      </c>
      <c r="Z4368" s="61">
        <f>_xll.qlYieldTSDiscount($U$35,Y4368,,Trigger)</f>
        <v>0.85215322273960847</v>
      </c>
    </row>
    <row r="4369" spans="25:26" x14ac:dyDescent="0.25">
      <c r="Y4369" s="63">
        <v>46902</v>
      </c>
      <c r="Z4369" s="61">
        <f>_xll.qlYieldTSDiscount($U$35,Y4369,,Trigger)</f>
        <v>0.85211874982222113</v>
      </c>
    </row>
    <row r="4370" spans="25:26" x14ac:dyDescent="0.25">
      <c r="Y4370" s="63">
        <v>46903</v>
      </c>
      <c r="Z4370" s="61">
        <f>_xll.qlYieldTSDiscount($U$35,Y4370,,Trigger)</f>
        <v>0.85208427884221194</v>
      </c>
    </row>
    <row r="4371" spans="25:26" x14ac:dyDescent="0.25">
      <c r="Y4371" s="63">
        <v>46904</v>
      </c>
      <c r="Z4371" s="61">
        <f>_xll.qlYieldTSDiscount($U$35,Y4371,,Trigger)</f>
        <v>0.85204980979718747</v>
      </c>
    </row>
    <row r="4372" spans="25:26" x14ac:dyDescent="0.25">
      <c r="Y4372" s="63">
        <v>46905</v>
      </c>
      <c r="Z4372" s="61">
        <f>_xll.qlYieldTSDiscount($U$35,Y4372,,Trigger)</f>
        <v>0.85201534268475421</v>
      </c>
    </row>
    <row r="4373" spans="25:26" x14ac:dyDescent="0.25">
      <c r="Y4373" s="63">
        <v>46906</v>
      </c>
      <c r="Z4373" s="61">
        <f>_xll.qlYieldTSDiscount($U$35,Y4373,,Trigger)</f>
        <v>0.85198087750251861</v>
      </c>
    </row>
    <row r="4374" spans="25:26" x14ac:dyDescent="0.25">
      <c r="Y4374" s="63">
        <v>46907</v>
      </c>
      <c r="Z4374" s="61">
        <f>_xll.qlYieldTSDiscount($U$35,Y4374,,Trigger)</f>
        <v>0.85194641424808715</v>
      </c>
    </row>
    <row r="4375" spans="25:26" x14ac:dyDescent="0.25">
      <c r="Y4375" s="63">
        <v>46908</v>
      </c>
      <c r="Z4375" s="61">
        <f>_xll.qlYieldTSDiscount($U$35,Y4375,,Trigger)</f>
        <v>0.8519119529190663</v>
      </c>
    </row>
    <row r="4376" spans="25:26" x14ac:dyDescent="0.25">
      <c r="Y4376" s="63">
        <v>46909</v>
      </c>
      <c r="Z4376" s="61">
        <f>_xll.qlYieldTSDiscount($U$35,Y4376,,Trigger)</f>
        <v>0.85187749351306263</v>
      </c>
    </row>
    <row r="4377" spans="25:26" x14ac:dyDescent="0.25">
      <c r="Y4377" s="63">
        <v>46910</v>
      </c>
      <c r="Z4377" s="61">
        <f>_xll.qlYieldTSDiscount($U$35,Y4377,,Trigger)</f>
        <v>0.85184303602768241</v>
      </c>
    </row>
    <row r="4378" spans="25:26" x14ac:dyDescent="0.25">
      <c r="Y4378" s="63">
        <v>46911</v>
      </c>
      <c r="Z4378" s="61">
        <f>_xll.qlYieldTSDiscount($U$35,Y4378,,Trigger)</f>
        <v>0.85180858046053243</v>
      </c>
    </row>
    <row r="4379" spans="25:26" x14ac:dyDescent="0.25">
      <c r="Y4379" s="63">
        <v>46912</v>
      </c>
      <c r="Z4379" s="61">
        <f>_xll.qlYieldTSDiscount($U$35,Y4379,,Trigger)</f>
        <v>0.85177412680921882</v>
      </c>
    </row>
    <row r="4380" spans="25:26" x14ac:dyDescent="0.25">
      <c r="Y4380" s="63">
        <v>46913</v>
      </c>
      <c r="Z4380" s="61">
        <f>_xll.qlYieldTSDiscount($U$35,Y4380,,Trigger)</f>
        <v>0.8517396750713484</v>
      </c>
    </row>
    <row r="4381" spans="25:26" x14ac:dyDescent="0.25">
      <c r="Y4381" s="63">
        <v>46914</v>
      </c>
      <c r="Z4381" s="61">
        <f>_xll.qlYieldTSDiscount($U$35,Y4381,,Trigger)</f>
        <v>0.85170522524452741</v>
      </c>
    </row>
    <row r="4382" spans="25:26" x14ac:dyDescent="0.25">
      <c r="Y4382" s="63">
        <v>46915</v>
      </c>
      <c r="Z4382" s="61">
        <f>_xll.qlYieldTSDiscount($U$35,Y4382,,Trigger)</f>
        <v>0.85167077732636232</v>
      </c>
    </row>
    <row r="4383" spans="25:26" x14ac:dyDescent="0.25">
      <c r="Y4383" s="63">
        <v>46916</v>
      </c>
      <c r="Z4383" s="61">
        <f>_xll.qlYieldTSDiscount($U$35,Y4383,,Trigger)</f>
        <v>0.85163633131445982</v>
      </c>
    </row>
    <row r="4384" spans="25:26" x14ac:dyDescent="0.25">
      <c r="Y4384" s="63">
        <v>46917</v>
      </c>
      <c r="Z4384" s="61">
        <f>_xll.qlYieldTSDiscount($U$35,Y4384,,Trigger)</f>
        <v>0.85160188720642627</v>
      </c>
    </row>
    <row r="4385" spans="25:26" x14ac:dyDescent="0.25">
      <c r="Y4385" s="63">
        <v>46918</v>
      </c>
      <c r="Z4385" s="61">
        <f>_xll.qlYieldTSDiscount($U$35,Y4385,,Trigger)</f>
        <v>0.85156744499986814</v>
      </c>
    </row>
    <row r="4386" spans="25:26" x14ac:dyDescent="0.25">
      <c r="Y4386" s="63">
        <v>46919</v>
      </c>
      <c r="Z4386" s="61">
        <f>_xll.qlYieldTSDiscount($U$35,Y4386,,Trigger)</f>
        <v>0.8515330046923919</v>
      </c>
    </row>
    <row r="4387" spans="25:26" x14ac:dyDescent="0.25">
      <c r="Y4387" s="63">
        <v>46920</v>
      </c>
      <c r="Z4387" s="61">
        <f>_xll.qlYieldTSDiscount($U$35,Y4387,,Trigger)</f>
        <v>0.85149856628160403</v>
      </c>
    </row>
    <row r="4388" spans="25:26" x14ac:dyDescent="0.25">
      <c r="Y4388" s="63">
        <v>46921</v>
      </c>
      <c r="Z4388" s="61">
        <f>_xll.qlYieldTSDiscount($U$35,Y4388,,Trigger)</f>
        <v>0.8514641297651111</v>
      </c>
    </row>
    <row r="4389" spans="25:26" x14ac:dyDescent="0.25">
      <c r="Y4389" s="63">
        <v>46922</v>
      </c>
      <c r="Z4389" s="61">
        <f>_xll.qlYieldTSDiscount($U$35,Y4389,,Trigger)</f>
        <v>0.85142969514051947</v>
      </c>
    </row>
    <row r="4390" spans="25:26" x14ac:dyDescent="0.25">
      <c r="Y4390" s="63">
        <v>46923</v>
      </c>
      <c r="Z4390" s="61">
        <f>_xll.qlYieldTSDiscount($U$35,Y4390,,Trigger)</f>
        <v>0.85139526240543573</v>
      </c>
    </row>
    <row r="4391" spans="25:26" x14ac:dyDescent="0.25">
      <c r="Y4391" s="63">
        <v>46924</v>
      </c>
      <c r="Z4391" s="61">
        <f>_xll.qlYieldTSDiscount($U$35,Y4391,,Trigger)</f>
        <v>0.85136083155746622</v>
      </c>
    </row>
    <row r="4392" spans="25:26" x14ac:dyDescent="0.25">
      <c r="Y4392" s="63">
        <v>46925</v>
      </c>
      <c r="Z4392" s="61">
        <f>_xll.qlYieldTSDiscount($U$35,Y4392,,Trigger)</f>
        <v>0.85132640259421755</v>
      </c>
    </row>
    <row r="4393" spans="25:26" x14ac:dyDescent="0.25">
      <c r="Y4393" s="63">
        <v>46926</v>
      </c>
      <c r="Z4393" s="61">
        <f>_xll.qlYieldTSDiscount($U$35,Y4393,,Trigger)</f>
        <v>0.85129197551329616</v>
      </c>
    </row>
    <row r="4394" spans="25:26" x14ac:dyDescent="0.25">
      <c r="Y4394" s="63">
        <v>46927</v>
      </c>
      <c r="Z4394" s="61">
        <f>_xll.qlYieldTSDiscount($U$35,Y4394,,Trigger)</f>
        <v>0.85125755031230854</v>
      </c>
    </row>
    <row r="4395" spans="25:26" x14ac:dyDescent="0.25">
      <c r="Y4395" s="63">
        <v>46928</v>
      </c>
      <c r="Z4395" s="61">
        <f>_xll.qlYieldTSDiscount($U$35,Y4395,,Trigger)</f>
        <v>0.85122312698886116</v>
      </c>
    </row>
    <row r="4396" spans="25:26" x14ac:dyDescent="0.25">
      <c r="Y4396" s="63">
        <v>46929</v>
      </c>
      <c r="Z4396" s="61">
        <f>_xll.qlYieldTSDiscount($U$35,Y4396,,Trigger)</f>
        <v>0.85118870554056048</v>
      </c>
    </row>
    <row r="4397" spans="25:26" x14ac:dyDescent="0.25">
      <c r="Y4397" s="63">
        <v>46930</v>
      </c>
      <c r="Z4397" s="61">
        <f>_xll.qlYieldTSDiscount($U$35,Y4397,,Trigger)</f>
        <v>0.85115428596501308</v>
      </c>
    </row>
    <row r="4398" spans="25:26" x14ac:dyDescent="0.25">
      <c r="Y4398" s="63">
        <v>46931</v>
      </c>
      <c r="Z4398" s="61">
        <f>_xll.qlYieldTSDiscount($U$35,Y4398,,Trigger)</f>
        <v>0.85111986825982522</v>
      </c>
    </row>
    <row r="4399" spans="25:26" x14ac:dyDescent="0.25">
      <c r="Y4399" s="63">
        <v>46932</v>
      </c>
      <c r="Z4399" s="61">
        <f>_xll.qlYieldTSDiscount($U$35,Y4399,,Trigger)</f>
        <v>0.85108545242260358</v>
      </c>
    </row>
    <row r="4400" spans="25:26" x14ac:dyDescent="0.25">
      <c r="Y4400" s="63">
        <v>46933</v>
      </c>
      <c r="Z4400" s="61">
        <f>_xll.qlYieldTSDiscount($U$35,Y4400,,Trigger)</f>
        <v>0.85105103845095464</v>
      </c>
    </row>
    <row r="4401" spans="25:26" x14ac:dyDescent="0.25">
      <c r="Y4401" s="63">
        <v>46934</v>
      </c>
      <c r="Z4401" s="61">
        <f>_xll.qlYieldTSDiscount($U$35,Y4401,,Trigger)</f>
        <v>0.85101662634248476</v>
      </c>
    </row>
    <row r="4402" spans="25:26" x14ac:dyDescent="0.25">
      <c r="Y4402" s="63">
        <v>46935</v>
      </c>
      <c r="Z4402" s="61">
        <f>_xll.qlYieldTSDiscount($U$35,Y4402,,Trigger)</f>
        <v>0.85098221609480051</v>
      </c>
    </row>
    <row r="4403" spans="25:26" x14ac:dyDescent="0.25">
      <c r="Y4403" s="63">
        <v>46936</v>
      </c>
      <c r="Z4403" s="61">
        <f>_xll.qlYieldTSDiscount($U$35,Y4403,,Trigger)</f>
        <v>0.85094780770550826</v>
      </c>
    </row>
    <row r="4404" spans="25:26" x14ac:dyDescent="0.25">
      <c r="Y4404" s="63">
        <v>46937</v>
      </c>
      <c r="Z4404" s="61">
        <f>_xll.qlYieldTSDiscount($U$35,Y4404,,Trigger)</f>
        <v>0.8509134011722147</v>
      </c>
    </row>
    <row r="4405" spans="25:26" x14ac:dyDescent="0.25">
      <c r="Y4405" s="63">
        <v>46938</v>
      </c>
      <c r="Z4405" s="61">
        <f>_xll.qlYieldTSDiscount($U$35,Y4405,,Trigger)</f>
        <v>0.85087899649252607</v>
      </c>
    </row>
    <row r="4406" spans="25:26" x14ac:dyDescent="0.25">
      <c r="Y4406" s="63">
        <v>46939</v>
      </c>
      <c r="Z4406" s="61">
        <f>_xll.qlYieldTSDiscount($U$35,Y4406,,Trigger)</f>
        <v>0.85084459366404908</v>
      </c>
    </row>
    <row r="4407" spans="25:26" x14ac:dyDescent="0.25">
      <c r="Y4407" s="63">
        <v>46940</v>
      </c>
      <c r="Z4407" s="61">
        <f>_xll.qlYieldTSDiscount($U$35,Y4407,,Trigger)</f>
        <v>0.85081019268438995</v>
      </c>
    </row>
    <row r="4408" spans="25:26" x14ac:dyDescent="0.25">
      <c r="Y4408" s="63">
        <v>46941</v>
      </c>
      <c r="Z4408" s="61">
        <f>_xll.qlYieldTSDiscount($U$35,Y4408,,Trigger)</f>
        <v>0.8507757935511554</v>
      </c>
    </row>
    <row r="4409" spans="25:26" x14ac:dyDescent="0.25">
      <c r="Y4409" s="63">
        <v>46942</v>
      </c>
      <c r="Z4409" s="61">
        <f>_xll.qlYieldTSDiscount($U$35,Y4409,,Trigger)</f>
        <v>0.85074139626195189</v>
      </c>
    </row>
    <row r="4410" spans="25:26" x14ac:dyDescent="0.25">
      <c r="Y4410" s="63">
        <v>46943</v>
      </c>
      <c r="Z4410" s="61">
        <f>_xll.qlYieldTSDiscount($U$35,Y4410,,Trigger)</f>
        <v>0.85070700081438566</v>
      </c>
    </row>
    <row r="4411" spans="25:26" x14ac:dyDescent="0.25">
      <c r="Y4411" s="63">
        <v>46944</v>
      </c>
      <c r="Z4411" s="61">
        <f>_xll.qlYieldTSDiscount($U$35,Y4411,,Trigger)</f>
        <v>0.85067260720606341</v>
      </c>
    </row>
    <row r="4412" spans="25:26" x14ac:dyDescent="0.25">
      <c r="Y4412" s="63">
        <v>46945</v>
      </c>
      <c r="Z4412" s="61">
        <f>_xll.qlYieldTSDiscount($U$35,Y4412,,Trigger)</f>
        <v>0.85063821543459162</v>
      </c>
    </row>
    <row r="4413" spans="25:26" x14ac:dyDescent="0.25">
      <c r="Y4413" s="63">
        <v>46946</v>
      </c>
      <c r="Z4413" s="61">
        <f>_xll.qlYieldTSDiscount($U$35,Y4413,,Trigger)</f>
        <v>0.85060382549757674</v>
      </c>
    </row>
    <row r="4414" spans="25:26" x14ac:dyDescent="0.25">
      <c r="Y4414" s="63">
        <v>46947</v>
      </c>
      <c r="Z4414" s="61">
        <f>_xll.qlYieldTSDiscount($U$35,Y4414,,Trigger)</f>
        <v>0.85056943739262514</v>
      </c>
    </row>
    <row r="4415" spans="25:26" x14ac:dyDescent="0.25">
      <c r="Y4415" s="63">
        <v>46948</v>
      </c>
      <c r="Z4415" s="61">
        <f>_xll.qlYieldTSDiscount($U$35,Y4415,,Trigger)</f>
        <v>0.85053505111734351</v>
      </c>
    </row>
    <row r="4416" spans="25:26" x14ac:dyDescent="0.25">
      <c r="Y4416" s="63">
        <v>46949</v>
      </c>
      <c r="Z4416" s="61">
        <f>_xll.qlYieldTSDiscount($U$35,Y4416,,Trigger)</f>
        <v>0.8505006666693381</v>
      </c>
    </row>
    <row r="4417" spans="25:26" x14ac:dyDescent="0.25">
      <c r="Y4417" s="63">
        <v>46950</v>
      </c>
      <c r="Z4417" s="61">
        <f>_xll.qlYieldTSDiscount($U$35,Y4417,,Trigger)</f>
        <v>0.8504662840462156</v>
      </c>
    </row>
    <row r="4418" spans="25:26" x14ac:dyDescent="0.25">
      <c r="Y4418" s="63">
        <v>46951</v>
      </c>
      <c r="Z4418" s="61">
        <f>_xll.qlYieldTSDiscount($U$35,Y4418,,Trigger)</f>
        <v>0.85043190324558227</v>
      </c>
    </row>
    <row r="4419" spans="25:26" x14ac:dyDescent="0.25">
      <c r="Y4419" s="63">
        <v>46952</v>
      </c>
      <c r="Z4419" s="61">
        <f>_xll.qlYieldTSDiscount($U$35,Y4419,,Trigger)</f>
        <v>0.85039752426504478</v>
      </c>
    </row>
    <row r="4420" spans="25:26" x14ac:dyDescent="0.25">
      <c r="Y4420" s="63">
        <v>46953</v>
      </c>
      <c r="Z4420" s="61">
        <f>_xll.qlYieldTSDiscount($U$35,Y4420,,Trigger)</f>
        <v>0.8503631471022095</v>
      </c>
    </row>
    <row r="4421" spans="25:26" x14ac:dyDescent="0.25">
      <c r="Y4421" s="63">
        <v>46954</v>
      </c>
      <c r="Z4421" s="61">
        <f>_xll.qlYieldTSDiscount($U$35,Y4421,,Trigger)</f>
        <v>0.85032877175468302</v>
      </c>
    </row>
    <row r="4422" spans="25:26" x14ac:dyDescent="0.25">
      <c r="Y4422" s="63">
        <v>46955</v>
      </c>
      <c r="Z4422" s="61">
        <f>_xll.qlYieldTSDiscount($U$35,Y4422,,Trigger)</f>
        <v>0.85029439822007169</v>
      </c>
    </row>
    <row r="4423" spans="25:26" x14ac:dyDescent="0.25">
      <c r="Y4423" s="63">
        <v>46956</v>
      </c>
      <c r="Z4423" s="61">
        <f>_xll.qlYieldTSDiscount($U$35,Y4423,,Trigger)</f>
        <v>0.85026002649598209</v>
      </c>
    </row>
    <row r="4424" spans="25:26" x14ac:dyDescent="0.25">
      <c r="Y4424" s="63">
        <v>46957</v>
      </c>
      <c r="Z4424" s="61">
        <f>_xll.qlYieldTSDiscount($U$35,Y4424,,Trigger)</f>
        <v>0.85022565658002069</v>
      </c>
    </row>
    <row r="4425" spans="25:26" x14ac:dyDescent="0.25">
      <c r="Y4425" s="63">
        <v>46958</v>
      </c>
      <c r="Z4425" s="61">
        <f>_xll.qlYieldTSDiscount($U$35,Y4425,,Trigger)</f>
        <v>0.85019128846979397</v>
      </c>
    </row>
    <row r="4426" spans="25:26" x14ac:dyDescent="0.25">
      <c r="Y4426" s="63">
        <v>46959</v>
      </c>
      <c r="Z4426" s="61">
        <f>_xll.qlYieldTSDiscount($U$35,Y4426,,Trigger)</f>
        <v>0.85015692216290828</v>
      </c>
    </row>
    <row r="4427" spans="25:26" x14ac:dyDescent="0.25">
      <c r="Y4427" s="63">
        <v>46960</v>
      </c>
      <c r="Z4427" s="61">
        <f>_xll.qlYieldTSDiscount($U$35,Y4427,,Trigger)</f>
        <v>0.85012255765697031</v>
      </c>
    </row>
    <row r="4428" spans="25:26" x14ac:dyDescent="0.25">
      <c r="Y4428" s="63">
        <v>46961</v>
      </c>
      <c r="Z4428" s="61">
        <f>_xll.qlYieldTSDiscount($U$35,Y4428,,Trigger)</f>
        <v>0.85008819494958643</v>
      </c>
    </row>
    <row r="4429" spans="25:26" x14ac:dyDescent="0.25">
      <c r="Y4429" s="63">
        <v>46962</v>
      </c>
      <c r="Z4429" s="61">
        <f>_xll.qlYieldTSDiscount($U$35,Y4429,,Trigger)</f>
        <v>0.8500538340383631</v>
      </c>
    </row>
    <row r="4430" spans="25:26" x14ac:dyDescent="0.25">
      <c r="Y4430" s="63">
        <v>46963</v>
      </c>
      <c r="Z4430" s="61">
        <f>_xll.qlYieldTSDiscount($U$35,Y4430,,Trigger)</f>
        <v>0.85001947492090679</v>
      </c>
    </row>
    <row r="4431" spans="25:26" x14ac:dyDescent="0.25">
      <c r="Y4431" s="63">
        <v>46964</v>
      </c>
      <c r="Z4431" s="61">
        <f>_xll.qlYieldTSDiscount($U$35,Y4431,,Trigger)</f>
        <v>0.84998511759482409</v>
      </c>
    </row>
    <row r="4432" spans="25:26" x14ac:dyDescent="0.25">
      <c r="Y4432" s="63">
        <v>46965</v>
      </c>
      <c r="Z4432" s="61">
        <f>_xll.qlYieldTSDiscount($U$35,Y4432,,Trigger)</f>
        <v>0.84995076205772135</v>
      </c>
    </row>
    <row r="4433" spans="25:26" x14ac:dyDescent="0.25">
      <c r="Y4433" s="63">
        <v>46966</v>
      </c>
      <c r="Z4433" s="61">
        <f>_xll.qlYieldTSDiscount($U$35,Y4433,,Trigger)</f>
        <v>0.84991640830720516</v>
      </c>
    </row>
    <row r="4434" spans="25:26" x14ac:dyDescent="0.25">
      <c r="Y4434" s="63">
        <v>46967</v>
      </c>
      <c r="Z4434" s="61">
        <f>_xll.qlYieldTSDiscount($U$35,Y4434,,Trigger)</f>
        <v>0.84988205634088188</v>
      </c>
    </row>
    <row r="4435" spans="25:26" x14ac:dyDescent="0.25">
      <c r="Y4435" s="63">
        <v>46968</v>
      </c>
      <c r="Z4435" s="61">
        <f>_xll.qlYieldTSDiscount($U$35,Y4435,,Trigger)</f>
        <v>0.84984770615635818</v>
      </c>
    </row>
    <row r="4436" spans="25:26" x14ac:dyDescent="0.25">
      <c r="Y4436" s="63">
        <v>46969</v>
      </c>
      <c r="Z4436" s="61">
        <f>_xll.qlYieldTSDiscount($U$35,Y4436,,Trigger)</f>
        <v>0.84981335775124034</v>
      </c>
    </row>
    <row r="4437" spans="25:26" x14ac:dyDescent="0.25">
      <c r="Y4437" s="63">
        <v>46970</v>
      </c>
      <c r="Z4437" s="61">
        <f>_xll.qlYieldTSDiscount($U$35,Y4437,,Trigger)</f>
        <v>0.84977901112313492</v>
      </c>
    </row>
    <row r="4438" spans="25:26" x14ac:dyDescent="0.25">
      <c r="Y4438" s="63">
        <v>46971</v>
      </c>
      <c r="Z4438" s="61">
        <f>_xll.qlYieldTSDiscount($U$35,Y4438,,Trigger)</f>
        <v>0.8497446662696484</v>
      </c>
    </row>
    <row r="4439" spans="25:26" x14ac:dyDescent="0.25">
      <c r="Y4439" s="63">
        <v>46972</v>
      </c>
      <c r="Z4439" s="61">
        <f>_xll.qlYieldTSDiscount($U$35,Y4439,,Trigger)</f>
        <v>0.84971032318838735</v>
      </c>
    </row>
    <row r="4440" spans="25:26" x14ac:dyDescent="0.25">
      <c r="Y4440" s="63">
        <v>46973</v>
      </c>
      <c r="Z4440" s="61">
        <f>_xll.qlYieldTSDiscount($U$35,Y4440,,Trigger)</f>
        <v>0.84967598187695803</v>
      </c>
    </row>
    <row r="4441" spans="25:26" x14ac:dyDescent="0.25">
      <c r="Y4441" s="63">
        <v>46974</v>
      </c>
      <c r="Z4441" s="61">
        <f>_xll.qlYieldTSDiscount($U$35,Y4441,,Trigger)</f>
        <v>0.84964164233296713</v>
      </c>
    </row>
    <row r="4442" spans="25:26" x14ac:dyDescent="0.25">
      <c r="Y4442" s="63">
        <v>46975</v>
      </c>
      <c r="Z4442" s="61">
        <f>_xll.qlYieldTSDiscount($U$35,Y4442,,Trigger)</f>
        <v>0.84960730455402111</v>
      </c>
    </row>
    <row r="4443" spans="25:26" x14ac:dyDescent="0.25">
      <c r="Y4443" s="63">
        <v>46976</v>
      </c>
      <c r="Z4443" s="61">
        <f>_xll.qlYieldTSDiscount($U$35,Y4443,,Trigger)</f>
        <v>0.84957296853772635</v>
      </c>
    </row>
    <row r="4444" spans="25:26" x14ac:dyDescent="0.25">
      <c r="Y4444" s="63">
        <v>46977</v>
      </c>
      <c r="Z4444" s="61">
        <f>_xll.qlYieldTSDiscount($U$35,Y4444,,Trigger)</f>
        <v>0.84953863428168941</v>
      </c>
    </row>
    <row r="4445" spans="25:26" x14ac:dyDescent="0.25">
      <c r="Y4445" s="63">
        <v>46978</v>
      </c>
      <c r="Z4445" s="61">
        <f>_xll.qlYieldTSDiscount($U$35,Y4445,,Trigger)</f>
        <v>0.84950430178351666</v>
      </c>
    </row>
    <row r="4446" spans="25:26" x14ac:dyDescent="0.25">
      <c r="Y4446" s="63">
        <v>46979</v>
      </c>
      <c r="Z4446" s="61">
        <f>_xll.qlYieldTSDiscount($U$35,Y4446,,Trigger)</f>
        <v>0.84946997104081468</v>
      </c>
    </row>
    <row r="4447" spans="25:26" x14ac:dyDescent="0.25">
      <c r="Y4447" s="63">
        <v>46980</v>
      </c>
      <c r="Z4447" s="61">
        <f>_xll.qlYieldTSDiscount($U$35,Y4447,,Trigger)</f>
        <v>0.84943564205118993</v>
      </c>
    </row>
    <row r="4448" spans="25:26" x14ac:dyDescent="0.25">
      <c r="Y4448" s="63">
        <v>46981</v>
      </c>
      <c r="Z4448" s="61">
        <f>_xll.qlYieldTSDiscount($U$35,Y4448,,Trigger)</f>
        <v>0.84940131481224901</v>
      </c>
    </row>
    <row r="4449" spans="25:26" x14ac:dyDescent="0.25">
      <c r="Y4449" s="63">
        <v>46982</v>
      </c>
      <c r="Z4449" s="61">
        <f>_xll.qlYieldTSDiscount($U$35,Y4449,,Trigger)</f>
        <v>0.84936698932159815</v>
      </c>
    </row>
    <row r="4450" spans="25:26" x14ac:dyDescent="0.25">
      <c r="Y4450" s="63">
        <v>46983</v>
      </c>
      <c r="Z4450" s="61">
        <f>_xll.qlYieldTSDiscount($U$35,Y4450,,Trigger)</f>
        <v>0.84933266557684395</v>
      </c>
    </row>
    <row r="4451" spans="25:26" x14ac:dyDescent="0.25">
      <c r="Y4451" s="63">
        <v>46984</v>
      </c>
      <c r="Z4451" s="61">
        <f>_xll.qlYieldTSDiscount($U$35,Y4451,,Trigger)</f>
        <v>0.84929834357559297</v>
      </c>
    </row>
    <row r="4452" spans="25:26" x14ac:dyDescent="0.25">
      <c r="Y4452" s="63">
        <v>46985</v>
      </c>
      <c r="Z4452" s="61">
        <f>_xll.qlYieldTSDiscount($U$35,Y4452,,Trigger)</f>
        <v>0.84926402331545159</v>
      </c>
    </row>
    <row r="4453" spans="25:26" x14ac:dyDescent="0.25">
      <c r="Y4453" s="63">
        <v>46986</v>
      </c>
      <c r="Z4453" s="61">
        <f>_xll.qlYieldTSDiscount($U$35,Y4453,,Trigger)</f>
        <v>0.84922970479402637</v>
      </c>
    </row>
    <row r="4454" spans="25:26" x14ac:dyDescent="0.25">
      <c r="Y4454" s="63">
        <v>46987</v>
      </c>
      <c r="Z4454" s="61">
        <f>_xll.qlYieldTSDiscount($U$35,Y4454,,Trigger)</f>
        <v>0.84919538800892369</v>
      </c>
    </row>
    <row r="4455" spans="25:26" x14ac:dyDescent="0.25">
      <c r="Y4455" s="63">
        <v>46988</v>
      </c>
      <c r="Z4455" s="61">
        <f>_xll.qlYieldTSDiscount($U$35,Y4455,,Trigger)</f>
        <v>0.84916107295775012</v>
      </c>
    </row>
    <row r="4456" spans="25:26" x14ac:dyDescent="0.25">
      <c r="Y4456" s="63">
        <v>46989</v>
      </c>
      <c r="Z4456" s="61">
        <f>_xll.qlYieldTSDiscount($U$35,Y4456,,Trigger)</f>
        <v>0.84912675963811213</v>
      </c>
    </row>
    <row r="4457" spans="25:26" x14ac:dyDescent="0.25">
      <c r="Y4457" s="63">
        <v>46990</v>
      </c>
      <c r="Z4457" s="61">
        <f>_xll.qlYieldTSDiscount($U$35,Y4457,,Trigger)</f>
        <v>0.84909244804761608</v>
      </c>
    </row>
    <row r="4458" spans="25:26" x14ac:dyDescent="0.25">
      <c r="Y4458" s="63">
        <v>46991</v>
      </c>
      <c r="Z4458" s="61">
        <f>_xll.qlYieldTSDiscount($U$35,Y4458,,Trigger)</f>
        <v>0.84905813818386866</v>
      </c>
    </row>
    <row r="4459" spans="25:26" x14ac:dyDescent="0.25">
      <c r="Y4459" s="63">
        <v>46992</v>
      </c>
      <c r="Z4459" s="61">
        <f>_xll.qlYieldTSDiscount($U$35,Y4459,,Trigger)</f>
        <v>0.84902383004447612</v>
      </c>
    </row>
    <row r="4460" spans="25:26" x14ac:dyDescent="0.25">
      <c r="Y4460" s="63">
        <v>46993</v>
      </c>
      <c r="Z4460" s="61">
        <f>_xll.qlYieldTSDiscount($U$35,Y4460,,Trigger)</f>
        <v>0.84898952362704516</v>
      </c>
    </row>
    <row r="4461" spans="25:26" x14ac:dyDescent="0.25">
      <c r="Y4461" s="63">
        <v>46994</v>
      </c>
      <c r="Z4461" s="61">
        <f>_xll.qlYieldTSDiscount($U$35,Y4461,,Trigger)</f>
        <v>0.84895521892918213</v>
      </c>
    </row>
    <row r="4462" spans="25:26" x14ac:dyDescent="0.25">
      <c r="Y4462" s="63">
        <v>46995</v>
      </c>
      <c r="Z4462" s="61">
        <f>_xll.qlYieldTSDiscount($U$35,Y4462,,Trigger)</f>
        <v>0.8489209159484935</v>
      </c>
    </row>
    <row r="4463" spans="25:26" x14ac:dyDescent="0.25">
      <c r="Y4463" s="63">
        <v>46996</v>
      </c>
      <c r="Z4463" s="61">
        <f>_xll.qlYieldTSDiscount($U$35,Y4463,,Trigger)</f>
        <v>0.84888661468258586</v>
      </c>
    </row>
    <row r="4464" spans="25:26" x14ac:dyDescent="0.25">
      <c r="Y4464" s="63">
        <v>46997</v>
      </c>
      <c r="Z4464" s="61">
        <f>_xll.qlYieldTSDiscount($U$35,Y4464,,Trigger)</f>
        <v>0.84885231512906556</v>
      </c>
    </row>
    <row r="4465" spans="25:26" x14ac:dyDescent="0.25">
      <c r="Y4465" s="63">
        <v>46998</v>
      </c>
      <c r="Z4465" s="61">
        <f>_xll.qlYieldTSDiscount($U$35,Y4465,,Trigger)</f>
        <v>0.84881801728553918</v>
      </c>
    </row>
    <row r="4466" spans="25:26" x14ac:dyDescent="0.25">
      <c r="Y4466" s="63">
        <v>46999</v>
      </c>
      <c r="Z4466" s="61">
        <f>_xll.qlYieldTSDiscount($U$35,Y4466,,Trigger)</f>
        <v>0.84878372114961309</v>
      </c>
    </row>
    <row r="4467" spans="25:26" x14ac:dyDescent="0.25">
      <c r="Y4467" s="63">
        <v>47000</v>
      </c>
      <c r="Z4467" s="61">
        <f>_xll.qlYieldTSDiscount($U$35,Y4467,,Trigger)</f>
        <v>0.84874942671889386</v>
      </c>
    </row>
    <row r="4468" spans="25:26" x14ac:dyDescent="0.25">
      <c r="Y4468" s="63">
        <v>47001</v>
      </c>
      <c r="Z4468" s="61">
        <f>_xll.qlYieldTSDiscount($U$35,Y4468,,Trigger)</f>
        <v>0.84871513399098808</v>
      </c>
    </row>
    <row r="4469" spans="25:26" x14ac:dyDescent="0.25">
      <c r="Y4469" s="63">
        <v>47002</v>
      </c>
      <c r="Z4469" s="61">
        <f>_xll.qlYieldTSDiscount($U$35,Y4469,,Trigger)</f>
        <v>0.84868084296350199</v>
      </c>
    </row>
    <row r="4470" spans="25:26" x14ac:dyDescent="0.25">
      <c r="Y4470" s="63">
        <v>47003</v>
      </c>
      <c r="Z4470" s="61">
        <f>_xll.qlYieldTSDiscount($U$35,Y4470,,Trigger)</f>
        <v>0.84864655363404218</v>
      </c>
    </row>
    <row r="4471" spans="25:26" x14ac:dyDescent="0.25">
      <c r="Y4471" s="63">
        <v>47004</v>
      </c>
      <c r="Z4471" s="61">
        <f>_xll.qlYieldTSDiscount($U$35,Y4471,,Trigger)</f>
        <v>0.84861226600021511</v>
      </c>
    </row>
    <row r="4472" spans="25:26" x14ac:dyDescent="0.25">
      <c r="Y4472" s="63">
        <v>47005</v>
      </c>
      <c r="Z4472" s="61">
        <f>_xll.qlYieldTSDiscount($U$35,Y4472,,Trigger)</f>
        <v>0.84857798005962737</v>
      </c>
    </row>
    <row r="4473" spans="25:26" x14ac:dyDescent="0.25">
      <c r="Y4473" s="63">
        <v>47006</v>
      </c>
      <c r="Z4473" s="61">
        <f>_xll.qlYieldTSDiscount($U$35,Y4473,,Trigger)</f>
        <v>0.84854369580988531</v>
      </c>
    </row>
    <row r="4474" spans="25:26" x14ac:dyDescent="0.25">
      <c r="Y4474" s="63">
        <v>47007</v>
      </c>
      <c r="Z4474" s="61">
        <f>_xll.qlYieldTSDiscount($U$35,Y4474,,Trigger)</f>
        <v>0.84850941324859552</v>
      </c>
    </row>
    <row r="4475" spans="25:26" x14ac:dyDescent="0.25">
      <c r="Y4475" s="63">
        <v>47008</v>
      </c>
      <c r="Z4475" s="61">
        <f>_xll.qlYieldTSDiscount($U$35,Y4475,,Trigger)</f>
        <v>0.84847513237336436</v>
      </c>
    </row>
    <row r="4476" spans="25:26" x14ac:dyDescent="0.25">
      <c r="Y4476" s="63">
        <v>47009</v>
      </c>
      <c r="Z4476" s="61">
        <f>_xll.qlYieldTSDiscount($U$35,Y4476,,Trigger)</f>
        <v>0.8484408531817984</v>
      </c>
    </row>
    <row r="4477" spans="25:26" x14ac:dyDescent="0.25">
      <c r="Y4477" s="63">
        <v>47010</v>
      </c>
      <c r="Z4477" s="61">
        <f>_xll.qlYieldTSDiscount($U$35,Y4477,,Trigger)</f>
        <v>0.84840657567150402</v>
      </c>
    </row>
    <row r="4478" spans="25:26" x14ac:dyDescent="0.25">
      <c r="Y4478" s="63">
        <v>47011</v>
      </c>
      <c r="Z4478" s="61">
        <f>_xll.qlYieldTSDiscount($U$35,Y4478,,Trigger)</f>
        <v>0.84837229984008777</v>
      </c>
    </row>
    <row r="4479" spans="25:26" x14ac:dyDescent="0.25">
      <c r="Y4479" s="63">
        <v>47012</v>
      </c>
      <c r="Z4479" s="61">
        <f>_xll.qlYieldTSDiscount($U$35,Y4479,,Trigger)</f>
        <v>0.84833802568515626</v>
      </c>
    </row>
    <row r="4480" spans="25:26" x14ac:dyDescent="0.25">
      <c r="Y4480" s="63">
        <v>47013</v>
      </c>
      <c r="Z4480" s="61">
        <f>_xll.qlYieldTSDiscount($U$35,Y4480,,Trigger)</f>
        <v>0.84830375320431572</v>
      </c>
    </row>
    <row r="4481" spans="25:26" x14ac:dyDescent="0.25">
      <c r="Y4481" s="63">
        <v>47014</v>
      </c>
      <c r="Z4481" s="61">
        <f>_xll.qlYieldTSDiscount($U$35,Y4481,,Trigger)</f>
        <v>0.84826948239517275</v>
      </c>
    </row>
    <row r="4482" spans="25:26" x14ac:dyDescent="0.25">
      <c r="Y4482" s="63">
        <v>47015</v>
      </c>
      <c r="Z4482" s="61">
        <f>_xll.qlYieldTSDiscount($U$35,Y4482,,Trigger)</f>
        <v>0.84823521325533391</v>
      </c>
    </row>
    <row r="4483" spans="25:26" x14ac:dyDescent="0.25">
      <c r="Y4483" s="63">
        <v>47016</v>
      </c>
      <c r="Z4483" s="61">
        <f>_xll.qlYieldTSDiscount($U$35,Y4483,,Trigger)</f>
        <v>0.84820094578240557</v>
      </c>
    </row>
    <row r="4484" spans="25:26" x14ac:dyDescent="0.25">
      <c r="Y4484" s="63">
        <v>47017</v>
      </c>
      <c r="Z4484" s="61">
        <f>_xll.qlYieldTSDiscount($U$35,Y4484,,Trigger)</f>
        <v>0.8481666799739942</v>
      </c>
    </row>
    <row r="4485" spans="25:26" x14ac:dyDescent="0.25">
      <c r="Y4485" s="63">
        <v>47018</v>
      </c>
      <c r="Z4485" s="61">
        <f>_xll.qlYieldTSDiscount($U$35,Y4485,,Trigger)</f>
        <v>0.84813241582770638</v>
      </c>
    </row>
    <row r="4486" spans="25:26" x14ac:dyDescent="0.25">
      <c r="Y4486" s="63">
        <v>47019</v>
      </c>
      <c r="Z4486" s="61">
        <f>_xll.qlYieldTSDiscount($U$35,Y4486,,Trigger)</f>
        <v>0.84809815334114846</v>
      </c>
    </row>
    <row r="4487" spans="25:26" x14ac:dyDescent="0.25">
      <c r="Y4487" s="63">
        <v>47020</v>
      </c>
      <c r="Z4487" s="61">
        <f>_xll.qlYieldTSDiscount($U$35,Y4487,,Trigger)</f>
        <v>0.84806389251192704</v>
      </c>
    </row>
    <row r="4488" spans="25:26" x14ac:dyDescent="0.25">
      <c r="Y4488" s="63">
        <v>47021</v>
      </c>
      <c r="Z4488" s="61">
        <f>_xll.qlYieldTSDiscount($U$35,Y4488,,Trigger)</f>
        <v>0.84802963333764858</v>
      </c>
    </row>
    <row r="4489" spans="25:26" x14ac:dyDescent="0.25">
      <c r="Y4489" s="63">
        <v>47022</v>
      </c>
      <c r="Z4489" s="61">
        <f>_xll.qlYieldTSDiscount($U$35,Y4489,,Trigger)</f>
        <v>0.84799537581591955</v>
      </c>
    </row>
    <row r="4490" spans="25:26" x14ac:dyDescent="0.25">
      <c r="Y4490" s="63">
        <v>47023</v>
      </c>
      <c r="Z4490" s="61">
        <f>_xll.qlYieldTSDiscount($U$35,Y4490,,Trigger)</f>
        <v>0.84796111994434631</v>
      </c>
    </row>
    <row r="4491" spans="25:26" x14ac:dyDescent="0.25">
      <c r="Y4491" s="63">
        <v>47024</v>
      </c>
      <c r="Z4491" s="61">
        <f>_xll.qlYieldTSDiscount($U$35,Y4491,,Trigger)</f>
        <v>0.84792686572053555</v>
      </c>
    </row>
    <row r="4492" spans="25:26" x14ac:dyDescent="0.25">
      <c r="Y4492" s="63">
        <v>47025</v>
      </c>
      <c r="Z4492" s="61">
        <f>_xll.qlYieldTSDiscount($U$35,Y4492,,Trigger)</f>
        <v>0.84789261314209363</v>
      </c>
    </row>
    <row r="4493" spans="25:26" x14ac:dyDescent="0.25">
      <c r="Y4493" s="63">
        <v>47026</v>
      </c>
      <c r="Z4493" s="61">
        <f>_xll.qlYieldTSDiscount($U$35,Y4493,,Trigger)</f>
        <v>0.84785836220662703</v>
      </c>
    </row>
    <row r="4494" spans="25:26" x14ac:dyDescent="0.25">
      <c r="Y4494" s="63">
        <v>47027</v>
      </c>
      <c r="Z4494" s="61">
        <f>_xll.qlYieldTSDiscount($U$35,Y4494,,Trigger)</f>
        <v>0.8478241129117422</v>
      </c>
    </row>
    <row r="4495" spans="25:26" x14ac:dyDescent="0.25">
      <c r="Y4495" s="63">
        <v>47028</v>
      </c>
      <c r="Z4495" s="61">
        <f>_xll.qlYieldTSDiscount($U$35,Y4495,,Trigger)</f>
        <v>0.84778986525504574</v>
      </c>
    </row>
    <row r="4496" spans="25:26" x14ac:dyDescent="0.25">
      <c r="Y4496" s="63">
        <v>47029</v>
      </c>
      <c r="Z4496" s="61">
        <f>_xll.qlYieldTSDiscount($U$35,Y4496,,Trigger)</f>
        <v>0.84775561923414411</v>
      </c>
    </row>
    <row r="4497" spans="25:26" x14ac:dyDescent="0.25">
      <c r="Y4497" s="63">
        <v>47030</v>
      </c>
      <c r="Z4497" s="61">
        <f>_xll.qlYieldTSDiscount($U$35,Y4497,,Trigger)</f>
        <v>0.84772137484664367</v>
      </c>
    </row>
    <row r="4498" spans="25:26" x14ac:dyDescent="0.25">
      <c r="Y4498" s="63">
        <v>47031</v>
      </c>
      <c r="Z4498" s="61">
        <f>_xll.qlYieldTSDiscount($U$35,Y4498,,Trigger)</f>
        <v>0.8476871320901509</v>
      </c>
    </row>
    <row r="4499" spans="25:26" x14ac:dyDescent="0.25">
      <c r="Y4499" s="63">
        <v>47032</v>
      </c>
      <c r="Z4499" s="61">
        <f>_xll.qlYieldTSDiscount($U$35,Y4499,,Trigger)</f>
        <v>0.84765289096227248</v>
      </c>
    </row>
    <row r="4500" spans="25:26" x14ac:dyDescent="0.25">
      <c r="Y4500" s="63">
        <v>47033</v>
      </c>
      <c r="Z4500" s="61">
        <f>_xll.qlYieldTSDiscount($U$35,Y4500,,Trigger)</f>
        <v>0.84761865146061466</v>
      </c>
    </row>
    <row r="4501" spans="25:26" x14ac:dyDescent="0.25">
      <c r="Y4501" s="63">
        <v>47034</v>
      </c>
      <c r="Z4501" s="61">
        <f>_xll.qlYieldTSDiscount($U$35,Y4501,,Trigger)</f>
        <v>0.84758441358278414</v>
      </c>
    </row>
    <row r="4502" spans="25:26" x14ac:dyDescent="0.25">
      <c r="Y4502" s="63">
        <v>47035</v>
      </c>
      <c r="Z4502" s="61">
        <f>_xll.qlYieldTSDiscount($U$35,Y4502,,Trigger)</f>
        <v>0.84755017732638716</v>
      </c>
    </row>
    <row r="4503" spans="25:26" x14ac:dyDescent="0.25">
      <c r="Y4503" s="63">
        <v>47036</v>
      </c>
      <c r="Z4503" s="61">
        <f>_xll.qlYieldTSDiscount($U$35,Y4503,,Trigger)</f>
        <v>0.84751594268903041</v>
      </c>
    </row>
    <row r="4504" spans="25:26" x14ac:dyDescent="0.25">
      <c r="Y4504" s="63">
        <v>47037</v>
      </c>
      <c r="Z4504" s="61">
        <f>_xll.qlYieldTSDiscount($U$35,Y4504,,Trigger)</f>
        <v>0.84748170966832026</v>
      </c>
    </row>
    <row r="4505" spans="25:26" x14ac:dyDescent="0.25">
      <c r="Y4505" s="63">
        <v>47038</v>
      </c>
      <c r="Z4505" s="61">
        <f>_xll.qlYieldTSDiscount($U$35,Y4505,,Trigger)</f>
        <v>0.84744747826186317</v>
      </c>
    </row>
    <row r="4506" spans="25:26" x14ac:dyDescent="0.25">
      <c r="Y4506" s="63">
        <v>47039</v>
      </c>
      <c r="Z4506" s="61">
        <f>_xll.qlYieldTSDiscount($U$35,Y4506,,Trigger)</f>
        <v>0.84741324846726573</v>
      </c>
    </row>
    <row r="4507" spans="25:26" x14ac:dyDescent="0.25">
      <c r="Y4507" s="63">
        <v>47040</v>
      </c>
      <c r="Z4507" s="61">
        <f>_xll.qlYieldTSDiscount($U$35,Y4507,,Trigger)</f>
        <v>0.8473790202821343</v>
      </c>
    </row>
    <row r="4508" spans="25:26" x14ac:dyDescent="0.25">
      <c r="Y4508" s="63">
        <v>47041</v>
      </c>
      <c r="Z4508" s="61">
        <f>_xll.qlYieldTSDiscount($U$35,Y4508,,Trigger)</f>
        <v>0.84734479370407545</v>
      </c>
    </row>
    <row r="4509" spans="25:26" x14ac:dyDescent="0.25">
      <c r="Y4509" s="63">
        <v>47042</v>
      </c>
      <c r="Z4509" s="61">
        <f>_xll.qlYieldTSDiscount($U$35,Y4509,,Trigger)</f>
        <v>0.84731056873069566</v>
      </c>
    </row>
    <row r="4510" spans="25:26" x14ac:dyDescent="0.25">
      <c r="Y4510" s="63">
        <v>47043</v>
      </c>
      <c r="Z4510" s="61">
        <f>_xll.qlYieldTSDiscount($U$35,Y4510,,Trigger)</f>
        <v>0.84727634535960139</v>
      </c>
    </row>
    <row r="4511" spans="25:26" x14ac:dyDescent="0.25">
      <c r="Y4511" s="63">
        <v>47044</v>
      </c>
      <c r="Z4511" s="61">
        <f>_xll.qlYieldTSDiscount($U$35,Y4511,,Trigger)</f>
        <v>0.84724212358839912</v>
      </c>
    </row>
    <row r="4512" spans="25:26" x14ac:dyDescent="0.25">
      <c r="Y4512" s="63">
        <v>47045</v>
      </c>
      <c r="Z4512" s="61">
        <f>_xll.qlYieldTSDiscount($U$35,Y4512,,Trigger)</f>
        <v>0.84720790341469521</v>
      </c>
    </row>
    <row r="4513" spans="25:26" x14ac:dyDescent="0.25">
      <c r="Y4513" s="63">
        <v>47046</v>
      </c>
      <c r="Z4513" s="61">
        <f>_xll.qlYieldTSDiscount($U$35,Y4513,,Trigger)</f>
        <v>0.84717368483609634</v>
      </c>
    </row>
    <row r="4514" spans="25:26" x14ac:dyDescent="0.25">
      <c r="Y4514" s="63">
        <v>47047</v>
      </c>
      <c r="Z4514" s="61">
        <f>_xll.qlYieldTSDiscount($U$35,Y4514,,Trigger)</f>
        <v>0.84713946785020888</v>
      </c>
    </row>
    <row r="4515" spans="25:26" x14ac:dyDescent="0.25">
      <c r="Y4515" s="63">
        <v>47048</v>
      </c>
      <c r="Z4515" s="61">
        <f>_xll.qlYieldTSDiscount($U$35,Y4515,,Trigger)</f>
        <v>0.8471052524546393</v>
      </c>
    </row>
    <row r="4516" spans="25:26" x14ac:dyDescent="0.25">
      <c r="Y4516" s="63">
        <v>47049</v>
      </c>
      <c r="Z4516" s="61">
        <f>_xll.qlYieldTSDiscount($U$35,Y4516,,Trigger)</f>
        <v>0.84707103864699418</v>
      </c>
    </row>
    <row r="4517" spans="25:26" x14ac:dyDescent="0.25">
      <c r="Y4517" s="63">
        <v>47050</v>
      </c>
      <c r="Z4517" s="61">
        <f>_xll.qlYieldTSDiscount($U$35,Y4517,,Trigger)</f>
        <v>0.84703682642487987</v>
      </c>
    </row>
    <row r="4518" spans="25:26" x14ac:dyDescent="0.25">
      <c r="Y4518" s="63">
        <v>47051</v>
      </c>
      <c r="Z4518" s="61">
        <f>_xll.qlYieldTSDiscount($U$35,Y4518,,Trigger)</f>
        <v>0.84700261578590286</v>
      </c>
    </row>
    <row r="4519" spans="25:26" x14ac:dyDescent="0.25">
      <c r="Y4519" s="63">
        <v>47052</v>
      </c>
      <c r="Z4519" s="61">
        <f>_xll.qlYieldTSDiscount($U$35,Y4519,,Trigger)</f>
        <v>0.84696840672766982</v>
      </c>
    </row>
    <row r="4520" spans="25:26" x14ac:dyDescent="0.25">
      <c r="Y4520" s="63">
        <v>47053</v>
      </c>
      <c r="Z4520" s="61">
        <f>_xll.qlYieldTSDiscount($U$35,Y4520,,Trigger)</f>
        <v>0.84693419924778701</v>
      </c>
    </row>
    <row r="4521" spans="25:26" x14ac:dyDescent="0.25">
      <c r="Y4521" s="63">
        <v>47054</v>
      </c>
      <c r="Z4521" s="61">
        <f>_xll.qlYieldTSDiscount($U$35,Y4521,,Trigger)</f>
        <v>0.84689999334386101</v>
      </c>
    </row>
    <row r="4522" spans="25:26" x14ac:dyDescent="0.25">
      <c r="Y4522" s="63">
        <v>47055</v>
      </c>
      <c r="Z4522" s="61">
        <f>_xll.qlYieldTSDiscount($U$35,Y4522,,Trigger)</f>
        <v>0.84686578901349829</v>
      </c>
    </row>
    <row r="4523" spans="25:26" x14ac:dyDescent="0.25">
      <c r="Y4523" s="63">
        <v>47056</v>
      </c>
      <c r="Z4523" s="61">
        <f>_xll.qlYieldTSDiscount($U$35,Y4523,,Trigger)</f>
        <v>0.84683158625430544</v>
      </c>
    </row>
    <row r="4524" spans="25:26" x14ac:dyDescent="0.25">
      <c r="Y4524" s="63">
        <v>47057</v>
      </c>
      <c r="Z4524" s="61">
        <f>_xll.qlYieldTSDiscount($U$35,Y4524,,Trigger)</f>
        <v>0.84679738506388869</v>
      </c>
    </row>
    <row r="4525" spans="25:26" x14ac:dyDescent="0.25">
      <c r="Y4525" s="63">
        <v>47058</v>
      </c>
      <c r="Z4525" s="61">
        <f>_xll.qlYieldTSDiscount($U$35,Y4525,,Trigger)</f>
        <v>0.84676318543985463</v>
      </c>
    </row>
    <row r="4526" spans="25:26" x14ac:dyDescent="0.25">
      <c r="Y4526" s="63">
        <v>47059</v>
      </c>
      <c r="Z4526" s="61">
        <f>_xll.qlYieldTSDiscount($U$35,Y4526,,Trigger)</f>
        <v>0.84672898737980984</v>
      </c>
    </row>
    <row r="4527" spans="25:26" x14ac:dyDescent="0.25">
      <c r="Y4527" s="63">
        <v>47060</v>
      </c>
      <c r="Z4527" s="61">
        <f>_xll.qlYieldTSDiscount($U$35,Y4527,,Trigger)</f>
        <v>0.84669479088136079</v>
      </c>
    </row>
    <row r="4528" spans="25:26" x14ac:dyDescent="0.25">
      <c r="Y4528" s="63">
        <v>47061</v>
      </c>
      <c r="Z4528" s="61">
        <f>_xll.qlYieldTSDiscount($U$35,Y4528,,Trigger)</f>
        <v>0.84666059594211374</v>
      </c>
    </row>
    <row r="4529" spans="25:26" x14ac:dyDescent="0.25">
      <c r="Y4529" s="63">
        <v>47062</v>
      </c>
      <c r="Z4529" s="61">
        <f>_xll.qlYieldTSDiscount($U$35,Y4529,,Trigger)</f>
        <v>0.84662640255967547</v>
      </c>
    </row>
    <row r="4530" spans="25:26" x14ac:dyDescent="0.25">
      <c r="Y4530" s="63">
        <v>47063</v>
      </c>
      <c r="Z4530" s="61">
        <f>_xll.qlYieldTSDiscount($U$35,Y4530,,Trigger)</f>
        <v>0.84659221073165225</v>
      </c>
    </row>
    <row r="4531" spans="25:26" x14ac:dyDescent="0.25">
      <c r="Y4531" s="63">
        <v>47064</v>
      </c>
      <c r="Z4531" s="61">
        <f>_xll.qlYieldTSDiscount($U$35,Y4531,,Trigger)</f>
        <v>0.84655802045565065</v>
      </c>
    </row>
    <row r="4532" spans="25:26" x14ac:dyDescent="0.25">
      <c r="Y4532" s="63">
        <v>47065</v>
      </c>
      <c r="Z4532" s="61">
        <f>_xll.qlYieldTSDiscount($U$35,Y4532,,Trigger)</f>
        <v>0.84652383172927714</v>
      </c>
    </row>
    <row r="4533" spans="25:26" x14ac:dyDescent="0.25">
      <c r="Y4533" s="63">
        <v>47066</v>
      </c>
      <c r="Z4533" s="61">
        <f>_xll.qlYieldTSDiscount($U$35,Y4533,,Trigger)</f>
        <v>0.8464896445501382</v>
      </c>
    </row>
    <row r="4534" spans="25:26" x14ac:dyDescent="0.25">
      <c r="Y4534" s="63">
        <v>47067</v>
      </c>
      <c r="Z4534" s="61">
        <f>_xll.qlYieldTSDiscount($U$35,Y4534,,Trigger)</f>
        <v>0.84645545891584029</v>
      </c>
    </row>
    <row r="4535" spans="25:26" x14ac:dyDescent="0.25">
      <c r="Y4535" s="63">
        <v>47068</v>
      </c>
      <c r="Z4535" s="61">
        <f>_xll.qlYieldTSDiscount($U$35,Y4535,,Trigger)</f>
        <v>0.84642127482398988</v>
      </c>
    </row>
    <row r="4536" spans="25:26" x14ac:dyDescent="0.25">
      <c r="Y4536" s="63">
        <v>47069</v>
      </c>
      <c r="Z4536" s="61">
        <f>_xll.qlYieldTSDiscount($U$35,Y4536,,Trigger)</f>
        <v>0.84638709227219355</v>
      </c>
    </row>
    <row r="4537" spans="25:26" x14ac:dyDescent="0.25">
      <c r="Y4537" s="63">
        <v>47070</v>
      </c>
      <c r="Z4537" s="61">
        <f>_xll.qlYieldTSDiscount($U$35,Y4537,,Trigger)</f>
        <v>0.84635291125805767</v>
      </c>
    </row>
    <row r="4538" spans="25:26" x14ac:dyDescent="0.25">
      <c r="Y4538" s="63">
        <v>47071</v>
      </c>
      <c r="Z4538" s="61">
        <f>_xll.qlYieldTSDiscount($U$35,Y4538,,Trigger)</f>
        <v>0.8463187317791887</v>
      </c>
    </row>
    <row r="4539" spans="25:26" x14ac:dyDescent="0.25">
      <c r="Y4539" s="63">
        <v>47072</v>
      </c>
      <c r="Z4539" s="61">
        <f>_xll.qlYieldTSDiscount($U$35,Y4539,,Trigger)</f>
        <v>0.84628455383319323</v>
      </c>
    </row>
    <row r="4540" spans="25:26" x14ac:dyDescent="0.25">
      <c r="Y4540" s="63">
        <v>47073</v>
      </c>
      <c r="Z4540" s="61">
        <f>_xll.qlYieldTSDiscount($U$35,Y4540,,Trigger)</f>
        <v>0.84625037741767772</v>
      </c>
    </row>
    <row r="4541" spans="25:26" x14ac:dyDescent="0.25">
      <c r="Y4541" s="63">
        <v>47074</v>
      </c>
      <c r="Z4541" s="61">
        <f>_xll.qlYieldTSDiscount($U$35,Y4541,,Trigger)</f>
        <v>0.84621620253024854</v>
      </c>
    </row>
    <row r="4542" spans="25:26" x14ac:dyDescent="0.25">
      <c r="Y4542" s="63">
        <v>47075</v>
      </c>
      <c r="Z4542" s="61">
        <f>_xll.qlYieldTSDiscount($U$35,Y4542,,Trigger)</f>
        <v>0.84618202916851226</v>
      </c>
    </row>
    <row r="4543" spans="25:26" x14ac:dyDescent="0.25">
      <c r="Y4543" s="63">
        <v>47076</v>
      </c>
      <c r="Z4543" s="61">
        <f>_xll.qlYieldTSDiscount($U$35,Y4543,,Trigger)</f>
        <v>0.84614785733007536</v>
      </c>
    </row>
    <row r="4544" spans="25:26" x14ac:dyDescent="0.25">
      <c r="Y4544" s="63">
        <v>47077</v>
      </c>
      <c r="Z4544" s="61">
        <f>_xll.qlYieldTSDiscount($U$35,Y4544,,Trigger)</f>
        <v>0.84611368701254441</v>
      </c>
    </row>
    <row r="4545" spans="25:26" x14ac:dyDescent="0.25">
      <c r="Y4545" s="63">
        <v>47078</v>
      </c>
      <c r="Z4545" s="61">
        <f>_xll.qlYieldTSDiscount($U$35,Y4545,,Trigger)</f>
        <v>0.84607951821352567</v>
      </c>
    </row>
    <row r="4546" spans="25:26" x14ac:dyDescent="0.25">
      <c r="Y4546" s="63">
        <v>47079</v>
      </c>
      <c r="Z4546" s="61">
        <f>_xll.qlYieldTSDiscount($U$35,Y4546,,Trigger)</f>
        <v>0.84604535093062572</v>
      </c>
    </row>
    <row r="4547" spans="25:26" x14ac:dyDescent="0.25">
      <c r="Y4547" s="63">
        <v>47080</v>
      </c>
      <c r="Z4547" s="61">
        <f>_xll.qlYieldTSDiscount($U$35,Y4547,,Trigger)</f>
        <v>0.84601118516145113</v>
      </c>
    </row>
    <row r="4548" spans="25:26" x14ac:dyDescent="0.25">
      <c r="Y4548" s="63">
        <v>47081</v>
      </c>
      <c r="Z4548" s="61">
        <f>_xll.qlYieldTSDiscount($U$35,Y4548,,Trigger)</f>
        <v>0.84597702090360838</v>
      </c>
    </row>
    <row r="4549" spans="25:26" x14ac:dyDescent="0.25">
      <c r="Y4549" s="63">
        <v>47082</v>
      </c>
      <c r="Z4549" s="61">
        <f>_xll.qlYieldTSDiscount($U$35,Y4549,,Trigger)</f>
        <v>0.84594285815470371</v>
      </c>
    </row>
    <row r="4550" spans="25:26" x14ac:dyDescent="0.25">
      <c r="Y4550" s="63">
        <v>47083</v>
      </c>
      <c r="Z4550" s="61">
        <f>_xll.qlYieldTSDiscount($U$35,Y4550,,Trigger)</f>
        <v>0.84590869691234394</v>
      </c>
    </row>
    <row r="4551" spans="25:26" x14ac:dyDescent="0.25">
      <c r="Y4551" s="63">
        <v>47084</v>
      </c>
      <c r="Z4551" s="61">
        <f>_xll.qlYieldTSDiscount($U$35,Y4551,,Trigger)</f>
        <v>0.8458745371741353</v>
      </c>
    </row>
    <row r="4552" spans="25:26" x14ac:dyDescent="0.25">
      <c r="Y4552" s="63">
        <v>47085</v>
      </c>
      <c r="Z4552" s="61">
        <f>_xll.qlYieldTSDiscount($U$35,Y4552,,Trigger)</f>
        <v>0.84584037893768438</v>
      </c>
    </row>
    <row r="4553" spans="25:26" x14ac:dyDescent="0.25">
      <c r="Y4553" s="63">
        <v>47086</v>
      </c>
      <c r="Z4553" s="61">
        <f>_xll.qlYieldTSDiscount($U$35,Y4553,,Trigger)</f>
        <v>0.84580622220059754</v>
      </c>
    </row>
    <row r="4554" spans="25:26" x14ac:dyDescent="0.25">
      <c r="Y4554" s="63">
        <v>47087</v>
      </c>
      <c r="Z4554" s="61">
        <f>_xll.qlYieldTSDiscount($U$35,Y4554,,Trigger)</f>
        <v>0.84577206696048146</v>
      </c>
    </row>
    <row r="4555" spans="25:26" x14ac:dyDescent="0.25">
      <c r="Y4555" s="63">
        <v>47088</v>
      </c>
      <c r="Z4555" s="61">
        <f>_xll.qlYieldTSDiscount($U$35,Y4555,,Trigger)</f>
        <v>0.84573791321494252</v>
      </c>
    </row>
    <row r="4556" spans="25:26" x14ac:dyDescent="0.25">
      <c r="Y4556" s="63">
        <v>47089</v>
      </c>
      <c r="Z4556" s="61">
        <f>_xll.qlYieldTSDiscount($U$35,Y4556,,Trigger)</f>
        <v>0.84570376096158717</v>
      </c>
    </row>
    <row r="4557" spans="25:26" x14ac:dyDescent="0.25">
      <c r="Y4557" s="63">
        <v>47090</v>
      </c>
      <c r="Z4557" s="61">
        <f>_xll.qlYieldTSDiscount($U$35,Y4557,,Trigger)</f>
        <v>0.84566961019802189</v>
      </c>
    </row>
    <row r="4558" spans="25:26" x14ac:dyDescent="0.25">
      <c r="Y4558" s="63">
        <v>47091</v>
      </c>
      <c r="Z4558" s="61">
        <f>_xll.qlYieldTSDiscount($U$35,Y4558,,Trigger)</f>
        <v>0.84563546092185327</v>
      </c>
    </row>
    <row r="4559" spans="25:26" x14ac:dyDescent="0.25">
      <c r="Y4559" s="63">
        <v>47092</v>
      </c>
      <c r="Z4559" s="61">
        <f>_xll.qlYieldTSDiscount($U$35,Y4559,,Trigger)</f>
        <v>0.84560131313068765</v>
      </c>
    </row>
    <row r="4560" spans="25:26" x14ac:dyDescent="0.25">
      <c r="Y4560" s="63">
        <v>47093</v>
      </c>
      <c r="Z4560" s="61">
        <f>_xll.qlYieldTSDiscount($U$35,Y4560,,Trigger)</f>
        <v>0.84556716682213162</v>
      </c>
    </row>
    <row r="4561" spans="25:26" x14ac:dyDescent="0.25">
      <c r="Y4561" s="63">
        <v>47094</v>
      </c>
      <c r="Z4561" s="61">
        <f>_xll.qlYieldTSDiscount($U$35,Y4561,,Trigger)</f>
        <v>0.84553302199379154</v>
      </c>
    </row>
    <row r="4562" spans="25:26" x14ac:dyDescent="0.25">
      <c r="Y4562" s="63">
        <v>47095</v>
      </c>
      <c r="Z4562" s="61">
        <f>_xll.qlYieldTSDiscount($U$35,Y4562,,Trigger)</f>
        <v>0.845498878643274</v>
      </c>
    </row>
    <row r="4563" spans="25:26" x14ac:dyDescent="0.25">
      <c r="Y4563" s="63">
        <v>47096</v>
      </c>
      <c r="Z4563" s="61">
        <f>_xll.qlYieldTSDiscount($U$35,Y4563,,Trigger)</f>
        <v>0.84546473676818534</v>
      </c>
    </row>
    <row r="4564" spans="25:26" x14ac:dyDescent="0.25">
      <c r="Y4564" s="63">
        <v>47097</v>
      </c>
      <c r="Z4564" s="61">
        <f>_xll.qlYieldTSDiscount($U$35,Y4564,,Trigger)</f>
        <v>0.84543059636613227</v>
      </c>
    </row>
    <row r="4565" spans="25:26" x14ac:dyDescent="0.25">
      <c r="Y4565" s="63">
        <v>47098</v>
      </c>
      <c r="Z4565" s="61">
        <f>_xll.qlYieldTSDiscount($U$35,Y4565,,Trigger)</f>
        <v>0.84539645743472114</v>
      </c>
    </row>
    <row r="4566" spans="25:26" x14ac:dyDescent="0.25">
      <c r="Y4566" s="63">
        <v>47099</v>
      </c>
      <c r="Z4566" s="61">
        <f>_xll.qlYieldTSDiscount($U$35,Y4566,,Trigger)</f>
        <v>0.84536231997155842</v>
      </c>
    </row>
    <row r="4567" spans="25:26" x14ac:dyDescent="0.25">
      <c r="Y4567" s="63">
        <v>47100</v>
      </c>
      <c r="Z4567" s="61">
        <f>_xll.qlYieldTSDiscount($U$35,Y4567,,Trigger)</f>
        <v>0.84532818397425058</v>
      </c>
    </row>
    <row r="4568" spans="25:26" x14ac:dyDescent="0.25">
      <c r="Y4568" s="63">
        <v>47101</v>
      </c>
      <c r="Z4568" s="61">
        <f>_xll.qlYieldTSDiscount($U$35,Y4568,,Trigger)</f>
        <v>0.84529404944040409</v>
      </c>
    </row>
    <row r="4569" spans="25:26" x14ac:dyDescent="0.25">
      <c r="Y4569" s="63">
        <v>47102</v>
      </c>
      <c r="Z4569" s="61">
        <f>_xll.qlYieldTSDiscount($U$35,Y4569,,Trigger)</f>
        <v>0.84525991636762554</v>
      </c>
    </row>
    <row r="4570" spans="25:26" x14ac:dyDescent="0.25">
      <c r="Y4570" s="63">
        <v>47103</v>
      </c>
      <c r="Z4570" s="61">
        <f>_xll.qlYieldTSDiscount($U$35,Y4570,,Trigger)</f>
        <v>0.84522578475352128</v>
      </c>
    </row>
    <row r="4571" spans="25:26" x14ac:dyDescent="0.25">
      <c r="Y4571" s="63">
        <v>47104</v>
      </c>
      <c r="Z4571" s="61">
        <f>_xll.qlYieldTSDiscount($U$35,Y4571,,Trigger)</f>
        <v>0.84519165459569789</v>
      </c>
    </row>
    <row r="4572" spans="25:26" x14ac:dyDescent="0.25">
      <c r="Y4572" s="63">
        <v>47105</v>
      </c>
      <c r="Z4572" s="61">
        <f>_xll.qlYieldTSDiscount($U$35,Y4572,,Trigger)</f>
        <v>0.84515752589176174</v>
      </c>
    </row>
    <row r="4573" spans="25:26" x14ac:dyDescent="0.25">
      <c r="Y4573" s="63">
        <v>47106</v>
      </c>
      <c r="Z4573" s="61">
        <f>_xll.qlYieldTSDiscount($U$35,Y4573,,Trigger)</f>
        <v>0.8451233986393194</v>
      </c>
    </row>
    <row r="4574" spans="25:26" x14ac:dyDescent="0.25">
      <c r="Y4574" s="63">
        <v>47107</v>
      </c>
      <c r="Z4574" s="61">
        <f>_xll.qlYieldTSDiscount($U$35,Y4574,,Trigger)</f>
        <v>0.84508927283597735</v>
      </c>
    </row>
    <row r="4575" spans="25:26" x14ac:dyDescent="0.25">
      <c r="Y4575" s="63">
        <v>47108</v>
      </c>
      <c r="Z4575" s="61">
        <f>_xll.qlYieldTSDiscount($U$35,Y4575,,Trigger)</f>
        <v>0.84505514847934204</v>
      </c>
    </row>
    <row r="4576" spans="25:26" x14ac:dyDescent="0.25">
      <c r="Y4576" s="63">
        <v>47109</v>
      </c>
      <c r="Z4576" s="61">
        <f>_xll.qlYieldTSDiscount($U$35,Y4576,,Trigger)</f>
        <v>0.84502102556701997</v>
      </c>
    </row>
    <row r="4577" spans="25:26" x14ac:dyDescent="0.25">
      <c r="Y4577" s="63">
        <v>47110</v>
      </c>
      <c r="Z4577" s="61">
        <f>_xll.qlYieldTSDiscount($U$35,Y4577,,Trigger)</f>
        <v>0.8449869040966177</v>
      </c>
    </row>
    <row r="4578" spans="25:26" x14ac:dyDescent="0.25">
      <c r="Y4578" s="63">
        <v>47111</v>
      </c>
      <c r="Z4578" s="61">
        <f>_xll.qlYieldTSDiscount($U$35,Y4578,,Trigger)</f>
        <v>0.84495278406574148</v>
      </c>
    </row>
    <row r="4579" spans="25:26" x14ac:dyDescent="0.25">
      <c r="Y4579" s="63">
        <v>47112</v>
      </c>
      <c r="Z4579" s="61">
        <f>_xll.qlYieldTSDiscount($U$35,Y4579,,Trigger)</f>
        <v>0.84491866547199801</v>
      </c>
    </row>
    <row r="4580" spans="25:26" x14ac:dyDescent="0.25">
      <c r="Y4580" s="63">
        <v>47113</v>
      </c>
      <c r="Z4580" s="61">
        <f>_xll.qlYieldTSDiscount($U$35,Y4580,,Trigger)</f>
        <v>0.84488454831299364</v>
      </c>
    </row>
    <row r="4581" spans="25:26" x14ac:dyDescent="0.25">
      <c r="Y4581" s="63">
        <v>47114</v>
      </c>
      <c r="Z4581" s="61">
        <f>_xll.qlYieldTSDiscount($U$35,Y4581,,Trigger)</f>
        <v>0.84485043258633497</v>
      </c>
    </row>
    <row r="4582" spans="25:26" x14ac:dyDescent="0.25">
      <c r="Y4582" s="63">
        <v>47115</v>
      </c>
      <c r="Z4582" s="61">
        <f>_xll.qlYieldTSDiscount($U$35,Y4582,,Trigger)</f>
        <v>0.84481631828962833</v>
      </c>
    </row>
    <row r="4583" spans="25:26" x14ac:dyDescent="0.25">
      <c r="Y4583" s="63">
        <v>47116</v>
      </c>
      <c r="Z4583" s="61">
        <f>_xll.qlYieldTSDiscount($U$35,Y4583,,Trigger)</f>
        <v>0.84478220542048033</v>
      </c>
    </row>
    <row r="4584" spans="25:26" x14ac:dyDescent="0.25">
      <c r="Y4584" s="63">
        <v>47117</v>
      </c>
      <c r="Z4584" s="61">
        <f>_xll.qlYieldTSDiscount($U$35,Y4584,,Trigger)</f>
        <v>0.84474809397649742</v>
      </c>
    </row>
    <row r="4585" spans="25:26" x14ac:dyDescent="0.25">
      <c r="Y4585" s="63">
        <v>47118</v>
      </c>
      <c r="Z4585" s="61">
        <f>_xll.qlYieldTSDiscount($U$35,Y4585,,Trigger)</f>
        <v>0.84471398395528607</v>
      </c>
    </row>
    <row r="4586" spans="25:26" x14ac:dyDescent="0.25">
      <c r="Y4586" s="63">
        <v>47119</v>
      </c>
      <c r="Z4586" s="61">
        <f>_xll.qlYieldTSDiscount($U$35,Y4586,,Trigger)</f>
        <v>0.84467987535445266</v>
      </c>
    </row>
    <row r="4587" spans="25:26" x14ac:dyDescent="0.25">
      <c r="Y4587" s="63">
        <v>47120</v>
      </c>
      <c r="Z4587" s="61">
        <f>_xll.qlYieldTSDiscount($U$35,Y4587,,Trigger)</f>
        <v>0.84464576817160386</v>
      </c>
    </row>
    <row r="4588" spans="25:26" x14ac:dyDescent="0.25">
      <c r="Y4588" s="63">
        <v>47121</v>
      </c>
      <c r="Z4588" s="61">
        <f>_xll.qlYieldTSDiscount($U$35,Y4588,,Trigger)</f>
        <v>0.84461166240434604</v>
      </c>
    </row>
    <row r="4589" spans="25:26" x14ac:dyDescent="0.25">
      <c r="Y4589" s="63">
        <v>47122</v>
      </c>
      <c r="Z4589" s="61">
        <f>_xll.qlYieldTSDiscount($U$35,Y4589,,Trigger)</f>
        <v>0.84457755805028567</v>
      </c>
    </row>
    <row r="4590" spans="25:26" x14ac:dyDescent="0.25">
      <c r="Y4590" s="63">
        <v>47123</v>
      </c>
      <c r="Z4590" s="61">
        <f>_xll.qlYieldTSDiscount($U$35,Y4590,,Trigger)</f>
        <v>0.84454345510702933</v>
      </c>
    </row>
    <row r="4591" spans="25:26" x14ac:dyDescent="0.25">
      <c r="Y4591" s="63">
        <v>47124</v>
      </c>
      <c r="Z4591" s="61">
        <f>_xll.qlYieldTSDiscount($U$35,Y4591,,Trigger)</f>
        <v>0.84450935357218337</v>
      </c>
    </row>
    <row r="4592" spans="25:26" x14ac:dyDescent="0.25">
      <c r="Y4592" s="63">
        <v>47125</v>
      </c>
      <c r="Z4592" s="61">
        <f>_xll.qlYieldTSDiscount($U$35,Y4592,,Trigger)</f>
        <v>0.84447525344335428</v>
      </c>
    </row>
    <row r="4593" spans="25:26" x14ac:dyDescent="0.25">
      <c r="Y4593" s="63">
        <v>47126</v>
      </c>
      <c r="Z4593" s="61">
        <f>_xll.qlYieldTSDiscount($U$35,Y4593,,Trigger)</f>
        <v>0.84444115471814873</v>
      </c>
    </row>
    <row r="4594" spans="25:26" x14ac:dyDescent="0.25">
      <c r="Y4594" s="63">
        <v>47127</v>
      </c>
      <c r="Z4594" s="61">
        <f>_xll.qlYieldTSDiscount($U$35,Y4594,,Trigger)</f>
        <v>0.84440705739417288</v>
      </c>
    </row>
    <row r="4595" spans="25:26" x14ac:dyDescent="0.25">
      <c r="Y4595" s="63">
        <v>47128</v>
      </c>
      <c r="Z4595" s="61">
        <f>_xll.qlYieldTSDiscount($U$35,Y4595,,Trigger)</f>
        <v>0.84437296146903351</v>
      </c>
    </row>
    <row r="4596" spans="25:26" x14ac:dyDescent="0.25">
      <c r="Y4596" s="63">
        <v>47129</v>
      </c>
      <c r="Z4596" s="61">
        <f>_xll.qlYieldTSDiscount($U$35,Y4596,,Trigger)</f>
        <v>0.844338866940337</v>
      </c>
    </row>
    <row r="4597" spans="25:26" x14ac:dyDescent="0.25">
      <c r="Y4597" s="63">
        <v>47130</v>
      </c>
      <c r="Z4597" s="61">
        <f>_xll.qlYieldTSDiscount($U$35,Y4597,,Trigger)</f>
        <v>0.8443047738056898</v>
      </c>
    </row>
    <row r="4598" spans="25:26" x14ac:dyDescent="0.25">
      <c r="Y4598" s="63">
        <v>47131</v>
      </c>
      <c r="Z4598" s="61">
        <f>_xll.qlYieldTSDiscount($U$35,Y4598,,Trigger)</f>
        <v>0.8442706820626984</v>
      </c>
    </row>
    <row r="4599" spans="25:26" x14ac:dyDescent="0.25">
      <c r="Y4599" s="63">
        <v>47132</v>
      </c>
      <c r="Z4599" s="61">
        <f>_xll.qlYieldTSDiscount($U$35,Y4599,,Trigger)</f>
        <v>0.84423659170896925</v>
      </c>
    </row>
    <row r="4600" spans="25:26" x14ac:dyDescent="0.25">
      <c r="Y4600" s="63">
        <v>47133</v>
      </c>
      <c r="Z4600" s="61">
        <f>_xll.qlYieldTSDiscount($U$35,Y4600,,Trigger)</f>
        <v>0.84420250274210884</v>
      </c>
    </row>
    <row r="4601" spans="25:26" x14ac:dyDescent="0.25">
      <c r="Y4601" s="63">
        <v>47134</v>
      </c>
      <c r="Z4601" s="61">
        <f>_xll.qlYieldTSDiscount($U$35,Y4601,,Trigger)</f>
        <v>0.84416841515972374</v>
      </c>
    </row>
    <row r="4602" spans="25:26" x14ac:dyDescent="0.25">
      <c r="Y4602" s="63">
        <v>47135</v>
      </c>
      <c r="Z4602" s="61">
        <f>_xll.qlYieldTSDiscount($U$35,Y4602,,Trigger)</f>
        <v>0.84413432895942031</v>
      </c>
    </row>
    <row r="4603" spans="25:26" x14ac:dyDescent="0.25">
      <c r="Y4603" s="63">
        <v>47136</v>
      </c>
      <c r="Z4603" s="61">
        <f>_xll.qlYieldTSDiscount($U$35,Y4603,,Trigger)</f>
        <v>0.84410024413880513</v>
      </c>
    </row>
    <row r="4604" spans="25:26" x14ac:dyDescent="0.25">
      <c r="Y4604" s="63">
        <v>47137</v>
      </c>
      <c r="Z4604" s="61">
        <f>_xll.qlYieldTSDiscount($U$35,Y4604,,Trigger)</f>
        <v>0.84406616069548457</v>
      </c>
    </row>
    <row r="4605" spans="25:26" x14ac:dyDescent="0.25">
      <c r="Y4605" s="63">
        <v>47138</v>
      </c>
      <c r="Z4605" s="61">
        <f>_xll.qlYieldTSDiscount($U$35,Y4605,,Trigger)</f>
        <v>0.84403207862706531</v>
      </c>
    </row>
    <row r="4606" spans="25:26" x14ac:dyDescent="0.25">
      <c r="Y4606" s="63">
        <v>47139</v>
      </c>
      <c r="Z4606" s="61">
        <f>_xll.qlYieldTSDiscount($U$35,Y4606,,Trigger)</f>
        <v>0.8439979979311536</v>
      </c>
    </row>
    <row r="4607" spans="25:26" x14ac:dyDescent="0.25">
      <c r="Y4607" s="63">
        <v>47140</v>
      </c>
      <c r="Z4607" s="61">
        <f>_xll.qlYieldTSDiscount($U$35,Y4607,,Trigger)</f>
        <v>0.84396391860535602</v>
      </c>
    </row>
    <row r="4608" spans="25:26" x14ac:dyDescent="0.25">
      <c r="Y4608" s="63">
        <v>47141</v>
      </c>
      <c r="Z4608" s="61">
        <f>_xll.qlYieldTSDiscount($U$35,Y4608,,Trigger)</f>
        <v>0.84392984064727905</v>
      </c>
    </row>
    <row r="4609" spans="25:26" x14ac:dyDescent="0.25">
      <c r="Y4609" s="63">
        <v>47142</v>
      </c>
      <c r="Z4609" s="61">
        <f>_xll.qlYieldTSDiscount($U$35,Y4609,,Trigger)</f>
        <v>0.84389576405452926</v>
      </c>
    </row>
    <row r="4610" spans="25:26" x14ac:dyDescent="0.25">
      <c r="Y4610" s="63">
        <v>47143</v>
      </c>
      <c r="Z4610" s="61">
        <f>_xll.qlYieldTSDiscount($U$35,Y4610,,Trigger)</f>
        <v>0.84386168882471291</v>
      </c>
    </row>
    <row r="4611" spans="25:26" x14ac:dyDescent="0.25">
      <c r="Y4611" s="63">
        <v>47144</v>
      </c>
      <c r="Z4611" s="61">
        <f>_xll.qlYieldTSDiscount($U$35,Y4611,,Trigger)</f>
        <v>0.84382761495543668</v>
      </c>
    </row>
    <row r="4612" spans="25:26" x14ac:dyDescent="0.25">
      <c r="Y4612" s="63">
        <v>47145</v>
      </c>
      <c r="Z4612" s="61">
        <f>_xll.qlYieldTSDiscount($U$35,Y4612,,Trigger)</f>
        <v>0.84379354244430693</v>
      </c>
    </row>
    <row r="4613" spans="25:26" x14ac:dyDescent="0.25">
      <c r="Y4613" s="63">
        <v>47146</v>
      </c>
      <c r="Z4613" s="61">
        <f>_xll.qlYieldTSDiscount($U$35,Y4613,,Trigger)</f>
        <v>0.84375947128893025</v>
      </c>
    </row>
    <row r="4614" spans="25:26" x14ac:dyDescent="0.25">
      <c r="Y4614" s="63">
        <v>47147</v>
      </c>
      <c r="Z4614" s="61">
        <f>_xll.qlYieldTSDiscount($U$35,Y4614,,Trigger)</f>
        <v>0.84372540148691311</v>
      </c>
    </row>
    <row r="4615" spans="25:26" x14ac:dyDescent="0.25">
      <c r="Y4615" s="63">
        <v>47148</v>
      </c>
      <c r="Z4615" s="61">
        <f>_xll.qlYieldTSDiscount($U$35,Y4615,,Trigger)</f>
        <v>0.84369133303586186</v>
      </c>
    </row>
    <row r="4616" spans="25:26" x14ac:dyDescent="0.25">
      <c r="Y4616" s="63">
        <v>47149</v>
      </c>
      <c r="Z4616" s="61">
        <f>_xll.qlYieldTSDiscount($U$35,Y4616,,Trigger)</f>
        <v>0.84365726593338308</v>
      </c>
    </row>
    <row r="4617" spans="25:26" x14ac:dyDescent="0.25">
      <c r="Y4617" s="63">
        <v>47150</v>
      </c>
      <c r="Z4617" s="61">
        <f>_xll.qlYieldTSDiscount($U$35,Y4617,,Trigger)</f>
        <v>0.84362320017708325</v>
      </c>
    </row>
    <row r="4618" spans="25:26" x14ac:dyDescent="0.25">
      <c r="Y4618" s="63">
        <v>47151</v>
      </c>
      <c r="Z4618" s="61">
        <f>_xll.qlYieldTSDiscount($U$35,Y4618,,Trigger)</f>
        <v>0.84358913576456884</v>
      </c>
    </row>
    <row r="4619" spans="25:26" x14ac:dyDescent="0.25">
      <c r="Y4619" s="63">
        <v>47152</v>
      </c>
      <c r="Z4619" s="61">
        <f>_xll.qlYieldTSDiscount($U$35,Y4619,,Trigger)</f>
        <v>0.84355507269344621</v>
      </c>
    </row>
    <row r="4620" spans="25:26" x14ac:dyDescent="0.25">
      <c r="Y4620" s="63">
        <v>47153</v>
      </c>
      <c r="Z4620" s="61">
        <f>_xll.qlYieldTSDiscount($U$35,Y4620,,Trigger)</f>
        <v>0.84352101096132215</v>
      </c>
    </row>
    <row r="4621" spans="25:26" x14ac:dyDescent="0.25">
      <c r="Y4621" s="63">
        <v>47154</v>
      </c>
      <c r="Z4621" s="61">
        <f>_xll.qlYieldTSDiscount($U$35,Y4621,,Trigger)</f>
        <v>0.84348695056580281</v>
      </c>
    </row>
    <row r="4622" spans="25:26" x14ac:dyDescent="0.25">
      <c r="Y4622" s="63">
        <v>47155</v>
      </c>
      <c r="Z4622" s="61">
        <f>_xll.qlYieldTSDiscount($U$35,Y4622,,Trigger)</f>
        <v>0.84345289150449487</v>
      </c>
    </row>
    <row r="4623" spans="25:26" x14ac:dyDescent="0.25">
      <c r="Y4623" s="63">
        <v>47156</v>
      </c>
      <c r="Z4623" s="61">
        <f>_xll.qlYieldTSDiscount($U$35,Y4623,,Trigger)</f>
        <v>0.84341883377500471</v>
      </c>
    </row>
    <row r="4624" spans="25:26" x14ac:dyDescent="0.25">
      <c r="Y4624" s="63">
        <v>47157</v>
      </c>
      <c r="Z4624" s="61">
        <f>_xll.qlYieldTSDiscount($U$35,Y4624,,Trigger)</f>
        <v>0.84338477737493889</v>
      </c>
    </row>
    <row r="4625" spans="25:26" x14ac:dyDescent="0.25">
      <c r="Y4625" s="63">
        <v>47158</v>
      </c>
      <c r="Z4625" s="61">
        <f>_xll.qlYieldTSDiscount($U$35,Y4625,,Trigger)</f>
        <v>0.84335072230190378</v>
      </c>
    </row>
    <row r="4626" spans="25:26" x14ac:dyDescent="0.25">
      <c r="Y4626" s="63">
        <v>47159</v>
      </c>
      <c r="Z4626" s="61">
        <f>_xll.qlYieldTSDiscount($U$35,Y4626,,Trigger)</f>
        <v>0.84331666855350607</v>
      </c>
    </row>
    <row r="4627" spans="25:26" x14ac:dyDescent="0.25">
      <c r="Y4627" s="63">
        <v>47160</v>
      </c>
      <c r="Z4627" s="61">
        <f>_xll.qlYieldTSDiscount($U$35,Y4627,,Trigger)</f>
        <v>0.843282616127352</v>
      </c>
    </row>
    <row r="4628" spans="25:26" x14ac:dyDescent="0.25">
      <c r="Y4628" s="63">
        <v>47161</v>
      </c>
      <c r="Z4628" s="61">
        <f>_xll.qlYieldTSDiscount($U$35,Y4628,,Trigger)</f>
        <v>0.84324856502104817</v>
      </c>
    </row>
    <row r="4629" spans="25:26" x14ac:dyDescent="0.25">
      <c r="Y4629" s="63">
        <v>47162</v>
      </c>
      <c r="Z4629" s="61">
        <f>_xll.qlYieldTSDiscount($U$35,Y4629,,Trigger)</f>
        <v>0.84321451523220103</v>
      </c>
    </row>
    <row r="4630" spans="25:26" x14ac:dyDescent="0.25">
      <c r="Y4630" s="63">
        <v>47163</v>
      </c>
      <c r="Z4630" s="61">
        <f>_xll.qlYieldTSDiscount($U$35,Y4630,,Trigger)</f>
        <v>0.84318046675841707</v>
      </c>
    </row>
    <row r="4631" spans="25:26" x14ac:dyDescent="0.25">
      <c r="Y4631" s="63">
        <v>47164</v>
      </c>
      <c r="Z4631" s="61">
        <f>_xll.qlYieldTSDiscount($U$35,Y4631,,Trigger)</f>
        <v>0.84314641959730274</v>
      </c>
    </row>
    <row r="4632" spans="25:26" x14ac:dyDescent="0.25">
      <c r="Y4632" s="63">
        <v>47165</v>
      </c>
      <c r="Z4632" s="61">
        <f>_xll.qlYieldTSDiscount($U$35,Y4632,,Trigger)</f>
        <v>0.84311237374646464</v>
      </c>
    </row>
    <row r="4633" spans="25:26" x14ac:dyDescent="0.25">
      <c r="Y4633" s="63">
        <v>47166</v>
      </c>
      <c r="Z4633" s="61">
        <f>_xll.qlYieldTSDiscount($U$35,Y4633,,Trigger)</f>
        <v>0.84307832920350911</v>
      </c>
    </row>
    <row r="4634" spans="25:26" x14ac:dyDescent="0.25">
      <c r="Y4634" s="63">
        <v>47167</v>
      </c>
      <c r="Z4634" s="61">
        <f>_xll.qlYieldTSDiscount($U$35,Y4634,,Trigger)</f>
        <v>0.84304428596604275</v>
      </c>
    </row>
    <row r="4635" spans="25:26" x14ac:dyDescent="0.25">
      <c r="Y4635" s="63">
        <v>47168</v>
      </c>
      <c r="Z4635" s="61">
        <f>_xll.qlYieldTSDiscount($U$35,Y4635,,Trigger)</f>
        <v>0.84301024403167191</v>
      </c>
    </row>
    <row r="4636" spans="25:26" x14ac:dyDescent="0.25">
      <c r="Y4636" s="63">
        <v>47169</v>
      </c>
      <c r="Z4636" s="61">
        <f>_xll.qlYieldTSDiscount($U$35,Y4636,,Trigger)</f>
        <v>0.84297620339800317</v>
      </c>
    </row>
    <row r="4637" spans="25:26" x14ac:dyDescent="0.25">
      <c r="Y4637" s="63">
        <v>47170</v>
      </c>
      <c r="Z4637" s="61">
        <f>_xll.qlYieldTSDiscount($U$35,Y4637,,Trigger)</f>
        <v>0.84294216406264288</v>
      </c>
    </row>
    <row r="4638" spans="25:26" x14ac:dyDescent="0.25">
      <c r="Y4638" s="63">
        <v>47171</v>
      </c>
      <c r="Z4638" s="61">
        <f>_xll.qlYieldTSDiscount($U$35,Y4638,,Trigger)</f>
        <v>0.84290812602319776</v>
      </c>
    </row>
    <row r="4639" spans="25:26" x14ac:dyDescent="0.25">
      <c r="Y4639" s="63">
        <v>47172</v>
      </c>
      <c r="Z4639" s="61">
        <f>_xll.qlYieldTSDiscount($U$35,Y4639,,Trigger)</f>
        <v>0.84287408927727403</v>
      </c>
    </row>
    <row r="4640" spans="25:26" x14ac:dyDescent="0.25">
      <c r="Y4640" s="63">
        <v>47173</v>
      </c>
      <c r="Z4640" s="61">
        <f>_xll.qlYieldTSDiscount($U$35,Y4640,,Trigger)</f>
        <v>0.8428400538224784</v>
      </c>
    </row>
    <row r="4641" spans="25:26" x14ac:dyDescent="0.25">
      <c r="Y4641" s="63">
        <v>47174</v>
      </c>
      <c r="Z4641" s="61">
        <f>_xll.qlYieldTSDiscount($U$35,Y4641,,Trigger)</f>
        <v>0.8428060196564171</v>
      </c>
    </row>
    <row r="4642" spans="25:26" x14ac:dyDescent="0.25">
      <c r="Y4642" s="63">
        <v>47175</v>
      </c>
      <c r="Z4642" s="61">
        <f>_xll.qlYieldTSDiscount($U$35,Y4642,,Trigger)</f>
        <v>0.84277198677669696</v>
      </c>
    </row>
    <row r="4643" spans="25:26" x14ac:dyDescent="0.25">
      <c r="Y4643" s="63">
        <v>47176</v>
      </c>
      <c r="Z4643" s="61">
        <f>_xll.qlYieldTSDiscount($U$35,Y4643,,Trigger)</f>
        <v>0.84273795518092409</v>
      </c>
    </row>
    <row r="4644" spans="25:26" x14ac:dyDescent="0.25">
      <c r="Y4644" s="63">
        <v>47177</v>
      </c>
      <c r="Z4644" s="61">
        <f>_xll.qlYieldTSDiscount($U$35,Y4644,,Trigger)</f>
        <v>0.8427039248667052</v>
      </c>
    </row>
    <row r="4645" spans="25:26" x14ac:dyDescent="0.25">
      <c r="Y4645" s="63">
        <v>47178</v>
      </c>
      <c r="Z4645" s="61">
        <f>_xll.qlYieldTSDiscount($U$35,Y4645,,Trigger)</f>
        <v>0.84266989583164664</v>
      </c>
    </row>
    <row r="4646" spans="25:26" x14ac:dyDescent="0.25">
      <c r="Y4646" s="63">
        <v>47179</v>
      </c>
      <c r="Z4646" s="61">
        <f>_xll.qlYieldTSDiscount($U$35,Y4646,,Trigger)</f>
        <v>0.842635868073355</v>
      </c>
    </row>
    <row r="4647" spans="25:26" x14ac:dyDescent="0.25">
      <c r="Y4647" s="63">
        <v>47180</v>
      </c>
      <c r="Z4647" s="61">
        <f>_xll.qlYieldTSDiscount($U$35,Y4647,,Trigger)</f>
        <v>0.84260184158943663</v>
      </c>
    </row>
    <row r="4648" spans="25:26" x14ac:dyDescent="0.25">
      <c r="Y4648" s="63">
        <v>47181</v>
      </c>
      <c r="Z4648" s="61">
        <f>_xll.qlYieldTSDiscount($U$35,Y4648,,Trigger)</f>
        <v>0.84256781637749822</v>
      </c>
    </row>
    <row r="4649" spans="25:26" x14ac:dyDescent="0.25">
      <c r="Y4649" s="63">
        <v>47182</v>
      </c>
      <c r="Z4649" s="61">
        <f>_xll.qlYieldTSDiscount($U$35,Y4649,,Trigger)</f>
        <v>0.84253379243514603</v>
      </c>
    </row>
    <row r="4650" spans="25:26" x14ac:dyDescent="0.25">
      <c r="Y4650" s="63">
        <v>47183</v>
      </c>
      <c r="Z4650" s="61">
        <f>_xll.qlYieldTSDiscount($U$35,Y4650,,Trigger)</f>
        <v>0.84249976975998675</v>
      </c>
    </row>
    <row r="4651" spans="25:26" x14ac:dyDescent="0.25">
      <c r="Y4651" s="63">
        <v>47184</v>
      </c>
      <c r="Z4651" s="61">
        <f>_xll.qlYieldTSDiscount($U$35,Y4651,,Trigger)</f>
        <v>0.84246574834962662</v>
      </c>
    </row>
    <row r="4652" spans="25:26" x14ac:dyDescent="0.25">
      <c r="Y4652" s="63">
        <v>47185</v>
      </c>
      <c r="Z4652" s="61">
        <f>_xll.qlYieldTSDiscount($U$35,Y4652,,Trigger)</f>
        <v>0.84243172820167223</v>
      </c>
    </row>
    <row r="4653" spans="25:26" x14ac:dyDescent="0.25">
      <c r="Y4653" s="63">
        <v>47186</v>
      </c>
      <c r="Z4653" s="61">
        <f>_xll.qlYieldTSDiscount($U$35,Y4653,,Trigger)</f>
        <v>0.84239770931373015</v>
      </c>
    </row>
    <row r="4654" spans="25:26" x14ac:dyDescent="0.25">
      <c r="Y4654" s="63">
        <v>47187</v>
      </c>
      <c r="Z4654" s="61">
        <f>_xll.qlYieldTSDiscount($U$35,Y4654,,Trigger)</f>
        <v>0.84236369168340686</v>
      </c>
    </row>
    <row r="4655" spans="25:26" x14ac:dyDescent="0.25">
      <c r="Y4655" s="63">
        <v>47188</v>
      </c>
      <c r="Z4655" s="61">
        <f>_xll.qlYieldTSDiscount($U$35,Y4655,,Trigger)</f>
        <v>0.84232967530830871</v>
      </c>
    </row>
    <row r="4656" spans="25:26" x14ac:dyDescent="0.25">
      <c r="Y4656" s="63">
        <v>47189</v>
      </c>
      <c r="Z4656" s="61">
        <f>_xll.qlYieldTSDiscount($U$35,Y4656,,Trigger)</f>
        <v>0.84229566018604218</v>
      </c>
    </row>
    <row r="4657" spans="25:26" x14ac:dyDescent="0.25">
      <c r="Y4657" s="63">
        <v>47190</v>
      </c>
      <c r="Z4657" s="61">
        <f>_xll.qlYieldTSDiscount($U$35,Y4657,,Trigger)</f>
        <v>0.84226164631421385</v>
      </c>
    </row>
    <row r="4658" spans="25:26" x14ac:dyDescent="0.25">
      <c r="Y4658" s="63">
        <v>47191</v>
      </c>
      <c r="Z4658" s="61">
        <f>_xll.qlYieldTSDiscount($U$35,Y4658,,Trigger)</f>
        <v>0.84222763369043019</v>
      </c>
    </row>
    <row r="4659" spans="25:26" x14ac:dyDescent="0.25">
      <c r="Y4659" s="63">
        <v>47192</v>
      </c>
      <c r="Z4659" s="61">
        <f>_xll.qlYieldTSDiscount($U$35,Y4659,,Trigger)</f>
        <v>0.84219362231229755</v>
      </c>
    </row>
    <row r="4660" spans="25:26" x14ac:dyDescent="0.25">
      <c r="Y4660" s="63">
        <v>47193</v>
      </c>
      <c r="Z4660" s="61">
        <f>_xll.qlYieldTSDiscount($U$35,Y4660,,Trigger)</f>
        <v>0.84215961217742263</v>
      </c>
    </row>
    <row r="4661" spans="25:26" x14ac:dyDescent="0.25">
      <c r="Y4661" s="63">
        <v>47194</v>
      </c>
      <c r="Z4661" s="61">
        <f>_xll.qlYieldTSDiscount($U$35,Y4661,,Trigger)</f>
        <v>0.84212560328341168</v>
      </c>
    </row>
    <row r="4662" spans="25:26" x14ac:dyDescent="0.25">
      <c r="Y4662" s="63">
        <v>47195</v>
      </c>
      <c r="Z4662" s="61">
        <f>_xll.qlYieldTSDiscount($U$35,Y4662,,Trigger)</f>
        <v>0.84209159562787139</v>
      </c>
    </row>
    <row r="4663" spans="25:26" x14ac:dyDescent="0.25">
      <c r="Y4663" s="63">
        <v>47196</v>
      </c>
      <c r="Z4663" s="61">
        <f>_xll.qlYieldTSDiscount($U$35,Y4663,,Trigger)</f>
        <v>0.84205758920840812</v>
      </c>
    </row>
    <row r="4664" spans="25:26" x14ac:dyDescent="0.25">
      <c r="Y4664" s="63">
        <v>47197</v>
      </c>
      <c r="Z4664" s="61">
        <f>_xll.qlYieldTSDiscount($U$35,Y4664,,Trigger)</f>
        <v>0.84202358402262834</v>
      </c>
    </row>
    <row r="4665" spans="25:26" x14ac:dyDescent="0.25">
      <c r="Y4665" s="63">
        <v>47198</v>
      </c>
      <c r="Z4665" s="61">
        <f>_xll.qlYieldTSDiscount($U$35,Y4665,,Trigger)</f>
        <v>0.84198958006813862</v>
      </c>
    </row>
    <row r="4666" spans="25:26" x14ac:dyDescent="0.25">
      <c r="Y4666" s="63">
        <v>47199</v>
      </c>
      <c r="Z4666" s="61">
        <f>_xll.qlYieldTSDiscount($U$35,Y4666,,Trigger)</f>
        <v>0.84195557734254534</v>
      </c>
    </row>
    <row r="4667" spans="25:26" x14ac:dyDescent="0.25">
      <c r="Y4667" s="63">
        <v>47200</v>
      </c>
      <c r="Z4667" s="61">
        <f>_xll.qlYieldTSDiscount($U$35,Y4667,,Trigger)</f>
        <v>0.84192157584345506</v>
      </c>
    </row>
    <row r="4668" spans="25:26" x14ac:dyDescent="0.25">
      <c r="Y4668" s="63">
        <v>47201</v>
      </c>
      <c r="Z4668" s="61">
        <f>_xll.qlYieldTSDiscount($U$35,Y4668,,Trigger)</f>
        <v>0.84188757556847416</v>
      </c>
    </row>
    <row r="4669" spans="25:26" x14ac:dyDescent="0.25">
      <c r="Y4669" s="63">
        <v>47202</v>
      </c>
      <c r="Z4669" s="61">
        <f>_xll.qlYieldTSDiscount($U$35,Y4669,,Trigger)</f>
        <v>0.8418535765152092</v>
      </c>
    </row>
    <row r="4670" spans="25:26" x14ac:dyDescent="0.25">
      <c r="Y4670" s="63">
        <v>47203</v>
      </c>
      <c r="Z4670" s="61">
        <f>_xll.qlYieldTSDiscount($U$35,Y4670,,Trigger)</f>
        <v>0.84181957868126678</v>
      </c>
    </row>
    <row r="4671" spans="25:26" x14ac:dyDescent="0.25">
      <c r="Y4671" s="63">
        <v>47204</v>
      </c>
      <c r="Z4671" s="61">
        <f>_xll.qlYieldTSDiscount($U$35,Y4671,,Trigger)</f>
        <v>0.84178558206425314</v>
      </c>
    </row>
    <row r="4672" spans="25:26" x14ac:dyDescent="0.25">
      <c r="Y4672" s="63">
        <v>47205</v>
      </c>
      <c r="Z4672" s="61">
        <f>_xll.qlYieldTSDiscount($U$35,Y4672,,Trigger)</f>
        <v>0.84175158666177485</v>
      </c>
    </row>
    <row r="4673" spans="25:26" x14ac:dyDescent="0.25">
      <c r="Y4673" s="63">
        <v>47206</v>
      </c>
      <c r="Z4673" s="61">
        <f>_xll.qlYieldTSDiscount($U$35,Y4673,,Trigger)</f>
        <v>0.8417175924714384</v>
      </c>
    </row>
    <row r="4674" spans="25:26" x14ac:dyDescent="0.25">
      <c r="Y4674" s="63">
        <v>47207</v>
      </c>
      <c r="Z4674" s="61">
        <f>_xll.qlYieldTSDiscount($U$35,Y4674,,Trigger)</f>
        <v>0.84168359949085036</v>
      </c>
    </row>
    <row r="4675" spans="25:26" x14ac:dyDescent="0.25">
      <c r="Y4675" s="63">
        <v>47208</v>
      </c>
      <c r="Z4675" s="61">
        <f>_xll.qlYieldTSDiscount($U$35,Y4675,,Trigger)</f>
        <v>0.8416496077176171</v>
      </c>
    </row>
    <row r="4676" spans="25:26" x14ac:dyDescent="0.25">
      <c r="Y4676" s="63">
        <v>47209</v>
      </c>
      <c r="Z4676" s="61">
        <f>_xll.qlYieldTSDiscount($U$35,Y4676,,Trigger)</f>
        <v>0.84161561714934507</v>
      </c>
    </row>
    <row r="4677" spans="25:26" x14ac:dyDescent="0.25">
      <c r="Y4677" s="63">
        <v>47210</v>
      </c>
      <c r="Z4677" s="61">
        <f>_xll.qlYieldTSDiscount($U$35,Y4677,,Trigger)</f>
        <v>0.84158162778364087</v>
      </c>
    </row>
    <row r="4678" spans="25:26" x14ac:dyDescent="0.25">
      <c r="Y4678" s="63">
        <v>47211</v>
      </c>
      <c r="Z4678" s="61">
        <f>_xll.qlYieldTSDiscount($U$35,Y4678,,Trigger)</f>
        <v>0.84154763961811097</v>
      </c>
    </row>
    <row r="4679" spans="25:26" x14ac:dyDescent="0.25">
      <c r="Y4679" s="63">
        <v>47212</v>
      </c>
      <c r="Z4679" s="61">
        <f>_xll.qlYieldTSDiscount($U$35,Y4679,,Trigger)</f>
        <v>0.84151365265036171</v>
      </c>
    </row>
    <row r="4680" spans="25:26" x14ac:dyDescent="0.25">
      <c r="Y4680" s="63">
        <v>47213</v>
      </c>
      <c r="Z4680" s="61">
        <f>_xll.qlYieldTSDiscount($U$35,Y4680,,Trigger)</f>
        <v>0.84147966687799969</v>
      </c>
    </row>
    <row r="4681" spans="25:26" x14ac:dyDescent="0.25">
      <c r="Y4681" s="63">
        <v>47214</v>
      </c>
      <c r="Z4681" s="61">
        <f>_xll.qlYieldTSDiscount($U$35,Y4681,,Trigger)</f>
        <v>0.84144568229863137</v>
      </c>
    </row>
    <row r="4682" spans="25:26" x14ac:dyDescent="0.25">
      <c r="Y4682" s="63">
        <v>47215</v>
      </c>
      <c r="Z4682" s="61">
        <f>_xll.qlYieldTSDiscount($U$35,Y4682,,Trigger)</f>
        <v>0.84141169890986323</v>
      </c>
    </row>
    <row r="4683" spans="25:26" x14ac:dyDescent="0.25">
      <c r="Y4683" s="63">
        <v>47216</v>
      </c>
      <c r="Z4683" s="61">
        <f>_xll.qlYieldTSDiscount($U$35,Y4683,,Trigger)</f>
        <v>0.84137771670930173</v>
      </c>
    </row>
    <row r="4684" spans="25:26" x14ac:dyDescent="0.25">
      <c r="Y4684" s="63">
        <v>47217</v>
      </c>
      <c r="Z4684" s="61">
        <f>_xll.qlYieldTSDiscount($U$35,Y4684,,Trigger)</f>
        <v>0.84134373569455345</v>
      </c>
    </row>
    <row r="4685" spans="25:26" x14ac:dyDescent="0.25">
      <c r="Y4685" s="63">
        <v>47218</v>
      </c>
      <c r="Z4685" s="61">
        <f>_xll.qlYieldTSDiscount($U$35,Y4685,,Trigger)</f>
        <v>0.84130975586322465</v>
      </c>
    </row>
    <row r="4686" spans="25:26" x14ac:dyDescent="0.25">
      <c r="Y4686" s="63">
        <v>47219</v>
      </c>
      <c r="Z4686" s="61">
        <f>_xll.qlYieldTSDiscount($U$35,Y4686,,Trigger)</f>
        <v>0.84127577721292202</v>
      </c>
    </row>
    <row r="4687" spans="25:26" x14ac:dyDescent="0.25">
      <c r="Y4687" s="63">
        <v>47220</v>
      </c>
      <c r="Z4687" s="61">
        <f>_xll.qlYieldTSDiscount($U$35,Y4687,,Trigger)</f>
        <v>0.84124179974125202</v>
      </c>
    </row>
    <row r="4688" spans="25:26" x14ac:dyDescent="0.25">
      <c r="Y4688" s="63">
        <v>47221</v>
      </c>
      <c r="Z4688" s="61">
        <f>_xll.qlYieldTSDiscount($U$35,Y4688,,Trigger)</f>
        <v>0.84120782344582101</v>
      </c>
    </row>
    <row r="4689" spans="25:26" x14ac:dyDescent="0.25">
      <c r="Y4689" s="63">
        <v>47222</v>
      </c>
      <c r="Z4689" s="61">
        <f>_xll.qlYieldTSDiscount($U$35,Y4689,,Trigger)</f>
        <v>0.84117384832423558</v>
      </c>
    </row>
    <row r="4690" spans="25:26" x14ac:dyDescent="0.25">
      <c r="Y4690" s="63">
        <v>47223</v>
      </c>
      <c r="Z4690" s="61">
        <f>_xll.qlYieldTSDiscount($U$35,Y4690,,Trigger)</f>
        <v>0.84113987437410209</v>
      </c>
    </row>
    <row r="4691" spans="25:26" x14ac:dyDescent="0.25">
      <c r="Y4691" s="63">
        <v>47224</v>
      </c>
      <c r="Z4691" s="61">
        <f>_xll.qlYieldTSDiscount($U$35,Y4691,,Trigger)</f>
        <v>0.84110590159302723</v>
      </c>
    </row>
    <row r="4692" spans="25:26" x14ac:dyDescent="0.25">
      <c r="Y4692" s="63">
        <v>47225</v>
      </c>
      <c r="Z4692" s="61">
        <f>_xll.qlYieldTSDiscount($U$35,Y4692,,Trigger)</f>
        <v>0.84107192997861724</v>
      </c>
    </row>
    <row r="4693" spans="25:26" x14ac:dyDescent="0.25">
      <c r="Y4693" s="63">
        <v>47226</v>
      </c>
      <c r="Z4693" s="61">
        <f>_xll.qlYieldTSDiscount($U$35,Y4693,,Trigger)</f>
        <v>0.84103795952847871</v>
      </c>
    </row>
    <row r="4694" spans="25:26" x14ac:dyDescent="0.25">
      <c r="Y4694" s="63">
        <v>47227</v>
      </c>
      <c r="Z4694" s="61">
        <f>_xll.qlYieldTSDiscount($U$35,Y4694,,Trigger)</f>
        <v>0.84100399024021821</v>
      </c>
    </row>
    <row r="4695" spans="25:26" x14ac:dyDescent="0.25">
      <c r="Y4695" s="63">
        <v>47228</v>
      </c>
      <c r="Z4695" s="61">
        <f>_xll.qlYieldTSDiscount($U$35,Y4695,,Trigger)</f>
        <v>0.84097002211144212</v>
      </c>
    </row>
    <row r="4696" spans="25:26" x14ac:dyDescent="0.25">
      <c r="Y4696" s="63">
        <v>47229</v>
      </c>
      <c r="Z4696" s="61">
        <f>_xll.qlYieldTSDiscount($U$35,Y4696,,Trigger)</f>
        <v>0.84093605513975689</v>
      </c>
    </row>
    <row r="4697" spans="25:26" x14ac:dyDescent="0.25">
      <c r="Y4697" s="63">
        <v>47230</v>
      </c>
      <c r="Z4697" s="61">
        <f>_xll.qlYieldTSDiscount($U$35,Y4697,,Trigger)</f>
        <v>0.840902089322769</v>
      </c>
    </row>
    <row r="4698" spans="25:26" x14ac:dyDescent="0.25">
      <c r="Y4698" s="63">
        <v>47231</v>
      </c>
      <c r="Z4698" s="61">
        <f>_xll.qlYieldTSDiscount($U$35,Y4698,,Trigger)</f>
        <v>0.84086812465808503</v>
      </c>
    </row>
    <row r="4699" spans="25:26" x14ac:dyDescent="0.25">
      <c r="Y4699" s="63">
        <v>47232</v>
      </c>
      <c r="Z4699" s="61">
        <f>_xll.qlYieldTSDiscount($U$35,Y4699,,Trigger)</f>
        <v>0.84083416114331144</v>
      </c>
    </row>
    <row r="4700" spans="25:26" x14ac:dyDescent="0.25">
      <c r="Y4700" s="63">
        <v>47233</v>
      </c>
      <c r="Z4700" s="61">
        <f>_xll.qlYieldTSDiscount($U$35,Y4700,,Trigger)</f>
        <v>0.84080019877605461</v>
      </c>
    </row>
    <row r="4701" spans="25:26" x14ac:dyDescent="0.25">
      <c r="Y4701" s="63">
        <v>47234</v>
      </c>
      <c r="Z4701" s="61">
        <f>_xll.qlYieldTSDiscount($U$35,Y4701,,Trigger)</f>
        <v>0.8407662375539211</v>
      </c>
    </row>
    <row r="4702" spans="25:26" x14ac:dyDescent="0.25">
      <c r="Y4702" s="63">
        <v>47235</v>
      </c>
      <c r="Z4702" s="61">
        <f>_xll.qlYieldTSDiscount($U$35,Y4702,,Trigger)</f>
        <v>0.8407322774745174</v>
      </c>
    </row>
    <row r="4703" spans="25:26" x14ac:dyDescent="0.25">
      <c r="Y4703" s="63">
        <v>47236</v>
      </c>
      <c r="Z4703" s="61">
        <f>_xll.qlYieldTSDiscount($U$35,Y4703,,Trigger)</f>
        <v>0.84069831853544996</v>
      </c>
    </row>
    <row r="4704" spans="25:26" x14ac:dyDescent="0.25">
      <c r="Y4704" s="63">
        <v>47237</v>
      </c>
      <c r="Z4704" s="61">
        <f>_xll.qlYieldTSDiscount($U$35,Y4704,,Trigger)</f>
        <v>0.84066436073432527</v>
      </c>
    </row>
    <row r="4705" spans="25:26" x14ac:dyDescent="0.25">
      <c r="Y4705" s="63">
        <v>47238</v>
      </c>
      <c r="Z4705" s="61">
        <f>_xll.qlYieldTSDiscount($U$35,Y4705,,Trigger)</f>
        <v>0.84063040406874989</v>
      </c>
    </row>
    <row r="4706" spans="25:26" x14ac:dyDescent="0.25">
      <c r="Y4706" s="63">
        <v>47239</v>
      </c>
      <c r="Z4706" s="61">
        <f>_xll.qlYieldTSDiscount($U$35,Y4706,,Trigger)</f>
        <v>0.84059644853633009</v>
      </c>
    </row>
    <row r="4707" spans="25:26" x14ac:dyDescent="0.25">
      <c r="Y4707" s="63">
        <v>47240</v>
      </c>
      <c r="Z4707" s="61">
        <f>_xll.qlYieldTSDiscount($U$35,Y4707,,Trigger)</f>
        <v>0.84056249413467254</v>
      </c>
    </row>
    <row r="4708" spans="25:26" x14ac:dyDescent="0.25">
      <c r="Y4708" s="63">
        <v>47241</v>
      </c>
      <c r="Z4708" s="61">
        <f>_xll.qlYieldTSDiscount($U$35,Y4708,,Trigger)</f>
        <v>0.84052854086138362</v>
      </c>
    </row>
    <row r="4709" spans="25:26" x14ac:dyDescent="0.25">
      <c r="Y4709" s="63">
        <v>47242</v>
      </c>
      <c r="Z4709" s="61">
        <f>_xll.qlYieldTSDiscount($U$35,Y4709,,Trigger)</f>
        <v>0.8404945887140699</v>
      </c>
    </row>
    <row r="4710" spans="25:26" x14ac:dyDescent="0.25">
      <c r="Y4710" s="63">
        <v>47243</v>
      </c>
      <c r="Z4710" s="61">
        <f>_xll.qlYieldTSDiscount($U$35,Y4710,,Trigger)</f>
        <v>0.84046063769033785</v>
      </c>
    </row>
    <row r="4711" spans="25:26" x14ac:dyDescent="0.25">
      <c r="Y4711" s="63">
        <v>47244</v>
      </c>
      <c r="Z4711" s="61">
        <f>_xll.qlYieldTSDiscount($U$35,Y4711,,Trigger)</f>
        <v>0.84042668778779384</v>
      </c>
    </row>
    <row r="4712" spans="25:26" x14ac:dyDescent="0.25">
      <c r="Y4712" s="63">
        <v>47245</v>
      </c>
      <c r="Z4712" s="61">
        <f>_xll.qlYieldTSDiscount($U$35,Y4712,,Trigger)</f>
        <v>0.84039273900404443</v>
      </c>
    </row>
    <row r="4713" spans="25:26" x14ac:dyDescent="0.25">
      <c r="Y4713" s="63">
        <v>47246</v>
      </c>
      <c r="Z4713" s="61">
        <f>_xll.qlYieldTSDiscount($U$35,Y4713,,Trigger)</f>
        <v>0.84035879133669611</v>
      </c>
    </row>
    <row r="4714" spans="25:26" x14ac:dyDescent="0.25">
      <c r="Y4714" s="63">
        <v>47247</v>
      </c>
      <c r="Z4714" s="61">
        <f>_xll.qlYieldTSDiscount($U$35,Y4714,,Trigger)</f>
        <v>0.84032484478335534</v>
      </c>
    </row>
    <row r="4715" spans="25:26" x14ac:dyDescent="0.25">
      <c r="Y4715" s="63">
        <v>47248</v>
      </c>
      <c r="Z4715" s="61">
        <f>_xll.qlYieldTSDiscount($U$35,Y4715,,Trigger)</f>
        <v>0.84029089934162859</v>
      </c>
    </row>
    <row r="4716" spans="25:26" x14ac:dyDescent="0.25">
      <c r="Y4716" s="63">
        <v>47249</v>
      </c>
      <c r="Z4716" s="61">
        <f>_xll.qlYieldTSDiscount($U$35,Y4716,,Trigger)</f>
        <v>0.84025695500912245</v>
      </c>
    </row>
    <row r="4717" spans="25:26" x14ac:dyDescent="0.25">
      <c r="Y4717" s="63">
        <v>47250</v>
      </c>
      <c r="Z4717" s="61">
        <f>_xll.qlYieldTSDiscount($U$35,Y4717,,Trigger)</f>
        <v>0.84022301178344316</v>
      </c>
    </row>
    <row r="4718" spans="25:26" x14ac:dyDescent="0.25">
      <c r="Y4718" s="63">
        <v>47251</v>
      </c>
      <c r="Z4718" s="61">
        <f>_xll.qlYieldTSDiscount($U$35,Y4718,,Trigger)</f>
        <v>0.84018906966219742</v>
      </c>
    </row>
    <row r="4719" spans="25:26" x14ac:dyDescent="0.25">
      <c r="Y4719" s="63">
        <v>47252</v>
      </c>
      <c r="Z4719" s="61">
        <f>_xll.qlYieldTSDiscount($U$35,Y4719,,Trigger)</f>
        <v>0.84015512864299169</v>
      </c>
    </row>
    <row r="4720" spans="25:26" x14ac:dyDescent="0.25">
      <c r="Y4720" s="63">
        <v>47253</v>
      </c>
      <c r="Z4720" s="61">
        <f>_xll.qlYieldTSDiscount($U$35,Y4720,,Trigger)</f>
        <v>0.84012118872343233</v>
      </c>
    </row>
    <row r="4721" spans="25:26" x14ac:dyDescent="0.25">
      <c r="Y4721" s="63">
        <v>47254</v>
      </c>
      <c r="Z4721" s="61">
        <f>_xll.qlYieldTSDiscount($U$35,Y4721,,Trigger)</f>
        <v>0.84008724990112593</v>
      </c>
    </row>
    <row r="4722" spans="25:26" x14ac:dyDescent="0.25">
      <c r="Y4722" s="63">
        <v>47255</v>
      </c>
      <c r="Z4722" s="61">
        <f>_xll.qlYieldTSDiscount($U$35,Y4722,,Trigger)</f>
        <v>0.84005331217367885</v>
      </c>
    </row>
    <row r="4723" spans="25:26" x14ac:dyDescent="0.25">
      <c r="Y4723" s="63">
        <v>47256</v>
      </c>
      <c r="Z4723" s="61">
        <f>_xll.qlYieldTSDiscount($U$35,Y4723,,Trigger)</f>
        <v>0.84001937553869777</v>
      </c>
    </row>
    <row r="4724" spans="25:26" x14ac:dyDescent="0.25">
      <c r="Y4724" s="63">
        <v>47257</v>
      </c>
      <c r="Z4724" s="61">
        <f>_xll.qlYieldTSDiscount($U$35,Y4724,,Trigger)</f>
        <v>0.83998543999378894</v>
      </c>
    </row>
    <row r="4725" spans="25:26" x14ac:dyDescent="0.25">
      <c r="Y4725" s="63">
        <v>47258</v>
      </c>
      <c r="Z4725" s="61">
        <f>_xll.qlYieldTSDiscount($U$35,Y4725,,Trigger)</f>
        <v>0.83995150553655906</v>
      </c>
    </row>
    <row r="4726" spans="25:26" x14ac:dyDescent="0.25">
      <c r="Y4726" s="63">
        <v>47259</v>
      </c>
      <c r="Z4726" s="61">
        <f>_xll.qlYieldTSDiscount($U$35,Y4726,,Trigger)</f>
        <v>0.83991757216461438</v>
      </c>
    </row>
    <row r="4727" spans="25:26" x14ac:dyDescent="0.25">
      <c r="Y4727" s="63">
        <v>47260</v>
      </c>
      <c r="Z4727" s="61">
        <f>_xll.qlYieldTSDiscount($U$35,Y4727,,Trigger)</f>
        <v>0.83988363987556158</v>
      </c>
    </row>
    <row r="4728" spans="25:26" x14ac:dyDescent="0.25">
      <c r="Y4728" s="63">
        <v>47261</v>
      </c>
      <c r="Z4728" s="61">
        <f>_xll.qlYieldTSDiscount($U$35,Y4728,,Trigger)</f>
        <v>0.83984970866700703</v>
      </c>
    </row>
    <row r="4729" spans="25:26" x14ac:dyDescent="0.25">
      <c r="Y4729" s="63">
        <v>47262</v>
      </c>
      <c r="Z4729" s="61">
        <f>_xll.qlYieldTSDiscount($U$35,Y4729,,Trigger)</f>
        <v>0.83981577853655731</v>
      </c>
    </row>
    <row r="4730" spans="25:26" x14ac:dyDescent="0.25">
      <c r="Y4730" s="63">
        <v>47263</v>
      </c>
      <c r="Z4730" s="61">
        <f>_xll.qlYieldTSDiscount($U$35,Y4730,,Trigger)</f>
        <v>0.83978184948181878</v>
      </c>
    </row>
    <row r="4731" spans="25:26" x14ac:dyDescent="0.25">
      <c r="Y4731" s="63">
        <v>47264</v>
      </c>
      <c r="Z4731" s="61">
        <f>_xll.qlYieldTSDiscount($U$35,Y4731,,Trigger)</f>
        <v>0.8397479215003979</v>
      </c>
    </row>
    <row r="4732" spans="25:26" x14ac:dyDescent="0.25">
      <c r="Y4732" s="63">
        <v>47265</v>
      </c>
      <c r="Z4732" s="61">
        <f>_xll.qlYieldTSDiscount($U$35,Y4732,,Trigger)</f>
        <v>0.83971399458990137</v>
      </c>
    </row>
    <row r="4733" spans="25:26" x14ac:dyDescent="0.25">
      <c r="Y4733" s="63">
        <v>47266</v>
      </c>
      <c r="Z4733" s="61">
        <f>_xll.qlYieldTSDiscount($U$35,Y4733,,Trigger)</f>
        <v>0.83968006874793544</v>
      </c>
    </row>
    <row r="4734" spans="25:26" x14ac:dyDescent="0.25">
      <c r="Y4734" s="63">
        <v>47267</v>
      </c>
      <c r="Z4734" s="61">
        <f>_xll.qlYieldTSDiscount($U$35,Y4734,,Trigger)</f>
        <v>0.83964614397210668</v>
      </c>
    </row>
    <row r="4735" spans="25:26" x14ac:dyDescent="0.25">
      <c r="Y4735" s="63">
        <v>47268</v>
      </c>
      <c r="Z4735" s="61">
        <f>_xll.qlYieldTSDiscount($U$35,Y4735,,Trigger)</f>
        <v>0.83961222026002158</v>
      </c>
    </row>
    <row r="4736" spans="25:26" x14ac:dyDescent="0.25">
      <c r="Y4736" s="63">
        <v>47269</v>
      </c>
      <c r="Z4736" s="61">
        <f>_xll.qlYieldTSDiscount($U$35,Y4736,,Trigger)</f>
        <v>0.83957829760928671</v>
      </c>
    </row>
    <row r="4737" spans="25:26" x14ac:dyDescent="0.25">
      <c r="Y4737" s="63">
        <v>47270</v>
      </c>
      <c r="Z4737" s="61">
        <f>_xll.qlYieldTSDiscount($U$35,Y4737,,Trigger)</f>
        <v>0.83954437601750831</v>
      </c>
    </row>
    <row r="4738" spans="25:26" x14ac:dyDescent="0.25">
      <c r="Y4738" s="63">
        <v>47271</v>
      </c>
      <c r="Z4738" s="61">
        <f>_xll.qlYieldTSDiscount($U$35,Y4738,,Trigger)</f>
        <v>0.83951045548229308</v>
      </c>
    </row>
    <row r="4739" spans="25:26" x14ac:dyDescent="0.25">
      <c r="Y4739" s="63">
        <v>47272</v>
      </c>
      <c r="Z4739" s="61">
        <f>_xll.qlYieldTSDiscount($U$35,Y4739,,Trigger)</f>
        <v>0.83947653600124739</v>
      </c>
    </row>
    <row r="4740" spans="25:26" x14ac:dyDescent="0.25">
      <c r="Y4740" s="63">
        <v>47273</v>
      </c>
      <c r="Z4740" s="61">
        <f>_xll.qlYieldTSDiscount($U$35,Y4740,,Trigger)</f>
        <v>0.83944261757197769</v>
      </c>
    </row>
    <row r="4741" spans="25:26" x14ac:dyDescent="0.25">
      <c r="Y4741" s="63">
        <v>47274</v>
      </c>
      <c r="Z4741" s="61">
        <f>_xll.qlYieldTSDiscount($U$35,Y4741,,Trigger)</f>
        <v>0.83940870019209057</v>
      </c>
    </row>
    <row r="4742" spans="25:26" x14ac:dyDescent="0.25">
      <c r="Y4742" s="63">
        <v>47275</v>
      </c>
      <c r="Z4742" s="61">
        <f>_xll.qlYieldTSDiscount($U$35,Y4742,,Trigger)</f>
        <v>0.83937478385919251</v>
      </c>
    </row>
    <row r="4743" spans="25:26" x14ac:dyDescent="0.25">
      <c r="Y4743" s="63">
        <v>47276</v>
      </c>
      <c r="Z4743" s="61">
        <f>_xll.qlYieldTSDiscount($U$35,Y4743,,Trigger)</f>
        <v>0.83934086857088985</v>
      </c>
    </row>
    <row r="4744" spans="25:26" x14ac:dyDescent="0.25">
      <c r="Y4744" s="63">
        <v>47277</v>
      </c>
      <c r="Z4744" s="61">
        <f>_xll.qlYieldTSDiscount($U$35,Y4744,,Trigger)</f>
        <v>0.8393069543247893</v>
      </c>
    </row>
    <row r="4745" spans="25:26" x14ac:dyDescent="0.25">
      <c r="Y4745" s="63">
        <v>47278</v>
      </c>
      <c r="Z4745" s="61">
        <f>_xll.qlYieldTSDiscount($U$35,Y4745,,Trigger)</f>
        <v>0.8392730411184971</v>
      </c>
    </row>
    <row r="4746" spans="25:26" x14ac:dyDescent="0.25">
      <c r="Y4746" s="63">
        <v>47279</v>
      </c>
      <c r="Z4746" s="61">
        <f>_xll.qlYieldTSDiscount($U$35,Y4746,,Trigger)</f>
        <v>0.83923912894961983</v>
      </c>
    </row>
    <row r="4747" spans="25:26" x14ac:dyDescent="0.25">
      <c r="Y4747" s="63">
        <v>47280</v>
      </c>
      <c r="Z4747" s="61">
        <f>_xll.qlYieldTSDiscount($U$35,Y4747,,Trigger)</f>
        <v>0.83920521781576407</v>
      </c>
    </row>
    <row r="4748" spans="25:26" x14ac:dyDescent="0.25">
      <c r="Y4748" s="63">
        <v>47281</v>
      </c>
      <c r="Z4748" s="61">
        <f>_xll.qlYieldTSDiscount($U$35,Y4748,,Trigger)</f>
        <v>0.83917130771453607</v>
      </c>
    </row>
    <row r="4749" spans="25:26" x14ac:dyDescent="0.25">
      <c r="Y4749" s="63">
        <v>47282</v>
      </c>
      <c r="Z4749" s="61">
        <f>_xll.qlYieldTSDiscount($U$35,Y4749,,Trigger)</f>
        <v>0.83913739864354253</v>
      </c>
    </row>
    <row r="4750" spans="25:26" x14ac:dyDescent="0.25">
      <c r="Y4750" s="63">
        <v>47283</v>
      </c>
      <c r="Z4750" s="61">
        <f>_xll.qlYieldTSDiscount($U$35,Y4750,,Trigger)</f>
        <v>0.8391034906003898</v>
      </c>
    </row>
    <row r="4751" spans="25:26" x14ac:dyDescent="0.25">
      <c r="Y4751" s="63">
        <v>47284</v>
      </c>
      <c r="Z4751" s="61">
        <f>_xll.qlYieldTSDiscount($U$35,Y4751,,Trigger)</f>
        <v>0.83906958358268446</v>
      </c>
    </row>
    <row r="4752" spans="25:26" x14ac:dyDescent="0.25">
      <c r="Y4752" s="63">
        <v>47285</v>
      </c>
      <c r="Z4752" s="61">
        <f>_xll.qlYieldTSDiscount($U$35,Y4752,,Trigger)</f>
        <v>0.83903567758803299</v>
      </c>
    </row>
    <row r="4753" spans="25:26" x14ac:dyDescent="0.25">
      <c r="Y4753" s="63">
        <v>47286</v>
      </c>
      <c r="Z4753" s="61">
        <f>_xll.qlYieldTSDiscount($U$35,Y4753,,Trigger)</f>
        <v>0.83900177261404174</v>
      </c>
    </row>
    <row r="4754" spans="25:26" x14ac:dyDescent="0.25">
      <c r="Y4754" s="63">
        <v>47287</v>
      </c>
      <c r="Z4754" s="61">
        <f>_xll.qlYieldTSDiscount($U$35,Y4754,,Trigger)</f>
        <v>0.8389678686583173</v>
      </c>
    </row>
    <row r="4755" spans="25:26" x14ac:dyDescent="0.25">
      <c r="Y4755" s="63">
        <v>47288</v>
      </c>
      <c r="Z4755" s="61">
        <f>_xll.qlYieldTSDiscount($U$35,Y4755,,Trigger)</f>
        <v>0.83893396571846601</v>
      </c>
    </row>
    <row r="4756" spans="25:26" x14ac:dyDescent="0.25">
      <c r="Y4756" s="63">
        <v>47289</v>
      </c>
      <c r="Z4756" s="61">
        <f>_xll.qlYieldTSDiscount($U$35,Y4756,,Trigger)</f>
        <v>0.83890006379209459</v>
      </c>
    </row>
    <row r="4757" spans="25:26" x14ac:dyDescent="0.25">
      <c r="Y4757" s="63">
        <v>47290</v>
      </c>
      <c r="Z4757" s="61">
        <f>_xll.qlYieldTSDiscount($U$35,Y4757,,Trigger)</f>
        <v>0.83886616287680937</v>
      </c>
    </row>
    <row r="4758" spans="25:26" x14ac:dyDescent="0.25">
      <c r="Y4758" s="63">
        <v>47291</v>
      </c>
      <c r="Z4758" s="61">
        <f>_xll.qlYieldTSDiscount($U$35,Y4758,,Trigger)</f>
        <v>0.83883226297021685</v>
      </c>
    </row>
    <row r="4759" spans="25:26" x14ac:dyDescent="0.25">
      <c r="Y4759" s="63">
        <v>47292</v>
      </c>
      <c r="Z4759" s="61">
        <f>_xll.qlYieldTSDiscount($U$35,Y4759,,Trigger)</f>
        <v>0.83879836406992347</v>
      </c>
    </row>
    <row r="4760" spans="25:26" x14ac:dyDescent="0.25">
      <c r="Y4760" s="63">
        <v>47293</v>
      </c>
      <c r="Z4760" s="61">
        <f>_xll.qlYieldTSDiscount($U$35,Y4760,,Trigger)</f>
        <v>0.83876446617353573</v>
      </c>
    </row>
    <row r="4761" spans="25:26" x14ac:dyDescent="0.25">
      <c r="Y4761" s="63">
        <v>47294</v>
      </c>
      <c r="Z4761" s="61">
        <f>_xll.qlYieldTSDiscount($U$35,Y4761,,Trigger)</f>
        <v>0.83873056927866019</v>
      </c>
    </row>
    <row r="4762" spans="25:26" x14ac:dyDescent="0.25">
      <c r="Y4762" s="63">
        <v>47295</v>
      </c>
      <c r="Z4762" s="61">
        <f>_xll.qlYieldTSDiscount($U$35,Y4762,,Trigger)</f>
        <v>0.83869667338290332</v>
      </c>
    </row>
    <row r="4763" spans="25:26" x14ac:dyDescent="0.25">
      <c r="Y4763" s="63">
        <v>47296</v>
      </c>
      <c r="Z4763" s="61">
        <f>_xll.qlYieldTSDiscount($U$35,Y4763,,Trigger)</f>
        <v>0.8386627784838715</v>
      </c>
    </row>
    <row r="4764" spans="25:26" x14ac:dyDescent="0.25">
      <c r="Y4764" s="63">
        <v>47297</v>
      </c>
      <c r="Z4764" s="61">
        <f>_xll.qlYieldTSDiscount($U$35,Y4764,,Trigger)</f>
        <v>0.83862888457917129</v>
      </c>
    </row>
    <row r="4765" spans="25:26" x14ac:dyDescent="0.25">
      <c r="Y4765" s="63">
        <v>47298</v>
      </c>
      <c r="Z4765" s="61">
        <f>_xll.qlYieldTSDiscount($U$35,Y4765,,Trigger)</f>
        <v>0.83859499166640905</v>
      </c>
    </row>
    <row r="4766" spans="25:26" x14ac:dyDescent="0.25">
      <c r="Y4766" s="63">
        <v>47299</v>
      </c>
      <c r="Z4766" s="61">
        <f>_xll.qlYieldTSDiscount($U$35,Y4766,,Trigger)</f>
        <v>0.83856109974319148</v>
      </c>
    </row>
    <row r="4767" spans="25:26" x14ac:dyDescent="0.25">
      <c r="Y4767" s="63">
        <v>47300</v>
      </c>
      <c r="Z4767" s="61">
        <f>_xll.qlYieldTSDiscount($U$35,Y4767,,Trigger)</f>
        <v>0.83852720880712484</v>
      </c>
    </row>
    <row r="4768" spans="25:26" x14ac:dyDescent="0.25">
      <c r="Y4768" s="63">
        <v>47301</v>
      </c>
      <c r="Z4768" s="61">
        <f>_xll.qlYieldTSDiscount($U$35,Y4768,,Trigger)</f>
        <v>0.83849331885581579</v>
      </c>
    </row>
    <row r="4769" spans="25:26" x14ac:dyDescent="0.25">
      <c r="Y4769" s="63">
        <v>47302</v>
      </c>
      <c r="Z4769" s="61">
        <f>_xll.qlYieldTSDiscount($U$35,Y4769,,Trigger)</f>
        <v>0.83845942988687072</v>
      </c>
    </row>
    <row r="4770" spans="25:26" x14ac:dyDescent="0.25">
      <c r="Y4770" s="63">
        <v>47303</v>
      </c>
      <c r="Z4770" s="61">
        <f>_xll.qlYieldTSDiscount($U$35,Y4770,,Trigger)</f>
        <v>0.83842554189789609</v>
      </c>
    </row>
    <row r="4771" spans="25:26" x14ac:dyDescent="0.25">
      <c r="Y4771" s="63">
        <v>47304</v>
      </c>
      <c r="Z4771" s="61">
        <f>_xll.qlYieldTSDiscount($U$35,Y4771,,Trigger)</f>
        <v>0.83839165488649836</v>
      </c>
    </row>
    <row r="4772" spans="25:26" x14ac:dyDescent="0.25">
      <c r="Y4772" s="63">
        <v>47305</v>
      </c>
      <c r="Z4772" s="61">
        <f>_xll.qlYieldTSDiscount($U$35,Y4772,,Trigger)</f>
        <v>0.83835776885028412</v>
      </c>
    </row>
    <row r="4773" spans="25:26" x14ac:dyDescent="0.25">
      <c r="Y4773" s="63">
        <v>47306</v>
      </c>
      <c r="Z4773" s="61">
        <f>_xll.qlYieldTSDiscount($U$35,Y4773,,Trigger)</f>
        <v>0.83832388378685985</v>
      </c>
    </row>
    <row r="4774" spans="25:26" x14ac:dyDescent="0.25">
      <c r="Y4774" s="63">
        <v>47307</v>
      </c>
      <c r="Z4774" s="61">
        <f>_xll.qlYieldTSDiscount($U$35,Y4774,,Trigger)</f>
        <v>0.83828999969383189</v>
      </c>
    </row>
    <row r="4775" spans="25:26" x14ac:dyDescent="0.25">
      <c r="Y4775" s="63">
        <v>47308</v>
      </c>
      <c r="Z4775" s="61">
        <f>_xll.qlYieldTSDiscount($U$35,Y4775,,Trigger)</f>
        <v>0.83825611656880683</v>
      </c>
    </row>
    <row r="4776" spans="25:26" x14ac:dyDescent="0.25">
      <c r="Y4776" s="63">
        <v>47309</v>
      </c>
      <c r="Z4776" s="61">
        <f>_xll.qlYieldTSDiscount($U$35,Y4776,,Trigger)</f>
        <v>0.83822223440939114</v>
      </c>
    </row>
    <row r="4777" spans="25:26" x14ac:dyDescent="0.25">
      <c r="Y4777" s="63">
        <v>47310</v>
      </c>
      <c r="Z4777" s="61">
        <f>_xll.qlYieldTSDiscount($U$35,Y4777,,Trigger)</f>
        <v>0.8381883532131913</v>
      </c>
    </row>
    <row r="4778" spans="25:26" x14ac:dyDescent="0.25">
      <c r="Y4778" s="63">
        <v>47311</v>
      </c>
      <c r="Z4778" s="61">
        <f>_xll.qlYieldTSDiscount($U$35,Y4778,,Trigger)</f>
        <v>0.83815447297781365</v>
      </c>
    </row>
    <row r="4779" spans="25:26" x14ac:dyDescent="0.25">
      <c r="Y4779" s="63">
        <v>47312</v>
      </c>
      <c r="Z4779" s="61">
        <f>_xll.qlYieldTSDiscount($U$35,Y4779,,Trigger)</f>
        <v>0.83812059370086489</v>
      </c>
    </row>
    <row r="4780" spans="25:26" x14ac:dyDescent="0.25">
      <c r="Y4780" s="63">
        <v>47313</v>
      </c>
      <c r="Z4780" s="61">
        <f>_xll.qlYieldTSDiscount($U$35,Y4780,,Trigger)</f>
        <v>0.83808671537995139</v>
      </c>
    </row>
    <row r="4781" spans="25:26" x14ac:dyDescent="0.25">
      <c r="Y4781" s="63">
        <v>47314</v>
      </c>
      <c r="Z4781" s="61">
        <f>_xll.qlYieldTSDiscount($U$35,Y4781,,Trigger)</f>
        <v>0.83805283801267971</v>
      </c>
    </row>
    <row r="4782" spans="25:26" x14ac:dyDescent="0.25">
      <c r="Y4782" s="63">
        <v>47315</v>
      </c>
      <c r="Z4782" s="61">
        <f>_xll.qlYieldTSDiscount($U$35,Y4782,,Trigger)</f>
        <v>0.83801896159665612</v>
      </c>
    </row>
    <row r="4783" spans="25:26" x14ac:dyDescent="0.25">
      <c r="Y4783" s="63">
        <v>47316</v>
      </c>
      <c r="Z4783" s="61">
        <f>_xll.qlYieldTSDiscount($U$35,Y4783,,Trigger)</f>
        <v>0.83798508612948741</v>
      </c>
    </row>
    <row r="4784" spans="25:26" x14ac:dyDescent="0.25">
      <c r="Y4784" s="63">
        <v>47317</v>
      </c>
      <c r="Z4784" s="61">
        <f>_xll.qlYieldTSDiscount($U$35,Y4784,,Trigger)</f>
        <v>0.83795121160877983</v>
      </c>
    </row>
    <row r="4785" spans="25:26" x14ac:dyDescent="0.25">
      <c r="Y4785" s="63">
        <v>47318</v>
      </c>
      <c r="Z4785" s="61">
        <f>_xll.qlYieldTSDiscount($U$35,Y4785,,Trigger)</f>
        <v>0.83791733803213986</v>
      </c>
    </row>
    <row r="4786" spans="25:26" x14ac:dyDescent="0.25">
      <c r="Y4786" s="63">
        <v>47319</v>
      </c>
      <c r="Z4786" s="61">
        <f>_xll.qlYieldTSDiscount($U$35,Y4786,,Trigger)</f>
        <v>0.83788346539717418</v>
      </c>
    </row>
    <row r="4787" spans="25:26" x14ac:dyDescent="0.25">
      <c r="Y4787" s="63">
        <v>47320</v>
      </c>
      <c r="Z4787" s="61">
        <f>_xll.qlYieldTSDiscount($U$35,Y4787,,Trigger)</f>
        <v>0.83784959370148904</v>
      </c>
    </row>
    <row r="4788" spans="25:26" x14ac:dyDescent="0.25">
      <c r="Y4788" s="63">
        <v>47321</v>
      </c>
      <c r="Z4788" s="61">
        <f>_xll.qlYieldTSDiscount($U$35,Y4788,,Trigger)</f>
        <v>0.83781572294269102</v>
      </c>
    </row>
    <row r="4789" spans="25:26" x14ac:dyDescent="0.25">
      <c r="Y4789" s="63">
        <v>47322</v>
      </c>
      <c r="Z4789" s="61">
        <f>_xll.qlYieldTSDiscount($U$35,Y4789,,Trigger)</f>
        <v>0.83778185311838671</v>
      </c>
    </row>
    <row r="4790" spans="25:26" x14ac:dyDescent="0.25">
      <c r="Y4790" s="63">
        <v>47323</v>
      </c>
      <c r="Z4790" s="61">
        <f>_xll.qlYieldTSDiscount($U$35,Y4790,,Trigger)</f>
        <v>0.83774798422618235</v>
      </c>
    </row>
    <row r="4791" spans="25:26" x14ac:dyDescent="0.25">
      <c r="Y4791" s="63">
        <v>47324</v>
      </c>
      <c r="Z4791" s="61">
        <f>_xll.qlYieldTSDiscount($U$35,Y4791,,Trigger)</f>
        <v>0.83771411626368464</v>
      </c>
    </row>
    <row r="4792" spans="25:26" x14ac:dyDescent="0.25">
      <c r="Y4792" s="63">
        <v>47325</v>
      </c>
      <c r="Z4792" s="61">
        <f>_xll.qlYieldTSDiscount($U$35,Y4792,,Trigger)</f>
        <v>0.83768024922849993</v>
      </c>
    </row>
    <row r="4793" spans="25:26" x14ac:dyDescent="0.25">
      <c r="Y4793" s="63">
        <v>47326</v>
      </c>
      <c r="Z4793" s="61">
        <f>_xll.qlYieldTSDiscount($U$35,Y4793,,Trigger)</f>
        <v>0.83764638311823481</v>
      </c>
    </row>
    <row r="4794" spans="25:26" x14ac:dyDescent="0.25">
      <c r="Y4794" s="63">
        <v>47327</v>
      </c>
      <c r="Z4794" s="61">
        <f>_xll.qlYieldTSDiscount($U$35,Y4794,,Trigger)</f>
        <v>0.83761251793049563</v>
      </c>
    </row>
    <row r="4795" spans="25:26" x14ac:dyDescent="0.25">
      <c r="Y4795" s="63">
        <v>47328</v>
      </c>
      <c r="Z4795" s="61">
        <f>_xll.qlYieldTSDiscount($U$35,Y4795,,Trigger)</f>
        <v>0.83757865366288886</v>
      </c>
    </row>
    <row r="4796" spans="25:26" x14ac:dyDescent="0.25">
      <c r="Y4796" s="63">
        <v>47329</v>
      </c>
      <c r="Z4796" s="61">
        <f>_xll.qlYieldTSDiscount($U$35,Y4796,,Trigger)</f>
        <v>0.8375447903130212</v>
      </c>
    </row>
    <row r="4797" spans="25:26" x14ac:dyDescent="0.25">
      <c r="Y4797" s="63">
        <v>47330</v>
      </c>
      <c r="Z4797" s="61">
        <f>_xll.qlYieldTSDiscount($U$35,Y4797,,Trigger)</f>
        <v>0.8375109278784989</v>
      </c>
    </row>
    <row r="4798" spans="25:26" x14ac:dyDescent="0.25">
      <c r="Y4798" s="63">
        <v>47331</v>
      </c>
      <c r="Z4798" s="61">
        <f>_xll.qlYieldTSDiscount($U$35,Y4798,,Trigger)</f>
        <v>0.83747706635692853</v>
      </c>
    </row>
    <row r="4799" spans="25:26" x14ac:dyDescent="0.25">
      <c r="Y4799" s="63">
        <v>47332</v>
      </c>
      <c r="Z4799" s="61">
        <f>_xll.qlYieldTSDiscount($U$35,Y4799,,Trigger)</f>
        <v>0.83744320574591657</v>
      </c>
    </row>
    <row r="4800" spans="25:26" x14ac:dyDescent="0.25">
      <c r="Y4800" s="63">
        <v>47333</v>
      </c>
      <c r="Z4800" s="61">
        <f>_xll.qlYieldTSDiscount($U$35,Y4800,,Trigger)</f>
        <v>0.8374093460430696</v>
      </c>
    </row>
    <row r="4801" spans="25:26" x14ac:dyDescent="0.25">
      <c r="Y4801" s="63">
        <v>47334</v>
      </c>
      <c r="Z4801" s="61">
        <f>_xll.qlYieldTSDiscount($U$35,Y4801,,Trigger)</f>
        <v>0.83737548724599387</v>
      </c>
    </row>
    <row r="4802" spans="25:26" x14ac:dyDescent="0.25">
      <c r="Y4802" s="63">
        <v>47335</v>
      </c>
      <c r="Z4802" s="61">
        <f>_xll.qlYieldTSDiscount($U$35,Y4802,,Trigger)</f>
        <v>0.83734162935229606</v>
      </c>
    </row>
    <row r="4803" spans="25:26" x14ac:dyDescent="0.25">
      <c r="Y4803" s="63">
        <v>47336</v>
      </c>
      <c r="Z4803" s="61">
        <f>_xll.qlYieldTSDiscount($U$35,Y4803,,Trigger)</f>
        <v>0.83730777235958254</v>
      </c>
    </row>
    <row r="4804" spans="25:26" x14ac:dyDescent="0.25">
      <c r="Y4804" s="63">
        <v>47337</v>
      </c>
      <c r="Z4804" s="61">
        <f>_xll.qlYieldTSDiscount($U$35,Y4804,,Trigger)</f>
        <v>0.83727391626545988</v>
      </c>
    </row>
    <row r="4805" spans="25:26" x14ac:dyDescent="0.25">
      <c r="Y4805" s="63">
        <v>47338</v>
      </c>
      <c r="Z4805" s="61">
        <f>_xll.qlYieldTSDiscount($U$35,Y4805,,Trigger)</f>
        <v>0.83724006106753446</v>
      </c>
    </row>
    <row r="4806" spans="25:26" x14ac:dyDescent="0.25">
      <c r="Y4806" s="63">
        <v>47339</v>
      </c>
      <c r="Z4806" s="61">
        <f>_xll.qlYieldTSDiscount($U$35,Y4806,,Trigger)</f>
        <v>0.83720620676341284</v>
      </c>
    </row>
    <row r="4807" spans="25:26" x14ac:dyDescent="0.25">
      <c r="Y4807" s="63">
        <v>47340</v>
      </c>
      <c r="Z4807" s="61">
        <f>_xll.qlYieldTSDiscount($U$35,Y4807,,Trigger)</f>
        <v>0.83717235335070139</v>
      </c>
    </row>
    <row r="4808" spans="25:26" x14ac:dyDescent="0.25">
      <c r="Y4808" s="63">
        <v>47341</v>
      </c>
      <c r="Z4808" s="61">
        <f>_xll.qlYieldTSDiscount($U$35,Y4808,,Trigger)</f>
        <v>0.8371385008270068</v>
      </c>
    </row>
    <row r="4809" spans="25:26" x14ac:dyDescent="0.25">
      <c r="Y4809" s="63">
        <v>47342</v>
      </c>
      <c r="Z4809" s="61">
        <f>_xll.qlYieldTSDiscount($U$35,Y4809,,Trigger)</f>
        <v>0.83710464918993532</v>
      </c>
    </row>
    <row r="4810" spans="25:26" x14ac:dyDescent="0.25">
      <c r="Y4810" s="63">
        <v>47343</v>
      </c>
      <c r="Z4810" s="61">
        <f>_xll.qlYieldTSDiscount($U$35,Y4810,,Trigger)</f>
        <v>0.83707079843709364</v>
      </c>
    </row>
    <row r="4811" spans="25:26" x14ac:dyDescent="0.25">
      <c r="Y4811" s="63">
        <v>47344</v>
      </c>
      <c r="Z4811" s="61">
        <f>_xll.qlYieldTSDiscount($U$35,Y4811,,Trigger)</f>
        <v>0.83703694856608812</v>
      </c>
    </row>
    <row r="4812" spans="25:26" x14ac:dyDescent="0.25">
      <c r="Y4812" s="63">
        <v>47345</v>
      </c>
      <c r="Z4812" s="61">
        <f>_xll.qlYieldTSDiscount($U$35,Y4812,,Trigger)</f>
        <v>0.83700309957452512</v>
      </c>
    </row>
    <row r="4813" spans="25:26" x14ac:dyDescent="0.25">
      <c r="Y4813" s="63">
        <v>47346</v>
      </c>
      <c r="Z4813" s="61">
        <f>_xll.qlYieldTSDiscount($U$35,Y4813,,Trigger)</f>
        <v>0.83696925146001133</v>
      </c>
    </row>
    <row r="4814" spans="25:26" x14ac:dyDescent="0.25">
      <c r="Y4814" s="63">
        <v>47347</v>
      </c>
      <c r="Z4814" s="61">
        <f>_xll.qlYieldTSDiscount($U$35,Y4814,,Trigger)</f>
        <v>0.83693540422015322</v>
      </c>
    </row>
    <row r="4815" spans="25:26" x14ac:dyDescent="0.25">
      <c r="Y4815" s="63">
        <v>47348</v>
      </c>
      <c r="Z4815" s="61">
        <f>_xll.qlYieldTSDiscount($U$35,Y4815,,Trigger)</f>
        <v>0.83690155785255715</v>
      </c>
    </row>
    <row r="4816" spans="25:26" x14ac:dyDescent="0.25">
      <c r="Y4816" s="63">
        <v>47349</v>
      </c>
      <c r="Z4816" s="61">
        <f>_xll.qlYieldTSDiscount($U$35,Y4816,,Trigger)</f>
        <v>0.83686771235482971</v>
      </c>
    </row>
    <row r="4817" spans="25:26" x14ac:dyDescent="0.25">
      <c r="Y4817" s="63">
        <v>47350</v>
      </c>
      <c r="Z4817" s="61">
        <f>_xll.qlYieldTSDiscount($U$35,Y4817,,Trigger)</f>
        <v>0.83683386772457724</v>
      </c>
    </row>
    <row r="4818" spans="25:26" x14ac:dyDescent="0.25">
      <c r="Y4818" s="63">
        <v>47351</v>
      </c>
      <c r="Z4818" s="61">
        <f>_xll.qlYieldTSDiscount($U$35,Y4818,,Trigger)</f>
        <v>0.83680002395940645</v>
      </c>
    </row>
    <row r="4819" spans="25:26" x14ac:dyDescent="0.25">
      <c r="Y4819" s="63">
        <v>47352</v>
      </c>
      <c r="Z4819" s="61">
        <f>_xll.qlYieldTSDiscount($U$35,Y4819,,Trigger)</f>
        <v>0.83676618105692357</v>
      </c>
    </row>
    <row r="4820" spans="25:26" x14ac:dyDescent="0.25">
      <c r="Y4820" s="63">
        <v>47353</v>
      </c>
      <c r="Z4820" s="61">
        <f>_xll.qlYieldTSDiscount($U$35,Y4820,,Trigger)</f>
        <v>0.8367323390147352</v>
      </c>
    </row>
    <row r="4821" spans="25:26" x14ac:dyDescent="0.25">
      <c r="Y4821" s="63">
        <v>47354</v>
      </c>
      <c r="Z4821" s="61">
        <f>_xll.qlYieldTSDiscount($U$35,Y4821,,Trigger)</f>
        <v>0.83669849783044781</v>
      </c>
    </row>
    <row r="4822" spans="25:26" x14ac:dyDescent="0.25">
      <c r="Y4822" s="63">
        <v>47355</v>
      </c>
      <c r="Z4822" s="61">
        <f>_xll.qlYieldTSDiscount($U$35,Y4822,,Trigger)</f>
        <v>0.83666465750166785</v>
      </c>
    </row>
    <row r="4823" spans="25:26" x14ac:dyDescent="0.25">
      <c r="Y4823" s="63">
        <v>47356</v>
      </c>
      <c r="Z4823" s="61">
        <f>_xll.qlYieldTSDiscount($U$35,Y4823,,Trigger)</f>
        <v>0.83663081802600192</v>
      </c>
    </row>
    <row r="4824" spans="25:26" x14ac:dyDescent="0.25">
      <c r="Y4824" s="63">
        <v>47357</v>
      </c>
      <c r="Z4824" s="61">
        <f>_xll.qlYieldTSDiscount($U$35,Y4824,,Trigger)</f>
        <v>0.83659697940105637</v>
      </c>
    </row>
    <row r="4825" spans="25:26" x14ac:dyDescent="0.25">
      <c r="Y4825" s="63">
        <v>47358</v>
      </c>
      <c r="Z4825" s="61">
        <f>_xll.qlYieldTSDiscount($U$35,Y4825,,Trigger)</f>
        <v>0.83656314162443768</v>
      </c>
    </row>
    <row r="4826" spans="25:26" x14ac:dyDescent="0.25">
      <c r="Y4826" s="63">
        <v>47359</v>
      </c>
      <c r="Z4826" s="61">
        <f>_xll.qlYieldTSDiscount($U$35,Y4826,,Trigger)</f>
        <v>0.83652930469375242</v>
      </c>
    </row>
    <row r="4827" spans="25:26" x14ac:dyDescent="0.25">
      <c r="Y4827" s="63">
        <v>47360</v>
      </c>
      <c r="Z4827" s="61">
        <f>_xll.qlYieldTSDiscount($U$35,Y4827,,Trigger)</f>
        <v>0.83649546860660706</v>
      </c>
    </row>
    <row r="4828" spans="25:26" x14ac:dyDescent="0.25">
      <c r="Y4828" s="63">
        <v>47361</v>
      </c>
      <c r="Z4828" s="61">
        <f>_xll.qlYieldTSDiscount($U$35,Y4828,,Trigger)</f>
        <v>0.83646163336060797</v>
      </c>
    </row>
    <row r="4829" spans="25:26" x14ac:dyDescent="0.25">
      <c r="Y4829" s="63">
        <v>47362</v>
      </c>
      <c r="Z4829" s="61">
        <f>_xll.qlYieldTSDiscount($U$35,Y4829,,Trigger)</f>
        <v>0.83642779895336172</v>
      </c>
    </row>
    <row r="4830" spans="25:26" x14ac:dyDescent="0.25">
      <c r="Y4830" s="63">
        <v>47363</v>
      </c>
      <c r="Z4830" s="61">
        <f>_xll.qlYieldTSDiscount($U$35,Y4830,,Trigger)</f>
        <v>0.8363939653824749</v>
      </c>
    </row>
    <row r="4831" spans="25:26" x14ac:dyDescent="0.25">
      <c r="Y4831" s="63">
        <v>47364</v>
      </c>
      <c r="Z4831" s="61">
        <f>_xll.qlYieldTSDiscount($U$35,Y4831,,Trigger)</f>
        <v>0.83636013264555376</v>
      </c>
    </row>
    <row r="4832" spans="25:26" x14ac:dyDescent="0.25">
      <c r="Y4832" s="63">
        <v>47365</v>
      </c>
      <c r="Z4832" s="61">
        <f>_xll.qlYieldTSDiscount($U$35,Y4832,,Trigger)</f>
        <v>0.83632630074020486</v>
      </c>
    </row>
    <row r="4833" spans="25:26" x14ac:dyDescent="0.25">
      <c r="Y4833" s="63">
        <v>47366</v>
      </c>
      <c r="Z4833" s="61">
        <f>_xll.qlYieldTSDiscount($U$35,Y4833,,Trigger)</f>
        <v>0.8362924696640347</v>
      </c>
    </row>
    <row r="4834" spans="25:26" x14ac:dyDescent="0.25">
      <c r="Y4834" s="63">
        <v>47367</v>
      </c>
      <c r="Z4834" s="61">
        <f>_xll.qlYieldTSDiscount($U$35,Y4834,,Trigger)</f>
        <v>0.83625863941464984</v>
      </c>
    </row>
    <row r="4835" spans="25:26" x14ac:dyDescent="0.25">
      <c r="Y4835" s="63">
        <v>47368</v>
      </c>
      <c r="Z4835" s="61">
        <f>_xll.qlYieldTSDiscount($U$35,Y4835,,Trigger)</f>
        <v>0.83622480998965665</v>
      </c>
    </row>
    <row r="4836" spans="25:26" x14ac:dyDescent="0.25">
      <c r="Y4836" s="63">
        <v>47369</v>
      </c>
      <c r="Z4836" s="61">
        <f>_xll.qlYieldTSDiscount($U$35,Y4836,,Trigger)</f>
        <v>0.8361909813866617</v>
      </c>
    </row>
    <row r="4837" spans="25:26" x14ac:dyDescent="0.25">
      <c r="Y4837" s="63">
        <v>47370</v>
      </c>
      <c r="Z4837" s="61">
        <f>_xll.qlYieldTSDiscount($U$35,Y4837,,Trigger)</f>
        <v>0.83615715360327136</v>
      </c>
    </row>
    <row r="4838" spans="25:26" x14ac:dyDescent="0.25">
      <c r="Y4838" s="63">
        <v>47371</v>
      </c>
      <c r="Z4838" s="61">
        <f>_xll.qlYieldTSDiscount($U$35,Y4838,,Trigger)</f>
        <v>0.83612332663709221</v>
      </c>
    </row>
    <row r="4839" spans="25:26" x14ac:dyDescent="0.25">
      <c r="Y4839" s="63">
        <v>47372</v>
      </c>
      <c r="Z4839" s="61">
        <f>_xll.qlYieldTSDiscount($U$35,Y4839,,Trigger)</f>
        <v>0.83608950048573061</v>
      </c>
    </row>
    <row r="4840" spans="25:26" x14ac:dyDescent="0.25">
      <c r="Y4840" s="63">
        <v>47373</v>
      </c>
      <c r="Z4840" s="61">
        <f>_xll.qlYieldTSDiscount($U$35,Y4840,,Trigger)</f>
        <v>0.83605567514679324</v>
      </c>
    </row>
    <row r="4841" spans="25:26" x14ac:dyDescent="0.25">
      <c r="Y4841" s="63">
        <v>47374</v>
      </c>
      <c r="Z4841" s="61">
        <f>_xll.qlYieldTSDiscount($U$35,Y4841,,Trigger)</f>
        <v>0.83602185061788636</v>
      </c>
    </row>
    <row r="4842" spans="25:26" x14ac:dyDescent="0.25">
      <c r="Y4842" s="63">
        <v>47375</v>
      </c>
      <c r="Z4842" s="61">
        <f>_xll.qlYieldTSDiscount($U$35,Y4842,,Trigger)</f>
        <v>0.83598802689661666</v>
      </c>
    </row>
    <row r="4843" spans="25:26" x14ac:dyDescent="0.25">
      <c r="Y4843" s="63">
        <v>47376</v>
      </c>
      <c r="Z4843" s="61">
        <f>_xll.qlYieldTSDiscount($U$35,Y4843,,Trigger)</f>
        <v>0.83595420398059039</v>
      </c>
    </row>
    <row r="4844" spans="25:26" x14ac:dyDescent="0.25">
      <c r="Y4844" s="63">
        <v>47377</v>
      </c>
      <c r="Z4844" s="61">
        <f>_xll.qlYieldTSDiscount($U$35,Y4844,,Trigger)</f>
        <v>0.83592038186741424</v>
      </c>
    </row>
    <row r="4845" spans="25:26" x14ac:dyDescent="0.25">
      <c r="Y4845" s="63">
        <v>47378</v>
      </c>
      <c r="Z4845" s="61">
        <f>_xll.qlYieldTSDiscount($U$35,Y4845,,Trigger)</f>
        <v>0.83588656055469457</v>
      </c>
    </row>
    <row r="4846" spans="25:26" x14ac:dyDescent="0.25">
      <c r="Y4846" s="63">
        <v>47379</v>
      </c>
      <c r="Z4846" s="61">
        <f>_xll.qlYieldTSDiscount($U$35,Y4846,,Trigger)</f>
        <v>0.83585274004003796</v>
      </c>
    </row>
    <row r="4847" spans="25:26" x14ac:dyDescent="0.25">
      <c r="Y4847" s="63">
        <v>47380</v>
      </c>
      <c r="Z4847" s="61">
        <f>_xll.qlYieldTSDiscount($U$35,Y4847,,Trigger)</f>
        <v>0.83581892032105076</v>
      </c>
    </row>
    <row r="4848" spans="25:26" x14ac:dyDescent="0.25">
      <c r="Y4848" s="63">
        <v>47381</v>
      </c>
      <c r="Z4848" s="61">
        <f>_xll.qlYieldTSDiscount($U$35,Y4848,,Trigger)</f>
        <v>0.83578510139533957</v>
      </c>
    </row>
    <row r="4849" spans="25:26" x14ac:dyDescent="0.25">
      <c r="Y4849" s="63">
        <v>47382</v>
      </c>
      <c r="Z4849" s="61">
        <f>_xll.qlYieldTSDiscount($U$35,Y4849,,Trigger)</f>
        <v>0.83575128326051074</v>
      </c>
    </row>
    <row r="4850" spans="25:26" x14ac:dyDescent="0.25">
      <c r="Y4850" s="63">
        <v>47383</v>
      </c>
      <c r="Z4850" s="61">
        <f>_xll.qlYieldTSDiscount($U$35,Y4850,,Trigger)</f>
        <v>0.83571746591417095</v>
      </c>
    </row>
    <row r="4851" spans="25:26" x14ac:dyDescent="0.25">
      <c r="Y4851" s="63">
        <v>47384</v>
      </c>
      <c r="Z4851" s="61">
        <f>_xll.qlYieldTSDiscount($U$35,Y4851,,Trigger)</f>
        <v>0.83568364935392647</v>
      </c>
    </row>
    <row r="4852" spans="25:26" x14ac:dyDescent="0.25">
      <c r="Y4852" s="63">
        <v>47385</v>
      </c>
      <c r="Z4852" s="61">
        <f>_xll.qlYieldTSDiscount($U$35,Y4852,,Trigger)</f>
        <v>0.83564983357738387</v>
      </c>
    </row>
    <row r="4853" spans="25:26" x14ac:dyDescent="0.25">
      <c r="Y4853" s="63">
        <v>47386</v>
      </c>
      <c r="Z4853" s="61">
        <f>_xll.qlYieldTSDiscount($U$35,Y4853,,Trigger)</f>
        <v>0.83561601858214962</v>
      </c>
    </row>
    <row r="4854" spans="25:26" x14ac:dyDescent="0.25">
      <c r="Y4854" s="63">
        <v>47387</v>
      </c>
      <c r="Z4854" s="61">
        <f>_xll.qlYieldTSDiscount($U$35,Y4854,,Trigger)</f>
        <v>0.83558220436583031</v>
      </c>
    </row>
    <row r="4855" spans="25:26" x14ac:dyDescent="0.25">
      <c r="Y4855" s="63">
        <v>47388</v>
      </c>
      <c r="Z4855" s="61">
        <f>_xll.qlYieldTSDiscount($U$35,Y4855,,Trigger)</f>
        <v>0.83554839092603228</v>
      </c>
    </row>
    <row r="4856" spans="25:26" x14ac:dyDescent="0.25">
      <c r="Y4856" s="63">
        <v>47389</v>
      </c>
      <c r="Z4856" s="61">
        <f>_xll.qlYieldTSDiscount($U$35,Y4856,,Trigger)</f>
        <v>0.83551457826036202</v>
      </c>
    </row>
    <row r="4857" spans="25:26" x14ac:dyDescent="0.25">
      <c r="Y4857" s="63">
        <v>47390</v>
      </c>
      <c r="Z4857" s="61">
        <f>_xll.qlYieldTSDiscount($U$35,Y4857,,Trigger)</f>
        <v>0.83548076636642599</v>
      </c>
    </row>
    <row r="4858" spans="25:26" x14ac:dyDescent="0.25">
      <c r="Y4858" s="63">
        <v>47391</v>
      </c>
      <c r="Z4858" s="61">
        <f>_xll.qlYieldTSDiscount($U$35,Y4858,,Trigger)</f>
        <v>0.83544695524183077</v>
      </c>
    </row>
    <row r="4859" spans="25:26" x14ac:dyDescent="0.25">
      <c r="Y4859" s="63">
        <v>47392</v>
      </c>
      <c r="Z4859" s="61">
        <f>_xll.qlYieldTSDiscount($U$35,Y4859,,Trigger)</f>
        <v>0.83541314488418283</v>
      </c>
    </row>
    <row r="4860" spans="25:26" x14ac:dyDescent="0.25">
      <c r="Y4860" s="63">
        <v>47393</v>
      </c>
      <c r="Z4860" s="61">
        <f>_xll.qlYieldTSDiscount($U$35,Y4860,,Trigger)</f>
        <v>0.83537933529108865</v>
      </c>
    </row>
    <row r="4861" spans="25:26" x14ac:dyDescent="0.25">
      <c r="Y4861" s="63">
        <v>47394</v>
      </c>
      <c r="Z4861" s="61">
        <f>_xll.qlYieldTSDiscount($U$35,Y4861,,Trigger)</f>
        <v>0.83534552646015459</v>
      </c>
    </row>
    <row r="4862" spans="25:26" x14ac:dyDescent="0.25">
      <c r="Y4862" s="63">
        <v>47395</v>
      </c>
      <c r="Z4862" s="61">
        <f>_xll.qlYieldTSDiscount($U$35,Y4862,,Trigger)</f>
        <v>0.83531171838898721</v>
      </c>
    </row>
    <row r="4863" spans="25:26" x14ac:dyDescent="0.25">
      <c r="Y4863" s="63">
        <v>47396</v>
      </c>
      <c r="Z4863" s="61">
        <f>_xll.qlYieldTSDiscount($U$35,Y4863,,Trigger)</f>
        <v>0.83527791107519311</v>
      </c>
    </row>
    <row r="4864" spans="25:26" x14ac:dyDescent="0.25">
      <c r="Y4864" s="63">
        <v>47397</v>
      </c>
      <c r="Z4864" s="61">
        <f>_xll.qlYieldTSDiscount($U$35,Y4864,,Trigger)</f>
        <v>0.83524410451637854</v>
      </c>
    </row>
    <row r="4865" spans="25:26" x14ac:dyDescent="0.25">
      <c r="Y4865" s="63">
        <v>47398</v>
      </c>
      <c r="Z4865" s="61">
        <f>_xll.qlYieldTSDiscount($U$35,Y4865,,Trigger)</f>
        <v>0.83521029871015007</v>
      </c>
    </row>
    <row r="4866" spans="25:26" x14ac:dyDescent="0.25">
      <c r="Y4866" s="63">
        <v>47399</v>
      </c>
      <c r="Z4866" s="61">
        <f>_xll.qlYieldTSDiscount($U$35,Y4866,,Trigger)</f>
        <v>0.83517649365411428</v>
      </c>
    </row>
    <row r="4867" spans="25:26" x14ac:dyDescent="0.25">
      <c r="Y4867" s="63">
        <v>47400</v>
      </c>
      <c r="Z4867" s="61">
        <f>_xll.qlYieldTSDiscount($U$35,Y4867,,Trigger)</f>
        <v>0.83514268934587765</v>
      </c>
    </row>
    <row r="4868" spans="25:26" x14ac:dyDescent="0.25">
      <c r="Y4868" s="63">
        <v>47401</v>
      </c>
      <c r="Z4868" s="61">
        <f>_xll.qlYieldTSDiscount($U$35,Y4868,,Trigger)</f>
        <v>0.83510888578304654</v>
      </c>
    </row>
    <row r="4869" spans="25:26" x14ac:dyDescent="0.25">
      <c r="Y4869" s="63">
        <v>47402</v>
      </c>
      <c r="Z4869" s="61">
        <f>_xll.qlYieldTSDiscount($U$35,Y4869,,Trigger)</f>
        <v>0.83507508296322741</v>
      </c>
    </row>
    <row r="4870" spans="25:26" x14ac:dyDescent="0.25">
      <c r="Y4870" s="63">
        <v>47403</v>
      </c>
      <c r="Z4870" s="61">
        <f>_xll.qlYieldTSDiscount($U$35,Y4870,,Trigger)</f>
        <v>0.83504128088402685</v>
      </c>
    </row>
    <row r="4871" spans="25:26" x14ac:dyDescent="0.25">
      <c r="Y4871" s="63">
        <v>47404</v>
      </c>
      <c r="Z4871" s="61">
        <f>_xll.qlYieldTSDiscount($U$35,Y4871,,Trigger)</f>
        <v>0.83500747954305132</v>
      </c>
    </row>
    <row r="4872" spans="25:26" x14ac:dyDescent="0.25">
      <c r="Y4872" s="63">
        <v>47405</v>
      </c>
      <c r="Z4872" s="61">
        <f>_xll.qlYieldTSDiscount($U$35,Y4872,,Trigger)</f>
        <v>0.8349736789379073</v>
      </c>
    </row>
    <row r="4873" spans="25:26" x14ac:dyDescent="0.25">
      <c r="Y4873" s="63">
        <v>47406</v>
      </c>
      <c r="Z4873" s="61">
        <f>_xll.qlYieldTSDiscount($U$35,Y4873,,Trigger)</f>
        <v>0.83493987906620115</v>
      </c>
    </row>
    <row r="4874" spans="25:26" x14ac:dyDescent="0.25">
      <c r="Y4874" s="63">
        <v>47407</v>
      </c>
      <c r="Z4874" s="61">
        <f>_xll.qlYieldTSDiscount($U$35,Y4874,,Trigger)</f>
        <v>0.83490607992553956</v>
      </c>
    </row>
    <row r="4875" spans="25:26" x14ac:dyDescent="0.25">
      <c r="Y4875" s="63">
        <v>47408</v>
      </c>
      <c r="Z4875" s="61">
        <f>_xll.qlYieldTSDiscount($U$35,Y4875,,Trigger)</f>
        <v>0.83487228151352888</v>
      </c>
    </row>
    <row r="4876" spans="25:26" x14ac:dyDescent="0.25">
      <c r="Y4876" s="63">
        <v>47409</v>
      </c>
      <c r="Z4876" s="61">
        <f>_xll.qlYieldTSDiscount($U$35,Y4876,,Trigger)</f>
        <v>0.83483848382777559</v>
      </c>
    </row>
    <row r="4877" spans="25:26" x14ac:dyDescent="0.25">
      <c r="Y4877" s="63">
        <v>47410</v>
      </c>
      <c r="Z4877" s="61">
        <f>_xll.qlYieldTSDiscount($U$35,Y4877,,Trigger)</f>
        <v>0.83480468686588627</v>
      </c>
    </row>
    <row r="4878" spans="25:26" x14ac:dyDescent="0.25">
      <c r="Y4878" s="63">
        <v>47411</v>
      </c>
      <c r="Z4878" s="61">
        <f>_xll.qlYieldTSDiscount($U$35,Y4878,,Trigger)</f>
        <v>0.83477089062546717</v>
      </c>
    </row>
    <row r="4879" spans="25:26" x14ac:dyDescent="0.25">
      <c r="Y4879" s="63">
        <v>47412</v>
      </c>
      <c r="Z4879" s="61">
        <f>_xll.qlYieldTSDiscount($U$35,Y4879,,Trigger)</f>
        <v>0.83473709510412508</v>
      </c>
    </row>
    <row r="4880" spans="25:26" x14ac:dyDescent="0.25">
      <c r="Y4880" s="63">
        <v>47413</v>
      </c>
      <c r="Z4880" s="61">
        <f>_xll.qlYieldTSDiscount($U$35,Y4880,,Trigger)</f>
        <v>0.83470330029946627</v>
      </c>
    </row>
    <row r="4881" spans="25:26" x14ac:dyDescent="0.25">
      <c r="Y4881" s="63">
        <v>47414</v>
      </c>
      <c r="Z4881" s="61">
        <f>_xll.qlYieldTSDiscount($U$35,Y4881,,Trigger)</f>
        <v>0.8346695062090973</v>
      </c>
    </row>
    <row r="4882" spans="25:26" x14ac:dyDescent="0.25">
      <c r="Y4882" s="63">
        <v>47415</v>
      </c>
      <c r="Z4882" s="61">
        <f>_xll.qlYieldTSDiscount($U$35,Y4882,,Trigger)</f>
        <v>0.83463571283062454</v>
      </c>
    </row>
    <row r="4883" spans="25:26" x14ac:dyDescent="0.25">
      <c r="Y4883" s="63">
        <v>47416</v>
      </c>
      <c r="Z4883" s="61">
        <f>_xll.qlYieldTSDiscount($U$35,Y4883,,Trigger)</f>
        <v>0.83460192016165469</v>
      </c>
    </row>
    <row r="4884" spans="25:26" x14ac:dyDescent="0.25">
      <c r="Y4884" s="63">
        <v>47417</v>
      </c>
      <c r="Z4884" s="61">
        <f>_xll.qlYieldTSDiscount($U$35,Y4884,,Trigger)</f>
        <v>0.83456812819979409</v>
      </c>
    </row>
    <row r="4885" spans="25:26" x14ac:dyDescent="0.25">
      <c r="Y4885" s="63">
        <v>47418</v>
      </c>
      <c r="Z4885" s="61">
        <f>_xll.qlYieldTSDiscount($U$35,Y4885,,Trigger)</f>
        <v>0.83453433694264911</v>
      </c>
    </row>
    <row r="4886" spans="25:26" x14ac:dyDescent="0.25">
      <c r="Y4886" s="63">
        <v>47419</v>
      </c>
      <c r="Z4886" s="61">
        <f>_xll.qlYieldTSDiscount($U$35,Y4886,,Trigger)</f>
        <v>0.83450054638782645</v>
      </c>
    </row>
    <row r="4887" spans="25:26" x14ac:dyDescent="0.25">
      <c r="Y4887" s="63">
        <v>47420</v>
      </c>
      <c r="Z4887" s="61">
        <f>_xll.qlYieldTSDiscount($U$35,Y4887,,Trigger)</f>
        <v>0.83446675653293245</v>
      </c>
    </row>
    <row r="4888" spans="25:26" x14ac:dyDescent="0.25">
      <c r="Y4888" s="63">
        <v>47421</v>
      </c>
      <c r="Z4888" s="61">
        <f>_xll.qlYieldTSDiscount($U$35,Y4888,,Trigger)</f>
        <v>0.83443296737557371</v>
      </c>
    </row>
    <row r="4889" spans="25:26" x14ac:dyDescent="0.25">
      <c r="Y4889" s="63">
        <v>47422</v>
      </c>
      <c r="Z4889" s="61">
        <f>_xll.qlYieldTSDiscount($U$35,Y4889,,Trigger)</f>
        <v>0.83439917891335647</v>
      </c>
    </row>
    <row r="4890" spans="25:26" x14ac:dyDescent="0.25">
      <c r="Y4890" s="63">
        <v>47423</v>
      </c>
      <c r="Z4890" s="61">
        <f>_xll.qlYieldTSDiscount($U$35,Y4890,,Trigger)</f>
        <v>0.83436539114388752</v>
      </c>
    </row>
    <row r="4891" spans="25:26" x14ac:dyDescent="0.25">
      <c r="Y4891" s="63">
        <v>47424</v>
      </c>
      <c r="Z4891" s="61">
        <f>_xll.qlYieldTSDiscount($U$35,Y4891,,Trigger)</f>
        <v>0.83433160406477314</v>
      </c>
    </row>
    <row r="4892" spans="25:26" x14ac:dyDescent="0.25">
      <c r="Y4892" s="63">
        <v>47425</v>
      </c>
      <c r="Z4892" s="61">
        <f>_xll.qlYieldTSDiscount($U$35,Y4892,,Trigger)</f>
        <v>0.83429781767361988</v>
      </c>
    </row>
    <row r="4893" spans="25:26" x14ac:dyDescent="0.25">
      <c r="Y4893" s="63">
        <v>47426</v>
      </c>
      <c r="Z4893" s="61">
        <f>_xll.qlYieldTSDiscount($U$35,Y4893,,Trigger)</f>
        <v>0.83426403196803423</v>
      </c>
    </row>
    <row r="4894" spans="25:26" x14ac:dyDescent="0.25">
      <c r="Y4894" s="63">
        <v>47427</v>
      </c>
      <c r="Z4894" s="61">
        <f>_xll.qlYieldTSDiscount($U$35,Y4894,,Trigger)</f>
        <v>0.83423024694562253</v>
      </c>
    </row>
    <row r="4895" spans="25:26" x14ac:dyDescent="0.25">
      <c r="Y4895" s="63">
        <v>47428</v>
      </c>
      <c r="Z4895" s="61">
        <f>_xll.qlYieldTSDiscount($U$35,Y4895,,Trigger)</f>
        <v>0.8341964626039915</v>
      </c>
    </row>
    <row r="4896" spans="25:26" x14ac:dyDescent="0.25">
      <c r="Y4896" s="63">
        <v>47429</v>
      </c>
      <c r="Z4896" s="61">
        <f>_xll.qlYieldTSDiscount($U$35,Y4896,,Trigger)</f>
        <v>0.83416267894074747</v>
      </c>
    </row>
    <row r="4897" spans="25:26" x14ac:dyDescent="0.25">
      <c r="Y4897" s="63">
        <v>47430</v>
      </c>
      <c r="Z4897" s="61">
        <f>_xll.qlYieldTSDiscount($U$35,Y4897,,Trigger)</f>
        <v>0.83412889595349693</v>
      </c>
    </row>
    <row r="4898" spans="25:26" x14ac:dyDescent="0.25">
      <c r="Y4898" s="63">
        <v>47431</v>
      </c>
      <c r="Z4898" s="61">
        <f>_xll.qlYieldTSDiscount($U$35,Y4898,,Trigger)</f>
        <v>0.83409511363984634</v>
      </c>
    </row>
    <row r="4899" spans="25:26" x14ac:dyDescent="0.25">
      <c r="Y4899" s="63">
        <v>47432</v>
      </c>
      <c r="Z4899" s="61">
        <f>_xll.qlYieldTSDiscount($U$35,Y4899,,Trigger)</f>
        <v>0.83406133199740229</v>
      </c>
    </row>
    <row r="4900" spans="25:26" x14ac:dyDescent="0.25">
      <c r="Y4900" s="63">
        <v>47433</v>
      </c>
      <c r="Z4900" s="61">
        <f>_xll.qlYieldTSDiscount($U$35,Y4900,,Trigger)</f>
        <v>0.83402755102377113</v>
      </c>
    </row>
    <row r="4901" spans="25:26" x14ac:dyDescent="0.25">
      <c r="Y4901" s="63">
        <v>47434</v>
      </c>
      <c r="Z4901" s="61">
        <f>_xll.qlYieldTSDiscount($U$35,Y4901,,Trigger)</f>
        <v>0.83399377071655945</v>
      </c>
    </row>
    <row r="4902" spans="25:26" x14ac:dyDescent="0.25">
      <c r="Y4902" s="63">
        <v>47435</v>
      </c>
      <c r="Z4902" s="61">
        <f>_xll.qlYieldTSDiscount($U$35,Y4902,,Trigger)</f>
        <v>0.83395999107337371</v>
      </c>
    </row>
    <row r="4903" spans="25:26" x14ac:dyDescent="0.25">
      <c r="Y4903" s="63">
        <v>47436</v>
      </c>
      <c r="Z4903" s="61">
        <f>_xll.qlYieldTSDiscount($U$35,Y4903,,Trigger)</f>
        <v>0.83392621209182027</v>
      </c>
    </row>
    <row r="4904" spans="25:26" x14ac:dyDescent="0.25">
      <c r="Y4904" s="63">
        <v>47437</v>
      </c>
      <c r="Z4904" s="61">
        <f>_xll.qlYieldTSDiscount($U$35,Y4904,,Trigger)</f>
        <v>0.83389243376950573</v>
      </c>
    </row>
    <row r="4905" spans="25:26" x14ac:dyDescent="0.25">
      <c r="Y4905" s="63">
        <v>47438</v>
      </c>
      <c r="Z4905" s="61">
        <f>_xll.qlYieldTSDiscount($U$35,Y4905,,Trigger)</f>
        <v>0.83385865610403664</v>
      </c>
    </row>
    <row r="4906" spans="25:26" x14ac:dyDescent="0.25">
      <c r="Y4906" s="63">
        <v>47439</v>
      </c>
      <c r="Z4906" s="61">
        <f>_xll.qlYieldTSDiscount($U$35,Y4906,,Trigger)</f>
        <v>0.83382487909301928</v>
      </c>
    </row>
    <row r="4907" spans="25:26" x14ac:dyDescent="0.25">
      <c r="Y4907" s="63">
        <v>47440</v>
      </c>
      <c r="Z4907" s="61">
        <f>_xll.qlYieldTSDiscount($U$35,Y4907,,Trigger)</f>
        <v>0.83379110273406021</v>
      </c>
    </row>
    <row r="4908" spans="25:26" x14ac:dyDescent="0.25">
      <c r="Y4908" s="63">
        <v>47441</v>
      </c>
      <c r="Z4908" s="61">
        <f>_xll.qlYieldTSDiscount($U$35,Y4908,,Trigger)</f>
        <v>0.83375732702476602</v>
      </c>
    </row>
    <row r="4909" spans="25:26" x14ac:dyDescent="0.25">
      <c r="Y4909" s="63">
        <v>47442</v>
      </c>
      <c r="Z4909" s="61">
        <f>_xll.qlYieldTSDiscount($U$35,Y4909,,Trigger)</f>
        <v>0.83372355196274306</v>
      </c>
    </row>
    <row r="4910" spans="25:26" x14ac:dyDescent="0.25">
      <c r="Y4910" s="63">
        <v>47443</v>
      </c>
      <c r="Z4910" s="61">
        <f>_xll.qlYieldTSDiscount($U$35,Y4910,,Trigger)</f>
        <v>0.83368977754559792</v>
      </c>
    </row>
    <row r="4911" spans="25:26" x14ac:dyDescent="0.25">
      <c r="Y4911" s="63">
        <v>47444</v>
      </c>
      <c r="Z4911" s="61">
        <f>_xll.qlYieldTSDiscount($U$35,Y4911,,Trigger)</f>
        <v>0.83365600377093696</v>
      </c>
    </row>
    <row r="4912" spans="25:26" x14ac:dyDescent="0.25">
      <c r="Y4912" s="63">
        <v>47445</v>
      </c>
      <c r="Z4912" s="61">
        <f>_xll.qlYieldTSDiscount($U$35,Y4912,,Trigger)</f>
        <v>0.83362223063636665</v>
      </c>
    </row>
    <row r="4913" spans="25:26" x14ac:dyDescent="0.25">
      <c r="Y4913" s="63">
        <v>47446</v>
      </c>
      <c r="Z4913" s="61">
        <f>_xll.qlYieldTSDiscount($U$35,Y4913,,Trigger)</f>
        <v>0.83358845813949367</v>
      </c>
    </row>
    <row r="4914" spans="25:26" x14ac:dyDescent="0.25">
      <c r="Y4914" s="63">
        <v>47447</v>
      </c>
      <c r="Z4914" s="61">
        <f>_xll.qlYieldTSDiscount($U$35,Y4914,,Trigger)</f>
        <v>0.83355468627792428</v>
      </c>
    </row>
    <row r="4915" spans="25:26" x14ac:dyDescent="0.25">
      <c r="Y4915" s="63">
        <v>47448</v>
      </c>
      <c r="Z4915" s="61">
        <f>_xll.qlYieldTSDiscount($U$35,Y4915,,Trigger)</f>
        <v>0.83352091504926507</v>
      </c>
    </row>
    <row r="4916" spans="25:26" x14ac:dyDescent="0.25">
      <c r="Y4916" s="63">
        <v>47449</v>
      </c>
      <c r="Z4916" s="61">
        <f>_xll.qlYieldTSDiscount($U$35,Y4916,,Trigger)</f>
        <v>0.83348714445112249</v>
      </c>
    </row>
    <row r="4917" spans="25:26" x14ac:dyDescent="0.25">
      <c r="Y4917" s="63">
        <v>47450</v>
      </c>
      <c r="Z4917" s="61">
        <f>_xll.qlYieldTSDiscount($U$35,Y4917,,Trigger)</f>
        <v>0.83345337448110302</v>
      </c>
    </row>
    <row r="4918" spans="25:26" x14ac:dyDescent="0.25">
      <c r="Y4918" s="63">
        <v>47451</v>
      </c>
      <c r="Z4918" s="61">
        <f>_xll.qlYieldTSDiscount($U$35,Y4918,,Trigger)</f>
        <v>0.83341960513681324</v>
      </c>
    </row>
    <row r="4919" spans="25:26" x14ac:dyDescent="0.25">
      <c r="Y4919" s="63">
        <v>47452</v>
      </c>
      <c r="Z4919" s="61">
        <f>_xll.qlYieldTSDiscount($U$35,Y4919,,Trigger)</f>
        <v>0.83338583641585939</v>
      </c>
    </row>
    <row r="4920" spans="25:26" x14ac:dyDescent="0.25">
      <c r="Y4920" s="63">
        <v>47453</v>
      </c>
      <c r="Z4920" s="61">
        <f>_xll.qlYieldTSDiscount($U$35,Y4920,,Trigger)</f>
        <v>0.83335206831584829</v>
      </c>
    </row>
    <row r="4921" spans="25:26" x14ac:dyDescent="0.25">
      <c r="Y4921" s="63">
        <v>47454</v>
      </c>
      <c r="Z4921" s="61">
        <f>_xll.qlYieldTSDiscount($U$35,Y4921,,Trigger)</f>
        <v>0.83331830083438607</v>
      </c>
    </row>
    <row r="4922" spans="25:26" x14ac:dyDescent="0.25">
      <c r="Y4922" s="63">
        <v>47455</v>
      </c>
      <c r="Z4922" s="61">
        <f>_xll.qlYieldTSDiscount($U$35,Y4922,,Trigger)</f>
        <v>0.83328453396907942</v>
      </c>
    </row>
    <row r="4923" spans="25:26" x14ac:dyDescent="0.25">
      <c r="Y4923" s="63">
        <v>47456</v>
      </c>
      <c r="Z4923" s="61">
        <f>_xll.qlYieldTSDiscount($U$35,Y4923,,Trigger)</f>
        <v>0.83325076771753481</v>
      </c>
    </row>
    <row r="4924" spans="25:26" x14ac:dyDescent="0.25">
      <c r="Y4924" s="63">
        <v>47457</v>
      </c>
      <c r="Z4924" s="61">
        <f>_xll.qlYieldTSDiscount($U$35,Y4924,,Trigger)</f>
        <v>0.83321700207735871</v>
      </c>
    </row>
    <row r="4925" spans="25:26" x14ac:dyDescent="0.25">
      <c r="Y4925" s="63">
        <v>47458</v>
      </c>
      <c r="Z4925" s="61">
        <f>_xll.qlYieldTSDiscount($U$35,Y4925,,Trigger)</f>
        <v>0.83318323704615749</v>
      </c>
    </row>
    <row r="4926" spans="25:26" x14ac:dyDescent="0.25">
      <c r="Y4926" s="63">
        <v>47459</v>
      </c>
      <c r="Z4926" s="61">
        <f>_xll.qlYieldTSDiscount($U$35,Y4926,,Trigger)</f>
        <v>0.83314947262153771</v>
      </c>
    </row>
    <row r="4927" spans="25:26" x14ac:dyDescent="0.25">
      <c r="Y4927" s="63">
        <v>47460</v>
      </c>
      <c r="Z4927" s="61">
        <f>_xll.qlYieldTSDiscount($U$35,Y4927,,Trigger)</f>
        <v>0.83311570880110597</v>
      </c>
    </row>
    <row r="4928" spans="25:26" x14ac:dyDescent="0.25">
      <c r="Y4928" s="63">
        <v>47461</v>
      </c>
      <c r="Z4928" s="61">
        <f>_xll.qlYieldTSDiscount($U$35,Y4928,,Trigger)</f>
        <v>0.83308194558246851</v>
      </c>
    </row>
    <row r="4929" spans="25:26" x14ac:dyDescent="0.25">
      <c r="Y4929" s="63">
        <v>47462</v>
      </c>
      <c r="Z4929" s="61">
        <f>_xll.qlYieldTSDiscount($U$35,Y4929,,Trigger)</f>
        <v>0.83304818296323202</v>
      </c>
    </row>
    <row r="4930" spans="25:26" x14ac:dyDescent="0.25">
      <c r="Y4930" s="63">
        <v>47463</v>
      </c>
      <c r="Z4930" s="61">
        <f>_xll.qlYieldTSDiscount($U$35,Y4930,,Trigger)</f>
        <v>0.83301442094100286</v>
      </c>
    </row>
    <row r="4931" spans="25:26" x14ac:dyDescent="0.25">
      <c r="Y4931" s="63">
        <v>47464</v>
      </c>
      <c r="Z4931" s="61">
        <f>_xll.qlYieldTSDiscount($U$35,Y4931,,Trigger)</f>
        <v>0.83298065951338762</v>
      </c>
    </row>
    <row r="4932" spans="25:26" x14ac:dyDescent="0.25">
      <c r="Y4932" s="63">
        <v>47465</v>
      </c>
      <c r="Z4932" s="61">
        <f>_xll.qlYieldTSDiscount($U$35,Y4932,,Trigger)</f>
        <v>0.83294689867799265</v>
      </c>
    </row>
    <row r="4933" spans="25:26" x14ac:dyDescent="0.25">
      <c r="Y4933" s="63">
        <v>47466</v>
      </c>
      <c r="Z4933" s="61">
        <f>_xll.qlYieldTSDiscount($U$35,Y4933,,Trigger)</f>
        <v>0.83291313843242443</v>
      </c>
    </row>
    <row r="4934" spans="25:26" x14ac:dyDescent="0.25">
      <c r="Y4934" s="63">
        <v>47467</v>
      </c>
      <c r="Z4934" s="61">
        <f>_xll.qlYieldTSDiscount($U$35,Y4934,,Trigger)</f>
        <v>0.83287937877428964</v>
      </c>
    </row>
    <row r="4935" spans="25:26" x14ac:dyDescent="0.25">
      <c r="Y4935" s="63">
        <v>47468</v>
      </c>
      <c r="Z4935" s="61">
        <f>_xll.qlYieldTSDiscount($U$35,Y4935,,Trigger)</f>
        <v>0.83284561970119453</v>
      </c>
    </row>
    <row r="4936" spans="25:26" x14ac:dyDescent="0.25">
      <c r="Y4936" s="63">
        <v>47469</v>
      </c>
      <c r="Z4936" s="61">
        <f>_xll.qlYieldTSDiscount($U$35,Y4936,,Trigger)</f>
        <v>0.83281186121074569</v>
      </c>
    </row>
    <row r="4937" spans="25:26" x14ac:dyDescent="0.25">
      <c r="Y4937" s="63">
        <v>47470</v>
      </c>
      <c r="Z4937" s="61">
        <f>_xll.qlYieldTSDiscount($U$35,Y4937,,Trigger)</f>
        <v>0.83277810330054958</v>
      </c>
    </row>
    <row r="4938" spans="25:26" x14ac:dyDescent="0.25">
      <c r="Y4938" s="63">
        <v>47471</v>
      </c>
      <c r="Z4938" s="61">
        <f>_xll.qlYieldTSDiscount($U$35,Y4938,,Trigger)</f>
        <v>0.83274434596821267</v>
      </c>
    </row>
    <row r="4939" spans="25:26" x14ac:dyDescent="0.25">
      <c r="Y4939" s="63">
        <v>47472</v>
      </c>
      <c r="Z4939" s="61">
        <f>_xll.qlYieldTSDiscount($U$35,Y4939,,Trigger)</f>
        <v>0.83271058921134145</v>
      </c>
    </row>
    <row r="4940" spans="25:26" x14ac:dyDescent="0.25">
      <c r="Y4940" s="63">
        <v>47473</v>
      </c>
      <c r="Z4940" s="61">
        <f>_xll.qlYieldTSDiscount($U$35,Y4940,,Trigger)</f>
        <v>0.83267683302754236</v>
      </c>
    </row>
    <row r="4941" spans="25:26" x14ac:dyDescent="0.25">
      <c r="Y4941" s="63">
        <v>47474</v>
      </c>
      <c r="Z4941" s="61">
        <f>_xll.qlYieldTSDiscount($U$35,Y4941,,Trigger)</f>
        <v>0.83264307741442201</v>
      </c>
    </row>
    <row r="4942" spans="25:26" x14ac:dyDescent="0.25">
      <c r="Y4942" s="63">
        <v>47475</v>
      </c>
      <c r="Z4942" s="61">
        <f>_xll.qlYieldTSDiscount($U$35,Y4942,,Trigger)</f>
        <v>0.83260932236958685</v>
      </c>
    </row>
    <row r="4943" spans="25:26" x14ac:dyDescent="0.25">
      <c r="Y4943" s="63">
        <v>47476</v>
      </c>
      <c r="Z4943" s="61">
        <f>_xll.qlYieldTSDiscount($U$35,Y4943,,Trigger)</f>
        <v>0.83257556789064313</v>
      </c>
    </row>
    <row r="4944" spans="25:26" x14ac:dyDescent="0.25">
      <c r="Y4944" s="63">
        <v>47477</v>
      </c>
      <c r="Z4944" s="61">
        <f>_xll.qlYieldTSDiscount($U$35,Y4944,,Trigger)</f>
        <v>0.83254181397519766</v>
      </c>
    </row>
    <row r="4945" spans="25:26" x14ac:dyDescent="0.25">
      <c r="Y4945" s="63">
        <v>47478</v>
      </c>
      <c r="Z4945" s="61">
        <f>_xll.qlYieldTSDiscount($U$35,Y4945,,Trigger)</f>
        <v>0.83250806062085669</v>
      </c>
    </row>
    <row r="4946" spans="25:26" x14ac:dyDescent="0.25">
      <c r="Y4946" s="63">
        <v>47479</v>
      </c>
      <c r="Z4946" s="61">
        <f>_xll.qlYieldTSDiscount($U$35,Y4946,,Trigger)</f>
        <v>0.8324743078252268</v>
      </c>
    </row>
    <row r="4947" spans="25:26" x14ac:dyDescent="0.25">
      <c r="Y4947" s="63">
        <v>47480</v>
      </c>
      <c r="Z4947" s="61">
        <f>_xll.qlYieldTSDiscount($U$35,Y4947,,Trigger)</f>
        <v>0.83244055558591445</v>
      </c>
    </row>
    <row r="4948" spans="25:26" x14ac:dyDescent="0.25">
      <c r="Y4948" s="63">
        <v>47481</v>
      </c>
      <c r="Z4948" s="61">
        <f>_xll.qlYieldTSDiscount($U$35,Y4948,,Trigger)</f>
        <v>0.83240680390052613</v>
      </c>
    </row>
    <row r="4949" spans="25:26" x14ac:dyDescent="0.25">
      <c r="Y4949" s="63">
        <v>47482</v>
      </c>
      <c r="Z4949" s="61">
        <f>_xll.qlYieldTSDiscount($U$35,Y4949,,Trigger)</f>
        <v>0.83237305276666829</v>
      </c>
    </row>
    <row r="4950" spans="25:26" x14ac:dyDescent="0.25">
      <c r="Y4950" s="63">
        <v>47483</v>
      </c>
      <c r="Z4950" s="61">
        <f>_xll.qlYieldTSDiscount($U$35,Y4950,,Trigger)</f>
        <v>0.8323393021819474</v>
      </c>
    </row>
    <row r="4951" spans="25:26" x14ac:dyDescent="0.25">
      <c r="Y4951" s="63">
        <v>47484</v>
      </c>
      <c r="Z4951" s="61">
        <f>_xll.qlYieldTSDiscount($U$35,Y4951,,Trigger)</f>
        <v>0.83230555214397006</v>
      </c>
    </row>
    <row r="4952" spans="25:26" x14ac:dyDescent="0.25">
      <c r="Y4952" s="63">
        <v>47485</v>
      </c>
      <c r="Z4952" s="61">
        <f>_xll.qlYieldTSDiscount($U$35,Y4952,,Trigger)</f>
        <v>0.83227180265034262</v>
      </c>
    </row>
    <row r="4953" spans="25:26" x14ac:dyDescent="0.25">
      <c r="Y4953" s="63">
        <v>47486</v>
      </c>
      <c r="Z4953" s="61">
        <f>_xll.qlYieldTSDiscount($U$35,Y4953,,Trigger)</f>
        <v>0.83223805369867165</v>
      </c>
    </row>
    <row r="4954" spans="25:26" x14ac:dyDescent="0.25">
      <c r="Y4954" s="63">
        <v>47487</v>
      </c>
      <c r="Z4954" s="61">
        <f>_xll.qlYieldTSDiscount($U$35,Y4954,,Trigger)</f>
        <v>0.83220430528656353</v>
      </c>
    </row>
    <row r="4955" spans="25:26" x14ac:dyDescent="0.25">
      <c r="Y4955" s="63">
        <v>47488</v>
      </c>
      <c r="Z4955" s="61">
        <f>_xll.qlYieldTSDiscount($U$35,Y4955,,Trigger)</f>
        <v>0.83217055741162471</v>
      </c>
    </row>
    <row r="4956" spans="25:26" x14ac:dyDescent="0.25">
      <c r="Y4956" s="63">
        <v>47489</v>
      </c>
      <c r="Z4956" s="61">
        <f>_xll.qlYieldTSDiscount($U$35,Y4956,,Trigger)</f>
        <v>0.8321368100714619</v>
      </c>
    </row>
    <row r="4957" spans="25:26" x14ac:dyDescent="0.25">
      <c r="Y4957" s="63">
        <v>47490</v>
      </c>
      <c r="Z4957" s="61">
        <f>_xll.qlYieldTSDiscount($U$35,Y4957,,Trigger)</f>
        <v>0.83210306326368133</v>
      </c>
    </row>
    <row r="4958" spans="25:26" x14ac:dyDescent="0.25">
      <c r="Y4958" s="63">
        <v>47491</v>
      </c>
      <c r="Z4958" s="61">
        <f>_xll.qlYieldTSDiscount($U$35,Y4958,,Trigger)</f>
        <v>0.8320693169858896</v>
      </c>
    </row>
    <row r="4959" spans="25:26" x14ac:dyDescent="0.25">
      <c r="Y4959" s="63">
        <v>47492</v>
      </c>
      <c r="Z4959" s="61">
        <f>_xll.qlYieldTSDiscount($U$35,Y4959,,Trigger)</f>
        <v>0.83203557123569327</v>
      </c>
    </row>
    <row r="4960" spans="25:26" x14ac:dyDescent="0.25">
      <c r="Y4960" s="63">
        <v>47493</v>
      </c>
      <c r="Z4960" s="61">
        <f>_xll.qlYieldTSDiscount($U$35,Y4960,,Trigger)</f>
        <v>0.83200182601069861</v>
      </c>
    </row>
    <row r="4961" spans="25:26" x14ac:dyDescent="0.25">
      <c r="Y4961" s="63">
        <v>47494</v>
      </c>
      <c r="Z4961" s="61">
        <f>_xll.qlYieldTSDiscount($U$35,Y4961,,Trigger)</f>
        <v>0.8319680813085123</v>
      </c>
    </row>
    <row r="4962" spans="25:26" x14ac:dyDescent="0.25">
      <c r="Y4962" s="63">
        <v>47495</v>
      </c>
      <c r="Z4962" s="61">
        <f>_xll.qlYieldTSDiscount($U$35,Y4962,,Trigger)</f>
        <v>0.8319343371267407</v>
      </c>
    </row>
    <row r="4963" spans="25:26" x14ac:dyDescent="0.25">
      <c r="Y4963" s="63">
        <v>47496</v>
      </c>
      <c r="Z4963" s="61">
        <f>_xll.qlYieldTSDiscount($U$35,Y4963,,Trigger)</f>
        <v>0.83190059346299039</v>
      </c>
    </row>
    <row r="4964" spans="25:26" x14ac:dyDescent="0.25">
      <c r="Y4964" s="63">
        <v>47497</v>
      </c>
      <c r="Z4964" s="61">
        <f>_xll.qlYieldTSDiscount($U$35,Y4964,,Trigger)</f>
        <v>0.83186685031486762</v>
      </c>
    </row>
    <row r="4965" spans="25:26" x14ac:dyDescent="0.25">
      <c r="Y4965" s="63">
        <v>47498</v>
      </c>
      <c r="Z4965" s="61">
        <f>_xll.qlYieldTSDiscount($U$35,Y4965,,Trigger)</f>
        <v>0.8318331076799792</v>
      </c>
    </row>
    <row r="4966" spans="25:26" x14ac:dyDescent="0.25">
      <c r="Y4966" s="63">
        <v>47499</v>
      </c>
      <c r="Z4966" s="61">
        <f>_xll.qlYieldTSDiscount($U$35,Y4966,,Trigger)</f>
        <v>0.83179936555593148</v>
      </c>
    </row>
    <row r="4967" spans="25:26" x14ac:dyDescent="0.25">
      <c r="Y4967" s="63">
        <v>47500</v>
      </c>
      <c r="Z4967" s="61">
        <f>_xll.qlYieldTSDiscount($U$35,Y4967,,Trigger)</f>
        <v>0.83176562394033082</v>
      </c>
    </row>
    <row r="4968" spans="25:26" x14ac:dyDescent="0.25">
      <c r="Y4968" s="63">
        <v>47501</v>
      </c>
      <c r="Z4968" s="61">
        <f>_xll.qlYieldTSDiscount($U$35,Y4968,,Trigger)</f>
        <v>0.83173188283078381</v>
      </c>
    </row>
    <row r="4969" spans="25:26" x14ac:dyDescent="0.25">
      <c r="Y4969" s="63">
        <v>47502</v>
      </c>
      <c r="Z4969" s="61">
        <f>_xll.qlYieldTSDiscount($U$35,Y4969,,Trigger)</f>
        <v>0.83169814222489691</v>
      </c>
    </row>
    <row r="4970" spans="25:26" x14ac:dyDescent="0.25">
      <c r="Y4970" s="63">
        <v>47503</v>
      </c>
      <c r="Z4970" s="61">
        <f>_xll.qlYieldTSDiscount($U$35,Y4970,,Trigger)</f>
        <v>0.83166440212027659</v>
      </c>
    </row>
    <row r="4971" spans="25:26" x14ac:dyDescent="0.25">
      <c r="Y4971" s="63">
        <v>47504</v>
      </c>
      <c r="Z4971" s="61">
        <f>_xll.qlYieldTSDiscount($U$35,Y4971,,Trigger)</f>
        <v>0.83163066251452933</v>
      </c>
    </row>
    <row r="4972" spans="25:26" x14ac:dyDescent="0.25">
      <c r="Y4972" s="63">
        <v>47505</v>
      </c>
      <c r="Z4972" s="61">
        <f>_xll.qlYieldTSDiscount($U$35,Y4972,,Trigger)</f>
        <v>0.83159692340526159</v>
      </c>
    </row>
    <row r="4973" spans="25:26" x14ac:dyDescent="0.25">
      <c r="Y4973" s="63">
        <v>47506</v>
      </c>
      <c r="Z4973" s="61">
        <f>_xll.qlYieldTSDiscount($U$35,Y4973,,Trigger)</f>
        <v>0.83156318479007996</v>
      </c>
    </row>
    <row r="4974" spans="25:26" x14ac:dyDescent="0.25">
      <c r="Y4974" s="63">
        <v>47507</v>
      </c>
      <c r="Z4974" s="61">
        <f>_xll.qlYieldTSDiscount($U$35,Y4974,,Trigger)</f>
        <v>0.8315294466665909</v>
      </c>
    </row>
    <row r="4975" spans="25:26" x14ac:dyDescent="0.25">
      <c r="Y4975" s="63">
        <v>47508</v>
      </c>
      <c r="Z4975" s="61">
        <f>_xll.qlYieldTSDiscount($U$35,Y4975,,Trigger)</f>
        <v>0.83149570903240078</v>
      </c>
    </row>
    <row r="4976" spans="25:26" x14ac:dyDescent="0.25">
      <c r="Y4976" s="63">
        <v>47509</v>
      </c>
      <c r="Z4976" s="61">
        <f>_xll.qlYieldTSDiscount($U$35,Y4976,,Trigger)</f>
        <v>0.83146197188511606</v>
      </c>
    </row>
    <row r="4977" spans="25:26" x14ac:dyDescent="0.25">
      <c r="Y4977" s="63">
        <v>47510</v>
      </c>
      <c r="Z4977" s="61">
        <f>_xll.qlYieldTSDiscount($U$35,Y4977,,Trigger)</f>
        <v>0.83142823522234344</v>
      </c>
    </row>
    <row r="4978" spans="25:26" x14ac:dyDescent="0.25">
      <c r="Y4978" s="63">
        <v>47511</v>
      </c>
      <c r="Z4978" s="61">
        <f>_xll.qlYieldTSDiscount($U$35,Y4978,,Trigger)</f>
        <v>0.83139449904168916</v>
      </c>
    </row>
    <row r="4979" spans="25:26" x14ac:dyDescent="0.25">
      <c r="Y4979" s="63">
        <v>47512</v>
      </c>
      <c r="Z4979" s="61">
        <f>_xll.qlYieldTSDiscount($U$35,Y4979,,Trigger)</f>
        <v>0.83136076334075981</v>
      </c>
    </row>
    <row r="4980" spans="25:26" x14ac:dyDescent="0.25">
      <c r="Y4980" s="63">
        <v>47513</v>
      </c>
      <c r="Z4980" s="61">
        <f>_xll.qlYieldTSDiscount($U$35,Y4980,,Trigger)</f>
        <v>0.83132702811716186</v>
      </c>
    </row>
    <row r="4981" spans="25:26" x14ac:dyDescent="0.25">
      <c r="Y4981" s="63">
        <v>47514</v>
      </c>
      <c r="Z4981" s="61">
        <f>_xll.qlYieldTSDiscount($U$35,Y4981,,Trigger)</f>
        <v>0.83129329336850177</v>
      </c>
    </row>
    <row r="4982" spans="25:26" x14ac:dyDescent="0.25">
      <c r="Y4982" s="63">
        <v>47515</v>
      </c>
      <c r="Z4982" s="61">
        <f>_xll.qlYieldTSDiscount($U$35,Y4982,,Trigger)</f>
        <v>0.83125955909238614</v>
      </c>
    </row>
    <row r="4983" spans="25:26" x14ac:dyDescent="0.25">
      <c r="Y4983" s="63">
        <v>47516</v>
      </c>
      <c r="Z4983" s="61">
        <f>_xll.qlYieldTSDiscount($U$35,Y4983,,Trigger)</f>
        <v>0.83122582528642119</v>
      </c>
    </row>
    <row r="4984" spans="25:26" x14ac:dyDescent="0.25">
      <c r="Y4984" s="63">
        <v>47517</v>
      </c>
      <c r="Z4984" s="61">
        <f>_xll.qlYieldTSDiscount($U$35,Y4984,,Trigger)</f>
        <v>0.83119209194821364</v>
      </c>
    </row>
    <row r="4985" spans="25:26" x14ac:dyDescent="0.25">
      <c r="Y4985" s="63">
        <v>47518</v>
      </c>
      <c r="Z4985" s="61">
        <f>_xll.qlYieldTSDiscount($U$35,Y4985,,Trigger)</f>
        <v>0.83115835907536995</v>
      </c>
    </row>
    <row r="4986" spans="25:26" x14ac:dyDescent="0.25">
      <c r="Y4986" s="63">
        <v>47519</v>
      </c>
      <c r="Z4986" s="61">
        <f>_xll.qlYieldTSDiscount($U$35,Y4986,,Trigger)</f>
        <v>0.83112462666549647</v>
      </c>
    </row>
    <row r="4987" spans="25:26" x14ac:dyDescent="0.25">
      <c r="Y4987" s="63">
        <v>47520</v>
      </c>
      <c r="Z4987" s="61">
        <f>_xll.qlYieldTSDiscount($U$35,Y4987,,Trigger)</f>
        <v>0.83109089471619979</v>
      </c>
    </row>
    <row r="4988" spans="25:26" x14ac:dyDescent="0.25">
      <c r="Y4988" s="63">
        <v>47521</v>
      </c>
      <c r="Z4988" s="61">
        <f>_xll.qlYieldTSDiscount($U$35,Y4988,,Trigger)</f>
        <v>0.83105716322508638</v>
      </c>
    </row>
    <row r="4989" spans="25:26" x14ac:dyDescent="0.25">
      <c r="Y4989" s="63">
        <v>47522</v>
      </c>
      <c r="Z4989" s="61">
        <f>_xll.qlYieldTSDiscount($U$35,Y4989,,Trigger)</f>
        <v>0.8310234321897626</v>
      </c>
    </row>
    <row r="4990" spans="25:26" x14ac:dyDescent="0.25">
      <c r="Y4990" s="63">
        <v>47523</v>
      </c>
      <c r="Z4990" s="61">
        <f>_xll.qlYieldTSDiscount($U$35,Y4990,,Trigger)</f>
        <v>0.83098970160783514</v>
      </c>
    </row>
    <row r="4991" spans="25:26" x14ac:dyDescent="0.25">
      <c r="Y4991" s="63">
        <v>47524</v>
      </c>
      <c r="Z4991" s="61">
        <f>_xll.qlYieldTSDiscount($U$35,Y4991,,Trigger)</f>
        <v>0.83095597147691025</v>
      </c>
    </row>
    <row r="4992" spans="25:26" x14ac:dyDescent="0.25">
      <c r="Y4992" s="63">
        <v>47525</v>
      </c>
      <c r="Z4992" s="61">
        <f>_xll.qlYieldTSDiscount($U$35,Y4992,,Trigger)</f>
        <v>0.83092224179459462</v>
      </c>
    </row>
    <row r="4993" spans="25:26" x14ac:dyDescent="0.25">
      <c r="Y4993" s="63">
        <v>47526</v>
      </c>
      <c r="Z4993" s="61">
        <f>_xll.qlYieldTSDiscount($U$35,Y4993,,Trigger)</f>
        <v>0.83088851255849461</v>
      </c>
    </row>
    <row r="4994" spans="25:26" x14ac:dyDescent="0.25">
      <c r="Y4994" s="63">
        <v>47527</v>
      </c>
      <c r="Z4994" s="61">
        <f>_xll.qlYieldTSDiscount($U$35,Y4994,,Trigger)</f>
        <v>0.83085478376621669</v>
      </c>
    </row>
    <row r="4995" spans="25:26" x14ac:dyDescent="0.25">
      <c r="Y4995" s="63">
        <v>47528</v>
      </c>
      <c r="Z4995" s="61">
        <f>_xll.qlYieldTSDiscount($U$35,Y4995,,Trigger)</f>
        <v>0.83082105541536744</v>
      </c>
    </row>
    <row r="4996" spans="25:26" x14ac:dyDescent="0.25">
      <c r="Y4996" s="63">
        <v>47529</v>
      </c>
      <c r="Z4996" s="61">
        <f>_xll.qlYieldTSDiscount($U$35,Y4996,,Trigger)</f>
        <v>0.83078732750355322</v>
      </c>
    </row>
    <row r="4997" spans="25:26" x14ac:dyDescent="0.25">
      <c r="Y4997" s="63">
        <v>47530</v>
      </c>
      <c r="Z4997" s="61">
        <f>_xll.qlYieldTSDiscount($U$35,Y4997,,Trigger)</f>
        <v>0.83075360002838061</v>
      </c>
    </row>
    <row r="4998" spans="25:26" x14ac:dyDescent="0.25">
      <c r="Y4998" s="63">
        <v>47531</v>
      </c>
      <c r="Z4998" s="61">
        <f>_xll.qlYieldTSDiscount($U$35,Y4998,,Trigger)</f>
        <v>0.83071987298745609</v>
      </c>
    </row>
    <row r="4999" spans="25:26" x14ac:dyDescent="0.25">
      <c r="Y4999" s="63">
        <v>47532</v>
      </c>
      <c r="Z4999" s="61">
        <f>_xll.qlYieldTSDiscount($U$35,Y4999,,Trigger)</f>
        <v>0.830686146378386</v>
      </c>
    </row>
    <row r="5000" spans="25:26" x14ac:dyDescent="0.25">
      <c r="Y5000" s="63">
        <v>47533</v>
      </c>
      <c r="Z5000" s="61">
        <f>_xll.qlYieldTSDiscount($U$35,Y5000,,Trigger)</f>
        <v>0.83065242019877694</v>
      </c>
    </row>
    <row r="5001" spans="25:26" x14ac:dyDescent="0.25">
      <c r="Y5001" s="63">
        <v>47534</v>
      </c>
      <c r="Z5001" s="61">
        <f>_xll.qlYieldTSDiscount($U$35,Y5001,,Trigger)</f>
        <v>0.83061869444623548</v>
      </c>
    </row>
    <row r="5002" spans="25:26" x14ac:dyDescent="0.25">
      <c r="Y5002" s="63">
        <v>47535</v>
      </c>
      <c r="Z5002" s="61">
        <f>_xll.qlYieldTSDiscount($U$35,Y5002,,Trigger)</f>
        <v>0.83058496911836788</v>
      </c>
    </row>
    <row r="5003" spans="25:26" x14ac:dyDescent="0.25">
      <c r="Y5003" s="63">
        <v>47536</v>
      </c>
      <c r="Z5003" s="61">
        <f>_xll.qlYieldTSDiscount($U$35,Y5003,,Trigger)</f>
        <v>0.83055124421278081</v>
      </c>
    </row>
    <row r="5004" spans="25:26" x14ac:dyDescent="0.25">
      <c r="Y5004" s="63">
        <v>47537</v>
      </c>
      <c r="Z5004" s="61">
        <f>_xll.qlYieldTSDiscount($U$35,Y5004,,Trigger)</f>
        <v>0.83051751972708066</v>
      </c>
    </row>
    <row r="5005" spans="25:26" x14ac:dyDescent="0.25">
      <c r="Y5005" s="63">
        <v>47538</v>
      </c>
      <c r="Z5005" s="61">
        <f>_xll.qlYieldTSDiscount($U$35,Y5005,,Trigger)</f>
        <v>0.83048379565887387</v>
      </c>
    </row>
    <row r="5006" spans="25:26" x14ac:dyDescent="0.25">
      <c r="Y5006" s="63">
        <v>47539</v>
      </c>
      <c r="Z5006" s="61">
        <f>_xll.qlYieldTSDiscount($U$35,Y5006,,Trigger)</f>
        <v>0.83045007200576704</v>
      </c>
    </row>
    <row r="5007" spans="25:26" x14ac:dyDescent="0.25">
      <c r="Y5007" s="63">
        <v>47540</v>
      </c>
      <c r="Z5007" s="61">
        <f>_xll.qlYieldTSDiscount($U$35,Y5007,,Trigger)</f>
        <v>0.83041634876536652</v>
      </c>
    </row>
    <row r="5008" spans="25:26" x14ac:dyDescent="0.25">
      <c r="Y5008" s="63">
        <v>47541</v>
      </c>
      <c r="Z5008" s="61">
        <f>_xll.qlYieldTSDiscount($U$35,Y5008,,Trigger)</f>
        <v>0.8303826259352789</v>
      </c>
    </row>
    <row r="5009" spans="25:26" x14ac:dyDescent="0.25">
      <c r="Y5009" s="63">
        <v>47542</v>
      </c>
      <c r="Z5009" s="61">
        <f>_xll.qlYieldTSDiscount($U$35,Y5009,,Trigger)</f>
        <v>0.83034890351311053</v>
      </c>
    </row>
    <row r="5010" spans="25:26" x14ac:dyDescent="0.25">
      <c r="Y5010" s="63">
        <v>47543</v>
      </c>
      <c r="Z5010" s="61">
        <f>_xll.qlYieldTSDiscount($U$35,Y5010,,Trigger)</f>
        <v>0.8303151814964681</v>
      </c>
    </row>
    <row r="5011" spans="25:26" x14ac:dyDescent="0.25">
      <c r="Y5011" s="63">
        <v>47544</v>
      </c>
      <c r="Z5011" s="61">
        <f>_xll.qlYieldTSDiscount($U$35,Y5011,,Trigger)</f>
        <v>0.83028145988295787</v>
      </c>
    </row>
    <row r="5012" spans="25:26" x14ac:dyDescent="0.25">
      <c r="Y5012" s="63">
        <v>47545</v>
      </c>
      <c r="Z5012" s="61">
        <f>_xll.qlYieldTSDiscount($U$35,Y5012,,Trigger)</f>
        <v>0.83024773867018653</v>
      </c>
    </row>
    <row r="5013" spans="25:26" x14ac:dyDescent="0.25">
      <c r="Y5013" s="63">
        <v>47546</v>
      </c>
      <c r="Z5013" s="61">
        <f>_xll.qlYieldTSDiscount($U$35,Y5013,,Trigger)</f>
        <v>0.83021401785576032</v>
      </c>
    </row>
    <row r="5014" spans="25:26" x14ac:dyDescent="0.25">
      <c r="Y5014" s="63">
        <v>47547</v>
      </c>
      <c r="Z5014" s="61">
        <f>_xll.qlYieldTSDiscount($U$35,Y5014,,Trigger)</f>
        <v>0.83018029743728594</v>
      </c>
    </row>
    <row r="5015" spans="25:26" x14ac:dyDescent="0.25">
      <c r="Y5015" s="63">
        <v>47548</v>
      </c>
      <c r="Z5015" s="61">
        <f>_xll.qlYieldTSDiscount($U$35,Y5015,,Trigger)</f>
        <v>0.83014657741236975</v>
      </c>
    </row>
    <row r="5016" spans="25:26" x14ac:dyDescent="0.25">
      <c r="Y5016" s="63">
        <v>47549</v>
      </c>
      <c r="Z5016" s="61">
        <f>_xll.qlYieldTSDiscount($U$35,Y5016,,Trigger)</f>
        <v>0.83011285777861832</v>
      </c>
    </row>
    <row r="5017" spans="25:26" x14ac:dyDescent="0.25">
      <c r="Y5017" s="63">
        <v>47550</v>
      </c>
      <c r="Z5017" s="61">
        <f>_xll.qlYieldTSDiscount($U$35,Y5017,,Trigger)</f>
        <v>0.83007913853363802</v>
      </c>
    </row>
    <row r="5018" spans="25:26" x14ac:dyDescent="0.25">
      <c r="Y5018" s="63">
        <v>47551</v>
      </c>
      <c r="Z5018" s="61">
        <f>_xll.qlYieldTSDiscount($U$35,Y5018,,Trigger)</f>
        <v>0.83004541967503531</v>
      </c>
    </row>
    <row r="5019" spans="25:26" x14ac:dyDescent="0.25">
      <c r="Y5019" s="63">
        <v>47552</v>
      </c>
      <c r="Z5019" s="61">
        <f>_xll.qlYieldTSDiscount($U$35,Y5019,,Trigger)</f>
        <v>0.8300117012004169</v>
      </c>
    </row>
    <row r="5020" spans="25:26" x14ac:dyDescent="0.25">
      <c r="Y5020" s="63">
        <v>47553</v>
      </c>
      <c r="Z5020" s="61">
        <f>_xll.qlYieldTSDiscount($U$35,Y5020,,Trigger)</f>
        <v>0.82997798310738902</v>
      </c>
    </row>
    <row r="5021" spans="25:26" x14ac:dyDescent="0.25">
      <c r="Y5021" s="63">
        <v>47554</v>
      </c>
      <c r="Z5021" s="61">
        <f>_xll.qlYieldTSDiscount($U$35,Y5021,,Trigger)</f>
        <v>0.82994426539355826</v>
      </c>
    </row>
    <row r="5022" spans="25:26" x14ac:dyDescent="0.25">
      <c r="Y5022" s="63">
        <v>47555</v>
      </c>
      <c r="Z5022" s="61">
        <f>_xll.qlYieldTSDiscount($U$35,Y5022,,Trigger)</f>
        <v>0.82991054805653108</v>
      </c>
    </row>
    <row r="5023" spans="25:26" x14ac:dyDescent="0.25">
      <c r="Y5023" s="63">
        <v>47556</v>
      </c>
      <c r="Z5023" s="61">
        <f>_xll.qlYieldTSDiscount($U$35,Y5023,,Trigger)</f>
        <v>0.82987683109391397</v>
      </c>
    </row>
    <row r="5024" spans="25:26" x14ac:dyDescent="0.25">
      <c r="Y5024" s="63">
        <v>47557</v>
      </c>
      <c r="Z5024" s="61">
        <f>_xll.qlYieldTSDiscount($U$35,Y5024,,Trigger)</f>
        <v>0.82984311450331338</v>
      </c>
    </row>
    <row r="5025" spans="25:26" x14ac:dyDescent="0.25">
      <c r="Y5025" s="63">
        <v>47558</v>
      </c>
      <c r="Z5025" s="61">
        <f>_xll.qlYieldTSDiscount($U$35,Y5025,,Trigger)</f>
        <v>0.8298093982823358</v>
      </c>
    </row>
    <row r="5026" spans="25:26" x14ac:dyDescent="0.25">
      <c r="Y5026" s="63">
        <v>47559</v>
      </c>
      <c r="Z5026" s="61">
        <f>_xll.qlYieldTSDiscount($U$35,Y5026,,Trigger)</f>
        <v>0.82977568242858779</v>
      </c>
    </row>
    <row r="5027" spans="25:26" x14ac:dyDescent="0.25">
      <c r="Y5027" s="63">
        <v>47560</v>
      </c>
      <c r="Z5027" s="61">
        <f>_xll.qlYieldTSDiscount($U$35,Y5027,,Trigger)</f>
        <v>0.82974196693967572</v>
      </c>
    </row>
    <row r="5028" spans="25:26" x14ac:dyDescent="0.25">
      <c r="Y5028" s="63">
        <v>47561</v>
      </c>
      <c r="Z5028" s="61">
        <f>_xll.qlYieldTSDiscount($U$35,Y5028,,Trigger)</f>
        <v>0.82970825181320618</v>
      </c>
    </row>
    <row r="5029" spans="25:26" x14ac:dyDescent="0.25">
      <c r="Y5029" s="63">
        <v>47562</v>
      </c>
      <c r="Z5029" s="61">
        <f>_xll.qlYieldTSDiscount($U$35,Y5029,,Trigger)</f>
        <v>0.82967453704678551</v>
      </c>
    </row>
    <row r="5030" spans="25:26" x14ac:dyDescent="0.25">
      <c r="Y5030" s="63">
        <v>47563</v>
      </c>
      <c r="Z5030" s="61">
        <f>_xll.qlYieldTSDiscount($U$35,Y5030,,Trigger)</f>
        <v>0.8296408226380203</v>
      </c>
    </row>
    <row r="5031" spans="25:26" x14ac:dyDescent="0.25">
      <c r="Y5031" s="63">
        <v>47564</v>
      </c>
      <c r="Z5031" s="61">
        <f>_xll.qlYieldTSDiscount($U$35,Y5031,,Trigger)</f>
        <v>0.82960710858451714</v>
      </c>
    </row>
    <row r="5032" spans="25:26" x14ac:dyDescent="0.25">
      <c r="Y5032" s="63">
        <v>47565</v>
      </c>
      <c r="Z5032" s="61">
        <f>_xll.qlYieldTSDiscount($U$35,Y5032,,Trigger)</f>
        <v>0.82957339488388215</v>
      </c>
    </row>
    <row r="5033" spans="25:26" x14ac:dyDescent="0.25">
      <c r="Y5033" s="63">
        <v>47566</v>
      </c>
      <c r="Z5033" s="61">
        <f>_xll.qlYieldTSDiscount($U$35,Y5033,,Trigger)</f>
        <v>0.82953968153372215</v>
      </c>
    </row>
    <row r="5034" spans="25:26" x14ac:dyDescent="0.25">
      <c r="Y5034" s="63">
        <v>47567</v>
      </c>
      <c r="Z5034" s="61">
        <f>_xll.qlYieldTSDiscount($U$35,Y5034,,Trigger)</f>
        <v>0.82950596853164349</v>
      </c>
    </row>
    <row r="5035" spans="25:26" x14ac:dyDescent="0.25">
      <c r="Y5035" s="63">
        <v>47568</v>
      </c>
      <c r="Z5035" s="61">
        <f>_xll.qlYieldTSDiscount($U$35,Y5035,,Trigger)</f>
        <v>0.82947225587525264</v>
      </c>
    </row>
    <row r="5036" spans="25:26" x14ac:dyDescent="0.25">
      <c r="Y5036" s="63">
        <v>47569</v>
      </c>
      <c r="Z5036" s="61">
        <f>_xll.qlYieldTSDiscount($U$35,Y5036,,Trigger)</f>
        <v>0.82943854356215618</v>
      </c>
    </row>
    <row r="5037" spans="25:26" x14ac:dyDescent="0.25">
      <c r="Y5037" s="63">
        <v>47570</v>
      </c>
      <c r="Z5037" s="61">
        <f>_xll.qlYieldTSDiscount($U$35,Y5037,,Trigger)</f>
        <v>0.82940483158996037</v>
      </c>
    </row>
    <row r="5038" spans="25:26" x14ac:dyDescent="0.25">
      <c r="Y5038" s="63">
        <v>47571</v>
      </c>
      <c r="Z5038" s="61">
        <f>_xll.qlYieldTSDiscount($U$35,Y5038,,Trigger)</f>
        <v>0.829371119956272</v>
      </c>
    </row>
    <row r="5039" spans="25:26" x14ac:dyDescent="0.25">
      <c r="Y5039" s="63">
        <v>47572</v>
      </c>
      <c r="Z5039" s="61">
        <f>_xll.qlYieldTSDiscount($U$35,Y5039,,Trigger)</f>
        <v>0.82933740865869732</v>
      </c>
    </row>
    <row r="5040" spans="25:26" x14ac:dyDescent="0.25">
      <c r="Y5040" s="63">
        <v>47573</v>
      </c>
      <c r="Z5040" s="61">
        <f>_xll.qlYieldTSDiscount($U$35,Y5040,,Trigger)</f>
        <v>0.8293036976948428</v>
      </c>
    </row>
    <row r="5041" spans="25:26" x14ac:dyDescent="0.25">
      <c r="Y5041" s="63">
        <v>47574</v>
      </c>
      <c r="Z5041" s="61">
        <f>_xll.qlYieldTSDiscount($U$35,Y5041,,Trigger)</f>
        <v>0.82926998706231503</v>
      </c>
    </row>
    <row r="5042" spans="25:26" x14ac:dyDescent="0.25">
      <c r="Y5042" s="63">
        <v>47575</v>
      </c>
      <c r="Z5042" s="61">
        <f>_xll.qlYieldTSDiscount($U$35,Y5042,,Trigger)</f>
        <v>0.82923627675872047</v>
      </c>
    </row>
    <row r="5043" spans="25:26" x14ac:dyDescent="0.25">
      <c r="Y5043" s="63">
        <v>47576</v>
      </c>
      <c r="Z5043" s="61">
        <f>_xll.qlYieldTSDiscount($U$35,Y5043,,Trigger)</f>
        <v>0.82920256678166571</v>
      </c>
    </row>
    <row r="5044" spans="25:26" x14ac:dyDescent="0.25">
      <c r="Y5044" s="63">
        <v>47577</v>
      </c>
      <c r="Z5044" s="61">
        <f>_xll.qlYieldTSDiscount($U$35,Y5044,,Trigger)</f>
        <v>0.82916885712875699</v>
      </c>
    </row>
    <row r="5045" spans="25:26" x14ac:dyDescent="0.25">
      <c r="Y5045" s="63">
        <v>47578</v>
      </c>
      <c r="Z5045" s="61">
        <f>_xll.qlYieldTSDiscount($U$35,Y5045,,Trigger)</f>
        <v>0.82913514779760089</v>
      </c>
    </row>
    <row r="5046" spans="25:26" x14ac:dyDescent="0.25">
      <c r="Y5046" s="63">
        <v>47579</v>
      </c>
      <c r="Z5046" s="61">
        <f>_xll.qlYieldTSDiscount($U$35,Y5046,,Trigger)</f>
        <v>0.82910143878580389</v>
      </c>
    </row>
    <row r="5047" spans="25:26" x14ac:dyDescent="0.25">
      <c r="Y5047" s="63">
        <v>47580</v>
      </c>
      <c r="Z5047" s="61">
        <f>_xll.qlYieldTSDiscount($U$35,Y5047,,Trigger)</f>
        <v>0.82906773009097257</v>
      </c>
    </row>
    <row r="5048" spans="25:26" x14ac:dyDescent="0.25">
      <c r="Y5048" s="63">
        <v>47581</v>
      </c>
      <c r="Z5048" s="61">
        <f>_xll.qlYieldTSDiscount($U$35,Y5048,,Trigger)</f>
        <v>0.82903402171071328</v>
      </c>
    </row>
    <row r="5049" spans="25:26" x14ac:dyDescent="0.25">
      <c r="Y5049" s="63">
        <v>47582</v>
      </c>
      <c r="Z5049" s="61">
        <f>_xll.qlYieldTSDiscount($U$35,Y5049,,Trigger)</f>
        <v>0.8290003136426326</v>
      </c>
    </row>
    <row r="5050" spans="25:26" x14ac:dyDescent="0.25">
      <c r="Y5050" s="63">
        <v>47583</v>
      </c>
      <c r="Z5050" s="61">
        <f>_xll.qlYieldTSDiscount($U$35,Y5050,,Trigger)</f>
        <v>0.8289666058843369</v>
      </c>
    </row>
    <row r="5051" spans="25:26" x14ac:dyDescent="0.25">
      <c r="Y5051" s="63">
        <v>47584</v>
      </c>
      <c r="Z5051" s="61">
        <f>_xll.qlYieldTSDiscount($U$35,Y5051,,Trigger)</f>
        <v>0.82893289843343276</v>
      </c>
    </row>
    <row r="5052" spans="25:26" x14ac:dyDescent="0.25">
      <c r="Y5052" s="63">
        <v>47585</v>
      </c>
      <c r="Z5052" s="61">
        <f>_xll.qlYieldTSDiscount($U$35,Y5052,,Trigger)</f>
        <v>0.82889919128752665</v>
      </c>
    </row>
    <row r="5053" spans="25:26" x14ac:dyDescent="0.25">
      <c r="Y5053" s="63">
        <v>47586</v>
      </c>
      <c r="Z5053" s="61">
        <f>_xll.qlYieldTSDiscount($U$35,Y5053,,Trigger)</f>
        <v>0.82886548444422503</v>
      </c>
    </row>
    <row r="5054" spans="25:26" x14ac:dyDescent="0.25">
      <c r="Y5054" s="63">
        <v>47587</v>
      </c>
      <c r="Z5054" s="61">
        <f>_xll.qlYieldTSDiscount($U$35,Y5054,,Trigger)</f>
        <v>0.82883177790113427</v>
      </c>
    </row>
    <row r="5055" spans="25:26" x14ac:dyDescent="0.25">
      <c r="Y5055" s="63">
        <v>47588</v>
      </c>
      <c r="Z5055" s="61">
        <f>_xll.qlYieldTSDiscount($U$35,Y5055,,Trigger)</f>
        <v>0.82879807165586106</v>
      </c>
    </row>
    <row r="5056" spans="25:26" x14ac:dyDescent="0.25">
      <c r="Y5056" s="63">
        <v>47589</v>
      </c>
      <c r="Z5056" s="61">
        <f>_xll.qlYieldTSDiscount($U$35,Y5056,,Trigger)</f>
        <v>0.82876436570601175</v>
      </c>
    </row>
    <row r="5057" spans="25:26" x14ac:dyDescent="0.25">
      <c r="Y5057" s="63">
        <v>47590</v>
      </c>
      <c r="Z5057" s="61">
        <f>_xll.qlYieldTSDiscount($U$35,Y5057,,Trigger)</f>
        <v>0.82873066004919282</v>
      </c>
    </row>
    <row r="5058" spans="25:26" x14ac:dyDescent="0.25">
      <c r="Y5058" s="63">
        <v>47591</v>
      </c>
      <c r="Z5058" s="61">
        <f>_xll.qlYieldTSDiscount($U$35,Y5058,,Trigger)</f>
        <v>0.82869695468301086</v>
      </c>
    </row>
    <row r="5059" spans="25:26" x14ac:dyDescent="0.25">
      <c r="Y5059" s="63">
        <v>47592</v>
      </c>
      <c r="Z5059" s="61">
        <f>_xll.qlYieldTSDiscount($U$35,Y5059,,Trigger)</f>
        <v>0.82866324960507221</v>
      </c>
    </row>
    <row r="5060" spans="25:26" x14ac:dyDescent="0.25">
      <c r="Y5060" s="63">
        <v>47593</v>
      </c>
      <c r="Z5060" s="61">
        <f>_xll.qlYieldTSDiscount($U$35,Y5060,,Trigger)</f>
        <v>0.82862954481298334</v>
      </c>
    </row>
    <row r="5061" spans="25:26" x14ac:dyDescent="0.25">
      <c r="Y5061" s="63">
        <v>47594</v>
      </c>
      <c r="Z5061" s="61">
        <f>_xll.qlYieldTSDiscount($U$35,Y5061,,Trigger)</f>
        <v>0.82859584030435096</v>
      </c>
    </row>
    <row r="5062" spans="25:26" x14ac:dyDescent="0.25">
      <c r="Y5062" s="63">
        <v>47595</v>
      </c>
      <c r="Z5062" s="61">
        <f>_xll.qlYieldTSDiscount($U$35,Y5062,,Trigger)</f>
        <v>0.8285621360767812</v>
      </c>
    </row>
    <row r="5063" spans="25:26" x14ac:dyDescent="0.25">
      <c r="Y5063" s="63">
        <v>47596</v>
      </c>
      <c r="Z5063" s="61">
        <f>_xll.qlYieldTSDiscount($U$35,Y5063,,Trigger)</f>
        <v>0.82852843212788085</v>
      </c>
    </row>
    <row r="5064" spans="25:26" x14ac:dyDescent="0.25">
      <c r="Y5064" s="63">
        <v>47597</v>
      </c>
      <c r="Z5064" s="61">
        <f>_xll.qlYieldTSDiscount($U$35,Y5064,,Trigger)</f>
        <v>0.82849472845525629</v>
      </c>
    </row>
    <row r="5065" spans="25:26" x14ac:dyDescent="0.25">
      <c r="Y5065" s="63">
        <v>47598</v>
      </c>
      <c r="Z5065" s="61">
        <f>_xll.qlYieldTSDiscount($U$35,Y5065,,Trigger)</f>
        <v>0.82846102505651387</v>
      </c>
    </row>
    <row r="5066" spans="25:26" x14ac:dyDescent="0.25">
      <c r="Y5066" s="63">
        <v>47599</v>
      </c>
      <c r="Z5066" s="61">
        <f>_xll.qlYieldTSDiscount($U$35,Y5066,,Trigger)</f>
        <v>0.82842732192926027</v>
      </c>
    </row>
    <row r="5067" spans="25:26" x14ac:dyDescent="0.25">
      <c r="Y5067" s="63">
        <v>47600</v>
      </c>
      <c r="Z5067" s="61">
        <f>_xll.qlYieldTSDiscount($U$35,Y5067,,Trigger)</f>
        <v>0.82839361907110187</v>
      </c>
    </row>
    <row r="5068" spans="25:26" x14ac:dyDescent="0.25">
      <c r="Y5068" s="63">
        <v>47601</v>
      </c>
      <c r="Z5068" s="61">
        <f>_xll.qlYieldTSDiscount($U$35,Y5068,,Trigger)</f>
        <v>0.82835991647964513</v>
      </c>
    </row>
    <row r="5069" spans="25:26" x14ac:dyDescent="0.25">
      <c r="Y5069" s="63">
        <v>47602</v>
      </c>
      <c r="Z5069" s="61">
        <f>_xll.qlYieldTSDiscount($U$35,Y5069,,Trigger)</f>
        <v>0.82832621415249663</v>
      </c>
    </row>
    <row r="5070" spans="25:26" x14ac:dyDescent="0.25">
      <c r="Y5070" s="63">
        <v>47603</v>
      </c>
      <c r="Z5070" s="61">
        <f>_xll.qlYieldTSDiscount($U$35,Y5070,,Trigger)</f>
        <v>0.82829251208726273</v>
      </c>
    </row>
    <row r="5071" spans="25:26" x14ac:dyDescent="0.25">
      <c r="Y5071" s="63">
        <v>47604</v>
      </c>
      <c r="Z5071" s="61">
        <f>_xll.qlYieldTSDiscount($U$35,Y5071,,Trigger)</f>
        <v>0.82825881028155002</v>
      </c>
    </row>
    <row r="5072" spans="25:26" x14ac:dyDescent="0.25">
      <c r="Y5072" s="63">
        <v>47605</v>
      </c>
      <c r="Z5072" s="61">
        <f>_xll.qlYieldTSDiscount($U$35,Y5072,,Trigger)</f>
        <v>0.82822510873296484</v>
      </c>
    </row>
    <row r="5073" spans="25:26" x14ac:dyDescent="0.25">
      <c r="Y5073" s="63">
        <v>47606</v>
      </c>
      <c r="Z5073" s="61">
        <f>_xll.qlYieldTSDiscount($U$35,Y5073,,Trigger)</f>
        <v>0.82819140743911379</v>
      </c>
    </row>
    <row r="5074" spans="25:26" x14ac:dyDescent="0.25">
      <c r="Y5074" s="63">
        <v>47607</v>
      </c>
      <c r="Z5074" s="61">
        <f>_xll.qlYieldTSDiscount($U$35,Y5074,,Trigger)</f>
        <v>0.82815770639760333</v>
      </c>
    </row>
    <row r="5075" spans="25:26" x14ac:dyDescent="0.25">
      <c r="Y5075" s="63">
        <v>47608</v>
      </c>
      <c r="Z5075" s="61">
        <f>_xll.qlYieldTSDiscount($U$35,Y5075,,Trigger)</f>
        <v>0.82812400560603994</v>
      </c>
    </row>
    <row r="5076" spans="25:26" x14ac:dyDescent="0.25">
      <c r="Y5076" s="63">
        <v>47609</v>
      </c>
      <c r="Z5076" s="61">
        <f>_xll.qlYieldTSDiscount($U$35,Y5076,,Trigger)</f>
        <v>0.82809030506203007</v>
      </c>
    </row>
    <row r="5077" spans="25:26" x14ac:dyDescent="0.25">
      <c r="Y5077" s="63">
        <v>47610</v>
      </c>
      <c r="Z5077" s="61">
        <f>_xll.qlYieldTSDiscount($U$35,Y5077,,Trigger)</f>
        <v>0.82805660476318022</v>
      </c>
    </row>
    <row r="5078" spans="25:26" x14ac:dyDescent="0.25">
      <c r="Y5078" s="63">
        <v>47611</v>
      </c>
      <c r="Z5078" s="61">
        <f>_xll.qlYieldTSDiscount($U$35,Y5078,,Trigger)</f>
        <v>0.82802290470709694</v>
      </c>
    </row>
    <row r="5079" spans="25:26" x14ac:dyDescent="0.25">
      <c r="Y5079" s="63">
        <v>47612</v>
      </c>
      <c r="Z5079" s="61">
        <f>_xll.qlYieldTSDiscount($U$35,Y5079,,Trigger)</f>
        <v>0.8279892048913865</v>
      </c>
    </row>
    <row r="5080" spans="25:26" x14ac:dyDescent="0.25">
      <c r="Y5080" s="63">
        <v>47613</v>
      </c>
      <c r="Z5080" s="61">
        <f>_xll.qlYieldTSDiscount($U$35,Y5080,,Trigger)</f>
        <v>0.82795550531365569</v>
      </c>
    </row>
    <row r="5081" spans="25:26" x14ac:dyDescent="0.25">
      <c r="Y5081" s="63">
        <v>47614</v>
      </c>
      <c r="Z5081" s="61">
        <f>_xll.qlYieldTSDiscount($U$35,Y5081,,Trigger)</f>
        <v>0.82792180597151066</v>
      </c>
    </row>
    <row r="5082" spans="25:26" x14ac:dyDescent="0.25">
      <c r="Y5082" s="63">
        <v>47615</v>
      </c>
      <c r="Z5082" s="61">
        <f>_xll.qlYieldTSDiscount($U$35,Y5082,,Trigger)</f>
        <v>0.82788810686255809</v>
      </c>
    </row>
    <row r="5083" spans="25:26" x14ac:dyDescent="0.25">
      <c r="Y5083" s="63">
        <v>47616</v>
      </c>
      <c r="Z5083" s="61">
        <f>_xll.qlYieldTSDiscount($U$35,Y5083,,Trigger)</f>
        <v>0.82785440798440446</v>
      </c>
    </row>
    <row r="5084" spans="25:26" x14ac:dyDescent="0.25">
      <c r="Y5084" s="63">
        <v>47617</v>
      </c>
      <c r="Z5084" s="61">
        <f>_xll.qlYieldTSDiscount($U$35,Y5084,,Trigger)</f>
        <v>0.82782070933465624</v>
      </c>
    </row>
    <row r="5085" spans="25:26" x14ac:dyDescent="0.25">
      <c r="Y5085" s="63">
        <v>47618</v>
      </c>
      <c r="Z5085" s="61">
        <f>_xll.qlYieldTSDiscount($U$35,Y5085,,Trigger)</f>
        <v>0.82778701091091988</v>
      </c>
    </row>
    <row r="5086" spans="25:26" x14ac:dyDescent="0.25">
      <c r="Y5086" s="63">
        <v>47619</v>
      </c>
      <c r="Z5086" s="61">
        <f>_xll.qlYieldTSDiscount($U$35,Y5086,,Trigger)</f>
        <v>0.82775331271080177</v>
      </c>
    </row>
    <row r="5087" spans="25:26" x14ac:dyDescent="0.25">
      <c r="Y5087" s="63">
        <v>47620</v>
      </c>
      <c r="Z5087" s="61">
        <f>_xll.qlYieldTSDiscount($U$35,Y5087,,Trigger)</f>
        <v>0.82771961473190858</v>
      </c>
    </row>
    <row r="5088" spans="25:26" x14ac:dyDescent="0.25">
      <c r="Y5088" s="63">
        <v>47621</v>
      </c>
      <c r="Z5088" s="61">
        <f>_xll.qlYieldTSDiscount($U$35,Y5088,,Trigger)</f>
        <v>0.82768591697184668</v>
      </c>
    </row>
    <row r="5089" spans="25:26" x14ac:dyDescent="0.25">
      <c r="Y5089" s="63">
        <v>47622</v>
      </c>
      <c r="Z5089" s="61">
        <f>_xll.qlYieldTSDiscount($U$35,Y5089,,Trigger)</f>
        <v>0.82765221942822254</v>
      </c>
    </row>
    <row r="5090" spans="25:26" x14ac:dyDescent="0.25">
      <c r="Y5090" s="63">
        <v>47623</v>
      </c>
      <c r="Z5090" s="61">
        <f>_xll.qlYieldTSDiscount($U$35,Y5090,,Trigger)</f>
        <v>0.82761852209864273</v>
      </c>
    </row>
    <row r="5091" spans="25:26" x14ac:dyDescent="0.25">
      <c r="Y5091" s="63">
        <v>47624</v>
      </c>
      <c r="Z5091" s="61">
        <f>_xll.qlYieldTSDiscount($U$35,Y5091,,Trigger)</f>
        <v>0.82758482498071362</v>
      </c>
    </row>
    <row r="5092" spans="25:26" x14ac:dyDescent="0.25">
      <c r="Y5092" s="63">
        <v>47625</v>
      </c>
      <c r="Z5092" s="61">
        <f>_xll.qlYieldTSDiscount($U$35,Y5092,,Trigger)</f>
        <v>0.82755112807204168</v>
      </c>
    </row>
    <row r="5093" spans="25:26" x14ac:dyDescent="0.25">
      <c r="Y5093" s="63">
        <v>47626</v>
      </c>
      <c r="Z5093" s="61">
        <f>_xll.qlYieldTSDiscount($U$35,Y5093,,Trigger)</f>
        <v>0.82751743137023359</v>
      </c>
    </row>
    <row r="5094" spans="25:26" x14ac:dyDescent="0.25">
      <c r="Y5094" s="63">
        <v>47627</v>
      </c>
      <c r="Z5094" s="61">
        <f>_xll.qlYieldTSDiscount($U$35,Y5094,,Trigger)</f>
        <v>0.8274837348728955</v>
      </c>
    </row>
    <row r="5095" spans="25:26" x14ac:dyDescent="0.25">
      <c r="Y5095" s="63">
        <v>47628</v>
      </c>
      <c r="Z5095" s="61">
        <f>_xll.qlYieldTSDiscount($U$35,Y5095,,Trigger)</f>
        <v>0.82745003857763422</v>
      </c>
    </row>
    <row r="5096" spans="25:26" x14ac:dyDescent="0.25">
      <c r="Y5096" s="63">
        <v>47629</v>
      </c>
      <c r="Z5096" s="61">
        <f>_xll.qlYieldTSDiscount($U$35,Y5096,,Trigger)</f>
        <v>0.82741634248205609</v>
      </c>
    </row>
    <row r="5097" spans="25:26" x14ac:dyDescent="0.25">
      <c r="Y5097" s="63">
        <v>47630</v>
      </c>
      <c r="Z5097" s="61">
        <f>_xll.qlYieldTSDiscount($U$35,Y5097,,Trigger)</f>
        <v>0.82738264658376748</v>
      </c>
    </row>
    <row r="5098" spans="25:26" x14ac:dyDescent="0.25">
      <c r="Y5098" s="63">
        <v>47631</v>
      </c>
      <c r="Z5098" s="61">
        <f>_xll.qlYieldTSDiscount($U$35,Y5098,,Trigger)</f>
        <v>0.82734895088037508</v>
      </c>
    </row>
    <row r="5099" spans="25:26" x14ac:dyDescent="0.25">
      <c r="Y5099" s="63">
        <v>47632</v>
      </c>
      <c r="Z5099" s="61">
        <f>_xll.qlYieldTSDiscount($U$35,Y5099,,Trigger)</f>
        <v>0.82731525536948525</v>
      </c>
    </row>
    <row r="5100" spans="25:26" x14ac:dyDescent="0.25">
      <c r="Y5100" s="63">
        <v>47633</v>
      </c>
      <c r="Z5100" s="61">
        <f>_xll.qlYieldTSDiscount($U$35,Y5100,,Trigger)</f>
        <v>0.82728156004870457</v>
      </c>
    </row>
    <row r="5101" spans="25:26" x14ac:dyDescent="0.25">
      <c r="Y5101" s="63">
        <v>47634</v>
      </c>
      <c r="Z5101" s="61">
        <f>_xll.qlYieldTSDiscount($U$35,Y5101,,Trigger)</f>
        <v>0.82724786491563929</v>
      </c>
    </row>
    <row r="5102" spans="25:26" x14ac:dyDescent="0.25">
      <c r="Y5102" s="63">
        <v>47635</v>
      </c>
      <c r="Z5102" s="61">
        <f>_xll.qlYieldTSDiscount($U$35,Y5102,,Trigger)</f>
        <v>0.82721416996789621</v>
      </c>
    </row>
    <row r="5103" spans="25:26" x14ac:dyDescent="0.25">
      <c r="Y5103" s="63">
        <v>47636</v>
      </c>
      <c r="Z5103" s="61">
        <f>_xll.qlYieldTSDiscount($U$35,Y5103,,Trigger)</f>
        <v>0.82718047520308147</v>
      </c>
    </row>
    <row r="5104" spans="25:26" x14ac:dyDescent="0.25">
      <c r="Y5104" s="63">
        <v>47637</v>
      </c>
      <c r="Z5104" s="61">
        <f>_xll.qlYieldTSDiscount($U$35,Y5104,,Trigger)</f>
        <v>0.82714678061880187</v>
      </c>
    </row>
    <row r="5105" spans="25:26" x14ac:dyDescent="0.25">
      <c r="Y5105" s="63">
        <v>47638</v>
      </c>
      <c r="Z5105" s="61">
        <f>_xll.qlYieldTSDiscount($U$35,Y5105,,Trigger)</f>
        <v>0.82711308621266366</v>
      </c>
    </row>
    <row r="5106" spans="25:26" x14ac:dyDescent="0.25">
      <c r="Y5106" s="63">
        <v>47639</v>
      </c>
      <c r="Z5106" s="61">
        <f>_xll.qlYieldTSDiscount($U$35,Y5106,,Trigger)</f>
        <v>0.82707939198227343</v>
      </c>
    </row>
    <row r="5107" spans="25:26" x14ac:dyDescent="0.25">
      <c r="Y5107" s="63">
        <v>47640</v>
      </c>
      <c r="Z5107" s="61">
        <f>_xll.qlYieldTSDiscount($U$35,Y5107,,Trigger)</f>
        <v>0.82704569792523763</v>
      </c>
    </row>
    <row r="5108" spans="25:26" x14ac:dyDescent="0.25">
      <c r="Y5108" s="63">
        <v>47641</v>
      </c>
      <c r="Z5108" s="61">
        <f>_xll.qlYieldTSDiscount($U$35,Y5108,,Trigger)</f>
        <v>0.82701200403916286</v>
      </c>
    </row>
    <row r="5109" spans="25:26" x14ac:dyDescent="0.25">
      <c r="Y5109" s="63">
        <v>47642</v>
      </c>
      <c r="Z5109" s="61">
        <f>_xll.qlYieldTSDiscount($U$35,Y5109,,Trigger)</f>
        <v>0.82697831032165536</v>
      </c>
    </row>
    <row r="5110" spans="25:26" x14ac:dyDescent="0.25">
      <c r="Y5110" s="63">
        <v>47643</v>
      </c>
      <c r="Z5110" s="61">
        <f>_xll.qlYieldTSDiscount($U$35,Y5110,,Trigger)</f>
        <v>0.82694461677032172</v>
      </c>
    </row>
    <row r="5111" spans="25:26" x14ac:dyDescent="0.25">
      <c r="Y5111" s="63">
        <v>47644</v>
      </c>
      <c r="Z5111" s="61">
        <f>_xll.qlYieldTSDiscount($U$35,Y5111,,Trigger)</f>
        <v>0.8269109233827685</v>
      </c>
    </row>
    <row r="5112" spans="25:26" x14ac:dyDescent="0.25">
      <c r="Y5112" s="63">
        <v>47645</v>
      </c>
      <c r="Z5112" s="61">
        <f>_xll.qlYieldTSDiscount($U$35,Y5112,,Trigger)</f>
        <v>0.82687723015660219</v>
      </c>
    </row>
    <row r="5113" spans="25:26" x14ac:dyDescent="0.25">
      <c r="Y5113" s="63">
        <v>47646</v>
      </c>
      <c r="Z5113" s="61">
        <f>_xll.qlYieldTSDiscount($U$35,Y5113,,Trigger)</f>
        <v>0.82684353708942904</v>
      </c>
    </row>
    <row r="5114" spans="25:26" x14ac:dyDescent="0.25">
      <c r="Y5114" s="63">
        <v>47647</v>
      </c>
      <c r="Z5114" s="61">
        <f>_xll.qlYieldTSDiscount($U$35,Y5114,,Trigger)</f>
        <v>0.82680984417885584</v>
      </c>
    </row>
    <row r="5115" spans="25:26" x14ac:dyDescent="0.25">
      <c r="Y5115" s="63">
        <v>47648</v>
      </c>
      <c r="Z5115" s="61">
        <f>_xll.qlYieldTSDiscount($U$35,Y5115,,Trigger)</f>
        <v>0.82677615142248884</v>
      </c>
    </row>
    <row r="5116" spans="25:26" x14ac:dyDescent="0.25">
      <c r="Y5116" s="63">
        <v>47649</v>
      </c>
      <c r="Z5116" s="61">
        <f>_xll.qlYieldTSDiscount($U$35,Y5116,,Trigger)</f>
        <v>0.82674245881793462</v>
      </c>
    </row>
    <row r="5117" spans="25:26" x14ac:dyDescent="0.25">
      <c r="Y5117" s="63">
        <v>47650</v>
      </c>
      <c r="Z5117" s="61">
        <f>_xll.qlYieldTSDiscount($U$35,Y5117,,Trigger)</f>
        <v>0.82670876636279966</v>
      </c>
    </row>
    <row r="5118" spans="25:26" x14ac:dyDescent="0.25">
      <c r="Y5118" s="63">
        <v>47651</v>
      </c>
      <c r="Z5118" s="61">
        <f>_xll.qlYieldTSDiscount($U$35,Y5118,,Trigger)</f>
        <v>0.82667507405469043</v>
      </c>
    </row>
    <row r="5119" spans="25:26" x14ac:dyDescent="0.25">
      <c r="Y5119" s="63">
        <v>47652</v>
      </c>
      <c r="Z5119" s="61">
        <f>_xll.qlYieldTSDiscount($U$35,Y5119,,Trigger)</f>
        <v>0.82664138189121339</v>
      </c>
    </row>
    <row r="5120" spans="25:26" x14ac:dyDescent="0.25">
      <c r="Y5120" s="63">
        <v>47653</v>
      </c>
      <c r="Z5120" s="61">
        <f>_xll.qlYieldTSDiscount($U$35,Y5120,,Trigger)</f>
        <v>0.82660768986997502</v>
      </c>
    </row>
    <row r="5121" spans="25:26" x14ac:dyDescent="0.25">
      <c r="Y5121" s="63">
        <v>47654</v>
      </c>
      <c r="Z5121" s="61">
        <f>_xll.qlYieldTSDiscount($U$35,Y5121,,Trigger)</f>
        <v>0.82657399798858178</v>
      </c>
    </row>
    <row r="5122" spans="25:26" x14ac:dyDescent="0.25">
      <c r="Y5122" s="63">
        <v>47655</v>
      </c>
      <c r="Z5122" s="61">
        <f>_xll.qlYieldTSDiscount($U$35,Y5122,,Trigger)</f>
        <v>0.82654030624464025</v>
      </c>
    </row>
    <row r="5123" spans="25:26" x14ac:dyDescent="0.25">
      <c r="Y5123" s="63">
        <v>47656</v>
      </c>
      <c r="Z5123" s="61">
        <f>_xll.qlYieldTSDiscount($U$35,Y5123,,Trigger)</f>
        <v>0.82650661463575681</v>
      </c>
    </row>
    <row r="5124" spans="25:26" x14ac:dyDescent="0.25">
      <c r="Y5124" s="63">
        <v>47657</v>
      </c>
      <c r="Z5124" s="61">
        <f>_xll.qlYieldTSDiscount($U$35,Y5124,,Trigger)</f>
        <v>0.82647292315953802</v>
      </c>
    </row>
    <row r="5125" spans="25:26" x14ac:dyDescent="0.25">
      <c r="Y5125" s="63">
        <v>47658</v>
      </c>
      <c r="Z5125" s="61">
        <f>_xll.qlYieldTSDiscount($U$35,Y5125,,Trigger)</f>
        <v>0.82643923181359036</v>
      </c>
    </row>
    <row r="5126" spans="25:26" x14ac:dyDescent="0.25">
      <c r="Y5126" s="63">
        <v>47659</v>
      </c>
      <c r="Z5126" s="61">
        <f>_xll.qlYieldTSDiscount($U$35,Y5126,,Trigger)</f>
        <v>0.82640554059552018</v>
      </c>
    </row>
    <row r="5127" spans="25:26" x14ac:dyDescent="0.25">
      <c r="Y5127" s="63">
        <v>47660</v>
      </c>
      <c r="Z5127" s="61">
        <f>_xll.qlYieldTSDiscount($U$35,Y5127,,Trigger)</f>
        <v>0.82637184950293407</v>
      </c>
    </row>
    <row r="5128" spans="25:26" x14ac:dyDescent="0.25">
      <c r="Y5128" s="63">
        <v>47661</v>
      </c>
      <c r="Z5128" s="61">
        <f>_xll.qlYieldTSDiscount($U$35,Y5128,,Trigger)</f>
        <v>0.8263381585334385</v>
      </c>
    </row>
    <row r="5129" spans="25:26" x14ac:dyDescent="0.25">
      <c r="Y5129" s="63">
        <v>47662</v>
      </c>
      <c r="Z5129" s="61">
        <f>_xll.qlYieldTSDiscount($U$35,Y5129,,Trigger)</f>
        <v>0.82630446768463994</v>
      </c>
    </row>
    <row r="5130" spans="25:26" x14ac:dyDescent="0.25">
      <c r="Y5130" s="63">
        <v>47663</v>
      </c>
      <c r="Z5130" s="61">
        <f>_xll.qlYieldTSDiscount($U$35,Y5130,,Trigger)</f>
        <v>0.82627077695414486</v>
      </c>
    </row>
    <row r="5131" spans="25:26" x14ac:dyDescent="0.25">
      <c r="Y5131" s="63">
        <v>47664</v>
      </c>
      <c r="Z5131" s="61">
        <f>_xll.qlYieldTSDiscount($U$35,Y5131,,Trigger)</f>
        <v>0.82623708633955972</v>
      </c>
    </row>
    <row r="5132" spans="25:26" x14ac:dyDescent="0.25">
      <c r="Y5132" s="63">
        <v>47665</v>
      </c>
      <c r="Z5132" s="61">
        <f>_xll.qlYieldTSDiscount($U$35,Y5132,,Trigger)</f>
        <v>0.82620339583849112</v>
      </c>
    </row>
    <row r="5133" spans="25:26" x14ac:dyDescent="0.25">
      <c r="Y5133" s="63">
        <v>47666</v>
      </c>
      <c r="Z5133" s="61">
        <f>_xll.qlYieldTSDiscount($U$35,Y5133,,Trigger)</f>
        <v>0.8261697054485454</v>
      </c>
    </row>
    <row r="5134" spans="25:26" x14ac:dyDescent="0.25">
      <c r="Y5134" s="63">
        <v>47667</v>
      </c>
      <c r="Z5134" s="61">
        <f>_xll.qlYieldTSDiscount($U$35,Y5134,,Trigger)</f>
        <v>0.82613601516732915</v>
      </c>
    </row>
    <row r="5135" spans="25:26" x14ac:dyDescent="0.25">
      <c r="Y5135" s="63">
        <v>47668</v>
      </c>
      <c r="Z5135" s="61">
        <f>_xll.qlYieldTSDiscount($U$35,Y5135,,Trigger)</f>
        <v>0.82610232499244873</v>
      </c>
    </row>
    <row r="5136" spans="25:26" x14ac:dyDescent="0.25">
      <c r="Y5136" s="63">
        <v>47669</v>
      </c>
      <c r="Z5136" s="61">
        <f>_xll.qlYieldTSDiscount($U$35,Y5136,,Trigger)</f>
        <v>0.82606863492151072</v>
      </c>
    </row>
    <row r="5137" spans="25:26" x14ac:dyDescent="0.25">
      <c r="Y5137" s="63">
        <v>47670</v>
      </c>
      <c r="Z5137" s="61">
        <f>_xll.qlYieldTSDiscount($U$35,Y5137,,Trigger)</f>
        <v>0.82603494495212149</v>
      </c>
    </row>
    <row r="5138" spans="25:26" x14ac:dyDescent="0.25">
      <c r="Y5138" s="63">
        <v>47671</v>
      </c>
      <c r="Z5138" s="61">
        <f>_xll.qlYieldTSDiscount($U$35,Y5138,,Trigger)</f>
        <v>0.82600125508188771</v>
      </c>
    </row>
    <row r="5139" spans="25:26" x14ac:dyDescent="0.25">
      <c r="Y5139" s="63">
        <v>47672</v>
      </c>
      <c r="Z5139" s="61">
        <f>_xll.qlYieldTSDiscount($U$35,Y5139,,Trigger)</f>
        <v>0.82596756530841564</v>
      </c>
    </row>
    <row r="5140" spans="25:26" x14ac:dyDescent="0.25">
      <c r="Y5140" s="63">
        <v>47673</v>
      </c>
      <c r="Z5140" s="61">
        <f>_xll.qlYieldTSDiscount($U$35,Y5140,,Trigger)</f>
        <v>0.82593387562931198</v>
      </c>
    </row>
    <row r="5141" spans="25:26" x14ac:dyDescent="0.25">
      <c r="Y5141" s="63">
        <v>47674</v>
      </c>
      <c r="Z5141" s="61">
        <f>_xll.qlYieldTSDiscount($U$35,Y5141,,Trigger)</f>
        <v>0.82590018604218307</v>
      </c>
    </row>
    <row r="5142" spans="25:26" x14ac:dyDescent="0.25">
      <c r="Y5142" s="63">
        <v>47675</v>
      </c>
      <c r="Z5142" s="61">
        <f>_xll.qlYieldTSDiscount($U$35,Y5142,,Trigger)</f>
        <v>0.8258664965446354</v>
      </c>
    </row>
    <row r="5143" spans="25:26" x14ac:dyDescent="0.25">
      <c r="Y5143" s="63">
        <v>47676</v>
      </c>
      <c r="Z5143" s="61">
        <f>_xll.qlYieldTSDiscount($U$35,Y5143,,Trigger)</f>
        <v>0.82583280713427543</v>
      </c>
    </row>
    <row r="5144" spans="25:26" x14ac:dyDescent="0.25">
      <c r="Y5144" s="63">
        <v>47677</v>
      </c>
      <c r="Z5144" s="61">
        <f>_xll.qlYieldTSDiscount($U$35,Y5144,,Trigger)</f>
        <v>0.82579911780870963</v>
      </c>
    </row>
    <row r="5145" spans="25:26" x14ac:dyDescent="0.25">
      <c r="Y5145" s="63">
        <v>47678</v>
      </c>
      <c r="Z5145" s="61">
        <f>_xll.qlYieldTSDiscount($U$35,Y5145,,Trigger)</f>
        <v>0.82576542856554469</v>
      </c>
    </row>
    <row r="5146" spans="25:26" x14ac:dyDescent="0.25">
      <c r="Y5146" s="63">
        <v>47679</v>
      </c>
      <c r="Z5146" s="61">
        <f>_xll.qlYieldTSDiscount($U$35,Y5146,,Trigger)</f>
        <v>0.82573173940238687</v>
      </c>
    </row>
    <row r="5147" spans="25:26" x14ac:dyDescent="0.25">
      <c r="Y5147" s="63">
        <v>47680</v>
      </c>
      <c r="Z5147" s="61">
        <f>_xll.qlYieldTSDiscount($U$35,Y5147,,Trigger)</f>
        <v>0.82569805031684262</v>
      </c>
    </row>
    <row r="5148" spans="25:26" x14ac:dyDescent="0.25">
      <c r="Y5148" s="63">
        <v>47681</v>
      </c>
      <c r="Z5148" s="61">
        <f>_xll.qlYieldTSDiscount($U$35,Y5148,,Trigger)</f>
        <v>0.82566436130651866</v>
      </c>
    </row>
    <row r="5149" spans="25:26" x14ac:dyDescent="0.25">
      <c r="Y5149" s="63">
        <v>47682</v>
      </c>
      <c r="Z5149" s="61">
        <f>_xll.qlYieldTSDiscount($U$35,Y5149,,Trigger)</f>
        <v>0.82563067236902121</v>
      </c>
    </row>
    <row r="5150" spans="25:26" x14ac:dyDescent="0.25">
      <c r="Y5150" s="63">
        <v>47683</v>
      </c>
      <c r="Z5150" s="61">
        <f>_xll.qlYieldTSDiscount($U$35,Y5150,,Trigger)</f>
        <v>0.82559698350195698</v>
      </c>
    </row>
    <row r="5151" spans="25:26" x14ac:dyDescent="0.25">
      <c r="Y5151" s="63">
        <v>47684</v>
      </c>
      <c r="Z5151" s="61">
        <f>_xll.qlYieldTSDiscount($U$35,Y5151,,Trigger)</f>
        <v>0.82556329470293222</v>
      </c>
    </row>
    <row r="5152" spans="25:26" x14ac:dyDescent="0.25">
      <c r="Y5152" s="63">
        <v>47685</v>
      </c>
      <c r="Z5152" s="61">
        <f>_xll.qlYieldTSDiscount($U$35,Y5152,,Trigger)</f>
        <v>0.8255296059695536</v>
      </c>
    </row>
    <row r="5153" spans="25:26" x14ac:dyDescent="0.25">
      <c r="Y5153" s="63">
        <v>47686</v>
      </c>
      <c r="Z5153" s="61">
        <f>_xll.qlYieldTSDiscount($U$35,Y5153,,Trigger)</f>
        <v>0.82549591729942751</v>
      </c>
    </row>
    <row r="5154" spans="25:26" x14ac:dyDescent="0.25">
      <c r="Y5154" s="63">
        <v>47687</v>
      </c>
      <c r="Z5154" s="61">
        <f>_xll.qlYieldTSDiscount($U$35,Y5154,,Trigger)</f>
        <v>0.82546222869016039</v>
      </c>
    </row>
    <row r="5155" spans="25:26" x14ac:dyDescent="0.25">
      <c r="Y5155" s="63">
        <v>47688</v>
      </c>
      <c r="Z5155" s="61">
        <f>_xll.qlYieldTSDiscount($U$35,Y5155,,Trigger)</f>
        <v>0.82542854013935885</v>
      </c>
    </row>
    <row r="5156" spans="25:26" x14ac:dyDescent="0.25">
      <c r="Y5156" s="63">
        <v>47689</v>
      </c>
      <c r="Z5156" s="61">
        <f>_xll.qlYieldTSDiscount($U$35,Y5156,,Trigger)</f>
        <v>0.82539485164462922</v>
      </c>
    </row>
    <row r="5157" spans="25:26" x14ac:dyDescent="0.25">
      <c r="Y5157" s="63">
        <v>47690</v>
      </c>
      <c r="Z5157" s="61">
        <f>_xll.qlYieldTSDiscount($U$35,Y5157,,Trigger)</f>
        <v>0.82536116320357811</v>
      </c>
    </row>
    <row r="5158" spans="25:26" x14ac:dyDescent="0.25">
      <c r="Y5158" s="63">
        <v>47691</v>
      </c>
      <c r="Z5158" s="61">
        <f>_xll.qlYieldTSDiscount($U$35,Y5158,,Trigger)</f>
        <v>0.82532747481381197</v>
      </c>
    </row>
    <row r="5159" spans="25:26" x14ac:dyDescent="0.25">
      <c r="Y5159" s="63">
        <v>47692</v>
      </c>
      <c r="Z5159" s="61">
        <f>_xll.qlYieldTSDiscount($U$35,Y5159,,Trigger)</f>
        <v>0.82529378647293716</v>
      </c>
    </row>
    <row r="5160" spans="25:26" x14ac:dyDescent="0.25">
      <c r="Y5160" s="63">
        <v>47693</v>
      </c>
      <c r="Z5160" s="61">
        <f>_xll.qlYieldTSDiscount($U$35,Y5160,,Trigger)</f>
        <v>0.82526009817856039</v>
      </c>
    </row>
    <row r="5161" spans="25:26" x14ac:dyDescent="0.25">
      <c r="Y5161" s="63">
        <v>47694</v>
      </c>
      <c r="Z5161" s="61">
        <f>_xll.qlYieldTSDiscount($U$35,Y5161,,Trigger)</f>
        <v>0.82522640992828789</v>
      </c>
    </row>
    <row r="5162" spans="25:26" x14ac:dyDescent="0.25">
      <c r="Y5162" s="63">
        <v>47695</v>
      </c>
      <c r="Z5162" s="61">
        <f>_xll.qlYieldTSDiscount($U$35,Y5162,,Trigger)</f>
        <v>0.82519272171972635</v>
      </c>
    </row>
    <row r="5163" spans="25:26" x14ac:dyDescent="0.25">
      <c r="Y5163" s="63">
        <v>47696</v>
      </c>
      <c r="Z5163" s="61">
        <f>_xll.qlYieldTSDiscount($U$35,Y5163,,Trigger)</f>
        <v>0.82515903355048215</v>
      </c>
    </row>
    <row r="5164" spans="25:26" x14ac:dyDescent="0.25">
      <c r="Y5164" s="63">
        <v>47697</v>
      </c>
      <c r="Z5164" s="61">
        <f>_xll.qlYieldTSDiscount($U$35,Y5164,,Trigger)</f>
        <v>0.82512534541816174</v>
      </c>
    </row>
    <row r="5165" spans="25:26" x14ac:dyDescent="0.25">
      <c r="Y5165" s="63">
        <v>47698</v>
      </c>
      <c r="Z5165" s="61">
        <f>_xll.qlYieldTSDiscount($U$35,Y5165,,Trigger)</f>
        <v>0.82509165732037171</v>
      </c>
    </row>
    <row r="5166" spans="25:26" x14ac:dyDescent="0.25">
      <c r="Y5166" s="63">
        <v>47699</v>
      </c>
      <c r="Z5166" s="61">
        <f>_xll.qlYieldTSDiscount($U$35,Y5166,,Trigger)</f>
        <v>0.82505796925471842</v>
      </c>
    </row>
    <row r="5167" spans="25:26" x14ac:dyDescent="0.25">
      <c r="Y5167" s="63">
        <v>47700</v>
      </c>
      <c r="Z5167" s="61">
        <f>_xll.qlYieldTSDiscount($U$35,Y5167,,Trigger)</f>
        <v>0.82502428121880844</v>
      </c>
    </row>
    <row r="5168" spans="25:26" x14ac:dyDescent="0.25">
      <c r="Y5168" s="63">
        <v>47701</v>
      </c>
      <c r="Z5168" s="61">
        <f>_xll.qlYieldTSDiscount($U$35,Y5168,,Trigger)</f>
        <v>0.82499059321024826</v>
      </c>
    </row>
    <row r="5169" spans="25:26" x14ac:dyDescent="0.25">
      <c r="Y5169" s="63">
        <v>47702</v>
      </c>
      <c r="Z5169" s="61">
        <f>_xll.qlYieldTSDiscount($U$35,Y5169,,Trigger)</f>
        <v>0.82495690522664422</v>
      </c>
    </row>
    <row r="5170" spans="25:26" x14ac:dyDescent="0.25">
      <c r="Y5170" s="63">
        <v>47703</v>
      </c>
      <c r="Z5170" s="61">
        <f>_xll.qlYieldTSDiscount($U$35,Y5170,,Trigger)</f>
        <v>0.82492321726560291</v>
      </c>
    </row>
    <row r="5171" spans="25:26" x14ac:dyDescent="0.25">
      <c r="Y5171" s="63">
        <v>47704</v>
      </c>
      <c r="Z5171" s="61">
        <f>_xll.qlYieldTSDiscount($U$35,Y5171,,Trigger)</f>
        <v>0.82488952932473081</v>
      </c>
    </row>
    <row r="5172" spans="25:26" x14ac:dyDescent="0.25">
      <c r="Y5172" s="63">
        <v>47705</v>
      </c>
      <c r="Z5172" s="61">
        <f>_xll.qlYieldTSDiscount($U$35,Y5172,,Trigger)</f>
        <v>0.82485584140163437</v>
      </c>
    </row>
    <row r="5173" spans="25:26" x14ac:dyDescent="0.25">
      <c r="Y5173" s="63">
        <v>47706</v>
      </c>
      <c r="Z5173" s="61">
        <f>_xll.qlYieldTSDiscount($U$35,Y5173,,Trigger)</f>
        <v>0.82482215349392018</v>
      </c>
    </row>
    <row r="5174" spans="25:26" x14ac:dyDescent="0.25">
      <c r="Y5174" s="63">
        <v>47707</v>
      </c>
      <c r="Z5174" s="61">
        <f>_xll.qlYieldTSDiscount($U$35,Y5174,,Trigger)</f>
        <v>0.82478846559919461</v>
      </c>
    </row>
    <row r="5175" spans="25:26" x14ac:dyDescent="0.25">
      <c r="Y5175" s="63">
        <v>47708</v>
      </c>
      <c r="Z5175" s="61">
        <f>_xll.qlYieldTSDiscount($U$35,Y5175,,Trigger)</f>
        <v>0.824754777715064</v>
      </c>
    </row>
    <row r="5176" spans="25:26" x14ac:dyDescent="0.25">
      <c r="Y5176" s="63">
        <v>47709</v>
      </c>
      <c r="Z5176" s="61">
        <f>_xll.qlYieldTSDiscount($U$35,Y5176,,Trigger)</f>
        <v>0.82472108983913517</v>
      </c>
    </row>
    <row r="5177" spans="25:26" x14ac:dyDescent="0.25">
      <c r="Y5177" s="63">
        <v>47710</v>
      </c>
      <c r="Z5177" s="61">
        <f>_xll.qlYieldTSDiscount($U$35,Y5177,,Trigger)</f>
        <v>0.82468740196901436</v>
      </c>
    </row>
    <row r="5178" spans="25:26" x14ac:dyDescent="0.25">
      <c r="Y5178" s="63">
        <v>47711</v>
      </c>
      <c r="Z5178" s="61">
        <f>_xll.qlYieldTSDiscount($U$35,Y5178,,Trigger)</f>
        <v>0.82465371410230803</v>
      </c>
    </row>
    <row r="5179" spans="25:26" x14ac:dyDescent="0.25">
      <c r="Y5179" s="63">
        <v>47712</v>
      </c>
      <c r="Z5179" s="61">
        <f>_xll.qlYieldTSDiscount($U$35,Y5179,,Trigger)</f>
        <v>0.82462002623662289</v>
      </c>
    </row>
    <row r="5180" spans="25:26" x14ac:dyDescent="0.25">
      <c r="Y5180" s="63">
        <v>47713</v>
      </c>
      <c r="Z5180" s="61">
        <f>_xll.qlYieldTSDiscount($U$35,Y5180,,Trigger)</f>
        <v>0.82458633836956519</v>
      </c>
    </row>
    <row r="5181" spans="25:26" x14ac:dyDescent="0.25">
      <c r="Y5181" s="63">
        <v>47714</v>
      </c>
      <c r="Z5181" s="61">
        <f>_xll.qlYieldTSDiscount($U$35,Y5181,,Trigger)</f>
        <v>0.82455265049874149</v>
      </c>
    </row>
    <row r="5182" spans="25:26" x14ac:dyDescent="0.25">
      <c r="Y5182" s="63">
        <v>47715</v>
      </c>
      <c r="Z5182" s="61">
        <f>_xll.qlYieldTSDiscount($U$35,Y5182,,Trigger)</f>
        <v>0.82451896262175828</v>
      </c>
    </row>
    <row r="5183" spans="25:26" x14ac:dyDescent="0.25">
      <c r="Y5183" s="63">
        <v>47716</v>
      </c>
      <c r="Z5183" s="61">
        <f>_xll.qlYieldTSDiscount($U$35,Y5183,,Trigger)</f>
        <v>0.82448527473622202</v>
      </c>
    </row>
    <row r="5184" spans="25:26" x14ac:dyDescent="0.25">
      <c r="Y5184" s="63">
        <v>47717</v>
      </c>
      <c r="Z5184" s="61">
        <f>_xll.qlYieldTSDiscount($U$35,Y5184,,Trigger)</f>
        <v>0.82445158683973929</v>
      </c>
    </row>
    <row r="5185" spans="25:26" x14ac:dyDescent="0.25">
      <c r="Y5185" s="63">
        <v>47718</v>
      </c>
      <c r="Z5185" s="61">
        <f>_xll.qlYieldTSDiscount($U$35,Y5185,,Trigger)</f>
        <v>0.82441789892991635</v>
      </c>
    </row>
    <row r="5186" spans="25:26" x14ac:dyDescent="0.25">
      <c r="Y5186" s="63">
        <v>47719</v>
      </c>
      <c r="Z5186" s="61">
        <f>_xll.qlYieldTSDiscount($U$35,Y5186,,Trigger)</f>
        <v>0.82438421100435999</v>
      </c>
    </row>
    <row r="5187" spans="25:26" x14ac:dyDescent="0.25">
      <c r="Y5187" s="63">
        <v>47720</v>
      </c>
      <c r="Z5187" s="61">
        <f>_xll.qlYieldTSDiscount($U$35,Y5187,,Trigger)</f>
        <v>0.82435052306067635</v>
      </c>
    </row>
    <row r="5188" spans="25:26" x14ac:dyDescent="0.25">
      <c r="Y5188" s="63">
        <v>47721</v>
      </c>
      <c r="Z5188" s="61">
        <f>_xll.qlYieldTSDiscount($U$35,Y5188,,Trigger)</f>
        <v>0.82431683509647213</v>
      </c>
    </row>
    <row r="5189" spans="25:26" x14ac:dyDescent="0.25">
      <c r="Y5189" s="63">
        <v>47722</v>
      </c>
      <c r="Z5189" s="61">
        <f>_xll.qlYieldTSDiscount($U$35,Y5189,,Trigger)</f>
        <v>0.8242831471093538</v>
      </c>
    </row>
    <row r="5190" spans="25:26" x14ac:dyDescent="0.25">
      <c r="Y5190" s="63">
        <v>47723</v>
      </c>
      <c r="Z5190" s="61">
        <f>_xll.qlYieldTSDiscount($U$35,Y5190,,Trigger)</f>
        <v>0.82424945909692782</v>
      </c>
    </row>
    <row r="5191" spans="25:26" x14ac:dyDescent="0.25">
      <c r="Y5191" s="63">
        <v>47724</v>
      </c>
      <c r="Z5191" s="61">
        <f>_xll.qlYieldTSDiscount($U$35,Y5191,,Trigger)</f>
        <v>0.82421577105680055</v>
      </c>
    </row>
    <row r="5192" spans="25:26" x14ac:dyDescent="0.25">
      <c r="Y5192" s="63">
        <v>47725</v>
      </c>
      <c r="Z5192" s="61">
        <f>_xll.qlYieldTSDiscount($U$35,Y5192,,Trigger)</f>
        <v>0.82418208298657858</v>
      </c>
    </row>
    <row r="5193" spans="25:26" x14ac:dyDescent="0.25">
      <c r="Y5193" s="63">
        <v>47726</v>
      </c>
      <c r="Z5193" s="61">
        <f>_xll.qlYieldTSDiscount($U$35,Y5193,,Trigger)</f>
        <v>0.82414839488386848</v>
      </c>
    </row>
    <row r="5194" spans="25:26" x14ac:dyDescent="0.25">
      <c r="Y5194" s="63">
        <v>47727</v>
      </c>
      <c r="Z5194" s="61">
        <f>_xll.qlYieldTSDiscount($U$35,Y5194,,Trigger)</f>
        <v>0.82411470674627663</v>
      </c>
    </row>
    <row r="5195" spans="25:26" x14ac:dyDescent="0.25">
      <c r="Y5195" s="63">
        <v>47728</v>
      </c>
      <c r="Z5195" s="61">
        <f>_xll.qlYieldTSDiscount($U$35,Y5195,,Trigger)</f>
        <v>0.82408101857140936</v>
      </c>
    </row>
    <row r="5196" spans="25:26" x14ac:dyDescent="0.25">
      <c r="Y5196" s="63">
        <v>47729</v>
      </c>
      <c r="Z5196" s="61">
        <f>_xll.qlYieldTSDiscount($U$35,Y5196,,Trigger)</f>
        <v>0.82404733035687339</v>
      </c>
    </row>
    <row r="5197" spans="25:26" x14ac:dyDescent="0.25">
      <c r="Y5197" s="63">
        <v>47730</v>
      </c>
      <c r="Z5197" s="61">
        <f>_xll.qlYieldTSDiscount($U$35,Y5197,,Trigger)</f>
        <v>0.82401364210027517</v>
      </c>
    </row>
    <row r="5198" spans="25:26" x14ac:dyDescent="0.25">
      <c r="Y5198" s="63">
        <v>47731</v>
      </c>
      <c r="Z5198" s="61">
        <f>_xll.qlYieldTSDiscount($U$35,Y5198,,Trigger)</f>
        <v>0.82397995379922107</v>
      </c>
    </row>
    <row r="5199" spans="25:26" x14ac:dyDescent="0.25">
      <c r="Y5199" s="63">
        <v>47732</v>
      </c>
      <c r="Z5199" s="61">
        <f>_xll.qlYieldTSDiscount($U$35,Y5199,,Trigger)</f>
        <v>0.82394626545131766</v>
      </c>
    </row>
    <row r="5200" spans="25:26" x14ac:dyDescent="0.25">
      <c r="Y5200" s="63">
        <v>47733</v>
      </c>
      <c r="Z5200" s="61">
        <f>_xll.qlYieldTSDiscount($U$35,Y5200,,Trigger)</f>
        <v>0.82391257705417131</v>
      </c>
    </row>
    <row r="5201" spans="25:26" x14ac:dyDescent="0.25">
      <c r="Y5201" s="63">
        <v>47734</v>
      </c>
      <c r="Z5201" s="61">
        <f>_xll.qlYieldTSDiscount($U$35,Y5201,,Trigger)</f>
        <v>0.8238788886053886</v>
      </c>
    </row>
    <row r="5202" spans="25:26" x14ac:dyDescent="0.25">
      <c r="Y5202" s="63">
        <v>47735</v>
      </c>
      <c r="Z5202" s="61">
        <f>_xll.qlYieldTSDiscount($U$35,Y5202,,Trigger)</f>
        <v>0.823845200102576</v>
      </c>
    </row>
    <row r="5203" spans="25:26" x14ac:dyDescent="0.25">
      <c r="Y5203" s="63">
        <v>47736</v>
      </c>
      <c r="Z5203" s="61">
        <f>_xll.qlYieldTSDiscount($U$35,Y5203,,Trigger)</f>
        <v>0.82381151154333998</v>
      </c>
    </row>
    <row r="5204" spans="25:26" x14ac:dyDescent="0.25">
      <c r="Y5204" s="63">
        <v>47737</v>
      </c>
      <c r="Z5204" s="61">
        <f>_xll.qlYieldTSDiscount($U$35,Y5204,,Trigger)</f>
        <v>0.82377782292528712</v>
      </c>
    </row>
    <row r="5205" spans="25:26" x14ac:dyDescent="0.25">
      <c r="Y5205" s="63">
        <v>47738</v>
      </c>
      <c r="Z5205" s="61">
        <f>_xll.qlYieldTSDiscount($U$35,Y5205,,Trigger)</f>
        <v>0.82374413424602366</v>
      </c>
    </row>
    <row r="5206" spans="25:26" x14ac:dyDescent="0.25">
      <c r="Y5206" s="63">
        <v>47739</v>
      </c>
      <c r="Z5206" s="61">
        <f>_xll.qlYieldTSDiscount($U$35,Y5206,,Trigger)</f>
        <v>0.8237104455031562</v>
      </c>
    </row>
    <row r="5207" spans="25:26" x14ac:dyDescent="0.25">
      <c r="Y5207" s="63">
        <v>47740</v>
      </c>
      <c r="Z5207" s="61">
        <f>_xll.qlYieldTSDiscount($U$35,Y5207,,Trigger)</f>
        <v>0.8236767566942913</v>
      </c>
    </row>
    <row r="5208" spans="25:26" x14ac:dyDescent="0.25">
      <c r="Y5208" s="63">
        <v>47741</v>
      </c>
      <c r="Z5208" s="61">
        <f>_xll.qlYieldTSDiscount($U$35,Y5208,,Trigger)</f>
        <v>0.82364306781703545</v>
      </c>
    </row>
    <row r="5209" spans="25:26" x14ac:dyDescent="0.25">
      <c r="Y5209" s="63">
        <v>47742</v>
      </c>
      <c r="Z5209" s="61">
        <f>_xll.qlYieldTSDiscount($U$35,Y5209,,Trigger)</f>
        <v>0.82360937886899499</v>
      </c>
    </row>
    <row r="5210" spans="25:26" x14ac:dyDescent="0.25">
      <c r="Y5210" s="63">
        <v>47743</v>
      </c>
      <c r="Z5210" s="61">
        <f>_xll.qlYieldTSDiscount($U$35,Y5210,,Trigger)</f>
        <v>0.8235756898477764</v>
      </c>
    </row>
    <row r="5211" spans="25:26" x14ac:dyDescent="0.25">
      <c r="Y5211" s="63">
        <v>47744</v>
      </c>
      <c r="Z5211" s="61">
        <f>_xll.qlYieldTSDiscount($U$35,Y5211,,Trigger)</f>
        <v>0.82354200075098638</v>
      </c>
    </row>
    <row r="5212" spans="25:26" x14ac:dyDescent="0.25">
      <c r="Y5212" s="63">
        <v>47745</v>
      </c>
      <c r="Z5212" s="61">
        <f>_xll.qlYieldTSDiscount($U$35,Y5212,,Trigger)</f>
        <v>0.82350831157623117</v>
      </c>
    </row>
    <row r="5213" spans="25:26" x14ac:dyDescent="0.25">
      <c r="Y5213" s="63">
        <v>47746</v>
      </c>
      <c r="Z5213" s="61">
        <f>_xll.qlYieldTSDiscount($U$35,Y5213,,Trigger)</f>
        <v>0.82347462232111734</v>
      </c>
    </row>
    <row r="5214" spans="25:26" x14ac:dyDescent="0.25">
      <c r="Y5214" s="63">
        <v>47747</v>
      </c>
      <c r="Z5214" s="61">
        <f>_xll.qlYieldTSDiscount($U$35,Y5214,,Trigger)</f>
        <v>0.82344093298325138</v>
      </c>
    </row>
    <row r="5215" spans="25:26" x14ac:dyDescent="0.25">
      <c r="Y5215" s="63">
        <v>47748</v>
      </c>
      <c r="Z5215" s="61">
        <f>_xll.qlYieldTSDiscount($U$35,Y5215,,Trigger)</f>
        <v>0.82340724356023975</v>
      </c>
    </row>
    <row r="5216" spans="25:26" x14ac:dyDescent="0.25">
      <c r="Y5216" s="63">
        <v>47749</v>
      </c>
      <c r="Z5216" s="61">
        <f>_xll.qlYieldTSDiscount($U$35,Y5216,,Trigger)</f>
        <v>0.82337355404968904</v>
      </c>
    </row>
    <row r="5217" spans="25:26" x14ac:dyDescent="0.25">
      <c r="Y5217" s="63">
        <v>47750</v>
      </c>
      <c r="Z5217" s="61">
        <f>_xll.qlYieldTSDiscount($U$35,Y5217,,Trigger)</f>
        <v>0.82333986444920548</v>
      </c>
    </row>
    <row r="5218" spans="25:26" x14ac:dyDescent="0.25">
      <c r="Y5218" s="63">
        <v>47751</v>
      </c>
      <c r="Z5218" s="61">
        <f>_xll.qlYieldTSDiscount($U$35,Y5218,,Trigger)</f>
        <v>0.82330617475639578</v>
      </c>
    </row>
    <row r="5219" spans="25:26" x14ac:dyDescent="0.25">
      <c r="Y5219" s="63">
        <v>47752</v>
      </c>
      <c r="Z5219" s="61">
        <f>_xll.qlYieldTSDiscount($U$35,Y5219,,Trigger)</f>
        <v>0.8232724849688664</v>
      </c>
    </row>
    <row r="5220" spans="25:26" x14ac:dyDescent="0.25">
      <c r="Y5220" s="63">
        <v>47753</v>
      </c>
      <c r="Z5220" s="61">
        <f>_xll.qlYieldTSDiscount($U$35,Y5220,,Trigger)</f>
        <v>0.82323879508422371</v>
      </c>
    </row>
    <row r="5221" spans="25:26" x14ac:dyDescent="0.25">
      <c r="Y5221" s="63">
        <v>47754</v>
      </c>
      <c r="Z5221" s="61">
        <f>_xll.qlYieldTSDiscount($U$35,Y5221,,Trigger)</f>
        <v>0.82320510510007427</v>
      </c>
    </row>
    <row r="5222" spans="25:26" x14ac:dyDescent="0.25">
      <c r="Y5222" s="63">
        <v>47755</v>
      </c>
      <c r="Z5222" s="61">
        <f>_xll.qlYieldTSDiscount($U$35,Y5222,,Trigger)</f>
        <v>0.82317141501402458</v>
      </c>
    </row>
    <row r="5223" spans="25:26" x14ac:dyDescent="0.25">
      <c r="Y5223" s="63">
        <v>47756</v>
      </c>
      <c r="Z5223" s="61">
        <f>_xll.qlYieldTSDiscount($U$35,Y5223,,Trigger)</f>
        <v>0.82313772482368097</v>
      </c>
    </row>
    <row r="5224" spans="25:26" x14ac:dyDescent="0.25">
      <c r="Y5224" s="63">
        <v>47757</v>
      </c>
      <c r="Z5224" s="61">
        <f>_xll.qlYieldTSDiscount($U$35,Y5224,,Trigger)</f>
        <v>0.82310403452665015</v>
      </c>
    </row>
    <row r="5225" spans="25:26" x14ac:dyDescent="0.25">
      <c r="Y5225" s="63">
        <v>47758</v>
      </c>
      <c r="Z5225" s="61">
        <f>_xll.qlYieldTSDiscount($U$35,Y5225,,Trigger)</f>
        <v>0.82307034412053837</v>
      </c>
    </row>
    <row r="5226" spans="25:26" x14ac:dyDescent="0.25">
      <c r="Y5226" s="63">
        <v>47759</v>
      </c>
      <c r="Z5226" s="61">
        <f>_xll.qlYieldTSDiscount($U$35,Y5226,,Trigger)</f>
        <v>0.82303665360295231</v>
      </c>
    </row>
    <row r="5227" spans="25:26" x14ac:dyDescent="0.25">
      <c r="Y5227" s="63">
        <v>47760</v>
      </c>
      <c r="Z5227" s="61">
        <f>_xll.qlYieldTSDiscount($U$35,Y5227,,Trigger)</f>
        <v>0.82300296297149833</v>
      </c>
    </row>
    <row r="5228" spans="25:26" x14ac:dyDescent="0.25">
      <c r="Y5228" s="63">
        <v>47761</v>
      </c>
      <c r="Z5228" s="61">
        <f>_xll.qlYieldTSDiscount($U$35,Y5228,,Trigger)</f>
        <v>0.82296927222378291</v>
      </c>
    </row>
    <row r="5229" spans="25:26" x14ac:dyDescent="0.25">
      <c r="Y5229" s="63">
        <v>47762</v>
      </c>
      <c r="Z5229" s="61">
        <f>_xll.qlYieldTSDiscount($U$35,Y5229,,Trigger)</f>
        <v>0.82293558135741263</v>
      </c>
    </row>
    <row r="5230" spans="25:26" x14ac:dyDescent="0.25">
      <c r="Y5230" s="63">
        <v>47763</v>
      </c>
      <c r="Z5230" s="61">
        <f>_xll.qlYieldTSDiscount($U$35,Y5230,,Trigger)</f>
        <v>0.82290189036999384</v>
      </c>
    </row>
    <row r="5231" spans="25:26" x14ac:dyDescent="0.25">
      <c r="Y5231" s="63">
        <v>47764</v>
      </c>
      <c r="Z5231" s="61">
        <f>_xll.qlYieldTSDiscount($U$35,Y5231,,Trigger)</f>
        <v>0.82286819925913313</v>
      </c>
    </row>
    <row r="5232" spans="25:26" x14ac:dyDescent="0.25">
      <c r="Y5232" s="63">
        <v>47765</v>
      </c>
      <c r="Z5232" s="61">
        <f>_xll.qlYieldTSDiscount($U$35,Y5232,,Trigger)</f>
        <v>0.82283450802243685</v>
      </c>
    </row>
    <row r="5233" spans="25:26" x14ac:dyDescent="0.25">
      <c r="Y5233" s="63">
        <v>47766</v>
      </c>
      <c r="Z5233" s="61">
        <f>_xll.qlYieldTSDiscount($U$35,Y5233,,Trigger)</f>
        <v>0.8228008166575117</v>
      </c>
    </row>
    <row r="5234" spans="25:26" x14ac:dyDescent="0.25">
      <c r="Y5234" s="63">
        <v>47767</v>
      </c>
      <c r="Z5234" s="61">
        <f>_xll.qlYieldTSDiscount($U$35,Y5234,,Trigger)</f>
        <v>0.82276712516196393</v>
      </c>
    </row>
    <row r="5235" spans="25:26" x14ac:dyDescent="0.25">
      <c r="Y5235" s="63">
        <v>47768</v>
      </c>
      <c r="Z5235" s="61">
        <f>_xll.qlYieldTSDiscount($U$35,Y5235,,Trigger)</f>
        <v>0.82273343353340012</v>
      </c>
    </row>
    <row r="5236" spans="25:26" x14ac:dyDescent="0.25">
      <c r="Y5236" s="63">
        <v>47769</v>
      </c>
      <c r="Z5236" s="61">
        <f>_xll.qlYieldTSDiscount($U$35,Y5236,,Trigger)</f>
        <v>0.82269974176942684</v>
      </c>
    </row>
    <row r="5237" spans="25:26" x14ac:dyDescent="0.25">
      <c r="Y5237" s="63">
        <v>47770</v>
      </c>
      <c r="Z5237" s="61">
        <f>_xll.qlYieldTSDiscount($U$35,Y5237,,Trigger)</f>
        <v>0.82266604986765035</v>
      </c>
    </row>
    <row r="5238" spans="25:26" x14ac:dyDescent="0.25">
      <c r="Y5238" s="63">
        <v>47771</v>
      </c>
      <c r="Z5238" s="61">
        <f>_xll.qlYieldTSDiscount($U$35,Y5238,,Trigger)</f>
        <v>0.82263235782567734</v>
      </c>
    </row>
    <row r="5239" spans="25:26" x14ac:dyDescent="0.25">
      <c r="Y5239" s="63">
        <v>47772</v>
      </c>
      <c r="Z5239" s="61">
        <f>_xll.qlYieldTSDiscount($U$35,Y5239,,Trigger)</f>
        <v>0.82259866564111417</v>
      </c>
    </row>
    <row r="5240" spans="25:26" x14ac:dyDescent="0.25">
      <c r="Y5240" s="63">
        <v>47773</v>
      </c>
      <c r="Z5240" s="61">
        <f>_xll.qlYieldTSDiscount($U$35,Y5240,,Trigger)</f>
        <v>0.82256497331156742</v>
      </c>
    </row>
    <row r="5241" spans="25:26" x14ac:dyDescent="0.25">
      <c r="Y5241" s="63">
        <v>47774</v>
      </c>
      <c r="Z5241" s="61">
        <f>_xll.qlYieldTSDiscount($U$35,Y5241,,Trigger)</f>
        <v>0.82253128083464344</v>
      </c>
    </row>
    <row r="5242" spans="25:26" x14ac:dyDescent="0.25">
      <c r="Y5242" s="63">
        <v>47775</v>
      </c>
      <c r="Z5242" s="61">
        <f>_xll.qlYieldTSDiscount($U$35,Y5242,,Trigger)</f>
        <v>0.82249758820794872</v>
      </c>
    </row>
    <row r="5243" spans="25:26" x14ac:dyDescent="0.25">
      <c r="Y5243" s="63">
        <v>47776</v>
      </c>
      <c r="Z5243" s="61">
        <f>_xll.qlYieldTSDiscount($U$35,Y5243,,Trigger)</f>
        <v>0.82246389542908993</v>
      </c>
    </row>
    <row r="5244" spans="25:26" x14ac:dyDescent="0.25">
      <c r="Y5244" s="63">
        <v>47777</v>
      </c>
      <c r="Z5244" s="61">
        <f>_xll.qlYieldTSDiscount($U$35,Y5244,,Trigger)</f>
        <v>0.82243020249567333</v>
      </c>
    </row>
    <row r="5245" spans="25:26" x14ac:dyDescent="0.25">
      <c r="Y5245" s="63">
        <v>47778</v>
      </c>
      <c r="Z5245" s="61">
        <f>_xll.qlYieldTSDiscount($U$35,Y5245,,Trigger)</f>
        <v>0.82239650940530562</v>
      </c>
    </row>
    <row r="5246" spans="25:26" x14ac:dyDescent="0.25">
      <c r="Y5246" s="63">
        <v>47779</v>
      </c>
      <c r="Z5246" s="61">
        <f>_xll.qlYieldTSDiscount($U$35,Y5246,,Trigger)</f>
        <v>0.82236281615559303</v>
      </c>
    </row>
    <row r="5247" spans="25:26" x14ac:dyDescent="0.25">
      <c r="Y5247" s="63">
        <v>47780</v>
      </c>
      <c r="Z5247" s="61">
        <f>_xll.qlYieldTSDiscount($U$35,Y5247,,Trigger)</f>
        <v>0.82232912274414227</v>
      </c>
    </row>
    <row r="5248" spans="25:26" x14ac:dyDescent="0.25">
      <c r="Y5248" s="63">
        <v>47781</v>
      </c>
      <c r="Z5248" s="61">
        <f>_xll.qlYieldTSDiscount($U$35,Y5248,,Trigger)</f>
        <v>0.82229542916855958</v>
      </c>
    </row>
    <row r="5249" spans="25:26" x14ac:dyDescent="0.25">
      <c r="Y5249" s="63">
        <v>47782</v>
      </c>
      <c r="Z5249" s="61">
        <f>_xll.qlYieldTSDiscount($U$35,Y5249,,Trigger)</f>
        <v>0.82226173542645165</v>
      </c>
    </row>
    <row r="5250" spans="25:26" x14ac:dyDescent="0.25">
      <c r="Y5250" s="63">
        <v>47783</v>
      </c>
      <c r="Z5250" s="61">
        <f>_xll.qlYieldTSDiscount($U$35,Y5250,,Trigger)</f>
        <v>0.82222804151542495</v>
      </c>
    </row>
    <row r="5251" spans="25:26" x14ac:dyDescent="0.25">
      <c r="Y5251" s="63">
        <v>47784</v>
      </c>
      <c r="Z5251" s="61">
        <f>_xll.qlYieldTSDiscount($U$35,Y5251,,Trigger)</f>
        <v>0.82219434743308584</v>
      </c>
    </row>
    <row r="5252" spans="25:26" x14ac:dyDescent="0.25">
      <c r="Y5252" s="63">
        <v>47785</v>
      </c>
      <c r="Z5252" s="61">
        <f>_xll.qlYieldTSDiscount($U$35,Y5252,,Trigger)</f>
        <v>0.82216065317704079</v>
      </c>
    </row>
    <row r="5253" spans="25:26" x14ac:dyDescent="0.25">
      <c r="Y5253" s="63">
        <v>47786</v>
      </c>
      <c r="Z5253" s="61">
        <f>_xll.qlYieldTSDiscount($U$35,Y5253,,Trigger)</f>
        <v>0.82212695874489639</v>
      </c>
    </row>
    <row r="5254" spans="25:26" x14ac:dyDescent="0.25">
      <c r="Y5254" s="63">
        <v>47787</v>
      </c>
      <c r="Z5254" s="61">
        <f>_xll.qlYieldTSDiscount($U$35,Y5254,,Trigger)</f>
        <v>0.82209326413425909</v>
      </c>
    </row>
    <row r="5255" spans="25:26" x14ac:dyDescent="0.25">
      <c r="Y5255" s="63">
        <v>47788</v>
      </c>
      <c r="Z5255" s="61">
        <f>_xll.qlYieldTSDiscount($U$35,Y5255,,Trigger)</f>
        <v>0.82205956934273539</v>
      </c>
    </row>
    <row r="5256" spans="25:26" x14ac:dyDescent="0.25">
      <c r="Y5256" s="63">
        <v>47789</v>
      </c>
      <c r="Z5256" s="61">
        <f>_xll.qlYieldTSDiscount($U$35,Y5256,,Trigger)</f>
        <v>0.82202587436793173</v>
      </c>
    </row>
    <row r="5257" spans="25:26" x14ac:dyDescent="0.25">
      <c r="Y5257" s="63">
        <v>47790</v>
      </c>
      <c r="Z5257" s="61">
        <f>_xll.qlYieldTSDiscount($U$35,Y5257,,Trigger)</f>
        <v>0.8219921792074546</v>
      </c>
    </row>
    <row r="5258" spans="25:26" x14ac:dyDescent="0.25">
      <c r="Y5258" s="63">
        <v>47791</v>
      </c>
      <c r="Z5258" s="61">
        <f>_xll.qlYieldTSDiscount($U$35,Y5258,,Trigger)</f>
        <v>0.82195848385891046</v>
      </c>
    </row>
    <row r="5259" spans="25:26" x14ac:dyDescent="0.25">
      <c r="Y5259" s="63">
        <v>47792</v>
      </c>
      <c r="Z5259" s="61">
        <f>_xll.qlYieldTSDiscount($U$35,Y5259,,Trigger)</f>
        <v>0.82192478831990579</v>
      </c>
    </row>
    <row r="5260" spans="25:26" x14ac:dyDescent="0.25">
      <c r="Y5260" s="63">
        <v>47793</v>
      </c>
      <c r="Z5260" s="61">
        <f>_xll.qlYieldTSDiscount($U$35,Y5260,,Trigger)</f>
        <v>0.82189109258804716</v>
      </c>
    </row>
    <row r="5261" spans="25:26" x14ac:dyDescent="0.25">
      <c r="Y5261" s="63">
        <v>47794</v>
      </c>
      <c r="Z5261" s="61">
        <f>_xll.qlYieldTSDiscount($U$35,Y5261,,Trigger)</f>
        <v>0.82185739666094093</v>
      </c>
    </row>
    <row r="5262" spans="25:26" x14ac:dyDescent="0.25">
      <c r="Y5262" s="63">
        <v>47795</v>
      </c>
      <c r="Z5262" s="61">
        <f>_xll.qlYieldTSDiscount($U$35,Y5262,,Trigger)</f>
        <v>0.82182370053619358</v>
      </c>
    </row>
    <row r="5263" spans="25:26" x14ac:dyDescent="0.25">
      <c r="Y5263" s="63">
        <v>47796</v>
      </c>
      <c r="Z5263" s="61">
        <f>_xll.qlYieldTSDiscount($U$35,Y5263,,Trigger)</f>
        <v>0.8217900042114118</v>
      </c>
    </row>
    <row r="5264" spans="25:26" x14ac:dyDescent="0.25">
      <c r="Y5264" s="63">
        <v>47797</v>
      </c>
      <c r="Z5264" s="61">
        <f>_xll.qlYieldTSDiscount($U$35,Y5264,,Trigger)</f>
        <v>0.82175630768420183</v>
      </c>
    </row>
    <row r="5265" spans="25:26" x14ac:dyDescent="0.25">
      <c r="Y5265" s="63">
        <v>47798</v>
      </c>
      <c r="Z5265" s="61">
        <f>_xll.qlYieldTSDiscount($U$35,Y5265,,Trigger)</f>
        <v>0.82172261095217014</v>
      </c>
    </row>
    <row r="5266" spans="25:26" x14ac:dyDescent="0.25">
      <c r="Y5266" s="63">
        <v>47799</v>
      </c>
      <c r="Z5266" s="61">
        <f>_xll.qlYieldTSDiscount($U$35,Y5266,,Trigger)</f>
        <v>0.82168891401292343</v>
      </c>
    </row>
    <row r="5267" spans="25:26" x14ac:dyDescent="0.25">
      <c r="Y5267" s="63">
        <v>47800</v>
      </c>
      <c r="Z5267" s="61">
        <f>_xll.qlYieldTSDiscount($U$35,Y5267,,Trigger)</f>
        <v>0.82165521686406806</v>
      </c>
    </row>
    <row r="5268" spans="25:26" x14ac:dyDescent="0.25">
      <c r="Y5268" s="63">
        <v>47801</v>
      </c>
      <c r="Z5268" s="61">
        <f>_xll.qlYieldTSDiscount($U$35,Y5268,,Trigger)</f>
        <v>0.82162151950321038</v>
      </c>
    </row>
    <row r="5269" spans="25:26" x14ac:dyDescent="0.25">
      <c r="Y5269" s="63">
        <v>47802</v>
      </c>
      <c r="Z5269" s="61">
        <f>_xll.qlYieldTSDiscount($U$35,Y5269,,Trigger)</f>
        <v>0.8215878219279571</v>
      </c>
    </row>
    <row r="5270" spans="25:26" x14ac:dyDescent="0.25">
      <c r="Y5270" s="63">
        <v>47803</v>
      </c>
      <c r="Z5270" s="61">
        <f>_xll.qlYieldTSDiscount($U$35,Y5270,,Trigger)</f>
        <v>0.82155412413591467</v>
      </c>
    </row>
    <row r="5271" spans="25:26" x14ac:dyDescent="0.25">
      <c r="Y5271" s="63">
        <v>47804</v>
      </c>
      <c r="Z5271" s="61">
        <f>_xll.qlYieldTSDiscount($U$35,Y5271,,Trigger)</f>
        <v>0.82152042612468934</v>
      </c>
    </row>
    <row r="5272" spans="25:26" x14ac:dyDescent="0.25">
      <c r="Y5272" s="63">
        <v>47805</v>
      </c>
      <c r="Z5272" s="61">
        <f>_xll.qlYieldTSDiscount($U$35,Y5272,,Trigger)</f>
        <v>0.82148672789188781</v>
      </c>
    </row>
    <row r="5273" spans="25:26" x14ac:dyDescent="0.25">
      <c r="Y5273" s="63">
        <v>47806</v>
      </c>
      <c r="Z5273" s="61">
        <f>_xll.qlYieldTSDiscount($U$35,Y5273,,Trigger)</f>
        <v>0.82145302943511656</v>
      </c>
    </row>
    <row r="5274" spans="25:26" x14ac:dyDescent="0.25">
      <c r="Y5274" s="63">
        <v>47807</v>
      </c>
      <c r="Z5274" s="61">
        <f>_xll.qlYieldTSDiscount($U$35,Y5274,,Trigger)</f>
        <v>0.82141933075198192</v>
      </c>
    </row>
    <row r="5275" spans="25:26" x14ac:dyDescent="0.25">
      <c r="Y5275" s="63">
        <v>47808</v>
      </c>
      <c r="Z5275" s="61">
        <f>_xll.qlYieldTSDiscount($U$35,Y5275,,Trigger)</f>
        <v>0.8213856318400905</v>
      </c>
    </row>
    <row r="5276" spans="25:26" x14ac:dyDescent="0.25">
      <c r="Y5276" s="63">
        <v>47809</v>
      </c>
      <c r="Z5276" s="61">
        <f>_xll.qlYieldTSDiscount($U$35,Y5276,,Trigger)</f>
        <v>0.82135193269704876</v>
      </c>
    </row>
    <row r="5277" spans="25:26" x14ac:dyDescent="0.25">
      <c r="Y5277" s="63">
        <v>47810</v>
      </c>
      <c r="Z5277" s="61">
        <f>_xll.qlYieldTSDiscount($U$35,Y5277,,Trigger)</f>
        <v>0.82131823332046316</v>
      </c>
    </row>
    <row r="5278" spans="25:26" x14ac:dyDescent="0.25">
      <c r="Y5278" s="63">
        <v>47811</v>
      </c>
      <c r="Z5278" s="61">
        <f>_xll.qlYieldTSDiscount($U$35,Y5278,,Trigger)</f>
        <v>0.82128453370794019</v>
      </c>
    </row>
    <row r="5279" spans="25:26" x14ac:dyDescent="0.25">
      <c r="Y5279" s="63">
        <v>47812</v>
      </c>
      <c r="Z5279" s="61">
        <f>_xll.qlYieldTSDiscount($U$35,Y5279,,Trigger)</f>
        <v>0.8212508338570863</v>
      </c>
    </row>
    <row r="5280" spans="25:26" x14ac:dyDescent="0.25">
      <c r="Y5280" s="63">
        <v>47813</v>
      </c>
      <c r="Z5280" s="61">
        <f>_xll.qlYieldTSDiscount($U$35,Y5280,,Trigger)</f>
        <v>0.82121713376550798</v>
      </c>
    </row>
    <row r="5281" spans="25:26" x14ac:dyDescent="0.25">
      <c r="Y5281" s="63">
        <v>47814</v>
      </c>
      <c r="Z5281" s="61">
        <f>_xll.qlYieldTSDiscount($U$35,Y5281,,Trigger)</f>
        <v>0.82118343343081179</v>
      </c>
    </row>
    <row r="5282" spans="25:26" x14ac:dyDescent="0.25">
      <c r="Y5282" s="63">
        <v>47815</v>
      </c>
      <c r="Z5282" s="61">
        <f>_xll.qlYieldTSDiscount($U$35,Y5282,,Trigger)</f>
        <v>0.82114973285060411</v>
      </c>
    </row>
    <row r="5283" spans="25:26" x14ac:dyDescent="0.25">
      <c r="Y5283" s="63">
        <v>47816</v>
      </c>
      <c r="Z5283" s="61">
        <f>_xll.qlYieldTSDiscount($U$35,Y5283,,Trigger)</f>
        <v>0.82111603202249139</v>
      </c>
    </row>
    <row r="5284" spans="25:26" x14ac:dyDescent="0.25">
      <c r="Y5284" s="63">
        <v>47817</v>
      </c>
      <c r="Z5284" s="61">
        <f>_xll.qlYieldTSDiscount($U$35,Y5284,,Trigger)</f>
        <v>0.82108233094408023</v>
      </c>
    </row>
    <row r="5285" spans="25:26" x14ac:dyDescent="0.25">
      <c r="Y5285" s="63">
        <v>47818</v>
      </c>
      <c r="Z5285" s="61">
        <f>_xll.qlYieldTSDiscount($U$35,Y5285,,Trigger)</f>
        <v>0.82104862961297709</v>
      </c>
    </row>
    <row r="5286" spans="25:26" x14ac:dyDescent="0.25">
      <c r="Y5286" s="63">
        <v>47819</v>
      </c>
      <c r="Z5286" s="61">
        <f>_xll.qlYieldTSDiscount($U$35,Y5286,,Trigger)</f>
        <v>0.82101492802678844</v>
      </c>
    </row>
    <row r="5287" spans="25:26" x14ac:dyDescent="0.25">
      <c r="Y5287" s="63">
        <v>47820</v>
      </c>
      <c r="Z5287" s="61">
        <f>_xll.qlYieldTSDiscount($U$35,Y5287,,Trigger)</f>
        <v>0.82098122618312064</v>
      </c>
    </row>
    <row r="5288" spans="25:26" x14ac:dyDescent="0.25">
      <c r="Y5288" s="63">
        <v>47821</v>
      </c>
      <c r="Z5288" s="61">
        <f>_xll.qlYieldTSDiscount($U$35,Y5288,,Trigger)</f>
        <v>0.82094752407958038</v>
      </c>
    </row>
    <row r="5289" spans="25:26" x14ac:dyDescent="0.25">
      <c r="Y5289" s="63">
        <v>47822</v>
      </c>
      <c r="Z5289" s="61">
        <f>_xll.qlYieldTSDiscount($U$35,Y5289,,Trigger)</f>
        <v>0.82091382171377392</v>
      </c>
    </row>
    <row r="5290" spans="25:26" x14ac:dyDescent="0.25">
      <c r="Y5290" s="63">
        <v>47823</v>
      </c>
      <c r="Z5290" s="61">
        <f>_xll.qlYieldTSDiscount($U$35,Y5290,,Trigger)</f>
        <v>0.82088011908330794</v>
      </c>
    </row>
    <row r="5291" spans="25:26" x14ac:dyDescent="0.25">
      <c r="Y5291" s="63">
        <v>47824</v>
      </c>
      <c r="Z5291" s="61">
        <f>_xll.qlYieldTSDiscount($U$35,Y5291,,Trigger)</f>
        <v>0.82084641618578869</v>
      </c>
    </row>
    <row r="5292" spans="25:26" x14ac:dyDescent="0.25">
      <c r="Y5292" s="63">
        <v>47825</v>
      </c>
      <c r="Z5292" s="61">
        <f>_xll.qlYieldTSDiscount($U$35,Y5292,,Trigger)</f>
        <v>0.82081271301882297</v>
      </c>
    </row>
    <row r="5293" spans="25:26" x14ac:dyDescent="0.25">
      <c r="Y5293" s="63">
        <v>47826</v>
      </c>
      <c r="Z5293" s="61">
        <f>_xll.qlYieldTSDiscount($U$35,Y5293,,Trigger)</f>
        <v>0.82077900958001693</v>
      </c>
    </row>
    <row r="5294" spans="25:26" x14ac:dyDescent="0.25">
      <c r="Y5294" s="63">
        <v>47827</v>
      </c>
      <c r="Z5294" s="61">
        <f>_xll.qlYieldTSDiscount($U$35,Y5294,,Trigger)</f>
        <v>0.82074530586697736</v>
      </c>
    </row>
    <row r="5295" spans="25:26" x14ac:dyDescent="0.25">
      <c r="Y5295" s="63">
        <v>47828</v>
      </c>
      <c r="Z5295" s="61">
        <f>_xll.qlYieldTSDiscount($U$35,Y5295,,Trigger)</f>
        <v>0.82071160187731051</v>
      </c>
    </row>
    <row r="5296" spans="25:26" x14ac:dyDescent="0.25">
      <c r="Y5296" s="63">
        <v>47829</v>
      </c>
      <c r="Z5296" s="61">
        <f>_xll.qlYieldTSDiscount($U$35,Y5296,,Trigger)</f>
        <v>0.82067789760862286</v>
      </c>
    </row>
    <row r="5297" spans="25:26" x14ac:dyDescent="0.25">
      <c r="Y5297" s="63">
        <v>47830</v>
      </c>
      <c r="Z5297" s="61">
        <f>_xll.qlYieldTSDiscount($U$35,Y5297,,Trigger)</f>
        <v>0.8206441930585211</v>
      </c>
    </row>
    <row r="5298" spans="25:26" x14ac:dyDescent="0.25">
      <c r="Y5298" s="63">
        <v>47831</v>
      </c>
      <c r="Z5298" s="61">
        <f>_xll.qlYieldTSDiscount($U$35,Y5298,,Trigger)</f>
        <v>0.82061048822461147</v>
      </c>
    </row>
    <row r="5299" spans="25:26" x14ac:dyDescent="0.25">
      <c r="Y5299" s="63">
        <v>47832</v>
      </c>
      <c r="Z5299" s="61">
        <f>_xll.qlYieldTSDiscount($U$35,Y5299,,Trigger)</f>
        <v>0.82057678310450055</v>
      </c>
    </row>
    <row r="5300" spans="25:26" x14ac:dyDescent="0.25">
      <c r="Y5300" s="63">
        <v>47833</v>
      </c>
      <c r="Z5300" s="61">
        <f>_xll.qlYieldTSDiscount($U$35,Y5300,,Trigger)</f>
        <v>0.82054307769579493</v>
      </c>
    </row>
    <row r="5301" spans="25:26" x14ac:dyDescent="0.25">
      <c r="Y5301" s="63">
        <v>47834</v>
      </c>
      <c r="Z5301" s="61">
        <f>_xll.qlYieldTSDiscount($U$35,Y5301,,Trigger)</f>
        <v>0.82050937199610086</v>
      </c>
    </row>
    <row r="5302" spans="25:26" x14ac:dyDescent="0.25">
      <c r="Y5302" s="63">
        <v>47835</v>
      </c>
      <c r="Z5302" s="61">
        <f>_xll.qlYieldTSDiscount($U$35,Y5302,,Trigger)</f>
        <v>0.82047566600302502</v>
      </c>
    </row>
    <row r="5303" spans="25:26" x14ac:dyDescent="0.25">
      <c r="Y5303" s="63">
        <v>47836</v>
      </c>
      <c r="Z5303" s="61">
        <f>_xll.qlYieldTSDiscount($U$35,Y5303,,Trigger)</f>
        <v>0.82044195971417389</v>
      </c>
    </row>
    <row r="5304" spans="25:26" x14ac:dyDescent="0.25">
      <c r="Y5304" s="63">
        <v>47837</v>
      </c>
      <c r="Z5304" s="61">
        <f>_xll.qlYieldTSDiscount($U$35,Y5304,,Trigger)</f>
        <v>0.82040825312715371</v>
      </c>
    </row>
    <row r="5305" spans="25:26" x14ac:dyDescent="0.25">
      <c r="Y5305" s="63">
        <v>47838</v>
      </c>
      <c r="Z5305" s="61">
        <f>_xll.qlYieldTSDiscount($U$35,Y5305,,Trigger)</f>
        <v>0.82037454623957129</v>
      </c>
    </row>
    <row r="5306" spans="25:26" x14ac:dyDescent="0.25">
      <c r="Y5306" s="63">
        <v>47839</v>
      </c>
      <c r="Z5306" s="61">
        <f>_xll.qlYieldTSDiscount($U$35,Y5306,,Trigger)</f>
        <v>0.82034083904903288</v>
      </c>
    </row>
    <row r="5307" spans="25:26" x14ac:dyDescent="0.25">
      <c r="Y5307" s="63">
        <v>47840</v>
      </c>
      <c r="Z5307" s="61">
        <f>_xll.qlYieldTSDiscount($U$35,Y5307,,Trigger)</f>
        <v>0.82030713155314505</v>
      </c>
    </row>
    <row r="5308" spans="25:26" x14ac:dyDescent="0.25">
      <c r="Y5308" s="63">
        <v>47841</v>
      </c>
      <c r="Z5308" s="61">
        <f>_xll.qlYieldTSDiscount($U$35,Y5308,,Trigger)</f>
        <v>0.82027342374951417</v>
      </c>
    </row>
    <row r="5309" spans="25:26" x14ac:dyDescent="0.25">
      <c r="Y5309" s="63">
        <v>47842</v>
      </c>
      <c r="Z5309" s="61">
        <f>_xll.qlYieldTSDiscount($U$35,Y5309,,Trigger)</f>
        <v>0.82023971563574694</v>
      </c>
    </row>
    <row r="5310" spans="25:26" x14ac:dyDescent="0.25">
      <c r="Y5310" s="63">
        <v>47843</v>
      </c>
      <c r="Z5310" s="61">
        <f>_xll.qlYieldTSDiscount($U$35,Y5310,,Trigger)</f>
        <v>0.82020600720944969</v>
      </c>
    </row>
    <row r="5311" spans="25:26" x14ac:dyDescent="0.25">
      <c r="Y5311" s="63">
        <v>47844</v>
      </c>
      <c r="Z5311" s="61">
        <f>_xll.qlYieldTSDiscount($U$35,Y5311,,Trigger)</f>
        <v>0.82017229846822892</v>
      </c>
    </row>
    <row r="5312" spans="25:26" x14ac:dyDescent="0.25">
      <c r="Y5312" s="63">
        <v>47845</v>
      </c>
      <c r="Z5312" s="61">
        <f>_xll.qlYieldTSDiscount($U$35,Y5312,,Trigger)</f>
        <v>0.82013858940969098</v>
      </c>
    </row>
    <row r="5313" spans="25:26" x14ac:dyDescent="0.25">
      <c r="Y5313" s="63">
        <v>47846</v>
      </c>
      <c r="Z5313" s="61">
        <f>_xll.qlYieldTSDiscount($U$35,Y5313,,Trigger)</f>
        <v>0.82010488003144266</v>
      </c>
    </row>
    <row r="5314" spans="25:26" x14ac:dyDescent="0.25">
      <c r="Y5314" s="63">
        <v>47847</v>
      </c>
      <c r="Z5314" s="61">
        <f>_xll.qlYieldTSDiscount($U$35,Y5314,,Trigger)</f>
        <v>0.82007117033109023</v>
      </c>
    </row>
    <row r="5315" spans="25:26" x14ac:dyDescent="0.25">
      <c r="Y5315" s="63">
        <v>47848</v>
      </c>
      <c r="Z5315" s="61">
        <f>_xll.qlYieldTSDiscount($U$35,Y5315,,Trigger)</f>
        <v>0.82003746030624014</v>
      </c>
    </row>
    <row r="5316" spans="25:26" x14ac:dyDescent="0.25">
      <c r="Y5316" s="63">
        <v>47849</v>
      </c>
      <c r="Z5316" s="61">
        <f>_xll.qlYieldTSDiscount($U$35,Y5316,,Trigger)</f>
        <v>0.82000374995449898</v>
      </c>
    </row>
    <row r="5317" spans="25:26" x14ac:dyDescent="0.25">
      <c r="Y5317" s="63">
        <v>47850</v>
      </c>
      <c r="Z5317" s="61">
        <f>_xll.qlYieldTSDiscount($U$35,Y5317,,Trigger)</f>
        <v>0.81997003927347323</v>
      </c>
    </row>
    <row r="5318" spans="25:26" x14ac:dyDescent="0.25">
      <c r="Y5318" s="63">
        <v>47851</v>
      </c>
      <c r="Z5318" s="61">
        <f>_xll.qlYieldTSDiscount($U$35,Y5318,,Trigger)</f>
        <v>0.81993632826076923</v>
      </c>
    </row>
    <row r="5319" spans="25:26" x14ac:dyDescent="0.25">
      <c r="Y5319" s="63">
        <v>47852</v>
      </c>
      <c r="Z5319" s="61">
        <f>_xll.qlYieldTSDiscount($U$35,Y5319,,Trigger)</f>
        <v>0.81990261691399358</v>
      </c>
    </row>
    <row r="5320" spans="25:26" x14ac:dyDescent="0.25">
      <c r="Y5320" s="63">
        <v>47853</v>
      </c>
      <c r="Z5320" s="61">
        <f>_xll.qlYieldTSDiscount($U$35,Y5320,,Trigger)</f>
        <v>0.81986890523075273</v>
      </c>
    </row>
    <row r="5321" spans="25:26" x14ac:dyDescent="0.25">
      <c r="Y5321" s="63">
        <v>47854</v>
      </c>
      <c r="Z5321" s="61">
        <f>_xll.qlYieldTSDiscount($U$35,Y5321,,Trigger)</f>
        <v>0.81983519320865328</v>
      </c>
    </row>
    <row r="5322" spans="25:26" x14ac:dyDescent="0.25">
      <c r="Y5322" s="63">
        <v>47855</v>
      </c>
      <c r="Z5322" s="61">
        <f>_xll.qlYieldTSDiscount($U$35,Y5322,,Trigger)</f>
        <v>0.81980148084530147</v>
      </c>
    </row>
    <row r="5323" spans="25:26" x14ac:dyDescent="0.25">
      <c r="Y5323" s="63">
        <v>47856</v>
      </c>
      <c r="Z5323" s="61">
        <f>_xll.qlYieldTSDiscount($U$35,Y5323,,Trigger)</f>
        <v>0.81976776813830399</v>
      </c>
    </row>
    <row r="5324" spans="25:26" x14ac:dyDescent="0.25">
      <c r="Y5324" s="63">
        <v>47857</v>
      </c>
      <c r="Z5324" s="61">
        <f>_xll.qlYieldTSDiscount($U$35,Y5324,,Trigger)</f>
        <v>0.8197340550852672</v>
      </c>
    </row>
    <row r="5325" spans="25:26" x14ac:dyDescent="0.25">
      <c r="Y5325" s="63">
        <v>47858</v>
      </c>
      <c r="Z5325" s="61">
        <f>_xll.qlYieldTSDiscount($U$35,Y5325,,Trigger)</f>
        <v>0.81970034168379768</v>
      </c>
    </row>
    <row r="5326" spans="25:26" x14ac:dyDescent="0.25">
      <c r="Y5326" s="63">
        <v>47859</v>
      </c>
      <c r="Z5326" s="61">
        <f>_xll.qlYieldTSDiscount($U$35,Y5326,,Trigger)</f>
        <v>0.8196666279315018</v>
      </c>
    </row>
    <row r="5327" spans="25:26" x14ac:dyDescent="0.25">
      <c r="Y5327" s="63">
        <v>47860</v>
      </c>
      <c r="Z5327" s="61">
        <f>_xll.qlYieldTSDiscount($U$35,Y5327,,Trigger)</f>
        <v>0.81963291382598613</v>
      </c>
    </row>
    <row r="5328" spans="25:26" x14ac:dyDescent="0.25">
      <c r="Y5328" s="63">
        <v>47861</v>
      </c>
      <c r="Z5328" s="61">
        <f>_xll.qlYieldTSDiscount($U$35,Y5328,,Trigger)</f>
        <v>0.81959919936485703</v>
      </c>
    </row>
    <row r="5329" spans="25:26" x14ac:dyDescent="0.25">
      <c r="Y5329" s="63">
        <v>47862</v>
      </c>
      <c r="Z5329" s="61">
        <f>_xll.qlYieldTSDiscount($U$35,Y5329,,Trigger)</f>
        <v>0.8195654845457212</v>
      </c>
    </row>
    <row r="5330" spans="25:26" x14ac:dyDescent="0.25">
      <c r="Y5330" s="63">
        <v>47863</v>
      </c>
      <c r="Z5330" s="61">
        <f>_xll.qlYieldTSDiscount($U$35,Y5330,,Trigger)</f>
        <v>0.81953176936618488</v>
      </c>
    </row>
    <row r="5331" spans="25:26" x14ac:dyDescent="0.25">
      <c r="Y5331" s="63">
        <v>47864</v>
      </c>
      <c r="Z5331" s="61">
        <f>_xll.qlYieldTSDiscount($U$35,Y5331,,Trigger)</f>
        <v>0.81949805382385466</v>
      </c>
    </row>
    <row r="5332" spans="25:26" x14ac:dyDescent="0.25">
      <c r="Y5332" s="63">
        <v>47865</v>
      </c>
      <c r="Z5332" s="61">
        <f>_xll.qlYieldTSDiscount($U$35,Y5332,,Trigger)</f>
        <v>0.8194643379163371</v>
      </c>
    </row>
    <row r="5333" spans="25:26" x14ac:dyDescent="0.25">
      <c r="Y5333" s="63">
        <v>47866</v>
      </c>
      <c r="Z5333" s="61">
        <f>_xll.qlYieldTSDiscount($U$35,Y5333,,Trigger)</f>
        <v>0.81943062164123848</v>
      </c>
    </row>
    <row r="5334" spans="25:26" x14ac:dyDescent="0.25">
      <c r="Y5334" s="63">
        <v>47867</v>
      </c>
      <c r="Z5334" s="61">
        <f>_xll.qlYieldTSDiscount($U$35,Y5334,,Trigger)</f>
        <v>0.81939690499616546</v>
      </c>
    </row>
    <row r="5335" spans="25:26" x14ac:dyDescent="0.25">
      <c r="Y5335" s="63">
        <v>47868</v>
      </c>
      <c r="Z5335" s="61">
        <f>_xll.qlYieldTSDiscount($U$35,Y5335,,Trigger)</f>
        <v>0.81936318797872443</v>
      </c>
    </row>
    <row r="5336" spans="25:26" x14ac:dyDescent="0.25">
      <c r="Y5336" s="63">
        <v>47869</v>
      </c>
      <c r="Z5336" s="61">
        <f>_xll.qlYieldTSDiscount($U$35,Y5336,,Trigger)</f>
        <v>0.81932947058652195</v>
      </c>
    </row>
    <row r="5337" spans="25:26" x14ac:dyDescent="0.25">
      <c r="Y5337" s="63">
        <v>47870</v>
      </c>
      <c r="Z5337" s="61">
        <f>_xll.qlYieldTSDiscount($U$35,Y5337,,Trigger)</f>
        <v>0.81929575281716449</v>
      </c>
    </row>
    <row r="5338" spans="25:26" x14ac:dyDescent="0.25">
      <c r="Y5338" s="63">
        <v>47871</v>
      </c>
      <c r="Z5338" s="61">
        <f>_xll.qlYieldTSDiscount($U$35,Y5338,,Trigger)</f>
        <v>0.81926203466825842</v>
      </c>
    </row>
    <row r="5339" spans="25:26" x14ac:dyDescent="0.25">
      <c r="Y5339" s="63">
        <v>47872</v>
      </c>
      <c r="Z5339" s="61">
        <f>_xll.qlYieldTSDiscount($U$35,Y5339,,Trigger)</f>
        <v>0.81922831613741021</v>
      </c>
    </row>
    <row r="5340" spans="25:26" x14ac:dyDescent="0.25">
      <c r="Y5340" s="63">
        <v>47873</v>
      </c>
      <c r="Z5340" s="61">
        <f>_xll.qlYieldTSDiscount($U$35,Y5340,,Trigger)</f>
        <v>0.81919459722222654</v>
      </c>
    </row>
    <row r="5341" spans="25:26" x14ac:dyDescent="0.25">
      <c r="Y5341" s="63">
        <v>47874</v>
      </c>
      <c r="Z5341" s="61">
        <f>_xll.qlYieldTSDiscount($U$35,Y5341,,Trigger)</f>
        <v>0.81916087792031378</v>
      </c>
    </row>
    <row r="5342" spans="25:26" x14ac:dyDescent="0.25">
      <c r="Y5342" s="63">
        <v>47875</v>
      </c>
      <c r="Z5342" s="61">
        <f>_xll.qlYieldTSDiscount($U$35,Y5342,,Trigger)</f>
        <v>0.8191271582292784</v>
      </c>
    </row>
    <row r="5343" spans="25:26" x14ac:dyDescent="0.25">
      <c r="Y5343" s="63">
        <v>47876</v>
      </c>
      <c r="Z5343" s="61">
        <f>_xll.qlYieldTSDiscount($U$35,Y5343,,Trigger)</f>
        <v>0.81909343814672675</v>
      </c>
    </row>
    <row r="5344" spans="25:26" x14ac:dyDescent="0.25">
      <c r="Y5344" s="63">
        <v>47877</v>
      </c>
      <c r="Z5344" s="61">
        <f>_xll.qlYieldTSDiscount($U$35,Y5344,,Trigger)</f>
        <v>0.81905971767026553</v>
      </c>
    </row>
    <row r="5345" spans="25:26" x14ac:dyDescent="0.25">
      <c r="Y5345" s="63">
        <v>47878</v>
      </c>
      <c r="Z5345" s="61">
        <f>_xll.qlYieldTSDiscount($U$35,Y5345,,Trigger)</f>
        <v>0.81902599679750121</v>
      </c>
    </row>
    <row r="5346" spans="25:26" x14ac:dyDescent="0.25">
      <c r="Y5346" s="63">
        <v>47879</v>
      </c>
      <c r="Z5346" s="61">
        <f>_xll.qlYieldTSDiscount($U$35,Y5346,,Trigger)</f>
        <v>0.81899227552604015</v>
      </c>
    </row>
    <row r="5347" spans="25:26" x14ac:dyDescent="0.25">
      <c r="Y5347" s="63">
        <v>47880</v>
      </c>
      <c r="Z5347" s="61">
        <f>_xll.qlYieldTSDiscount($U$35,Y5347,,Trigger)</f>
        <v>0.81895855385348881</v>
      </c>
    </row>
    <row r="5348" spans="25:26" x14ac:dyDescent="0.25">
      <c r="Y5348" s="63">
        <v>47881</v>
      </c>
      <c r="Z5348" s="61">
        <f>_xll.qlYieldTSDiscount($U$35,Y5348,,Trigger)</f>
        <v>0.81892483177745379</v>
      </c>
    </row>
    <row r="5349" spans="25:26" x14ac:dyDescent="0.25">
      <c r="Y5349" s="63">
        <v>47882</v>
      </c>
      <c r="Z5349" s="61">
        <f>_xll.qlYieldTSDiscount($U$35,Y5349,,Trigger)</f>
        <v>0.81889110929554154</v>
      </c>
    </row>
    <row r="5350" spans="25:26" x14ac:dyDescent="0.25">
      <c r="Y5350" s="63">
        <v>47883</v>
      </c>
      <c r="Z5350" s="61">
        <f>_xll.qlYieldTSDiscount($U$35,Y5350,,Trigger)</f>
        <v>0.81885738640535843</v>
      </c>
    </row>
    <row r="5351" spans="25:26" x14ac:dyDescent="0.25">
      <c r="Y5351" s="63">
        <v>47884</v>
      </c>
      <c r="Z5351" s="61">
        <f>_xll.qlYieldTSDiscount($U$35,Y5351,,Trigger)</f>
        <v>0.81882366310451116</v>
      </c>
    </row>
    <row r="5352" spans="25:26" x14ac:dyDescent="0.25">
      <c r="Y5352" s="63">
        <v>47885</v>
      </c>
      <c r="Z5352" s="61">
        <f>_xll.qlYieldTSDiscount($U$35,Y5352,,Trigger)</f>
        <v>0.81878993939060596</v>
      </c>
    </row>
    <row r="5353" spans="25:26" x14ac:dyDescent="0.25">
      <c r="Y5353" s="63">
        <v>47886</v>
      </c>
      <c r="Z5353" s="61">
        <f>_xll.qlYieldTSDiscount($U$35,Y5353,,Trigger)</f>
        <v>0.81875621526124942</v>
      </c>
    </row>
    <row r="5354" spans="25:26" x14ac:dyDescent="0.25">
      <c r="Y5354" s="63">
        <v>47887</v>
      </c>
      <c r="Z5354" s="61">
        <f>_xll.qlYieldTSDiscount($U$35,Y5354,,Trigger)</f>
        <v>0.81872249071404812</v>
      </c>
    </row>
    <row r="5355" spans="25:26" x14ac:dyDescent="0.25">
      <c r="Y5355" s="63">
        <v>47888</v>
      </c>
      <c r="Z5355" s="61">
        <f>_xll.qlYieldTSDiscount($U$35,Y5355,,Trigger)</f>
        <v>0.81868876574660843</v>
      </c>
    </row>
    <row r="5356" spans="25:26" x14ac:dyDescent="0.25">
      <c r="Y5356" s="63">
        <v>47889</v>
      </c>
      <c r="Z5356" s="61">
        <f>_xll.qlYieldTSDiscount($U$35,Y5356,,Trigger)</f>
        <v>0.8186550403565368</v>
      </c>
    </row>
    <row r="5357" spans="25:26" x14ac:dyDescent="0.25">
      <c r="Y5357" s="63">
        <v>47890</v>
      </c>
      <c r="Z5357" s="61">
        <f>_xll.qlYieldTSDiscount($U$35,Y5357,,Trigger)</f>
        <v>0.81862131454143983</v>
      </c>
    </row>
    <row r="5358" spans="25:26" x14ac:dyDescent="0.25">
      <c r="Y5358" s="63">
        <v>47891</v>
      </c>
      <c r="Z5358" s="61">
        <f>_xll.qlYieldTSDiscount($U$35,Y5358,,Trigger)</f>
        <v>0.81858758829892397</v>
      </c>
    </row>
    <row r="5359" spans="25:26" x14ac:dyDescent="0.25">
      <c r="Y5359" s="63">
        <v>47892</v>
      </c>
      <c r="Z5359" s="61">
        <f>_xll.qlYieldTSDiscount($U$35,Y5359,,Trigger)</f>
        <v>0.81855386162659549</v>
      </c>
    </row>
    <row r="5360" spans="25:26" x14ac:dyDescent="0.25">
      <c r="Y5360" s="63">
        <v>47893</v>
      </c>
      <c r="Z5360" s="61">
        <f>_xll.qlYieldTSDiscount($U$35,Y5360,,Trigger)</f>
        <v>0.81852013452206118</v>
      </c>
    </row>
    <row r="5361" spans="25:26" x14ac:dyDescent="0.25">
      <c r="Y5361" s="63">
        <v>47894</v>
      </c>
      <c r="Z5361" s="61">
        <f>_xll.qlYieldTSDiscount($U$35,Y5361,,Trigger)</f>
        <v>0.81848640698292741</v>
      </c>
    </row>
    <row r="5362" spans="25:26" x14ac:dyDescent="0.25">
      <c r="Y5362" s="63">
        <v>47895</v>
      </c>
      <c r="Z5362" s="61">
        <f>_xll.qlYieldTSDiscount($U$35,Y5362,,Trigger)</f>
        <v>0.81845267900680052</v>
      </c>
    </row>
    <row r="5363" spans="25:26" x14ac:dyDescent="0.25">
      <c r="Y5363" s="63">
        <v>47896</v>
      </c>
      <c r="Z5363" s="61">
        <f>_xll.qlYieldTSDiscount($U$35,Y5363,,Trigger)</f>
        <v>0.81841895059128722</v>
      </c>
    </row>
    <row r="5364" spans="25:26" x14ac:dyDescent="0.25">
      <c r="Y5364" s="63">
        <v>47897</v>
      </c>
      <c r="Z5364" s="61">
        <f>_xll.qlYieldTSDiscount($U$35,Y5364,,Trigger)</f>
        <v>0.81838522173399375</v>
      </c>
    </row>
    <row r="5365" spans="25:26" x14ac:dyDescent="0.25">
      <c r="Y5365" s="63">
        <v>47898</v>
      </c>
      <c r="Z5365" s="61">
        <f>_xll.qlYieldTSDiscount($U$35,Y5365,,Trigger)</f>
        <v>0.81835149243252681</v>
      </c>
    </row>
    <row r="5366" spans="25:26" x14ac:dyDescent="0.25">
      <c r="Y5366" s="63">
        <v>47899</v>
      </c>
      <c r="Z5366" s="61">
        <f>_xll.qlYieldTSDiscount($U$35,Y5366,,Trigger)</f>
        <v>0.81831776268449274</v>
      </c>
    </row>
    <row r="5367" spans="25:26" x14ac:dyDescent="0.25">
      <c r="Y5367" s="63">
        <v>47900</v>
      </c>
      <c r="Z5367" s="61">
        <f>_xll.qlYieldTSDiscount($U$35,Y5367,,Trigger)</f>
        <v>0.81828403248749815</v>
      </c>
    </row>
    <row r="5368" spans="25:26" x14ac:dyDescent="0.25">
      <c r="Y5368" s="63">
        <v>47901</v>
      </c>
      <c r="Z5368" s="61">
        <f>_xll.qlYieldTSDiscount($U$35,Y5368,,Trigger)</f>
        <v>0.81825030183914937</v>
      </c>
    </row>
    <row r="5369" spans="25:26" x14ac:dyDescent="0.25">
      <c r="Y5369" s="63">
        <v>47902</v>
      </c>
      <c r="Z5369" s="61">
        <f>_xll.qlYieldTSDiscount($U$35,Y5369,,Trigger)</f>
        <v>0.8182165707370529</v>
      </c>
    </row>
    <row r="5370" spans="25:26" x14ac:dyDescent="0.25">
      <c r="Y5370" s="63">
        <v>47903</v>
      </c>
      <c r="Z5370" s="61">
        <f>_xll.qlYieldTSDiscount($U$35,Y5370,,Trigger)</f>
        <v>0.8181828391788154</v>
      </c>
    </row>
    <row r="5371" spans="25:26" x14ac:dyDescent="0.25">
      <c r="Y5371" s="63">
        <v>47904</v>
      </c>
      <c r="Z5371" s="61">
        <f>_xll.qlYieldTSDiscount($U$35,Y5371,,Trigger)</f>
        <v>0.81814910716204314</v>
      </c>
    </row>
    <row r="5372" spans="25:26" x14ac:dyDescent="0.25">
      <c r="Y5372" s="63">
        <v>47905</v>
      </c>
      <c r="Z5372" s="61">
        <f>_xll.qlYieldTSDiscount($U$35,Y5372,,Trigger)</f>
        <v>0.8181153746843427</v>
      </c>
    </row>
    <row r="5373" spans="25:26" x14ac:dyDescent="0.25">
      <c r="Y5373" s="63">
        <v>47906</v>
      </c>
      <c r="Z5373" s="61">
        <f>_xll.qlYieldTSDiscount($U$35,Y5373,,Trigger)</f>
        <v>0.81808164174332054</v>
      </c>
    </row>
    <row r="5374" spans="25:26" x14ac:dyDescent="0.25">
      <c r="Y5374" s="63">
        <v>47907</v>
      </c>
      <c r="Z5374" s="61">
        <f>_xll.qlYieldTSDiscount($U$35,Y5374,,Trigger)</f>
        <v>0.81804790833658314</v>
      </c>
    </row>
    <row r="5375" spans="25:26" x14ac:dyDescent="0.25">
      <c r="Y5375" s="63">
        <v>47908</v>
      </c>
      <c r="Z5375" s="61">
        <f>_xll.qlYieldTSDiscount($U$35,Y5375,,Trigger)</f>
        <v>0.81801417446173696</v>
      </c>
    </row>
    <row r="5376" spans="25:26" x14ac:dyDescent="0.25">
      <c r="Y5376" s="63">
        <v>47909</v>
      </c>
      <c r="Z5376" s="61">
        <f>_xll.qlYieldTSDiscount($U$35,Y5376,,Trigger)</f>
        <v>0.81798044011638849</v>
      </c>
    </row>
    <row r="5377" spans="25:26" x14ac:dyDescent="0.25">
      <c r="Y5377" s="63">
        <v>47910</v>
      </c>
      <c r="Z5377" s="61">
        <f>_xll.qlYieldTSDiscount($U$35,Y5377,,Trigger)</f>
        <v>0.81794670529814428</v>
      </c>
    </row>
    <row r="5378" spans="25:26" x14ac:dyDescent="0.25">
      <c r="Y5378" s="63">
        <v>47911</v>
      </c>
      <c r="Z5378" s="61">
        <f>_xll.qlYieldTSDiscount($U$35,Y5378,,Trigger)</f>
        <v>0.81791297000461072</v>
      </c>
    </row>
    <row r="5379" spans="25:26" x14ac:dyDescent="0.25">
      <c r="Y5379" s="63">
        <v>47912</v>
      </c>
      <c r="Z5379" s="61">
        <f>_xll.qlYieldTSDiscount($U$35,Y5379,,Trigger)</f>
        <v>0.81787923423339437</v>
      </c>
    </row>
    <row r="5380" spans="25:26" x14ac:dyDescent="0.25">
      <c r="Y5380" s="63">
        <v>47913</v>
      </c>
      <c r="Z5380" s="61">
        <f>_xll.qlYieldTSDiscount($U$35,Y5380,,Trigger)</f>
        <v>0.8178454979821016</v>
      </c>
    </row>
    <row r="5381" spans="25:26" x14ac:dyDescent="0.25">
      <c r="Y5381" s="63">
        <v>47914</v>
      </c>
      <c r="Z5381" s="61">
        <f>_xll.qlYieldTSDiscount($U$35,Y5381,,Trigger)</f>
        <v>0.81781176124833899</v>
      </c>
    </row>
    <row r="5382" spans="25:26" x14ac:dyDescent="0.25">
      <c r="Y5382" s="63">
        <v>47915</v>
      </c>
      <c r="Z5382" s="61">
        <f>_xll.qlYieldTSDiscount($U$35,Y5382,,Trigger)</f>
        <v>0.817778024029713</v>
      </c>
    </row>
    <row r="5383" spans="25:26" x14ac:dyDescent="0.25">
      <c r="Y5383" s="63">
        <v>47916</v>
      </c>
      <c r="Z5383" s="61">
        <f>_xll.qlYieldTSDiscount($U$35,Y5383,,Trigger)</f>
        <v>0.81774428632383012</v>
      </c>
    </row>
    <row r="5384" spans="25:26" x14ac:dyDescent="0.25">
      <c r="Y5384" s="63">
        <v>47917</v>
      </c>
      <c r="Z5384" s="61">
        <f>_xll.qlYieldTSDiscount($U$35,Y5384,,Trigger)</f>
        <v>0.8177105481282968</v>
      </c>
    </row>
    <row r="5385" spans="25:26" x14ac:dyDescent="0.25">
      <c r="Y5385" s="63">
        <v>47918</v>
      </c>
      <c r="Z5385" s="61">
        <f>_xll.qlYieldTSDiscount($U$35,Y5385,,Trigger)</f>
        <v>0.81767680944071941</v>
      </c>
    </row>
    <row r="5386" spans="25:26" x14ac:dyDescent="0.25">
      <c r="Y5386" s="63">
        <v>47919</v>
      </c>
      <c r="Z5386" s="61">
        <f>_xll.qlYieldTSDiscount($U$35,Y5386,,Trigger)</f>
        <v>0.81764307025870475</v>
      </c>
    </row>
    <row r="5387" spans="25:26" x14ac:dyDescent="0.25">
      <c r="Y5387" s="63">
        <v>47920</v>
      </c>
      <c r="Z5387" s="61">
        <f>_xll.qlYieldTSDiscount($U$35,Y5387,,Trigger)</f>
        <v>0.81760933057985896</v>
      </c>
    </row>
    <row r="5388" spans="25:26" x14ac:dyDescent="0.25">
      <c r="Y5388" s="63">
        <v>47921</v>
      </c>
      <c r="Z5388" s="61">
        <f>_xll.qlYieldTSDiscount($U$35,Y5388,,Trigger)</f>
        <v>0.81757559040178873</v>
      </c>
    </row>
    <row r="5389" spans="25:26" x14ac:dyDescent="0.25">
      <c r="Y5389" s="63">
        <v>47922</v>
      </c>
      <c r="Z5389" s="61">
        <f>_xll.qlYieldTSDiscount($U$35,Y5389,,Trigger)</f>
        <v>0.81754184972210042</v>
      </c>
    </row>
    <row r="5390" spans="25:26" x14ac:dyDescent="0.25">
      <c r="Y5390" s="63">
        <v>47923</v>
      </c>
      <c r="Z5390" s="61">
        <f>_xll.qlYieldTSDiscount($U$35,Y5390,,Trigger)</f>
        <v>0.8175081085384005</v>
      </c>
    </row>
    <row r="5391" spans="25:26" x14ac:dyDescent="0.25">
      <c r="Y5391" s="63">
        <v>47924</v>
      </c>
      <c r="Z5391" s="61">
        <f>_xll.qlYieldTSDiscount($U$35,Y5391,,Trigger)</f>
        <v>0.81747436684829566</v>
      </c>
    </row>
    <row r="5392" spans="25:26" x14ac:dyDescent="0.25">
      <c r="Y5392" s="63">
        <v>47925</v>
      </c>
      <c r="Z5392" s="61">
        <f>_xll.qlYieldTSDiscount($U$35,Y5392,,Trigger)</f>
        <v>0.81744062464939216</v>
      </c>
    </row>
    <row r="5393" spans="25:26" x14ac:dyDescent="0.25">
      <c r="Y5393" s="63">
        <v>47926</v>
      </c>
      <c r="Z5393" s="61">
        <f>_xll.qlYieldTSDiscount($U$35,Y5393,,Trigger)</f>
        <v>0.81740688193929656</v>
      </c>
    </row>
    <row r="5394" spans="25:26" x14ac:dyDescent="0.25">
      <c r="Y5394" s="63">
        <v>47927</v>
      </c>
      <c r="Z5394" s="61">
        <f>_xll.qlYieldTSDiscount($U$35,Y5394,,Trigger)</f>
        <v>0.81737313871561534</v>
      </c>
    </row>
    <row r="5395" spans="25:26" x14ac:dyDescent="0.25">
      <c r="Y5395" s="63">
        <v>47928</v>
      </c>
      <c r="Z5395" s="61">
        <f>_xll.qlYieldTSDiscount($U$35,Y5395,,Trigger)</f>
        <v>0.81733939497595498</v>
      </c>
    </row>
    <row r="5396" spans="25:26" x14ac:dyDescent="0.25">
      <c r="Y5396" s="63">
        <v>47929</v>
      </c>
      <c r="Z5396" s="61">
        <f>_xll.qlYieldTSDiscount($U$35,Y5396,,Trigger)</f>
        <v>0.81730565071792194</v>
      </c>
    </row>
    <row r="5397" spans="25:26" x14ac:dyDescent="0.25">
      <c r="Y5397" s="63">
        <v>47930</v>
      </c>
      <c r="Z5397" s="61">
        <f>_xll.qlYieldTSDiscount($U$35,Y5397,,Trigger)</f>
        <v>0.81727190593912269</v>
      </c>
    </row>
    <row r="5398" spans="25:26" x14ac:dyDescent="0.25">
      <c r="Y5398" s="63">
        <v>47931</v>
      </c>
      <c r="Z5398" s="61">
        <f>_xll.qlYieldTSDiscount($U$35,Y5398,,Trigger)</f>
        <v>0.81723816063716381</v>
      </c>
    </row>
    <row r="5399" spans="25:26" x14ac:dyDescent="0.25">
      <c r="Y5399" s="63">
        <v>47932</v>
      </c>
      <c r="Z5399" s="61">
        <f>_xll.qlYieldTSDiscount($U$35,Y5399,,Trigger)</f>
        <v>0.81720441480965167</v>
      </c>
    </row>
    <row r="5400" spans="25:26" x14ac:dyDescent="0.25">
      <c r="Y5400" s="63">
        <v>47933</v>
      </c>
      <c r="Z5400" s="61">
        <f>_xll.qlYieldTSDiscount($U$35,Y5400,,Trigger)</f>
        <v>0.81717066845419284</v>
      </c>
    </row>
    <row r="5401" spans="25:26" x14ac:dyDescent="0.25">
      <c r="Y5401" s="63">
        <v>47934</v>
      </c>
      <c r="Z5401" s="61">
        <f>_xll.qlYieldTSDiscount($U$35,Y5401,,Trigger)</f>
        <v>0.81713692156839368</v>
      </c>
    </row>
    <row r="5402" spans="25:26" x14ac:dyDescent="0.25">
      <c r="Y5402" s="63">
        <v>47935</v>
      </c>
      <c r="Z5402" s="61">
        <f>_xll.qlYieldTSDiscount($U$35,Y5402,,Trigger)</f>
        <v>0.81710317414986067</v>
      </c>
    </row>
    <row r="5403" spans="25:26" x14ac:dyDescent="0.25">
      <c r="Y5403" s="63">
        <v>47936</v>
      </c>
      <c r="Z5403" s="61">
        <f>_xll.qlYieldTSDiscount($U$35,Y5403,,Trigger)</f>
        <v>0.81706942619620049</v>
      </c>
    </row>
    <row r="5404" spans="25:26" x14ac:dyDescent="0.25">
      <c r="Y5404" s="63">
        <v>47937</v>
      </c>
      <c r="Z5404" s="61">
        <f>_xll.qlYieldTSDiscount($U$35,Y5404,,Trigger)</f>
        <v>0.8170356777050195</v>
      </c>
    </row>
    <row r="5405" spans="25:26" x14ac:dyDescent="0.25">
      <c r="Y5405" s="63">
        <v>47938</v>
      </c>
      <c r="Z5405" s="61">
        <f>_xll.qlYieldTSDiscount($U$35,Y5405,,Trigger)</f>
        <v>0.81700192867392407</v>
      </c>
    </row>
    <row r="5406" spans="25:26" x14ac:dyDescent="0.25">
      <c r="Y5406" s="63">
        <v>47939</v>
      </c>
      <c r="Z5406" s="61">
        <f>_xll.qlYieldTSDiscount($U$35,Y5406,,Trigger)</f>
        <v>0.81696817910052089</v>
      </c>
    </row>
    <row r="5407" spans="25:26" x14ac:dyDescent="0.25">
      <c r="Y5407" s="63">
        <v>47940</v>
      </c>
      <c r="Z5407" s="61">
        <f>_xll.qlYieldTSDiscount($U$35,Y5407,,Trigger)</f>
        <v>0.81693442898241631</v>
      </c>
    </row>
    <row r="5408" spans="25:26" x14ac:dyDescent="0.25">
      <c r="Y5408" s="63">
        <v>47941</v>
      </c>
      <c r="Z5408" s="61">
        <f>_xll.qlYieldTSDiscount($U$35,Y5408,,Trigger)</f>
        <v>0.81690067831721669</v>
      </c>
    </row>
    <row r="5409" spans="25:26" x14ac:dyDescent="0.25">
      <c r="Y5409" s="63">
        <v>47942</v>
      </c>
      <c r="Z5409" s="61">
        <f>_xll.qlYieldTSDiscount($U$35,Y5409,,Trigger)</f>
        <v>0.81686692710252884</v>
      </c>
    </row>
    <row r="5410" spans="25:26" x14ac:dyDescent="0.25">
      <c r="Y5410" s="63">
        <v>47943</v>
      </c>
      <c r="Z5410" s="61">
        <f>_xll.qlYieldTSDiscount($U$35,Y5410,,Trigger)</f>
        <v>0.81683317533595889</v>
      </c>
    </row>
    <row r="5411" spans="25:26" x14ac:dyDescent="0.25">
      <c r="Y5411" s="63">
        <v>47944</v>
      </c>
      <c r="Z5411" s="61">
        <f>_xll.qlYieldTSDiscount($U$35,Y5411,,Trigger)</f>
        <v>0.81679942301511366</v>
      </c>
    </row>
    <row r="5412" spans="25:26" x14ac:dyDescent="0.25">
      <c r="Y5412" s="63">
        <v>47945</v>
      </c>
      <c r="Z5412" s="61">
        <f>_xll.qlYieldTSDiscount($U$35,Y5412,,Trigger)</f>
        <v>0.81676567013759938</v>
      </c>
    </row>
    <row r="5413" spans="25:26" x14ac:dyDescent="0.25">
      <c r="Y5413" s="63">
        <v>47946</v>
      </c>
      <c r="Z5413" s="61">
        <f>_xll.qlYieldTSDiscount($U$35,Y5413,,Trigger)</f>
        <v>0.81673191670102252</v>
      </c>
    </row>
    <row r="5414" spans="25:26" x14ac:dyDescent="0.25">
      <c r="Y5414" s="63">
        <v>47947</v>
      </c>
      <c r="Z5414" s="61">
        <f>_xll.qlYieldTSDiscount($U$35,Y5414,,Trigger)</f>
        <v>0.81669816270298978</v>
      </c>
    </row>
    <row r="5415" spans="25:26" x14ac:dyDescent="0.25">
      <c r="Y5415" s="63">
        <v>47948</v>
      </c>
      <c r="Z5415" s="61">
        <f>_xll.qlYieldTSDiscount($U$35,Y5415,,Trigger)</f>
        <v>0.81666440814110741</v>
      </c>
    </row>
    <row r="5416" spans="25:26" x14ac:dyDescent="0.25">
      <c r="Y5416" s="63">
        <v>47949</v>
      </c>
      <c r="Z5416" s="61">
        <f>_xll.qlYieldTSDiscount($U$35,Y5416,,Trigger)</f>
        <v>0.8166306530129821</v>
      </c>
    </row>
    <row r="5417" spans="25:26" x14ac:dyDescent="0.25">
      <c r="Y5417" s="63">
        <v>47950</v>
      </c>
      <c r="Z5417" s="61">
        <f>_xll.qlYieldTSDiscount($U$35,Y5417,,Trigger)</f>
        <v>0.81659689731622009</v>
      </c>
    </row>
    <row r="5418" spans="25:26" x14ac:dyDescent="0.25">
      <c r="Y5418" s="63">
        <v>47951</v>
      </c>
      <c r="Z5418" s="61">
        <f>_xll.qlYieldTSDiscount($U$35,Y5418,,Trigger)</f>
        <v>0.81656314104842809</v>
      </c>
    </row>
    <row r="5419" spans="25:26" x14ac:dyDescent="0.25">
      <c r="Y5419" s="63">
        <v>47952</v>
      </c>
      <c r="Z5419" s="61">
        <f>_xll.qlYieldTSDiscount($U$35,Y5419,,Trigger)</f>
        <v>0.81652938420721244</v>
      </c>
    </row>
    <row r="5420" spans="25:26" x14ac:dyDescent="0.25">
      <c r="Y5420" s="63">
        <v>47953</v>
      </c>
      <c r="Z5420" s="61">
        <f>_xll.qlYieldTSDiscount($U$35,Y5420,,Trigger)</f>
        <v>0.81649562679017962</v>
      </c>
    </row>
    <row r="5421" spans="25:26" x14ac:dyDescent="0.25">
      <c r="Y5421" s="63">
        <v>47954</v>
      </c>
      <c r="Z5421" s="61">
        <f>_xll.qlYieldTSDiscount($U$35,Y5421,,Trigger)</f>
        <v>0.81646186879493621</v>
      </c>
    </row>
    <row r="5422" spans="25:26" x14ac:dyDescent="0.25">
      <c r="Y5422" s="63">
        <v>47955</v>
      </c>
      <c r="Z5422" s="61">
        <f>_xll.qlYieldTSDiscount($U$35,Y5422,,Trigger)</f>
        <v>0.81642811021908857</v>
      </c>
    </row>
    <row r="5423" spans="25:26" x14ac:dyDescent="0.25">
      <c r="Y5423" s="63">
        <v>47956</v>
      </c>
      <c r="Z5423" s="61">
        <f>_xll.qlYieldTSDiscount($U$35,Y5423,,Trigger)</f>
        <v>0.81639435106024338</v>
      </c>
    </row>
    <row r="5424" spans="25:26" x14ac:dyDescent="0.25">
      <c r="Y5424" s="63">
        <v>47957</v>
      </c>
      <c r="Z5424" s="61">
        <f>_xll.qlYieldTSDiscount($U$35,Y5424,,Trigger)</f>
        <v>0.8163605913160068</v>
      </c>
    </row>
    <row r="5425" spans="25:26" x14ac:dyDescent="0.25">
      <c r="Y5425" s="63">
        <v>47958</v>
      </c>
      <c r="Z5425" s="61">
        <f>_xll.qlYieldTSDiscount($U$35,Y5425,,Trigger)</f>
        <v>0.81632683098398562</v>
      </c>
    </row>
    <row r="5426" spans="25:26" x14ac:dyDescent="0.25">
      <c r="Y5426" s="63">
        <v>47959</v>
      </c>
      <c r="Z5426" s="61">
        <f>_xll.qlYieldTSDiscount($U$35,Y5426,,Trigger)</f>
        <v>0.8162930700617862</v>
      </c>
    </row>
    <row r="5427" spans="25:26" x14ac:dyDescent="0.25">
      <c r="Y5427" s="63">
        <v>47960</v>
      </c>
      <c r="Z5427" s="61">
        <f>_xll.qlYieldTSDiscount($U$35,Y5427,,Trigger)</f>
        <v>0.81625930854701489</v>
      </c>
    </row>
    <row r="5428" spans="25:26" x14ac:dyDescent="0.25">
      <c r="Y5428" s="63">
        <v>47961</v>
      </c>
      <c r="Z5428" s="61">
        <f>_xll.qlYieldTSDiscount($U$35,Y5428,,Trigger)</f>
        <v>0.8162255464372784</v>
      </c>
    </row>
    <row r="5429" spans="25:26" x14ac:dyDescent="0.25">
      <c r="Y5429" s="63">
        <v>47962</v>
      </c>
      <c r="Z5429" s="61">
        <f>_xll.qlYieldTSDiscount($U$35,Y5429,,Trigger)</f>
        <v>0.81619178373018308</v>
      </c>
    </row>
    <row r="5430" spans="25:26" x14ac:dyDescent="0.25">
      <c r="Y5430" s="63">
        <v>47963</v>
      </c>
      <c r="Z5430" s="61">
        <f>_xll.qlYieldTSDiscount($U$35,Y5430,,Trigger)</f>
        <v>0.81615802042333541</v>
      </c>
    </row>
    <row r="5431" spans="25:26" x14ac:dyDescent="0.25">
      <c r="Y5431" s="63">
        <v>47964</v>
      </c>
      <c r="Z5431" s="61">
        <f>_xll.qlYieldTSDiscount($U$35,Y5431,,Trigger)</f>
        <v>0.81612425651434195</v>
      </c>
    </row>
    <row r="5432" spans="25:26" x14ac:dyDescent="0.25">
      <c r="Y5432" s="63">
        <v>47965</v>
      </c>
      <c r="Z5432" s="61">
        <f>_xll.qlYieldTSDiscount($U$35,Y5432,,Trigger)</f>
        <v>0.81609049200080919</v>
      </c>
    </row>
    <row r="5433" spans="25:26" x14ac:dyDescent="0.25">
      <c r="Y5433" s="63">
        <v>47966</v>
      </c>
      <c r="Z5433" s="61">
        <f>_xll.qlYieldTSDiscount($U$35,Y5433,,Trigger)</f>
        <v>0.81605672688034347</v>
      </c>
    </row>
    <row r="5434" spans="25:26" x14ac:dyDescent="0.25">
      <c r="Y5434" s="63">
        <v>47967</v>
      </c>
      <c r="Z5434" s="61">
        <f>_xll.qlYieldTSDiscount($U$35,Y5434,,Trigger)</f>
        <v>0.81602296115055128</v>
      </c>
    </row>
    <row r="5435" spans="25:26" x14ac:dyDescent="0.25">
      <c r="Y5435" s="63">
        <v>47968</v>
      </c>
      <c r="Z5435" s="61">
        <f>_xll.qlYieldTSDiscount($U$35,Y5435,,Trigger)</f>
        <v>0.8159891948090392</v>
      </c>
    </row>
    <row r="5436" spans="25:26" x14ac:dyDescent="0.25">
      <c r="Y5436" s="63">
        <v>47969</v>
      </c>
      <c r="Z5436" s="61">
        <f>_xll.qlYieldTSDiscount($U$35,Y5436,,Trigger)</f>
        <v>0.81595542785341379</v>
      </c>
    </row>
    <row r="5437" spans="25:26" x14ac:dyDescent="0.25">
      <c r="Y5437" s="63">
        <v>47970</v>
      </c>
      <c r="Z5437" s="61">
        <f>_xll.qlYieldTSDiscount($U$35,Y5437,,Trigger)</f>
        <v>0.81592166028128132</v>
      </c>
    </row>
    <row r="5438" spans="25:26" x14ac:dyDescent="0.25">
      <c r="Y5438" s="63">
        <v>47971</v>
      </c>
      <c r="Z5438" s="61">
        <f>_xll.qlYieldTSDiscount($U$35,Y5438,,Trigger)</f>
        <v>0.81588789209024837</v>
      </c>
    </row>
    <row r="5439" spans="25:26" x14ac:dyDescent="0.25">
      <c r="Y5439" s="63">
        <v>47972</v>
      </c>
      <c r="Z5439" s="61">
        <f>_xll.qlYieldTSDiscount($U$35,Y5439,,Trigger)</f>
        <v>0.81585412327792151</v>
      </c>
    </row>
    <row r="5440" spans="25:26" x14ac:dyDescent="0.25">
      <c r="Y5440" s="63">
        <v>47973</v>
      </c>
      <c r="Z5440" s="61">
        <f>_xll.qlYieldTSDiscount($U$35,Y5440,,Trigger)</f>
        <v>0.8158203538419071</v>
      </c>
    </row>
    <row r="5441" spans="25:26" x14ac:dyDescent="0.25">
      <c r="Y5441" s="63">
        <v>47974</v>
      </c>
      <c r="Z5441" s="61">
        <f>_xll.qlYieldTSDiscount($U$35,Y5441,,Trigger)</f>
        <v>0.81578658377981161</v>
      </c>
    </row>
    <row r="5442" spans="25:26" x14ac:dyDescent="0.25">
      <c r="Y5442" s="63">
        <v>47975</v>
      </c>
      <c r="Z5442" s="61">
        <f>_xll.qlYieldTSDiscount($U$35,Y5442,,Trigger)</f>
        <v>0.81575281308924152</v>
      </c>
    </row>
    <row r="5443" spans="25:26" x14ac:dyDescent="0.25">
      <c r="Y5443" s="63">
        <v>47976</v>
      </c>
      <c r="Z5443" s="61">
        <f>_xll.qlYieldTSDiscount($U$35,Y5443,,Trigger)</f>
        <v>0.81571904176780352</v>
      </c>
    </row>
    <row r="5444" spans="25:26" x14ac:dyDescent="0.25">
      <c r="Y5444" s="63">
        <v>47977</v>
      </c>
      <c r="Z5444" s="61">
        <f>_xll.qlYieldTSDiscount($U$35,Y5444,,Trigger)</f>
        <v>0.81568526981310385</v>
      </c>
    </row>
    <row r="5445" spans="25:26" x14ac:dyDescent="0.25">
      <c r="Y5445" s="63">
        <v>47978</v>
      </c>
      <c r="Z5445" s="61">
        <f>_xll.qlYieldTSDiscount($U$35,Y5445,,Trigger)</f>
        <v>0.81565149722274899</v>
      </c>
    </row>
    <row r="5446" spans="25:26" x14ac:dyDescent="0.25">
      <c r="Y5446" s="63">
        <v>47979</v>
      </c>
      <c r="Z5446" s="61">
        <f>_xll.qlYieldTSDiscount($U$35,Y5446,,Trigger)</f>
        <v>0.81561772399434551</v>
      </c>
    </row>
    <row r="5447" spans="25:26" x14ac:dyDescent="0.25">
      <c r="Y5447" s="63">
        <v>47980</v>
      </c>
      <c r="Z5447" s="61">
        <f>_xll.qlYieldTSDiscount($U$35,Y5447,,Trigger)</f>
        <v>0.8155839501255</v>
      </c>
    </row>
    <row r="5448" spans="25:26" x14ac:dyDescent="0.25">
      <c r="Y5448" s="63">
        <v>47981</v>
      </c>
      <c r="Z5448" s="61">
        <f>_xll.qlYieldTSDiscount($U$35,Y5448,,Trigger)</f>
        <v>0.81555017561381871</v>
      </c>
    </row>
    <row r="5449" spans="25:26" x14ac:dyDescent="0.25">
      <c r="Y5449" s="63">
        <v>47982</v>
      </c>
      <c r="Z5449" s="61">
        <f>_xll.qlYieldTSDiscount($U$35,Y5449,,Trigger)</f>
        <v>0.81551640045690821</v>
      </c>
    </row>
    <row r="5450" spans="25:26" x14ac:dyDescent="0.25">
      <c r="Y5450" s="63">
        <v>47983</v>
      </c>
      <c r="Z5450" s="61">
        <f>_xll.qlYieldTSDiscount($U$35,Y5450,,Trigger)</f>
        <v>0.81548262465237509</v>
      </c>
    </row>
    <row r="5451" spans="25:26" x14ac:dyDescent="0.25">
      <c r="Y5451" s="63">
        <v>47984</v>
      </c>
      <c r="Z5451" s="61">
        <f>_xll.qlYieldTSDiscount($U$35,Y5451,,Trigger)</f>
        <v>0.8154488481978257</v>
      </c>
    </row>
    <row r="5452" spans="25:26" x14ac:dyDescent="0.25">
      <c r="Y5452" s="63">
        <v>47985</v>
      </c>
      <c r="Z5452" s="61">
        <f>_xll.qlYieldTSDiscount($U$35,Y5452,,Trigger)</f>
        <v>0.81541507109086653</v>
      </c>
    </row>
    <row r="5453" spans="25:26" x14ac:dyDescent="0.25">
      <c r="Y5453" s="63">
        <v>47986</v>
      </c>
      <c r="Z5453" s="61">
        <f>_xll.qlYieldTSDiscount($U$35,Y5453,,Trigger)</f>
        <v>0.81538129332910414</v>
      </c>
    </row>
    <row r="5454" spans="25:26" x14ac:dyDescent="0.25">
      <c r="Y5454" s="63">
        <v>47987</v>
      </c>
      <c r="Z5454" s="61">
        <f>_xll.qlYieldTSDiscount($U$35,Y5454,,Trigger)</f>
        <v>0.8153475149101449</v>
      </c>
    </row>
    <row r="5455" spans="25:26" x14ac:dyDescent="0.25">
      <c r="Y5455" s="63">
        <v>47988</v>
      </c>
      <c r="Z5455" s="61">
        <f>_xll.qlYieldTSDiscount($U$35,Y5455,,Trigger)</f>
        <v>0.81531373583159539</v>
      </c>
    </row>
    <row r="5456" spans="25:26" x14ac:dyDescent="0.25">
      <c r="Y5456" s="63">
        <v>47989</v>
      </c>
      <c r="Z5456" s="61">
        <f>_xll.qlYieldTSDiscount($U$35,Y5456,,Trigger)</f>
        <v>0.81527995609106207</v>
      </c>
    </row>
    <row r="5457" spans="25:26" x14ac:dyDescent="0.25">
      <c r="Y5457" s="63">
        <v>47990</v>
      </c>
      <c r="Z5457" s="61">
        <f>_xll.qlYieldTSDiscount($U$35,Y5457,,Trigger)</f>
        <v>0.81524617568615143</v>
      </c>
    </row>
    <row r="5458" spans="25:26" x14ac:dyDescent="0.25">
      <c r="Y5458" s="63">
        <v>47991</v>
      </c>
      <c r="Z5458" s="61">
        <f>_xll.qlYieldTSDiscount($U$35,Y5458,,Trigger)</f>
        <v>0.81521239461446982</v>
      </c>
    </row>
    <row r="5459" spans="25:26" x14ac:dyDescent="0.25">
      <c r="Y5459" s="63">
        <v>47992</v>
      </c>
      <c r="Z5459" s="61">
        <f>_xll.qlYieldTSDiscount($U$35,Y5459,,Trigger)</f>
        <v>0.81517861287362392</v>
      </c>
    </row>
    <row r="5460" spans="25:26" x14ac:dyDescent="0.25">
      <c r="Y5460" s="63">
        <v>47993</v>
      </c>
      <c r="Z5460" s="61">
        <f>_xll.qlYieldTSDiscount($U$35,Y5460,,Trigger)</f>
        <v>0.8151448304612201</v>
      </c>
    </row>
    <row r="5461" spans="25:26" x14ac:dyDescent="0.25">
      <c r="Y5461" s="63">
        <v>47994</v>
      </c>
      <c r="Z5461" s="61">
        <f>_xll.qlYieldTSDiscount($U$35,Y5461,,Trigger)</f>
        <v>0.81511104737486484</v>
      </c>
    </row>
    <row r="5462" spans="25:26" x14ac:dyDescent="0.25">
      <c r="Y5462" s="63">
        <v>47995</v>
      </c>
      <c r="Z5462" s="61">
        <f>_xll.qlYieldTSDiscount($U$35,Y5462,,Trigger)</f>
        <v>0.81507726361216459</v>
      </c>
    </row>
    <row r="5463" spans="25:26" x14ac:dyDescent="0.25">
      <c r="Y5463" s="63">
        <v>47996</v>
      </c>
      <c r="Z5463" s="61">
        <f>_xll.qlYieldTSDiscount($U$35,Y5463,,Trigger)</f>
        <v>0.81504347917072595</v>
      </c>
    </row>
    <row r="5464" spans="25:26" x14ac:dyDescent="0.25">
      <c r="Y5464" s="63">
        <v>47997</v>
      </c>
      <c r="Z5464" s="61">
        <f>_xll.qlYieldTSDiscount($U$35,Y5464,,Trigger)</f>
        <v>0.81500969404815526</v>
      </c>
    </row>
    <row r="5465" spans="25:26" x14ac:dyDescent="0.25">
      <c r="Y5465" s="63">
        <v>47998</v>
      </c>
      <c r="Z5465" s="61">
        <f>_xll.qlYieldTSDiscount($U$35,Y5465,,Trigger)</f>
        <v>0.81497590824205912</v>
      </c>
    </row>
    <row r="5466" spans="25:26" x14ac:dyDescent="0.25">
      <c r="Y5466" s="63">
        <v>47999</v>
      </c>
      <c r="Z5466" s="61">
        <f>_xll.qlYieldTSDiscount($U$35,Y5466,,Trigger)</f>
        <v>0.81494212175004399</v>
      </c>
    </row>
    <row r="5467" spans="25:26" x14ac:dyDescent="0.25">
      <c r="Y5467" s="63">
        <v>48000</v>
      </c>
      <c r="Z5467" s="61">
        <f>_xll.qlYieldTSDiscount($U$35,Y5467,,Trigger)</f>
        <v>0.81490833456971623</v>
      </c>
    </row>
    <row r="5468" spans="25:26" x14ac:dyDescent="0.25">
      <c r="Y5468" s="63">
        <v>48001</v>
      </c>
      <c r="Z5468" s="61">
        <f>_xll.qlYieldTSDiscount($U$35,Y5468,,Trigger)</f>
        <v>0.81487454669868253</v>
      </c>
    </row>
    <row r="5469" spans="25:26" x14ac:dyDescent="0.25">
      <c r="Y5469" s="63">
        <v>48002</v>
      </c>
      <c r="Z5469" s="61">
        <f>_xll.qlYieldTSDiscount($U$35,Y5469,,Trigger)</f>
        <v>0.81484075813454915</v>
      </c>
    </row>
    <row r="5470" spans="25:26" x14ac:dyDescent="0.25">
      <c r="Y5470" s="63">
        <v>48003</v>
      </c>
      <c r="Z5470" s="61">
        <f>_xll.qlYieldTSDiscount($U$35,Y5470,,Trigger)</f>
        <v>0.81480696887492265</v>
      </c>
    </row>
    <row r="5471" spans="25:26" x14ac:dyDescent="0.25">
      <c r="Y5471" s="63">
        <v>48004</v>
      </c>
      <c r="Z5471" s="61">
        <f>_xll.qlYieldTSDiscount($U$35,Y5471,,Trigger)</f>
        <v>0.81477317891740964</v>
      </c>
    </row>
    <row r="5472" spans="25:26" x14ac:dyDescent="0.25">
      <c r="Y5472" s="63">
        <v>48005</v>
      </c>
      <c r="Z5472" s="61">
        <f>_xll.qlYieldTSDiscount($U$35,Y5472,,Trigger)</f>
        <v>0.81473938825961645</v>
      </c>
    </row>
    <row r="5473" spans="25:26" x14ac:dyDescent="0.25">
      <c r="Y5473" s="63">
        <v>48006</v>
      </c>
      <c r="Z5473" s="61">
        <f>_xll.qlYieldTSDiscount($U$35,Y5473,,Trigger)</f>
        <v>0.81470559689914956</v>
      </c>
    </row>
    <row r="5474" spans="25:26" x14ac:dyDescent="0.25">
      <c r="Y5474" s="63">
        <v>48007</v>
      </c>
      <c r="Z5474" s="61">
        <f>_xll.qlYieldTSDiscount($U$35,Y5474,,Trigger)</f>
        <v>0.81467180483361556</v>
      </c>
    </row>
    <row r="5475" spans="25:26" x14ac:dyDescent="0.25">
      <c r="Y5475" s="63">
        <v>48008</v>
      </c>
      <c r="Z5475" s="61">
        <f>_xll.qlYieldTSDiscount($U$35,Y5475,,Trigger)</f>
        <v>0.81463801206062081</v>
      </c>
    </row>
    <row r="5476" spans="25:26" x14ac:dyDescent="0.25">
      <c r="Y5476" s="63">
        <v>48009</v>
      </c>
      <c r="Z5476" s="61">
        <f>_xll.qlYieldTSDiscount($U$35,Y5476,,Trigger)</f>
        <v>0.81460421857777188</v>
      </c>
    </row>
    <row r="5477" spans="25:26" x14ac:dyDescent="0.25">
      <c r="Y5477" s="63">
        <v>48010</v>
      </c>
      <c r="Z5477" s="61">
        <f>_xll.qlYieldTSDiscount($U$35,Y5477,,Trigger)</f>
        <v>0.81457042438267524</v>
      </c>
    </row>
    <row r="5478" spans="25:26" x14ac:dyDescent="0.25">
      <c r="Y5478" s="63">
        <v>48011</v>
      </c>
      <c r="Z5478" s="61">
        <f>_xll.qlYieldTSDiscount($U$35,Y5478,,Trigger)</f>
        <v>0.81453662947293726</v>
      </c>
    </row>
    <row r="5479" spans="25:26" x14ac:dyDescent="0.25">
      <c r="Y5479" s="63">
        <v>48012</v>
      </c>
      <c r="Z5479" s="61">
        <f>_xll.qlYieldTSDiscount($U$35,Y5479,,Trigger)</f>
        <v>0.81450283384616462</v>
      </c>
    </row>
    <row r="5480" spans="25:26" x14ac:dyDescent="0.25">
      <c r="Y5480" s="63">
        <v>48013</v>
      </c>
      <c r="Z5480" s="61">
        <f>_xll.qlYieldTSDiscount($U$35,Y5480,,Trigger)</f>
        <v>0.81446903749996358</v>
      </c>
    </row>
    <row r="5481" spans="25:26" x14ac:dyDescent="0.25">
      <c r="Y5481" s="63">
        <v>48014</v>
      </c>
      <c r="Z5481" s="61">
        <f>_xll.qlYieldTSDiscount($U$35,Y5481,,Trigger)</f>
        <v>0.81443524043194082</v>
      </c>
    </row>
    <row r="5482" spans="25:26" x14ac:dyDescent="0.25">
      <c r="Y5482" s="63">
        <v>48015</v>
      </c>
      <c r="Z5482" s="61">
        <f>_xll.qlYieldTSDiscount($U$35,Y5482,,Trigger)</f>
        <v>0.8144014426397026</v>
      </c>
    </row>
    <row r="5483" spans="25:26" x14ac:dyDescent="0.25">
      <c r="Y5483" s="63">
        <v>48016</v>
      </c>
      <c r="Z5483" s="61">
        <f>_xll.qlYieldTSDiscount($U$35,Y5483,,Trigger)</f>
        <v>0.8143676441208556</v>
      </c>
    </row>
    <row r="5484" spans="25:26" x14ac:dyDescent="0.25">
      <c r="Y5484" s="63">
        <v>48017</v>
      </c>
      <c r="Z5484" s="61">
        <f>_xll.qlYieldTSDiscount($U$35,Y5484,,Trigger)</f>
        <v>0.81433384487300631</v>
      </c>
    </row>
    <row r="5485" spans="25:26" x14ac:dyDescent="0.25">
      <c r="Y5485" s="63">
        <v>48018</v>
      </c>
      <c r="Z5485" s="61">
        <f>_xll.qlYieldTSDiscount($U$35,Y5485,,Trigger)</f>
        <v>0.81430004489376107</v>
      </c>
    </row>
    <row r="5486" spans="25:26" x14ac:dyDescent="0.25">
      <c r="Y5486" s="63">
        <v>48019</v>
      </c>
      <c r="Z5486" s="61">
        <f>_xll.qlYieldTSDiscount($U$35,Y5486,,Trigger)</f>
        <v>0.81426624418072635</v>
      </c>
    </row>
    <row r="5487" spans="25:26" x14ac:dyDescent="0.25">
      <c r="Y5487" s="63">
        <v>48020</v>
      </c>
      <c r="Z5487" s="61">
        <f>_xll.qlYieldTSDiscount($U$35,Y5487,,Trigger)</f>
        <v>0.81423244273150885</v>
      </c>
    </row>
    <row r="5488" spans="25:26" x14ac:dyDescent="0.25">
      <c r="Y5488" s="63">
        <v>48021</v>
      </c>
      <c r="Z5488" s="61">
        <f>_xll.qlYieldTSDiscount($U$35,Y5488,,Trigger)</f>
        <v>0.81419864054371482</v>
      </c>
    </row>
    <row r="5489" spans="25:26" x14ac:dyDescent="0.25">
      <c r="Y5489" s="63">
        <v>48022</v>
      </c>
      <c r="Z5489" s="61">
        <f>_xll.qlYieldTSDiscount($U$35,Y5489,,Trigger)</f>
        <v>0.81416483761495084</v>
      </c>
    </row>
    <row r="5490" spans="25:26" x14ac:dyDescent="0.25">
      <c r="Y5490" s="63">
        <v>48023</v>
      </c>
      <c r="Z5490" s="61">
        <f>_xll.qlYieldTSDiscount($U$35,Y5490,,Trigger)</f>
        <v>0.81413103394282327</v>
      </c>
    </row>
    <row r="5491" spans="25:26" x14ac:dyDescent="0.25">
      <c r="Y5491" s="63">
        <v>48024</v>
      </c>
      <c r="Z5491" s="61">
        <f>_xll.qlYieldTSDiscount($U$35,Y5491,,Trigger)</f>
        <v>0.81409722952493879</v>
      </c>
    </row>
    <row r="5492" spans="25:26" x14ac:dyDescent="0.25">
      <c r="Y5492" s="63">
        <v>48025</v>
      </c>
      <c r="Z5492" s="61">
        <f>_xll.qlYieldTSDiscount($U$35,Y5492,,Trigger)</f>
        <v>0.81406342435890378</v>
      </c>
    </row>
    <row r="5493" spans="25:26" x14ac:dyDescent="0.25">
      <c r="Y5493" s="63">
        <v>48026</v>
      </c>
      <c r="Z5493" s="61">
        <f>_xll.qlYieldTSDiscount($U$35,Y5493,,Trigger)</f>
        <v>0.8140296184423248</v>
      </c>
    </row>
    <row r="5494" spans="25:26" x14ac:dyDescent="0.25">
      <c r="Y5494" s="63">
        <v>48027</v>
      </c>
      <c r="Z5494" s="61">
        <f>_xll.qlYieldTSDiscount($U$35,Y5494,,Trigger)</f>
        <v>0.81399581177280811</v>
      </c>
    </row>
    <row r="5495" spans="25:26" x14ac:dyDescent="0.25">
      <c r="Y5495" s="63">
        <v>48028</v>
      </c>
      <c r="Z5495" s="61">
        <f>_xll.qlYieldTSDiscount($U$35,Y5495,,Trigger)</f>
        <v>0.8139620043479604</v>
      </c>
    </row>
    <row r="5496" spans="25:26" x14ac:dyDescent="0.25">
      <c r="Y5496" s="63">
        <v>48029</v>
      </c>
      <c r="Z5496" s="61">
        <f>_xll.qlYieldTSDiscount($U$35,Y5496,,Trigger)</f>
        <v>0.81392819616538814</v>
      </c>
    </row>
    <row r="5497" spans="25:26" x14ac:dyDescent="0.25">
      <c r="Y5497" s="63">
        <v>48030</v>
      </c>
      <c r="Z5497" s="61">
        <f>_xll.qlYieldTSDiscount($U$35,Y5497,,Trigger)</f>
        <v>0.81389438722269769</v>
      </c>
    </row>
    <row r="5498" spans="25:26" x14ac:dyDescent="0.25">
      <c r="Y5498" s="63">
        <v>48031</v>
      </c>
      <c r="Z5498" s="61">
        <f>_xll.qlYieldTSDiscount($U$35,Y5498,,Trigger)</f>
        <v>0.81386057751749563</v>
      </c>
    </row>
    <row r="5499" spans="25:26" x14ac:dyDescent="0.25">
      <c r="Y5499" s="63">
        <v>48032</v>
      </c>
      <c r="Z5499" s="61">
        <f>_xll.qlYieldTSDiscount($U$35,Y5499,,Trigger)</f>
        <v>0.81382676704738843</v>
      </c>
    </row>
    <row r="5500" spans="25:26" x14ac:dyDescent="0.25">
      <c r="Y5500" s="63">
        <v>48033</v>
      </c>
      <c r="Z5500" s="61">
        <f>_xll.qlYieldTSDiscount($U$35,Y5500,,Trigger)</f>
        <v>0.81379295580998245</v>
      </c>
    </row>
    <row r="5501" spans="25:26" x14ac:dyDescent="0.25">
      <c r="Y5501" s="63">
        <v>48034</v>
      </c>
      <c r="Z5501" s="61">
        <f>_xll.qlYieldTSDiscount($U$35,Y5501,,Trigger)</f>
        <v>0.81375914380288439</v>
      </c>
    </row>
    <row r="5502" spans="25:26" x14ac:dyDescent="0.25">
      <c r="Y5502" s="63">
        <v>48035</v>
      </c>
      <c r="Z5502" s="61">
        <f>_xll.qlYieldTSDiscount($U$35,Y5502,,Trigger)</f>
        <v>0.81372533102370059</v>
      </c>
    </row>
    <row r="5503" spans="25:26" x14ac:dyDescent="0.25">
      <c r="Y5503" s="63">
        <v>48036</v>
      </c>
      <c r="Z5503" s="61">
        <f>_xll.qlYieldTSDiscount($U$35,Y5503,,Trigger)</f>
        <v>0.81369151747003754</v>
      </c>
    </row>
    <row r="5504" spans="25:26" x14ac:dyDescent="0.25">
      <c r="Y5504" s="63">
        <v>48037</v>
      </c>
      <c r="Z5504" s="61">
        <f>_xll.qlYieldTSDiscount($U$35,Y5504,,Trigger)</f>
        <v>0.8136577031395017</v>
      </c>
    </row>
    <row r="5505" spans="25:26" x14ac:dyDescent="0.25">
      <c r="Y5505" s="63">
        <v>48038</v>
      </c>
      <c r="Z5505" s="61">
        <f>_xll.qlYieldTSDiscount($U$35,Y5505,,Trigger)</f>
        <v>0.81362388802969965</v>
      </c>
    </row>
    <row r="5506" spans="25:26" x14ac:dyDescent="0.25">
      <c r="Y5506" s="63">
        <v>48039</v>
      </c>
      <c r="Z5506" s="61">
        <f>_xll.qlYieldTSDiscount($U$35,Y5506,,Trigger)</f>
        <v>0.81359007213823775</v>
      </c>
    </row>
    <row r="5507" spans="25:26" x14ac:dyDescent="0.25">
      <c r="Y5507" s="63">
        <v>48040</v>
      </c>
      <c r="Z5507" s="61">
        <f>_xll.qlYieldTSDiscount($U$35,Y5507,,Trigger)</f>
        <v>0.81355625546272248</v>
      </c>
    </row>
    <row r="5508" spans="25:26" x14ac:dyDescent="0.25">
      <c r="Y5508" s="63">
        <v>48041</v>
      </c>
      <c r="Z5508" s="61">
        <f>_xll.qlYieldTSDiscount($U$35,Y5508,,Trigger)</f>
        <v>0.81352243800076041</v>
      </c>
    </row>
    <row r="5509" spans="25:26" x14ac:dyDescent="0.25">
      <c r="Y5509" s="63">
        <v>48042</v>
      </c>
      <c r="Z5509" s="61">
        <f>_xll.qlYieldTSDiscount($U$35,Y5509,,Trigger)</f>
        <v>0.81348861974995812</v>
      </c>
    </row>
    <row r="5510" spans="25:26" x14ac:dyDescent="0.25">
      <c r="Y5510" s="63">
        <v>48043</v>
      </c>
      <c r="Z5510" s="61">
        <f>_xll.qlYieldTSDiscount($U$35,Y5510,,Trigger)</f>
        <v>0.81345480070792187</v>
      </c>
    </row>
    <row r="5511" spans="25:26" x14ac:dyDescent="0.25">
      <c r="Y5511" s="63">
        <v>48044</v>
      </c>
      <c r="Z5511" s="61">
        <f>_xll.qlYieldTSDiscount($U$35,Y5511,,Trigger)</f>
        <v>0.81342098087225811</v>
      </c>
    </row>
    <row r="5512" spans="25:26" x14ac:dyDescent="0.25">
      <c r="Y5512" s="63">
        <v>48045</v>
      </c>
      <c r="Z5512" s="61">
        <f>_xll.qlYieldTSDiscount($U$35,Y5512,,Trigger)</f>
        <v>0.81338716024057356</v>
      </c>
    </row>
    <row r="5513" spans="25:26" x14ac:dyDescent="0.25">
      <c r="Y5513" s="63">
        <v>48046</v>
      </c>
      <c r="Z5513" s="61">
        <f>_xll.qlYieldTSDiscount($U$35,Y5513,,Trigger)</f>
        <v>0.81335333881047456</v>
      </c>
    </row>
    <row r="5514" spans="25:26" x14ac:dyDescent="0.25">
      <c r="Y5514" s="63">
        <v>48047</v>
      </c>
      <c r="Z5514" s="61">
        <f>_xll.qlYieldTSDiscount($U$35,Y5514,,Trigger)</f>
        <v>0.81331951657956758</v>
      </c>
    </row>
    <row r="5515" spans="25:26" x14ac:dyDescent="0.25">
      <c r="Y5515" s="63">
        <v>48048</v>
      </c>
      <c r="Z5515" s="61">
        <f>_xll.qlYieldTSDiscount($U$35,Y5515,,Trigger)</f>
        <v>0.81328569354545921</v>
      </c>
    </row>
    <row r="5516" spans="25:26" x14ac:dyDescent="0.25">
      <c r="Y5516" s="63">
        <v>48049</v>
      </c>
      <c r="Z5516" s="61">
        <f>_xll.qlYieldTSDiscount($U$35,Y5516,,Trigger)</f>
        <v>0.8132518697057558</v>
      </c>
    </row>
    <row r="5517" spans="25:26" x14ac:dyDescent="0.25">
      <c r="Y5517" s="63">
        <v>48050</v>
      </c>
      <c r="Z5517" s="61">
        <f>_xll.qlYieldTSDiscount($U$35,Y5517,,Trigger)</f>
        <v>0.81321804505806383</v>
      </c>
    </row>
    <row r="5518" spans="25:26" x14ac:dyDescent="0.25">
      <c r="Y5518" s="63">
        <v>48051</v>
      </c>
      <c r="Z5518" s="61">
        <f>_xll.qlYieldTSDiscount($U$35,Y5518,,Trigger)</f>
        <v>0.81318421959998988</v>
      </c>
    </row>
    <row r="5519" spans="25:26" x14ac:dyDescent="0.25">
      <c r="Y5519" s="63">
        <v>48052</v>
      </c>
      <c r="Z5519" s="61">
        <f>_xll.qlYieldTSDiscount($U$35,Y5519,,Trigger)</f>
        <v>0.81315039332914041</v>
      </c>
    </row>
    <row r="5520" spans="25:26" x14ac:dyDescent="0.25">
      <c r="Y5520" s="63">
        <v>48053</v>
      </c>
      <c r="Z5520" s="61">
        <f>_xll.qlYieldTSDiscount($U$35,Y5520,,Trigger)</f>
        <v>0.81311656624312179</v>
      </c>
    </row>
    <row r="5521" spans="25:26" x14ac:dyDescent="0.25">
      <c r="Y5521" s="63">
        <v>48054</v>
      </c>
      <c r="Z5521" s="61">
        <f>_xll.qlYieldTSDiscount($U$35,Y5521,,Trigger)</f>
        <v>0.8130827383395407</v>
      </c>
    </row>
    <row r="5522" spans="25:26" x14ac:dyDescent="0.25">
      <c r="Y5522" s="63">
        <v>48055</v>
      </c>
      <c r="Z5522" s="61">
        <f>_xll.qlYieldTSDiscount($U$35,Y5522,,Trigger)</f>
        <v>0.8130489096160034</v>
      </c>
    </row>
    <row r="5523" spans="25:26" x14ac:dyDescent="0.25">
      <c r="Y5523" s="63">
        <v>48056</v>
      </c>
      <c r="Z5523" s="61">
        <f>_xll.qlYieldTSDiscount($U$35,Y5523,,Trigger)</f>
        <v>0.81301508007011647</v>
      </c>
    </row>
    <row r="5524" spans="25:26" x14ac:dyDescent="0.25">
      <c r="Y5524" s="63">
        <v>48057</v>
      </c>
      <c r="Z5524" s="61">
        <f>_xll.qlYieldTSDiscount($U$35,Y5524,,Trigger)</f>
        <v>0.81298124969948649</v>
      </c>
    </row>
    <row r="5525" spans="25:26" x14ac:dyDescent="0.25">
      <c r="Y5525" s="63">
        <v>48058</v>
      </c>
      <c r="Z5525" s="61">
        <f>_xll.qlYieldTSDiscount($U$35,Y5525,,Trigger)</f>
        <v>0.81294741850171981</v>
      </c>
    </row>
    <row r="5526" spans="25:26" x14ac:dyDescent="0.25">
      <c r="Y5526" s="63">
        <v>48059</v>
      </c>
      <c r="Z5526" s="61">
        <f>_xll.qlYieldTSDiscount($U$35,Y5526,,Trigger)</f>
        <v>0.81291358647442291</v>
      </c>
    </row>
    <row r="5527" spans="25:26" x14ac:dyDescent="0.25">
      <c r="Y5527" s="63">
        <v>48060</v>
      </c>
      <c r="Z5527" s="61">
        <f>_xll.qlYieldTSDiscount($U$35,Y5527,,Trigger)</f>
        <v>0.81287975361520237</v>
      </c>
    </row>
    <row r="5528" spans="25:26" x14ac:dyDescent="0.25">
      <c r="Y5528" s="63">
        <v>48061</v>
      </c>
      <c r="Z5528" s="61">
        <f>_xll.qlYieldTSDiscount($U$35,Y5528,,Trigger)</f>
        <v>0.81284591992166455</v>
      </c>
    </row>
    <row r="5529" spans="25:26" x14ac:dyDescent="0.25">
      <c r="Y5529" s="63">
        <v>48062</v>
      </c>
      <c r="Z5529" s="61">
        <f>_xll.qlYieldTSDiscount($U$35,Y5529,,Trigger)</f>
        <v>0.81281208539141592</v>
      </c>
    </row>
    <row r="5530" spans="25:26" x14ac:dyDescent="0.25">
      <c r="Y5530" s="63">
        <v>48063</v>
      </c>
      <c r="Z5530" s="61">
        <f>_xll.qlYieldTSDiscount($U$35,Y5530,,Trigger)</f>
        <v>0.81277825002206316</v>
      </c>
    </row>
    <row r="5531" spans="25:26" x14ac:dyDescent="0.25">
      <c r="Y5531" s="63">
        <v>48064</v>
      </c>
      <c r="Z5531" s="61">
        <f>_xll.qlYieldTSDiscount($U$35,Y5531,,Trigger)</f>
        <v>0.81274441381121254</v>
      </c>
    </row>
    <row r="5532" spans="25:26" x14ac:dyDescent="0.25">
      <c r="Y5532" s="63">
        <v>48065</v>
      </c>
      <c r="Z5532" s="61">
        <f>_xll.qlYieldTSDiscount($U$35,Y5532,,Trigger)</f>
        <v>0.81271057675647063</v>
      </c>
    </row>
    <row r="5533" spans="25:26" x14ac:dyDescent="0.25">
      <c r="Y5533" s="63">
        <v>48066</v>
      </c>
      <c r="Z5533" s="61">
        <f>_xll.qlYieldTSDiscount($U$35,Y5533,,Trigger)</f>
        <v>0.812676738855444</v>
      </c>
    </row>
    <row r="5534" spans="25:26" x14ac:dyDescent="0.25">
      <c r="Y5534" s="63">
        <v>48067</v>
      </c>
      <c r="Z5534" s="61">
        <f>_xll.qlYieldTSDiscount($U$35,Y5534,,Trigger)</f>
        <v>0.81264290010573892</v>
      </c>
    </row>
    <row r="5535" spans="25:26" x14ac:dyDescent="0.25">
      <c r="Y5535" s="63">
        <v>48068</v>
      </c>
      <c r="Z5535" s="61">
        <f>_xll.qlYieldTSDiscount($U$35,Y5535,,Trigger)</f>
        <v>0.81260906050496207</v>
      </c>
    </row>
    <row r="5536" spans="25:26" x14ac:dyDescent="0.25">
      <c r="Y5536" s="63">
        <v>48069</v>
      </c>
      <c r="Z5536" s="61">
        <f>_xll.qlYieldTSDiscount($U$35,Y5536,,Trigger)</f>
        <v>0.81257522005071969</v>
      </c>
    </row>
    <row r="5537" spans="25:26" x14ac:dyDescent="0.25">
      <c r="Y5537" s="63">
        <v>48070</v>
      </c>
      <c r="Z5537" s="61">
        <f>_xll.qlYieldTSDiscount($U$35,Y5537,,Trigger)</f>
        <v>0.8125413787406186</v>
      </c>
    </row>
    <row r="5538" spans="25:26" x14ac:dyDescent="0.25">
      <c r="Y5538" s="63">
        <v>48071</v>
      </c>
      <c r="Z5538" s="61">
        <f>_xll.qlYieldTSDiscount($U$35,Y5538,,Trigger)</f>
        <v>0.81250753657226493</v>
      </c>
    </row>
    <row r="5539" spans="25:26" x14ac:dyDescent="0.25">
      <c r="Y5539" s="63">
        <v>48072</v>
      </c>
      <c r="Z5539" s="61">
        <f>_xll.qlYieldTSDiscount($U$35,Y5539,,Trigger)</f>
        <v>0.81247369354326548</v>
      </c>
    </row>
    <row r="5540" spans="25:26" x14ac:dyDescent="0.25">
      <c r="Y5540" s="63">
        <v>48073</v>
      </c>
      <c r="Z5540" s="61">
        <f>_xll.qlYieldTSDiscount($U$35,Y5540,,Trigger)</f>
        <v>0.8124398496512264</v>
      </c>
    </row>
    <row r="5541" spans="25:26" x14ac:dyDescent="0.25">
      <c r="Y5541" s="63">
        <v>48074</v>
      </c>
      <c r="Z5541" s="61">
        <f>_xll.qlYieldTSDiscount($U$35,Y5541,,Trigger)</f>
        <v>0.81240600489375447</v>
      </c>
    </row>
    <row r="5542" spans="25:26" x14ac:dyDescent="0.25">
      <c r="Y5542" s="63">
        <v>48075</v>
      </c>
      <c r="Z5542" s="61">
        <f>_xll.qlYieldTSDiscount($U$35,Y5542,,Trigger)</f>
        <v>0.81237215926845607</v>
      </c>
    </row>
    <row r="5543" spans="25:26" x14ac:dyDescent="0.25">
      <c r="Y5543" s="63">
        <v>48076</v>
      </c>
      <c r="Z5543" s="61">
        <f>_xll.qlYieldTSDiscount($U$35,Y5543,,Trigger)</f>
        <v>0.81233831277293755</v>
      </c>
    </row>
    <row r="5544" spans="25:26" x14ac:dyDescent="0.25">
      <c r="Y5544" s="63">
        <v>48077</v>
      </c>
      <c r="Z5544" s="61">
        <f>_xll.qlYieldTSDiscount($U$35,Y5544,,Trigger)</f>
        <v>0.8123044654048055</v>
      </c>
    </row>
    <row r="5545" spans="25:26" x14ac:dyDescent="0.25">
      <c r="Y5545" s="63">
        <v>48078</v>
      </c>
      <c r="Z5545" s="61">
        <f>_xll.qlYieldTSDiscount($U$35,Y5545,,Trigger)</f>
        <v>0.81227061716166649</v>
      </c>
    </row>
    <row r="5546" spans="25:26" x14ac:dyDescent="0.25">
      <c r="Y5546" s="63">
        <v>48079</v>
      </c>
      <c r="Z5546" s="61">
        <f>_xll.qlYieldTSDiscount($U$35,Y5546,,Trigger)</f>
        <v>0.81223676804112688</v>
      </c>
    </row>
    <row r="5547" spans="25:26" x14ac:dyDescent="0.25">
      <c r="Y5547" s="63">
        <v>48080</v>
      </c>
      <c r="Z5547" s="61">
        <f>_xll.qlYieldTSDiscount($U$35,Y5547,,Trigger)</f>
        <v>0.81220291804079314</v>
      </c>
    </row>
    <row r="5548" spans="25:26" x14ac:dyDescent="0.25">
      <c r="Y5548" s="63">
        <v>48081</v>
      </c>
      <c r="Z5548" s="61">
        <f>_xll.qlYieldTSDiscount($U$35,Y5548,,Trigger)</f>
        <v>0.81216906715827186</v>
      </c>
    </row>
    <row r="5549" spans="25:26" x14ac:dyDescent="0.25">
      <c r="Y5549" s="63">
        <v>48082</v>
      </c>
      <c r="Z5549" s="61">
        <f>_xll.qlYieldTSDiscount($U$35,Y5549,,Trigger)</f>
        <v>0.8121352153911694</v>
      </c>
    </row>
    <row r="5550" spans="25:26" x14ac:dyDescent="0.25">
      <c r="Y5550" s="63">
        <v>48083</v>
      </c>
      <c r="Z5550" s="61">
        <f>_xll.qlYieldTSDiscount($U$35,Y5550,,Trigger)</f>
        <v>0.81210136273709232</v>
      </c>
    </row>
    <row r="5551" spans="25:26" x14ac:dyDescent="0.25">
      <c r="Y5551" s="63">
        <v>48084</v>
      </c>
      <c r="Z5551" s="61">
        <f>_xll.qlYieldTSDiscount($U$35,Y5551,,Trigger)</f>
        <v>0.81206750919364701</v>
      </c>
    </row>
    <row r="5552" spans="25:26" x14ac:dyDescent="0.25">
      <c r="Y5552" s="63">
        <v>48085</v>
      </c>
      <c r="Z5552" s="61">
        <f>_xll.qlYieldTSDiscount($U$35,Y5552,,Trigger)</f>
        <v>0.81203365475844003</v>
      </c>
    </row>
    <row r="5553" spans="25:26" x14ac:dyDescent="0.25">
      <c r="Y5553" s="63">
        <v>48086</v>
      </c>
      <c r="Z5553" s="61">
        <f>_xll.qlYieldTSDiscount($U$35,Y5553,,Trigger)</f>
        <v>0.81199979942907785</v>
      </c>
    </row>
    <row r="5554" spans="25:26" x14ac:dyDescent="0.25">
      <c r="Y5554" s="63">
        <v>48087</v>
      </c>
      <c r="Z5554" s="61">
        <f>_xll.qlYieldTSDiscount($U$35,Y5554,,Trigger)</f>
        <v>0.81196594320316706</v>
      </c>
    </row>
    <row r="5555" spans="25:26" x14ac:dyDescent="0.25">
      <c r="Y5555" s="63">
        <v>48088</v>
      </c>
      <c r="Z5555" s="61">
        <f>_xll.qlYieldTSDiscount($U$35,Y5555,,Trigger)</f>
        <v>0.81193208607831391</v>
      </c>
    </row>
    <row r="5556" spans="25:26" x14ac:dyDescent="0.25">
      <c r="Y5556" s="63">
        <v>48089</v>
      </c>
      <c r="Z5556" s="61">
        <f>_xll.qlYieldTSDiscount($U$35,Y5556,,Trigger)</f>
        <v>0.81189822805212497</v>
      </c>
    </row>
    <row r="5557" spans="25:26" x14ac:dyDescent="0.25">
      <c r="Y5557" s="63">
        <v>48090</v>
      </c>
      <c r="Z5557" s="61">
        <f>_xll.qlYieldTSDiscount($U$35,Y5557,,Trigger)</f>
        <v>0.81186436912220672</v>
      </c>
    </row>
    <row r="5558" spans="25:26" x14ac:dyDescent="0.25">
      <c r="Y5558" s="63">
        <v>48091</v>
      </c>
      <c r="Z5558" s="61">
        <f>_xll.qlYieldTSDiscount($U$35,Y5558,,Trigger)</f>
        <v>0.81183050928616574</v>
      </c>
    </row>
    <row r="5559" spans="25:26" x14ac:dyDescent="0.25">
      <c r="Y5559" s="63">
        <v>48092</v>
      </c>
      <c r="Z5559" s="61">
        <f>_xll.qlYieldTSDiscount($U$35,Y5559,,Trigger)</f>
        <v>0.81179664854160849</v>
      </c>
    </row>
    <row r="5560" spans="25:26" x14ac:dyDescent="0.25">
      <c r="Y5560" s="63">
        <v>48093</v>
      </c>
      <c r="Z5560" s="61">
        <f>_xll.qlYieldTSDiscount($U$35,Y5560,,Trigger)</f>
        <v>0.81176278688614134</v>
      </c>
    </row>
    <row r="5561" spans="25:26" x14ac:dyDescent="0.25">
      <c r="Y5561" s="63">
        <v>48094</v>
      </c>
      <c r="Z5561" s="61">
        <f>_xll.qlYieldTSDiscount($U$35,Y5561,,Trigger)</f>
        <v>0.81172892431737076</v>
      </c>
    </row>
    <row r="5562" spans="25:26" x14ac:dyDescent="0.25">
      <c r="Y5562" s="63">
        <v>48095</v>
      </c>
      <c r="Z5562" s="61">
        <f>_xll.qlYieldTSDiscount($U$35,Y5562,,Trigger)</f>
        <v>0.81169506083290344</v>
      </c>
    </row>
    <row r="5563" spans="25:26" x14ac:dyDescent="0.25">
      <c r="Y5563" s="63">
        <v>48096</v>
      </c>
      <c r="Z5563" s="61">
        <f>_xll.qlYieldTSDiscount($U$35,Y5563,,Trigger)</f>
        <v>0.81166119643034562</v>
      </c>
    </row>
    <row r="5564" spans="25:26" x14ac:dyDescent="0.25">
      <c r="Y5564" s="63">
        <v>48097</v>
      </c>
      <c r="Z5564" s="61">
        <f>_xll.qlYieldTSDiscount($U$35,Y5564,,Trigger)</f>
        <v>0.8116273311073039</v>
      </c>
    </row>
    <row r="5565" spans="25:26" x14ac:dyDescent="0.25">
      <c r="Y5565" s="63">
        <v>48098</v>
      </c>
      <c r="Z5565" s="61">
        <f>_xll.qlYieldTSDiscount($U$35,Y5565,,Trigger)</f>
        <v>0.81159346486138473</v>
      </c>
    </row>
    <row r="5566" spans="25:26" x14ac:dyDescent="0.25">
      <c r="Y5566" s="63">
        <v>48099</v>
      </c>
      <c r="Z5566" s="61">
        <f>_xll.qlYieldTSDiscount($U$35,Y5566,,Trigger)</f>
        <v>0.81155959769019459</v>
      </c>
    </row>
    <row r="5567" spans="25:26" x14ac:dyDescent="0.25">
      <c r="Y5567" s="63">
        <v>48100</v>
      </c>
      <c r="Z5567" s="61">
        <f>_xll.qlYieldTSDiscount($U$35,Y5567,,Trigger)</f>
        <v>0.81152572959134006</v>
      </c>
    </row>
    <row r="5568" spans="25:26" x14ac:dyDescent="0.25">
      <c r="Y5568" s="63">
        <v>48101</v>
      </c>
      <c r="Z5568" s="61">
        <f>_xll.qlYieldTSDiscount($U$35,Y5568,,Trigger)</f>
        <v>0.81149186056242739</v>
      </c>
    </row>
    <row r="5569" spans="25:26" x14ac:dyDescent="0.25">
      <c r="Y5569" s="63">
        <v>48102</v>
      </c>
      <c r="Z5569" s="61">
        <f>_xll.qlYieldTSDiscount($U$35,Y5569,,Trigger)</f>
        <v>0.81145799060106327</v>
      </c>
    </row>
    <row r="5570" spans="25:26" x14ac:dyDescent="0.25">
      <c r="Y5570" s="63">
        <v>48103</v>
      </c>
      <c r="Z5570" s="61">
        <f>_xll.qlYieldTSDiscount($U$35,Y5570,,Trigger)</f>
        <v>0.81142411970485417</v>
      </c>
    </row>
    <row r="5571" spans="25:26" x14ac:dyDescent="0.25">
      <c r="Y5571" s="63">
        <v>48104</v>
      </c>
      <c r="Z5571" s="61">
        <f>_xll.qlYieldTSDiscount($U$35,Y5571,,Trigger)</f>
        <v>0.81139024787140646</v>
      </c>
    </row>
    <row r="5572" spans="25:26" x14ac:dyDescent="0.25">
      <c r="Y5572" s="63">
        <v>48105</v>
      </c>
      <c r="Z5572" s="61">
        <f>_xll.qlYieldTSDiscount($U$35,Y5572,,Trigger)</f>
        <v>0.8113563750983267</v>
      </c>
    </row>
    <row r="5573" spans="25:26" x14ac:dyDescent="0.25">
      <c r="Y5573" s="63">
        <v>48106</v>
      </c>
      <c r="Z5573" s="61">
        <f>_xll.qlYieldTSDiscount($U$35,Y5573,,Trigger)</f>
        <v>0.81132250138322126</v>
      </c>
    </row>
    <row r="5574" spans="25:26" x14ac:dyDescent="0.25">
      <c r="Y5574" s="63">
        <v>48107</v>
      </c>
      <c r="Z5574" s="61">
        <f>_xll.qlYieldTSDiscount($U$35,Y5574,,Trigger)</f>
        <v>0.81128862672369673</v>
      </c>
    </row>
    <row r="5575" spans="25:26" x14ac:dyDescent="0.25">
      <c r="Y5575" s="63">
        <v>48108</v>
      </c>
      <c r="Z5575" s="61">
        <f>_xll.qlYieldTSDiscount($U$35,Y5575,,Trigger)</f>
        <v>0.81125475111735967</v>
      </c>
    </row>
    <row r="5576" spans="25:26" x14ac:dyDescent="0.25">
      <c r="Y5576" s="63">
        <v>48109</v>
      </c>
      <c r="Z5576" s="61">
        <f>_xll.qlYieldTSDiscount($U$35,Y5576,,Trigger)</f>
        <v>0.81122087456181635</v>
      </c>
    </row>
    <row r="5577" spans="25:26" x14ac:dyDescent="0.25">
      <c r="Y5577" s="63">
        <v>48110</v>
      </c>
      <c r="Z5577" s="61">
        <f>_xll.qlYieldTSDiscount($U$35,Y5577,,Trigger)</f>
        <v>0.81118699705467345</v>
      </c>
    </row>
    <row r="5578" spans="25:26" x14ac:dyDescent="0.25">
      <c r="Y5578" s="63">
        <v>48111</v>
      </c>
      <c r="Z5578" s="61">
        <f>_xll.qlYieldTSDiscount($U$35,Y5578,,Trigger)</f>
        <v>0.81115311859353734</v>
      </c>
    </row>
    <row r="5579" spans="25:26" x14ac:dyDescent="0.25">
      <c r="Y5579" s="63">
        <v>48112</v>
      </c>
      <c r="Z5579" s="61">
        <f>_xll.qlYieldTSDiscount($U$35,Y5579,,Trigger)</f>
        <v>0.81111923917601447</v>
      </c>
    </row>
    <row r="5580" spans="25:26" x14ac:dyDescent="0.25">
      <c r="Y5580" s="63">
        <v>48113</v>
      </c>
      <c r="Z5580" s="61">
        <f>_xll.qlYieldTSDiscount($U$35,Y5580,,Trigger)</f>
        <v>0.81108535879971133</v>
      </c>
    </row>
    <row r="5581" spans="25:26" x14ac:dyDescent="0.25">
      <c r="Y5581" s="63">
        <v>48114</v>
      </c>
      <c r="Z5581" s="61">
        <f>_xll.qlYieldTSDiscount($U$35,Y5581,,Trigger)</f>
        <v>0.8110514774622346</v>
      </c>
    </row>
    <row r="5582" spans="25:26" x14ac:dyDescent="0.25">
      <c r="Y5582" s="63">
        <v>48115</v>
      </c>
      <c r="Z5582" s="61">
        <f>_xll.qlYieldTSDiscount($U$35,Y5582,,Trigger)</f>
        <v>0.81101759516119043</v>
      </c>
    </row>
    <row r="5583" spans="25:26" x14ac:dyDescent="0.25">
      <c r="Y5583" s="63">
        <v>48116</v>
      </c>
      <c r="Z5583" s="61">
        <f>_xll.qlYieldTSDiscount($U$35,Y5583,,Trigger)</f>
        <v>0.81098371189418561</v>
      </c>
    </row>
    <row r="5584" spans="25:26" x14ac:dyDescent="0.25">
      <c r="Y5584" s="63">
        <v>48117</v>
      </c>
      <c r="Z5584" s="61">
        <f>_xll.qlYieldTSDiscount($U$35,Y5584,,Trigger)</f>
        <v>0.81094982765882639</v>
      </c>
    </row>
    <row r="5585" spans="25:26" x14ac:dyDescent="0.25">
      <c r="Y5585" s="63">
        <v>48118</v>
      </c>
      <c r="Z5585" s="61">
        <f>_xll.qlYieldTSDiscount($U$35,Y5585,,Trigger)</f>
        <v>0.81091594245271936</v>
      </c>
    </row>
    <row r="5586" spans="25:26" x14ac:dyDescent="0.25">
      <c r="Y5586" s="63">
        <v>48119</v>
      </c>
      <c r="Z5586" s="61">
        <f>_xll.qlYieldTSDiscount($U$35,Y5586,,Trigger)</f>
        <v>0.81088205627347099</v>
      </c>
    </row>
    <row r="5587" spans="25:26" x14ac:dyDescent="0.25">
      <c r="Y5587" s="63">
        <v>48120</v>
      </c>
      <c r="Z5587" s="61">
        <f>_xll.qlYieldTSDiscount($U$35,Y5587,,Trigger)</f>
        <v>0.81084816911868773</v>
      </c>
    </row>
    <row r="5588" spans="25:26" x14ac:dyDescent="0.25">
      <c r="Y5588" s="63">
        <v>48121</v>
      </c>
      <c r="Z5588" s="61">
        <f>_xll.qlYieldTSDiscount($U$35,Y5588,,Trigger)</f>
        <v>0.81081428098597619</v>
      </c>
    </row>
    <row r="5589" spans="25:26" x14ac:dyDescent="0.25">
      <c r="Y5589" s="63">
        <v>48122</v>
      </c>
      <c r="Z5589" s="61">
        <f>_xll.qlYieldTSDiscount($U$35,Y5589,,Trigger)</f>
        <v>0.8107803918729426</v>
      </c>
    </row>
    <row r="5590" spans="25:26" x14ac:dyDescent="0.25">
      <c r="Y5590" s="63">
        <v>48123</v>
      </c>
      <c r="Z5590" s="61">
        <f>_xll.qlYieldTSDiscount($U$35,Y5590,,Trigger)</f>
        <v>0.81074650177719365</v>
      </c>
    </row>
    <row r="5591" spans="25:26" x14ac:dyDescent="0.25">
      <c r="Y5591" s="63">
        <v>48124</v>
      </c>
      <c r="Z5591" s="61">
        <f>_xll.qlYieldTSDiscount($U$35,Y5591,,Trigger)</f>
        <v>0.81071261069633582</v>
      </c>
    </row>
    <row r="5592" spans="25:26" x14ac:dyDescent="0.25">
      <c r="Y5592" s="63">
        <v>48125</v>
      </c>
      <c r="Z5592" s="61">
        <f>_xll.qlYieldTSDiscount($U$35,Y5592,,Trigger)</f>
        <v>0.81067871862797547</v>
      </c>
    </row>
    <row r="5593" spans="25:26" x14ac:dyDescent="0.25">
      <c r="Y5593" s="63">
        <v>48126</v>
      </c>
      <c r="Z5593" s="61">
        <f>_xll.qlYieldTSDiscount($U$35,Y5593,,Trigger)</f>
        <v>0.81064482556971906</v>
      </c>
    </row>
    <row r="5594" spans="25:26" x14ac:dyDescent="0.25">
      <c r="Y5594" s="63">
        <v>48127</v>
      </c>
      <c r="Z5594" s="61">
        <f>_xll.qlYieldTSDiscount($U$35,Y5594,,Trigger)</f>
        <v>0.81061093151917318</v>
      </c>
    </row>
    <row r="5595" spans="25:26" x14ac:dyDescent="0.25">
      <c r="Y5595" s="63">
        <v>48128</v>
      </c>
      <c r="Z5595" s="61">
        <f>_xll.qlYieldTSDiscount($U$35,Y5595,,Trigger)</f>
        <v>0.81057703647394441</v>
      </c>
    </row>
    <row r="5596" spans="25:26" x14ac:dyDescent="0.25">
      <c r="Y5596" s="63">
        <v>48129</v>
      </c>
      <c r="Z5596" s="61">
        <f>_xll.qlYieldTSDiscount($U$35,Y5596,,Trigger)</f>
        <v>0.810543140431639</v>
      </c>
    </row>
    <row r="5597" spans="25:26" x14ac:dyDescent="0.25">
      <c r="Y5597" s="63">
        <v>48130</v>
      </c>
      <c r="Z5597" s="61">
        <f>_xll.qlYieldTSDiscount($U$35,Y5597,,Trigger)</f>
        <v>0.81050924338986352</v>
      </c>
    </row>
    <row r="5598" spans="25:26" x14ac:dyDescent="0.25">
      <c r="Y5598" s="63">
        <v>48131</v>
      </c>
      <c r="Z5598" s="61">
        <f>_xll.qlYieldTSDiscount($U$35,Y5598,,Trigger)</f>
        <v>0.81047534534622445</v>
      </c>
    </row>
    <row r="5599" spans="25:26" x14ac:dyDescent="0.25">
      <c r="Y5599" s="63">
        <v>48132</v>
      </c>
      <c r="Z5599" s="61">
        <f>_xll.qlYieldTSDiscount($U$35,Y5599,,Trigger)</f>
        <v>0.81044144629832837</v>
      </c>
    </row>
    <row r="5600" spans="25:26" x14ac:dyDescent="0.25">
      <c r="Y5600" s="63">
        <v>48133</v>
      </c>
      <c r="Z5600" s="61">
        <f>_xll.qlYieldTSDiscount($U$35,Y5600,,Trigger)</f>
        <v>0.81040754624378164</v>
      </c>
    </row>
    <row r="5601" spans="25:26" x14ac:dyDescent="0.25">
      <c r="Y5601" s="63">
        <v>48134</v>
      </c>
      <c r="Z5601" s="61">
        <f>_xll.qlYieldTSDiscount($U$35,Y5601,,Trigger)</f>
        <v>0.81037364518019073</v>
      </c>
    </row>
    <row r="5602" spans="25:26" x14ac:dyDescent="0.25">
      <c r="Y5602" s="63">
        <v>48135</v>
      </c>
      <c r="Z5602" s="61">
        <f>_xll.qlYieldTSDiscount($U$35,Y5602,,Trigger)</f>
        <v>0.81033974310516221</v>
      </c>
    </row>
    <row r="5603" spans="25:26" x14ac:dyDescent="0.25">
      <c r="Y5603" s="63">
        <v>48136</v>
      </c>
      <c r="Z5603" s="61">
        <f>_xll.qlYieldTSDiscount($U$35,Y5603,,Trigger)</f>
        <v>0.81030584001630246</v>
      </c>
    </row>
    <row r="5604" spans="25:26" x14ac:dyDescent="0.25">
      <c r="Y5604" s="63">
        <v>48137</v>
      </c>
      <c r="Z5604" s="61">
        <f>_xll.qlYieldTSDiscount($U$35,Y5604,,Trigger)</f>
        <v>0.81027193591121804</v>
      </c>
    </row>
    <row r="5605" spans="25:26" x14ac:dyDescent="0.25">
      <c r="Y5605" s="63">
        <v>48138</v>
      </c>
      <c r="Z5605" s="61">
        <f>_xll.qlYieldTSDiscount($U$35,Y5605,,Trigger)</f>
        <v>0.81023803078751544</v>
      </c>
    </row>
    <row r="5606" spans="25:26" x14ac:dyDescent="0.25">
      <c r="Y5606" s="63">
        <v>48139</v>
      </c>
      <c r="Z5606" s="61">
        <f>_xll.qlYieldTSDiscount($U$35,Y5606,,Trigger)</f>
        <v>0.810204124642801</v>
      </c>
    </row>
    <row r="5607" spans="25:26" x14ac:dyDescent="0.25">
      <c r="Y5607" s="63">
        <v>48140</v>
      </c>
      <c r="Z5607" s="61">
        <f>_xll.qlYieldTSDiscount($U$35,Y5607,,Trigger)</f>
        <v>0.81017021747468143</v>
      </c>
    </row>
    <row r="5608" spans="25:26" x14ac:dyDescent="0.25">
      <c r="Y5608" s="63">
        <v>48141</v>
      </c>
      <c r="Z5608" s="61">
        <f>_xll.qlYieldTSDiscount($U$35,Y5608,,Trigger)</f>
        <v>0.81013630928076297</v>
      </c>
    </row>
    <row r="5609" spans="25:26" x14ac:dyDescent="0.25">
      <c r="Y5609" s="63">
        <v>48142</v>
      </c>
      <c r="Z5609" s="61">
        <f>_xll.qlYieldTSDiscount($U$35,Y5609,,Trigger)</f>
        <v>0.81010240005865231</v>
      </c>
    </row>
    <row r="5610" spans="25:26" x14ac:dyDescent="0.25">
      <c r="Y5610" s="63">
        <v>48143</v>
      </c>
      <c r="Z5610" s="61">
        <f>_xll.qlYieldTSDiscount($U$35,Y5610,,Trigger)</f>
        <v>0.8100684898059558</v>
      </c>
    </row>
    <row r="5611" spans="25:26" x14ac:dyDescent="0.25">
      <c r="Y5611" s="63">
        <v>48144</v>
      </c>
      <c r="Z5611" s="61">
        <f>_xll.qlYieldTSDiscount($U$35,Y5611,,Trigger)</f>
        <v>0.81003457852027994</v>
      </c>
    </row>
    <row r="5612" spans="25:26" x14ac:dyDescent="0.25">
      <c r="Y5612" s="63">
        <v>48145</v>
      </c>
      <c r="Z5612" s="61">
        <f>_xll.qlYieldTSDiscount($U$35,Y5612,,Trigger)</f>
        <v>0.81000066619923128</v>
      </c>
    </row>
    <row r="5613" spans="25:26" x14ac:dyDescent="0.25">
      <c r="Y5613" s="63">
        <v>48146</v>
      </c>
      <c r="Z5613" s="61">
        <f>_xll.qlYieldTSDiscount($U$35,Y5613,,Trigger)</f>
        <v>0.80996675284041619</v>
      </c>
    </row>
    <row r="5614" spans="25:26" x14ac:dyDescent="0.25">
      <c r="Y5614" s="63">
        <v>48147</v>
      </c>
      <c r="Z5614" s="61">
        <f>_xll.qlYieldTSDiscount($U$35,Y5614,,Trigger)</f>
        <v>0.80993283844144126</v>
      </c>
    </row>
    <row r="5615" spans="25:26" x14ac:dyDescent="0.25">
      <c r="Y5615" s="63">
        <v>48148</v>
      </c>
      <c r="Z5615" s="61">
        <f>_xll.qlYieldTSDiscount($U$35,Y5615,,Trigger)</f>
        <v>0.80989892299991295</v>
      </c>
    </row>
    <row r="5616" spans="25:26" x14ac:dyDescent="0.25">
      <c r="Y5616" s="63">
        <v>48149</v>
      </c>
      <c r="Z5616" s="61">
        <f>_xll.qlYieldTSDiscount($U$35,Y5616,,Trigger)</f>
        <v>0.80986500651343762</v>
      </c>
    </row>
    <row r="5617" spans="25:26" x14ac:dyDescent="0.25">
      <c r="Y5617" s="63">
        <v>48150</v>
      </c>
      <c r="Z5617" s="61">
        <f>_xll.qlYieldTSDiscount($U$35,Y5617,,Trigger)</f>
        <v>0.80983108897962197</v>
      </c>
    </row>
    <row r="5618" spans="25:26" x14ac:dyDescent="0.25">
      <c r="Y5618" s="63">
        <v>48151</v>
      </c>
      <c r="Z5618" s="61">
        <f>_xll.qlYieldTSDiscount($U$35,Y5618,,Trigger)</f>
        <v>0.80979717039607224</v>
      </c>
    </row>
    <row r="5619" spans="25:26" x14ac:dyDescent="0.25">
      <c r="Y5619" s="63">
        <v>48152</v>
      </c>
      <c r="Z5619" s="61">
        <f>_xll.qlYieldTSDiscount($U$35,Y5619,,Trigger)</f>
        <v>0.80976325076039501</v>
      </c>
    </row>
    <row r="5620" spans="25:26" x14ac:dyDescent="0.25">
      <c r="Y5620" s="63">
        <v>48153</v>
      </c>
      <c r="Z5620" s="61">
        <f>_xll.qlYieldTSDiscount($U$35,Y5620,,Trigger)</f>
        <v>0.80972933007019687</v>
      </c>
    </row>
    <row r="5621" spans="25:26" x14ac:dyDescent="0.25">
      <c r="Y5621" s="63">
        <v>48154</v>
      </c>
      <c r="Z5621" s="61">
        <f>_xll.qlYieldTSDiscount($U$35,Y5621,,Trigger)</f>
        <v>0.80969540832308418</v>
      </c>
    </row>
    <row r="5622" spans="25:26" x14ac:dyDescent="0.25">
      <c r="Y5622" s="63">
        <v>48155</v>
      </c>
      <c r="Z5622" s="61">
        <f>_xll.qlYieldTSDiscount($U$35,Y5622,,Trigger)</f>
        <v>0.80966148551666339</v>
      </c>
    </row>
    <row r="5623" spans="25:26" x14ac:dyDescent="0.25">
      <c r="Y5623" s="63">
        <v>48156</v>
      </c>
      <c r="Z5623" s="61">
        <f>_xll.qlYieldTSDiscount($U$35,Y5623,,Trigger)</f>
        <v>0.80962756164854111</v>
      </c>
    </row>
    <row r="5624" spans="25:26" x14ac:dyDescent="0.25">
      <c r="Y5624" s="63">
        <v>48157</v>
      </c>
      <c r="Z5624" s="61">
        <f>_xll.qlYieldTSDiscount($U$35,Y5624,,Trigger)</f>
        <v>0.80959363671632367</v>
      </c>
    </row>
    <row r="5625" spans="25:26" x14ac:dyDescent="0.25">
      <c r="Y5625" s="63">
        <v>48158</v>
      </c>
      <c r="Z5625" s="61">
        <f>_xll.qlYieldTSDiscount($U$35,Y5625,,Trigger)</f>
        <v>0.80955971071761768</v>
      </c>
    </row>
    <row r="5626" spans="25:26" x14ac:dyDescent="0.25">
      <c r="Y5626" s="63">
        <v>48159</v>
      </c>
      <c r="Z5626" s="61">
        <f>_xll.qlYieldTSDiscount($U$35,Y5626,,Trigger)</f>
        <v>0.80952578365002958</v>
      </c>
    </row>
    <row r="5627" spans="25:26" x14ac:dyDescent="0.25">
      <c r="Y5627" s="63">
        <v>48160</v>
      </c>
      <c r="Z5627" s="61">
        <f>_xll.qlYieldTSDiscount($U$35,Y5627,,Trigger)</f>
        <v>0.80949185551116576</v>
      </c>
    </row>
    <row r="5628" spans="25:26" x14ac:dyDescent="0.25">
      <c r="Y5628" s="63">
        <v>48161</v>
      </c>
      <c r="Z5628" s="61">
        <f>_xll.qlYieldTSDiscount($U$35,Y5628,,Trigger)</f>
        <v>0.80945792629863289</v>
      </c>
    </row>
    <row r="5629" spans="25:26" x14ac:dyDescent="0.25">
      <c r="Y5629" s="63">
        <v>48162</v>
      </c>
      <c r="Z5629" s="61">
        <f>_xll.qlYieldTSDiscount($U$35,Y5629,,Trigger)</f>
        <v>0.80942399601003723</v>
      </c>
    </row>
    <row r="5630" spans="25:26" x14ac:dyDescent="0.25">
      <c r="Y5630" s="63">
        <v>48163</v>
      </c>
      <c r="Z5630" s="61">
        <f>_xll.qlYieldTSDiscount($U$35,Y5630,,Trigger)</f>
        <v>0.80939006464298546</v>
      </c>
    </row>
    <row r="5631" spans="25:26" x14ac:dyDescent="0.25">
      <c r="Y5631" s="63">
        <v>48164</v>
      </c>
      <c r="Z5631" s="61">
        <f>_xll.qlYieldTSDiscount($U$35,Y5631,,Trigger)</f>
        <v>0.80935613219508395</v>
      </c>
    </row>
    <row r="5632" spans="25:26" x14ac:dyDescent="0.25">
      <c r="Y5632" s="63">
        <v>48165</v>
      </c>
      <c r="Z5632" s="61">
        <f>_xll.qlYieldTSDiscount($U$35,Y5632,,Trigger)</f>
        <v>0.80932219866393917</v>
      </c>
    </row>
    <row r="5633" spans="25:26" x14ac:dyDescent="0.25">
      <c r="Y5633" s="63">
        <v>48166</v>
      </c>
      <c r="Z5633" s="61">
        <f>_xll.qlYieldTSDiscount($U$35,Y5633,,Trigger)</f>
        <v>0.8092882640471577</v>
      </c>
    </row>
    <row r="5634" spans="25:26" x14ac:dyDescent="0.25">
      <c r="Y5634" s="63">
        <v>48167</v>
      </c>
      <c r="Z5634" s="61">
        <f>_xll.qlYieldTSDiscount($U$35,Y5634,,Trigger)</f>
        <v>0.8092543283423459</v>
      </c>
    </row>
    <row r="5635" spans="25:26" x14ac:dyDescent="0.25">
      <c r="Y5635" s="63">
        <v>48168</v>
      </c>
      <c r="Z5635" s="61">
        <f>_xll.qlYieldTSDiscount($U$35,Y5635,,Trigger)</f>
        <v>0.80922039154711023</v>
      </c>
    </row>
    <row r="5636" spans="25:26" x14ac:dyDescent="0.25">
      <c r="Y5636" s="63">
        <v>48169</v>
      </c>
      <c r="Z5636" s="61">
        <f>_xll.qlYieldTSDiscount($U$35,Y5636,,Trigger)</f>
        <v>0.80918645365905739</v>
      </c>
    </row>
    <row r="5637" spans="25:26" x14ac:dyDescent="0.25">
      <c r="Y5637" s="63">
        <v>48170</v>
      </c>
      <c r="Z5637" s="61">
        <f>_xll.qlYieldTSDiscount($U$35,Y5637,,Trigger)</f>
        <v>0.80915251467579363</v>
      </c>
    </row>
    <row r="5638" spans="25:26" x14ac:dyDescent="0.25">
      <c r="Y5638" s="63">
        <v>48171</v>
      </c>
      <c r="Z5638" s="61">
        <f>_xll.qlYieldTSDiscount($U$35,Y5638,,Trigger)</f>
        <v>0.80911857459492553</v>
      </c>
    </row>
    <row r="5639" spans="25:26" x14ac:dyDescent="0.25">
      <c r="Y5639" s="63">
        <v>48172</v>
      </c>
      <c r="Z5639" s="61">
        <f>_xll.qlYieldTSDiscount($U$35,Y5639,,Trigger)</f>
        <v>0.80908463341405956</v>
      </c>
    </row>
    <row r="5640" spans="25:26" x14ac:dyDescent="0.25">
      <c r="Y5640" s="63">
        <v>48173</v>
      </c>
      <c r="Z5640" s="61">
        <f>_xll.qlYieldTSDiscount($U$35,Y5640,,Trigger)</f>
        <v>0.80905069113080219</v>
      </c>
    </row>
    <row r="5641" spans="25:26" x14ac:dyDescent="0.25">
      <c r="Y5641" s="63">
        <v>48174</v>
      </c>
      <c r="Z5641" s="61">
        <f>_xll.qlYieldTSDiscount($U$35,Y5641,,Trigger)</f>
        <v>0.80901674774275989</v>
      </c>
    </row>
    <row r="5642" spans="25:26" x14ac:dyDescent="0.25">
      <c r="Y5642" s="63">
        <v>48175</v>
      </c>
      <c r="Z5642" s="61">
        <f>_xll.qlYieldTSDiscount($U$35,Y5642,,Trigger)</f>
        <v>0.80898280324753924</v>
      </c>
    </row>
    <row r="5643" spans="25:26" x14ac:dyDescent="0.25">
      <c r="Y5643" s="63">
        <v>48176</v>
      </c>
      <c r="Z5643" s="61">
        <f>_xll.qlYieldTSDiscount($U$35,Y5643,,Trigger)</f>
        <v>0.80894885764274649</v>
      </c>
    </row>
    <row r="5644" spans="25:26" x14ac:dyDescent="0.25">
      <c r="Y5644" s="63">
        <v>48177</v>
      </c>
      <c r="Z5644" s="61">
        <f>_xll.qlYieldTSDiscount($U$35,Y5644,,Trigger)</f>
        <v>0.80891491092598844</v>
      </c>
    </row>
    <row r="5645" spans="25:26" x14ac:dyDescent="0.25">
      <c r="Y5645" s="63">
        <v>48178</v>
      </c>
      <c r="Z5645" s="61">
        <f>_xll.qlYieldTSDiscount($U$35,Y5645,,Trigger)</f>
        <v>0.80888096309487123</v>
      </c>
    </row>
    <row r="5646" spans="25:26" x14ac:dyDescent="0.25">
      <c r="Y5646" s="63">
        <v>48179</v>
      </c>
      <c r="Z5646" s="61">
        <f>_xll.qlYieldTSDiscount($U$35,Y5646,,Trigger)</f>
        <v>0.80884701414700166</v>
      </c>
    </row>
    <row r="5647" spans="25:26" x14ac:dyDescent="0.25">
      <c r="Y5647" s="63">
        <v>48180</v>
      </c>
      <c r="Z5647" s="61">
        <f>_xll.qlYieldTSDiscount($U$35,Y5647,,Trigger)</f>
        <v>0.80881306407998599</v>
      </c>
    </row>
    <row r="5648" spans="25:26" x14ac:dyDescent="0.25">
      <c r="Y5648" s="63">
        <v>48181</v>
      </c>
      <c r="Z5648" s="61">
        <f>_xll.qlYieldTSDiscount($U$35,Y5648,,Trigger)</f>
        <v>0.80877911289143078</v>
      </c>
    </row>
    <row r="5649" spans="25:26" x14ac:dyDescent="0.25">
      <c r="Y5649" s="63">
        <v>48182</v>
      </c>
      <c r="Z5649" s="61">
        <f>_xll.qlYieldTSDiscount($U$35,Y5649,,Trigger)</f>
        <v>0.80874516057894252</v>
      </c>
    </row>
    <row r="5650" spans="25:26" x14ac:dyDescent="0.25">
      <c r="Y5650" s="63">
        <v>48183</v>
      </c>
      <c r="Z5650" s="61">
        <f>_xll.qlYieldTSDiscount($U$35,Y5650,,Trigger)</f>
        <v>0.80871120714012767</v>
      </c>
    </row>
    <row r="5651" spans="25:26" x14ac:dyDescent="0.25">
      <c r="Y5651" s="63">
        <v>48184</v>
      </c>
      <c r="Z5651" s="61">
        <f>_xll.qlYieldTSDiscount($U$35,Y5651,,Trigger)</f>
        <v>0.80867725257259271</v>
      </c>
    </row>
    <row r="5652" spans="25:26" x14ac:dyDescent="0.25">
      <c r="Y5652" s="63">
        <v>48185</v>
      </c>
      <c r="Z5652" s="61">
        <f>_xll.qlYieldTSDiscount($U$35,Y5652,,Trigger)</f>
        <v>0.8086432968739441</v>
      </c>
    </row>
    <row r="5653" spans="25:26" x14ac:dyDescent="0.25">
      <c r="Y5653" s="63">
        <v>48186</v>
      </c>
      <c r="Z5653" s="61">
        <f>_xll.qlYieldTSDiscount($U$35,Y5653,,Trigger)</f>
        <v>0.8086093400417883</v>
      </c>
    </row>
    <row r="5654" spans="25:26" x14ac:dyDescent="0.25">
      <c r="Y5654" s="63">
        <v>48187</v>
      </c>
      <c r="Z5654" s="61">
        <f>_xll.qlYieldTSDiscount($U$35,Y5654,,Trigger)</f>
        <v>0.80857538207373192</v>
      </c>
    </row>
    <row r="5655" spans="25:26" x14ac:dyDescent="0.25">
      <c r="Y5655" s="63">
        <v>48188</v>
      </c>
      <c r="Z5655" s="61">
        <f>_xll.qlYieldTSDiscount($U$35,Y5655,,Trigger)</f>
        <v>0.8085414229673813</v>
      </c>
    </row>
    <row r="5656" spans="25:26" x14ac:dyDescent="0.25">
      <c r="Y5656" s="63">
        <v>48189</v>
      </c>
      <c r="Z5656" s="61">
        <f>_xll.qlYieldTSDiscount($U$35,Y5656,,Trigger)</f>
        <v>0.80850746272034302</v>
      </c>
    </row>
    <row r="5657" spans="25:26" x14ac:dyDescent="0.25">
      <c r="Y5657" s="63">
        <v>48190</v>
      </c>
      <c r="Z5657" s="61">
        <f>_xll.qlYieldTSDiscount($U$35,Y5657,,Trigger)</f>
        <v>0.80847350133022355</v>
      </c>
    </row>
    <row r="5658" spans="25:26" x14ac:dyDescent="0.25">
      <c r="Y5658" s="63">
        <v>48191</v>
      </c>
      <c r="Z5658" s="61">
        <f>_xll.qlYieldTSDiscount($U$35,Y5658,,Trigger)</f>
        <v>0.80843953879462926</v>
      </c>
    </row>
    <row r="5659" spans="25:26" x14ac:dyDescent="0.25">
      <c r="Y5659" s="63">
        <v>48192</v>
      </c>
      <c r="Z5659" s="61">
        <f>_xll.qlYieldTSDiscount($U$35,Y5659,,Trigger)</f>
        <v>0.80840557511116673</v>
      </c>
    </row>
    <row r="5660" spans="25:26" x14ac:dyDescent="0.25">
      <c r="Y5660" s="63">
        <v>48193</v>
      </c>
      <c r="Z5660" s="61">
        <f>_xll.qlYieldTSDiscount($U$35,Y5660,,Trigger)</f>
        <v>0.80837161027744242</v>
      </c>
    </row>
    <row r="5661" spans="25:26" x14ac:dyDescent="0.25">
      <c r="Y5661" s="63">
        <v>48194</v>
      </c>
      <c r="Z5661" s="61">
        <f>_xll.qlYieldTSDiscount($U$35,Y5661,,Trigger)</f>
        <v>0.80833764429106281</v>
      </c>
    </row>
    <row r="5662" spans="25:26" x14ac:dyDescent="0.25">
      <c r="Y5662" s="63">
        <v>48195</v>
      </c>
      <c r="Z5662" s="61">
        <f>_xll.qlYieldTSDiscount($U$35,Y5662,,Trigger)</f>
        <v>0.80830367714963436</v>
      </c>
    </row>
    <row r="5663" spans="25:26" x14ac:dyDescent="0.25">
      <c r="Y5663" s="63">
        <v>48196</v>
      </c>
      <c r="Z5663" s="61">
        <f>_xll.qlYieldTSDiscount($U$35,Y5663,,Trigger)</f>
        <v>0.80826970885076366</v>
      </c>
    </row>
    <row r="5664" spans="25:26" x14ac:dyDescent="0.25">
      <c r="Y5664" s="63">
        <v>48197</v>
      </c>
      <c r="Z5664" s="61">
        <f>_xll.qlYieldTSDiscount($U$35,Y5664,,Trigger)</f>
        <v>0.80823573939205706</v>
      </c>
    </row>
    <row r="5665" spans="25:26" x14ac:dyDescent="0.25">
      <c r="Y5665" s="63">
        <v>48198</v>
      </c>
      <c r="Z5665" s="61">
        <f>_xll.qlYieldTSDiscount($U$35,Y5665,,Trigger)</f>
        <v>0.80820176877112104</v>
      </c>
    </row>
    <row r="5666" spans="25:26" x14ac:dyDescent="0.25">
      <c r="Y5666" s="63">
        <v>48199</v>
      </c>
      <c r="Z5666" s="61">
        <f>_xll.qlYieldTSDiscount($U$35,Y5666,,Trigger)</f>
        <v>0.80816779698556218</v>
      </c>
    </row>
    <row r="5667" spans="25:26" x14ac:dyDescent="0.25">
      <c r="Y5667" s="63">
        <v>48200</v>
      </c>
      <c r="Z5667" s="61">
        <f>_xll.qlYieldTSDiscount($U$35,Y5667,,Trigger)</f>
        <v>0.80813382403298684</v>
      </c>
    </row>
    <row r="5668" spans="25:26" x14ac:dyDescent="0.25">
      <c r="Y5668" s="63">
        <v>48201</v>
      </c>
      <c r="Z5668" s="61">
        <f>_xll.qlYieldTSDiscount($U$35,Y5668,,Trigger)</f>
        <v>0.80809984991100159</v>
      </c>
    </row>
    <row r="5669" spans="25:26" x14ac:dyDescent="0.25">
      <c r="Y5669" s="63">
        <v>48202</v>
      </c>
      <c r="Z5669" s="61">
        <f>_xll.qlYieldTSDiscount($U$35,Y5669,,Trigger)</f>
        <v>0.80806587461721291</v>
      </c>
    </row>
    <row r="5670" spans="25:26" x14ac:dyDescent="0.25">
      <c r="Y5670" s="63">
        <v>48203</v>
      </c>
      <c r="Z5670" s="61">
        <f>_xll.qlYieldTSDiscount($U$35,Y5670,,Trigger)</f>
        <v>0.80803189814922716</v>
      </c>
    </row>
    <row r="5671" spans="25:26" x14ac:dyDescent="0.25">
      <c r="Y5671" s="63">
        <v>48204</v>
      </c>
      <c r="Z5671" s="61">
        <f>_xll.qlYieldTSDiscount($U$35,Y5671,,Trigger)</f>
        <v>0.80799792050465102</v>
      </c>
    </row>
    <row r="5672" spans="25:26" x14ac:dyDescent="0.25">
      <c r="Y5672" s="63">
        <v>48205</v>
      </c>
      <c r="Z5672" s="61">
        <f>_xll.qlYieldTSDiscount($U$35,Y5672,,Trigger)</f>
        <v>0.80796394168109087</v>
      </c>
    </row>
    <row r="5673" spans="25:26" x14ac:dyDescent="0.25">
      <c r="Y5673" s="63">
        <v>48206</v>
      </c>
      <c r="Z5673" s="61">
        <f>_xll.qlYieldTSDiscount($U$35,Y5673,,Trigger)</f>
        <v>0.80792996167615316</v>
      </c>
    </row>
    <row r="5674" spans="25:26" x14ac:dyDescent="0.25">
      <c r="Y5674" s="63">
        <v>48207</v>
      </c>
      <c r="Z5674" s="61">
        <f>_xll.qlYieldTSDiscount($U$35,Y5674,,Trigger)</f>
        <v>0.80789598048744438</v>
      </c>
    </row>
    <row r="5675" spans="25:26" x14ac:dyDescent="0.25">
      <c r="Y5675" s="63">
        <v>48208</v>
      </c>
      <c r="Z5675" s="61">
        <f>_xll.qlYieldTSDiscount($U$35,Y5675,,Trigger)</f>
        <v>0.80786199811257098</v>
      </c>
    </row>
    <row r="5676" spans="25:26" x14ac:dyDescent="0.25">
      <c r="Y5676" s="63">
        <v>48209</v>
      </c>
      <c r="Z5676" s="61">
        <f>_xll.qlYieldTSDiscount($U$35,Y5676,,Trigger)</f>
        <v>0.80782801454913966</v>
      </c>
    </row>
    <row r="5677" spans="25:26" x14ac:dyDescent="0.25">
      <c r="Y5677" s="63">
        <v>48210</v>
      </c>
      <c r="Z5677" s="61">
        <f>_xll.qlYieldTSDiscount($U$35,Y5677,,Trigger)</f>
        <v>0.80779402979475656</v>
      </c>
    </row>
    <row r="5678" spans="25:26" x14ac:dyDescent="0.25">
      <c r="Y5678" s="63">
        <v>48211</v>
      </c>
      <c r="Z5678" s="61">
        <f>_xll.qlYieldTSDiscount($U$35,Y5678,,Trigger)</f>
        <v>0.80776004384702838</v>
      </c>
    </row>
    <row r="5679" spans="25:26" x14ac:dyDescent="0.25">
      <c r="Y5679" s="63">
        <v>48212</v>
      </c>
      <c r="Z5679" s="61">
        <f>_xll.qlYieldTSDiscount($U$35,Y5679,,Trigger)</f>
        <v>0.80772605670356157</v>
      </c>
    </row>
    <row r="5680" spans="25:26" x14ac:dyDescent="0.25">
      <c r="Y5680" s="63">
        <v>48213</v>
      </c>
      <c r="Z5680" s="61">
        <f>_xll.qlYieldTSDiscount($U$35,Y5680,,Trigger)</f>
        <v>0.80769206836196261</v>
      </c>
    </row>
    <row r="5681" spans="25:26" x14ac:dyDescent="0.25">
      <c r="Y5681" s="63">
        <v>48214</v>
      </c>
      <c r="Z5681" s="61">
        <f>_xll.qlYieldTSDiscount($U$35,Y5681,,Trigger)</f>
        <v>0.80765807881983787</v>
      </c>
    </row>
    <row r="5682" spans="25:26" x14ac:dyDescent="0.25">
      <c r="Y5682" s="63">
        <v>48215</v>
      </c>
      <c r="Z5682" s="61">
        <f>_xll.qlYieldTSDiscount($U$35,Y5682,,Trigger)</f>
        <v>0.80762408807479402</v>
      </c>
    </row>
    <row r="5683" spans="25:26" x14ac:dyDescent="0.25">
      <c r="Y5683" s="63">
        <v>48216</v>
      </c>
      <c r="Z5683" s="61">
        <f>_xll.qlYieldTSDiscount($U$35,Y5683,,Trigger)</f>
        <v>0.80759009612443744</v>
      </c>
    </row>
    <row r="5684" spans="25:26" x14ac:dyDescent="0.25">
      <c r="Y5684" s="63">
        <v>48217</v>
      </c>
      <c r="Z5684" s="61">
        <f>_xll.qlYieldTSDiscount($U$35,Y5684,,Trigger)</f>
        <v>0.80755610296637459</v>
      </c>
    </row>
    <row r="5685" spans="25:26" x14ac:dyDescent="0.25">
      <c r="Y5685" s="63">
        <v>48218</v>
      </c>
      <c r="Z5685" s="61">
        <f>_xll.qlYieldTSDiscount($U$35,Y5685,,Trigger)</f>
        <v>0.80752210859821194</v>
      </c>
    </row>
    <row r="5686" spans="25:26" x14ac:dyDescent="0.25">
      <c r="Y5686" s="63">
        <v>48219</v>
      </c>
      <c r="Z5686" s="61">
        <f>_xll.qlYieldTSDiscount($U$35,Y5686,,Trigger)</f>
        <v>0.80748811301755608</v>
      </c>
    </row>
    <row r="5687" spans="25:26" x14ac:dyDescent="0.25">
      <c r="Y5687" s="63">
        <v>48220</v>
      </c>
      <c r="Z5687" s="61">
        <f>_xll.qlYieldTSDiscount($U$35,Y5687,,Trigger)</f>
        <v>0.80745411622201335</v>
      </c>
    </row>
    <row r="5688" spans="25:26" x14ac:dyDescent="0.25">
      <c r="Y5688" s="63">
        <v>48221</v>
      </c>
      <c r="Z5688" s="61">
        <f>_xll.qlYieldTSDiscount($U$35,Y5688,,Trigger)</f>
        <v>0.80742011820919024</v>
      </c>
    </row>
    <row r="5689" spans="25:26" x14ac:dyDescent="0.25">
      <c r="Y5689" s="63">
        <v>48222</v>
      </c>
      <c r="Z5689" s="61">
        <f>_xll.qlYieldTSDiscount($U$35,Y5689,,Trigger)</f>
        <v>0.80738611897669343</v>
      </c>
    </row>
    <row r="5690" spans="25:26" x14ac:dyDescent="0.25">
      <c r="Y5690" s="63">
        <v>48223</v>
      </c>
      <c r="Z5690" s="61">
        <f>_xll.qlYieldTSDiscount($U$35,Y5690,,Trigger)</f>
        <v>0.80735211852212918</v>
      </c>
    </row>
    <row r="5691" spans="25:26" x14ac:dyDescent="0.25">
      <c r="Y5691" s="63">
        <v>48224</v>
      </c>
      <c r="Z5691" s="61">
        <f>_xll.qlYieldTSDiscount($U$35,Y5691,,Trigger)</f>
        <v>0.80731811684310406</v>
      </c>
    </row>
    <row r="5692" spans="25:26" x14ac:dyDescent="0.25">
      <c r="Y5692" s="63">
        <v>48225</v>
      </c>
      <c r="Z5692" s="61">
        <f>_xll.qlYieldTSDiscount($U$35,Y5692,,Trigger)</f>
        <v>0.80728411393722455</v>
      </c>
    </row>
    <row r="5693" spans="25:26" x14ac:dyDescent="0.25">
      <c r="Y5693" s="63">
        <v>48226</v>
      </c>
      <c r="Z5693" s="61">
        <f>_xll.qlYieldTSDiscount($U$35,Y5693,,Trigger)</f>
        <v>0.8072501098020971</v>
      </c>
    </row>
    <row r="5694" spans="25:26" x14ac:dyDescent="0.25">
      <c r="Y5694" s="63">
        <v>48227</v>
      </c>
      <c r="Z5694" s="61">
        <f>_xll.qlYieldTSDiscount($U$35,Y5694,,Trigger)</f>
        <v>0.80721610443532821</v>
      </c>
    </row>
    <row r="5695" spans="25:26" x14ac:dyDescent="0.25">
      <c r="Y5695" s="63">
        <v>48228</v>
      </c>
      <c r="Z5695" s="61">
        <f>_xll.qlYieldTSDiscount($U$35,Y5695,,Trigger)</f>
        <v>0.80718209783452433</v>
      </c>
    </row>
    <row r="5696" spans="25:26" x14ac:dyDescent="0.25">
      <c r="Y5696" s="63">
        <v>48229</v>
      </c>
      <c r="Z5696" s="61">
        <f>_xll.qlYieldTSDiscount($U$35,Y5696,,Trigger)</f>
        <v>0.80714808999729204</v>
      </c>
    </row>
    <row r="5697" spans="25:26" x14ac:dyDescent="0.25">
      <c r="Y5697" s="63">
        <v>48230</v>
      </c>
      <c r="Z5697" s="61">
        <f>_xll.qlYieldTSDiscount($U$35,Y5697,,Trigger)</f>
        <v>0.80711408092123771</v>
      </c>
    </row>
    <row r="5698" spans="25:26" x14ac:dyDescent="0.25">
      <c r="Y5698" s="63">
        <v>48231</v>
      </c>
      <c r="Z5698" s="61">
        <f>_xll.qlYieldTSDiscount($U$35,Y5698,,Trigger)</f>
        <v>0.80708007060396791</v>
      </c>
    </row>
    <row r="5699" spans="25:26" x14ac:dyDescent="0.25">
      <c r="Y5699" s="63">
        <v>48232</v>
      </c>
      <c r="Z5699" s="61">
        <f>_xll.qlYieldTSDiscount($U$35,Y5699,,Trigger)</f>
        <v>0.80704605904308901</v>
      </c>
    </row>
    <row r="5700" spans="25:26" x14ac:dyDescent="0.25">
      <c r="Y5700" s="63">
        <v>48233</v>
      </c>
      <c r="Z5700" s="61">
        <f>_xll.qlYieldTSDiscount($U$35,Y5700,,Trigger)</f>
        <v>0.80701204623620759</v>
      </c>
    </row>
    <row r="5701" spans="25:26" x14ac:dyDescent="0.25">
      <c r="Y5701" s="63">
        <v>48234</v>
      </c>
      <c r="Z5701" s="61">
        <f>_xll.qlYieldTSDiscount($U$35,Y5701,,Trigger)</f>
        <v>0.80697803218093012</v>
      </c>
    </row>
    <row r="5702" spans="25:26" x14ac:dyDescent="0.25">
      <c r="Y5702" s="63">
        <v>48235</v>
      </c>
      <c r="Z5702" s="61">
        <f>_xll.qlYieldTSDiscount($U$35,Y5702,,Trigger)</f>
        <v>0.80694401687486295</v>
      </c>
    </row>
    <row r="5703" spans="25:26" x14ac:dyDescent="0.25">
      <c r="Y5703" s="63">
        <v>48236</v>
      </c>
      <c r="Z5703" s="61">
        <f>_xll.qlYieldTSDiscount($U$35,Y5703,,Trigger)</f>
        <v>0.80691000031561277</v>
      </c>
    </row>
    <row r="5704" spans="25:26" x14ac:dyDescent="0.25">
      <c r="Y5704" s="63">
        <v>48237</v>
      </c>
      <c r="Z5704" s="61">
        <f>_xll.qlYieldTSDiscount($U$35,Y5704,,Trigger)</f>
        <v>0.80687598250078585</v>
      </c>
    </row>
    <row r="5705" spans="25:26" x14ac:dyDescent="0.25">
      <c r="Y5705" s="63">
        <v>48238</v>
      </c>
      <c r="Z5705" s="61">
        <f>_xll.qlYieldTSDiscount($U$35,Y5705,,Trigger)</f>
        <v>0.80684196342798886</v>
      </c>
    </row>
    <row r="5706" spans="25:26" x14ac:dyDescent="0.25">
      <c r="Y5706" s="63">
        <v>48239</v>
      </c>
      <c r="Z5706" s="61">
        <f>_xll.qlYieldTSDiscount($U$35,Y5706,,Trigger)</f>
        <v>0.80680794309482828</v>
      </c>
    </row>
    <row r="5707" spans="25:26" x14ac:dyDescent="0.25">
      <c r="Y5707" s="63">
        <v>48240</v>
      </c>
      <c r="Z5707" s="61">
        <f>_xll.qlYieldTSDiscount($U$35,Y5707,,Trigger)</f>
        <v>0.80677392149891036</v>
      </c>
    </row>
    <row r="5708" spans="25:26" x14ac:dyDescent="0.25">
      <c r="Y5708" s="63">
        <v>48241</v>
      </c>
      <c r="Z5708" s="61">
        <f>_xll.qlYieldTSDiscount($U$35,Y5708,,Trigger)</f>
        <v>0.80673989863784179</v>
      </c>
    </row>
    <row r="5709" spans="25:26" x14ac:dyDescent="0.25">
      <c r="Y5709" s="63">
        <v>48242</v>
      </c>
      <c r="Z5709" s="61">
        <f>_xll.qlYieldTSDiscount($U$35,Y5709,,Trigger)</f>
        <v>0.80670587450922893</v>
      </c>
    </row>
    <row r="5710" spans="25:26" x14ac:dyDescent="0.25">
      <c r="Y5710" s="63">
        <v>48243</v>
      </c>
      <c r="Z5710" s="61">
        <f>_xll.qlYieldTSDiscount($U$35,Y5710,,Trigger)</f>
        <v>0.80667184911067846</v>
      </c>
    </row>
    <row r="5711" spans="25:26" x14ac:dyDescent="0.25">
      <c r="Y5711" s="63">
        <v>48244</v>
      </c>
      <c r="Z5711" s="61">
        <f>_xll.qlYieldTSDiscount($U$35,Y5711,,Trigger)</f>
        <v>0.80663782243979654</v>
      </c>
    </row>
    <row r="5712" spans="25:26" x14ac:dyDescent="0.25">
      <c r="Y5712" s="63">
        <v>48245</v>
      </c>
      <c r="Z5712" s="61">
        <f>_xll.qlYieldTSDiscount($U$35,Y5712,,Trigger)</f>
        <v>0.80660379449418995</v>
      </c>
    </row>
    <row r="5713" spans="25:26" x14ac:dyDescent="0.25">
      <c r="Y5713" s="63">
        <v>48246</v>
      </c>
      <c r="Z5713" s="61">
        <f>_xll.qlYieldTSDiscount($U$35,Y5713,,Trigger)</f>
        <v>0.80656976527146507</v>
      </c>
    </row>
    <row r="5714" spans="25:26" x14ac:dyDescent="0.25">
      <c r="Y5714" s="63">
        <v>48247</v>
      </c>
      <c r="Z5714" s="61">
        <f>_xll.qlYieldTSDiscount($U$35,Y5714,,Trigger)</f>
        <v>0.80653573476922835</v>
      </c>
    </row>
    <row r="5715" spans="25:26" x14ac:dyDescent="0.25">
      <c r="Y5715" s="63">
        <v>48248</v>
      </c>
      <c r="Z5715" s="61">
        <f>_xll.qlYieldTSDiscount($U$35,Y5715,,Trigger)</f>
        <v>0.80650170298508617</v>
      </c>
    </row>
    <row r="5716" spans="25:26" x14ac:dyDescent="0.25">
      <c r="Y5716" s="63">
        <v>48249</v>
      </c>
      <c r="Z5716" s="61">
        <f>_xll.qlYieldTSDiscount($U$35,Y5716,,Trigger)</f>
        <v>0.8064676699166452</v>
      </c>
    </row>
    <row r="5717" spans="25:26" x14ac:dyDescent="0.25">
      <c r="Y5717" s="63">
        <v>48250</v>
      </c>
      <c r="Z5717" s="61">
        <f>_xll.qlYieldTSDiscount($U$35,Y5717,,Trigger)</f>
        <v>0.80643363556151182</v>
      </c>
    </row>
    <row r="5718" spans="25:26" x14ac:dyDescent="0.25">
      <c r="Y5718" s="63">
        <v>48251</v>
      </c>
      <c r="Z5718" s="61">
        <f>_xll.qlYieldTSDiscount($U$35,Y5718,,Trigger)</f>
        <v>0.8063995999172926</v>
      </c>
    </row>
    <row r="5719" spans="25:26" x14ac:dyDescent="0.25">
      <c r="Y5719" s="63">
        <v>48252</v>
      </c>
      <c r="Z5719" s="61">
        <f>_xll.qlYieldTSDiscount($U$35,Y5719,,Trigger)</f>
        <v>0.80636556298159401</v>
      </c>
    </row>
    <row r="5720" spans="25:26" x14ac:dyDescent="0.25">
      <c r="Y5720" s="63">
        <v>48253</v>
      </c>
      <c r="Z5720" s="61">
        <f>_xll.qlYieldTSDiscount($U$35,Y5720,,Trigger)</f>
        <v>0.8063315247520223</v>
      </c>
    </row>
    <row r="5721" spans="25:26" x14ac:dyDescent="0.25">
      <c r="Y5721" s="63">
        <v>48254</v>
      </c>
      <c r="Z5721" s="61">
        <f>_xll.qlYieldTSDiscount($U$35,Y5721,,Trigger)</f>
        <v>0.80629748522618427</v>
      </c>
    </row>
    <row r="5722" spans="25:26" x14ac:dyDescent="0.25">
      <c r="Y5722" s="63">
        <v>48255</v>
      </c>
      <c r="Z5722" s="61">
        <f>_xll.qlYieldTSDiscount($U$35,Y5722,,Trigger)</f>
        <v>0.80626344440168618</v>
      </c>
    </row>
    <row r="5723" spans="25:26" x14ac:dyDescent="0.25">
      <c r="Y5723" s="63">
        <v>48256</v>
      </c>
      <c r="Z5723" s="61">
        <f>_xll.qlYieldTSDiscount($U$35,Y5723,,Trigger)</f>
        <v>0.8062294022761346</v>
      </c>
    </row>
    <row r="5724" spans="25:26" x14ac:dyDescent="0.25">
      <c r="Y5724" s="63">
        <v>48257</v>
      </c>
      <c r="Z5724" s="61">
        <f>_xll.qlYieldTSDiscount($U$35,Y5724,,Trigger)</f>
        <v>0.806195358847136</v>
      </c>
    </row>
    <row r="5725" spans="25:26" x14ac:dyDescent="0.25">
      <c r="Y5725" s="63">
        <v>48258</v>
      </c>
      <c r="Z5725" s="61">
        <f>_xll.qlYieldTSDiscount($U$35,Y5725,,Trigger)</f>
        <v>0.80616131411229686</v>
      </c>
    </row>
    <row r="5726" spans="25:26" x14ac:dyDescent="0.25">
      <c r="Y5726" s="63">
        <v>48259</v>
      </c>
      <c r="Z5726" s="61">
        <f>_xll.qlYieldTSDiscount($U$35,Y5726,,Trigger)</f>
        <v>0.80612726806922375</v>
      </c>
    </row>
    <row r="5727" spans="25:26" x14ac:dyDescent="0.25">
      <c r="Y5727" s="63">
        <v>48260</v>
      </c>
      <c r="Z5727" s="61">
        <f>_xll.qlYieldTSDiscount($U$35,Y5727,,Trigger)</f>
        <v>0.80609322071552292</v>
      </c>
    </row>
    <row r="5728" spans="25:26" x14ac:dyDescent="0.25">
      <c r="Y5728" s="63">
        <v>48261</v>
      </c>
      <c r="Z5728" s="61">
        <f>_xll.qlYieldTSDiscount($U$35,Y5728,,Trigger)</f>
        <v>0.80605917204880106</v>
      </c>
    </row>
    <row r="5729" spans="25:26" x14ac:dyDescent="0.25">
      <c r="Y5729" s="63">
        <v>48262</v>
      </c>
      <c r="Z5729" s="61">
        <f>_xll.qlYieldTSDiscount($U$35,Y5729,,Trigger)</f>
        <v>0.80602512206666455</v>
      </c>
    </row>
    <row r="5730" spans="25:26" x14ac:dyDescent="0.25">
      <c r="Y5730" s="63">
        <v>48263</v>
      </c>
      <c r="Z5730" s="61">
        <f>_xll.qlYieldTSDiscount($U$35,Y5730,,Trigger)</f>
        <v>0.80599107076671994</v>
      </c>
    </row>
    <row r="5731" spans="25:26" x14ac:dyDescent="0.25">
      <c r="Y5731" s="63">
        <v>48264</v>
      </c>
      <c r="Z5731" s="61">
        <f>_xll.qlYieldTSDiscount($U$35,Y5731,,Trigger)</f>
        <v>0.80595701814657361</v>
      </c>
    </row>
    <row r="5732" spans="25:26" x14ac:dyDescent="0.25">
      <c r="Y5732" s="63">
        <v>48265</v>
      </c>
      <c r="Z5732" s="61">
        <f>_xll.qlYieldTSDiscount($U$35,Y5732,,Trigger)</f>
        <v>0.80592296420383214</v>
      </c>
    </row>
    <row r="5733" spans="25:26" x14ac:dyDescent="0.25">
      <c r="Y5733" s="63">
        <v>48266</v>
      </c>
      <c r="Z5733" s="61">
        <f>_xll.qlYieldTSDiscount($U$35,Y5733,,Trigger)</f>
        <v>0.80588890893610199</v>
      </c>
    </row>
    <row r="5734" spans="25:26" x14ac:dyDescent="0.25">
      <c r="Y5734" s="63">
        <v>48267</v>
      </c>
      <c r="Z5734" s="61">
        <f>_xll.qlYieldTSDiscount($U$35,Y5734,,Trigger)</f>
        <v>0.80585485234098964</v>
      </c>
    </row>
    <row r="5735" spans="25:26" x14ac:dyDescent="0.25">
      <c r="Y5735" s="63">
        <v>48268</v>
      </c>
      <c r="Z5735" s="61">
        <f>_xll.qlYieldTSDiscount($U$35,Y5735,,Trigger)</f>
        <v>0.80582079441610155</v>
      </c>
    </row>
    <row r="5736" spans="25:26" x14ac:dyDescent="0.25">
      <c r="Y5736" s="63">
        <v>48269</v>
      </c>
      <c r="Z5736" s="61">
        <f>_xll.qlYieldTSDiscount($U$35,Y5736,,Trigger)</f>
        <v>0.8057867351590442</v>
      </c>
    </row>
    <row r="5737" spans="25:26" x14ac:dyDescent="0.25">
      <c r="Y5737" s="63">
        <v>48270</v>
      </c>
      <c r="Z5737" s="61">
        <f>_xll.qlYieldTSDiscount($U$35,Y5737,,Trigger)</f>
        <v>0.80575267456742405</v>
      </c>
    </row>
    <row r="5738" spans="25:26" x14ac:dyDescent="0.25">
      <c r="Y5738" s="63">
        <v>48271</v>
      </c>
      <c r="Z5738" s="61">
        <f>_xll.qlYieldTSDiscount($U$35,Y5738,,Trigger)</f>
        <v>0.80571861263884759</v>
      </c>
    </row>
    <row r="5739" spans="25:26" x14ac:dyDescent="0.25">
      <c r="Y5739" s="63">
        <v>48272</v>
      </c>
      <c r="Z5739" s="61">
        <f>_xll.qlYieldTSDiscount($U$35,Y5739,,Trigger)</f>
        <v>0.80568454937092138</v>
      </c>
    </row>
    <row r="5740" spans="25:26" x14ac:dyDescent="0.25">
      <c r="Y5740" s="63">
        <v>48273</v>
      </c>
      <c r="Z5740" s="61">
        <f>_xll.qlYieldTSDiscount($U$35,Y5740,,Trigger)</f>
        <v>0.80565048476125178</v>
      </c>
    </row>
    <row r="5741" spans="25:26" x14ac:dyDescent="0.25">
      <c r="Y5741" s="63">
        <v>48274</v>
      </c>
      <c r="Z5741" s="61">
        <f>_xll.qlYieldTSDiscount($U$35,Y5741,,Trigger)</f>
        <v>0.80561641880744539</v>
      </c>
    </row>
    <row r="5742" spans="25:26" x14ac:dyDescent="0.25">
      <c r="Y5742" s="63">
        <v>48275</v>
      </c>
      <c r="Z5742" s="61">
        <f>_xll.qlYieldTSDiscount($U$35,Y5742,,Trigger)</f>
        <v>0.80558235150710855</v>
      </c>
    </row>
    <row r="5743" spans="25:26" x14ac:dyDescent="0.25">
      <c r="Y5743" s="63">
        <v>48276</v>
      </c>
      <c r="Z5743" s="61">
        <f>_xll.qlYieldTSDiscount($U$35,Y5743,,Trigger)</f>
        <v>0.80554828285784796</v>
      </c>
    </row>
    <row r="5744" spans="25:26" x14ac:dyDescent="0.25">
      <c r="Y5744" s="63">
        <v>48277</v>
      </c>
      <c r="Z5744" s="61">
        <f>_xll.qlYieldTSDiscount($U$35,Y5744,,Trigger)</f>
        <v>0.80551421285726987</v>
      </c>
    </row>
    <row r="5745" spans="25:26" x14ac:dyDescent="0.25">
      <c r="Y5745" s="63">
        <v>48278</v>
      </c>
      <c r="Z5745" s="61">
        <f>_xll.qlYieldTSDiscount($U$35,Y5745,,Trigger)</f>
        <v>0.80548014150298086</v>
      </c>
    </row>
    <row r="5746" spans="25:26" x14ac:dyDescent="0.25">
      <c r="Y5746" s="63">
        <v>48279</v>
      </c>
      <c r="Z5746" s="61">
        <f>_xll.qlYieldTSDiscount($U$35,Y5746,,Trigger)</f>
        <v>0.80544606879258729</v>
      </c>
    </row>
    <row r="5747" spans="25:26" x14ac:dyDescent="0.25">
      <c r="Y5747" s="63">
        <v>48280</v>
      </c>
      <c r="Z5747" s="61">
        <f>_xll.qlYieldTSDiscount($U$35,Y5747,,Trigger)</f>
        <v>0.80541199472369596</v>
      </c>
    </row>
    <row r="5748" spans="25:26" x14ac:dyDescent="0.25">
      <c r="Y5748" s="63">
        <v>48281</v>
      </c>
      <c r="Z5748" s="61">
        <f>_xll.qlYieldTSDiscount($U$35,Y5748,,Trigger)</f>
        <v>0.805377919293913</v>
      </c>
    </row>
    <row r="5749" spans="25:26" x14ac:dyDescent="0.25">
      <c r="Y5749" s="63">
        <v>48282</v>
      </c>
      <c r="Z5749" s="61">
        <f>_xll.qlYieldTSDiscount($U$35,Y5749,,Trigger)</f>
        <v>0.80534384250084501</v>
      </c>
    </row>
    <row r="5750" spans="25:26" x14ac:dyDescent="0.25">
      <c r="Y5750" s="63">
        <v>48283</v>
      </c>
      <c r="Z5750" s="61">
        <f>_xll.qlYieldTSDiscount($U$35,Y5750,,Trigger)</f>
        <v>0.80530976434209856</v>
      </c>
    </row>
    <row r="5751" spans="25:26" x14ac:dyDescent="0.25">
      <c r="Y5751" s="63">
        <v>48284</v>
      </c>
      <c r="Z5751" s="61">
        <f>_xll.qlYieldTSDiscount($U$35,Y5751,,Trigger)</f>
        <v>0.80527568481528011</v>
      </c>
    </row>
    <row r="5752" spans="25:26" x14ac:dyDescent="0.25">
      <c r="Y5752" s="63">
        <v>48285</v>
      </c>
      <c r="Z5752" s="61">
        <f>_xll.qlYieldTSDiscount($U$35,Y5752,,Trigger)</f>
        <v>0.80524160391799604</v>
      </c>
    </row>
    <row r="5753" spans="25:26" x14ac:dyDescent="0.25">
      <c r="Y5753" s="63">
        <v>48286</v>
      </c>
      <c r="Z5753" s="61">
        <f>_xll.qlYieldTSDiscount($U$35,Y5753,,Trigger)</f>
        <v>0.80520752164785292</v>
      </c>
    </row>
    <row r="5754" spans="25:26" x14ac:dyDescent="0.25">
      <c r="Y5754" s="63">
        <v>48287</v>
      </c>
      <c r="Z5754" s="61">
        <f>_xll.qlYieldTSDiscount($U$35,Y5754,,Trigger)</f>
        <v>0.80517343800245711</v>
      </c>
    </row>
    <row r="5755" spans="25:26" x14ac:dyDescent="0.25">
      <c r="Y5755" s="63">
        <v>48288</v>
      </c>
      <c r="Z5755" s="61">
        <f>_xll.qlYieldTSDiscount($U$35,Y5755,,Trigger)</f>
        <v>0.8051393529794153</v>
      </c>
    </row>
    <row r="5756" spans="25:26" x14ac:dyDescent="0.25">
      <c r="Y5756" s="63">
        <v>48289</v>
      </c>
      <c r="Z5756" s="61">
        <f>_xll.qlYieldTSDiscount($U$35,Y5756,,Trigger)</f>
        <v>0.80510526657633386</v>
      </c>
    </row>
    <row r="5757" spans="25:26" x14ac:dyDescent="0.25">
      <c r="Y5757" s="63">
        <v>48290</v>
      </c>
      <c r="Z5757" s="61">
        <f>_xll.qlYieldTSDiscount($U$35,Y5757,,Trigger)</f>
        <v>0.80507117879081913</v>
      </c>
    </row>
    <row r="5758" spans="25:26" x14ac:dyDescent="0.25">
      <c r="Y5758" s="63">
        <v>48291</v>
      </c>
      <c r="Z5758" s="61">
        <f>_xll.qlYieldTSDiscount($U$35,Y5758,,Trigger)</f>
        <v>0.80503708962047771</v>
      </c>
    </row>
    <row r="5759" spans="25:26" x14ac:dyDescent="0.25">
      <c r="Y5759" s="63">
        <v>48292</v>
      </c>
      <c r="Z5759" s="61">
        <f>_xll.qlYieldTSDiscount($U$35,Y5759,,Trigger)</f>
        <v>0.80500299906291617</v>
      </c>
    </row>
    <row r="5760" spans="25:26" x14ac:dyDescent="0.25">
      <c r="Y5760" s="63">
        <v>48293</v>
      </c>
      <c r="Z5760" s="61">
        <f>_xll.qlYieldTSDiscount($U$35,Y5760,,Trigger)</f>
        <v>0.80496890711574098</v>
      </c>
    </row>
    <row r="5761" spans="25:26" x14ac:dyDescent="0.25">
      <c r="Y5761" s="63">
        <v>48294</v>
      </c>
      <c r="Z5761" s="61">
        <f>_xll.qlYieldTSDiscount($U$35,Y5761,,Trigger)</f>
        <v>0.8049348137765584</v>
      </c>
    </row>
    <row r="5762" spans="25:26" x14ac:dyDescent="0.25">
      <c r="Y5762" s="63">
        <v>48295</v>
      </c>
      <c r="Z5762" s="61">
        <f>_xll.qlYieldTSDiscount($U$35,Y5762,,Trigger)</f>
        <v>0.80490071904297511</v>
      </c>
    </row>
    <row r="5763" spans="25:26" x14ac:dyDescent="0.25">
      <c r="Y5763" s="63">
        <v>48296</v>
      </c>
      <c r="Z5763" s="61">
        <f>_xll.qlYieldTSDiscount($U$35,Y5763,,Trigger)</f>
        <v>0.80486662291259758</v>
      </c>
    </row>
    <row r="5764" spans="25:26" x14ac:dyDescent="0.25">
      <c r="Y5764" s="63">
        <v>48297</v>
      </c>
      <c r="Z5764" s="61">
        <f>_xll.qlYieldTSDiscount($U$35,Y5764,,Trigger)</f>
        <v>0.80483252538303229</v>
      </c>
    </row>
    <row r="5765" spans="25:26" x14ac:dyDescent="0.25">
      <c r="Y5765" s="63">
        <v>48298</v>
      </c>
      <c r="Z5765" s="61">
        <f>_xll.qlYieldTSDiscount($U$35,Y5765,,Trigger)</f>
        <v>0.8047984264518856</v>
      </c>
    </row>
    <row r="5766" spans="25:26" x14ac:dyDescent="0.25">
      <c r="Y5766" s="63">
        <v>48299</v>
      </c>
      <c r="Z5766" s="61">
        <f>_xll.qlYieldTSDiscount($U$35,Y5766,,Trigger)</f>
        <v>0.80476432611676407</v>
      </c>
    </row>
    <row r="5767" spans="25:26" x14ac:dyDescent="0.25">
      <c r="Y5767" s="63">
        <v>48300</v>
      </c>
      <c r="Z5767" s="61">
        <f>_xll.qlYieldTSDiscount($U$35,Y5767,,Trigger)</f>
        <v>0.80473022437527431</v>
      </c>
    </row>
    <row r="5768" spans="25:26" x14ac:dyDescent="0.25">
      <c r="Y5768" s="63">
        <v>48301</v>
      </c>
      <c r="Z5768" s="61">
        <f>_xll.qlYieldTSDiscount($U$35,Y5768,,Trigger)</f>
        <v>0.80469612122502254</v>
      </c>
    </row>
    <row r="5769" spans="25:26" x14ac:dyDescent="0.25">
      <c r="Y5769" s="63">
        <v>48302</v>
      </c>
      <c r="Z5769" s="61">
        <f>_xll.qlYieldTSDiscount($U$35,Y5769,,Trigger)</f>
        <v>0.80466201666361548</v>
      </c>
    </row>
    <row r="5770" spans="25:26" x14ac:dyDescent="0.25">
      <c r="Y5770" s="63">
        <v>48303</v>
      </c>
      <c r="Z5770" s="61">
        <f>_xll.qlYieldTSDiscount($U$35,Y5770,,Trigger)</f>
        <v>0.80462791068865946</v>
      </c>
    </row>
    <row r="5771" spans="25:26" x14ac:dyDescent="0.25">
      <c r="Y5771" s="63">
        <v>48304</v>
      </c>
      <c r="Z5771" s="61">
        <f>_xll.qlYieldTSDiscount($U$35,Y5771,,Trigger)</f>
        <v>0.80459380329776098</v>
      </c>
    </row>
    <row r="5772" spans="25:26" x14ac:dyDescent="0.25">
      <c r="Y5772" s="63">
        <v>48305</v>
      </c>
      <c r="Z5772" s="61">
        <f>_xll.qlYieldTSDiscount($U$35,Y5772,,Trigger)</f>
        <v>0.8045596944885266</v>
      </c>
    </row>
    <row r="5773" spans="25:26" x14ac:dyDescent="0.25">
      <c r="Y5773" s="63">
        <v>48306</v>
      </c>
      <c r="Z5773" s="61">
        <f>_xll.qlYieldTSDiscount($U$35,Y5773,,Trigger)</f>
        <v>0.80452558425856269</v>
      </c>
    </row>
    <row r="5774" spans="25:26" x14ac:dyDescent="0.25">
      <c r="Y5774" s="63">
        <v>48307</v>
      </c>
      <c r="Z5774" s="61">
        <f>_xll.qlYieldTSDiscount($U$35,Y5774,,Trigger)</f>
        <v>0.80449147260547582</v>
      </c>
    </row>
    <row r="5775" spans="25:26" x14ac:dyDescent="0.25">
      <c r="Y5775" s="63">
        <v>48308</v>
      </c>
      <c r="Z5775" s="61">
        <f>_xll.qlYieldTSDiscount($U$35,Y5775,,Trigger)</f>
        <v>0.80445735952687247</v>
      </c>
    </row>
    <row r="5776" spans="25:26" x14ac:dyDescent="0.25">
      <c r="Y5776" s="63">
        <v>48309</v>
      </c>
      <c r="Z5776" s="61">
        <f>_xll.qlYieldTSDiscount($U$35,Y5776,,Trigger)</f>
        <v>0.804423245020359</v>
      </c>
    </row>
    <row r="5777" spans="25:26" x14ac:dyDescent="0.25">
      <c r="Y5777" s="63">
        <v>48310</v>
      </c>
      <c r="Z5777" s="61">
        <f>_xll.qlYieldTSDiscount($U$35,Y5777,,Trigger)</f>
        <v>0.8043891290835421</v>
      </c>
    </row>
    <row r="5778" spans="25:26" x14ac:dyDescent="0.25">
      <c r="Y5778" s="63">
        <v>48311</v>
      </c>
      <c r="Z5778" s="61">
        <f>_xll.qlYieldTSDiscount($U$35,Y5778,,Trigger)</f>
        <v>0.80435501171402801</v>
      </c>
    </row>
    <row r="5779" spans="25:26" x14ac:dyDescent="0.25">
      <c r="Y5779" s="63">
        <v>48312</v>
      </c>
      <c r="Z5779" s="61">
        <f>_xll.qlYieldTSDiscount($U$35,Y5779,,Trigger)</f>
        <v>0.80432089290942343</v>
      </c>
    </row>
    <row r="5780" spans="25:26" x14ac:dyDescent="0.25">
      <c r="Y5780" s="63">
        <v>48313</v>
      </c>
      <c r="Z5780" s="61">
        <f>_xll.qlYieldTSDiscount($U$35,Y5780,,Trigger)</f>
        <v>0.80428677266733473</v>
      </c>
    </row>
    <row r="5781" spans="25:26" x14ac:dyDescent="0.25">
      <c r="Y5781" s="63">
        <v>48314</v>
      </c>
      <c r="Z5781" s="61">
        <f>_xll.qlYieldTSDiscount($U$35,Y5781,,Trigger)</f>
        <v>0.80425265098536836</v>
      </c>
    </row>
    <row r="5782" spans="25:26" x14ac:dyDescent="0.25">
      <c r="Y5782" s="63">
        <v>48315</v>
      </c>
      <c r="Z5782" s="61">
        <f>_xll.qlYieldTSDiscount($U$35,Y5782,,Trigger)</f>
        <v>0.80421852786113079</v>
      </c>
    </row>
    <row r="5783" spans="25:26" x14ac:dyDescent="0.25">
      <c r="Y5783" s="63">
        <v>48316</v>
      </c>
      <c r="Z5783" s="61">
        <f>_xll.qlYieldTSDiscount($U$35,Y5783,,Trigger)</f>
        <v>0.80418440329222873</v>
      </c>
    </row>
    <row r="5784" spans="25:26" x14ac:dyDescent="0.25">
      <c r="Y5784" s="63">
        <v>48317</v>
      </c>
      <c r="Z5784" s="61">
        <f>_xll.qlYieldTSDiscount($U$35,Y5784,,Trigger)</f>
        <v>0.80415027727626831</v>
      </c>
    </row>
    <row r="5785" spans="25:26" x14ac:dyDescent="0.25">
      <c r="Y5785" s="63">
        <v>48318</v>
      </c>
      <c r="Z5785" s="61">
        <f>_xll.qlYieldTSDiscount($U$35,Y5785,,Trigger)</f>
        <v>0.80411614981085633</v>
      </c>
    </row>
    <row r="5786" spans="25:26" x14ac:dyDescent="0.25">
      <c r="Y5786" s="63">
        <v>48319</v>
      </c>
      <c r="Z5786" s="61">
        <f>_xll.qlYieldTSDiscount($U$35,Y5786,,Trigger)</f>
        <v>0.80408202089359904</v>
      </c>
    </row>
    <row r="5787" spans="25:26" x14ac:dyDescent="0.25">
      <c r="Y5787" s="63">
        <v>48320</v>
      </c>
      <c r="Z5787" s="61">
        <f>_xll.qlYieldTSDiscount($U$35,Y5787,,Trigger)</f>
        <v>0.80404789052210301</v>
      </c>
    </row>
    <row r="5788" spans="25:26" x14ac:dyDescent="0.25">
      <c r="Y5788" s="63">
        <v>48321</v>
      </c>
      <c r="Z5788" s="61">
        <f>_xll.qlYieldTSDiscount($U$35,Y5788,,Trigger)</f>
        <v>0.80401375869397473</v>
      </c>
    </row>
    <row r="5789" spans="25:26" x14ac:dyDescent="0.25">
      <c r="Y5789" s="63">
        <v>48322</v>
      </c>
      <c r="Z5789" s="61">
        <f>_xll.qlYieldTSDiscount($U$35,Y5789,,Trigger)</f>
        <v>0.80397962540682066</v>
      </c>
    </row>
    <row r="5790" spans="25:26" x14ac:dyDescent="0.25">
      <c r="Y5790" s="63">
        <v>48323</v>
      </c>
      <c r="Z5790" s="61">
        <f>_xll.qlYieldTSDiscount($U$35,Y5790,,Trigger)</f>
        <v>0.80394549065824727</v>
      </c>
    </row>
    <row r="5791" spans="25:26" x14ac:dyDescent="0.25">
      <c r="Y5791" s="63">
        <v>48324</v>
      </c>
      <c r="Z5791" s="61">
        <f>_xll.qlYieldTSDiscount($U$35,Y5791,,Trigger)</f>
        <v>0.80391135444586115</v>
      </c>
    </row>
    <row r="5792" spans="25:26" x14ac:dyDescent="0.25">
      <c r="Y5792" s="63">
        <v>48325</v>
      </c>
      <c r="Z5792" s="61">
        <f>_xll.qlYieldTSDiscount($U$35,Y5792,,Trigger)</f>
        <v>0.80387721676726864</v>
      </c>
    </row>
    <row r="5793" spans="25:26" x14ac:dyDescent="0.25">
      <c r="Y5793" s="63">
        <v>48326</v>
      </c>
      <c r="Z5793" s="61">
        <f>_xll.qlYieldTSDiscount($U$35,Y5793,,Trigger)</f>
        <v>0.80384307762007623</v>
      </c>
    </row>
    <row r="5794" spans="25:26" x14ac:dyDescent="0.25">
      <c r="Y5794" s="63">
        <v>48327</v>
      </c>
      <c r="Z5794" s="61">
        <f>_xll.qlYieldTSDiscount($U$35,Y5794,,Trigger)</f>
        <v>0.80380893700189049</v>
      </c>
    </row>
    <row r="5795" spans="25:26" x14ac:dyDescent="0.25">
      <c r="Y5795" s="63">
        <v>48328</v>
      </c>
      <c r="Z5795" s="61">
        <f>_xll.qlYieldTSDiscount($U$35,Y5795,,Trigger)</f>
        <v>0.80377479491031789</v>
      </c>
    </row>
    <row r="5796" spans="25:26" x14ac:dyDescent="0.25">
      <c r="Y5796" s="63">
        <v>48329</v>
      </c>
      <c r="Z5796" s="61">
        <f>_xll.qlYieldTSDiscount($U$35,Y5796,,Trigger)</f>
        <v>0.8037406513429648</v>
      </c>
    </row>
    <row r="5797" spans="25:26" x14ac:dyDescent="0.25">
      <c r="Y5797" s="63">
        <v>48330</v>
      </c>
      <c r="Z5797" s="61">
        <f>_xll.qlYieldTSDiscount($U$35,Y5797,,Trigger)</f>
        <v>0.80370650629743778</v>
      </c>
    </row>
    <row r="5798" spans="25:26" x14ac:dyDescent="0.25">
      <c r="Y5798" s="63">
        <v>48331</v>
      </c>
      <c r="Z5798" s="61">
        <f>_xll.qlYieldTSDiscount($U$35,Y5798,,Trigger)</f>
        <v>0.80367235977134333</v>
      </c>
    </row>
    <row r="5799" spans="25:26" x14ac:dyDescent="0.25">
      <c r="Y5799" s="63">
        <v>48332</v>
      </c>
      <c r="Z5799" s="61">
        <f>_xll.qlYieldTSDiscount($U$35,Y5799,,Trigger)</f>
        <v>0.80363821176228789</v>
      </c>
    </row>
    <row r="5800" spans="25:26" x14ac:dyDescent="0.25">
      <c r="Y5800" s="63">
        <v>48333</v>
      </c>
      <c r="Z5800" s="61">
        <f>_xll.qlYieldTSDiscount($U$35,Y5800,,Trigger)</f>
        <v>0.80360406226787795</v>
      </c>
    </row>
    <row r="5801" spans="25:26" x14ac:dyDescent="0.25">
      <c r="Y5801" s="63">
        <v>48334</v>
      </c>
      <c r="Z5801" s="61">
        <f>_xll.qlYieldTSDiscount($U$35,Y5801,,Trigger)</f>
        <v>0.80356991128571997</v>
      </c>
    </row>
    <row r="5802" spans="25:26" x14ac:dyDescent="0.25">
      <c r="Y5802" s="63">
        <v>48335</v>
      </c>
      <c r="Z5802" s="61">
        <f>_xll.qlYieldTSDiscount($U$35,Y5802,,Trigger)</f>
        <v>0.80353575881342054</v>
      </c>
    </row>
    <row r="5803" spans="25:26" x14ac:dyDescent="0.25">
      <c r="Y5803" s="63">
        <v>48336</v>
      </c>
      <c r="Z5803" s="61">
        <f>_xll.qlYieldTSDiscount($U$35,Y5803,,Trigger)</f>
        <v>0.80350160484858602</v>
      </c>
    </row>
    <row r="5804" spans="25:26" x14ac:dyDescent="0.25">
      <c r="Y5804" s="63">
        <v>48337</v>
      </c>
      <c r="Z5804" s="61">
        <f>_xll.qlYieldTSDiscount($U$35,Y5804,,Trigger)</f>
        <v>0.80346744938882286</v>
      </c>
    </row>
    <row r="5805" spans="25:26" x14ac:dyDescent="0.25">
      <c r="Y5805" s="63">
        <v>48338</v>
      </c>
      <c r="Z5805" s="61">
        <f>_xll.qlYieldTSDiscount($U$35,Y5805,,Trigger)</f>
        <v>0.80343329243173778</v>
      </c>
    </row>
    <row r="5806" spans="25:26" x14ac:dyDescent="0.25">
      <c r="Y5806" s="63">
        <v>48339</v>
      </c>
      <c r="Z5806" s="61">
        <f>_xll.qlYieldTSDiscount($U$35,Y5806,,Trigger)</f>
        <v>0.8033991339749369</v>
      </c>
    </row>
    <row r="5807" spans="25:26" x14ac:dyDescent="0.25">
      <c r="Y5807" s="63">
        <v>48340</v>
      </c>
      <c r="Z5807" s="61">
        <f>_xll.qlYieldTSDiscount($U$35,Y5807,,Trigger)</f>
        <v>0.80336497401602691</v>
      </c>
    </row>
    <row r="5808" spans="25:26" x14ac:dyDescent="0.25">
      <c r="Y5808" s="63">
        <v>48341</v>
      </c>
      <c r="Z5808" s="61">
        <f>_xll.qlYieldTSDiscount($U$35,Y5808,,Trigger)</f>
        <v>0.8033308125526144</v>
      </c>
    </row>
    <row r="5809" spans="25:26" x14ac:dyDescent="0.25">
      <c r="Y5809" s="63">
        <v>48342</v>
      </c>
      <c r="Z5809" s="61">
        <f>_xll.qlYieldTSDiscount($U$35,Y5809,,Trigger)</f>
        <v>0.80329664958230562</v>
      </c>
    </row>
    <row r="5810" spans="25:26" x14ac:dyDescent="0.25">
      <c r="Y5810" s="63">
        <v>48343</v>
      </c>
      <c r="Z5810" s="61">
        <f>_xll.qlYieldTSDiscount($U$35,Y5810,,Trigger)</f>
        <v>0.80326248510270726</v>
      </c>
    </row>
    <row r="5811" spans="25:26" x14ac:dyDescent="0.25">
      <c r="Y5811" s="63">
        <v>48344</v>
      </c>
      <c r="Z5811" s="61">
        <f>_xll.qlYieldTSDiscount($U$35,Y5811,,Trigger)</f>
        <v>0.80322831911142556</v>
      </c>
    </row>
    <row r="5812" spans="25:26" x14ac:dyDescent="0.25">
      <c r="Y5812" s="63">
        <v>48345</v>
      </c>
      <c r="Z5812" s="61">
        <f>_xll.qlYieldTSDiscount($U$35,Y5812,,Trigger)</f>
        <v>0.80319415160606722</v>
      </c>
    </row>
    <row r="5813" spans="25:26" x14ac:dyDescent="0.25">
      <c r="Y5813" s="63">
        <v>48346</v>
      </c>
      <c r="Z5813" s="61">
        <f>_xll.qlYieldTSDiscount($U$35,Y5813,,Trigger)</f>
        <v>0.8031599825842386</v>
      </c>
    </row>
    <row r="5814" spans="25:26" x14ac:dyDescent="0.25">
      <c r="Y5814" s="63">
        <v>48347</v>
      </c>
      <c r="Z5814" s="61">
        <f>_xll.qlYieldTSDiscount($U$35,Y5814,,Trigger)</f>
        <v>0.80312581204354616</v>
      </c>
    </row>
    <row r="5815" spans="25:26" x14ac:dyDescent="0.25">
      <c r="Y5815" s="63">
        <v>48348</v>
      </c>
      <c r="Z5815" s="61">
        <f>_xll.qlYieldTSDiscount($U$35,Y5815,,Trigger)</f>
        <v>0.80309163998159649</v>
      </c>
    </row>
    <row r="5816" spans="25:26" x14ac:dyDescent="0.25">
      <c r="Y5816" s="63">
        <v>48349</v>
      </c>
      <c r="Z5816" s="61">
        <f>_xll.qlYieldTSDiscount($U$35,Y5816,,Trigger)</f>
        <v>0.80305746639599607</v>
      </c>
    </row>
    <row r="5817" spans="25:26" x14ac:dyDescent="0.25">
      <c r="Y5817" s="63">
        <v>48350</v>
      </c>
      <c r="Z5817" s="61">
        <f>_xll.qlYieldTSDiscount($U$35,Y5817,,Trigger)</f>
        <v>0.80302329128435124</v>
      </c>
    </row>
    <row r="5818" spans="25:26" x14ac:dyDescent="0.25">
      <c r="Y5818" s="63">
        <v>48351</v>
      </c>
      <c r="Z5818" s="61">
        <f>_xll.qlYieldTSDiscount($U$35,Y5818,,Trigger)</f>
        <v>0.80298911464426859</v>
      </c>
    </row>
    <row r="5819" spans="25:26" x14ac:dyDescent="0.25">
      <c r="Y5819" s="63">
        <v>48352</v>
      </c>
      <c r="Z5819" s="61">
        <f>_xll.qlYieldTSDiscount($U$35,Y5819,,Trigger)</f>
        <v>0.80295493647335459</v>
      </c>
    </row>
    <row r="5820" spans="25:26" x14ac:dyDescent="0.25">
      <c r="Y5820" s="63">
        <v>48353</v>
      </c>
      <c r="Z5820" s="61">
        <f>_xll.qlYieldTSDiscount($U$35,Y5820,,Trigger)</f>
        <v>0.8029207567692157</v>
      </c>
    </row>
    <row r="5821" spans="25:26" x14ac:dyDescent="0.25">
      <c r="Y5821" s="63">
        <v>48354</v>
      </c>
      <c r="Z5821" s="61">
        <f>_xll.qlYieldTSDiscount($U$35,Y5821,,Trigger)</f>
        <v>0.80288657552945841</v>
      </c>
    </row>
    <row r="5822" spans="25:26" x14ac:dyDescent="0.25">
      <c r="Y5822" s="63">
        <v>48355</v>
      </c>
      <c r="Z5822" s="61">
        <f>_xll.qlYieldTSDiscount($U$35,Y5822,,Trigger)</f>
        <v>0.80285239275168929</v>
      </c>
    </row>
    <row r="5823" spans="25:26" x14ac:dyDescent="0.25">
      <c r="Y5823" s="63">
        <v>48356</v>
      </c>
      <c r="Z5823" s="61">
        <f>_xll.qlYieldTSDiscount($U$35,Y5823,,Trigger)</f>
        <v>0.80281820843351459</v>
      </c>
    </row>
    <row r="5824" spans="25:26" x14ac:dyDescent="0.25">
      <c r="Y5824" s="63">
        <v>48357</v>
      </c>
      <c r="Z5824" s="61">
        <f>_xll.qlYieldTSDiscount($U$35,Y5824,,Trigger)</f>
        <v>0.802784022572541</v>
      </c>
    </row>
    <row r="5825" spans="25:26" x14ac:dyDescent="0.25">
      <c r="Y5825" s="63">
        <v>48358</v>
      </c>
      <c r="Z5825" s="61">
        <f>_xll.qlYieldTSDiscount($U$35,Y5825,,Trigger)</f>
        <v>0.80274983516637488</v>
      </c>
    </row>
    <row r="5826" spans="25:26" x14ac:dyDescent="0.25">
      <c r="Y5826" s="63">
        <v>48359</v>
      </c>
      <c r="Z5826" s="61">
        <f>_xll.qlYieldTSDiscount($U$35,Y5826,,Trigger)</f>
        <v>0.80271564621262281</v>
      </c>
    </row>
    <row r="5827" spans="25:26" x14ac:dyDescent="0.25">
      <c r="Y5827" s="63">
        <v>48360</v>
      </c>
      <c r="Z5827" s="61">
        <f>_xll.qlYieldTSDiscount($U$35,Y5827,,Trigger)</f>
        <v>0.80268145570889116</v>
      </c>
    </row>
    <row r="5828" spans="25:26" x14ac:dyDescent="0.25">
      <c r="Y5828" s="63">
        <v>48361</v>
      </c>
      <c r="Z5828" s="61">
        <f>_xll.qlYieldTSDiscount($U$35,Y5828,,Trigger)</f>
        <v>0.80264726365278649</v>
      </c>
    </row>
    <row r="5829" spans="25:26" x14ac:dyDescent="0.25">
      <c r="Y5829" s="63">
        <v>48362</v>
      </c>
      <c r="Z5829" s="61">
        <f>_xll.qlYieldTSDiscount($U$35,Y5829,,Trigger)</f>
        <v>0.80261307004191529</v>
      </c>
    </row>
    <row r="5830" spans="25:26" x14ac:dyDescent="0.25">
      <c r="Y5830" s="63">
        <v>48363</v>
      </c>
      <c r="Z5830" s="61">
        <f>_xll.qlYieldTSDiscount($U$35,Y5830,,Trigger)</f>
        <v>0.80257887487388402</v>
      </c>
    </row>
    <row r="5831" spans="25:26" x14ac:dyDescent="0.25">
      <c r="Y5831" s="63">
        <v>48364</v>
      </c>
      <c r="Z5831" s="61">
        <f>_xll.qlYieldTSDiscount($U$35,Y5831,,Trigger)</f>
        <v>0.80254467814629915</v>
      </c>
    </row>
    <row r="5832" spans="25:26" x14ac:dyDescent="0.25">
      <c r="Y5832" s="63">
        <v>48365</v>
      </c>
      <c r="Z5832" s="61">
        <f>_xll.qlYieldTSDiscount($U$35,Y5832,,Trigger)</f>
        <v>0.80251047985676727</v>
      </c>
    </row>
    <row r="5833" spans="25:26" x14ac:dyDescent="0.25">
      <c r="Y5833" s="63">
        <v>48366</v>
      </c>
      <c r="Z5833" s="61">
        <f>_xll.qlYieldTSDiscount($U$35,Y5833,,Trigger)</f>
        <v>0.80247628000289462</v>
      </c>
    </row>
    <row r="5834" spans="25:26" x14ac:dyDescent="0.25">
      <c r="Y5834" s="63">
        <v>48367</v>
      </c>
      <c r="Z5834" s="61">
        <f>_xll.qlYieldTSDiscount($U$35,Y5834,,Trigger)</f>
        <v>0.80244207858228778</v>
      </c>
    </row>
    <row r="5835" spans="25:26" x14ac:dyDescent="0.25">
      <c r="Y5835" s="63">
        <v>48368</v>
      </c>
      <c r="Z5835" s="61">
        <f>_xll.qlYieldTSDiscount($U$35,Y5835,,Trigger)</f>
        <v>0.80240787559255344</v>
      </c>
    </row>
    <row r="5836" spans="25:26" x14ac:dyDescent="0.25">
      <c r="Y5836" s="63">
        <v>48369</v>
      </c>
      <c r="Z5836" s="61">
        <f>_xll.qlYieldTSDiscount($U$35,Y5836,,Trigger)</f>
        <v>0.80237367103129775</v>
      </c>
    </row>
    <row r="5837" spans="25:26" x14ac:dyDescent="0.25">
      <c r="Y5837" s="63">
        <v>48370</v>
      </c>
      <c r="Z5837" s="61">
        <f>_xll.qlYieldTSDiscount($U$35,Y5837,,Trigger)</f>
        <v>0.8023394648961274</v>
      </c>
    </row>
    <row r="5838" spans="25:26" x14ac:dyDescent="0.25">
      <c r="Y5838" s="63">
        <v>48371</v>
      </c>
      <c r="Z5838" s="61">
        <f>_xll.qlYieldTSDiscount($U$35,Y5838,,Trigger)</f>
        <v>0.80230525718464873</v>
      </c>
    </row>
    <row r="5839" spans="25:26" x14ac:dyDescent="0.25">
      <c r="Y5839" s="63">
        <v>48372</v>
      </c>
      <c r="Z5839" s="61">
        <f>_xll.qlYieldTSDiscount($U$35,Y5839,,Trigger)</f>
        <v>0.80227104789446846</v>
      </c>
    </row>
    <row r="5840" spans="25:26" x14ac:dyDescent="0.25">
      <c r="Y5840" s="63">
        <v>48373</v>
      </c>
      <c r="Z5840" s="61">
        <f>_xll.qlYieldTSDiscount($U$35,Y5840,,Trigger)</f>
        <v>0.80223683702319293</v>
      </c>
    </row>
    <row r="5841" spans="25:26" x14ac:dyDescent="0.25">
      <c r="Y5841" s="63">
        <v>48374</v>
      </c>
      <c r="Z5841" s="61">
        <f>_xll.qlYieldTSDiscount($U$35,Y5841,,Trigger)</f>
        <v>0.8022026245684285</v>
      </c>
    </row>
    <row r="5842" spans="25:26" x14ac:dyDescent="0.25">
      <c r="Y5842" s="63">
        <v>48375</v>
      </c>
      <c r="Z5842" s="61">
        <f>_xll.qlYieldTSDiscount($U$35,Y5842,,Trigger)</f>
        <v>0.80216841052778176</v>
      </c>
    </row>
    <row r="5843" spans="25:26" x14ac:dyDescent="0.25">
      <c r="Y5843" s="63">
        <v>48376</v>
      </c>
      <c r="Z5843" s="61">
        <f>_xll.qlYieldTSDiscount($U$35,Y5843,,Trigger)</f>
        <v>0.80213419489885929</v>
      </c>
    </row>
    <row r="5844" spans="25:26" x14ac:dyDescent="0.25">
      <c r="Y5844" s="63">
        <v>48377</v>
      </c>
      <c r="Z5844" s="61">
        <f>_xll.qlYieldTSDiscount($U$35,Y5844,,Trigger)</f>
        <v>0.80209997767926744</v>
      </c>
    </row>
    <row r="5845" spans="25:26" x14ac:dyDescent="0.25">
      <c r="Y5845" s="63">
        <v>48378</v>
      </c>
      <c r="Z5845" s="61">
        <f>_xll.qlYieldTSDiscount($U$35,Y5845,,Trigger)</f>
        <v>0.80206575886661269</v>
      </c>
    </row>
    <row r="5846" spans="25:26" x14ac:dyDescent="0.25">
      <c r="Y5846" s="63">
        <v>48379</v>
      </c>
      <c r="Z5846" s="61">
        <f>_xll.qlYieldTSDiscount($U$35,Y5846,,Trigger)</f>
        <v>0.8020315384585015</v>
      </c>
    </row>
    <row r="5847" spans="25:26" x14ac:dyDescent="0.25">
      <c r="Y5847" s="63">
        <v>48380</v>
      </c>
      <c r="Z5847" s="61">
        <f>_xll.qlYieldTSDiscount($U$35,Y5847,,Trigger)</f>
        <v>0.80199731645254047</v>
      </c>
    </row>
    <row r="5848" spans="25:26" x14ac:dyDescent="0.25">
      <c r="Y5848" s="63">
        <v>48381</v>
      </c>
      <c r="Z5848" s="61">
        <f>_xll.qlYieldTSDiscount($U$35,Y5848,,Trigger)</f>
        <v>0.80196309284633605</v>
      </c>
    </row>
    <row r="5849" spans="25:26" x14ac:dyDescent="0.25">
      <c r="Y5849" s="63">
        <v>48382</v>
      </c>
      <c r="Z5849" s="61">
        <f>_xll.qlYieldTSDiscount($U$35,Y5849,,Trigger)</f>
        <v>0.8019288676374946</v>
      </c>
    </row>
    <row r="5850" spans="25:26" x14ac:dyDescent="0.25">
      <c r="Y5850" s="63">
        <v>48383</v>
      </c>
      <c r="Z5850" s="61">
        <f>_xll.qlYieldTSDiscount($U$35,Y5850,,Trigger)</f>
        <v>0.80189464082362283</v>
      </c>
    </row>
    <row r="5851" spans="25:26" x14ac:dyDescent="0.25">
      <c r="Y5851" s="63">
        <v>48384</v>
      </c>
      <c r="Z5851" s="61">
        <f>_xll.qlYieldTSDiscount($U$35,Y5851,,Trigger)</f>
        <v>0.80186041240232697</v>
      </c>
    </row>
    <row r="5852" spans="25:26" x14ac:dyDescent="0.25">
      <c r="Y5852" s="63">
        <v>48385</v>
      </c>
      <c r="Z5852" s="61">
        <f>_xll.qlYieldTSDiscount($U$35,Y5852,,Trigger)</f>
        <v>0.80182618237121361</v>
      </c>
    </row>
    <row r="5853" spans="25:26" x14ac:dyDescent="0.25">
      <c r="Y5853" s="63">
        <v>48386</v>
      </c>
      <c r="Z5853" s="61">
        <f>_xll.qlYieldTSDiscount($U$35,Y5853,,Trigger)</f>
        <v>0.80179195072788922</v>
      </c>
    </row>
    <row r="5854" spans="25:26" x14ac:dyDescent="0.25">
      <c r="Y5854" s="63">
        <v>48387</v>
      </c>
      <c r="Z5854" s="61">
        <f>_xll.qlYieldTSDiscount($U$35,Y5854,,Trigger)</f>
        <v>0.80175771746996027</v>
      </c>
    </row>
    <row r="5855" spans="25:26" x14ac:dyDescent="0.25">
      <c r="Y5855" s="63">
        <v>48388</v>
      </c>
      <c r="Z5855" s="61">
        <f>_xll.qlYieldTSDiscount($U$35,Y5855,,Trigger)</f>
        <v>0.80172348259503334</v>
      </c>
    </row>
    <row r="5856" spans="25:26" x14ac:dyDescent="0.25">
      <c r="Y5856" s="63">
        <v>48389</v>
      </c>
      <c r="Z5856" s="61">
        <f>_xll.qlYieldTSDiscount($U$35,Y5856,,Trigger)</f>
        <v>0.80168924610071479</v>
      </c>
    </row>
    <row r="5857" spans="25:26" x14ac:dyDescent="0.25">
      <c r="Y5857" s="63">
        <v>48390</v>
      </c>
      <c r="Z5857" s="61">
        <f>_xll.qlYieldTSDiscount($U$35,Y5857,,Trigger)</f>
        <v>0.80165500798461109</v>
      </c>
    </row>
    <row r="5858" spans="25:26" x14ac:dyDescent="0.25">
      <c r="Y5858" s="63">
        <v>48391</v>
      </c>
      <c r="Z5858" s="61">
        <f>_xll.qlYieldTSDiscount($U$35,Y5858,,Trigger)</f>
        <v>0.80162076824432882</v>
      </c>
    </row>
    <row r="5859" spans="25:26" x14ac:dyDescent="0.25">
      <c r="Y5859" s="63">
        <v>48392</v>
      </c>
      <c r="Z5859" s="61">
        <f>_xll.qlYieldTSDiscount($U$35,Y5859,,Trigger)</f>
        <v>0.80158652687747445</v>
      </c>
    </row>
    <row r="5860" spans="25:26" x14ac:dyDescent="0.25">
      <c r="Y5860" s="63">
        <v>48393</v>
      </c>
      <c r="Z5860" s="61">
        <f>_xll.qlYieldTSDiscount($U$35,Y5860,,Trigger)</f>
        <v>0.80155228388165445</v>
      </c>
    </row>
    <row r="5861" spans="25:26" x14ac:dyDescent="0.25">
      <c r="Y5861" s="63">
        <v>48394</v>
      </c>
      <c r="Z5861" s="61">
        <f>_xll.qlYieldTSDiscount($U$35,Y5861,,Trigger)</f>
        <v>0.80151803925447518</v>
      </c>
    </row>
    <row r="5862" spans="25:26" x14ac:dyDescent="0.25">
      <c r="Y5862" s="63">
        <v>48395</v>
      </c>
      <c r="Z5862" s="61">
        <f>_xll.qlYieldTSDiscount($U$35,Y5862,,Trigger)</f>
        <v>0.80148379299354322</v>
      </c>
    </row>
    <row r="5863" spans="25:26" x14ac:dyDescent="0.25">
      <c r="Y5863" s="63">
        <v>48396</v>
      </c>
      <c r="Z5863" s="61">
        <f>_xll.qlYieldTSDiscount($U$35,Y5863,,Trigger)</f>
        <v>0.80144954509646504</v>
      </c>
    </row>
    <row r="5864" spans="25:26" x14ac:dyDescent="0.25">
      <c r="Y5864" s="63">
        <v>48397</v>
      </c>
      <c r="Z5864" s="61">
        <f>_xll.qlYieldTSDiscount($U$35,Y5864,,Trigger)</f>
        <v>0.80141529556084723</v>
      </c>
    </row>
    <row r="5865" spans="25:26" x14ac:dyDescent="0.25">
      <c r="Y5865" s="63">
        <v>48398</v>
      </c>
      <c r="Z5865" s="61">
        <f>_xll.qlYieldTSDiscount($U$35,Y5865,,Trigger)</f>
        <v>0.80138104438429603</v>
      </c>
    </row>
    <row r="5866" spans="25:26" x14ac:dyDescent="0.25">
      <c r="Y5866" s="63">
        <v>48399</v>
      </c>
      <c r="Z5866" s="61">
        <f>_xll.qlYieldTSDiscount($U$35,Y5866,,Trigger)</f>
        <v>0.80134679156441813</v>
      </c>
    </row>
    <row r="5867" spans="25:26" x14ac:dyDescent="0.25">
      <c r="Y5867" s="63">
        <v>48400</v>
      </c>
      <c r="Z5867" s="61">
        <f>_xll.qlYieldTSDiscount($U$35,Y5867,,Trigger)</f>
        <v>0.80131253709881989</v>
      </c>
    </row>
    <row r="5868" spans="25:26" x14ac:dyDescent="0.25">
      <c r="Y5868" s="63">
        <v>48401</v>
      </c>
      <c r="Z5868" s="61">
        <f>_xll.qlYieldTSDiscount($U$35,Y5868,,Trigger)</f>
        <v>0.80127828098510789</v>
      </c>
    </row>
    <row r="5869" spans="25:26" x14ac:dyDescent="0.25">
      <c r="Y5869" s="63">
        <v>48402</v>
      </c>
      <c r="Z5869" s="61">
        <f>_xll.qlYieldTSDiscount($U$35,Y5869,,Trigger)</f>
        <v>0.80124402322088861</v>
      </c>
    </row>
    <row r="5870" spans="25:26" x14ac:dyDescent="0.25">
      <c r="Y5870" s="63">
        <v>48403</v>
      </c>
      <c r="Z5870" s="61">
        <f>_xll.qlYieldTSDiscount($U$35,Y5870,,Trigger)</f>
        <v>0.80120976380376829</v>
      </c>
    </row>
    <row r="5871" spans="25:26" x14ac:dyDescent="0.25">
      <c r="Y5871" s="63">
        <v>48404</v>
      </c>
      <c r="Z5871" s="61">
        <f>_xll.qlYieldTSDiscount($U$35,Y5871,,Trigger)</f>
        <v>0.80117550273135374</v>
      </c>
    </row>
    <row r="5872" spans="25:26" x14ac:dyDescent="0.25">
      <c r="Y5872" s="63">
        <v>48405</v>
      </c>
      <c r="Z5872" s="61">
        <f>_xll.qlYieldTSDiscount($U$35,Y5872,,Trigger)</f>
        <v>0.80114124000125131</v>
      </c>
    </row>
    <row r="5873" spans="25:26" x14ac:dyDescent="0.25">
      <c r="Y5873" s="63">
        <v>48406</v>
      </c>
      <c r="Z5873" s="61">
        <f>_xll.qlYieldTSDiscount($U$35,Y5873,,Trigger)</f>
        <v>0.80110697561106736</v>
      </c>
    </row>
    <row r="5874" spans="25:26" x14ac:dyDescent="0.25">
      <c r="Y5874" s="63">
        <v>48407</v>
      </c>
      <c r="Z5874" s="61">
        <f>_xll.qlYieldTSDiscount($U$35,Y5874,,Trigger)</f>
        <v>0.80107270955840859</v>
      </c>
    </row>
    <row r="5875" spans="25:26" x14ac:dyDescent="0.25">
      <c r="Y5875" s="63">
        <v>48408</v>
      </c>
      <c r="Z5875" s="61">
        <f>_xll.qlYieldTSDiscount($U$35,Y5875,,Trigger)</f>
        <v>0.80103844184088135</v>
      </c>
    </row>
    <row r="5876" spans="25:26" x14ac:dyDescent="0.25">
      <c r="Y5876" s="63">
        <v>48409</v>
      </c>
      <c r="Z5876" s="61">
        <f>_xll.qlYieldTSDiscount($U$35,Y5876,,Trigger)</f>
        <v>0.80100417245609212</v>
      </c>
    </row>
    <row r="5877" spans="25:26" x14ac:dyDescent="0.25">
      <c r="Y5877" s="63">
        <v>48410</v>
      </c>
      <c r="Z5877" s="61">
        <f>_xll.qlYieldTSDiscount($U$35,Y5877,,Trigger)</f>
        <v>0.80096990140164748</v>
      </c>
    </row>
    <row r="5878" spans="25:26" x14ac:dyDescent="0.25">
      <c r="Y5878" s="63">
        <v>48411</v>
      </c>
      <c r="Z5878" s="61">
        <f>_xll.qlYieldTSDiscount($U$35,Y5878,,Trigger)</f>
        <v>0.80093562867515367</v>
      </c>
    </row>
    <row r="5879" spans="25:26" x14ac:dyDescent="0.25">
      <c r="Y5879" s="63">
        <v>48412</v>
      </c>
      <c r="Z5879" s="61">
        <f>_xll.qlYieldTSDiscount($U$35,Y5879,,Trigger)</f>
        <v>0.80090135427421749</v>
      </c>
    </row>
    <row r="5880" spans="25:26" x14ac:dyDescent="0.25">
      <c r="Y5880" s="63">
        <v>48413</v>
      </c>
      <c r="Z5880" s="61">
        <f>_xll.qlYieldTSDiscount($U$35,Y5880,,Trigger)</f>
        <v>0.8008670781964452</v>
      </c>
    </row>
    <row r="5881" spans="25:26" x14ac:dyDescent="0.25">
      <c r="Y5881" s="63">
        <v>48414</v>
      </c>
      <c r="Z5881" s="61">
        <f>_xll.qlYieldTSDiscount($U$35,Y5881,,Trigger)</f>
        <v>0.80083280043944338</v>
      </c>
    </row>
    <row r="5882" spans="25:26" x14ac:dyDescent="0.25">
      <c r="Y5882" s="63">
        <v>48415</v>
      </c>
      <c r="Z5882" s="61">
        <f>_xll.qlYieldTSDiscount($U$35,Y5882,,Trigger)</f>
        <v>0.8007985210008185</v>
      </c>
    </row>
    <row r="5883" spans="25:26" x14ac:dyDescent="0.25">
      <c r="Y5883" s="63">
        <v>48416</v>
      </c>
      <c r="Z5883" s="61">
        <f>_xll.qlYieldTSDiscount($U$35,Y5883,,Trigger)</f>
        <v>0.80076423987817691</v>
      </c>
    </row>
    <row r="5884" spans="25:26" x14ac:dyDescent="0.25">
      <c r="Y5884" s="63">
        <v>48417</v>
      </c>
      <c r="Z5884" s="61">
        <f>_xll.qlYieldTSDiscount($U$35,Y5884,,Trigger)</f>
        <v>0.80072995706912531</v>
      </c>
    </row>
    <row r="5885" spans="25:26" x14ac:dyDescent="0.25">
      <c r="Y5885" s="63">
        <v>48418</v>
      </c>
      <c r="Z5885" s="61">
        <f>_xll.qlYieldTSDiscount($U$35,Y5885,,Trigger)</f>
        <v>0.80069567257126995</v>
      </c>
    </row>
    <row r="5886" spans="25:26" x14ac:dyDescent="0.25">
      <c r="Y5886" s="63">
        <v>48419</v>
      </c>
      <c r="Z5886" s="61">
        <f>_xll.qlYieldTSDiscount($U$35,Y5886,,Trigger)</f>
        <v>0.80066138638221751</v>
      </c>
    </row>
    <row r="5887" spans="25:26" x14ac:dyDescent="0.25">
      <c r="Y5887" s="63">
        <v>48420</v>
      </c>
      <c r="Z5887" s="61">
        <f>_xll.qlYieldTSDiscount($U$35,Y5887,,Trigger)</f>
        <v>0.80062709849957436</v>
      </c>
    </row>
    <row r="5888" spans="25:26" x14ac:dyDescent="0.25">
      <c r="Y5888" s="63">
        <v>48421</v>
      </c>
      <c r="Z5888" s="61">
        <f>_xll.qlYieldTSDiscount($U$35,Y5888,,Trigger)</f>
        <v>0.80059280892094709</v>
      </c>
    </row>
    <row r="5889" spans="25:26" x14ac:dyDescent="0.25">
      <c r="Y5889" s="63">
        <v>48422</v>
      </c>
      <c r="Z5889" s="61">
        <f>_xll.qlYieldTSDiscount($U$35,Y5889,,Trigger)</f>
        <v>0.80055851764394192</v>
      </c>
    </row>
    <row r="5890" spans="25:26" x14ac:dyDescent="0.25">
      <c r="Y5890" s="63">
        <v>48423</v>
      </c>
      <c r="Z5890" s="61">
        <f>_xll.qlYieldTSDiscount($U$35,Y5890,,Trigger)</f>
        <v>0.80052422466616568</v>
      </c>
    </row>
    <row r="5891" spans="25:26" x14ac:dyDescent="0.25">
      <c r="Y5891" s="63">
        <v>48424</v>
      </c>
      <c r="Z5891" s="61">
        <f>_xll.qlYieldTSDiscount($U$35,Y5891,,Trigger)</f>
        <v>0.80048992998522461</v>
      </c>
    </row>
    <row r="5892" spans="25:26" x14ac:dyDescent="0.25">
      <c r="Y5892" s="63">
        <v>48425</v>
      </c>
      <c r="Z5892" s="61">
        <f>_xll.qlYieldTSDiscount($U$35,Y5892,,Trigger)</f>
        <v>0.80045563359872529</v>
      </c>
    </row>
    <row r="5893" spans="25:26" x14ac:dyDescent="0.25">
      <c r="Y5893" s="63">
        <v>48426</v>
      </c>
      <c r="Z5893" s="61">
        <f>_xll.qlYieldTSDiscount($U$35,Y5893,,Trigger)</f>
        <v>0.80042133550427419</v>
      </c>
    </row>
    <row r="5894" spans="25:26" x14ac:dyDescent="0.25">
      <c r="Y5894" s="63">
        <v>48427</v>
      </c>
      <c r="Z5894" s="61">
        <f>_xll.qlYieldTSDiscount($U$35,Y5894,,Trigger)</f>
        <v>0.80038703569947767</v>
      </c>
    </row>
    <row r="5895" spans="25:26" x14ac:dyDescent="0.25">
      <c r="Y5895" s="63">
        <v>48428</v>
      </c>
      <c r="Z5895" s="61">
        <f>_xll.qlYieldTSDiscount($U$35,Y5895,,Trigger)</f>
        <v>0.80035273418194242</v>
      </c>
    </row>
    <row r="5896" spans="25:26" x14ac:dyDescent="0.25">
      <c r="Y5896" s="63">
        <v>48429</v>
      </c>
      <c r="Z5896" s="61">
        <f>_xll.qlYieldTSDiscount($U$35,Y5896,,Trigger)</f>
        <v>0.80031843094927479</v>
      </c>
    </row>
    <row r="5897" spans="25:26" x14ac:dyDescent="0.25">
      <c r="Y5897" s="63">
        <v>48430</v>
      </c>
      <c r="Z5897" s="61">
        <f>_xll.qlYieldTSDiscount($U$35,Y5897,,Trigger)</f>
        <v>0.80028412599908128</v>
      </c>
    </row>
    <row r="5898" spans="25:26" x14ac:dyDescent="0.25">
      <c r="Y5898" s="63">
        <v>48431</v>
      </c>
      <c r="Z5898" s="61">
        <f>_xll.qlYieldTSDiscount($U$35,Y5898,,Trigger)</f>
        <v>0.80024981932896833</v>
      </c>
    </row>
    <row r="5899" spans="25:26" x14ac:dyDescent="0.25">
      <c r="Y5899" s="63">
        <v>48432</v>
      </c>
      <c r="Z5899" s="61">
        <f>_xll.qlYieldTSDiscount($U$35,Y5899,,Trigger)</f>
        <v>0.80021551093654253</v>
      </c>
    </row>
    <row r="5900" spans="25:26" x14ac:dyDescent="0.25">
      <c r="Y5900" s="63">
        <v>48433</v>
      </c>
      <c r="Z5900" s="61">
        <f>_xll.qlYieldTSDiscount($U$35,Y5900,,Trigger)</f>
        <v>0.80018120081941024</v>
      </c>
    </row>
    <row r="5901" spans="25:26" x14ac:dyDescent="0.25">
      <c r="Y5901" s="63">
        <v>48434</v>
      </c>
      <c r="Z5901" s="61">
        <f>_xll.qlYieldTSDiscount($U$35,Y5901,,Trigger)</f>
        <v>0.80014688897517805</v>
      </c>
    </row>
    <row r="5902" spans="25:26" x14ac:dyDescent="0.25">
      <c r="Y5902" s="63">
        <v>48435</v>
      </c>
      <c r="Z5902" s="61">
        <f>_xll.qlYieldTSDiscount($U$35,Y5902,,Trigger)</f>
        <v>0.80011257540145242</v>
      </c>
    </row>
    <row r="5903" spans="25:26" x14ac:dyDescent="0.25">
      <c r="Y5903" s="63">
        <v>48436</v>
      </c>
      <c r="Z5903" s="61">
        <f>_xll.qlYieldTSDiscount($U$35,Y5903,,Trigger)</f>
        <v>0.80007826009583971</v>
      </c>
    </row>
    <row r="5904" spans="25:26" x14ac:dyDescent="0.25">
      <c r="Y5904" s="63">
        <v>48437</v>
      </c>
      <c r="Z5904" s="61">
        <f>_xll.qlYieldTSDiscount($U$35,Y5904,,Trigger)</f>
        <v>0.80004394305594662</v>
      </c>
    </row>
    <row r="5905" spans="25:26" x14ac:dyDescent="0.25">
      <c r="Y5905" s="63">
        <v>48438</v>
      </c>
      <c r="Z5905" s="61">
        <f>_xll.qlYieldTSDiscount($U$35,Y5905,,Trigger)</f>
        <v>0.80000962427937938</v>
      </c>
    </row>
    <row r="5906" spans="25:26" x14ac:dyDescent="0.25">
      <c r="Y5906" s="63">
        <v>48439</v>
      </c>
      <c r="Z5906" s="61">
        <f>_xll.qlYieldTSDiscount($U$35,Y5906,,Trigger)</f>
        <v>0.79997530376374459</v>
      </c>
    </row>
    <row r="5907" spans="25:26" x14ac:dyDescent="0.25">
      <c r="Y5907" s="63">
        <v>48440</v>
      </c>
      <c r="Z5907" s="61">
        <f>_xll.qlYieldTSDiscount($U$35,Y5907,,Trigger)</f>
        <v>0.79994098150664872</v>
      </c>
    </row>
    <row r="5908" spans="25:26" x14ac:dyDescent="0.25">
      <c r="Y5908" s="63">
        <v>48441</v>
      </c>
      <c r="Z5908" s="61">
        <f>_xll.qlYieldTSDiscount($U$35,Y5908,,Trigger)</f>
        <v>0.79990665750569834</v>
      </c>
    </row>
    <row r="5909" spans="25:26" x14ac:dyDescent="0.25">
      <c r="Y5909" s="63">
        <v>48442</v>
      </c>
      <c r="Z5909" s="61">
        <f>_xll.qlYieldTSDiscount($U$35,Y5909,,Trigger)</f>
        <v>0.79987233175849981</v>
      </c>
    </row>
    <row r="5910" spans="25:26" x14ac:dyDescent="0.25">
      <c r="Y5910" s="63">
        <v>48443</v>
      </c>
      <c r="Z5910" s="61">
        <f>_xll.qlYieldTSDiscount($U$35,Y5910,,Trigger)</f>
        <v>0.79983800426265972</v>
      </c>
    </row>
    <row r="5911" spans="25:26" x14ac:dyDescent="0.25">
      <c r="Y5911" s="63">
        <v>48444</v>
      </c>
      <c r="Z5911" s="61">
        <f>_xll.qlYieldTSDiscount($U$35,Y5911,,Trigger)</f>
        <v>0.79980367501578442</v>
      </c>
    </row>
    <row r="5912" spans="25:26" x14ac:dyDescent="0.25">
      <c r="Y5912" s="63">
        <v>48445</v>
      </c>
      <c r="Z5912" s="61">
        <f>_xll.qlYieldTSDiscount($U$35,Y5912,,Trigger)</f>
        <v>0.7997693440154805</v>
      </c>
    </row>
    <row r="5913" spans="25:26" x14ac:dyDescent="0.25">
      <c r="Y5913" s="63">
        <v>48446</v>
      </c>
      <c r="Z5913" s="61">
        <f>_xll.qlYieldTSDiscount($U$35,Y5913,,Trigger)</f>
        <v>0.79973501125935431</v>
      </c>
    </row>
    <row r="5914" spans="25:26" x14ac:dyDescent="0.25">
      <c r="Y5914" s="63">
        <v>48447</v>
      </c>
      <c r="Z5914" s="61">
        <f>_xll.qlYieldTSDiscount($U$35,Y5914,,Trigger)</f>
        <v>0.79970067674501244</v>
      </c>
    </row>
    <row r="5915" spans="25:26" x14ac:dyDescent="0.25">
      <c r="Y5915" s="63">
        <v>48448</v>
      </c>
      <c r="Z5915" s="61">
        <f>_xll.qlYieldTSDiscount($U$35,Y5915,,Trigger)</f>
        <v>0.79966634047006135</v>
      </c>
    </row>
    <row r="5916" spans="25:26" x14ac:dyDescent="0.25">
      <c r="Y5916" s="63">
        <v>48449</v>
      </c>
      <c r="Z5916" s="61">
        <f>_xll.qlYieldTSDiscount($U$35,Y5916,,Trigger)</f>
        <v>0.79963200243210752</v>
      </c>
    </row>
    <row r="5917" spans="25:26" x14ac:dyDescent="0.25">
      <c r="Y5917" s="63">
        <v>48450</v>
      </c>
      <c r="Z5917" s="61">
        <f>_xll.qlYieldTSDiscount($U$35,Y5917,,Trigger)</f>
        <v>0.79959766262875753</v>
      </c>
    </row>
    <row r="5918" spans="25:26" x14ac:dyDescent="0.25">
      <c r="Y5918" s="63">
        <v>48451</v>
      </c>
      <c r="Z5918" s="61">
        <f>_xll.qlYieldTSDiscount($U$35,Y5918,,Trigger)</f>
        <v>0.79956332105761763</v>
      </c>
    </row>
    <row r="5919" spans="25:26" x14ac:dyDescent="0.25">
      <c r="Y5919" s="63">
        <v>48452</v>
      </c>
      <c r="Z5919" s="61">
        <f>_xll.qlYieldTSDiscount($U$35,Y5919,,Trigger)</f>
        <v>0.7995289777162945</v>
      </c>
    </row>
    <row r="5920" spans="25:26" x14ac:dyDescent="0.25">
      <c r="Y5920" s="63">
        <v>48453</v>
      </c>
      <c r="Z5920" s="61">
        <f>_xll.qlYieldTSDiscount($U$35,Y5920,,Trigger)</f>
        <v>0.79949463260239451</v>
      </c>
    </row>
    <row r="5921" spans="25:26" x14ac:dyDescent="0.25">
      <c r="Y5921" s="63">
        <v>48454</v>
      </c>
      <c r="Z5921" s="61">
        <f>_xll.qlYieldTSDiscount($U$35,Y5921,,Trigger)</f>
        <v>0.79946028571352423</v>
      </c>
    </row>
    <row r="5922" spans="25:26" x14ac:dyDescent="0.25">
      <c r="Y5922" s="63">
        <v>48455</v>
      </c>
      <c r="Z5922" s="61">
        <f>_xll.qlYieldTSDiscount($U$35,Y5922,,Trigger)</f>
        <v>0.79942593704729004</v>
      </c>
    </row>
    <row r="5923" spans="25:26" x14ac:dyDescent="0.25">
      <c r="Y5923" s="63">
        <v>48456</v>
      </c>
      <c r="Z5923" s="61">
        <f>_xll.qlYieldTSDiscount($U$35,Y5923,,Trigger)</f>
        <v>0.7993915866012985</v>
      </c>
    </row>
    <row r="5924" spans="25:26" x14ac:dyDescent="0.25">
      <c r="Y5924" s="63">
        <v>48457</v>
      </c>
      <c r="Z5924" s="61">
        <f>_xll.qlYieldTSDiscount($U$35,Y5924,,Trigger)</f>
        <v>0.79935723437315598</v>
      </c>
    </row>
    <row r="5925" spans="25:26" x14ac:dyDescent="0.25">
      <c r="Y5925" s="63">
        <v>48458</v>
      </c>
      <c r="Z5925" s="61">
        <f>_xll.qlYieldTSDiscount($U$35,Y5925,,Trigger)</f>
        <v>0.79932288036046917</v>
      </c>
    </row>
    <row r="5926" spans="25:26" x14ac:dyDescent="0.25">
      <c r="Y5926" s="63">
        <v>48459</v>
      </c>
      <c r="Z5926" s="61">
        <f>_xll.qlYieldTSDiscount($U$35,Y5926,,Trigger)</f>
        <v>0.79928852456084432</v>
      </c>
    </row>
    <row r="5927" spans="25:26" x14ac:dyDescent="0.25">
      <c r="Y5927" s="63">
        <v>48460</v>
      </c>
      <c r="Z5927" s="61">
        <f>_xll.qlYieldTSDiscount($U$35,Y5927,,Trigger)</f>
        <v>0.79925416697188811</v>
      </c>
    </row>
    <row r="5928" spans="25:26" x14ac:dyDescent="0.25">
      <c r="Y5928" s="63">
        <v>48461</v>
      </c>
      <c r="Z5928" s="61">
        <f>_xll.qlYieldTSDiscount($U$35,Y5928,,Trigger)</f>
        <v>0.79921980759120681</v>
      </c>
    </row>
    <row r="5929" spans="25:26" x14ac:dyDescent="0.25">
      <c r="Y5929" s="63">
        <v>48462</v>
      </c>
      <c r="Z5929" s="61">
        <f>_xll.qlYieldTSDiscount($U$35,Y5929,,Trigger)</f>
        <v>0.7991854464164071</v>
      </c>
    </row>
    <row r="5930" spans="25:26" x14ac:dyDescent="0.25">
      <c r="Y5930" s="63">
        <v>48463</v>
      </c>
      <c r="Z5930" s="61">
        <f>_xll.qlYieldTSDiscount($U$35,Y5930,,Trigger)</f>
        <v>0.79915108344509544</v>
      </c>
    </row>
    <row r="5931" spans="25:26" x14ac:dyDescent="0.25">
      <c r="Y5931" s="63">
        <v>48464</v>
      </c>
      <c r="Z5931" s="61">
        <f>_xll.qlYieldTSDiscount($U$35,Y5931,,Trigger)</f>
        <v>0.7991167186748781</v>
      </c>
    </row>
    <row r="5932" spans="25:26" x14ac:dyDescent="0.25">
      <c r="Y5932" s="63">
        <v>48465</v>
      </c>
      <c r="Z5932" s="61">
        <f>_xll.qlYieldTSDiscount($U$35,Y5932,,Trigger)</f>
        <v>0.79908235210336176</v>
      </c>
    </row>
    <row r="5933" spans="25:26" x14ac:dyDescent="0.25">
      <c r="Y5933" s="63">
        <v>48466</v>
      </c>
      <c r="Z5933" s="61">
        <f>_xll.qlYieldTSDiscount($U$35,Y5933,,Trigger)</f>
        <v>0.79904798372815289</v>
      </c>
    </row>
    <row r="5934" spans="25:26" x14ac:dyDescent="0.25">
      <c r="Y5934" s="63">
        <v>48467</v>
      </c>
      <c r="Z5934" s="61">
        <f>_xll.qlYieldTSDiscount($U$35,Y5934,,Trigger)</f>
        <v>0.79901361354685785</v>
      </c>
    </row>
    <row r="5935" spans="25:26" x14ac:dyDescent="0.25">
      <c r="Y5935" s="63">
        <v>48468</v>
      </c>
      <c r="Z5935" s="61">
        <f>_xll.qlYieldTSDiscount($U$35,Y5935,,Trigger)</f>
        <v>0.79897924155708322</v>
      </c>
    </row>
    <row r="5936" spans="25:26" x14ac:dyDescent="0.25">
      <c r="Y5936" s="63">
        <v>48469</v>
      </c>
      <c r="Z5936" s="61">
        <f>_xll.qlYieldTSDiscount($U$35,Y5936,,Trigger)</f>
        <v>0.79894486775643547</v>
      </c>
    </row>
    <row r="5937" spans="25:26" x14ac:dyDescent="0.25">
      <c r="Y5937" s="63">
        <v>48470</v>
      </c>
      <c r="Z5937" s="61">
        <f>_xll.qlYieldTSDiscount($U$35,Y5937,,Trigger)</f>
        <v>0.79891049214252119</v>
      </c>
    </row>
    <row r="5938" spans="25:26" x14ac:dyDescent="0.25">
      <c r="Y5938" s="63">
        <v>48471</v>
      </c>
      <c r="Z5938" s="61">
        <f>_xll.qlYieldTSDiscount($U$35,Y5938,,Trigger)</f>
        <v>0.79887611471294662</v>
      </c>
    </row>
    <row r="5939" spans="25:26" x14ac:dyDescent="0.25">
      <c r="Y5939" s="63">
        <v>48472</v>
      </c>
      <c r="Z5939" s="61">
        <f>_xll.qlYieldTSDiscount($U$35,Y5939,,Trigger)</f>
        <v>0.79884173546531834</v>
      </c>
    </row>
    <row r="5940" spans="25:26" x14ac:dyDescent="0.25">
      <c r="Y5940" s="63">
        <v>48473</v>
      </c>
      <c r="Z5940" s="61">
        <f>_xll.qlYieldTSDiscount($U$35,Y5940,,Trigger)</f>
        <v>0.79880735439724293</v>
      </c>
    </row>
    <row r="5941" spans="25:26" x14ac:dyDescent="0.25">
      <c r="Y5941" s="63">
        <v>48474</v>
      </c>
      <c r="Z5941" s="61">
        <f>_xll.qlYieldTSDiscount($U$35,Y5941,,Trigger)</f>
        <v>0.79877297150632676</v>
      </c>
    </row>
    <row r="5942" spans="25:26" x14ac:dyDescent="0.25">
      <c r="Y5942" s="63">
        <v>48475</v>
      </c>
      <c r="Z5942" s="61">
        <f>_xll.qlYieldTSDiscount($U$35,Y5942,,Trigger)</f>
        <v>0.79873858679017629</v>
      </c>
    </row>
    <row r="5943" spans="25:26" x14ac:dyDescent="0.25">
      <c r="Y5943" s="63">
        <v>48476</v>
      </c>
      <c r="Z5943" s="61">
        <f>_xll.qlYieldTSDiscount($U$35,Y5943,,Trigger)</f>
        <v>0.7987042002463981</v>
      </c>
    </row>
    <row r="5944" spans="25:26" x14ac:dyDescent="0.25">
      <c r="Y5944" s="63">
        <v>48477</v>
      </c>
      <c r="Z5944" s="61">
        <f>_xll.qlYieldTSDiscount($U$35,Y5944,,Trigger)</f>
        <v>0.79866981187259856</v>
      </c>
    </row>
    <row r="5945" spans="25:26" x14ac:dyDescent="0.25">
      <c r="Y5945" s="63">
        <v>48478</v>
      </c>
      <c r="Z5945" s="61">
        <f>_xll.qlYieldTSDiscount($U$35,Y5945,,Trigger)</f>
        <v>0.79863542166638435</v>
      </c>
    </row>
    <row r="5946" spans="25:26" x14ac:dyDescent="0.25">
      <c r="Y5946" s="63">
        <v>48479</v>
      </c>
      <c r="Z5946" s="61">
        <f>_xll.qlYieldTSDiscount($U$35,Y5946,,Trigger)</f>
        <v>0.79860102962536172</v>
      </c>
    </row>
    <row r="5947" spans="25:26" x14ac:dyDescent="0.25">
      <c r="Y5947" s="63">
        <v>48480</v>
      </c>
      <c r="Z5947" s="61">
        <f>_xll.qlYieldTSDiscount($U$35,Y5947,,Trigger)</f>
        <v>0.79856663574713727</v>
      </c>
    </row>
    <row r="5948" spans="25:26" x14ac:dyDescent="0.25">
      <c r="Y5948" s="63">
        <v>48481</v>
      </c>
      <c r="Z5948" s="61">
        <f>_xll.qlYieldTSDiscount($U$35,Y5948,,Trigger)</f>
        <v>0.79853224002931744</v>
      </c>
    </row>
    <row r="5949" spans="25:26" x14ac:dyDescent="0.25">
      <c r="Y5949" s="63">
        <v>48482</v>
      </c>
      <c r="Z5949" s="61">
        <f>_xll.qlYieldTSDiscount($U$35,Y5949,,Trigger)</f>
        <v>0.79849784246950872</v>
      </c>
    </row>
    <row r="5950" spans="25:26" x14ac:dyDescent="0.25">
      <c r="Y5950" s="63">
        <v>48483</v>
      </c>
      <c r="Z5950" s="61">
        <f>_xll.qlYieldTSDiscount($U$35,Y5950,,Trigger)</f>
        <v>0.79846344306531769</v>
      </c>
    </row>
    <row r="5951" spans="25:26" x14ac:dyDescent="0.25">
      <c r="Y5951" s="63">
        <v>48484</v>
      </c>
      <c r="Z5951" s="61">
        <f>_xll.qlYieldTSDiscount($U$35,Y5951,,Trigger)</f>
        <v>0.7984290418143507</v>
      </c>
    </row>
    <row r="5952" spans="25:26" x14ac:dyDescent="0.25">
      <c r="Y5952" s="63">
        <v>48485</v>
      </c>
      <c r="Z5952" s="61">
        <f>_xll.qlYieldTSDiscount($U$35,Y5952,,Trigger)</f>
        <v>0.79839463871421412</v>
      </c>
    </row>
    <row r="5953" spans="25:26" x14ac:dyDescent="0.25">
      <c r="Y5953" s="63">
        <v>48486</v>
      </c>
      <c r="Z5953" s="61">
        <f>_xll.qlYieldTSDiscount($U$35,Y5953,,Trigger)</f>
        <v>0.79836023376251475</v>
      </c>
    </row>
    <row r="5954" spans="25:26" x14ac:dyDescent="0.25">
      <c r="Y5954" s="63">
        <v>48487</v>
      </c>
      <c r="Z5954" s="61">
        <f>_xll.qlYieldTSDiscount($U$35,Y5954,,Trigger)</f>
        <v>0.79832582695685883</v>
      </c>
    </row>
    <row r="5955" spans="25:26" x14ac:dyDescent="0.25">
      <c r="Y5955" s="63">
        <v>48488</v>
      </c>
      <c r="Z5955" s="61">
        <f>_xll.qlYieldTSDiscount($U$35,Y5955,,Trigger)</f>
        <v>0.79829141829485295</v>
      </c>
    </row>
    <row r="5956" spans="25:26" x14ac:dyDescent="0.25">
      <c r="Y5956" s="63">
        <v>48489</v>
      </c>
      <c r="Z5956" s="61">
        <f>_xll.qlYieldTSDiscount($U$35,Y5956,,Trigger)</f>
        <v>0.79825700777410358</v>
      </c>
    </row>
    <row r="5957" spans="25:26" x14ac:dyDescent="0.25">
      <c r="Y5957" s="63">
        <v>48490</v>
      </c>
      <c r="Z5957" s="61">
        <f>_xll.qlYieldTSDiscount($U$35,Y5957,,Trigger)</f>
        <v>0.79822259539221707</v>
      </c>
    </row>
    <row r="5958" spans="25:26" x14ac:dyDescent="0.25">
      <c r="Y5958" s="63">
        <v>48491</v>
      </c>
      <c r="Z5958" s="61">
        <f>_xll.qlYieldTSDiscount($U$35,Y5958,,Trigger)</f>
        <v>0.79818818114680012</v>
      </c>
    </row>
    <row r="5959" spans="25:26" x14ac:dyDescent="0.25">
      <c r="Y5959" s="63">
        <v>48492</v>
      </c>
      <c r="Z5959" s="61">
        <f>_xll.qlYieldTSDiscount($U$35,Y5959,,Trigger)</f>
        <v>0.79815376503545898</v>
      </c>
    </row>
    <row r="5960" spans="25:26" x14ac:dyDescent="0.25">
      <c r="Y5960" s="63">
        <v>48493</v>
      </c>
      <c r="Z5960" s="61">
        <f>_xll.qlYieldTSDiscount($U$35,Y5960,,Trigger)</f>
        <v>0.79811934705580034</v>
      </c>
    </row>
    <row r="5961" spans="25:26" x14ac:dyDescent="0.25">
      <c r="Y5961" s="63">
        <v>48494</v>
      </c>
      <c r="Z5961" s="61">
        <f>_xll.qlYieldTSDiscount($U$35,Y5961,,Trigger)</f>
        <v>0.79808492720543045</v>
      </c>
    </row>
    <row r="5962" spans="25:26" x14ac:dyDescent="0.25">
      <c r="Y5962" s="63">
        <v>48495</v>
      </c>
      <c r="Z5962" s="61">
        <f>_xll.qlYieldTSDiscount($U$35,Y5962,,Trigger)</f>
        <v>0.79805050548195611</v>
      </c>
    </row>
    <row r="5963" spans="25:26" x14ac:dyDescent="0.25">
      <c r="Y5963" s="63">
        <v>48496</v>
      </c>
      <c r="Z5963" s="61">
        <f>_xll.qlYieldTSDiscount($U$35,Y5963,,Trigger)</f>
        <v>0.79801608188298345</v>
      </c>
    </row>
    <row r="5964" spans="25:26" x14ac:dyDescent="0.25">
      <c r="Y5964" s="63">
        <v>48497</v>
      </c>
      <c r="Z5964" s="61">
        <f>_xll.qlYieldTSDiscount($U$35,Y5964,,Trigger)</f>
        <v>0.79798165640611929</v>
      </c>
    </row>
    <row r="5965" spans="25:26" x14ac:dyDescent="0.25">
      <c r="Y5965" s="63">
        <v>48498</v>
      </c>
      <c r="Z5965" s="61">
        <f>_xll.qlYieldTSDiscount($U$35,Y5965,,Trigger)</f>
        <v>0.79794722904896975</v>
      </c>
    </row>
    <row r="5966" spans="25:26" x14ac:dyDescent="0.25">
      <c r="Y5966" s="63">
        <v>48499</v>
      </c>
      <c r="Z5966" s="61">
        <f>_xll.qlYieldTSDiscount($U$35,Y5966,,Trigger)</f>
        <v>0.79791279980914165</v>
      </c>
    </row>
    <row r="5967" spans="25:26" x14ac:dyDescent="0.25">
      <c r="Y5967" s="63">
        <v>48500</v>
      </c>
      <c r="Z5967" s="61">
        <f>_xll.qlYieldTSDiscount($U$35,Y5967,,Trigger)</f>
        <v>0.79787836868424122</v>
      </c>
    </row>
    <row r="5968" spans="25:26" x14ac:dyDescent="0.25">
      <c r="Y5968" s="63">
        <v>48501</v>
      </c>
      <c r="Z5968" s="61">
        <f>_xll.qlYieldTSDiscount($U$35,Y5968,,Trigger)</f>
        <v>0.79784393567187506</v>
      </c>
    </row>
    <row r="5969" spans="25:26" x14ac:dyDescent="0.25">
      <c r="Y5969" s="63">
        <v>48502</v>
      </c>
      <c r="Z5969" s="61">
        <f>_xll.qlYieldTSDiscount($U$35,Y5969,,Trigger)</f>
        <v>0.79780950076964963</v>
      </c>
    </row>
    <row r="5970" spans="25:26" x14ac:dyDescent="0.25">
      <c r="Y5970" s="63">
        <v>48503</v>
      </c>
      <c r="Z5970" s="61">
        <f>_xll.qlYieldTSDiscount($U$35,Y5970,,Trigger)</f>
        <v>0.79777506397517151</v>
      </c>
    </row>
    <row r="5971" spans="25:26" x14ac:dyDescent="0.25">
      <c r="Y5971" s="63">
        <v>48504</v>
      </c>
      <c r="Z5971" s="61">
        <f>_xll.qlYieldTSDiscount($U$35,Y5971,,Trigger)</f>
        <v>0.79774062528604694</v>
      </c>
    </row>
    <row r="5972" spans="25:26" x14ac:dyDescent="0.25">
      <c r="Y5972" s="63">
        <v>48505</v>
      </c>
      <c r="Z5972" s="61">
        <f>_xll.qlYieldTSDiscount($U$35,Y5972,,Trigger)</f>
        <v>0.79770618469988264</v>
      </c>
    </row>
    <row r="5973" spans="25:26" x14ac:dyDescent="0.25">
      <c r="Y5973" s="63">
        <v>48506</v>
      </c>
      <c r="Z5973" s="61">
        <f>_xll.qlYieldTSDiscount($U$35,Y5973,,Trigger)</f>
        <v>0.79767174221428494</v>
      </c>
    </row>
    <row r="5974" spans="25:26" x14ac:dyDescent="0.25">
      <c r="Y5974" s="63">
        <v>48507</v>
      </c>
      <c r="Z5974" s="61">
        <f>_xll.qlYieldTSDiscount($U$35,Y5974,,Trigger)</f>
        <v>0.79763729782686033</v>
      </c>
    </row>
    <row r="5975" spans="25:26" x14ac:dyDescent="0.25">
      <c r="Y5975" s="63">
        <v>48508</v>
      </c>
      <c r="Z5975" s="61">
        <f>_xll.qlYieldTSDiscount($U$35,Y5975,,Trigger)</f>
        <v>0.79760285153521537</v>
      </c>
    </row>
    <row r="5976" spans="25:26" x14ac:dyDescent="0.25">
      <c r="Y5976" s="63">
        <v>48509</v>
      </c>
      <c r="Z5976" s="61">
        <f>_xll.qlYieldTSDiscount($U$35,Y5976,,Trigger)</f>
        <v>0.79756840333695656</v>
      </c>
    </row>
    <row r="5977" spans="25:26" x14ac:dyDescent="0.25">
      <c r="Y5977" s="63">
        <v>48510</v>
      </c>
      <c r="Z5977" s="61">
        <f>_xll.qlYieldTSDiscount($U$35,Y5977,,Trigger)</f>
        <v>0.79753395322969034</v>
      </c>
    </row>
    <row r="5978" spans="25:26" x14ac:dyDescent="0.25">
      <c r="Y5978" s="63">
        <v>48511</v>
      </c>
      <c r="Z5978" s="61">
        <f>_xll.qlYieldTSDiscount($U$35,Y5978,,Trigger)</f>
        <v>0.79749950121102309</v>
      </c>
    </row>
    <row r="5979" spans="25:26" x14ac:dyDescent="0.25">
      <c r="Y5979" s="63">
        <v>48512</v>
      </c>
      <c r="Z5979" s="61">
        <f>_xll.qlYieldTSDiscount($U$35,Y5979,,Trigger)</f>
        <v>0.79746504727856138</v>
      </c>
    </row>
    <row r="5980" spans="25:26" x14ac:dyDescent="0.25">
      <c r="Y5980" s="63">
        <v>48513</v>
      </c>
      <c r="Z5980" s="61">
        <f>_xll.qlYieldTSDiscount($U$35,Y5980,,Trigger)</f>
        <v>0.79743059142991168</v>
      </c>
    </row>
    <row r="5981" spans="25:26" x14ac:dyDescent="0.25">
      <c r="Y5981" s="63">
        <v>48514</v>
      </c>
      <c r="Z5981" s="61">
        <f>_xll.qlYieldTSDiscount($U$35,Y5981,,Trigger)</f>
        <v>0.79739613366268047</v>
      </c>
    </row>
    <row r="5982" spans="25:26" x14ac:dyDescent="0.25">
      <c r="Y5982" s="63">
        <v>48515</v>
      </c>
      <c r="Z5982" s="61">
        <f>_xll.qlYieldTSDiscount($U$35,Y5982,,Trigger)</f>
        <v>0.79736167397447433</v>
      </c>
    </row>
    <row r="5983" spans="25:26" x14ac:dyDescent="0.25">
      <c r="Y5983" s="63">
        <v>48516</v>
      </c>
      <c r="Z5983" s="61">
        <f>_xll.qlYieldTSDiscount($U$35,Y5983,,Trigger)</f>
        <v>0.79732721236289961</v>
      </c>
    </row>
    <row r="5984" spans="25:26" x14ac:dyDescent="0.25">
      <c r="Y5984" s="63">
        <v>48517</v>
      </c>
      <c r="Z5984" s="61">
        <f>_xll.qlYieldTSDiscount($U$35,Y5984,,Trigger)</f>
        <v>0.79729274882556278</v>
      </c>
    </row>
    <row r="5985" spans="25:26" x14ac:dyDescent="0.25">
      <c r="Y5985" s="63">
        <v>48518</v>
      </c>
      <c r="Z5985" s="61">
        <f>_xll.qlYieldTSDiscount($U$35,Y5985,,Trigger)</f>
        <v>0.79725828336007043</v>
      </c>
    </row>
    <row r="5986" spans="25:26" x14ac:dyDescent="0.25">
      <c r="Y5986" s="63">
        <v>48519</v>
      </c>
      <c r="Z5986" s="61">
        <f>_xll.qlYieldTSDiscount($U$35,Y5986,,Trigger)</f>
        <v>0.79722381596402903</v>
      </c>
    </row>
    <row r="5987" spans="25:26" x14ac:dyDescent="0.25">
      <c r="Y5987" s="63">
        <v>48520</v>
      </c>
      <c r="Z5987" s="61">
        <f>_xll.qlYieldTSDiscount($U$35,Y5987,,Trigger)</f>
        <v>0.79718934663504493</v>
      </c>
    </row>
    <row r="5988" spans="25:26" x14ac:dyDescent="0.25">
      <c r="Y5988" s="63">
        <v>48521</v>
      </c>
      <c r="Z5988" s="61">
        <f>_xll.qlYieldTSDiscount($U$35,Y5988,,Trigger)</f>
        <v>0.79715487537072471</v>
      </c>
    </row>
    <row r="5989" spans="25:26" x14ac:dyDescent="0.25">
      <c r="Y5989" s="63">
        <v>48522</v>
      </c>
      <c r="Z5989" s="61">
        <f>_xll.qlYieldTSDiscount($U$35,Y5989,,Trigger)</f>
        <v>0.79712040216867475</v>
      </c>
    </row>
    <row r="5990" spans="25:26" x14ac:dyDescent="0.25">
      <c r="Y5990" s="63">
        <v>48523</v>
      </c>
      <c r="Z5990" s="61">
        <f>_xll.qlYieldTSDiscount($U$35,Y5990,,Trigger)</f>
        <v>0.79708592702650172</v>
      </c>
    </row>
    <row r="5991" spans="25:26" x14ac:dyDescent="0.25">
      <c r="Y5991" s="63">
        <v>48524</v>
      </c>
      <c r="Z5991" s="61">
        <f>_xll.qlYieldTSDiscount($U$35,Y5991,,Trigger)</f>
        <v>0.79705144994181198</v>
      </c>
    </row>
    <row r="5992" spans="25:26" x14ac:dyDescent="0.25">
      <c r="Y5992" s="63">
        <v>48525</v>
      </c>
      <c r="Z5992" s="61">
        <f>_xll.qlYieldTSDiscount($U$35,Y5992,,Trigger)</f>
        <v>0.79701697091221191</v>
      </c>
    </row>
    <row r="5993" spans="25:26" x14ac:dyDescent="0.25">
      <c r="Y5993" s="63">
        <v>48526</v>
      </c>
      <c r="Z5993" s="61">
        <f>_xll.qlYieldTSDiscount($U$35,Y5993,,Trigger)</f>
        <v>0.79698248993530829</v>
      </c>
    </row>
    <row r="5994" spans="25:26" x14ac:dyDescent="0.25">
      <c r="Y5994" s="63">
        <v>48527</v>
      </c>
      <c r="Z5994" s="61">
        <f>_xll.qlYieldTSDiscount($U$35,Y5994,,Trigger)</f>
        <v>0.79694800700870738</v>
      </c>
    </row>
    <row r="5995" spans="25:26" x14ac:dyDescent="0.25">
      <c r="Y5995" s="63">
        <v>48528</v>
      </c>
      <c r="Z5995" s="61">
        <f>_xll.qlYieldTSDiscount($U$35,Y5995,,Trigger)</f>
        <v>0.79691352213001554</v>
      </c>
    </row>
    <row r="5996" spans="25:26" x14ac:dyDescent="0.25">
      <c r="Y5996" s="63">
        <v>48529</v>
      </c>
      <c r="Z5996" s="61">
        <f>_xll.qlYieldTSDiscount($U$35,Y5996,,Trigger)</f>
        <v>0.79687903529683957</v>
      </c>
    </row>
    <row r="5997" spans="25:26" x14ac:dyDescent="0.25">
      <c r="Y5997" s="63">
        <v>48530</v>
      </c>
      <c r="Z5997" s="61">
        <f>_xll.qlYieldTSDiscount($U$35,Y5997,,Trigger)</f>
        <v>0.79684454650678571</v>
      </c>
    </row>
    <row r="5998" spans="25:26" x14ac:dyDescent="0.25">
      <c r="Y5998" s="63">
        <v>48531</v>
      </c>
      <c r="Z5998" s="61">
        <f>_xll.qlYieldTSDiscount($U$35,Y5998,,Trigger)</f>
        <v>0.79681005575746056</v>
      </c>
    </row>
    <row r="5999" spans="25:26" x14ac:dyDescent="0.25">
      <c r="Y5999" s="63">
        <v>48532</v>
      </c>
      <c r="Z5999" s="61">
        <f>_xll.qlYieldTSDiscount($U$35,Y5999,,Trigger)</f>
        <v>0.79677556304647046</v>
      </c>
    </row>
    <row r="6000" spans="25:26" x14ac:dyDescent="0.25">
      <c r="Y6000" s="63">
        <v>48533</v>
      </c>
      <c r="Z6000" s="61">
        <f>_xll.qlYieldTSDiscount($U$35,Y6000,,Trigger)</f>
        <v>0.79674106837142211</v>
      </c>
    </row>
    <row r="6001" spans="25:26" x14ac:dyDescent="0.25">
      <c r="Y6001" s="63">
        <v>48534</v>
      </c>
      <c r="Z6001" s="61">
        <f>_xll.qlYieldTSDiscount($U$35,Y6001,,Trigger)</f>
        <v>0.79670657172992176</v>
      </c>
    </row>
    <row r="6002" spans="25:26" x14ac:dyDescent="0.25">
      <c r="Y6002" s="63">
        <v>48535</v>
      </c>
      <c r="Z6002" s="61">
        <f>_xll.qlYieldTSDiscount($U$35,Y6002,,Trigger)</f>
        <v>0.79667207311957611</v>
      </c>
    </row>
    <row r="6003" spans="25:26" x14ac:dyDescent="0.25">
      <c r="Y6003" s="63">
        <v>48536</v>
      </c>
      <c r="Z6003" s="61">
        <f>_xll.qlYieldTSDiscount($U$35,Y6003,,Trigger)</f>
        <v>0.7966375725379915</v>
      </c>
    </row>
    <row r="6004" spans="25:26" x14ac:dyDescent="0.25">
      <c r="Y6004" s="63">
        <v>48537</v>
      </c>
      <c r="Z6004" s="61">
        <f>_xll.qlYieldTSDiscount($U$35,Y6004,,Trigger)</f>
        <v>0.79660306998277441</v>
      </c>
    </row>
    <row r="6005" spans="25:26" x14ac:dyDescent="0.25">
      <c r="Y6005" s="63">
        <v>48538</v>
      </c>
      <c r="Z6005" s="61">
        <f>_xll.qlYieldTSDiscount($U$35,Y6005,,Trigger)</f>
        <v>0.79656856545153132</v>
      </c>
    </row>
    <row r="6006" spans="25:26" x14ac:dyDescent="0.25">
      <c r="Y6006" s="63">
        <v>48539</v>
      </c>
      <c r="Z6006" s="61">
        <f>_xll.qlYieldTSDiscount($U$35,Y6006,,Trigger)</f>
        <v>0.79653405894186879</v>
      </c>
    </row>
    <row r="6007" spans="25:26" x14ac:dyDescent="0.25">
      <c r="Y6007" s="63">
        <v>48540</v>
      </c>
      <c r="Z6007" s="61">
        <f>_xll.qlYieldTSDiscount($U$35,Y6007,,Trigger)</f>
        <v>0.79649955045139331</v>
      </c>
    </row>
    <row r="6008" spans="25:26" x14ac:dyDescent="0.25">
      <c r="Y6008" s="63">
        <v>48541</v>
      </c>
      <c r="Z6008" s="61">
        <f>_xll.qlYieldTSDiscount($U$35,Y6008,,Trigger)</f>
        <v>0.79646503997771123</v>
      </c>
    </row>
    <row r="6009" spans="25:26" x14ac:dyDescent="0.25">
      <c r="Y6009" s="63">
        <v>48542</v>
      </c>
      <c r="Z6009" s="61">
        <f>_xll.qlYieldTSDiscount($U$35,Y6009,,Trigger)</f>
        <v>0.79643052751842913</v>
      </c>
    </row>
    <row r="6010" spans="25:26" x14ac:dyDescent="0.25">
      <c r="Y6010" s="63">
        <v>48543</v>
      </c>
      <c r="Z6010" s="61">
        <f>_xll.qlYieldTSDiscount($U$35,Y6010,,Trigger)</f>
        <v>0.79639601307115337</v>
      </c>
    </row>
    <row r="6011" spans="25:26" x14ac:dyDescent="0.25">
      <c r="Y6011" s="63">
        <v>48544</v>
      </c>
      <c r="Z6011" s="61">
        <f>_xll.qlYieldTSDiscount($U$35,Y6011,,Trigger)</f>
        <v>0.79636149663349065</v>
      </c>
    </row>
    <row r="6012" spans="25:26" x14ac:dyDescent="0.25">
      <c r="Y6012" s="63">
        <v>48545</v>
      </c>
      <c r="Z6012" s="61">
        <f>_xll.qlYieldTSDiscount($U$35,Y6012,,Trigger)</f>
        <v>0.79632697820304732</v>
      </c>
    </row>
    <row r="6013" spans="25:26" x14ac:dyDescent="0.25">
      <c r="Y6013" s="63">
        <v>48546</v>
      </c>
      <c r="Z6013" s="61">
        <f>_xll.qlYieldTSDiscount($U$35,Y6013,,Trigger)</f>
        <v>0.79629245777742974</v>
      </c>
    </row>
    <row r="6014" spans="25:26" x14ac:dyDescent="0.25">
      <c r="Y6014" s="63">
        <v>48547</v>
      </c>
      <c r="Z6014" s="61">
        <f>_xll.qlYieldTSDiscount($U$35,Y6014,,Trigger)</f>
        <v>0.79625793535424472</v>
      </c>
    </row>
    <row r="6015" spans="25:26" x14ac:dyDescent="0.25">
      <c r="Y6015" s="63">
        <v>48548</v>
      </c>
      <c r="Z6015" s="61">
        <f>_xll.qlYieldTSDiscount($U$35,Y6015,,Trigger)</f>
        <v>0.79622341093109839</v>
      </c>
    </row>
    <row r="6016" spans="25:26" x14ac:dyDescent="0.25">
      <c r="Y6016" s="63">
        <v>48549</v>
      </c>
      <c r="Z6016" s="61">
        <f>_xll.qlYieldTSDiscount($U$35,Y6016,,Trigger)</f>
        <v>0.79618888450559733</v>
      </c>
    </row>
    <row r="6017" spans="25:26" x14ac:dyDescent="0.25">
      <c r="Y6017" s="63">
        <v>48550</v>
      </c>
      <c r="Z6017" s="61">
        <f>_xll.qlYieldTSDiscount($U$35,Y6017,,Trigger)</f>
        <v>0.79615435607534824</v>
      </c>
    </row>
    <row r="6018" spans="25:26" x14ac:dyDescent="0.25">
      <c r="Y6018" s="63">
        <v>48551</v>
      </c>
      <c r="Z6018" s="61">
        <f>_xll.qlYieldTSDiscount($U$35,Y6018,,Trigger)</f>
        <v>0.79611982563795736</v>
      </c>
    </row>
    <row r="6019" spans="25:26" x14ac:dyDescent="0.25">
      <c r="Y6019" s="63">
        <v>48552</v>
      </c>
      <c r="Z6019" s="61">
        <f>_xll.qlYieldTSDiscount($U$35,Y6019,,Trigger)</f>
        <v>0.79608529319103116</v>
      </c>
    </row>
    <row r="6020" spans="25:26" x14ac:dyDescent="0.25">
      <c r="Y6020" s="63">
        <v>48553</v>
      </c>
      <c r="Z6020" s="61">
        <f>_xll.qlYieldTSDiscount($U$35,Y6020,,Trigger)</f>
        <v>0.79605075873217634</v>
      </c>
    </row>
    <row r="6021" spans="25:26" x14ac:dyDescent="0.25">
      <c r="Y6021" s="63">
        <v>48554</v>
      </c>
      <c r="Z6021" s="61">
        <f>_xll.qlYieldTSDiscount($U$35,Y6021,,Trigger)</f>
        <v>0.79601622225899915</v>
      </c>
    </row>
    <row r="6022" spans="25:26" x14ac:dyDescent="0.25">
      <c r="Y6022" s="63">
        <v>48555</v>
      </c>
      <c r="Z6022" s="61">
        <f>_xll.qlYieldTSDiscount($U$35,Y6022,,Trigger)</f>
        <v>0.79598168376910616</v>
      </c>
    </row>
    <row r="6023" spans="25:26" x14ac:dyDescent="0.25">
      <c r="Y6023" s="63">
        <v>48556</v>
      </c>
      <c r="Z6023" s="61">
        <f>_xll.qlYieldTSDiscount($U$35,Y6023,,Trigger)</f>
        <v>0.79594714326010396</v>
      </c>
    </row>
    <row r="6024" spans="25:26" x14ac:dyDescent="0.25">
      <c r="Y6024" s="63">
        <v>48557</v>
      </c>
      <c r="Z6024" s="61">
        <f>_xll.qlYieldTSDiscount($U$35,Y6024,,Trigger)</f>
        <v>0.7959126007295988</v>
      </c>
    </row>
    <row r="6025" spans="25:26" x14ac:dyDescent="0.25">
      <c r="Y6025" s="63">
        <v>48558</v>
      </c>
      <c r="Z6025" s="61">
        <f>_xll.qlYieldTSDiscount($U$35,Y6025,,Trigger)</f>
        <v>0.79587805617519736</v>
      </c>
    </row>
    <row r="6026" spans="25:26" x14ac:dyDescent="0.25">
      <c r="Y6026" s="63">
        <v>48559</v>
      </c>
      <c r="Z6026" s="61">
        <f>_xll.qlYieldTSDiscount($U$35,Y6026,,Trigger)</f>
        <v>0.795843509594506</v>
      </c>
    </row>
    <row r="6027" spans="25:26" x14ac:dyDescent="0.25">
      <c r="Y6027" s="63">
        <v>48560</v>
      </c>
      <c r="Z6027" s="61">
        <f>_xll.qlYieldTSDiscount($U$35,Y6027,,Trigger)</f>
        <v>0.79580896098513121</v>
      </c>
    </row>
    <row r="6028" spans="25:26" x14ac:dyDescent="0.25">
      <c r="Y6028" s="63">
        <v>48561</v>
      </c>
      <c r="Z6028" s="61">
        <f>_xll.qlYieldTSDiscount($U$35,Y6028,,Trigger)</f>
        <v>0.79577441034467955</v>
      </c>
    </row>
    <row r="6029" spans="25:26" x14ac:dyDescent="0.25">
      <c r="Y6029" s="63">
        <v>48562</v>
      </c>
      <c r="Z6029" s="61">
        <f>_xll.qlYieldTSDiscount($U$35,Y6029,,Trigger)</f>
        <v>0.7957398576707575</v>
      </c>
    </row>
    <row r="6030" spans="25:26" x14ac:dyDescent="0.25">
      <c r="Y6030" s="63">
        <v>48563</v>
      </c>
      <c r="Z6030" s="61">
        <f>_xll.qlYieldTSDiscount($U$35,Y6030,,Trigger)</f>
        <v>0.79570530296097142</v>
      </c>
    </row>
    <row r="6031" spans="25:26" x14ac:dyDescent="0.25">
      <c r="Y6031" s="63">
        <v>48564</v>
      </c>
      <c r="Z6031" s="61">
        <f>_xll.qlYieldTSDiscount($U$35,Y6031,,Trigger)</f>
        <v>0.79567074621292799</v>
      </c>
    </row>
    <row r="6032" spans="25:26" x14ac:dyDescent="0.25">
      <c r="Y6032" s="63">
        <v>48565</v>
      </c>
      <c r="Z6032" s="61">
        <f>_xll.qlYieldTSDiscount($U$35,Y6032,,Trigger)</f>
        <v>0.79563618742423337</v>
      </c>
    </row>
    <row r="6033" spans="25:26" x14ac:dyDescent="0.25">
      <c r="Y6033" s="63">
        <v>48566</v>
      </c>
      <c r="Z6033" s="61">
        <f>_xll.qlYieldTSDiscount($U$35,Y6033,,Trigger)</f>
        <v>0.79560162659249445</v>
      </c>
    </row>
    <row r="6034" spans="25:26" x14ac:dyDescent="0.25">
      <c r="Y6034" s="63">
        <v>48567</v>
      </c>
      <c r="Z6034" s="61">
        <f>_xll.qlYieldTSDiscount($U$35,Y6034,,Trigger)</f>
        <v>0.79556706371531738</v>
      </c>
    </row>
    <row r="6035" spans="25:26" x14ac:dyDescent="0.25">
      <c r="Y6035" s="63">
        <v>48568</v>
      </c>
      <c r="Z6035" s="61">
        <f>_xll.qlYieldTSDiscount($U$35,Y6035,,Trigger)</f>
        <v>0.79553249879030874</v>
      </c>
    </row>
    <row r="6036" spans="25:26" x14ac:dyDescent="0.25">
      <c r="Y6036" s="63">
        <v>48569</v>
      </c>
      <c r="Z6036" s="61">
        <f>_xll.qlYieldTSDiscount($U$35,Y6036,,Trigger)</f>
        <v>0.79549793181507511</v>
      </c>
    </row>
    <row r="6037" spans="25:26" x14ac:dyDescent="0.25">
      <c r="Y6037" s="63">
        <v>48570</v>
      </c>
      <c r="Z6037" s="61">
        <f>_xll.qlYieldTSDiscount($U$35,Y6037,,Trigger)</f>
        <v>0.79546336278722285</v>
      </c>
    </row>
    <row r="6038" spans="25:26" x14ac:dyDescent="0.25">
      <c r="Y6038" s="63">
        <v>48571</v>
      </c>
      <c r="Z6038" s="61">
        <f>_xll.qlYieldTSDiscount($U$35,Y6038,,Trigger)</f>
        <v>0.79542879170435854</v>
      </c>
    </row>
    <row r="6039" spans="25:26" x14ac:dyDescent="0.25">
      <c r="Y6039" s="63">
        <v>48572</v>
      </c>
      <c r="Z6039" s="61">
        <f>_xll.qlYieldTSDiscount($U$35,Y6039,,Trigger)</f>
        <v>0.79539421856408854</v>
      </c>
    </row>
    <row r="6040" spans="25:26" x14ac:dyDescent="0.25">
      <c r="Y6040" s="63">
        <v>48573</v>
      </c>
      <c r="Z6040" s="61">
        <f>_xll.qlYieldTSDiscount($U$35,Y6040,,Trigger)</f>
        <v>0.79535964336401932</v>
      </c>
    </row>
    <row r="6041" spans="25:26" x14ac:dyDescent="0.25">
      <c r="Y6041" s="63">
        <v>48574</v>
      </c>
      <c r="Z6041" s="61">
        <f>_xll.qlYieldTSDiscount($U$35,Y6041,,Trigger)</f>
        <v>0.79532506610175757</v>
      </c>
    </row>
    <row r="6042" spans="25:26" x14ac:dyDescent="0.25">
      <c r="Y6042" s="63">
        <v>48575</v>
      </c>
      <c r="Z6042" s="61">
        <f>_xll.qlYieldTSDiscount($U$35,Y6042,,Trigger)</f>
        <v>0.79529048677490954</v>
      </c>
    </row>
    <row r="6043" spans="25:26" x14ac:dyDescent="0.25">
      <c r="Y6043" s="63">
        <v>48576</v>
      </c>
      <c r="Z6043" s="61">
        <f>_xll.qlYieldTSDiscount($U$35,Y6043,,Trigger)</f>
        <v>0.79525590538108193</v>
      </c>
    </row>
    <row r="6044" spans="25:26" x14ac:dyDescent="0.25">
      <c r="Y6044" s="63">
        <v>48577</v>
      </c>
      <c r="Z6044" s="61">
        <f>_xll.qlYieldTSDiscount($U$35,Y6044,,Trigger)</f>
        <v>0.79522132191788097</v>
      </c>
    </row>
    <row r="6045" spans="25:26" x14ac:dyDescent="0.25">
      <c r="Y6045" s="63">
        <v>48578</v>
      </c>
      <c r="Z6045" s="61">
        <f>_xll.qlYieldTSDiscount($U$35,Y6045,,Trigger)</f>
        <v>0.79518673638291337</v>
      </c>
    </row>
    <row r="6046" spans="25:26" x14ac:dyDescent="0.25">
      <c r="Y6046" s="63">
        <v>48579</v>
      </c>
      <c r="Z6046" s="61">
        <f>_xll.qlYieldTSDiscount($U$35,Y6046,,Trigger)</f>
        <v>0.79515214877378548</v>
      </c>
    </row>
    <row r="6047" spans="25:26" x14ac:dyDescent="0.25">
      <c r="Y6047" s="63">
        <v>48580</v>
      </c>
      <c r="Z6047" s="61">
        <f>_xll.qlYieldTSDiscount($U$35,Y6047,,Trigger)</f>
        <v>0.79511755908810378</v>
      </c>
    </row>
    <row r="6048" spans="25:26" x14ac:dyDescent="0.25">
      <c r="Y6048" s="63">
        <v>48581</v>
      </c>
      <c r="Z6048" s="61">
        <f>_xll.qlYieldTSDiscount($U$35,Y6048,,Trigger)</f>
        <v>0.79508296732347472</v>
      </c>
    </row>
    <row r="6049" spans="25:26" x14ac:dyDescent="0.25">
      <c r="Y6049" s="63">
        <v>48582</v>
      </c>
      <c r="Z6049" s="61">
        <f>_xll.qlYieldTSDiscount($U$35,Y6049,,Trigger)</f>
        <v>0.7950483734775049</v>
      </c>
    </row>
    <row r="6050" spans="25:26" x14ac:dyDescent="0.25">
      <c r="Y6050" s="63">
        <v>48583</v>
      </c>
      <c r="Z6050" s="61">
        <f>_xll.qlYieldTSDiscount($U$35,Y6050,,Trigger)</f>
        <v>0.79501377754780078</v>
      </c>
    </row>
    <row r="6051" spans="25:26" x14ac:dyDescent="0.25">
      <c r="Y6051" s="63">
        <v>48584</v>
      </c>
      <c r="Z6051" s="61">
        <f>_xll.qlYieldTSDiscount($U$35,Y6051,,Trigger)</f>
        <v>0.79497917953196873</v>
      </c>
    </row>
    <row r="6052" spans="25:26" x14ac:dyDescent="0.25">
      <c r="Y6052" s="63">
        <v>48585</v>
      </c>
      <c r="Z6052" s="61">
        <f>_xll.qlYieldTSDiscount($U$35,Y6052,,Trigger)</f>
        <v>0.79494457942761532</v>
      </c>
    </row>
    <row r="6053" spans="25:26" x14ac:dyDescent="0.25">
      <c r="Y6053" s="63">
        <v>48586</v>
      </c>
      <c r="Z6053" s="61">
        <f>_xll.qlYieldTSDiscount($U$35,Y6053,,Trigger)</f>
        <v>0.79490997723234702</v>
      </c>
    </row>
    <row r="6054" spans="25:26" x14ac:dyDescent="0.25">
      <c r="Y6054" s="63">
        <v>48587</v>
      </c>
      <c r="Z6054" s="61">
        <f>_xll.qlYieldTSDiscount($U$35,Y6054,,Trigger)</f>
        <v>0.79487537294377031</v>
      </c>
    </row>
    <row r="6055" spans="25:26" x14ac:dyDescent="0.25">
      <c r="Y6055" s="63">
        <v>48588</v>
      </c>
      <c r="Z6055" s="61">
        <f>_xll.qlYieldTSDiscount($U$35,Y6055,,Trigger)</f>
        <v>0.79484076655949165</v>
      </c>
    </row>
    <row r="6056" spans="25:26" x14ac:dyDescent="0.25">
      <c r="Y6056" s="63">
        <v>48589</v>
      </c>
      <c r="Z6056" s="61">
        <f>_xll.qlYieldTSDiscount($U$35,Y6056,,Trigger)</f>
        <v>0.79480615807711752</v>
      </c>
    </row>
    <row r="6057" spans="25:26" x14ac:dyDescent="0.25">
      <c r="Y6057" s="63">
        <v>48590</v>
      </c>
      <c r="Z6057" s="61">
        <f>_xll.qlYieldTSDiscount($U$35,Y6057,,Trigger)</f>
        <v>0.79477154749425449</v>
      </c>
    </row>
    <row r="6058" spans="25:26" x14ac:dyDescent="0.25">
      <c r="Y6058" s="63">
        <v>48591</v>
      </c>
      <c r="Z6058" s="61">
        <f>_xll.qlYieldTSDiscount($U$35,Y6058,,Trigger)</f>
        <v>0.79473693480850893</v>
      </c>
    </row>
    <row r="6059" spans="25:26" x14ac:dyDescent="0.25">
      <c r="Y6059" s="63">
        <v>48592</v>
      </c>
      <c r="Z6059" s="61">
        <f>_xll.qlYieldTSDiscount($U$35,Y6059,,Trigger)</f>
        <v>0.79470232001748731</v>
      </c>
    </row>
    <row r="6060" spans="25:26" x14ac:dyDescent="0.25">
      <c r="Y6060" s="63">
        <v>48593</v>
      </c>
      <c r="Z6060" s="61">
        <f>_xll.qlYieldTSDiscount($U$35,Y6060,,Trigger)</f>
        <v>0.7946677031187962</v>
      </c>
    </row>
    <row r="6061" spans="25:26" x14ac:dyDescent="0.25">
      <c r="Y6061" s="63">
        <v>48594</v>
      </c>
      <c r="Z6061" s="61">
        <f>_xll.qlYieldTSDiscount($U$35,Y6061,,Trigger)</f>
        <v>0.79463308411004197</v>
      </c>
    </row>
    <row r="6062" spans="25:26" x14ac:dyDescent="0.25">
      <c r="Y6062" s="63">
        <v>48595</v>
      </c>
      <c r="Z6062" s="61">
        <f>_xll.qlYieldTSDiscount($U$35,Y6062,,Trigger)</f>
        <v>0.7945984629888313</v>
      </c>
    </row>
    <row r="6063" spans="25:26" x14ac:dyDescent="0.25">
      <c r="Y6063" s="63">
        <v>48596</v>
      </c>
      <c r="Z6063" s="61">
        <f>_xll.qlYieldTSDiscount($U$35,Y6063,,Trigger)</f>
        <v>0.79456383975277034</v>
      </c>
    </row>
    <row r="6064" spans="25:26" x14ac:dyDescent="0.25">
      <c r="Y6064" s="63">
        <v>48597</v>
      </c>
      <c r="Z6064" s="61">
        <f>_xll.qlYieldTSDiscount($U$35,Y6064,,Trigger)</f>
        <v>0.794529214399466</v>
      </c>
    </row>
    <row r="6065" spans="25:26" x14ac:dyDescent="0.25">
      <c r="Y6065" s="63">
        <v>48598</v>
      </c>
      <c r="Z6065" s="61">
        <f>_xll.qlYieldTSDiscount($U$35,Y6065,,Trigger)</f>
        <v>0.79449458692652442</v>
      </c>
    </row>
    <row r="6066" spans="25:26" x14ac:dyDescent="0.25">
      <c r="Y6066" s="63">
        <v>48599</v>
      </c>
      <c r="Z6066" s="61">
        <f>_xll.qlYieldTSDiscount($U$35,Y6066,,Trigger)</f>
        <v>0.79445995733155217</v>
      </c>
    </row>
    <row r="6067" spans="25:26" x14ac:dyDescent="0.25">
      <c r="Y6067" s="63">
        <v>48600</v>
      </c>
      <c r="Z6067" s="61">
        <f>_xll.qlYieldTSDiscount($U$35,Y6067,,Trigger)</f>
        <v>0.79442532561215573</v>
      </c>
    </row>
    <row r="6068" spans="25:26" x14ac:dyDescent="0.25">
      <c r="Y6068" s="63">
        <v>48601</v>
      </c>
      <c r="Z6068" s="61">
        <f>_xll.qlYieldTSDiscount($U$35,Y6068,,Trigger)</f>
        <v>0.79439069176594168</v>
      </c>
    </row>
    <row r="6069" spans="25:26" x14ac:dyDescent="0.25">
      <c r="Y6069" s="63">
        <v>48602</v>
      </c>
      <c r="Z6069" s="61">
        <f>_xll.qlYieldTSDiscount($U$35,Y6069,,Trigger)</f>
        <v>0.79435605579051627</v>
      </c>
    </row>
    <row r="6070" spans="25:26" x14ac:dyDescent="0.25">
      <c r="Y6070" s="63">
        <v>48603</v>
      </c>
      <c r="Z6070" s="61">
        <f>_xll.qlYieldTSDiscount($U$35,Y6070,,Trigger)</f>
        <v>0.7943214176834863</v>
      </c>
    </row>
    <row r="6071" spans="25:26" x14ac:dyDescent="0.25">
      <c r="Y6071" s="63">
        <v>48604</v>
      </c>
      <c r="Z6071" s="61">
        <f>_xll.qlYieldTSDiscount($U$35,Y6071,,Trigger)</f>
        <v>0.79428677744245801</v>
      </c>
    </row>
    <row r="6072" spans="25:26" x14ac:dyDescent="0.25">
      <c r="Y6072" s="63">
        <v>48605</v>
      </c>
      <c r="Z6072" s="61">
        <f>_xll.qlYieldTSDiscount($U$35,Y6072,,Trigger)</f>
        <v>0.794252135065038</v>
      </c>
    </row>
    <row r="6073" spans="25:26" x14ac:dyDescent="0.25">
      <c r="Y6073" s="63">
        <v>48606</v>
      </c>
      <c r="Z6073" s="61">
        <f>_xll.qlYieldTSDiscount($U$35,Y6073,,Trigger)</f>
        <v>0.79421749054883262</v>
      </c>
    </row>
    <row r="6074" spans="25:26" x14ac:dyDescent="0.25">
      <c r="Y6074" s="63">
        <v>48607</v>
      </c>
      <c r="Z6074" s="61">
        <f>_xll.qlYieldTSDiscount($U$35,Y6074,,Trigger)</f>
        <v>0.79418284389144844</v>
      </c>
    </row>
    <row r="6075" spans="25:26" x14ac:dyDescent="0.25">
      <c r="Y6075" s="63">
        <v>48608</v>
      </c>
      <c r="Z6075" s="61">
        <f>_xll.qlYieldTSDiscount($U$35,Y6075,,Trigger)</f>
        <v>0.79414819509049206</v>
      </c>
    </row>
    <row r="6076" spans="25:26" x14ac:dyDescent="0.25">
      <c r="Y6076" s="63">
        <v>48609</v>
      </c>
      <c r="Z6076" s="61">
        <f>_xll.qlYieldTSDiscount($U$35,Y6076,,Trigger)</f>
        <v>0.79411354414356983</v>
      </c>
    </row>
    <row r="6077" spans="25:26" x14ac:dyDescent="0.25">
      <c r="Y6077" s="63">
        <v>48610</v>
      </c>
      <c r="Z6077" s="61">
        <f>_xll.qlYieldTSDiscount($U$35,Y6077,,Trigger)</f>
        <v>0.7940788910482881</v>
      </c>
    </row>
    <row r="6078" spans="25:26" x14ac:dyDescent="0.25">
      <c r="Y6078" s="63">
        <v>48611</v>
      </c>
      <c r="Z6078" s="61">
        <f>_xll.qlYieldTSDiscount($U$35,Y6078,,Trigger)</f>
        <v>0.79404423580225358</v>
      </c>
    </row>
    <row r="6079" spans="25:26" x14ac:dyDescent="0.25">
      <c r="Y6079" s="63">
        <v>48612</v>
      </c>
      <c r="Z6079" s="61">
        <f>_xll.qlYieldTSDiscount($U$35,Y6079,,Trigger)</f>
        <v>0.79400957840307251</v>
      </c>
    </row>
    <row r="6080" spans="25:26" x14ac:dyDescent="0.25">
      <c r="Y6080" s="63">
        <v>48613</v>
      </c>
      <c r="Z6080" s="61">
        <f>_xll.qlYieldTSDiscount($U$35,Y6080,,Trigger)</f>
        <v>0.7939749188483517</v>
      </c>
    </row>
    <row r="6081" spans="25:26" x14ac:dyDescent="0.25">
      <c r="Y6081" s="63">
        <v>48614</v>
      </c>
      <c r="Z6081" s="61">
        <f>_xll.qlYieldTSDiscount($U$35,Y6081,,Trigger)</f>
        <v>0.79394025713569738</v>
      </c>
    </row>
    <row r="6082" spans="25:26" x14ac:dyDescent="0.25">
      <c r="Y6082" s="63">
        <v>48615</v>
      </c>
      <c r="Z6082" s="61">
        <f>_xll.qlYieldTSDiscount($U$35,Y6082,,Trigger)</f>
        <v>0.79390559326271615</v>
      </c>
    </row>
    <row r="6083" spans="25:26" x14ac:dyDescent="0.25">
      <c r="Y6083" s="63">
        <v>48616</v>
      </c>
      <c r="Z6083" s="61">
        <f>_xll.qlYieldTSDiscount($U$35,Y6083,,Trigger)</f>
        <v>0.79387092722701436</v>
      </c>
    </row>
    <row r="6084" spans="25:26" x14ac:dyDescent="0.25">
      <c r="Y6084" s="63">
        <v>48617</v>
      </c>
      <c r="Z6084" s="61">
        <f>_xll.qlYieldTSDiscount($U$35,Y6084,,Trigger)</f>
        <v>0.79383625902619859</v>
      </c>
    </row>
    <row r="6085" spans="25:26" x14ac:dyDescent="0.25">
      <c r="Y6085" s="63">
        <v>48618</v>
      </c>
      <c r="Z6085" s="61">
        <f>_xll.qlYieldTSDiscount($U$35,Y6085,,Trigger)</f>
        <v>0.79380158865787531</v>
      </c>
    </row>
    <row r="6086" spans="25:26" x14ac:dyDescent="0.25">
      <c r="Y6086" s="63">
        <v>48619</v>
      </c>
      <c r="Z6086" s="61">
        <f>_xll.qlYieldTSDiscount($U$35,Y6086,,Trigger)</f>
        <v>0.793766916119651</v>
      </c>
    </row>
    <row r="6087" spans="25:26" x14ac:dyDescent="0.25">
      <c r="Y6087" s="63">
        <v>48620</v>
      </c>
      <c r="Z6087" s="61">
        <f>_xll.qlYieldTSDiscount($U$35,Y6087,,Trigger)</f>
        <v>0.79373224140913212</v>
      </c>
    </row>
    <row r="6088" spans="25:26" x14ac:dyDescent="0.25">
      <c r="Y6088" s="63">
        <v>48621</v>
      </c>
      <c r="Z6088" s="61">
        <f>_xll.qlYieldTSDiscount($U$35,Y6088,,Trigger)</f>
        <v>0.79369756452392526</v>
      </c>
    </row>
    <row r="6089" spans="25:26" x14ac:dyDescent="0.25">
      <c r="Y6089" s="63">
        <v>48622</v>
      </c>
      <c r="Z6089" s="61">
        <f>_xll.qlYieldTSDiscount($U$35,Y6089,,Trigger)</f>
        <v>0.79366288546163666</v>
      </c>
    </row>
    <row r="6090" spans="25:26" x14ac:dyDescent="0.25">
      <c r="Y6090" s="63">
        <v>48623</v>
      </c>
      <c r="Z6090" s="61">
        <f>_xll.qlYieldTSDiscount($U$35,Y6090,,Trigger)</f>
        <v>0.79362820421987301</v>
      </c>
    </row>
    <row r="6091" spans="25:26" x14ac:dyDescent="0.25">
      <c r="Y6091" s="63">
        <v>48624</v>
      </c>
      <c r="Z6091" s="61">
        <f>_xll.qlYieldTSDiscount($U$35,Y6091,,Trigger)</f>
        <v>0.79359352079624079</v>
      </c>
    </row>
    <row r="6092" spans="25:26" x14ac:dyDescent="0.25">
      <c r="Y6092" s="63">
        <v>48625</v>
      </c>
      <c r="Z6092" s="61">
        <f>_xll.qlYieldTSDiscount($U$35,Y6092,,Trigger)</f>
        <v>0.79355883518834636</v>
      </c>
    </row>
    <row r="6093" spans="25:26" x14ac:dyDescent="0.25">
      <c r="Y6093" s="63">
        <v>48626</v>
      </c>
      <c r="Z6093" s="61">
        <f>_xll.qlYieldTSDiscount($U$35,Y6093,,Trigger)</f>
        <v>0.79352414739379618</v>
      </c>
    </row>
    <row r="6094" spans="25:26" x14ac:dyDescent="0.25">
      <c r="Y6094" s="63">
        <v>48627</v>
      </c>
      <c r="Z6094" s="61">
        <f>_xll.qlYieldTSDiscount($U$35,Y6094,,Trigger)</f>
        <v>0.79348945741019683</v>
      </c>
    </row>
    <row r="6095" spans="25:26" x14ac:dyDescent="0.25">
      <c r="Y6095" s="63">
        <v>48628</v>
      </c>
      <c r="Z6095" s="61">
        <f>_xll.qlYieldTSDiscount($U$35,Y6095,,Trigger)</f>
        <v>0.79345476523515479</v>
      </c>
    </row>
    <row r="6096" spans="25:26" x14ac:dyDescent="0.25">
      <c r="Y6096" s="63">
        <v>48629</v>
      </c>
      <c r="Z6096" s="61">
        <f>_xll.qlYieldTSDiscount($U$35,Y6096,,Trigger)</f>
        <v>0.79342007086627664</v>
      </c>
    </row>
    <row r="6097" spans="25:26" x14ac:dyDescent="0.25">
      <c r="Y6097" s="63">
        <v>48630</v>
      </c>
      <c r="Z6097" s="61">
        <f>_xll.qlYieldTSDiscount($U$35,Y6097,,Trigger)</f>
        <v>0.79338537430116862</v>
      </c>
    </row>
    <row r="6098" spans="25:26" x14ac:dyDescent="0.25">
      <c r="Y6098" s="63">
        <v>48631</v>
      </c>
      <c r="Z6098" s="61">
        <f>_xll.qlYieldTSDiscount($U$35,Y6098,,Trigger)</f>
        <v>0.79335067553743732</v>
      </c>
    </row>
    <row r="6099" spans="25:26" x14ac:dyDescent="0.25">
      <c r="Y6099" s="63">
        <v>48632</v>
      </c>
      <c r="Z6099" s="61">
        <f>_xll.qlYieldTSDiscount($U$35,Y6099,,Trigger)</f>
        <v>0.79331597457268921</v>
      </c>
    </row>
    <row r="6100" spans="25:26" x14ac:dyDescent="0.25">
      <c r="Y6100" s="63">
        <v>48633</v>
      </c>
      <c r="Z6100" s="61">
        <f>_xll.qlYieldTSDiscount($U$35,Y6100,,Trigger)</f>
        <v>0.79328127140453086</v>
      </c>
    </row>
    <row r="6101" spans="25:26" x14ac:dyDescent="0.25">
      <c r="Y6101" s="63">
        <v>48634</v>
      </c>
      <c r="Z6101" s="61">
        <f>_xll.qlYieldTSDiscount($U$35,Y6101,,Trigger)</f>
        <v>0.79324656603056865</v>
      </c>
    </row>
    <row r="6102" spans="25:26" x14ac:dyDescent="0.25">
      <c r="Y6102" s="63">
        <v>48635</v>
      </c>
      <c r="Z6102" s="61">
        <f>_xll.qlYieldTSDiscount($U$35,Y6102,,Trigger)</f>
        <v>0.79321185844840914</v>
      </c>
    </row>
    <row r="6103" spans="25:26" x14ac:dyDescent="0.25">
      <c r="Y6103" s="63">
        <v>48636</v>
      </c>
      <c r="Z6103" s="61">
        <f>_xll.qlYieldTSDiscount($U$35,Y6103,,Trigger)</f>
        <v>0.79317714865565869</v>
      </c>
    </row>
    <row r="6104" spans="25:26" x14ac:dyDescent="0.25">
      <c r="Y6104" s="63">
        <v>48637</v>
      </c>
      <c r="Z6104" s="61">
        <f>_xll.qlYieldTSDiscount($U$35,Y6104,,Trigger)</f>
        <v>0.7931424366499239</v>
      </c>
    </row>
    <row r="6105" spans="25:26" x14ac:dyDescent="0.25">
      <c r="Y6105" s="63">
        <v>48638</v>
      </c>
      <c r="Z6105" s="61">
        <f>_xll.qlYieldTSDiscount($U$35,Y6105,,Trigger)</f>
        <v>0.79310772242881122</v>
      </c>
    </row>
    <row r="6106" spans="25:26" x14ac:dyDescent="0.25">
      <c r="Y6106" s="63">
        <v>48639</v>
      </c>
      <c r="Z6106" s="61">
        <f>_xll.qlYieldTSDiscount($U$35,Y6106,,Trigger)</f>
        <v>0.79307300598992703</v>
      </c>
    </row>
    <row r="6107" spans="25:26" x14ac:dyDescent="0.25">
      <c r="Y6107" s="63">
        <v>48640</v>
      </c>
      <c r="Z6107" s="61">
        <f>_xll.qlYieldTSDiscount($U$35,Y6107,,Trigger)</f>
        <v>0.793038287330878</v>
      </c>
    </row>
    <row r="6108" spans="25:26" x14ac:dyDescent="0.25">
      <c r="Y6108" s="63">
        <v>48641</v>
      </c>
      <c r="Z6108" s="61">
        <f>_xll.qlYieldTSDiscount($U$35,Y6108,,Trigger)</f>
        <v>0.79300356644927039</v>
      </c>
    </row>
    <row r="6109" spans="25:26" x14ac:dyDescent="0.25">
      <c r="Y6109" s="63">
        <v>48642</v>
      </c>
      <c r="Z6109" s="61">
        <f>_xll.qlYieldTSDiscount($U$35,Y6109,,Trigger)</f>
        <v>0.79296884334271089</v>
      </c>
    </row>
    <row r="6110" spans="25:26" x14ac:dyDescent="0.25">
      <c r="Y6110" s="63">
        <v>48643</v>
      </c>
      <c r="Z6110" s="61">
        <f>_xll.qlYieldTSDiscount($U$35,Y6110,,Trigger)</f>
        <v>0.79293411800880587</v>
      </c>
    </row>
    <row r="6111" spans="25:26" x14ac:dyDescent="0.25">
      <c r="Y6111" s="63">
        <v>48644</v>
      </c>
      <c r="Z6111" s="61">
        <f>_xll.qlYieldTSDiscount($U$35,Y6111,,Trigger)</f>
        <v>0.79289939044516178</v>
      </c>
    </row>
    <row r="6112" spans="25:26" x14ac:dyDescent="0.25">
      <c r="Y6112" s="63">
        <v>48645</v>
      </c>
      <c r="Z6112" s="61">
        <f>_xll.qlYieldTSDiscount($U$35,Y6112,,Trigger)</f>
        <v>0.79286466064938521</v>
      </c>
    </row>
    <row r="6113" spans="25:26" x14ac:dyDescent="0.25">
      <c r="Y6113" s="63">
        <v>48646</v>
      </c>
      <c r="Z6113" s="61">
        <f>_xll.qlYieldTSDiscount($U$35,Y6113,,Trigger)</f>
        <v>0.79282992861908252</v>
      </c>
    </row>
    <row r="6114" spans="25:26" x14ac:dyDescent="0.25">
      <c r="Y6114" s="63">
        <v>48647</v>
      </c>
      <c r="Z6114" s="61">
        <f>_xll.qlYieldTSDiscount($U$35,Y6114,,Trigger)</f>
        <v>0.7927951943518603</v>
      </c>
    </row>
    <row r="6115" spans="25:26" x14ac:dyDescent="0.25">
      <c r="Y6115" s="63">
        <v>48648</v>
      </c>
      <c r="Z6115" s="61">
        <f>_xll.qlYieldTSDiscount($U$35,Y6115,,Trigger)</f>
        <v>0.79276045784532501</v>
      </c>
    </row>
    <row r="6116" spans="25:26" x14ac:dyDescent="0.25">
      <c r="Y6116" s="63">
        <v>48649</v>
      </c>
      <c r="Z6116" s="61">
        <f>_xll.qlYieldTSDiscount($U$35,Y6116,,Trigger)</f>
        <v>0.792725719097083</v>
      </c>
    </row>
    <row r="6117" spans="25:26" x14ac:dyDescent="0.25">
      <c r="Y6117" s="63">
        <v>48650</v>
      </c>
      <c r="Z6117" s="61">
        <f>_xll.qlYieldTSDiscount($U$35,Y6117,,Trigger)</f>
        <v>0.79269097810474087</v>
      </c>
    </row>
    <row r="6118" spans="25:26" x14ac:dyDescent="0.25">
      <c r="Y6118" s="63">
        <v>48651</v>
      </c>
      <c r="Z6118" s="61">
        <f>_xll.qlYieldTSDiscount($U$35,Y6118,,Trigger)</f>
        <v>0.7926562348659052</v>
      </c>
    </row>
    <row r="6119" spans="25:26" x14ac:dyDescent="0.25">
      <c r="Y6119" s="63">
        <v>48652</v>
      </c>
      <c r="Z6119" s="61">
        <f>_xll.qlYieldTSDiscount($U$35,Y6119,,Trigger)</f>
        <v>0.79262148937818222</v>
      </c>
    </row>
    <row r="6120" spans="25:26" x14ac:dyDescent="0.25">
      <c r="Y6120" s="63">
        <v>48653</v>
      </c>
      <c r="Z6120" s="61">
        <f>_xll.qlYieldTSDiscount($U$35,Y6120,,Trigger)</f>
        <v>0.79258674163917864</v>
      </c>
    </row>
    <row r="6121" spans="25:26" x14ac:dyDescent="0.25">
      <c r="Y6121" s="63">
        <v>48654</v>
      </c>
      <c r="Z6121" s="61">
        <f>_xll.qlYieldTSDiscount($U$35,Y6121,,Trigger)</f>
        <v>0.79255199164650081</v>
      </c>
    </row>
    <row r="6122" spans="25:26" x14ac:dyDescent="0.25">
      <c r="Y6122" s="63">
        <v>48655</v>
      </c>
      <c r="Z6122" s="61">
        <f>_xll.qlYieldTSDiscount($U$35,Y6122,,Trigger)</f>
        <v>0.7925172393977552</v>
      </c>
    </row>
    <row r="6123" spans="25:26" x14ac:dyDescent="0.25">
      <c r="Y6123" s="63">
        <v>48656</v>
      </c>
      <c r="Z6123" s="61">
        <f>_xll.qlYieldTSDiscount($U$35,Y6123,,Trigger)</f>
        <v>0.7924824848905484</v>
      </c>
    </row>
    <row r="6124" spans="25:26" x14ac:dyDescent="0.25">
      <c r="Y6124" s="63">
        <v>48657</v>
      </c>
      <c r="Z6124" s="61">
        <f>_xll.qlYieldTSDiscount($U$35,Y6124,,Trigger)</f>
        <v>0.79244772812248676</v>
      </c>
    </row>
    <row r="6125" spans="25:26" x14ac:dyDescent="0.25">
      <c r="Y6125" s="63">
        <v>48658</v>
      </c>
      <c r="Z6125" s="61">
        <f>_xll.qlYieldTSDiscount($U$35,Y6125,,Trigger)</f>
        <v>0.79241296909117687</v>
      </c>
    </row>
    <row r="6126" spans="25:26" x14ac:dyDescent="0.25">
      <c r="Y6126" s="63">
        <v>48659</v>
      </c>
      <c r="Z6126" s="61">
        <f>_xll.qlYieldTSDiscount($U$35,Y6126,,Trigger)</f>
        <v>0.79237820779422519</v>
      </c>
    </row>
    <row r="6127" spans="25:26" x14ac:dyDescent="0.25">
      <c r="Y6127" s="63">
        <v>48660</v>
      </c>
      <c r="Z6127" s="61">
        <f>_xll.qlYieldTSDiscount($U$35,Y6127,,Trigger)</f>
        <v>0.79234344422923808</v>
      </c>
    </row>
    <row r="6128" spans="25:26" x14ac:dyDescent="0.25">
      <c r="Y6128" s="63">
        <v>48661</v>
      </c>
      <c r="Z6128" s="61">
        <f>_xll.qlYieldTSDiscount($U$35,Y6128,,Trigger)</f>
        <v>0.79230867839382224</v>
      </c>
    </row>
    <row r="6129" spans="25:26" x14ac:dyDescent="0.25">
      <c r="Y6129" s="63">
        <v>48662</v>
      </c>
      <c r="Z6129" s="61">
        <f>_xll.qlYieldTSDiscount($U$35,Y6129,,Trigger)</f>
        <v>0.79227391028558392</v>
      </c>
    </row>
    <row r="6130" spans="25:26" x14ac:dyDescent="0.25">
      <c r="Y6130" s="63">
        <v>48663</v>
      </c>
      <c r="Z6130" s="61">
        <f>_xll.qlYieldTSDiscount($U$35,Y6130,,Trigger)</f>
        <v>0.7922391399021298</v>
      </c>
    </row>
    <row r="6131" spans="25:26" x14ac:dyDescent="0.25">
      <c r="Y6131" s="63">
        <v>48664</v>
      </c>
      <c r="Z6131" s="61">
        <f>_xll.qlYieldTSDiscount($U$35,Y6131,,Trigger)</f>
        <v>0.79220436724106613</v>
      </c>
    </row>
    <row r="6132" spans="25:26" x14ac:dyDescent="0.25">
      <c r="Y6132" s="63">
        <v>48665</v>
      </c>
      <c r="Z6132" s="61">
        <f>_xll.qlYieldTSDiscount($U$35,Y6132,,Trigger)</f>
        <v>0.79216959229999961</v>
      </c>
    </row>
    <row r="6133" spans="25:26" x14ac:dyDescent="0.25">
      <c r="Y6133" s="63">
        <v>48666</v>
      </c>
      <c r="Z6133" s="61">
        <f>_xll.qlYieldTSDiscount($U$35,Y6133,,Trigger)</f>
        <v>0.79213481507653671</v>
      </c>
    </row>
    <row r="6134" spans="25:26" x14ac:dyDescent="0.25">
      <c r="Y6134" s="63">
        <v>48667</v>
      </c>
      <c r="Z6134" s="61">
        <f>_xll.qlYieldTSDiscount($U$35,Y6134,,Trigger)</f>
        <v>0.79210003556828379</v>
      </c>
    </row>
    <row r="6135" spans="25:26" x14ac:dyDescent="0.25">
      <c r="Y6135" s="63">
        <v>48668</v>
      </c>
      <c r="Z6135" s="61">
        <f>_xll.qlYieldTSDiscount($U$35,Y6135,,Trigger)</f>
        <v>0.79206525377284742</v>
      </c>
    </row>
    <row r="6136" spans="25:26" x14ac:dyDescent="0.25">
      <c r="Y6136" s="63">
        <v>48669</v>
      </c>
      <c r="Z6136" s="61">
        <f>_xll.qlYieldTSDiscount($U$35,Y6136,,Trigger)</f>
        <v>0.79203046968783397</v>
      </c>
    </row>
    <row r="6137" spans="25:26" x14ac:dyDescent="0.25">
      <c r="Y6137" s="63">
        <v>48670</v>
      </c>
      <c r="Z6137" s="61">
        <f>_xll.qlYieldTSDiscount($U$35,Y6137,,Trigger)</f>
        <v>0.79199568331085002</v>
      </c>
    </row>
    <row r="6138" spans="25:26" x14ac:dyDescent="0.25">
      <c r="Y6138" s="63">
        <v>48671</v>
      </c>
      <c r="Z6138" s="61">
        <f>_xll.qlYieldTSDiscount($U$35,Y6138,,Trigger)</f>
        <v>0.79196089463950203</v>
      </c>
    </row>
    <row r="6139" spans="25:26" x14ac:dyDescent="0.25">
      <c r="Y6139" s="63">
        <v>48672</v>
      </c>
      <c r="Z6139" s="61">
        <f>_xll.qlYieldTSDiscount($U$35,Y6139,,Trigger)</f>
        <v>0.79192610367139649</v>
      </c>
    </row>
    <row r="6140" spans="25:26" x14ac:dyDescent="0.25">
      <c r="Y6140" s="63">
        <v>48673</v>
      </c>
      <c r="Z6140" s="61">
        <f>_xll.qlYieldTSDiscount($U$35,Y6140,,Trigger)</f>
        <v>0.79189131040413985</v>
      </c>
    </row>
    <row r="6141" spans="25:26" x14ac:dyDescent="0.25">
      <c r="Y6141" s="63">
        <v>48674</v>
      </c>
      <c r="Z6141" s="61">
        <f>_xll.qlYieldTSDiscount($U$35,Y6141,,Trigger)</f>
        <v>0.79185651483533859</v>
      </c>
    </row>
    <row r="6142" spans="25:26" x14ac:dyDescent="0.25">
      <c r="Y6142" s="63">
        <v>48675</v>
      </c>
      <c r="Z6142" s="61">
        <f>_xll.qlYieldTSDiscount($U$35,Y6142,,Trigger)</f>
        <v>0.79182171696259929</v>
      </c>
    </row>
    <row r="6143" spans="25:26" x14ac:dyDescent="0.25">
      <c r="Y6143" s="63">
        <v>48676</v>
      </c>
      <c r="Z6143" s="61">
        <f>_xll.qlYieldTSDiscount($U$35,Y6143,,Trigger)</f>
        <v>0.79178691678352831</v>
      </c>
    </row>
    <row r="6144" spans="25:26" x14ac:dyDescent="0.25">
      <c r="Y6144" s="63">
        <v>48677</v>
      </c>
      <c r="Z6144" s="61">
        <f>_xll.qlYieldTSDiscount($U$35,Y6144,,Trigger)</f>
        <v>0.79175211429573211</v>
      </c>
    </row>
    <row r="6145" spans="25:26" x14ac:dyDescent="0.25">
      <c r="Y6145" s="63">
        <v>48678</v>
      </c>
      <c r="Z6145" s="61">
        <f>_xll.qlYieldTSDiscount($U$35,Y6145,,Trigger)</f>
        <v>0.79171730949681729</v>
      </c>
    </row>
    <row r="6146" spans="25:26" x14ac:dyDescent="0.25">
      <c r="Y6146" s="63">
        <v>48679</v>
      </c>
      <c r="Z6146" s="61">
        <f>_xll.qlYieldTSDiscount($U$35,Y6146,,Trigger)</f>
        <v>0.7916825023843902</v>
      </c>
    </row>
    <row r="6147" spans="25:26" x14ac:dyDescent="0.25">
      <c r="Y6147" s="63">
        <v>48680</v>
      </c>
      <c r="Z6147" s="61">
        <f>_xll.qlYieldTSDiscount($U$35,Y6147,,Trigger)</f>
        <v>0.79164769295605741</v>
      </c>
    </row>
    <row r="6148" spans="25:26" x14ac:dyDescent="0.25">
      <c r="Y6148" s="63">
        <v>48681</v>
      </c>
      <c r="Z6148" s="61">
        <f>_xll.qlYieldTSDiscount($U$35,Y6148,,Trigger)</f>
        <v>0.79161288120942541</v>
      </c>
    </row>
    <row r="6149" spans="25:26" x14ac:dyDescent="0.25">
      <c r="Y6149" s="63">
        <v>48682</v>
      </c>
      <c r="Z6149" s="61">
        <f>_xll.qlYieldTSDiscount($U$35,Y6149,,Trigger)</f>
        <v>0.79157806714210066</v>
      </c>
    </row>
    <row r="6150" spans="25:26" x14ac:dyDescent="0.25">
      <c r="Y6150" s="63">
        <v>48683</v>
      </c>
      <c r="Z6150" s="61">
        <f>_xll.qlYieldTSDiscount($U$35,Y6150,,Trigger)</f>
        <v>0.79154325075168963</v>
      </c>
    </row>
    <row r="6151" spans="25:26" x14ac:dyDescent="0.25">
      <c r="Y6151" s="63">
        <v>48684</v>
      </c>
      <c r="Z6151" s="61">
        <f>_xll.qlYieldTSDiscount($U$35,Y6151,,Trigger)</f>
        <v>0.79150843203579879</v>
      </c>
    </row>
    <row r="6152" spans="25:26" x14ac:dyDescent="0.25">
      <c r="Y6152" s="63">
        <v>48685</v>
      </c>
      <c r="Z6152" s="61">
        <f>_xll.qlYieldTSDiscount($U$35,Y6152,,Trigger)</f>
        <v>0.79147361099203462</v>
      </c>
    </row>
    <row r="6153" spans="25:26" x14ac:dyDescent="0.25">
      <c r="Y6153" s="63">
        <v>48686</v>
      </c>
      <c r="Z6153" s="61">
        <f>_xll.qlYieldTSDiscount($U$35,Y6153,,Trigger)</f>
        <v>0.79143878761800357</v>
      </c>
    </row>
    <row r="6154" spans="25:26" x14ac:dyDescent="0.25">
      <c r="Y6154" s="63">
        <v>48687</v>
      </c>
      <c r="Z6154" s="61">
        <f>_xll.qlYieldTSDiscount($U$35,Y6154,,Trigger)</f>
        <v>0.79140396191131224</v>
      </c>
    </row>
    <row r="6155" spans="25:26" x14ac:dyDescent="0.25">
      <c r="Y6155" s="63">
        <v>48688</v>
      </c>
      <c r="Z6155" s="61">
        <f>_xll.qlYieldTSDiscount($U$35,Y6155,,Trigger)</f>
        <v>0.79136913386956709</v>
      </c>
    </row>
    <row r="6156" spans="25:26" x14ac:dyDescent="0.25">
      <c r="Y6156" s="63">
        <v>48689</v>
      </c>
      <c r="Z6156" s="61">
        <f>_xll.qlYieldTSDiscount($U$35,Y6156,,Trigger)</f>
        <v>0.79133430349037437</v>
      </c>
    </row>
    <row r="6157" spans="25:26" x14ac:dyDescent="0.25">
      <c r="Y6157" s="63">
        <v>48690</v>
      </c>
      <c r="Z6157" s="61">
        <f>_xll.qlYieldTSDiscount($U$35,Y6157,,Trigger)</f>
        <v>0.79129947077134088</v>
      </c>
    </row>
    <row r="6158" spans="25:26" x14ac:dyDescent="0.25">
      <c r="Y6158" s="63">
        <v>48691</v>
      </c>
      <c r="Z6158" s="61">
        <f>_xll.qlYieldTSDiscount($U$35,Y6158,,Trigger)</f>
        <v>0.79126463571007288</v>
      </c>
    </row>
    <row r="6159" spans="25:26" x14ac:dyDescent="0.25">
      <c r="Y6159" s="63">
        <v>48692</v>
      </c>
      <c r="Z6159" s="61">
        <f>_xll.qlYieldTSDiscount($U$35,Y6159,,Trigger)</f>
        <v>0.79122979830417695</v>
      </c>
    </row>
    <row r="6160" spans="25:26" x14ac:dyDescent="0.25">
      <c r="Y6160" s="63">
        <v>48693</v>
      </c>
      <c r="Z6160" s="61">
        <f>_xll.qlYieldTSDiscount($U$35,Y6160,,Trigger)</f>
        <v>0.79119495855125965</v>
      </c>
    </row>
    <row r="6161" spans="25:26" x14ac:dyDescent="0.25">
      <c r="Y6161" s="63">
        <v>48694</v>
      </c>
      <c r="Z6161" s="61">
        <f>_xll.qlYieldTSDiscount($U$35,Y6161,,Trigger)</f>
        <v>0.79116011644892714</v>
      </c>
    </row>
    <row r="6162" spans="25:26" x14ac:dyDescent="0.25">
      <c r="Y6162" s="63">
        <v>48695</v>
      </c>
      <c r="Z6162" s="61">
        <f>_xll.qlYieldTSDiscount($U$35,Y6162,,Trigger)</f>
        <v>0.79112527199478633</v>
      </c>
    </row>
    <row r="6163" spans="25:26" x14ac:dyDescent="0.25">
      <c r="Y6163" s="63">
        <v>48696</v>
      </c>
      <c r="Z6163" s="61">
        <f>_xll.qlYieldTSDiscount($U$35,Y6163,,Trigger)</f>
        <v>0.79109042518644335</v>
      </c>
    </row>
    <row r="6164" spans="25:26" x14ac:dyDescent="0.25">
      <c r="Y6164" s="63">
        <v>48697</v>
      </c>
      <c r="Z6164" s="61">
        <f>_xll.qlYieldTSDiscount($U$35,Y6164,,Trigger)</f>
        <v>0.79105557602150489</v>
      </c>
    </row>
    <row r="6165" spans="25:26" x14ac:dyDescent="0.25">
      <c r="Y6165" s="63">
        <v>48698</v>
      </c>
      <c r="Z6165" s="61">
        <f>_xll.qlYieldTSDiscount($U$35,Y6165,,Trigger)</f>
        <v>0.79102072449757732</v>
      </c>
    </row>
    <row r="6166" spans="25:26" x14ac:dyDescent="0.25">
      <c r="Y6166" s="63">
        <v>48699</v>
      </c>
      <c r="Z6166" s="61">
        <f>_xll.qlYieldTSDiscount($U$35,Y6166,,Trigger)</f>
        <v>0.79098587061226722</v>
      </c>
    </row>
    <row r="6167" spans="25:26" x14ac:dyDescent="0.25">
      <c r="Y6167" s="63">
        <v>48700</v>
      </c>
      <c r="Z6167" s="61">
        <f>_xll.qlYieldTSDiscount($U$35,Y6167,,Trigger)</f>
        <v>0.79095101436318094</v>
      </c>
    </row>
    <row r="6168" spans="25:26" x14ac:dyDescent="0.25">
      <c r="Y6168" s="63">
        <v>48701</v>
      </c>
      <c r="Z6168" s="61">
        <f>_xll.qlYieldTSDiscount($U$35,Y6168,,Trigger)</f>
        <v>0.79091615574792518</v>
      </c>
    </row>
    <row r="6169" spans="25:26" x14ac:dyDescent="0.25">
      <c r="Y6169" s="63">
        <v>48702</v>
      </c>
      <c r="Z6169" s="61">
        <f>_xll.qlYieldTSDiscount($U$35,Y6169,,Trigger)</f>
        <v>0.79088129476410607</v>
      </c>
    </row>
    <row r="6170" spans="25:26" x14ac:dyDescent="0.25">
      <c r="Y6170" s="63">
        <v>48703</v>
      </c>
      <c r="Z6170" s="61">
        <f>_xll.qlYieldTSDiscount($U$35,Y6170,,Trigger)</f>
        <v>0.79084643140933042</v>
      </c>
    </row>
    <row r="6171" spans="25:26" x14ac:dyDescent="0.25">
      <c r="Y6171" s="63">
        <v>48704</v>
      </c>
      <c r="Z6171" s="61">
        <f>_xll.qlYieldTSDiscount($U$35,Y6171,,Trigger)</f>
        <v>0.79081156568120459</v>
      </c>
    </row>
    <row r="6172" spans="25:26" x14ac:dyDescent="0.25">
      <c r="Y6172" s="63">
        <v>48705</v>
      </c>
      <c r="Z6172" s="61">
        <f>_xll.qlYieldTSDiscount($U$35,Y6172,,Trigger)</f>
        <v>0.79077669757733493</v>
      </c>
    </row>
    <row r="6173" spans="25:26" x14ac:dyDescent="0.25">
      <c r="Y6173" s="63">
        <v>48706</v>
      </c>
      <c r="Z6173" s="61">
        <f>_xll.qlYieldTSDiscount($U$35,Y6173,,Trigger)</f>
        <v>0.79074182709532814</v>
      </c>
    </row>
    <row r="6174" spans="25:26" x14ac:dyDescent="0.25">
      <c r="Y6174" s="63">
        <v>48707</v>
      </c>
      <c r="Z6174" s="61">
        <f>_xll.qlYieldTSDiscount($U$35,Y6174,,Trigger)</f>
        <v>0.79070695423279069</v>
      </c>
    </row>
    <row r="6175" spans="25:26" x14ac:dyDescent="0.25">
      <c r="Y6175" s="63">
        <v>48708</v>
      </c>
      <c r="Z6175" s="61">
        <f>_xll.qlYieldTSDiscount($U$35,Y6175,,Trigger)</f>
        <v>0.79067207898732883</v>
      </c>
    </row>
    <row r="6176" spans="25:26" x14ac:dyDescent="0.25">
      <c r="Y6176" s="63">
        <v>48709</v>
      </c>
      <c r="Z6176" s="61">
        <f>_xll.qlYieldTSDiscount($U$35,Y6176,,Trigger)</f>
        <v>0.79063720135654925</v>
      </c>
    </row>
    <row r="6177" spans="25:26" x14ac:dyDescent="0.25">
      <c r="Y6177" s="63">
        <v>48710</v>
      </c>
      <c r="Z6177" s="61">
        <f>_xll.qlYieldTSDiscount($U$35,Y6177,,Trigger)</f>
        <v>0.79060232133805841</v>
      </c>
    </row>
    <row r="6178" spans="25:26" x14ac:dyDescent="0.25">
      <c r="Y6178" s="63">
        <v>48711</v>
      </c>
      <c r="Z6178" s="61">
        <f>_xll.qlYieldTSDiscount($U$35,Y6178,,Trigger)</f>
        <v>0.79056743892946268</v>
      </c>
    </row>
    <row r="6179" spans="25:26" x14ac:dyDescent="0.25">
      <c r="Y6179" s="63">
        <v>48712</v>
      </c>
      <c r="Z6179" s="61">
        <f>_xll.qlYieldTSDiscount($U$35,Y6179,,Trigger)</f>
        <v>0.79053255412836865</v>
      </c>
    </row>
    <row r="6180" spans="25:26" x14ac:dyDescent="0.25">
      <c r="Y6180" s="63">
        <v>48713</v>
      </c>
      <c r="Z6180" s="61">
        <f>_xll.qlYieldTSDiscount($U$35,Y6180,,Trigger)</f>
        <v>0.79049766693238266</v>
      </c>
    </row>
    <row r="6181" spans="25:26" x14ac:dyDescent="0.25">
      <c r="Y6181" s="63">
        <v>48714</v>
      </c>
      <c r="Z6181" s="61">
        <f>_xll.qlYieldTSDiscount($U$35,Y6181,,Trigger)</f>
        <v>0.79046277733911141</v>
      </c>
    </row>
    <row r="6182" spans="25:26" x14ac:dyDescent="0.25">
      <c r="Y6182" s="63">
        <v>48715</v>
      </c>
      <c r="Z6182" s="61">
        <f>_xll.qlYieldTSDiscount($U$35,Y6182,,Trigger)</f>
        <v>0.79042788534616126</v>
      </c>
    </row>
    <row r="6183" spans="25:26" x14ac:dyDescent="0.25">
      <c r="Y6183" s="63">
        <v>48716</v>
      </c>
      <c r="Z6183" s="61">
        <f>_xll.qlYieldTSDiscount($U$35,Y6183,,Trigger)</f>
        <v>0.79039299095113869</v>
      </c>
    </row>
    <row r="6184" spans="25:26" x14ac:dyDescent="0.25">
      <c r="Y6184" s="63">
        <v>48717</v>
      </c>
      <c r="Z6184" s="61">
        <f>_xll.qlYieldTSDiscount($U$35,Y6184,,Trigger)</f>
        <v>0.79035809415165015</v>
      </c>
    </row>
    <row r="6185" spans="25:26" x14ac:dyDescent="0.25">
      <c r="Y6185" s="63">
        <v>48718</v>
      </c>
      <c r="Z6185" s="61">
        <f>_xll.qlYieldTSDiscount($U$35,Y6185,,Trigger)</f>
        <v>0.79032319494530212</v>
      </c>
    </row>
    <row r="6186" spans="25:26" x14ac:dyDescent="0.25">
      <c r="Y6186" s="63">
        <v>48719</v>
      </c>
      <c r="Z6186" s="61">
        <f>_xll.qlYieldTSDiscount($U$35,Y6186,,Trigger)</f>
        <v>0.79028829332970107</v>
      </c>
    </row>
    <row r="6187" spans="25:26" x14ac:dyDescent="0.25">
      <c r="Y6187" s="63">
        <v>48720</v>
      </c>
      <c r="Z6187" s="61">
        <f>_xll.qlYieldTSDiscount($U$35,Y6187,,Trigger)</f>
        <v>0.7902533893024537</v>
      </c>
    </row>
    <row r="6188" spans="25:26" x14ac:dyDescent="0.25">
      <c r="Y6188" s="63">
        <v>48721</v>
      </c>
      <c r="Z6188" s="61">
        <f>_xll.qlYieldTSDiscount($U$35,Y6188,,Trigger)</f>
        <v>0.79021848286116614</v>
      </c>
    </row>
    <row r="6189" spans="25:26" x14ac:dyDescent="0.25">
      <c r="Y6189" s="63">
        <v>48722</v>
      </c>
      <c r="Z6189" s="61">
        <f>_xll.qlYieldTSDiscount($U$35,Y6189,,Trigger)</f>
        <v>0.79018357400344519</v>
      </c>
    </row>
    <row r="6190" spans="25:26" x14ac:dyDescent="0.25">
      <c r="Y6190" s="63">
        <v>48723</v>
      </c>
      <c r="Z6190" s="61">
        <f>_xll.qlYieldTSDiscount($U$35,Y6190,,Trigger)</f>
        <v>0.7901486627268971</v>
      </c>
    </row>
    <row r="6191" spans="25:26" x14ac:dyDescent="0.25">
      <c r="Y6191" s="63">
        <v>48724</v>
      </c>
      <c r="Z6191" s="61">
        <f>_xll.qlYieldTSDiscount($U$35,Y6191,,Trigger)</f>
        <v>0.79011374902912845</v>
      </c>
    </row>
    <row r="6192" spans="25:26" x14ac:dyDescent="0.25">
      <c r="Y6192" s="63">
        <v>48725</v>
      </c>
      <c r="Z6192" s="61">
        <f>_xll.qlYieldTSDiscount($U$35,Y6192,,Trigger)</f>
        <v>0.79007883290774572</v>
      </c>
    </row>
    <row r="6193" spans="25:26" x14ac:dyDescent="0.25">
      <c r="Y6193" s="63">
        <v>48726</v>
      </c>
      <c r="Z6193" s="61">
        <f>_xll.qlYieldTSDiscount($U$35,Y6193,,Trigger)</f>
        <v>0.79004391436035537</v>
      </c>
    </row>
    <row r="6194" spans="25:26" x14ac:dyDescent="0.25">
      <c r="Y6194" s="63">
        <v>48727</v>
      </c>
      <c r="Z6194" s="61">
        <f>_xll.qlYieldTSDiscount($U$35,Y6194,,Trigger)</f>
        <v>0.79000899338456387</v>
      </c>
    </row>
    <row r="6195" spans="25:26" x14ac:dyDescent="0.25">
      <c r="Y6195" s="63">
        <v>48728</v>
      </c>
      <c r="Z6195" s="61">
        <f>_xll.qlYieldTSDiscount($U$35,Y6195,,Trigger)</f>
        <v>0.78997406997797781</v>
      </c>
    </row>
    <row r="6196" spans="25:26" x14ac:dyDescent="0.25">
      <c r="Y6196" s="63">
        <v>48729</v>
      </c>
      <c r="Z6196" s="61">
        <f>_xll.qlYieldTSDiscount($U$35,Y6196,,Trigger)</f>
        <v>0.78993914413820343</v>
      </c>
    </row>
    <row r="6197" spans="25:26" x14ac:dyDescent="0.25">
      <c r="Y6197" s="63">
        <v>48730</v>
      </c>
      <c r="Z6197" s="61">
        <f>_xll.qlYieldTSDiscount($U$35,Y6197,,Trigger)</f>
        <v>0.78990421586284754</v>
      </c>
    </row>
    <row r="6198" spans="25:26" x14ac:dyDescent="0.25">
      <c r="Y6198" s="63">
        <v>48731</v>
      </c>
      <c r="Z6198" s="61">
        <f>_xll.qlYieldTSDiscount($U$35,Y6198,,Trigger)</f>
        <v>0.78986928514951626</v>
      </c>
    </row>
    <row r="6199" spans="25:26" x14ac:dyDescent="0.25">
      <c r="Y6199" s="63">
        <v>48732</v>
      </c>
      <c r="Z6199" s="61">
        <f>_xll.qlYieldTSDiscount($U$35,Y6199,,Trigger)</f>
        <v>0.78983435199581631</v>
      </c>
    </row>
    <row r="6200" spans="25:26" x14ac:dyDescent="0.25">
      <c r="Y6200" s="63">
        <v>48733</v>
      </c>
      <c r="Z6200" s="61">
        <f>_xll.qlYieldTSDiscount($U$35,Y6200,,Trigger)</f>
        <v>0.78979941639935425</v>
      </c>
    </row>
    <row r="6201" spans="25:26" x14ac:dyDescent="0.25">
      <c r="Y6201" s="63">
        <v>48734</v>
      </c>
      <c r="Z6201" s="61">
        <f>_xll.qlYieldTSDiscount($U$35,Y6201,,Trigger)</f>
        <v>0.78976447835773622</v>
      </c>
    </row>
    <row r="6202" spans="25:26" x14ac:dyDescent="0.25">
      <c r="Y6202" s="63">
        <v>48735</v>
      </c>
      <c r="Z6202" s="61">
        <f>_xll.qlYieldTSDiscount($U$35,Y6202,,Trigger)</f>
        <v>0.78972953786856903</v>
      </c>
    </row>
    <row r="6203" spans="25:26" x14ac:dyDescent="0.25">
      <c r="Y6203" s="63">
        <v>48736</v>
      </c>
      <c r="Z6203" s="61">
        <f>_xll.qlYieldTSDiscount($U$35,Y6203,,Trigger)</f>
        <v>0.78969459492945904</v>
      </c>
    </row>
    <row r="6204" spans="25:26" x14ac:dyDescent="0.25">
      <c r="Y6204" s="63">
        <v>48737</v>
      </c>
      <c r="Z6204" s="61">
        <f>_xll.qlYieldTSDiscount($U$35,Y6204,,Trigger)</f>
        <v>0.7896596495380126</v>
      </c>
    </row>
    <row r="6205" spans="25:26" x14ac:dyDescent="0.25">
      <c r="Y6205" s="63">
        <v>48738</v>
      </c>
      <c r="Z6205" s="61">
        <f>_xll.qlYieldTSDiscount($U$35,Y6205,,Trigger)</f>
        <v>0.78962470169183641</v>
      </c>
    </row>
    <row r="6206" spans="25:26" x14ac:dyDescent="0.25">
      <c r="Y6206" s="63">
        <v>48739</v>
      </c>
      <c r="Z6206" s="61">
        <f>_xll.qlYieldTSDiscount($U$35,Y6206,,Trigger)</f>
        <v>0.78958975138853682</v>
      </c>
    </row>
    <row r="6207" spans="25:26" x14ac:dyDescent="0.25">
      <c r="Y6207" s="63">
        <v>48740</v>
      </c>
      <c r="Z6207" s="61">
        <f>_xll.qlYieldTSDiscount($U$35,Y6207,,Trigger)</f>
        <v>0.78955479862572042</v>
      </c>
    </row>
    <row r="6208" spans="25:26" x14ac:dyDescent="0.25">
      <c r="Y6208" s="63">
        <v>48741</v>
      </c>
      <c r="Z6208" s="61">
        <f>_xll.qlYieldTSDiscount($U$35,Y6208,,Trigger)</f>
        <v>0.78951984340099357</v>
      </c>
    </row>
    <row r="6209" spans="25:26" x14ac:dyDescent="0.25">
      <c r="Y6209" s="63">
        <v>48742</v>
      </c>
      <c r="Z6209" s="61">
        <f>_xll.qlYieldTSDiscount($U$35,Y6209,,Trigger)</f>
        <v>0.78948488571196274</v>
      </c>
    </row>
    <row r="6210" spans="25:26" x14ac:dyDescent="0.25">
      <c r="Y6210" s="63">
        <v>48743</v>
      </c>
      <c r="Z6210" s="61">
        <f>_xll.qlYieldTSDiscount($U$35,Y6210,,Trigger)</f>
        <v>0.78944992555623461</v>
      </c>
    </row>
    <row r="6211" spans="25:26" x14ac:dyDescent="0.25">
      <c r="Y6211" s="63">
        <v>48744</v>
      </c>
      <c r="Z6211" s="61">
        <f>_xll.qlYieldTSDiscount($U$35,Y6211,,Trigger)</f>
        <v>0.78941496293141544</v>
      </c>
    </row>
    <row r="6212" spans="25:26" x14ac:dyDescent="0.25">
      <c r="Y6212" s="63">
        <v>48745</v>
      </c>
      <c r="Z6212" s="61">
        <f>_xll.qlYieldTSDiscount($U$35,Y6212,,Trigger)</f>
        <v>0.7893799978351117</v>
      </c>
    </row>
    <row r="6213" spans="25:26" x14ac:dyDescent="0.25">
      <c r="Y6213" s="63">
        <v>48746</v>
      </c>
      <c r="Z6213" s="61">
        <f>_xll.qlYieldTSDiscount($U$35,Y6213,,Trigger)</f>
        <v>0.78934503026493008</v>
      </c>
    </row>
    <row r="6214" spans="25:26" x14ac:dyDescent="0.25">
      <c r="Y6214" s="63">
        <v>48747</v>
      </c>
      <c r="Z6214" s="61">
        <f>_xll.qlYieldTSDiscount($U$35,Y6214,,Trigger)</f>
        <v>0.78931006021847694</v>
      </c>
    </row>
    <row r="6215" spans="25:26" x14ac:dyDescent="0.25">
      <c r="Y6215" s="63">
        <v>48748</v>
      </c>
      <c r="Z6215" s="61">
        <f>_xll.qlYieldTSDiscount($U$35,Y6215,,Trigger)</f>
        <v>0.78927508769335875</v>
      </c>
    </row>
    <row r="6216" spans="25:26" x14ac:dyDescent="0.25">
      <c r="Y6216" s="63">
        <v>48749</v>
      </c>
      <c r="Z6216" s="61">
        <f>_xll.qlYieldTSDiscount($U$35,Y6216,,Trigger)</f>
        <v>0.78924011268718197</v>
      </c>
    </row>
    <row r="6217" spans="25:26" x14ac:dyDescent="0.25">
      <c r="Y6217" s="63">
        <v>48750</v>
      </c>
      <c r="Z6217" s="61">
        <f>_xll.qlYieldTSDiscount($U$35,Y6217,,Trigger)</f>
        <v>0.78920513519755309</v>
      </c>
    </row>
    <row r="6218" spans="25:26" x14ac:dyDescent="0.25">
      <c r="Y6218" s="63">
        <v>48751</v>
      </c>
      <c r="Z6218" s="61">
        <f>_xll.qlYieldTSDiscount($U$35,Y6218,,Trigger)</f>
        <v>0.78917015522207867</v>
      </c>
    </row>
    <row r="6219" spans="25:26" x14ac:dyDescent="0.25">
      <c r="Y6219" s="63">
        <v>48752</v>
      </c>
      <c r="Z6219" s="61">
        <f>_xll.qlYieldTSDiscount($U$35,Y6219,,Trigger)</f>
        <v>0.78913517275836509</v>
      </c>
    </row>
    <row r="6220" spans="25:26" x14ac:dyDescent="0.25">
      <c r="Y6220" s="63">
        <v>48753</v>
      </c>
      <c r="Z6220" s="61">
        <f>_xll.qlYieldTSDiscount($U$35,Y6220,,Trigger)</f>
        <v>0.78910018780401892</v>
      </c>
    </row>
    <row r="6221" spans="25:26" x14ac:dyDescent="0.25">
      <c r="Y6221" s="63">
        <v>48754</v>
      </c>
      <c r="Z6221" s="61">
        <f>_xll.qlYieldTSDiscount($U$35,Y6221,,Trigger)</f>
        <v>0.78906520035664662</v>
      </c>
    </row>
    <row r="6222" spans="25:26" x14ac:dyDescent="0.25">
      <c r="Y6222" s="63">
        <v>48755</v>
      </c>
      <c r="Z6222" s="61">
        <f>_xll.qlYieldTSDiscount($U$35,Y6222,,Trigger)</f>
        <v>0.78903021041385457</v>
      </c>
    </row>
    <row r="6223" spans="25:26" x14ac:dyDescent="0.25">
      <c r="Y6223" s="63">
        <v>48756</v>
      </c>
      <c r="Z6223" s="61">
        <f>_xll.qlYieldTSDiscount($U$35,Y6223,,Trigger)</f>
        <v>0.78899521797324934</v>
      </c>
    </row>
    <row r="6224" spans="25:26" x14ac:dyDescent="0.25">
      <c r="Y6224" s="63">
        <v>48757</v>
      </c>
      <c r="Z6224" s="61">
        <f>_xll.qlYieldTSDiscount($U$35,Y6224,,Trigger)</f>
        <v>0.7889602230324374</v>
      </c>
    </row>
    <row r="6225" spans="25:26" x14ac:dyDescent="0.25">
      <c r="Y6225" s="63">
        <v>48758</v>
      </c>
      <c r="Z6225" s="61">
        <f>_xll.qlYieldTSDiscount($U$35,Y6225,,Trigger)</f>
        <v>0.78892522558902523</v>
      </c>
    </row>
    <row r="6226" spans="25:26" x14ac:dyDescent="0.25">
      <c r="Y6226" s="63">
        <v>48759</v>
      </c>
      <c r="Z6226" s="61">
        <f>_xll.qlYieldTSDiscount($U$35,Y6226,,Trigger)</f>
        <v>0.78889022564061939</v>
      </c>
    </row>
    <row r="6227" spans="25:26" x14ac:dyDescent="0.25">
      <c r="Y6227" s="63">
        <v>48760</v>
      </c>
      <c r="Z6227" s="61">
        <f>_xll.qlYieldTSDiscount($U$35,Y6227,,Trigger)</f>
        <v>0.78885522318482626</v>
      </c>
    </row>
    <row r="6228" spans="25:26" x14ac:dyDescent="0.25">
      <c r="Y6228" s="63">
        <v>48761</v>
      </c>
      <c r="Z6228" s="61">
        <f>_xll.qlYieldTSDiscount($U$35,Y6228,,Trigger)</f>
        <v>0.78882021821925219</v>
      </c>
    </row>
    <row r="6229" spans="25:26" x14ac:dyDescent="0.25">
      <c r="Y6229" s="63">
        <v>48762</v>
      </c>
      <c r="Z6229" s="61">
        <f>_xll.qlYieldTSDiscount($U$35,Y6229,,Trigger)</f>
        <v>0.78878521074150398</v>
      </c>
    </row>
    <row r="6230" spans="25:26" x14ac:dyDescent="0.25">
      <c r="Y6230" s="63">
        <v>48763</v>
      </c>
      <c r="Z6230" s="61">
        <f>_xll.qlYieldTSDiscount($U$35,Y6230,,Trigger)</f>
        <v>0.78875020074918778</v>
      </c>
    </row>
    <row r="6231" spans="25:26" x14ac:dyDescent="0.25">
      <c r="Y6231" s="63">
        <v>48764</v>
      </c>
      <c r="Z6231" s="61">
        <f>_xll.qlYieldTSDiscount($U$35,Y6231,,Trigger)</f>
        <v>0.78871518823991038</v>
      </c>
    </row>
    <row r="6232" spans="25:26" x14ac:dyDescent="0.25">
      <c r="Y6232" s="63">
        <v>48765</v>
      </c>
      <c r="Z6232" s="61">
        <f>_xll.qlYieldTSDiscount($U$35,Y6232,,Trigger)</f>
        <v>0.78868017321127803</v>
      </c>
    </row>
    <row r="6233" spans="25:26" x14ac:dyDescent="0.25">
      <c r="Y6233" s="63">
        <v>48766</v>
      </c>
      <c r="Z6233" s="61">
        <f>_xll.qlYieldTSDiscount($U$35,Y6233,,Trigger)</f>
        <v>0.78864515566089732</v>
      </c>
    </row>
    <row r="6234" spans="25:26" x14ac:dyDescent="0.25">
      <c r="Y6234" s="63">
        <v>48767</v>
      </c>
      <c r="Z6234" s="61">
        <f>_xll.qlYieldTSDiscount($U$35,Y6234,,Trigger)</f>
        <v>0.78861013558637472</v>
      </c>
    </row>
    <row r="6235" spans="25:26" x14ac:dyDescent="0.25">
      <c r="Y6235" s="63">
        <v>48768</v>
      </c>
      <c r="Z6235" s="61">
        <f>_xll.qlYieldTSDiscount($U$35,Y6235,,Trigger)</f>
        <v>0.78857511298531668</v>
      </c>
    </row>
    <row r="6236" spans="25:26" x14ac:dyDescent="0.25">
      <c r="Y6236" s="63">
        <v>48769</v>
      </c>
      <c r="Z6236" s="61">
        <f>_xll.qlYieldTSDiscount($U$35,Y6236,,Trigger)</f>
        <v>0.7885400878553297</v>
      </c>
    </row>
    <row r="6237" spans="25:26" x14ac:dyDescent="0.25">
      <c r="Y6237" s="63">
        <v>48770</v>
      </c>
      <c r="Z6237" s="61">
        <f>_xll.qlYieldTSDiscount($U$35,Y6237,,Trigger)</f>
        <v>0.78850506019402022</v>
      </c>
    </row>
    <row r="6238" spans="25:26" x14ac:dyDescent="0.25">
      <c r="Y6238" s="63">
        <v>48771</v>
      </c>
      <c r="Z6238" s="61">
        <f>_xll.qlYieldTSDiscount($U$35,Y6238,,Trigger)</f>
        <v>0.78847002999899474</v>
      </c>
    </row>
    <row r="6239" spans="25:26" x14ac:dyDescent="0.25">
      <c r="Y6239" s="63">
        <v>48772</v>
      </c>
      <c r="Z6239" s="61">
        <f>_xll.qlYieldTSDiscount($U$35,Y6239,,Trigger)</f>
        <v>0.78843499726785982</v>
      </c>
    </row>
    <row r="6240" spans="25:26" x14ac:dyDescent="0.25">
      <c r="Y6240" s="63">
        <v>48773</v>
      </c>
      <c r="Z6240" s="61">
        <f>_xll.qlYieldTSDiscount($U$35,Y6240,,Trigger)</f>
        <v>0.78839996199822193</v>
      </c>
    </row>
    <row r="6241" spans="25:26" x14ac:dyDescent="0.25">
      <c r="Y6241" s="63">
        <v>48774</v>
      </c>
      <c r="Z6241" s="61">
        <f>_xll.qlYieldTSDiscount($U$35,Y6241,,Trigger)</f>
        <v>0.78836492418768733</v>
      </c>
    </row>
    <row r="6242" spans="25:26" x14ac:dyDescent="0.25">
      <c r="Y6242" s="63">
        <v>48775</v>
      </c>
      <c r="Z6242" s="61">
        <f>_xll.qlYieldTSDiscount($U$35,Y6242,,Trigger)</f>
        <v>0.78832988383386282</v>
      </c>
    </row>
    <row r="6243" spans="25:26" x14ac:dyDescent="0.25">
      <c r="Y6243" s="63">
        <v>48776</v>
      </c>
      <c r="Z6243" s="61">
        <f>_xll.qlYieldTSDiscount($U$35,Y6243,,Trigger)</f>
        <v>0.78829484093435465</v>
      </c>
    </row>
    <row r="6244" spans="25:26" x14ac:dyDescent="0.25">
      <c r="Y6244" s="63">
        <v>48777</v>
      </c>
      <c r="Z6244" s="61">
        <f>_xll.qlYieldTSDiscount($U$35,Y6244,,Trigger)</f>
        <v>0.78825979548676939</v>
      </c>
    </row>
    <row r="6245" spans="25:26" x14ac:dyDescent="0.25">
      <c r="Y6245" s="63">
        <v>48778</v>
      </c>
      <c r="Z6245" s="61">
        <f>_xll.qlYieldTSDiscount($U$35,Y6245,,Trigger)</f>
        <v>0.78822474748871363</v>
      </c>
    </row>
    <row r="6246" spans="25:26" x14ac:dyDescent="0.25">
      <c r="Y6246" s="63">
        <v>48779</v>
      </c>
      <c r="Z6246" s="61">
        <f>_xll.qlYieldTSDiscount($U$35,Y6246,,Trigger)</f>
        <v>0.7881896969377935</v>
      </c>
    </row>
    <row r="6247" spans="25:26" x14ac:dyDescent="0.25">
      <c r="Y6247" s="63">
        <v>48780</v>
      </c>
      <c r="Z6247" s="61">
        <f>_xll.qlYieldTSDiscount($U$35,Y6247,,Trigger)</f>
        <v>0.78815464383161593</v>
      </c>
    </row>
    <row r="6248" spans="25:26" x14ac:dyDescent="0.25">
      <c r="Y6248" s="63">
        <v>48781</v>
      </c>
      <c r="Z6248" s="61">
        <f>_xll.qlYieldTSDiscount($U$35,Y6248,,Trigger)</f>
        <v>0.78811958816778704</v>
      </c>
    </row>
    <row r="6249" spans="25:26" x14ac:dyDescent="0.25">
      <c r="Y6249" s="63">
        <v>48782</v>
      </c>
      <c r="Z6249" s="61">
        <f>_xll.qlYieldTSDiscount($U$35,Y6249,,Trigger)</f>
        <v>0.78808452994391354</v>
      </c>
    </row>
    <row r="6250" spans="25:26" x14ac:dyDescent="0.25">
      <c r="Y6250" s="63">
        <v>48783</v>
      </c>
      <c r="Z6250" s="61">
        <f>_xll.qlYieldTSDiscount($U$35,Y6250,,Trigger)</f>
        <v>0.78804946915760177</v>
      </c>
    </row>
    <row r="6251" spans="25:26" x14ac:dyDescent="0.25">
      <c r="Y6251" s="63">
        <v>48784</v>
      </c>
      <c r="Z6251" s="61">
        <f>_xll.qlYieldTSDiscount($U$35,Y6251,,Trigger)</f>
        <v>0.78801440580645821</v>
      </c>
    </row>
    <row r="6252" spans="25:26" x14ac:dyDescent="0.25">
      <c r="Y6252" s="63">
        <v>48785</v>
      </c>
      <c r="Z6252" s="61">
        <f>_xll.qlYieldTSDiscount($U$35,Y6252,,Trigger)</f>
        <v>0.78797933988808955</v>
      </c>
    </row>
    <row r="6253" spans="25:26" x14ac:dyDescent="0.25">
      <c r="Y6253" s="63">
        <v>48786</v>
      </c>
      <c r="Z6253" s="61">
        <f>_xll.qlYieldTSDiscount($U$35,Y6253,,Trigger)</f>
        <v>0.78794427140010204</v>
      </c>
    </row>
    <row r="6254" spans="25:26" x14ac:dyDescent="0.25">
      <c r="Y6254" s="63">
        <v>48787</v>
      </c>
      <c r="Z6254" s="61">
        <f>_xll.qlYieldTSDiscount($U$35,Y6254,,Trigger)</f>
        <v>0.78790920034010214</v>
      </c>
    </row>
    <row r="6255" spans="25:26" x14ac:dyDescent="0.25">
      <c r="Y6255" s="63">
        <v>48788</v>
      </c>
      <c r="Z6255" s="61">
        <f>_xll.qlYieldTSDiscount($U$35,Y6255,,Trigger)</f>
        <v>0.78787412670569656</v>
      </c>
    </row>
    <row r="6256" spans="25:26" x14ac:dyDescent="0.25">
      <c r="Y6256" s="63">
        <v>48789</v>
      </c>
      <c r="Z6256" s="61">
        <f>_xll.qlYieldTSDiscount($U$35,Y6256,,Trigger)</f>
        <v>0.78783905049449166</v>
      </c>
    </row>
    <row r="6257" spans="25:26" x14ac:dyDescent="0.25">
      <c r="Y6257" s="63">
        <v>48790</v>
      </c>
      <c r="Z6257" s="61">
        <f>_xll.qlYieldTSDiscount($U$35,Y6257,,Trigger)</f>
        <v>0.78780397170409378</v>
      </c>
    </row>
    <row r="6258" spans="25:26" x14ac:dyDescent="0.25">
      <c r="Y6258" s="63">
        <v>48791</v>
      </c>
      <c r="Z6258" s="61">
        <f>_xll.qlYieldTSDiscount($U$35,Y6258,,Trigger)</f>
        <v>0.78776889033210962</v>
      </c>
    </row>
    <row r="6259" spans="25:26" x14ac:dyDescent="0.25">
      <c r="Y6259" s="63">
        <v>48792</v>
      </c>
      <c r="Z6259" s="61">
        <f>_xll.qlYieldTSDiscount($U$35,Y6259,,Trigger)</f>
        <v>0.78773380637614554</v>
      </c>
    </row>
    <row r="6260" spans="25:26" x14ac:dyDescent="0.25">
      <c r="Y6260" s="63">
        <v>48793</v>
      </c>
      <c r="Z6260" s="61">
        <f>_xll.qlYieldTSDiscount($U$35,Y6260,,Trigger)</f>
        <v>0.78769871983380801</v>
      </c>
    </row>
    <row r="6261" spans="25:26" x14ac:dyDescent="0.25">
      <c r="Y6261" s="63">
        <v>48794</v>
      </c>
      <c r="Z6261" s="61">
        <f>_xll.qlYieldTSDiscount($U$35,Y6261,,Trigger)</f>
        <v>0.78766363070270362</v>
      </c>
    </row>
    <row r="6262" spans="25:26" x14ac:dyDescent="0.25">
      <c r="Y6262" s="63">
        <v>48795</v>
      </c>
      <c r="Z6262" s="61">
        <f>_xll.qlYieldTSDiscount($U$35,Y6262,,Trigger)</f>
        <v>0.78762853898043872</v>
      </c>
    </row>
    <row r="6263" spans="25:26" x14ac:dyDescent="0.25">
      <c r="Y6263" s="63">
        <v>48796</v>
      </c>
      <c r="Z6263" s="61">
        <f>_xll.qlYieldTSDiscount($U$35,Y6263,,Trigger)</f>
        <v>0.78759344466461989</v>
      </c>
    </row>
    <row r="6264" spans="25:26" x14ac:dyDescent="0.25">
      <c r="Y6264" s="63">
        <v>48797</v>
      </c>
      <c r="Z6264" s="61">
        <f>_xll.qlYieldTSDiscount($U$35,Y6264,,Trigger)</f>
        <v>0.7875583477528536</v>
      </c>
    </row>
    <row r="6265" spans="25:26" x14ac:dyDescent="0.25">
      <c r="Y6265" s="63">
        <v>48798</v>
      </c>
      <c r="Z6265" s="61">
        <f>_xll.qlYieldTSDiscount($U$35,Y6265,,Trigger)</f>
        <v>0.78752324824274622</v>
      </c>
    </row>
    <row r="6266" spans="25:26" x14ac:dyDescent="0.25">
      <c r="Y6266" s="63">
        <v>48799</v>
      </c>
      <c r="Z6266" s="61">
        <f>_xll.qlYieldTSDiscount($U$35,Y6266,,Trigger)</f>
        <v>0.78748814613190443</v>
      </c>
    </row>
    <row r="6267" spans="25:26" x14ac:dyDescent="0.25">
      <c r="Y6267" s="63">
        <v>48800</v>
      </c>
      <c r="Z6267" s="61">
        <f>_xll.qlYieldTSDiscount($U$35,Y6267,,Trigger)</f>
        <v>0.78745304141793449</v>
      </c>
    </row>
    <row r="6268" spans="25:26" x14ac:dyDescent="0.25">
      <c r="Y6268" s="63">
        <v>48801</v>
      </c>
      <c r="Z6268" s="61">
        <f>_xll.qlYieldTSDiscount($U$35,Y6268,,Trigger)</f>
        <v>0.78741793409844307</v>
      </c>
    </row>
    <row r="6269" spans="25:26" x14ac:dyDescent="0.25">
      <c r="Y6269" s="63">
        <v>48802</v>
      </c>
      <c r="Z6269" s="61">
        <f>_xll.qlYieldTSDiscount($U$35,Y6269,,Trigger)</f>
        <v>0.78738282417103655</v>
      </c>
    </row>
    <row r="6270" spans="25:26" x14ac:dyDescent="0.25">
      <c r="Y6270" s="63">
        <v>48803</v>
      </c>
      <c r="Z6270" s="61">
        <f>_xll.qlYieldTSDiscount($U$35,Y6270,,Trigger)</f>
        <v>0.78734771163332129</v>
      </c>
    </row>
    <row r="6271" spans="25:26" x14ac:dyDescent="0.25">
      <c r="Y6271" s="63">
        <v>48804</v>
      </c>
      <c r="Z6271" s="61">
        <f>_xll.qlYieldTSDiscount($U$35,Y6271,,Trigger)</f>
        <v>0.78731259648290408</v>
      </c>
    </row>
    <row r="6272" spans="25:26" x14ac:dyDescent="0.25">
      <c r="Y6272" s="63">
        <v>48805</v>
      </c>
      <c r="Z6272" s="61">
        <f>_xll.qlYieldTSDiscount($U$35,Y6272,,Trigger)</f>
        <v>0.78727747871739118</v>
      </c>
    </row>
    <row r="6273" spans="25:26" x14ac:dyDescent="0.25">
      <c r="Y6273" s="63">
        <v>48806</v>
      </c>
      <c r="Z6273" s="61">
        <f>_xll.qlYieldTSDiscount($U$35,Y6273,,Trigger)</f>
        <v>0.78724235833438905</v>
      </c>
    </row>
    <row r="6274" spans="25:26" x14ac:dyDescent="0.25">
      <c r="Y6274" s="63">
        <v>48807</v>
      </c>
      <c r="Z6274" s="61">
        <f>_xll.qlYieldTSDiscount($U$35,Y6274,,Trigger)</f>
        <v>0.78720723533150427</v>
      </c>
    </row>
    <row r="6275" spans="25:26" x14ac:dyDescent="0.25">
      <c r="Y6275" s="63">
        <v>48808</v>
      </c>
      <c r="Z6275" s="61">
        <f>_xll.qlYieldTSDiscount($U$35,Y6275,,Trigger)</f>
        <v>0.78717210970634333</v>
      </c>
    </row>
    <row r="6276" spans="25:26" x14ac:dyDescent="0.25">
      <c r="Y6276" s="63">
        <v>48809</v>
      </c>
      <c r="Z6276" s="61">
        <f>_xll.qlYieldTSDiscount($U$35,Y6276,,Trigger)</f>
        <v>0.78713698145651256</v>
      </c>
    </row>
    <row r="6277" spans="25:26" x14ac:dyDescent="0.25">
      <c r="Y6277" s="63">
        <v>48810</v>
      </c>
      <c r="Z6277" s="61">
        <f>_xll.qlYieldTSDiscount($U$35,Y6277,,Trigger)</f>
        <v>0.78710185057961868</v>
      </c>
    </row>
    <row r="6278" spans="25:26" x14ac:dyDescent="0.25">
      <c r="Y6278" s="63">
        <v>48811</v>
      </c>
      <c r="Z6278" s="61">
        <f>_xll.qlYieldTSDiscount($U$35,Y6278,,Trigger)</f>
        <v>0.78706671707326792</v>
      </c>
    </row>
    <row r="6279" spans="25:26" x14ac:dyDescent="0.25">
      <c r="Y6279" s="63">
        <v>48812</v>
      </c>
      <c r="Z6279" s="61">
        <f>_xll.qlYieldTSDiscount($U$35,Y6279,,Trigger)</f>
        <v>0.78703158093506698</v>
      </c>
    </row>
    <row r="6280" spans="25:26" x14ac:dyDescent="0.25">
      <c r="Y6280" s="63">
        <v>48813</v>
      </c>
      <c r="Z6280" s="61">
        <f>_xll.qlYieldTSDiscount($U$35,Y6280,,Trigger)</f>
        <v>0.78699644216262232</v>
      </c>
    </row>
    <row r="6281" spans="25:26" x14ac:dyDescent="0.25">
      <c r="Y6281" s="63">
        <v>48814</v>
      </c>
      <c r="Z6281" s="61">
        <f>_xll.qlYieldTSDiscount($U$35,Y6281,,Trigger)</f>
        <v>0.7869613007535402</v>
      </c>
    </row>
    <row r="6282" spans="25:26" x14ac:dyDescent="0.25">
      <c r="Y6282" s="63">
        <v>48815</v>
      </c>
      <c r="Z6282" s="61">
        <f>_xll.qlYieldTSDiscount($U$35,Y6282,,Trigger)</f>
        <v>0.78692615670542732</v>
      </c>
    </row>
    <row r="6283" spans="25:26" x14ac:dyDescent="0.25">
      <c r="Y6283" s="63">
        <v>48816</v>
      </c>
      <c r="Z6283" s="61">
        <f>_xll.qlYieldTSDiscount($U$35,Y6283,,Trigger)</f>
        <v>0.78689101001589001</v>
      </c>
    </row>
    <row r="6284" spans="25:26" x14ac:dyDescent="0.25">
      <c r="Y6284" s="63">
        <v>48817</v>
      </c>
      <c r="Z6284" s="61">
        <f>_xll.qlYieldTSDiscount($U$35,Y6284,,Trigger)</f>
        <v>0.78685586068253488</v>
      </c>
    </row>
    <row r="6285" spans="25:26" x14ac:dyDescent="0.25">
      <c r="Y6285" s="63">
        <v>48818</v>
      </c>
      <c r="Z6285" s="61">
        <f>_xll.qlYieldTSDiscount($U$35,Y6285,,Trigger)</f>
        <v>0.78682070870296827</v>
      </c>
    </row>
    <row r="6286" spans="25:26" x14ac:dyDescent="0.25">
      <c r="Y6286" s="63">
        <v>48819</v>
      </c>
      <c r="Z6286" s="61">
        <f>_xll.qlYieldTSDiscount($U$35,Y6286,,Trigger)</f>
        <v>0.78678555407479678</v>
      </c>
    </row>
    <row r="6287" spans="25:26" x14ac:dyDescent="0.25">
      <c r="Y6287" s="63">
        <v>48820</v>
      </c>
      <c r="Z6287" s="61">
        <f>_xll.qlYieldTSDiscount($U$35,Y6287,,Trigger)</f>
        <v>0.78675039679562697</v>
      </c>
    </row>
    <row r="6288" spans="25:26" x14ac:dyDescent="0.25">
      <c r="Y6288" s="63">
        <v>48821</v>
      </c>
      <c r="Z6288" s="61">
        <f>_xll.qlYieldTSDiscount($U$35,Y6288,,Trigger)</f>
        <v>0.7867152368630651</v>
      </c>
    </row>
    <row r="6289" spans="25:26" x14ac:dyDescent="0.25">
      <c r="Y6289" s="63">
        <v>48822</v>
      </c>
      <c r="Z6289" s="61">
        <f>_xll.qlYieldTSDiscount($U$35,Y6289,,Trigger)</f>
        <v>0.78668007427471776</v>
      </c>
    </row>
    <row r="6290" spans="25:26" x14ac:dyDescent="0.25">
      <c r="Y6290" s="63">
        <v>48823</v>
      </c>
      <c r="Z6290" s="61">
        <f>_xll.qlYieldTSDiscount($U$35,Y6290,,Trigger)</f>
        <v>0.78664490902819151</v>
      </c>
    </row>
    <row r="6291" spans="25:26" x14ac:dyDescent="0.25">
      <c r="Y6291" s="63">
        <v>48824</v>
      </c>
      <c r="Z6291" s="61">
        <f>_xll.qlYieldTSDiscount($U$35,Y6291,,Trigger)</f>
        <v>0.78660974112109261</v>
      </c>
    </row>
    <row r="6292" spans="25:26" x14ac:dyDescent="0.25">
      <c r="Y6292" s="63">
        <v>48825</v>
      </c>
      <c r="Z6292" s="61">
        <f>_xll.qlYieldTSDiscount($U$35,Y6292,,Trigger)</f>
        <v>0.78657457055102775</v>
      </c>
    </row>
    <row r="6293" spans="25:26" x14ac:dyDescent="0.25">
      <c r="Y6293" s="63">
        <v>48826</v>
      </c>
      <c r="Z6293" s="61">
        <f>_xll.qlYieldTSDiscount($U$35,Y6293,,Trigger)</f>
        <v>0.78653939731560341</v>
      </c>
    </row>
    <row r="6294" spans="25:26" x14ac:dyDescent="0.25">
      <c r="Y6294" s="63">
        <v>48827</v>
      </c>
      <c r="Z6294" s="61">
        <f>_xll.qlYieldTSDiscount($U$35,Y6294,,Trigger)</f>
        <v>0.78650422141242593</v>
      </c>
    </row>
    <row r="6295" spans="25:26" x14ac:dyDescent="0.25">
      <c r="Y6295" s="63">
        <v>48828</v>
      </c>
      <c r="Z6295" s="61">
        <f>_xll.qlYieldTSDiscount($U$35,Y6295,,Trigger)</f>
        <v>0.78646904283910191</v>
      </c>
    </row>
    <row r="6296" spans="25:26" x14ac:dyDescent="0.25">
      <c r="Y6296" s="63">
        <v>48829</v>
      </c>
      <c r="Z6296" s="61">
        <f>_xll.qlYieldTSDiscount($U$35,Y6296,,Trigger)</f>
        <v>0.78643386159323769</v>
      </c>
    </row>
    <row r="6297" spans="25:26" x14ac:dyDescent="0.25">
      <c r="Y6297" s="63">
        <v>48830</v>
      </c>
      <c r="Z6297" s="61">
        <f>_xll.qlYieldTSDiscount($U$35,Y6297,,Trigger)</f>
        <v>0.78639867767243987</v>
      </c>
    </row>
    <row r="6298" spans="25:26" x14ac:dyDescent="0.25">
      <c r="Y6298" s="63">
        <v>48831</v>
      </c>
      <c r="Z6298" s="61">
        <f>_xll.qlYieldTSDiscount($U$35,Y6298,,Trigger)</f>
        <v>0.78636349107431491</v>
      </c>
    </row>
    <row r="6299" spans="25:26" x14ac:dyDescent="0.25">
      <c r="Y6299" s="63">
        <v>48832</v>
      </c>
      <c r="Z6299" s="61">
        <f>_xll.qlYieldTSDiscount($U$35,Y6299,,Trigger)</f>
        <v>0.78632830179646929</v>
      </c>
    </row>
    <row r="6300" spans="25:26" x14ac:dyDescent="0.25">
      <c r="Y6300" s="63">
        <v>48833</v>
      </c>
      <c r="Z6300" s="61">
        <f>_xll.qlYieldTSDiscount($U$35,Y6300,,Trigger)</f>
        <v>0.78629310983650957</v>
      </c>
    </row>
    <row r="6301" spans="25:26" x14ac:dyDescent="0.25">
      <c r="Y6301" s="63">
        <v>48834</v>
      </c>
      <c r="Z6301" s="61">
        <f>_xll.qlYieldTSDiscount($U$35,Y6301,,Trigger)</f>
        <v>0.78625791519204202</v>
      </c>
    </row>
    <row r="6302" spans="25:26" x14ac:dyDescent="0.25">
      <c r="Y6302" s="63">
        <v>48835</v>
      </c>
      <c r="Z6302" s="61">
        <f>_xll.qlYieldTSDiscount($U$35,Y6302,,Trigger)</f>
        <v>0.78622271786067333</v>
      </c>
    </row>
    <row r="6303" spans="25:26" x14ac:dyDescent="0.25">
      <c r="Y6303" s="63">
        <v>48836</v>
      </c>
      <c r="Z6303" s="61">
        <f>_xll.qlYieldTSDiscount($U$35,Y6303,,Trigger)</f>
        <v>0.78618751784000984</v>
      </c>
    </row>
    <row r="6304" spans="25:26" x14ac:dyDescent="0.25">
      <c r="Y6304" s="63">
        <v>48837</v>
      </c>
      <c r="Z6304" s="61">
        <f>_xll.qlYieldTSDiscount($U$35,Y6304,,Trigger)</f>
        <v>0.78615231512765815</v>
      </c>
    </row>
    <row r="6305" spans="25:26" x14ac:dyDescent="0.25">
      <c r="Y6305" s="63">
        <v>48838</v>
      </c>
      <c r="Z6305" s="61">
        <f>_xll.qlYieldTSDiscount($U$35,Y6305,,Trigger)</f>
        <v>0.78611710972122462</v>
      </c>
    </row>
    <row r="6306" spans="25:26" x14ac:dyDescent="0.25">
      <c r="Y6306" s="63">
        <v>48839</v>
      </c>
      <c r="Z6306" s="61">
        <f>_xll.qlYieldTSDiscount($U$35,Y6306,,Trigger)</f>
        <v>0.78608190161831581</v>
      </c>
    </row>
    <row r="6307" spans="25:26" x14ac:dyDescent="0.25">
      <c r="Y6307" s="63">
        <v>48840</v>
      </c>
      <c r="Z6307" s="61">
        <f>_xll.qlYieldTSDiscount($U$35,Y6307,,Trigger)</f>
        <v>0.78604669081653811</v>
      </c>
    </row>
    <row r="6308" spans="25:26" x14ac:dyDescent="0.25">
      <c r="Y6308" s="63">
        <v>48841</v>
      </c>
      <c r="Z6308" s="61">
        <f>_xll.qlYieldTSDiscount($U$35,Y6308,,Trigger)</f>
        <v>0.78601147731349819</v>
      </c>
    </row>
    <row r="6309" spans="25:26" x14ac:dyDescent="0.25">
      <c r="Y6309" s="63">
        <v>48842</v>
      </c>
      <c r="Z6309" s="61">
        <f>_xll.qlYieldTSDiscount($U$35,Y6309,,Trigger)</f>
        <v>0.78597626110680241</v>
      </c>
    </row>
    <row r="6310" spans="25:26" x14ac:dyDescent="0.25">
      <c r="Y6310" s="63">
        <v>48843</v>
      </c>
      <c r="Z6310" s="61">
        <f>_xll.qlYieldTSDiscount($U$35,Y6310,,Trigger)</f>
        <v>0.78594104219405714</v>
      </c>
    </row>
    <row r="6311" spans="25:26" x14ac:dyDescent="0.25">
      <c r="Y6311" s="63">
        <v>48844</v>
      </c>
      <c r="Z6311" s="61">
        <f>_xll.qlYieldTSDiscount($U$35,Y6311,,Trigger)</f>
        <v>0.78590582057286895</v>
      </c>
    </row>
    <row r="6312" spans="25:26" x14ac:dyDescent="0.25">
      <c r="Y6312" s="63">
        <v>48845</v>
      </c>
      <c r="Z6312" s="61">
        <f>_xll.qlYieldTSDiscount($U$35,Y6312,,Trigger)</f>
        <v>0.78587059624084443</v>
      </c>
    </row>
    <row r="6313" spans="25:26" x14ac:dyDescent="0.25">
      <c r="Y6313" s="63">
        <v>48846</v>
      </c>
      <c r="Z6313" s="61">
        <f>_xll.qlYieldTSDiscount($U$35,Y6313,,Trigger)</f>
        <v>0.78583536919558994</v>
      </c>
    </row>
    <row r="6314" spans="25:26" x14ac:dyDescent="0.25">
      <c r="Y6314" s="63">
        <v>48847</v>
      </c>
      <c r="Z6314" s="61">
        <f>_xll.qlYieldTSDiscount($U$35,Y6314,,Trigger)</f>
        <v>0.78580013943471205</v>
      </c>
    </row>
    <row r="6315" spans="25:26" x14ac:dyDescent="0.25">
      <c r="Y6315" s="63">
        <v>48848</v>
      </c>
      <c r="Z6315" s="61">
        <f>_xll.qlYieldTSDiscount($U$35,Y6315,,Trigger)</f>
        <v>0.78576490695581713</v>
      </c>
    </row>
    <row r="6316" spans="25:26" x14ac:dyDescent="0.25">
      <c r="Y6316" s="63">
        <v>48849</v>
      </c>
      <c r="Z6316" s="61">
        <f>_xll.qlYieldTSDiscount($U$35,Y6316,,Trigger)</f>
        <v>0.78572967175651176</v>
      </c>
    </row>
    <row r="6317" spans="25:26" x14ac:dyDescent="0.25">
      <c r="Y6317" s="63">
        <v>48850</v>
      </c>
      <c r="Z6317" s="61">
        <f>_xll.qlYieldTSDiscount($U$35,Y6317,,Trigger)</f>
        <v>0.78569443383440241</v>
      </c>
    </row>
    <row r="6318" spans="25:26" x14ac:dyDescent="0.25">
      <c r="Y6318" s="63">
        <v>48851</v>
      </c>
      <c r="Z6318" s="61">
        <f>_xll.qlYieldTSDiscount($U$35,Y6318,,Trigger)</f>
        <v>0.78565919318709532</v>
      </c>
    </row>
    <row r="6319" spans="25:26" x14ac:dyDescent="0.25">
      <c r="Y6319" s="63">
        <v>48852</v>
      </c>
      <c r="Z6319" s="61">
        <f>_xll.qlYieldTSDiscount($U$35,Y6319,,Trigger)</f>
        <v>0.78562394981219741</v>
      </c>
    </row>
    <row r="6320" spans="25:26" x14ac:dyDescent="0.25">
      <c r="Y6320" s="63">
        <v>48853</v>
      </c>
      <c r="Z6320" s="61">
        <f>_xll.qlYieldTSDiscount($U$35,Y6320,,Trigger)</f>
        <v>0.78558870370731482</v>
      </c>
    </row>
    <row r="6321" spans="25:26" x14ac:dyDescent="0.25">
      <c r="Y6321" s="63">
        <v>48854</v>
      </c>
      <c r="Z6321" s="61">
        <f>_xll.qlYieldTSDiscount($U$35,Y6321,,Trigger)</f>
        <v>0.78555345487005412</v>
      </c>
    </row>
    <row r="6322" spans="25:26" x14ac:dyDescent="0.25">
      <c r="Y6322" s="63">
        <v>48855</v>
      </c>
      <c r="Z6322" s="61">
        <f>_xll.qlYieldTSDiscount($U$35,Y6322,,Trigger)</f>
        <v>0.78551820329802191</v>
      </c>
    </row>
    <row r="6323" spans="25:26" x14ac:dyDescent="0.25">
      <c r="Y6323" s="63">
        <v>48856</v>
      </c>
      <c r="Z6323" s="61">
        <f>_xll.qlYieldTSDiscount($U$35,Y6323,,Trigger)</f>
        <v>0.78548294898882443</v>
      </c>
    </row>
    <row r="6324" spans="25:26" x14ac:dyDescent="0.25">
      <c r="Y6324" s="63">
        <v>48857</v>
      </c>
      <c r="Z6324" s="61">
        <f>_xll.qlYieldTSDiscount($U$35,Y6324,,Trigger)</f>
        <v>0.78544769194006836</v>
      </c>
    </row>
    <row r="6325" spans="25:26" x14ac:dyDescent="0.25">
      <c r="Y6325" s="63">
        <v>48858</v>
      </c>
      <c r="Z6325" s="61">
        <f>_xll.qlYieldTSDiscount($U$35,Y6325,,Trigger)</f>
        <v>0.78541243214936018</v>
      </c>
    </row>
    <row r="6326" spans="25:26" x14ac:dyDescent="0.25">
      <c r="Y6326" s="63">
        <v>48859</v>
      </c>
      <c r="Z6326" s="61">
        <f>_xll.qlYieldTSDiscount($U$35,Y6326,,Trigger)</f>
        <v>0.78537716961430615</v>
      </c>
    </row>
    <row r="6327" spans="25:26" x14ac:dyDescent="0.25">
      <c r="Y6327" s="63">
        <v>48860</v>
      </c>
      <c r="Z6327" s="61">
        <f>_xll.qlYieldTSDiscount($U$35,Y6327,,Trigger)</f>
        <v>0.78534190433251305</v>
      </c>
    </row>
    <row r="6328" spans="25:26" x14ac:dyDescent="0.25">
      <c r="Y6328" s="63">
        <v>48861</v>
      </c>
      <c r="Z6328" s="61">
        <f>_xll.qlYieldTSDiscount($U$35,Y6328,,Trigger)</f>
        <v>0.78530663630158715</v>
      </c>
    </row>
    <row r="6329" spans="25:26" x14ac:dyDescent="0.25">
      <c r="Y6329" s="63">
        <v>48862</v>
      </c>
      <c r="Z6329" s="61">
        <f>_xll.qlYieldTSDiscount($U$35,Y6329,,Trigger)</f>
        <v>0.78527136551913512</v>
      </c>
    </row>
    <row r="6330" spans="25:26" x14ac:dyDescent="0.25">
      <c r="Y6330" s="63">
        <v>48863</v>
      </c>
      <c r="Z6330" s="61">
        <f>_xll.qlYieldTSDiscount($U$35,Y6330,,Trigger)</f>
        <v>0.78523609198276323</v>
      </c>
    </row>
    <row r="6331" spans="25:26" x14ac:dyDescent="0.25">
      <c r="Y6331" s="63">
        <v>48864</v>
      </c>
      <c r="Z6331" s="61">
        <f>_xll.qlYieldTSDiscount($U$35,Y6331,,Trigger)</f>
        <v>0.78520081569007805</v>
      </c>
    </row>
    <row r="6332" spans="25:26" x14ac:dyDescent="0.25">
      <c r="Y6332" s="63">
        <v>48865</v>
      </c>
      <c r="Z6332" s="61">
        <f>_xll.qlYieldTSDiscount($U$35,Y6332,,Trigger)</f>
        <v>0.78516553663868605</v>
      </c>
    </row>
    <row r="6333" spans="25:26" x14ac:dyDescent="0.25">
      <c r="Y6333" s="63">
        <v>48866</v>
      </c>
      <c r="Z6333" s="61">
        <f>_xll.qlYieldTSDiscount($U$35,Y6333,,Trigger)</f>
        <v>0.78513025482619381</v>
      </c>
    </row>
    <row r="6334" spans="25:26" x14ac:dyDescent="0.25">
      <c r="Y6334" s="63">
        <v>48867</v>
      </c>
      <c r="Z6334" s="61">
        <f>_xll.qlYieldTSDiscount($U$35,Y6334,,Trigger)</f>
        <v>0.78509497025020769</v>
      </c>
    </row>
    <row r="6335" spans="25:26" x14ac:dyDescent="0.25">
      <c r="Y6335" s="63">
        <v>48868</v>
      </c>
      <c r="Z6335" s="61">
        <f>_xll.qlYieldTSDiscount($U$35,Y6335,,Trigger)</f>
        <v>0.78505968290833417</v>
      </c>
    </row>
    <row r="6336" spans="25:26" x14ac:dyDescent="0.25">
      <c r="Y6336" s="63">
        <v>48869</v>
      </c>
      <c r="Z6336" s="61">
        <f>_xll.qlYieldTSDiscount($U$35,Y6336,,Trigger)</f>
        <v>0.7850243927981797</v>
      </c>
    </row>
    <row r="6337" spans="25:26" x14ac:dyDescent="0.25">
      <c r="Y6337" s="63">
        <v>48870</v>
      </c>
      <c r="Z6337" s="61">
        <f>_xll.qlYieldTSDiscount($U$35,Y6337,,Trigger)</f>
        <v>0.784989099917351</v>
      </c>
    </row>
    <row r="6338" spans="25:26" x14ac:dyDescent="0.25">
      <c r="Y6338" s="63">
        <v>48871</v>
      </c>
      <c r="Z6338" s="61">
        <f>_xll.qlYieldTSDiscount($U$35,Y6338,,Trigger)</f>
        <v>0.78495380426345429</v>
      </c>
    </row>
    <row r="6339" spans="25:26" x14ac:dyDescent="0.25">
      <c r="Y6339" s="63">
        <v>48872</v>
      </c>
      <c r="Z6339" s="61">
        <f>_xll.qlYieldTSDiscount($U$35,Y6339,,Trigger)</f>
        <v>0.78491850583409606</v>
      </c>
    </row>
    <row r="6340" spans="25:26" x14ac:dyDescent="0.25">
      <c r="Y6340" s="63">
        <v>48873</v>
      </c>
      <c r="Z6340" s="61">
        <f>_xll.qlYieldTSDiscount($U$35,Y6340,,Trigger)</f>
        <v>0.78488320462688299</v>
      </c>
    </row>
    <row r="6341" spans="25:26" x14ac:dyDescent="0.25">
      <c r="Y6341" s="63">
        <v>48874</v>
      </c>
      <c r="Z6341" s="61">
        <f>_xll.qlYieldTSDiscount($U$35,Y6341,,Trigger)</f>
        <v>0.78484790063942134</v>
      </c>
    </row>
    <row r="6342" spans="25:26" x14ac:dyDescent="0.25">
      <c r="Y6342" s="63">
        <v>48875</v>
      </c>
      <c r="Z6342" s="61">
        <f>_xll.qlYieldTSDiscount($U$35,Y6342,,Trigger)</f>
        <v>0.78481259386931779</v>
      </c>
    </row>
    <row r="6343" spans="25:26" x14ac:dyDescent="0.25">
      <c r="Y6343" s="63">
        <v>48876</v>
      </c>
      <c r="Z6343" s="61">
        <f>_xll.qlYieldTSDiscount($U$35,Y6343,,Trigger)</f>
        <v>0.7847772843141787</v>
      </c>
    </row>
    <row r="6344" spans="25:26" x14ac:dyDescent="0.25">
      <c r="Y6344" s="63">
        <v>48877</v>
      </c>
      <c r="Z6344" s="61">
        <f>_xll.qlYieldTSDiscount($U$35,Y6344,,Trigger)</f>
        <v>0.78474197197161055</v>
      </c>
    </row>
    <row r="6345" spans="25:26" x14ac:dyDescent="0.25">
      <c r="Y6345" s="63">
        <v>48878</v>
      </c>
      <c r="Z6345" s="61">
        <f>_xll.qlYieldTSDiscount($U$35,Y6345,,Trigger)</f>
        <v>0.78470665683921981</v>
      </c>
    </row>
    <row r="6346" spans="25:26" x14ac:dyDescent="0.25">
      <c r="Y6346" s="63">
        <v>48879</v>
      </c>
      <c r="Z6346" s="61">
        <f>_xll.qlYieldTSDiscount($U$35,Y6346,,Trigger)</f>
        <v>0.78467133891461305</v>
      </c>
    </row>
    <row r="6347" spans="25:26" x14ac:dyDescent="0.25">
      <c r="Y6347" s="63">
        <v>48880</v>
      </c>
      <c r="Z6347" s="61">
        <f>_xll.qlYieldTSDiscount($U$35,Y6347,,Trigger)</f>
        <v>0.78463601819539663</v>
      </c>
    </row>
    <row r="6348" spans="25:26" x14ac:dyDescent="0.25">
      <c r="Y6348" s="63">
        <v>48881</v>
      </c>
      <c r="Z6348" s="61">
        <f>_xll.qlYieldTSDiscount($U$35,Y6348,,Trigger)</f>
        <v>0.78460069467917715</v>
      </c>
    </row>
    <row r="6349" spans="25:26" x14ac:dyDescent="0.25">
      <c r="Y6349" s="63">
        <v>48882</v>
      </c>
      <c r="Z6349" s="61">
        <f>_xll.qlYieldTSDiscount($U$35,Y6349,,Trigger)</f>
        <v>0.78456536836356094</v>
      </c>
    </row>
    <row r="6350" spans="25:26" x14ac:dyDescent="0.25">
      <c r="Y6350" s="63">
        <v>48883</v>
      </c>
      <c r="Z6350" s="61">
        <f>_xll.qlYieldTSDiscount($U$35,Y6350,,Trigger)</f>
        <v>0.78453003924615472</v>
      </c>
    </row>
    <row r="6351" spans="25:26" x14ac:dyDescent="0.25">
      <c r="Y6351" s="63">
        <v>48884</v>
      </c>
      <c r="Z6351" s="61">
        <f>_xll.qlYieldTSDiscount($U$35,Y6351,,Trigger)</f>
        <v>0.78449470732456472</v>
      </c>
    </row>
    <row r="6352" spans="25:26" x14ac:dyDescent="0.25">
      <c r="Y6352" s="63">
        <v>48885</v>
      </c>
      <c r="Z6352" s="61">
        <f>_xll.qlYieldTSDiscount($U$35,Y6352,,Trigger)</f>
        <v>0.78445937259639753</v>
      </c>
    </row>
    <row r="6353" spans="25:26" x14ac:dyDescent="0.25">
      <c r="Y6353" s="63">
        <v>48886</v>
      </c>
      <c r="Z6353" s="61">
        <f>_xll.qlYieldTSDiscount($U$35,Y6353,,Trigger)</f>
        <v>0.78442403505925973</v>
      </c>
    </row>
    <row r="6354" spans="25:26" x14ac:dyDescent="0.25">
      <c r="Y6354" s="63">
        <v>48887</v>
      </c>
      <c r="Z6354" s="61">
        <f>_xll.qlYieldTSDiscount($U$35,Y6354,,Trigger)</f>
        <v>0.78438869471075767</v>
      </c>
    </row>
    <row r="6355" spans="25:26" x14ac:dyDescent="0.25">
      <c r="Y6355" s="63">
        <v>48888</v>
      </c>
      <c r="Z6355" s="61">
        <f>_xll.qlYieldTSDiscount($U$35,Y6355,,Trigger)</f>
        <v>0.78435335154849772</v>
      </c>
    </row>
    <row r="6356" spans="25:26" x14ac:dyDescent="0.25">
      <c r="Y6356" s="63">
        <v>48889</v>
      </c>
      <c r="Z6356" s="61">
        <f>_xll.qlYieldTSDiscount($U$35,Y6356,,Trigger)</f>
        <v>0.78431800557008668</v>
      </c>
    </row>
    <row r="6357" spans="25:26" x14ac:dyDescent="0.25">
      <c r="Y6357" s="63">
        <v>48890</v>
      </c>
      <c r="Z6357" s="61">
        <f>_xll.qlYieldTSDiscount($U$35,Y6357,,Trigger)</f>
        <v>0.78428265677313069</v>
      </c>
    </row>
    <row r="6358" spans="25:26" x14ac:dyDescent="0.25">
      <c r="Y6358" s="63">
        <v>48891</v>
      </c>
      <c r="Z6358" s="61">
        <f>_xll.qlYieldTSDiscount($U$35,Y6358,,Trigger)</f>
        <v>0.78424730515523644</v>
      </c>
    </row>
    <row r="6359" spans="25:26" x14ac:dyDescent="0.25">
      <c r="Y6359" s="63">
        <v>48892</v>
      </c>
      <c r="Z6359" s="61">
        <f>_xll.qlYieldTSDiscount($U$35,Y6359,,Trigger)</f>
        <v>0.7842119507140104</v>
      </c>
    </row>
    <row r="6360" spans="25:26" x14ac:dyDescent="0.25">
      <c r="Y6360" s="63">
        <v>48893</v>
      </c>
      <c r="Z6360" s="61">
        <f>_xll.qlYieldTSDiscount($U$35,Y6360,,Trigger)</f>
        <v>0.78417659344705903</v>
      </c>
    </row>
    <row r="6361" spans="25:26" x14ac:dyDescent="0.25">
      <c r="Y6361" s="63">
        <v>48894</v>
      </c>
      <c r="Z6361" s="61">
        <f>_xll.qlYieldTSDiscount($U$35,Y6361,,Trigger)</f>
        <v>0.78414123335198882</v>
      </c>
    </row>
    <row r="6362" spans="25:26" x14ac:dyDescent="0.25">
      <c r="Y6362" s="63">
        <v>48895</v>
      </c>
      <c r="Z6362" s="61">
        <f>_xll.qlYieldTSDiscount($U$35,Y6362,,Trigger)</f>
        <v>0.78410587042640612</v>
      </c>
    </row>
    <row r="6363" spans="25:26" x14ac:dyDescent="0.25">
      <c r="Y6363" s="63">
        <v>48896</v>
      </c>
      <c r="Z6363" s="61">
        <f>_xll.qlYieldTSDiscount($U$35,Y6363,,Trigger)</f>
        <v>0.7840705046679175</v>
      </c>
    </row>
    <row r="6364" spans="25:26" x14ac:dyDescent="0.25">
      <c r="Y6364" s="63">
        <v>48897</v>
      </c>
      <c r="Z6364" s="61">
        <f>_xll.qlYieldTSDiscount($U$35,Y6364,,Trigger)</f>
        <v>0.78403513607412956</v>
      </c>
    </row>
    <row r="6365" spans="25:26" x14ac:dyDescent="0.25">
      <c r="Y6365" s="63">
        <v>48898</v>
      </c>
      <c r="Z6365" s="61">
        <f>_xll.qlYieldTSDiscount($U$35,Y6365,,Trigger)</f>
        <v>0.78399976464264853</v>
      </c>
    </row>
    <row r="6366" spans="25:26" x14ac:dyDescent="0.25">
      <c r="Y6366" s="63">
        <v>48899</v>
      </c>
      <c r="Z6366" s="61">
        <f>_xll.qlYieldTSDiscount($U$35,Y6366,,Trigger)</f>
        <v>0.78396439037108123</v>
      </c>
    </row>
    <row r="6367" spans="25:26" x14ac:dyDescent="0.25">
      <c r="Y6367" s="63">
        <v>48900</v>
      </c>
      <c r="Z6367" s="61">
        <f>_xll.qlYieldTSDiscount($U$35,Y6367,,Trigger)</f>
        <v>0.78392901325703379</v>
      </c>
    </row>
    <row r="6368" spans="25:26" x14ac:dyDescent="0.25">
      <c r="Y6368" s="63">
        <v>48901</v>
      </c>
      <c r="Z6368" s="61">
        <f>_xll.qlYieldTSDiscount($U$35,Y6368,,Trigger)</f>
        <v>0.7838936332981129</v>
      </c>
    </row>
    <row r="6369" spans="25:26" x14ac:dyDescent="0.25">
      <c r="Y6369" s="63">
        <v>48902</v>
      </c>
      <c r="Z6369" s="61">
        <f>_xll.qlYieldTSDiscount($U$35,Y6369,,Trigger)</f>
        <v>0.78385825049192503</v>
      </c>
    </row>
    <row r="6370" spans="25:26" x14ac:dyDescent="0.25">
      <c r="Y6370" s="63">
        <v>48903</v>
      </c>
      <c r="Z6370" s="61">
        <f>_xll.qlYieldTSDiscount($U$35,Y6370,,Trigger)</f>
        <v>0.78382286483607655</v>
      </c>
    </row>
    <row r="6371" spans="25:26" x14ac:dyDescent="0.25">
      <c r="Y6371" s="63">
        <v>48904</v>
      </c>
      <c r="Z6371" s="61">
        <f>_xll.qlYieldTSDiscount($U$35,Y6371,,Trigger)</f>
        <v>0.78378747632817403</v>
      </c>
    </row>
    <row r="6372" spans="25:26" x14ac:dyDescent="0.25">
      <c r="Y6372" s="63">
        <v>48905</v>
      </c>
      <c r="Z6372" s="61">
        <f>_xll.qlYieldTSDiscount($U$35,Y6372,,Trigger)</f>
        <v>0.78375208496582394</v>
      </c>
    </row>
    <row r="6373" spans="25:26" x14ac:dyDescent="0.25">
      <c r="Y6373" s="63">
        <v>48906</v>
      </c>
      <c r="Z6373" s="61">
        <f>_xll.qlYieldTSDiscount($U$35,Y6373,,Trigger)</f>
        <v>0.78371669074663275</v>
      </c>
    </row>
    <row r="6374" spans="25:26" x14ac:dyDescent="0.25">
      <c r="Y6374" s="63">
        <v>48907</v>
      </c>
      <c r="Z6374" s="61">
        <f>_xll.qlYieldTSDiscount($U$35,Y6374,,Trigger)</f>
        <v>0.78368129366820694</v>
      </c>
    </row>
    <row r="6375" spans="25:26" x14ac:dyDescent="0.25">
      <c r="Y6375" s="63">
        <v>48908</v>
      </c>
      <c r="Z6375" s="61">
        <f>_xll.qlYieldTSDiscount($U$35,Y6375,,Trigger)</f>
        <v>0.78364589372815296</v>
      </c>
    </row>
    <row r="6376" spans="25:26" x14ac:dyDescent="0.25">
      <c r="Y6376" s="63">
        <v>48909</v>
      </c>
      <c r="Z6376" s="61">
        <f>_xll.qlYieldTSDiscount($U$35,Y6376,,Trigger)</f>
        <v>0.78361049092407731</v>
      </c>
    </row>
    <row r="6377" spans="25:26" x14ac:dyDescent="0.25">
      <c r="Y6377" s="63">
        <v>48910</v>
      </c>
      <c r="Z6377" s="61">
        <f>_xll.qlYieldTSDiscount($U$35,Y6377,,Trigger)</f>
        <v>0.78357508525358655</v>
      </c>
    </row>
    <row r="6378" spans="25:26" x14ac:dyDescent="0.25">
      <c r="Y6378" s="63">
        <v>48911</v>
      </c>
      <c r="Z6378" s="61">
        <f>_xll.qlYieldTSDiscount($U$35,Y6378,,Trigger)</f>
        <v>0.78353967671428704</v>
      </c>
    </row>
    <row r="6379" spans="25:26" x14ac:dyDescent="0.25">
      <c r="Y6379" s="63">
        <v>48912</v>
      </c>
      <c r="Z6379" s="61">
        <f>_xll.qlYieldTSDiscount($U$35,Y6379,,Trigger)</f>
        <v>0.78350426530378536</v>
      </c>
    </row>
    <row r="6380" spans="25:26" x14ac:dyDescent="0.25">
      <c r="Y6380" s="63">
        <v>48913</v>
      </c>
      <c r="Z6380" s="61">
        <f>_xll.qlYieldTSDiscount($U$35,Y6380,,Trigger)</f>
        <v>0.78346885101968788</v>
      </c>
    </row>
    <row r="6381" spans="25:26" x14ac:dyDescent="0.25">
      <c r="Y6381" s="63">
        <v>48914</v>
      </c>
      <c r="Z6381" s="61">
        <f>_xll.qlYieldTSDiscount($U$35,Y6381,,Trigger)</f>
        <v>0.78343343385960118</v>
      </c>
    </row>
    <row r="6382" spans="25:26" x14ac:dyDescent="0.25">
      <c r="Y6382" s="63">
        <v>48915</v>
      </c>
      <c r="Z6382" s="61">
        <f>_xll.qlYieldTSDiscount($U$35,Y6382,,Trigger)</f>
        <v>0.78339801382113172</v>
      </c>
    </row>
    <row r="6383" spans="25:26" x14ac:dyDescent="0.25">
      <c r="Y6383" s="63">
        <v>48916</v>
      </c>
      <c r="Z6383" s="61">
        <f>_xll.qlYieldTSDiscount($U$35,Y6383,,Trigger)</f>
        <v>0.78336259090188598</v>
      </c>
    </row>
    <row r="6384" spans="25:26" x14ac:dyDescent="0.25">
      <c r="Y6384" s="63">
        <v>48917</v>
      </c>
      <c r="Z6384" s="61">
        <f>_xll.qlYieldTSDiscount($U$35,Y6384,,Trigger)</f>
        <v>0.78332716509947031</v>
      </c>
    </row>
    <row r="6385" spans="25:26" x14ac:dyDescent="0.25">
      <c r="Y6385" s="63">
        <v>48918</v>
      </c>
      <c r="Z6385" s="61">
        <f>_xll.qlYieldTSDiscount($U$35,Y6385,,Trigger)</f>
        <v>0.78329173641149141</v>
      </c>
    </row>
    <row r="6386" spans="25:26" x14ac:dyDescent="0.25">
      <c r="Y6386" s="63">
        <v>48919</v>
      </c>
      <c r="Z6386" s="61">
        <f>_xll.qlYieldTSDiscount($U$35,Y6386,,Trigger)</f>
        <v>0.78325630483555564</v>
      </c>
    </row>
    <row r="6387" spans="25:26" x14ac:dyDescent="0.25">
      <c r="Y6387" s="63">
        <v>48920</v>
      </c>
      <c r="Z6387" s="61">
        <f>_xll.qlYieldTSDiscount($U$35,Y6387,,Trigger)</f>
        <v>0.78322087036926946</v>
      </c>
    </row>
    <row r="6388" spans="25:26" x14ac:dyDescent="0.25">
      <c r="Y6388" s="63">
        <v>48921</v>
      </c>
      <c r="Z6388" s="61">
        <f>_xll.qlYieldTSDiscount($U$35,Y6388,,Trigger)</f>
        <v>0.78318543301023946</v>
      </c>
    </row>
    <row r="6389" spans="25:26" x14ac:dyDescent="0.25">
      <c r="Y6389" s="63">
        <v>48922</v>
      </c>
      <c r="Z6389" s="61">
        <f>_xll.qlYieldTSDiscount($U$35,Y6389,,Trigger)</f>
        <v>0.783149992756072</v>
      </c>
    </row>
    <row r="6390" spans="25:26" x14ac:dyDescent="0.25">
      <c r="Y6390" s="63">
        <v>48923</v>
      </c>
      <c r="Z6390" s="61">
        <f>_xll.qlYieldTSDiscount($U$35,Y6390,,Trigger)</f>
        <v>0.78311454960437366</v>
      </c>
    </row>
    <row r="6391" spans="25:26" x14ac:dyDescent="0.25">
      <c r="Y6391" s="63">
        <v>48924</v>
      </c>
      <c r="Z6391" s="61">
        <f>_xll.qlYieldTSDiscount($U$35,Y6391,,Trigger)</f>
        <v>0.7830791035527509</v>
      </c>
    </row>
    <row r="6392" spans="25:26" x14ac:dyDescent="0.25">
      <c r="Y6392" s="63">
        <v>48925</v>
      </c>
      <c r="Z6392" s="61">
        <f>_xll.qlYieldTSDiscount($U$35,Y6392,,Trigger)</f>
        <v>0.78304365459880998</v>
      </c>
    </row>
    <row r="6393" spans="25:26" x14ac:dyDescent="0.25">
      <c r="Y6393" s="63">
        <v>48926</v>
      </c>
      <c r="Z6393" s="61">
        <f>_xll.qlYieldTSDiscount($U$35,Y6393,,Trigger)</f>
        <v>0.7830082027401577</v>
      </c>
    </row>
    <row r="6394" spans="25:26" x14ac:dyDescent="0.25">
      <c r="Y6394" s="63">
        <v>48927</v>
      </c>
      <c r="Z6394" s="61">
        <f>_xll.qlYieldTSDiscount($U$35,Y6394,,Trigger)</f>
        <v>0.78297274797440042</v>
      </c>
    </row>
    <row r="6395" spans="25:26" x14ac:dyDescent="0.25">
      <c r="Y6395" s="63">
        <v>48928</v>
      </c>
      <c r="Z6395" s="61">
        <f>_xll.qlYieldTSDiscount($U$35,Y6395,,Trigger)</f>
        <v>0.78293729029914461</v>
      </c>
    </row>
    <row r="6396" spans="25:26" x14ac:dyDescent="0.25">
      <c r="Y6396" s="63">
        <v>48929</v>
      </c>
      <c r="Z6396" s="61">
        <f>_xll.qlYieldTSDiscount($U$35,Y6396,,Trigger)</f>
        <v>0.78290182971199673</v>
      </c>
    </row>
    <row r="6397" spans="25:26" x14ac:dyDescent="0.25">
      <c r="Y6397" s="63">
        <v>48930</v>
      </c>
      <c r="Z6397" s="61">
        <f>_xll.qlYieldTSDiscount($U$35,Y6397,,Trigger)</f>
        <v>0.78286636621056338</v>
      </c>
    </row>
    <row r="6398" spans="25:26" x14ac:dyDescent="0.25">
      <c r="Y6398" s="63">
        <v>48931</v>
      </c>
      <c r="Z6398" s="61">
        <f>_xll.qlYieldTSDiscount($U$35,Y6398,,Trigger)</f>
        <v>0.7828308997924508</v>
      </c>
    </row>
    <row r="6399" spans="25:26" x14ac:dyDescent="0.25">
      <c r="Y6399" s="63">
        <v>48932</v>
      </c>
      <c r="Z6399" s="61">
        <f>_xll.qlYieldTSDiscount($U$35,Y6399,,Trigger)</f>
        <v>0.78279543045526578</v>
      </c>
    </row>
    <row r="6400" spans="25:26" x14ac:dyDescent="0.25">
      <c r="Y6400" s="63">
        <v>48933</v>
      </c>
      <c r="Z6400" s="61">
        <f>_xll.qlYieldTSDiscount($U$35,Y6400,,Trigger)</f>
        <v>0.78275995819661448</v>
      </c>
    </row>
    <row r="6401" spans="25:26" x14ac:dyDescent="0.25">
      <c r="Y6401" s="63">
        <v>48934</v>
      </c>
      <c r="Z6401" s="61">
        <f>_xll.qlYieldTSDiscount($U$35,Y6401,,Trigger)</f>
        <v>0.78272448301410358</v>
      </c>
    </row>
    <row r="6402" spans="25:26" x14ac:dyDescent="0.25">
      <c r="Y6402" s="63">
        <v>48935</v>
      </c>
      <c r="Z6402" s="61">
        <f>_xll.qlYieldTSDiscount($U$35,Y6402,,Trigger)</f>
        <v>0.78268900490533955</v>
      </c>
    </row>
    <row r="6403" spans="25:26" x14ac:dyDescent="0.25">
      <c r="Y6403" s="63">
        <v>48936</v>
      </c>
      <c r="Z6403" s="61">
        <f>_xll.qlYieldTSDiscount($U$35,Y6403,,Trigger)</f>
        <v>0.78265352386792886</v>
      </c>
    </row>
    <row r="6404" spans="25:26" x14ac:dyDescent="0.25">
      <c r="Y6404" s="63">
        <v>48937</v>
      </c>
      <c r="Z6404" s="61">
        <f>_xll.qlYieldTSDiscount($U$35,Y6404,,Trigger)</f>
        <v>0.78261803989947787</v>
      </c>
    </row>
    <row r="6405" spans="25:26" x14ac:dyDescent="0.25">
      <c r="Y6405" s="63">
        <v>48938</v>
      </c>
      <c r="Z6405" s="61">
        <f>_xll.qlYieldTSDiscount($U$35,Y6405,,Trigger)</f>
        <v>0.78258255299759316</v>
      </c>
    </row>
    <row r="6406" spans="25:26" x14ac:dyDescent="0.25">
      <c r="Y6406" s="63">
        <v>48939</v>
      </c>
      <c r="Z6406" s="61">
        <f>_xll.qlYieldTSDiscount($U$35,Y6406,,Trigger)</f>
        <v>0.78254706315988132</v>
      </c>
    </row>
    <row r="6407" spans="25:26" x14ac:dyDescent="0.25">
      <c r="Y6407" s="63">
        <v>48940</v>
      </c>
      <c r="Z6407" s="61">
        <f>_xll.qlYieldTSDiscount($U$35,Y6407,,Trigger)</f>
        <v>0.7825115703839487</v>
      </c>
    </row>
    <row r="6408" spans="25:26" x14ac:dyDescent="0.25">
      <c r="Y6408" s="63">
        <v>48941</v>
      </c>
      <c r="Z6408" s="61">
        <f>_xll.qlYieldTSDiscount($U$35,Y6408,,Trigger)</f>
        <v>0.78247607466740177</v>
      </c>
    </row>
    <row r="6409" spans="25:26" x14ac:dyDescent="0.25">
      <c r="Y6409" s="63">
        <v>48942</v>
      </c>
      <c r="Z6409" s="61">
        <f>_xll.qlYieldTSDiscount($U$35,Y6409,,Trigger)</f>
        <v>0.782440576007847</v>
      </c>
    </row>
    <row r="6410" spans="25:26" x14ac:dyDescent="0.25">
      <c r="Y6410" s="63">
        <v>48943</v>
      </c>
      <c r="Z6410" s="61">
        <f>_xll.qlYieldTSDiscount($U$35,Y6410,,Trigger)</f>
        <v>0.78240507440289098</v>
      </c>
    </row>
    <row r="6411" spans="25:26" x14ac:dyDescent="0.25">
      <c r="Y6411" s="63">
        <v>48944</v>
      </c>
      <c r="Z6411" s="61">
        <f>_xll.qlYieldTSDiscount($U$35,Y6411,,Trigger)</f>
        <v>0.78236956985014006</v>
      </c>
    </row>
    <row r="6412" spans="25:26" x14ac:dyDescent="0.25">
      <c r="Y6412" s="63">
        <v>48945</v>
      </c>
      <c r="Z6412" s="61">
        <f>_xll.qlYieldTSDiscount($U$35,Y6412,,Trigger)</f>
        <v>0.78233406234720082</v>
      </c>
    </row>
    <row r="6413" spans="25:26" x14ac:dyDescent="0.25">
      <c r="Y6413" s="63">
        <v>48946</v>
      </c>
      <c r="Z6413" s="61">
        <f>_xll.qlYieldTSDiscount($U$35,Y6413,,Trigger)</f>
        <v>0.78229855189167974</v>
      </c>
    </row>
    <row r="6414" spans="25:26" x14ac:dyDescent="0.25">
      <c r="Y6414" s="63">
        <v>48947</v>
      </c>
      <c r="Z6414" s="61">
        <f>_xll.qlYieldTSDiscount($U$35,Y6414,,Trigger)</f>
        <v>0.78226303848118317</v>
      </c>
    </row>
    <row r="6415" spans="25:26" x14ac:dyDescent="0.25">
      <c r="Y6415" s="63">
        <v>48948</v>
      </c>
      <c r="Z6415" s="61">
        <f>_xll.qlYieldTSDiscount($U$35,Y6415,,Trigger)</f>
        <v>0.78222752211331781</v>
      </c>
    </row>
    <row r="6416" spans="25:26" x14ac:dyDescent="0.25">
      <c r="Y6416" s="63">
        <v>48949</v>
      </c>
      <c r="Z6416" s="61">
        <f>_xll.qlYieldTSDiscount($U$35,Y6416,,Trigger)</f>
        <v>0.7821920027856899</v>
      </c>
    </row>
    <row r="6417" spans="25:26" x14ac:dyDescent="0.25">
      <c r="Y6417" s="63">
        <v>48950</v>
      </c>
      <c r="Z6417" s="61">
        <f>_xll.qlYieldTSDiscount($U$35,Y6417,,Trigger)</f>
        <v>0.78215648049590614</v>
      </c>
    </row>
    <row r="6418" spans="25:26" x14ac:dyDescent="0.25">
      <c r="Y6418" s="63">
        <v>48951</v>
      </c>
      <c r="Z6418" s="61">
        <f>_xll.qlYieldTSDiscount($U$35,Y6418,,Trigger)</f>
        <v>0.78212095524157277</v>
      </c>
    </row>
    <row r="6419" spans="25:26" x14ac:dyDescent="0.25">
      <c r="Y6419" s="63">
        <v>48952</v>
      </c>
      <c r="Z6419" s="61">
        <f>_xll.qlYieldTSDiscount($U$35,Y6419,,Trigger)</f>
        <v>0.7820854270202966</v>
      </c>
    </row>
    <row r="6420" spans="25:26" x14ac:dyDescent="0.25">
      <c r="Y6420" s="63">
        <v>48953</v>
      </c>
      <c r="Z6420" s="61">
        <f>_xll.qlYieldTSDiscount($U$35,Y6420,,Trigger)</f>
        <v>0.78204989582968376</v>
      </c>
    </row>
    <row r="6421" spans="25:26" x14ac:dyDescent="0.25">
      <c r="Y6421" s="63">
        <v>48954</v>
      </c>
      <c r="Z6421" s="61">
        <f>_xll.qlYieldTSDiscount($U$35,Y6421,,Trigger)</f>
        <v>0.78201436166734095</v>
      </c>
    </row>
    <row r="6422" spans="25:26" x14ac:dyDescent="0.25">
      <c r="Y6422" s="63">
        <v>48955</v>
      </c>
      <c r="Z6422" s="61">
        <f>_xll.qlYieldTSDiscount($U$35,Y6422,,Trigger)</f>
        <v>0.78197882453087453</v>
      </c>
    </row>
    <row r="6423" spans="25:26" x14ac:dyDescent="0.25">
      <c r="Y6423" s="63">
        <v>48956</v>
      </c>
      <c r="Z6423" s="61">
        <f>_xll.qlYieldTSDiscount($U$35,Y6423,,Trigger)</f>
        <v>0.78194328441789107</v>
      </c>
    </row>
    <row r="6424" spans="25:26" x14ac:dyDescent="0.25">
      <c r="Y6424" s="63">
        <v>48957</v>
      </c>
      <c r="Z6424" s="61">
        <f>_xll.qlYieldTSDiscount($U$35,Y6424,,Trigger)</f>
        <v>0.78190774132599705</v>
      </c>
    </row>
    <row r="6425" spans="25:26" x14ac:dyDescent="0.25">
      <c r="Y6425" s="63">
        <v>48958</v>
      </c>
      <c r="Z6425" s="61">
        <f>_xll.qlYieldTSDiscount($U$35,Y6425,,Trigger)</f>
        <v>0.78187219525279894</v>
      </c>
    </row>
    <row r="6426" spans="25:26" x14ac:dyDescent="0.25">
      <c r="Y6426" s="63">
        <v>48959</v>
      </c>
      <c r="Z6426" s="61">
        <f>_xll.qlYieldTSDiscount($U$35,Y6426,,Trigger)</f>
        <v>0.78183664619590321</v>
      </c>
    </row>
    <row r="6427" spans="25:26" x14ac:dyDescent="0.25">
      <c r="Y6427" s="63">
        <v>48960</v>
      </c>
      <c r="Z6427" s="61">
        <f>_xll.qlYieldTSDiscount($U$35,Y6427,,Trigger)</f>
        <v>0.78180109415291621</v>
      </c>
    </row>
    <row r="6428" spans="25:26" x14ac:dyDescent="0.25">
      <c r="Y6428" s="63">
        <v>48961</v>
      </c>
      <c r="Z6428" s="61">
        <f>_xll.qlYieldTSDiscount($U$35,Y6428,,Trigger)</f>
        <v>0.78176553912144464</v>
      </c>
    </row>
    <row r="6429" spans="25:26" x14ac:dyDescent="0.25">
      <c r="Y6429" s="63">
        <v>48962</v>
      </c>
      <c r="Z6429" s="61">
        <f>_xll.qlYieldTSDiscount($U$35,Y6429,,Trigger)</f>
        <v>0.78172998109909486</v>
      </c>
    </row>
    <row r="6430" spans="25:26" x14ac:dyDescent="0.25">
      <c r="Y6430" s="63">
        <v>48963</v>
      </c>
      <c r="Z6430" s="61">
        <f>_xll.qlYieldTSDiscount($U$35,Y6430,,Trigger)</f>
        <v>0.78169442008347345</v>
      </c>
    </row>
    <row r="6431" spans="25:26" x14ac:dyDescent="0.25">
      <c r="Y6431" s="63">
        <v>48964</v>
      </c>
      <c r="Z6431" s="61">
        <f>_xll.qlYieldTSDiscount($U$35,Y6431,,Trigger)</f>
        <v>0.78165885607218677</v>
      </c>
    </row>
    <row r="6432" spans="25:26" x14ac:dyDescent="0.25">
      <c r="Y6432" s="63">
        <v>48965</v>
      </c>
      <c r="Z6432" s="61">
        <f>_xll.qlYieldTSDiscount($U$35,Y6432,,Trigger)</f>
        <v>0.78162328906284129</v>
      </c>
    </row>
    <row r="6433" spans="25:26" x14ac:dyDescent="0.25">
      <c r="Y6433" s="63">
        <v>48966</v>
      </c>
      <c r="Z6433" s="61">
        <f>_xll.qlYieldTSDiscount($U$35,Y6433,,Trigger)</f>
        <v>0.78158771905304358</v>
      </c>
    </row>
    <row r="6434" spans="25:26" x14ac:dyDescent="0.25">
      <c r="Y6434" s="63">
        <v>48967</v>
      </c>
      <c r="Z6434" s="61">
        <f>_xll.qlYieldTSDiscount($U$35,Y6434,,Trigger)</f>
        <v>0.78155214604040013</v>
      </c>
    </row>
    <row r="6435" spans="25:26" x14ac:dyDescent="0.25">
      <c r="Y6435" s="63">
        <v>48968</v>
      </c>
      <c r="Z6435" s="61">
        <f>_xll.qlYieldTSDiscount($U$35,Y6435,,Trigger)</f>
        <v>0.78151657002251729</v>
      </c>
    </row>
    <row r="6436" spans="25:26" x14ac:dyDescent="0.25">
      <c r="Y6436" s="63">
        <v>48969</v>
      </c>
      <c r="Z6436" s="61">
        <f>_xll.qlYieldTSDiscount($U$35,Y6436,,Trigger)</f>
        <v>0.78148099099700175</v>
      </c>
    </row>
    <row r="6437" spans="25:26" x14ac:dyDescent="0.25">
      <c r="Y6437" s="63">
        <v>48970</v>
      </c>
      <c r="Z6437" s="61">
        <f>_xll.qlYieldTSDiscount($U$35,Y6437,,Trigger)</f>
        <v>0.78144540896145975</v>
      </c>
    </row>
    <row r="6438" spans="25:26" x14ac:dyDescent="0.25">
      <c r="Y6438" s="63">
        <v>48971</v>
      </c>
      <c r="Z6438" s="61">
        <f>_xll.qlYieldTSDiscount($U$35,Y6438,,Trigger)</f>
        <v>0.78140982391349789</v>
      </c>
    </row>
    <row r="6439" spans="25:26" x14ac:dyDescent="0.25">
      <c r="Y6439" s="63">
        <v>48972</v>
      </c>
      <c r="Z6439" s="61">
        <f>_xll.qlYieldTSDiscount($U$35,Y6439,,Trigger)</f>
        <v>0.78137423585072274</v>
      </c>
    </row>
    <row r="6440" spans="25:26" x14ac:dyDescent="0.25">
      <c r="Y6440" s="63">
        <v>48973</v>
      </c>
      <c r="Z6440" s="61">
        <f>_xll.qlYieldTSDiscount($U$35,Y6440,,Trigger)</f>
        <v>0.78133864477074066</v>
      </c>
    </row>
    <row r="6441" spans="25:26" x14ac:dyDescent="0.25">
      <c r="Y6441" s="63">
        <v>48974</v>
      </c>
      <c r="Z6441" s="61">
        <f>_xll.qlYieldTSDiscount($U$35,Y6441,,Trigger)</f>
        <v>0.78130305067115813</v>
      </c>
    </row>
    <row r="6442" spans="25:26" x14ac:dyDescent="0.25">
      <c r="Y6442" s="63">
        <v>48975</v>
      </c>
      <c r="Z6442" s="61">
        <f>_xll.qlYieldTSDiscount($U$35,Y6442,,Trigger)</f>
        <v>0.78126745354958171</v>
      </c>
    </row>
    <row r="6443" spans="25:26" x14ac:dyDescent="0.25">
      <c r="Y6443" s="63">
        <v>48976</v>
      </c>
      <c r="Z6443" s="61">
        <f>_xll.qlYieldTSDiscount($U$35,Y6443,,Trigger)</f>
        <v>0.78123185340361778</v>
      </c>
    </row>
    <row r="6444" spans="25:26" x14ac:dyDescent="0.25">
      <c r="Y6444" s="63">
        <v>48977</v>
      </c>
      <c r="Z6444" s="61">
        <f>_xll.qlYieldTSDiscount($U$35,Y6444,,Trigger)</f>
        <v>0.78119625023087291</v>
      </c>
    </row>
    <row r="6445" spans="25:26" x14ac:dyDescent="0.25">
      <c r="Y6445" s="63">
        <v>48978</v>
      </c>
      <c r="Z6445" s="61">
        <f>_xll.qlYieldTSDiscount($U$35,Y6445,,Trigger)</f>
        <v>0.78116064402895358</v>
      </c>
    </row>
    <row r="6446" spans="25:26" x14ac:dyDescent="0.25">
      <c r="Y6446" s="63">
        <v>48979</v>
      </c>
      <c r="Z6446" s="61">
        <f>_xll.qlYieldTSDiscount($U$35,Y6446,,Trigger)</f>
        <v>0.78112503479546613</v>
      </c>
    </row>
    <row r="6447" spans="25:26" x14ac:dyDescent="0.25">
      <c r="Y6447" s="63">
        <v>48980</v>
      </c>
      <c r="Z6447" s="61">
        <f>_xll.qlYieldTSDiscount($U$35,Y6447,,Trigger)</f>
        <v>0.78108942252801716</v>
      </c>
    </row>
    <row r="6448" spans="25:26" x14ac:dyDescent="0.25">
      <c r="Y6448" s="63">
        <v>48981</v>
      </c>
      <c r="Z6448" s="61">
        <f>_xll.qlYieldTSDiscount($U$35,Y6448,,Trigger)</f>
        <v>0.78105380722421325</v>
      </c>
    </row>
    <row r="6449" spans="25:26" x14ac:dyDescent="0.25">
      <c r="Y6449" s="63">
        <v>48982</v>
      </c>
      <c r="Z6449" s="61">
        <f>_xll.qlYieldTSDiscount($U$35,Y6449,,Trigger)</f>
        <v>0.78101818888166064</v>
      </c>
    </row>
    <row r="6450" spans="25:26" x14ac:dyDescent="0.25">
      <c r="Y6450" s="63">
        <v>48983</v>
      </c>
      <c r="Z6450" s="61">
        <f>_xll.qlYieldTSDiscount($U$35,Y6450,,Trigger)</f>
        <v>0.78098256749796602</v>
      </c>
    </row>
    <row r="6451" spans="25:26" x14ac:dyDescent="0.25">
      <c r="Y6451" s="63">
        <v>48984</v>
      </c>
      <c r="Z6451" s="61">
        <f>_xll.qlYieldTSDiscount($U$35,Y6451,,Trigger)</f>
        <v>0.78094694307073576</v>
      </c>
    </row>
    <row r="6452" spans="25:26" x14ac:dyDescent="0.25">
      <c r="Y6452" s="63">
        <v>48985</v>
      </c>
      <c r="Z6452" s="61">
        <f>_xll.qlYieldTSDiscount($U$35,Y6452,,Trigger)</f>
        <v>0.78091131559757632</v>
      </c>
    </row>
    <row r="6453" spans="25:26" x14ac:dyDescent="0.25">
      <c r="Y6453" s="63">
        <v>48986</v>
      </c>
      <c r="Z6453" s="61">
        <f>_xll.qlYieldTSDiscount($U$35,Y6453,,Trigger)</f>
        <v>0.78087568507609428</v>
      </c>
    </row>
    <row r="6454" spans="25:26" x14ac:dyDescent="0.25">
      <c r="Y6454" s="63">
        <v>48987</v>
      </c>
      <c r="Z6454" s="61">
        <f>_xll.qlYieldTSDiscount($U$35,Y6454,,Trigger)</f>
        <v>0.78084005150389613</v>
      </c>
    </row>
    <row r="6455" spans="25:26" x14ac:dyDescent="0.25">
      <c r="Y6455" s="63">
        <v>48988</v>
      </c>
      <c r="Z6455" s="61">
        <f>_xll.qlYieldTSDiscount($U$35,Y6455,,Trigger)</f>
        <v>0.7808044148785882</v>
      </c>
    </row>
    <row r="6456" spans="25:26" x14ac:dyDescent="0.25">
      <c r="Y6456" s="63">
        <v>48989</v>
      </c>
      <c r="Z6456" s="61">
        <f>_xll.qlYieldTSDiscount($U$35,Y6456,,Trigger)</f>
        <v>0.7807687751977771</v>
      </c>
    </row>
    <row r="6457" spans="25:26" x14ac:dyDescent="0.25">
      <c r="Y6457" s="63">
        <v>48990</v>
      </c>
      <c r="Z6457" s="61">
        <f>_xll.qlYieldTSDiscount($U$35,Y6457,,Trigger)</f>
        <v>0.78073313245906917</v>
      </c>
    </row>
    <row r="6458" spans="25:26" x14ac:dyDescent="0.25">
      <c r="Y6458" s="63">
        <v>48991</v>
      </c>
      <c r="Z6458" s="61">
        <f>_xll.qlYieldTSDiscount($U$35,Y6458,,Trigger)</f>
        <v>0.7806974866600711</v>
      </c>
    </row>
    <row r="6459" spans="25:26" x14ac:dyDescent="0.25">
      <c r="Y6459" s="63">
        <v>48992</v>
      </c>
      <c r="Z6459" s="61">
        <f>_xll.qlYieldTSDiscount($U$35,Y6459,,Trigger)</f>
        <v>0.78066183779838927</v>
      </c>
    </row>
    <row r="6460" spans="25:26" x14ac:dyDescent="0.25">
      <c r="Y6460" s="63">
        <v>48993</v>
      </c>
      <c r="Z6460" s="61">
        <f>_xll.qlYieldTSDiscount($U$35,Y6460,,Trigger)</f>
        <v>0.78062618587163013</v>
      </c>
    </row>
    <row r="6461" spans="25:26" x14ac:dyDescent="0.25">
      <c r="Y6461" s="63">
        <v>48994</v>
      </c>
      <c r="Z6461" s="61">
        <f>_xll.qlYieldTSDiscount($U$35,Y6461,,Trigger)</f>
        <v>0.78059053087740016</v>
      </c>
    </row>
    <row r="6462" spans="25:26" x14ac:dyDescent="0.25">
      <c r="Y6462" s="63">
        <v>48995</v>
      </c>
      <c r="Z6462" s="61">
        <f>_xll.qlYieldTSDiscount($U$35,Y6462,,Trigger)</f>
        <v>0.78055487281330593</v>
      </c>
    </row>
    <row r="6463" spans="25:26" x14ac:dyDescent="0.25">
      <c r="Y6463" s="63">
        <v>48996</v>
      </c>
      <c r="Z6463" s="61">
        <f>_xll.qlYieldTSDiscount($U$35,Y6463,,Trigger)</f>
        <v>0.78051921167695371</v>
      </c>
    </row>
    <row r="6464" spans="25:26" x14ac:dyDescent="0.25">
      <c r="Y6464" s="63">
        <v>48997</v>
      </c>
      <c r="Z6464" s="61">
        <f>_xll.qlYieldTSDiscount($U$35,Y6464,,Trigger)</f>
        <v>0.78048354746595028</v>
      </c>
    </row>
    <row r="6465" spans="25:26" x14ac:dyDescent="0.25">
      <c r="Y6465" s="63">
        <v>48998</v>
      </c>
      <c r="Z6465" s="61">
        <f>_xll.qlYieldTSDiscount($U$35,Y6465,,Trigger)</f>
        <v>0.7804478801779019</v>
      </c>
    </row>
    <row r="6466" spans="25:26" x14ac:dyDescent="0.25">
      <c r="Y6466" s="63">
        <v>48999</v>
      </c>
      <c r="Z6466" s="61">
        <f>_xll.qlYieldTSDiscount($U$35,Y6466,,Trigger)</f>
        <v>0.78041220981041515</v>
      </c>
    </row>
    <row r="6467" spans="25:26" x14ac:dyDescent="0.25">
      <c r="Y6467" s="63">
        <v>49000</v>
      </c>
      <c r="Z6467" s="61">
        <f>_xll.qlYieldTSDiscount($U$35,Y6467,,Trigger)</f>
        <v>0.78037653636109638</v>
      </c>
    </row>
    <row r="6468" spans="25:26" x14ac:dyDescent="0.25">
      <c r="Y6468" s="63">
        <v>49001</v>
      </c>
      <c r="Z6468" s="61">
        <f>_xll.qlYieldTSDiscount($U$35,Y6468,,Trigger)</f>
        <v>0.7803408598275523</v>
      </c>
    </row>
    <row r="6469" spans="25:26" x14ac:dyDescent="0.25">
      <c r="Y6469" s="63">
        <v>49002</v>
      </c>
      <c r="Z6469" s="61">
        <f>_xll.qlYieldTSDiscount($U$35,Y6469,,Trigger)</f>
        <v>0.78030518020738915</v>
      </c>
    </row>
    <row r="6470" spans="25:26" x14ac:dyDescent="0.25">
      <c r="Y6470" s="63">
        <v>49003</v>
      </c>
      <c r="Z6470" s="61">
        <f>_xll.qlYieldTSDiscount($U$35,Y6470,,Trigger)</f>
        <v>0.78026949749821362</v>
      </c>
    </row>
    <row r="6471" spans="25:26" x14ac:dyDescent="0.25">
      <c r="Y6471" s="63">
        <v>49004</v>
      </c>
      <c r="Z6471" s="61">
        <f>_xll.qlYieldTSDiscount($U$35,Y6471,,Trigger)</f>
        <v>0.78023381169763195</v>
      </c>
    </row>
    <row r="6472" spans="25:26" x14ac:dyDescent="0.25">
      <c r="Y6472" s="63">
        <v>49005</v>
      </c>
      <c r="Z6472" s="61">
        <f>_xll.qlYieldTSDiscount($U$35,Y6472,,Trigger)</f>
        <v>0.78019812280325096</v>
      </c>
    </row>
    <row r="6473" spans="25:26" x14ac:dyDescent="0.25">
      <c r="Y6473" s="63">
        <v>49006</v>
      </c>
      <c r="Z6473" s="61">
        <f>_xll.qlYieldTSDiscount($U$35,Y6473,,Trigger)</f>
        <v>0.78016243081267678</v>
      </c>
    </row>
    <row r="6474" spans="25:26" x14ac:dyDescent="0.25">
      <c r="Y6474" s="63">
        <v>49007</v>
      </c>
      <c r="Z6474" s="61">
        <f>_xll.qlYieldTSDiscount($U$35,Y6474,,Trigger)</f>
        <v>0.7801267357235161</v>
      </c>
    </row>
    <row r="6475" spans="25:26" x14ac:dyDescent="0.25">
      <c r="Y6475" s="63">
        <v>49008</v>
      </c>
      <c r="Z6475" s="61">
        <f>_xll.qlYieldTSDiscount($U$35,Y6475,,Trigger)</f>
        <v>0.78009103753337528</v>
      </c>
    </row>
    <row r="6476" spans="25:26" x14ac:dyDescent="0.25">
      <c r="Y6476" s="63">
        <v>49009</v>
      </c>
      <c r="Z6476" s="61">
        <f>_xll.qlYieldTSDiscount($U$35,Y6476,,Trigger)</f>
        <v>0.7800553362398609</v>
      </c>
    </row>
    <row r="6477" spans="25:26" x14ac:dyDescent="0.25">
      <c r="Y6477" s="63">
        <v>49010</v>
      </c>
      <c r="Z6477" s="61">
        <f>_xll.qlYieldTSDiscount($U$35,Y6477,,Trigger)</f>
        <v>0.78001963184057943</v>
      </c>
    </row>
    <row r="6478" spans="25:26" x14ac:dyDescent="0.25">
      <c r="Y6478" s="63">
        <v>49011</v>
      </c>
      <c r="Z6478" s="61">
        <f>_xll.qlYieldTSDiscount($U$35,Y6478,,Trigger)</f>
        <v>0.77998392433313735</v>
      </c>
    </row>
    <row r="6479" spans="25:26" x14ac:dyDescent="0.25">
      <c r="Y6479" s="63">
        <v>49012</v>
      </c>
      <c r="Z6479" s="61">
        <f>_xll.qlYieldTSDiscount($U$35,Y6479,,Trigger)</f>
        <v>0.779948213715141</v>
      </c>
    </row>
    <row r="6480" spans="25:26" x14ac:dyDescent="0.25">
      <c r="Y6480" s="63">
        <v>49013</v>
      </c>
      <c r="Z6480" s="61">
        <f>_xll.qlYieldTSDiscount($U$35,Y6480,,Trigger)</f>
        <v>0.77991249998419709</v>
      </c>
    </row>
    <row r="6481" spans="25:26" x14ac:dyDescent="0.25">
      <c r="Y6481" s="63">
        <v>49014</v>
      </c>
      <c r="Z6481" s="61">
        <f>_xll.qlYieldTSDiscount($U$35,Y6481,,Trigger)</f>
        <v>0.77987678313791198</v>
      </c>
    </row>
    <row r="6482" spans="25:26" x14ac:dyDescent="0.25">
      <c r="Y6482" s="63">
        <v>49015</v>
      </c>
      <c r="Z6482" s="61">
        <f>_xll.qlYieldTSDiscount($U$35,Y6482,,Trigger)</f>
        <v>0.77984106317389212</v>
      </c>
    </row>
    <row r="6483" spans="25:26" x14ac:dyDescent="0.25">
      <c r="Y6483" s="63">
        <v>49016</v>
      </c>
      <c r="Z6483" s="61">
        <f>_xll.qlYieldTSDiscount($U$35,Y6483,,Trigger)</f>
        <v>0.779805340089744</v>
      </c>
    </row>
    <row r="6484" spans="25:26" x14ac:dyDescent="0.25">
      <c r="Y6484" s="63">
        <v>49017</v>
      </c>
      <c r="Z6484" s="61">
        <f>_xll.qlYieldTSDiscount($U$35,Y6484,,Trigger)</f>
        <v>0.77976961388307409</v>
      </c>
    </row>
    <row r="6485" spans="25:26" x14ac:dyDescent="0.25">
      <c r="Y6485" s="63">
        <v>49018</v>
      </c>
      <c r="Z6485" s="61">
        <f>_xll.qlYieldTSDiscount($U$35,Y6485,,Trigger)</f>
        <v>0.77973388455148895</v>
      </c>
    </row>
    <row r="6486" spans="25:26" x14ac:dyDescent="0.25">
      <c r="Y6486" s="63">
        <v>49019</v>
      </c>
      <c r="Z6486" s="61">
        <f>_xll.qlYieldTSDiscount($U$35,Y6486,,Trigger)</f>
        <v>0.77969815209259519</v>
      </c>
    </row>
    <row r="6487" spans="25:26" x14ac:dyDescent="0.25">
      <c r="Y6487" s="63">
        <v>49020</v>
      </c>
      <c r="Z6487" s="61">
        <f>_xll.qlYieldTSDiscount($U$35,Y6487,,Trigger)</f>
        <v>0.77966241650399892</v>
      </c>
    </row>
    <row r="6488" spans="25:26" x14ac:dyDescent="0.25">
      <c r="Y6488" s="63">
        <v>49021</v>
      </c>
      <c r="Z6488" s="61">
        <f>_xll.qlYieldTSDiscount($U$35,Y6488,,Trigger)</f>
        <v>0.77962667778330685</v>
      </c>
    </row>
    <row r="6489" spans="25:26" x14ac:dyDescent="0.25">
      <c r="Y6489" s="63">
        <v>49022</v>
      </c>
      <c r="Z6489" s="61">
        <f>_xll.qlYieldTSDiscount($U$35,Y6489,,Trigger)</f>
        <v>0.77959093592812545</v>
      </c>
    </row>
    <row r="6490" spans="25:26" x14ac:dyDescent="0.25">
      <c r="Y6490" s="63">
        <v>49023</v>
      </c>
      <c r="Z6490" s="61">
        <f>_xll.qlYieldTSDiscount($U$35,Y6490,,Trigger)</f>
        <v>0.77955519093606118</v>
      </c>
    </row>
    <row r="6491" spans="25:26" x14ac:dyDescent="0.25">
      <c r="Y6491" s="63">
        <v>49024</v>
      </c>
      <c r="Z6491" s="61">
        <f>_xll.qlYieldTSDiscount($U$35,Y6491,,Trigger)</f>
        <v>0.77951944280472052</v>
      </c>
    </row>
    <row r="6492" spans="25:26" x14ac:dyDescent="0.25">
      <c r="Y6492" s="63">
        <v>49025</v>
      </c>
      <c r="Z6492" s="61">
        <f>_xll.qlYieldTSDiscount($U$35,Y6492,,Trigger)</f>
        <v>0.77948369153170993</v>
      </c>
    </row>
    <row r="6493" spans="25:26" x14ac:dyDescent="0.25">
      <c r="Y6493" s="63">
        <v>49026</v>
      </c>
      <c r="Z6493" s="61">
        <f>_xll.qlYieldTSDiscount($U$35,Y6493,,Trigger)</f>
        <v>0.779447937114636</v>
      </c>
    </row>
    <row r="6494" spans="25:26" x14ac:dyDescent="0.25">
      <c r="Y6494" s="63">
        <v>49027</v>
      </c>
      <c r="Z6494" s="61">
        <f>_xll.qlYieldTSDiscount($U$35,Y6494,,Trigger)</f>
        <v>0.77941217955110509</v>
      </c>
    </row>
    <row r="6495" spans="25:26" x14ac:dyDescent="0.25">
      <c r="Y6495" s="63">
        <v>49028</v>
      </c>
      <c r="Z6495" s="61">
        <f>_xll.qlYieldTSDiscount($U$35,Y6495,,Trigger)</f>
        <v>0.77937641883872366</v>
      </c>
    </row>
    <row r="6496" spans="25:26" x14ac:dyDescent="0.25">
      <c r="Y6496" s="63">
        <v>49029</v>
      </c>
      <c r="Z6496" s="61">
        <f>_xll.qlYieldTSDiscount($U$35,Y6496,,Trigger)</f>
        <v>0.7793406549750983</v>
      </c>
    </row>
    <row r="6497" spans="25:26" x14ac:dyDescent="0.25">
      <c r="Y6497" s="63">
        <v>49030</v>
      </c>
      <c r="Z6497" s="61">
        <f>_xll.qlYieldTSDiscount($U$35,Y6497,,Trigger)</f>
        <v>0.77930488795783537</v>
      </c>
    </row>
    <row r="6498" spans="25:26" x14ac:dyDescent="0.25">
      <c r="Y6498" s="63">
        <v>49031</v>
      </c>
      <c r="Z6498" s="61">
        <f>_xll.qlYieldTSDiscount($U$35,Y6498,,Trigger)</f>
        <v>0.77926911778454144</v>
      </c>
    </row>
    <row r="6499" spans="25:26" x14ac:dyDescent="0.25">
      <c r="Y6499" s="63">
        <v>49032</v>
      </c>
      <c r="Z6499" s="61">
        <f>_xll.qlYieldTSDiscount($U$35,Y6499,,Trigger)</f>
        <v>0.779233344452823</v>
      </c>
    </row>
    <row r="6500" spans="25:26" x14ac:dyDescent="0.25">
      <c r="Y6500" s="63">
        <v>49033</v>
      </c>
      <c r="Z6500" s="61">
        <f>_xll.qlYieldTSDiscount($U$35,Y6500,,Trigger)</f>
        <v>0.7791975679602865</v>
      </c>
    </row>
    <row r="6501" spans="25:26" x14ac:dyDescent="0.25">
      <c r="Y6501" s="63">
        <v>49034</v>
      </c>
      <c r="Z6501" s="61">
        <f>_xll.qlYieldTSDiscount($U$35,Y6501,,Trigger)</f>
        <v>0.77916178830453842</v>
      </c>
    </row>
    <row r="6502" spans="25:26" x14ac:dyDescent="0.25">
      <c r="Y6502" s="63">
        <v>49035</v>
      </c>
      <c r="Z6502" s="61">
        <f>_xll.qlYieldTSDiscount($U$35,Y6502,,Trigger)</f>
        <v>0.77912600548318522</v>
      </c>
    </row>
    <row r="6503" spans="25:26" x14ac:dyDescent="0.25">
      <c r="Y6503" s="63">
        <v>49036</v>
      </c>
      <c r="Z6503" s="61">
        <f>_xll.qlYieldTSDiscount($U$35,Y6503,,Trigger)</f>
        <v>0.77909021949383339</v>
      </c>
    </row>
    <row r="6504" spans="25:26" x14ac:dyDescent="0.25">
      <c r="Y6504" s="63">
        <v>49037</v>
      </c>
      <c r="Z6504" s="61">
        <f>_xll.qlYieldTSDiscount($U$35,Y6504,,Trigger)</f>
        <v>0.77905443033408939</v>
      </c>
    </row>
    <row r="6505" spans="25:26" x14ac:dyDescent="0.25">
      <c r="Y6505" s="63">
        <v>49038</v>
      </c>
      <c r="Z6505" s="61">
        <f>_xll.qlYieldTSDiscount($U$35,Y6505,,Trigger)</f>
        <v>0.77901863800155979</v>
      </c>
    </row>
    <row r="6506" spans="25:26" x14ac:dyDescent="0.25">
      <c r="Y6506" s="63">
        <v>49039</v>
      </c>
      <c r="Z6506" s="61">
        <f>_xll.qlYieldTSDiscount($U$35,Y6506,,Trigger)</f>
        <v>0.77898284249385097</v>
      </c>
    </row>
    <row r="6507" spans="25:26" x14ac:dyDescent="0.25">
      <c r="Y6507" s="63">
        <v>49040</v>
      </c>
      <c r="Z6507" s="61">
        <f>_xll.qlYieldTSDiscount($U$35,Y6507,,Trigger)</f>
        <v>0.77894704380856949</v>
      </c>
    </row>
    <row r="6508" spans="25:26" x14ac:dyDescent="0.25">
      <c r="Y6508" s="63">
        <v>49041</v>
      </c>
      <c r="Z6508" s="61">
        <f>_xll.qlYieldTSDiscount($U$35,Y6508,,Trigger)</f>
        <v>0.77891124194332184</v>
      </c>
    </row>
    <row r="6509" spans="25:26" x14ac:dyDescent="0.25">
      <c r="Y6509" s="63">
        <v>49042</v>
      </c>
      <c r="Z6509" s="61">
        <f>_xll.qlYieldTSDiscount($U$35,Y6509,,Trigger)</f>
        <v>0.77887543689571437</v>
      </c>
    </row>
    <row r="6510" spans="25:26" x14ac:dyDescent="0.25">
      <c r="Y6510" s="63">
        <v>49043</v>
      </c>
      <c r="Z6510" s="61">
        <f>_xll.qlYieldTSDiscount($U$35,Y6510,,Trigger)</f>
        <v>0.77883962866335366</v>
      </c>
    </row>
    <row r="6511" spans="25:26" x14ac:dyDescent="0.25">
      <c r="Y6511" s="63">
        <v>49044</v>
      </c>
      <c r="Z6511" s="61">
        <f>_xll.qlYieldTSDiscount($U$35,Y6511,,Trigger)</f>
        <v>0.77880381724384617</v>
      </c>
    </row>
    <row r="6512" spans="25:26" x14ac:dyDescent="0.25">
      <c r="Y6512" s="63">
        <v>49045</v>
      </c>
      <c r="Z6512" s="61">
        <f>_xll.qlYieldTSDiscount($U$35,Y6512,,Trigger)</f>
        <v>0.7787680026347984</v>
      </c>
    </row>
    <row r="6513" spans="25:26" x14ac:dyDescent="0.25">
      <c r="Y6513" s="63">
        <v>49046</v>
      </c>
      <c r="Z6513" s="61">
        <f>_xll.qlYieldTSDiscount($U$35,Y6513,,Trigger)</f>
        <v>0.77873218483381679</v>
      </c>
    </row>
    <row r="6514" spans="25:26" x14ac:dyDescent="0.25">
      <c r="Y6514" s="63">
        <v>49047</v>
      </c>
      <c r="Z6514" s="61">
        <f>_xll.qlYieldTSDiscount($U$35,Y6514,,Trigger)</f>
        <v>0.77869636383850793</v>
      </c>
    </row>
    <row r="6515" spans="25:26" x14ac:dyDescent="0.25">
      <c r="Y6515" s="63">
        <v>49048</v>
      </c>
      <c r="Z6515" s="61">
        <f>_xll.qlYieldTSDiscount($U$35,Y6515,,Trigger)</f>
        <v>0.77866053964647819</v>
      </c>
    </row>
    <row r="6516" spans="25:26" x14ac:dyDescent="0.25">
      <c r="Y6516" s="63">
        <v>49049</v>
      </c>
      <c r="Z6516" s="61">
        <f>_xll.qlYieldTSDiscount($U$35,Y6516,,Trigger)</f>
        <v>0.77862471225533403</v>
      </c>
    </row>
    <row r="6517" spans="25:26" x14ac:dyDescent="0.25">
      <c r="Y6517" s="63">
        <v>49050</v>
      </c>
      <c r="Z6517" s="61">
        <f>_xll.qlYieldTSDiscount($U$35,Y6517,,Trigger)</f>
        <v>0.77858888166268192</v>
      </c>
    </row>
    <row r="6518" spans="25:26" x14ac:dyDescent="0.25">
      <c r="Y6518" s="63">
        <v>49051</v>
      </c>
      <c r="Z6518" s="61">
        <f>_xll.qlYieldTSDiscount($U$35,Y6518,,Trigger)</f>
        <v>0.77855304786612856</v>
      </c>
    </row>
    <row r="6519" spans="25:26" x14ac:dyDescent="0.25">
      <c r="Y6519" s="63">
        <v>49052</v>
      </c>
      <c r="Z6519" s="61">
        <f>_xll.qlYieldTSDiscount($U$35,Y6519,,Trigger)</f>
        <v>0.77851721086328007</v>
      </c>
    </row>
    <row r="6520" spans="25:26" x14ac:dyDescent="0.25">
      <c r="Y6520" s="63">
        <v>49053</v>
      </c>
      <c r="Z6520" s="61">
        <f>_xll.qlYieldTSDiscount($U$35,Y6520,,Trigger)</f>
        <v>0.77848137065174328</v>
      </c>
    </row>
    <row r="6521" spans="25:26" x14ac:dyDescent="0.25">
      <c r="Y6521" s="63">
        <v>49054</v>
      </c>
      <c r="Z6521" s="61">
        <f>_xll.qlYieldTSDiscount($U$35,Y6521,,Trigger)</f>
        <v>0.77844552722912452</v>
      </c>
    </row>
    <row r="6522" spans="25:26" x14ac:dyDescent="0.25">
      <c r="Y6522" s="63">
        <v>49055</v>
      </c>
      <c r="Z6522" s="61">
        <f>_xll.qlYieldTSDiscount($U$35,Y6522,,Trigger)</f>
        <v>0.77840968059303017</v>
      </c>
    </row>
    <row r="6523" spans="25:26" x14ac:dyDescent="0.25">
      <c r="Y6523" s="63">
        <v>49056</v>
      </c>
      <c r="Z6523" s="61">
        <f>_xll.qlYieldTSDiscount($U$35,Y6523,,Trigger)</f>
        <v>0.77837383074106692</v>
      </c>
    </row>
    <row r="6524" spans="25:26" x14ac:dyDescent="0.25">
      <c r="Y6524" s="63">
        <v>49057</v>
      </c>
      <c r="Z6524" s="61">
        <f>_xll.qlYieldTSDiscount($U$35,Y6524,,Trigger)</f>
        <v>0.77833797767084112</v>
      </c>
    </row>
    <row r="6525" spans="25:26" x14ac:dyDescent="0.25">
      <c r="Y6525" s="63">
        <v>49058</v>
      </c>
      <c r="Z6525" s="61">
        <f>_xll.qlYieldTSDiscount($U$35,Y6525,,Trigger)</f>
        <v>0.77830212137995924</v>
      </c>
    </row>
    <row r="6526" spans="25:26" x14ac:dyDescent="0.25">
      <c r="Y6526" s="63">
        <v>49059</v>
      </c>
      <c r="Z6526" s="61">
        <f>_xll.qlYieldTSDiscount($U$35,Y6526,,Trigger)</f>
        <v>0.77826626186602788</v>
      </c>
    </row>
    <row r="6527" spans="25:26" x14ac:dyDescent="0.25">
      <c r="Y6527" s="63">
        <v>49060</v>
      </c>
      <c r="Z6527" s="61">
        <f>_xll.qlYieldTSDiscount($U$35,Y6527,,Trigger)</f>
        <v>0.77823039912665326</v>
      </c>
    </row>
    <row r="6528" spans="25:26" x14ac:dyDescent="0.25">
      <c r="Y6528" s="63">
        <v>49061</v>
      </c>
      <c r="Z6528" s="61">
        <f>_xll.qlYieldTSDiscount($U$35,Y6528,,Trigger)</f>
        <v>0.7781945331594422</v>
      </c>
    </row>
    <row r="6529" spans="25:26" x14ac:dyDescent="0.25">
      <c r="Y6529" s="63">
        <v>49062</v>
      </c>
      <c r="Z6529" s="61">
        <f>_xll.qlYieldTSDiscount($U$35,Y6529,,Trigger)</f>
        <v>0.77815866396200084</v>
      </c>
    </row>
    <row r="6530" spans="25:26" x14ac:dyDescent="0.25">
      <c r="Y6530" s="63">
        <v>49063</v>
      </c>
      <c r="Z6530" s="61">
        <f>_xll.qlYieldTSDiscount($U$35,Y6530,,Trigger)</f>
        <v>0.77812279153193598</v>
      </c>
    </row>
    <row r="6531" spans="25:26" x14ac:dyDescent="0.25">
      <c r="Y6531" s="63">
        <v>49064</v>
      </c>
      <c r="Z6531" s="61">
        <f>_xll.qlYieldTSDiscount($U$35,Y6531,,Trigger)</f>
        <v>0.77808691586685397</v>
      </c>
    </row>
    <row r="6532" spans="25:26" x14ac:dyDescent="0.25">
      <c r="Y6532" s="63">
        <v>49065</v>
      </c>
      <c r="Z6532" s="61">
        <f>_xll.qlYieldTSDiscount($U$35,Y6532,,Trigger)</f>
        <v>0.77805103696436118</v>
      </c>
    </row>
    <row r="6533" spans="25:26" x14ac:dyDescent="0.25">
      <c r="Y6533" s="63">
        <v>49066</v>
      </c>
      <c r="Z6533" s="61">
        <f>_xll.qlYieldTSDiscount($U$35,Y6533,,Trigger)</f>
        <v>0.77801515482206429</v>
      </c>
    </row>
    <row r="6534" spans="25:26" x14ac:dyDescent="0.25">
      <c r="Y6534" s="63">
        <v>49067</v>
      </c>
      <c r="Z6534" s="61">
        <f>_xll.qlYieldTSDiscount($U$35,Y6534,,Trigger)</f>
        <v>0.77797926943756968</v>
      </c>
    </row>
    <row r="6535" spans="25:26" x14ac:dyDescent="0.25">
      <c r="Y6535" s="63">
        <v>49068</v>
      </c>
      <c r="Z6535" s="61">
        <f>_xll.qlYieldTSDiscount($U$35,Y6535,,Trigger)</f>
        <v>0.77794338080848369</v>
      </c>
    </row>
    <row r="6536" spans="25:26" x14ac:dyDescent="0.25">
      <c r="Y6536" s="63">
        <v>49069</v>
      </c>
      <c r="Z6536" s="61">
        <f>_xll.qlYieldTSDiscount($U$35,Y6536,,Trigger)</f>
        <v>0.77790748893241313</v>
      </c>
    </row>
    <row r="6537" spans="25:26" x14ac:dyDescent="0.25">
      <c r="Y6537" s="63">
        <v>49070</v>
      </c>
      <c r="Z6537" s="61">
        <f>_xll.qlYieldTSDiscount($U$35,Y6537,,Trigger)</f>
        <v>0.77787159380696413</v>
      </c>
    </row>
    <row r="6538" spans="25:26" x14ac:dyDescent="0.25">
      <c r="Y6538" s="63">
        <v>49071</v>
      </c>
      <c r="Z6538" s="61">
        <f>_xll.qlYieldTSDiscount($U$35,Y6538,,Trigger)</f>
        <v>0.7778356954297434</v>
      </c>
    </row>
    <row r="6539" spans="25:26" x14ac:dyDescent="0.25">
      <c r="Y6539" s="63">
        <v>49072</v>
      </c>
      <c r="Z6539" s="61">
        <f>_xll.qlYieldTSDiscount($U$35,Y6539,,Trigger)</f>
        <v>0.7777997937983574</v>
      </c>
    </row>
    <row r="6540" spans="25:26" x14ac:dyDescent="0.25">
      <c r="Y6540" s="63">
        <v>49073</v>
      </c>
      <c r="Z6540" s="61">
        <f>_xll.qlYieldTSDiscount($U$35,Y6540,,Trigger)</f>
        <v>0.77776388891041237</v>
      </c>
    </row>
    <row r="6541" spans="25:26" x14ac:dyDescent="0.25">
      <c r="Y6541" s="63">
        <v>49074</v>
      </c>
      <c r="Z6541" s="61">
        <f>_xll.qlYieldTSDiscount($U$35,Y6541,,Trigger)</f>
        <v>0.77772798076351524</v>
      </c>
    </row>
    <row r="6542" spans="25:26" x14ac:dyDescent="0.25">
      <c r="Y6542" s="63">
        <v>49075</v>
      </c>
      <c r="Z6542" s="61">
        <f>_xll.qlYieldTSDiscount($U$35,Y6542,,Trigger)</f>
        <v>0.77769206935527202</v>
      </c>
    </row>
    <row r="6543" spans="25:26" x14ac:dyDescent="0.25">
      <c r="Y6543" s="63">
        <v>49076</v>
      </c>
      <c r="Z6543" s="61">
        <f>_xll.qlYieldTSDiscount($U$35,Y6543,,Trigger)</f>
        <v>0.77765615468328952</v>
      </c>
    </row>
    <row r="6544" spans="25:26" x14ac:dyDescent="0.25">
      <c r="Y6544" s="63">
        <v>49077</v>
      </c>
      <c r="Z6544" s="61">
        <f>_xll.qlYieldTSDiscount($U$35,Y6544,,Trigger)</f>
        <v>0.77762023674517411</v>
      </c>
    </row>
    <row r="6545" spans="25:26" x14ac:dyDescent="0.25">
      <c r="Y6545" s="63">
        <v>49078</v>
      </c>
      <c r="Z6545" s="61">
        <f>_xll.qlYieldTSDiscount($U$35,Y6545,,Trigger)</f>
        <v>0.77758431553853224</v>
      </c>
    </row>
    <row r="6546" spans="25:26" x14ac:dyDescent="0.25">
      <c r="Y6546" s="63">
        <v>49079</v>
      </c>
      <c r="Z6546" s="61">
        <f>_xll.qlYieldTSDiscount($U$35,Y6546,,Trigger)</f>
        <v>0.7775483910609704</v>
      </c>
    </row>
    <row r="6547" spans="25:26" x14ac:dyDescent="0.25">
      <c r="Y6547" s="63">
        <v>49080</v>
      </c>
      <c r="Z6547" s="61">
        <f>_xll.qlYieldTSDiscount($U$35,Y6547,,Trigger)</f>
        <v>0.77751246331009516</v>
      </c>
    </row>
    <row r="6548" spans="25:26" x14ac:dyDescent="0.25">
      <c r="Y6548" s="63">
        <v>49081</v>
      </c>
      <c r="Z6548" s="61">
        <f>_xll.qlYieldTSDiscount($U$35,Y6548,,Trigger)</f>
        <v>0.77747653228351277</v>
      </c>
    </row>
    <row r="6549" spans="25:26" x14ac:dyDescent="0.25">
      <c r="Y6549" s="63">
        <v>49082</v>
      </c>
      <c r="Z6549" s="61">
        <f>_xll.qlYieldTSDiscount($U$35,Y6549,,Trigger)</f>
        <v>0.77744059797883003</v>
      </c>
    </row>
    <row r="6550" spans="25:26" x14ac:dyDescent="0.25">
      <c r="Y6550" s="63">
        <v>49083</v>
      </c>
      <c r="Z6550" s="61">
        <f>_xll.qlYieldTSDiscount($U$35,Y6550,,Trigger)</f>
        <v>0.77740466039365319</v>
      </c>
    </row>
    <row r="6551" spans="25:26" x14ac:dyDescent="0.25">
      <c r="Y6551" s="63">
        <v>49084</v>
      </c>
      <c r="Z6551" s="61">
        <f>_xll.qlYieldTSDiscount($U$35,Y6551,,Trigger)</f>
        <v>0.77736871952558873</v>
      </c>
    </row>
    <row r="6552" spans="25:26" x14ac:dyDescent="0.25">
      <c r="Y6552" s="63">
        <v>49085</v>
      </c>
      <c r="Z6552" s="61">
        <f>_xll.qlYieldTSDiscount($U$35,Y6552,,Trigger)</f>
        <v>0.77733277537224332</v>
      </c>
    </row>
    <row r="6553" spans="25:26" x14ac:dyDescent="0.25">
      <c r="Y6553" s="63">
        <v>49086</v>
      </c>
      <c r="Z6553" s="61">
        <f>_xll.qlYieldTSDiscount($U$35,Y6553,,Trigger)</f>
        <v>0.77729682793122323</v>
      </c>
    </row>
    <row r="6554" spans="25:26" x14ac:dyDescent="0.25">
      <c r="Y6554" s="63">
        <v>49087</v>
      </c>
      <c r="Z6554" s="61">
        <f>_xll.qlYieldTSDiscount($U$35,Y6554,,Trigger)</f>
        <v>0.77726087720013515</v>
      </c>
    </row>
    <row r="6555" spans="25:26" x14ac:dyDescent="0.25">
      <c r="Y6555" s="63">
        <v>49088</v>
      </c>
      <c r="Z6555" s="61">
        <f>_xll.qlYieldTSDiscount($U$35,Y6555,,Trigger)</f>
        <v>0.77722492317658531</v>
      </c>
    </row>
    <row r="6556" spans="25:26" x14ac:dyDescent="0.25">
      <c r="Y6556" s="63">
        <v>49089</v>
      </c>
      <c r="Z6556" s="61">
        <f>_xll.qlYieldTSDiscount($U$35,Y6556,,Trigger)</f>
        <v>0.77718896585818042</v>
      </c>
    </row>
    <row r="6557" spans="25:26" x14ac:dyDescent="0.25">
      <c r="Y6557" s="63">
        <v>49090</v>
      </c>
      <c r="Z6557" s="61">
        <f>_xll.qlYieldTSDiscount($U$35,Y6557,,Trigger)</f>
        <v>0.77715300524252684</v>
      </c>
    </row>
    <row r="6558" spans="25:26" x14ac:dyDescent="0.25">
      <c r="Y6558" s="63">
        <v>49091</v>
      </c>
      <c r="Z6558" s="61">
        <f>_xll.qlYieldTSDiscount($U$35,Y6558,,Trigger)</f>
        <v>0.77711704132723103</v>
      </c>
    </row>
    <row r="6559" spans="25:26" x14ac:dyDescent="0.25">
      <c r="Y6559" s="63">
        <v>49092</v>
      </c>
      <c r="Z6559" s="61">
        <f>_xll.qlYieldTSDiscount($U$35,Y6559,,Trigger)</f>
        <v>0.77708107410989957</v>
      </c>
    </row>
    <row r="6560" spans="25:26" x14ac:dyDescent="0.25">
      <c r="Y6560" s="63">
        <v>49093</v>
      </c>
      <c r="Z6560" s="61">
        <f>_xll.qlYieldTSDiscount($U$35,Y6560,,Trigger)</f>
        <v>0.77704510358813883</v>
      </c>
    </row>
    <row r="6561" spans="25:26" x14ac:dyDescent="0.25">
      <c r="Y6561" s="63">
        <v>49094</v>
      </c>
      <c r="Z6561" s="61">
        <f>_xll.qlYieldTSDiscount($U$35,Y6561,,Trigger)</f>
        <v>0.77700912975955538</v>
      </c>
    </row>
    <row r="6562" spans="25:26" x14ac:dyDescent="0.25">
      <c r="Y6562" s="63">
        <v>49095</v>
      </c>
      <c r="Z6562" s="61">
        <f>_xll.qlYieldTSDiscount($U$35,Y6562,,Trigger)</f>
        <v>0.77697315262175559</v>
      </c>
    </row>
    <row r="6563" spans="25:26" x14ac:dyDescent="0.25">
      <c r="Y6563" s="63">
        <v>49096</v>
      </c>
      <c r="Z6563" s="61">
        <f>_xll.qlYieldTSDiscount($U$35,Y6563,,Trigger)</f>
        <v>0.77693717217234615</v>
      </c>
    </row>
    <row r="6564" spans="25:26" x14ac:dyDescent="0.25">
      <c r="Y6564" s="63">
        <v>49097</v>
      </c>
      <c r="Z6564" s="61">
        <f>_xll.qlYieldTSDiscount($U$35,Y6564,,Trigger)</f>
        <v>0.7769011884089333</v>
      </c>
    </row>
    <row r="6565" spans="25:26" x14ac:dyDescent="0.25">
      <c r="Y6565" s="63">
        <v>49098</v>
      </c>
      <c r="Z6565" s="61">
        <f>_xll.qlYieldTSDiscount($U$35,Y6565,,Trigger)</f>
        <v>0.77686520132912373</v>
      </c>
    </row>
    <row r="6566" spans="25:26" x14ac:dyDescent="0.25">
      <c r="Y6566" s="63">
        <v>49099</v>
      </c>
      <c r="Z6566" s="61">
        <f>_xll.qlYieldTSDiscount($U$35,Y6566,,Trigger)</f>
        <v>0.77682921093052371</v>
      </c>
    </row>
    <row r="6567" spans="25:26" x14ac:dyDescent="0.25">
      <c r="Y6567" s="63">
        <v>49100</v>
      </c>
      <c r="Z6567" s="61">
        <f>_xll.qlYieldTSDiscount($U$35,Y6567,,Trigger)</f>
        <v>0.77679321721073991</v>
      </c>
    </row>
    <row r="6568" spans="25:26" x14ac:dyDescent="0.25">
      <c r="Y6568" s="63">
        <v>49101</v>
      </c>
      <c r="Z6568" s="61">
        <f>_xll.qlYieldTSDiscount($U$35,Y6568,,Trigger)</f>
        <v>0.77675722016737869</v>
      </c>
    </row>
    <row r="6569" spans="25:26" x14ac:dyDescent="0.25">
      <c r="Y6569" s="63">
        <v>49102</v>
      </c>
      <c r="Z6569" s="61">
        <f>_xll.qlYieldTSDiscount($U$35,Y6569,,Trigger)</f>
        <v>0.77672121979804654</v>
      </c>
    </row>
    <row r="6570" spans="25:26" x14ac:dyDescent="0.25">
      <c r="Y6570" s="63">
        <v>49103</v>
      </c>
      <c r="Z6570" s="61">
        <f>_xll.qlYieldTSDiscount($U$35,Y6570,,Trigger)</f>
        <v>0.77668521610035002</v>
      </c>
    </row>
    <row r="6571" spans="25:26" x14ac:dyDescent="0.25">
      <c r="Y6571" s="63">
        <v>49104</v>
      </c>
      <c r="Z6571" s="61">
        <f>_xll.qlYieldTSDiscount($U$35,Y6571,,Trigger)</f>
        <v>0.77664920907189561</v>
      </c>
    </row>
    <row r="6572" spans="25:26" x14ac:dyDescent="0.25">
      <c r="Y6572" s="63">
        <v>49105</v>
      </c>
      <c r="Z6572" s="61">
        <f>_xll.qlYieldTSDiscount($U$35,Y6572,,Trigger)</f>
        <v>0.77661319871028966</v>
      </c>
    </row>
    <row r="6573" spans="25:26" x14ac:dyDescent="0.25">
      <c r="Y6573" s="63">
        <v>49106</v>
      </c>
      <c r="Z6573" s="61">
        <f>_xll.qlYieldTSDiscount($U$35,Y6573,,Trigger)</f>
        <v>0.77657718501313877</v>
      </c>
    </row>
    <row r="6574" spans="25:26" x14ac:dyDescent="0.25">
      <c r="Y6574" s="63">
        <v>49107</v>
      </c>
      <c r="Z6574" s="61">
        <f>_xll.qlYieldTSDiscount($U$35,Y6574,,Trigger)</f>
        <v>0.77654116797804928</v>
      </c>
    </row>
    <row r="6575" spans="25:26" x14ac:dyDescent="0.25">
      <c r="Y6575" s="63">
        <v>49108</v>
      </c>
      <c r="Z6575" s="61">
        <f>_xll.qlYieldTSDiscount($U$35,Y6575,,Trigger)</f>
        <v>0.7765051476026279</v>
      </c>
    </row>
    <row r="6576" spans="25:26" x14ac:dyDescent="0.25">
      <c r="Y6576" s="63">
        <v>49109</v>
      </c>
      <c r="Z6576" s="61">
        <f>_xll.qlYieldTSDiscount($U$35,Y6576,,Trigger)</f>
        <v>0.77646912388448097</v>
      </c>
    </row>
    <row r="6577" spans="25:26" x14ac:dyDescent="0.25">
      <c r="Y6577" s="63">
        <v>49110</v>
      </c>
      <c r="Z6577" s="61">
        <f>_xll.qlYieldTSDiscount($U$35,Y6577,,Trigger)</f>
        <v>0.77643309682121497</v>
      </c>
    </row>
    <row r="6578" spans="25:26" x14ac:dyDescent="0.25">
      <c r="Y6578" s="63">
        <v>49111</v>
      </c>
      <c r="Z6578" s="61">
        <f>_xll.qlYieldTSDiscount($U$35,Y6578,,Trigger)</f>
        <v>0.77639706641043638</v>
      </c>
    </row>
    <row r="6579" spans="25:26" x14ac:dyDescent="0.25">
      <c r="Y6579" s="63">
        <v>49112</v>
      </c>
      <c r="Z6579" s="61">
        <f>_xll.qlYieldTSDiscount($U$35,Y6579,,Trigger)</f>
        <v>0.77636103264975176</v>
      </c>
    </row>
    <row r="6580" spans="25:26" x14ac:dyDescent="0.25">
      <c r="Y6580" s="63">
        <v>49113</v>
      </c>
      <c r="Z6580" s="61">
        <f>_xll.qlYieldTSDiscount($U$35,Y6580,,Trigger)</f>
        <v>0.77632499553676737</v>
      </c>
    </row>
    <row r="6581" spans="25:26" x14ac:dyDescent="0.25">
      <c r="Y6581" s="63">
        <v>49114</v>
      </c>
      <c r="Z6581" s="61">
        <f>_xll.qlYieldTSDiscount($U$35,Y6581,,Trigger)</f>
        <v>0.77628895506909001</v>
      </c>
    </row>
    <row r="6582" spans="25:26" x14ac:dyDescent="0.25">
      <c r="Y6582" s="63">
        <v>49115</v>
      </c>
      <c r="Z6582" s="61">
        <f>_xll.qlYieldTSDiscount($U$35,Y6582,,Trigger)</f>
        <v>0.77625291124432594</v>
      </c>
    </row>
    <row r="6583" spans="25:26" x14ac:dyDescent="0.25">
      <c r="Y6583" s="63">
        <v>49116</v>
      </c>
      <c r="Z6583" s="61">
        <f>_xll.qlYieldTSDiscount($U$35,Y6583,,Trigger)</f>
        <v>0.77621686406008172</v>
      </c>
    </row>
    <row r="6584" spans="25:26" x14ac:dyDescent="0.25">
      <c r="Y6584" s="63">
        <v>49117</v>
      </c>
      <c r="Z6584" s="61">
        <f>_xll.qlYieldTSDiscount($U$35,Y6584,,Trigger)</f>
        <v>0.77618081351396373</v>
      </c>
    </row>
    <row r="6585" spans="25:26" x14ac:dyDescent="0.25">
      <c r="Y6585" s="63">
        <v>49118</v>
      </c>
      <c r="Z6585" s="61">
        <f>_xll.qlYieldTSDiscount($U$35,Y6585,,Trigger)</f>
        <v>0.77614475960357865</v>
      </c>
    </row>
    <row r="6586" spans="25:26" x14ac:dyDescent="0.25">
      <c r="Y6586" s="63">
        <v>49119</v>
      </c>
      <c r="Z6586" s="61">
        <f>_xll.qlYieldTSDiscount($U$35,Y6586,,Trigger)</f>
        <v>0.77610870232653273</v>
      </c>
    </row>
    <row r="6587" spans="25:26" x14ac:dyDescent="0.25">
      <c r="Y6587" s="63">
        <v>49120</v>
      </c>
      <c r="Z6587" s="61">
        <f>_xll.qlYieldTSDiscount($U$35,Y6587,,Trigger)</f>
        <v>0.77607264168043266</v>
      </c>
    </row>
    <row r="6588" spans="25:26" x14ac:dyDescent="0.25">
      <c r="Y6588" s="63">
        <v>49121</v>
      </c>
      <c r="Z6588" s="61">
        <f>_xll.qlYieldTSDiscount($U$35,Y6588,,Trigger)</f>
        <v>0.7760365776628847</v>
      </c>
    </row>
    <row r="6589" spans="25:26" x14ac:dyDescent="0.25">
      <c r="Y6589" s="63">
        <v>49122</v>
      </c>
      <c r="Z6589" s="61">
        <f>_xll.qlYieldTSDiscount($U$35,Y6589,,Trigger)</f>
        <v>0.77600051027149552</v>
      </c>
    </row>
    <row r="6590" spans="25:26" x14ac:dyDescent="0.25">
      <c r="Y6590" s="63">
        <v>49123</v>
      </c>
      <c r="Z6590" s="61">
        <f>_xll.qlYieldTSDiscount($U$35,Y6590,,Trigger)</f>
        <v>0.77596443950387162</v>
      </c>
    </row>
    <row r="6591" spans="25:26" x14ac:dyDescent="0.25">
      <c r="Y6591" s="63">
        <v>49124</v>
      </c>
      <c r="Z6591" s="61">
        <f>_xll.qlYieldTSDiscount($U$35,Y6591,,Trigger)</f>
        <v>0.77592836535761922</v>
      </c>
    </row>
    <row r="6592" spans="25:26" x14ac:dyDescent="0.25">
      <c r="Y6592" s="63">
        <v>49125</v>
      </c>
      <c r="Z6592" s="61">
        <f>_xll.qlYieldTSDiscount($U$35,Y6592,,Trigger)</f>
        <v>0.77589228783034514</v>
      </c>
    </row>
    <row r="6593" spans="25:26" x14ac:dyDescent="0.25">
      <c r="Y6593" s="63">
        <v>49126</v>
      </c>
      <c r="Z6593" s="61">
        <f>_xll.qlYieldTSDiscount($U$35,Y6593,,Trigger)</f>
        <v>0.77585620691965562</v>
      </c>
    </row>
    <row r="6594" spans="25:26" x14ac:dyDescent="0.25">
      <c r="Y6594" s="63">
        <v>49127</v>
      </c>
      <c r="Z6594" s="61">
        <f>_xll.qlYieldTSDiscount($U$35,Y6594,,Trigger)</f>
        <v>0.77582012262315725</v>
      </c>
    </row>
    <row r="6595" spans="25:26" x14ac:dyDescent="0.25">
      <c r="Y6595" s="63">
        <v>49128</v>
      </c>
      <c r="Z6595" s="61">
        <f>_xll.qlYieldTSDiscount($U$35,Y6595,,Trigger)</f>
        <v>0.77578403493845638</v>
      </c>
    </row>
    <row r="6596" spans="25:26" x14ac:dyDescent="0.25">
      <c r="Y6596" s="63">
        <v>49129</v>
      </c>
      <c r="Z6596" s="61">
        <f>_xll.qlYieldTSDiscount($U$35,Y6596,,Trigger)</f>
        <v>0.77574794386315971</v>
      </c>
    </row>
    <row r="6597" spans="25:26" x14ac:dyDescent="0.25">
      <c r="Y6597" s="63">
        <v>49130</v>
      </c>
      <c r="Z6597" s="61">
        <f>_xll.qlYieldTSDiscount($U$35,Y6597,,Trigger)</f>
        <v>0.77571184939487359</v>
      </c>
    </row>
    <row r="6598" spans="25:26" x14ac:dyDescent="0.25">
      <c r="Y6598" s="63">
        <v>49131</v>
      </c>
      <c r="Z6598" s="61">
        <f>_xll.qlYieldTSDiscount($U$35,Y6598,,Trigger)</f>
        <v>0.77567575153120438</v>
      </c>
    </row>
    <row r="6599" spans="25:26" x14ac:dyDescent="0.25">
      <c r="Y6599" s="63">
        <v>49132</v>
      </c>
      <c r="Z6599" s="61">
        <f>_xll.qlYieldTSDiscount($U$35,Y6599,,Trigger)</f>
        <v>0.77563965026975878</v>
      </c>
    </row>
    <row r="6600" spans="25:26" x14ac:dyDescent="0.25">
      <c r="Y6600" s="63">
        <v>49133</v>
      </c>
      <c r="Z6600" s="61">
        <f>_xll.qlYieldTSDiscount($U$35,Y6600,,Trigger)</f>
        <v>0.77560354560814315</v>
      </c>
    </row>
    <row r="6601" spans="25:26" x14ac:dyDescent="0.25">
      <c r="Y6601" s="63">
        <v>49134</v>
      </c>
      <c r="Z6601" s="61">
        <f>_xll.qlYieldTSDiscount($U$35,Y6601,,Trigger)</f>
        <v>0.77556743754396407</v>
      </c>
    </row>
    <row r="6602" spans="25:26" x14ac:dyDescent="0.25">
      <c r="Y6602" s="63">
        <v>49135</v>
      </c>
      <c r="Z6602" s="61">
        <f>_xll.qlYieldTSDiscount($U$35,Y6602,,Trigger)</f>
        <v>0.77553132607482789</v>
      </c>
    </row>
    <row r="6603" spans="25:26" x14ac:dyDescent="0.25">
      <c r="Y6603" s="63">
        <v>49136</v>
      </c>
      <c r="Z6603" s="61">
        <f>_xll.qlYieldTSDiscount($U$35,Y6603,,Trigger)</f>
        <v>0.77549521119834108</v>
      </c>
    </row>
    <row r="6604" spans="25:26" x14ac:dyDescent="0.25">
      <c r="Y6604" s="63">
        <v>49137</v>
      </c>
      <c r="Z6604" s="61">
        <f>_xll.qlYieldTSDiscount($U$35,Y6604,,Trigger)</f>
        <v>0.77545909291211035</v>
      </c>
    </row>
    <row r="6605" spans="25:26" x14ac:dyDescent="0.25">
      <c r="Y6605" s="63">
        <v>49138</v>
      </c>
      <c r="Z6605" s="61">
        <f>_xll.qlYieldTSDiscount($U$35,Y6605,,Trigger)</f>
        <v>0.77542297121374193</v>
      </c>
    </row>
    <row r="6606" spans="25:26" x14ac:dyDescent="0.25">
      <c r="Y6606" s="63">
        <v>49139</v>
      </c>
      <c r="Z6606" s="61">
        <f>_xll.qlYieldTSDiscount($U$35,Y6606,,Trigger)</f>
        <v>0.77538684610084241</v>
      </c>
    </row>
    <row r="6607" spans="25:26" x14ac:dyDescent="0.25">
      <c r="Y6607" s="63">
        <v>49140</v>
      </c>
      <c r="Z6607" s="61">
        <f>_xll.qlYieldTSDiscount($U$35,Y6607,,Trigger)</f>
        <v>0.77535071757101826</v>
      </c>
    </row>
    <row r="6608" spans="25:26" x14ac:dyDescent="0.25">
      <c r="Y6608" s="63">
        <v>49141</v>
      </c>
      <c r="Z6608" s="61">
        <f>_xll.qlYieldTSDiscount($U$35,Y6608,,Trigger)</f>
        <v>0.77531458562187594</v>
      </c>
    </row>
    <row r="6609" spans="25:26" x14ac:dyDescent="0.25">
      <c r="Y6609" s="63">
        <v>49142</v>
      </c>
      <c r="Z6609" s="61">
        <f>_xll.qlYieldTSDiscount($U$35,Y6609,,Trigger)</f>
        <v>0.77527845025102193</v>
      </c>
    </row>
    <row r="6610" spans="25:26" x14ac:dyDescent="0.25">
      <c r="Y6610" s="63">
        <v>49143</v>
      </c>
      <c r="Z6610" s="61">
        <f>_xll.qlYieldTSDiscount($U$35,Y6610,,Trigger)</f>
        <v>0.77524231145606282</v>
      </c>
    </row>
    <row r="6611" spans="25:26" x14ac:dyDescent="0.25">
      <c r="Y6611" s="63">
        <v>49144</v>
      </c>
      <c r="Z6611" s="61">
        <f>_xll.qlYieldTSDiscount($U$35,Y6611,,Trigger)</f>
        <v>0.77520616923460484</v>
      </c>
    </row>
    <row r="6612" spans="25:26" x14ac:dyDescent="0.25">
      <c r="Y6612" s="63">
        <v>49145</v>
      </c>
      <c r="Z6612" s="61">
        <f>_xll.qlYieldTSDiscount($U$35,Y6612,,Trigger)</f>
        <v>0.77517002358425469</v>
      </c>
    </row>
    <row r="6613" spans="25:26" x14ac:dyDescent="0.25">
      <c r="Y6613" s="63">
        <v>49146</v>
      </c>
      <c r="Z6613" s="61">
        <f>_xll.qlYieldTSDiscount($U$35,Y6613,,Trigger)</f>
        <v>0.77513387450261884</v>
      </c>
    </row>
    <row r="6614" spans="25:26" x14ac:dyDescent="0.25">
      <c r="Y6614" s="63">
        <v>49147</v>
      </c>
      <c r="Z6614" s="61">
        <f>_xll.qlYieldTSDiscount($U$35,Y6614,,Trigger)</f>
        <v>0.77509772198730365</v>
      </c>
    </row>
    <row r="6615" spans="25:26" x14ac:dyDescent="0.25">
      <c r="Y6615" s="63">
        <v>49148</v>
      </c>
      <c r="Z6615" s="61">
        <f>_xll.qlYieldTSDiscount($U$35,Y6615,,Trigger)</f>
        <v>0.77506156603591581</v>
      </c>
    </row>
    <row r="6616" spans="25:26" x14ac:dyDescent="0.25">
      <c r="Y6616" s="63">
        <v>49149</v>
      </c>
      <c r="Z6616" s="61">
        <f>_xll.qlYieldTSDiscount($U$35,Y6616,,Trigger)</f>
        <v>0.77502540664606157</v>
      </c>
    </row>
    <row r="6617" spans="25:26" x14ac:dyDescent="0.25">
      <c r="Y6617" s="63">
        <v>49150</v>
      </c>
      <c r="Z6617" s="61">
        <f>_xll.qlYieldTSDiscount($U$35,Y6617,,Trigger)</f>
        <v>0.7749892438153474</v>
      </c>
    </row>
    <row r="6618" spans="25:26" x14ac:dyDescent="0.25">
      <c r="Y6618" s="63">
        <v>49151</v>
      </c>
      <c r="Z6618" s="61">
        <f>_xll.qlYieldTSDiscount($U$35,Y6618,,Trigger)</f>
        <v>0.77495307754137999</v>
      </c>
    </row>
    <row r="6619" spans="25:26" x14ac:dyDescent="0.25">
      <c r="Y6619" s="63">
        <v>49152</v>
      </c>
      <c r="Z6619" s="61">
        <f>_xll.qlYieldTSDiscount($U$35,Y6619,,Trigger)</f>
        <v>0.7749169078217657</v>
      </c>
    </row>
    <row r="6620" spans="25:26" x14ac:dyDescent="0.25">
      <c r="Y6620" s="63">
        <v>49153</v>
      </c>
      <c r="Z6620" s="61">
        <f>_xll.qlYieldTSDiscount($U$35,Y6620,,Trigger)</f>
        <v>0.774880734654111</v>
      </c>
    </row>
    <row r="6621" spans="25:26" x14ac:dyDescent="0.25">
      <c r="Y6621" s="63">
        <v>49154</v>
      </c>
      <c r="Z6621" s="61">
        <f>_xll.qlYieldTSDiscount($U$35,Y6621,,Trigger)</f>
        <v>0.77484455803602237</v>
      </c>
    </row>
    <row r="6622" spans="25:26" x14ac:dyDescent="0.25">
      <c r="Y6622" s="63">
        <v>49155</v>
      </c>
      <c r="Z6622" s="61">
        <f>_xll.qlYieldTSDiscount($U$35,Y6622,,Trigger)</f>
        <v>0.77480837796510638</v>
      </c>
    </row>
    <row r="6623" spans="25:26" x14ac:dyDescent="0.25">
      <c r="Y6623" s="63">
        <v>49156</v>
      </c>
      <c r="Z6623" s="61">
        <f>_xll.qlYieldTSDiscount($U$35,Y6623,,Trigger)</f>
        <v>0.77477219443896939</v>
      </c>
    </row>
    <row r="6624" spans="25:26" x14ac:dyDescent="0.25">
      <c r="Y6624" s="63">
        <v>49157</v>
      </c>
      <c r="Z6624" s="61">
        <f>_xll.qlYieldTSDiscount($U$35,Y6624,,Trigger)</f>
        <v>0.77473600745521798</v>
      </c>
    </row>
    <row r="6625" spans="25:26" x14ac:dyDescent="0.25">
      <c r="Y6625" s="63">
        <v>49158</v>
      </c>
      <c r="Z6625" s="61">
        <f>_xll.qlYieldTSDiscount($U$35,Y6625,,Trigger)</f>
        <v>0.77469981701145851</v>
      </c>
    </row>
    <row r="6626" spans="25:26" x14ac:dyDescent="0.25">
      <c r="Y6626" s="63">
        <v>49159</v>
      </c>
      <c r="Z6626" s="61">
        <f>_xll.qlYieldTSDiscount($U$35,Y6626,,Trigger)</f>
        <v>0.77466362310529768</v>
      </c>
    </row>
    <row r="6627" spans="25:26" x14ac:dyDescent="0.25">
      <c r="Y6627" s="63">
        <v>49160</v>
      </c>
      <c r="Z6627" s="61">
        <f>_xll.qlYieldTSDiscount($U$35,Y6627,,Trigger)</f>
        <v>0.77462742573434162</v>
      </c>
    </row>
    <row r="6628" spans="25:26" x14ac:dyDescent="0.25">
      <c r="Y6628" s="63">
        <v>49161</v>
      </c>
      <c r="Z6628" s="61">
        <f>_xll.qlYieldTSDiscount($U$35,Y6628,,Trigger)</f>
        <v>0.77459122489619714</v>
      </c>
    </row>
    <row r="6629" spans="25:26" x14ac:dyDescent="0.25">
      <c r="Y6629" s="63">
        <v>49162</v>
      </c>
      <c r="Z6629" s="61">
        <f>_xll.qlYieldTSDiscount($U$35,Y6629,,Trigger)</f>
        <v>0.77455502058847059</v>
      </c>
    </row>
    <row r="6630" spans="25:26" x14ac:dyDescent="0.25">
      <c r="Y6630" s="63">
        <v>49163</v>
      </c>
      <c r="Z6630" s="61">
        <f>_xll.qlYieldTSDiscount($U$35,Y6630,,Trigger)</f>
        <v>0.77451881280876844</v>
      </c>
    </row>
    <row r="6631" spans="25:26" x14ac:dyDescent="0.25">
      <c r="Y6631" s="63">
        <v>49164</v>
      </c>
      <c r="Z6631" s="61">
        <f>_xll.qlYieldTSDiscount($U$35,Y6631,,Trigger)</f>
        <v>0.77448260155469728</v>
      </c>
    </row>
    <row r="6632" spans="25:26" x14ac:dyDescent="0.25">
      <c r="Y6632" s="63">
        <v>49165</v>
      </c>
      <c r="Z6632" s="61">
        <f>_xll.qlYieldTSDiscount($U$35,Y6632,,Trigger)</f>
        <v>0.77444638682386335</v>
      </c>
    </row>
    <row r="6633" spans="25:26" x14ac:dyDescent="0.25">
      <c r="Y6633" s="63">
        <v>49166</v>
      </c>
      <c r="Z6633" s="61">
        <f>_xll.qlYieldTSDiscount($U$35,Y6633,,Trigger)</f>
        <v>0.77441016861387335</v>
      </c>
    </row>
    <row r="6634" spans="25:26" x14ac:dyDescent="0.25">
      <c r="Y6634" s="63">
        <v>49167</v>
      </c>
      <c r="Z6634" s="61">
        <f>_xll.qlYieldTSDiscount($U$35,Y6634,,Trigger)</f>
        <v>0.77437394692233374</v>
      </c>
    </row>
    <row r="6635" spans="25:26" x14ac:dyDescent="0.25">
      <c r="Y6635" s="63">
        <v>49168</v>
      </c>
      <c r="Z6635" s="61">
        <f>_xll.qlYieldTSDiscount($U$35,Y6635,,Trigger)</f>
        <v>0.77433772174685089</v>
      </c>
    </row>
    <row r="6636" spans="25:26" x14ac:dyDescent="0.25">
      <c r="Y6636" s="63">
        <v>49169</v>
      </c>
      <c r="Z6636" s="61">
        <f>_xll.qlYieldTSDiscount($U$35,Y6636,,Trigger)</f>
        <v>0.77430149308503138</v>
      </c>
    </row>
    <row r="6637" spans="25:26" x14ac:dyDescent="0.25">
      <c r="Y6637" s="63">
        <v>49170</v>
      </c>
      <c r="Z6637" s="61">
        <f>_xll.qlYieldTSDiscount($U$35,Y6637,,Trigger)</f>
        <v>0.77426526093448156</v>
      </c>
    </row>
    <row r="6638" spans="25:26" x14ac:dyDescent="0.25">
      <c r="Y6638" s="63">
        <v>49171</v>
      </c>
      <c r="Z6638" s="61">
        <f>_xll.qlYieldTSDiscount($U$35,Y6638,,Trigger)</f>
        <v>0.77422902529280813</v>
      </c>
    </row>
    <row r="6639" spans="25:26" x14ac:dyDescent="0.25">
      <c r="Y6639" s="63">
        <v>49172</v>
      </c>
      <c r="Z6639" s="61">
        <f>_xll.qlYieldTSDiscount($U$35,Y6639,,Trigger)</f>
        <v>0.77419278615761733</v>
      </c>
    </row>
    <row r="6640" spans="25:26" x14ac:dyDescent="0.25">
      <c r="Y6640" s="63">
        <v>49173</v>
      </c>
      <c r="Z6640" s="61">
        <f>_xll.qlYieldTSDiscount($U$35,Y6640,,Trigger)</f>
        <v>0.77415654352651586</v>
      </c>
    </row>
    <row r="6641" spans="25:26" x14ac:dyDescent="0.25">
      <c r="Y6641" s="63">
        <v>49174</v>
      </c>
      <c r="Z6641" s="61">
        <f>_xll.qlYieldTSDiscount($U$35,Y6641,,Trigger)</f>
        <v>0.77412029739710997</v>
      </c>
    </row>
    <row r="6642" spans="25:26" x14ac:dyDescent="0.25">
      <c r="Y6642" s="63">
        <v>49175</v>
      </c>
      <c r="Z6642" s="61">
        <f>_xll.qlYieldTSDiscount($U$35,Y6642,,Trigger)</f>
        <v>0.77408404776700634</v>
      </c>
    </row>
    <row r="6643" spans="25:26" x14ac:dyDescent="0.25">
      <c r="Y6643" s="63">
        <v>49176</v>
      </c>
      <c r="Z6643" s="61">
        <f>_xll.qlYieldTSDiscount($U$35,Y6643,,Trigger)</f>
        <v>0.77404779463381146</v>
      </c>
    </row>
    <row r="6644" spans="25:26" x14ac:dyDescent="0.25">
      <c r="Y6644" s="63">
        <v>49177</v>
      </c>
      <c r="Z6644" s="61">
        <f>_xll.qlYieldTSDiscount($U$35,Y6644,,Trigger)</f>
        <v>0.77401153799513156</v>
      </c>
    </row>
    <row r="6645" spans="25:26" x14ac:dyDescent="0.25">
      <c r="Y6645" s="63">
        <v>49178</v>
      </c>
      <c r="Z6645" s="61">
        <f>_xll.qlYieldTSDiscount($U$35,Y6645,,Trigger)</f>
        <v>0.77397527784857345</v>
      </c>
    </row>
    <row r="6646" spans="25:26" x14ac:dyDescent="0.25">
      <c r="Y6646" s="63">
        <v>49179</v>
      </c>
      <c r="Z6646" s="61">
        <f>_xll.qlYieldTSDiscount($U$35,Y6646,,Trigger)</f>
        <v>0.77393901419174338</v>
      </c>
    </row>
    <row r="6647" spans="25:26" x14ac:dyDescent="0.25">
      <c r="Y6647" s="63">
        <v>49180</v>
      </c>
      <c r="Z6647" s="61">
        <f>_xll.qlYieldTSDiscount($U$35,Y6647,,Trigger)</f>
        <v>0.77390274702224782</v>
      </c>
    </row>
    <row r="6648" spans="25:26" x14ac:dyDescent="0.25">
      <c r="Y6648" s="63">
        <v>49181</v>
      </c>
      <c r="Z6648" s="61">
        <f>_xll.qlYieldTSDiscount($U$35,Y6648,,Trigger)</f>
        <v>0.77386647633769345</v>
      </c>
    </row>
    <row r="6649" spans="25:26" x14ac:dyDescent="0.25">
      <c r="Y6649" s="63">
        <v>49182</v>
      </c>
      <c r="Z6649" s="61">
        <f>_xll.qlYieldTSDiscount($U$35,Y6649,,Trigger)</f>
        <v>0.77383020213568654</v>
      </c>
    </row>
    <row r="6650" spans="25:26" x14ac:dyDescent="0.25">
      <c r="Y6650" s="63">
        <v>49183</v>
      </c>
      <c r="Z6650" s="61">
        <f>_xll.qlYieldTSDiscount($U$35,Y6650,,Trigger)</f>
        <v>0.77379392441383377</v>
      </c>
    </row>
    <row r="6651" spans="25:26" x14ac:dyDescent="0.25">
      <c r="Y6651" s="63">
        <v>49184</v>
      </c>
      <c r="Z6651" s="61">
        <f>_xll.qlYieldTSDiscount($U$35,Y6651,,Trigger)</f>
        <v>0.77375764316974138</v>
      </c>
    </row>
    <row r="6652" spans="25:26" x14ac:dyDescent="0.25">
      <c r="Y6652" s="63">
        <v>49185</v>
      </c>
      <c r="Z6652" s="61">
        <f>_xll.qlYieldTSDiscount($U$35,Y6652,,Trigger)</f>
        <v>0.77372135840101608</v>
      </c>
    </row>
    <row r="6653" spans="25:26" x14ac:dyDescent="0.25">
      <c r="Y6653" s="63">
        <v>49186</v>
      </c>
      <c r="Z6653" s="61">
        <f>_xll.qlYieldTSDiscount($U$35,Y6653,,Trigger)</f>
        <v>0.77368507010526422</v>
      </c>
    </row>
    <row r="6654" spans="25:26" x14ac:dyDescent="0.25">
      <c r="Y6654" s="63">
        <v>49187</v>
      </c>
      <c r="Z6654" s="61">
        <f>_xll.qlYieldTSDiscount($U$35,Y6654,,Trigger)</f>
        <v>0.77364877828009226</v>
      </c>
    </row>
    <row r="6655" spans="25:26" x14ac:dyDescent="0.25">
      <c r="Y6655" s="63">
        <v>49188</v>
      </c>
      <c r="Z6655" s="61">
        <f>_xll.qlYieldTSDiscount($U$35,Y6655,,Trigger)</f>
        <v>0.7736124829231068</v>
      </c>
    </row>
    <row r="6656" spans="25:26" x14ac:dyDescent="0.25">
      <c r="Y6656" s="63">
        <v>49189</v>
      </c>
      <c r="Z6656" s="61">
        <f>_xll.qlYieldTSDiscount($U$35,Y6656,,Trigger)</f>
        <v>0.77357618403191419</v>
      </c>
    </row>
    <row r="6657" spans="25:26" x14ac:dyDescent="0.25">
      <c r="Y6657" s="63">
        <v>49190</v>
      </c>
      <c r="Z6657" s="61">
        <f>_xll.qlYieldTSDiscount($U$35,Y6657,,Trigger)</f>
        <v>0.77353988160412102</v>
      </c>
    </row>
    <row r="6658" spans="25:26" x14ac:dyDescent="0.25">
      <c r="Y6658" s="63">
        <v>49191</v>
      </c>
      <c r="Z6658" s="61">
        <f>_xll.qlYieldTSDiscount($U$35,Y6658,,Trigger)</f>
        <v>0.77350357563733374</v>
      </c>
    </row>
    <row r="6659" spans="25:26" x14ac:dyDescent="0.25">
      <c r="Y6659" s="63">
        <v>49192</v>
      </c>
      <c r="Z6659" s="61">
        <f>_xll.qlYieldTSDiscount($U$35,Y6659,,Trigger)</f>
        <v>0.77346726612915873</v>
      </c>
    </row>
    <row r="6660" spans="25:26" x14ac:dyDescent="0.25">
      <c r="Y6660" s="63">
        <v>49193</v>
      </c>
      <c r="Z6660" s="61">
        <f>_xll.qlYieldTSDiscount($U$35,Y6660,,Trigger)</f>
        <v>0.77343095307720267</v>
      </c>
    </row>
    <row r="6661" spans="25:26" x14ac:dyDescent="0.25">
      <c r="Y6661" s="63">
        <v>49194</v>
      </c>
      <c r="Z6661" s="61">
        <f>_xll.qlYieldTSDiscount($U$35,Y6661,,Trigger)</f>
        <v>0.77339463647907192</v>
      </c>
    </row>
    <row r="6662" spans="25:26" x14ac:dyDescent="0.25">
      <c r="Y6662" s="63">
        <v>49195</v>
      </c>
      <c r="Z6662" s="61">
        <f>_xll.qlYieldTSDiscount($U$35,Y6662,,Trigger)</f>
        <v>0.77335831633237284</v>
      </c>
    </row>
    <row r="6663" spans="25:26" x14ac:dyDescent="0.25">
      <c r="Y6663" s="63">
        <v>49196</v>
      </c>
      <c r="Z6663" s="61">
        <f>_xll.qlYieldTSDiscount($U$35,Y6663,,Trigger)</f>
        <v>0.77332199263471213</v>
      </c>
    </row>
    <row r="6664" spans="25:26" x14ac:dyDescent="0.25">
      <c r="Y6664" s="63">
        <v>49197</v>
      </c>
      <c r="Z6664" s="61">
        <f>_xll.qlYieldTSDiscount($U$35,Y6664,,Trigger)</f>
        <v>0.77328566538369625</v>
      </c>
    </row>
    <row r="6665" spans="25:26" x14ac:dyDescent="0.25">
      <c r="Y6665" s="63">
        <v>49198</v>
      </c>
      <c r="Z6665" s="61">
        <f>_xll.qlYieldTSDiscount($U$35,Y6665,,Trigger)</f>
        <v>0.77324933457693157</v>
      </c>
    </row>
    <row r="6666" spans="25:26" x14ac:dyDescent="0.25">
      <c r="Y6666" s="63">
        <v>49199</v>
      </c>
      <c r="Z6666" s="61">
        <f>_xll.qlYieldTSDiscount($U$35,Y6666,,Trigger)</f>
        <v>0.77321300021202455</v>
      </c>
    </row>
    <row r="6667" spans="25:26" x14ac:dyDescent="0.25">
      <c r="Y6667" s="63">
        <v>49200</v>
      </c>
      <c r="Z6667" s="61">
        <f>_xll.qlYieldTSDiscount($U$35,Y6667,,Trigger)</f>
        <v>0.77317666228658166</v>
      </c>
    </row>
    <row r="6668" spans="25:26" x14ac:dyDescent="0.25">
      <c r="Y6668" s="63">
        <v>49201</v>
      </c>
      <c r="Z6668" s="61">
        <f>_xll.qlYieldTSDiscount($U$35,Y6668,,Trigger)</f>
        <v>0.7731403207982096</v>
      </c>
    </row>
    <row r="6669" spans="25:26" x14ac:dyDescent="0.25">
      <c r="Y6669" s="63">
        <v>49202</v>
      </c>
      <c r="Z6669" s="61">
        <f>_xll.qlYieldTSDiscount($U$35,Y6669,,Trigger)</f>
        <v>0.77310397574451473</v>
      </c>
    </row>
    <row r="6670" spans="25:26" x14ac:dyDescent="0.25">
      <c r="Y6670" s="63">
        <v>49203</v>
      </c>
      <c r="Z6670" s="61">
        <f>_xll.qlYieldTSDiscount($U$35,Y6670,,Trigger)</f>
        <v>0.7730676271231034</v>
      </c>
    </row>
    <row r="6671" spans="25:26" x14ac:dyDescent="0.25">
      <c r="Y6671" s="63">
        <v>49204</v>
      </c>
      <c r="Z6671" s="61">
        <f>_xll.qlYieldTSDiscount($U$35,Y6671,,Trigger)</f>
        <v>0.77303127493158219</v>
      </c>
    </row>
    <row r="6672" spans="25:26" x14ac:dyDescent="0.25">
      <c r="Y6672" s="63">
        <v>49205</v>
      </c>
      <c r="Z6672" s="61">
        <f>_xll.qlYieldTSDiscount($U$35,Y6672,,Trigger)</f>
        <v>0.77299491916755758</v>
      </c>
    </row>
    <row r="6673" spans="25:26" x14ac:dyDescent="0.25">
      <c r="Y6673" s="63">
        <v>49206</v>
      </c>
      <c r="Z6673" s="61">
        <f>_xll.qlYieldTSDiscount($U$35,Y6673,,Trigger)</f>
        <v>0.77295855982863615</v>
      </c>
    </row>
    <row r="6674" spans="25:26" x14ac:dyDescent="0.25">
      <c r="Y6674" s="63">
        <v>49207</v>
      </c>
      <c r="Z6674" s="61">
        <f>_xll.qlYieldTSDiscount($U$35,Y6674,,Trigger)</f>
        <v>0.77292219691242425</v>
      </c>
    </row>
    <row r="6675" spans="25:26" x14ac:dyDescent="0.25">
      <c r="Y6675" s="63">
        <v>49208</v>
      </c>
      <c r="Z6675" s="61">
        <f>_xll.qlYieldTSDiscount($U$35,Y6675,,Trigger)</f>
        <v>0.77288583041652825</v>
      </c>
    </row>
    <row r="6676" spans="25:26" x14ac:dyDescent="0.25">
      <c r="Y6676" s="63">
        <v>49209</v>
      </c>
      <c r="Z6676" s="61">
        <f>_xll.qlYieldTSDiscount($U$35,Y6676,,Trigger)</f>
        <v>0.77284946033855495</v>
      </c>
    </row>
    <row r="6677" spans="25:26" x14ac:dyDescent="0.25">
      <c r="Y6677" s="63">
        <v>49210</v>
      </c>
      <c r="Z6677" s="61">
        <f>_xll.qlYieldTSDiscount($U$35,Y6677,,Trigger)</f>
        <v>0.77281308667611059</v>
      </c>
    </row>
    <row r="6678" spans="25:26" x14ac:dyDescent="0.25">
      <c r="Y6678" s="63">
        <v>49211</v>
      </c>
      <c r="Z6678" s="61">
        <f>_xll.qlYieldTSDiscount($U$35,Y6678,,Trigger)</f>
        <v>0.77277670942680177</v>
      </c>
    </row>
    <row r="6679" spans="25:26" x14ac:dyDescent="0.25">
      <c r="Y6679" s="63">
        <v>49212</v>
      </c>
      <c r="Z6679" s="61">
        <f>_xll.qlYieldTSDiscount($U$35,Y6679,,Trigger)</f>
        <v>0.77274032858823483</v>
      </c>
    </row>
    <row r="6680" spans="25:26" x14ac:dyDescent="0.25">
      <c r="Y6680" s="63">
        <v>49213</v>
      </c>
      <c r="Z6680" s="61">
        <f>_xll.qlYieldTSDiscount($U$35,Y6680,,Trigger)</f>
        <v>0.77270394415801635</v>
      </c>
    </row>
    <row r="6681" spans="25:26" x14ac:dyDescent="0.25">
      <c r="Y6681" s="63">
        <v>49214</v>
      </c>
      <c r="Z6681" s="61">
        <f>_xll.qlYieldTSDiscount($U$35,Y6681,,Trigger)</f>
        <v>0.77266755613375293</v>
      </c>
    </row>
    <row r="6682" spans="25:26" x14ac:dyDescent="0.25">
      <c r="Y6682" s="63">
        <v>49215</v>
      </c>
      <c r="Z6682" s="61">
        <f>_xll.qlYieldTSDiscount($U$35,Y6682,,Trigger)</f>
        <v>0.77263116451305081</v>
      </c>
    </row>
    <row r="6683" spans="25:26" x14ac:dyDescent="0.25">
      <c r="Y6683" s="63">
        <v>49216</v>
      </c>
      <c r="Z6683" s="61">
        <f>_xll.qlYieldTSDiscount($U$35,Y6683,,Trigger)</f>
        <v>0.77259476929351656</v>
      </c>
    </row>
    <row r="6684" spans="25:26" x14ac:dyDescent="0.25">
      <c r="Y6684" s="63">
        <v>49217</v>
      </c>
      <c r="Z6684" s="61">
        <f>_xll.qlYieldTSDiscount($U$35,Y6684,,Trigger)</f>
        <v>0.77255837047275677</v>
      </c>
    </row>
    <row r="6685" spans="25:26" x14ac:dyDescent="0.25">
      <c r="Y6685" s="63">
        <v>49218</v>
      </c>
      <c r="Z6685" s="61">
        <f>_xll.qlYieldTSDiscount($U$35,Y6685,,Trigger)</f>
        <v>0.77252196804837781</v>
      </c>
    </row>
    <row r="6686" spans="25:26" x14ac:dyDescent="0.25">
      <c r="Y6686" s="63">
        <v>49219</v>
      </c>
      <c r="Z6686" s="61">
        <f>_xll.qlYieldTSDiscount($U$35,Y6686,,Trigger)</f>
        <v>0.77248556201798613</v>
      </c>
    </row>
    <row r="6687" spans="25:26" x14ac:dyDescent="0.25">
      <c r="Y6687" s="63">
        <v>49220</v>
      </c>
      <c r="Z6687" s="61">
        <f>_xll.qlYieldTSDiscount($U$35,Y6687,,Trigger)</f>
        <v>0.77244915237918821</v>
      </c>
    </row>
    <row r="6688" spans="25:26" x14ac:dyDescent="0.25">
      <c r="Y6688" s="63">
        <v>49221</v>
      </c>
      <c r="Z6688" s="61">
        <f>_xll.qlYieldTSDiscount($U$35,Y6688,,Trigger)</f>
        <v>0.77241273912959063</v>
      </c>
    </row>
    <row r="6689" spans="25:26" x14ac:dyDescent="0.25">
      <c r="Y6689" s="63">
        <v>49222</v>
      </c>
      <c r="Z6689" s="61">
        <f>_xll.qlYieldTSDiscount($U$35,Y6689,,Trigger)</f>
        <v>0.77237632226679986</v>
      </c>
    </row>
    <row r="6690" spans="25:26" x14ac:dyDescent="0.25">
      <c r="Y6690" s="63">
        <v>49223</v>
      </c>
      <c r="Z6690" s="61">
        <f>_xll.qlYieldTSDiscount($U$35,Y6690,,Trigger)</f>
        <v>0.77233990178842238</v>
      </c>
    </row>
    <row r="6691" spans="25:26" x14ac:dyDescent="0.25">
      <c r="Y6691" s="63">
        <v>49224</v>
      </c>
      <c r="Z6691" s="61">
        <f>_xll.qlYieldTSDiscount($U$35,Y6691,,Trigger)</f>
        <v>0.77230347769206464</v>
      </c>
    </row>
    <row r="6692" spans="25:26" x14ac:dyDescent="0.25">
      <c r="Y6692" s="63">
        <v>49225</v>
      </c>
      <c r="Z6692" s="61">
        <f>_xll.qlYieldTSDiscount($U$35,Y6692,,Trigger)</f>
        <v>0.77226704997533302</v>
      </c>
    </row>
    <row r="6693" spans="25:26" x14ac:dyDescent="0.25">
      <c r="Y6693" s="63">
        <v>49226</v>
      </c>
      <c r="Z6693" s="61">
        <f>_xll.qlYieldTSDiscount($U$35,Y6693,,Trigger)</f>
        <v>0.7722306186358342</v>
      </c>
    </row>
    <row r="6694" spans="25:26" x14ac:dyDescent="0.25">
      <c r="Y6694" s="63">
        <v>49227</v>
      </c>
      <c r="Z6694" s="61">
        <f>_xll.qlYieldTSDiscount($U$35,Y6694,,Trigger)</f>
        <v>0.77219418367117454</v>
      </c>
    </row>
    <row r="6695" spans="25:26" x14ac:dyDescent="0.25">
      <c r="Y6695" s="63">
        <v>49228</v>
      </c>
      <c r="Z6695" s="61">
        <f>_xll.qlYieldTSDiscount($U$35,Y6695,,Trigger)</f>
        <v>0.77215774507896051</v>
      </c>
    </row>
    <row r="6696" spans="25:26" x14ac:dyDescent="0.25">
      <c r="Y6696" s="63">
        <v>49229</v>
      </c>
      <c r="Z6696" s="61">
        <f>_xll.qlYieldTSDiscount($U$35,Y6696,,Trigger)</f>
        <v>0.77212130285679859</v>
      </c>
    </row>
    <row r="6697" spans="25:26" x14ac:dyDescent="0.25">
      <c r="Y6697" s="63">
        <v>49230</v>
      </c>
      <c r="Z6697" s="61">
        <f>_xll.qlYieldTSDiscount($U$35,Y6697,,Trigger)</f>
        <v>0.77208485700229523</v>
      </c>
    </row>
    <row r="6698" spans="25:26" x14ac:dyDescent="0.25">
      <c r="Y6698" s="63">
        <v>49231</v>
      </c>
      <c r="Z6698" s="61">
        <f>_xll.qlYieldTSDiscount($U$35,Y6698,,Trigger)</f>
        <v>0.77204840751305714</v>
      </c>
    </row>
    <row r="6699" spans="25:26" x14ac:dyDescent="0.25">
      <c r="Y6699" s="63">
        <v>49232</v>
      </c>
      <c r="Z6699" s="61">
        <f>_xll.qlYieldTSDiscount($U$35,Y6699,,Trigger)</f>
        <v>0.77201195438669057</v>
      </c>
    </row>
    <row r="6700" spans="25:26" x14ac:dyDescent="0.25">
      <c r="Y6700" s="63">
        <v>49233</v>
      </c>
      <c r="Z6700" s="61">
        <f>_xll.qlYieldTSDiscount($U$35,Y6700,,Trigger)</f>
        <v>0.77197549762080198</v>
      </c>
    </row>
    <row r="6701" spans="25:26" x14ac:dyDescent="0.25">
      <c r="Y6701" s="63">
        <v>49234</v>
      </c>
      <c r="Z6701" s="61">
        <f>_xll.qlYieldTSDiscount($U$35,Y6701,,Trigger)</f>
        <v>0.77193903721299795</v>
      </c>
    </row>
    <row r="6702" spans="25:26" x14ac:dyDescent="0.25">
      <c r="Y6702" s="63">
        <v>49235</v>
      </c>
      <c r="Z6702" s="61">
        <f>_xll.qlYieldTSDiscount($U$35,Y6702,,Trigger)</f>
        <v>0.77190257316088506</v>
      </c>
    </row>
    <row r="6703" spans="25:26" x14ac:dyDescent="0.25">
      <c r="Y6703" s="63">
        <v>49236</v>
      </c>
      <c r="Z6703" s="61">
        <f>_xll.qlYieldTSDiscount($U$35,Y6703,,Trigger)</f>
        <v>0.77186610546206957</v>
      </c>
    </row>
    <row r="6704" spans="25:26" x14ac:dyDescent="0.25">
      <c r="Y6704" s="63">
        <v>49237</v>
      </c>
      <c r="Z6704" s="61">
        <f>_xll.qlYieldTSDiscount($U$35,Y6704,,Trigger)</f>
        <v>0.77182963411415806</v>
      </c>
    </row>
    <row r="6705" spans="25:26" x14ac:dyDescent="0.25">
      <c r="Y6705" s="63">
        <v>49238</v>
      </c>
      <c r="Z6705" s="61">
        <f>_xll.qlYieldTSDiscount($U$35,Y6705,,Trigger)</f>
        <v>0.7717931591147571</v>
      </c>
    </row>
    <row r="6706" spans="25:26" x14ac:dyDescent="0.25">
      <c r="Y6706" s="63">
        <v>49239</v>
      </c>
      <c r="Z6706" s="61">
        <f>_xll.qlYieldTSDiscount($U$35,Y6706,,Trigger)</f>
        <v>0.77175668046147305</v>
      </c>
    </row>
    <row r="6707" spans="25:26" x14ac:dyDescent="0.25">
      <c r="Y6707" s="63">
        <v>49240</v>
      </c>
      <c r="Z6707" s="61">
        <f>_xll.qlYieldTSDiscount($U$35,Y6707,,Trigger)</f>
        <v>0.77172019815191228</v>
      </c>
    </row>
    <row r="6708" spans="25:26" x14ac:dyDescent="0.25">
      <c r="Y6708" s="63">
        <v>49241</v>
      </c>
      <c r="Z6708" s="61">
        <f>_xll.qlYieldTSDiscount($U$35,Y6708,,Trigger)</f>
        <v>0.77168371218368159</v>
      </c>
    </row>
    <row r="6709" spans="25:26" x14ac:dyDescent="0.25">
      <c r="Y6709" s="63">
        <v>49242</v>
      </c>
      <c r="Z6709" s="61">
        <f>_xll.qlYieldTSDiscount($U$35,Y6709,,Trigger)</f>
        <v>0.77164722255438722</v>
      </c>
    </row>
    <row r="6710" spans="25:26" x14ac:dyDescent="0.25">
      <c r="Y6710" s="63">
        <v>49243</v>
      </c>
      <c r="Z6710" s="61">
        <f>_xll.qlYieldTSDiscount($U$35,Y6710,,Trigger)</f>
        <v>0.77161072926163576</v>
      </c>
    </row>
    <row r="6711" spans="25:26" x14ac:dyDescent="0.25">
      <c r="Y6711" s="63">
        <v>49244</v>
      </c>
      <c r="Z6711" s="61">
        <f>_xll.qlYieldTSDiscount($U$35,Y6711,,Trigger)</f>
        <v>0.77157423230303368</v>
      </c>
    </row>
    <row r="6712" spans="25:26" x14ac:dyDescent="0.25">
      <c r="Y6712" s="63">
        <v>49245</v>
      </c>
      <c r="Z6712" s="61">
        <f>_xll.qlYieldTSDiscount($U$35,Y6712,,Trigger)</f>
        <v>0.77153773167618733</v>
      </c>
    </row>
    <row r="6713" spans="25:26" x14ac:dyDescent="0.25">
      <c r="Y6713" s="63">
        <v>49246</v>
      </c>
      <c r="Z6713" s="61">
        <f>_xll.qlYieldTSDiscount($U$35,Y6713,,Trigger)</f>
        <v>0.7715012273787033</v>
      </c>
    </row>
    <row r="6714" spans="25:26" x14ac:dyDescent="0.25">
      <c r="Y6714" s="63">
        <v>49247</v>
      </c>
      <c r="Z6714" s="61">
        <f>_xll.qlYieldTSDiscount($U$35,Y6714,,Trigger)</f>
        <v>0.77146471940818806</v>
      </c>
    </row>
    <row r="6715" spans="25:26" x14ac:dyDescent="0.25">
      <c r="Y6715" s="63">
        <v>49248</v>
      </c>
      <c r="Z6715" s="61">
        <f>_xll.qlYieldTSDiscount($U$35,Y6715,,Trigger)</f>
        <v>0.77142820776224819</v>
      </c>
    </row>
    <row r="6716" spans="25:26" x14ac:dyDescent="0.25">
      <c r="Y6716" s="63">
        <v>49249</v>
      </c>
      <c r="Z6716" s="61">
        <f>_xll.qlYieldTSDiscount($U$35,Y6716,,Trigger)</f>
        <v>0.77139169243848993</v>
      </c>
    </row>
    <row r="6717" spans="25:26" x14ac:dyDescent="0.25">
      <c r="Y6717" s="63">
        <v>49250</v>
      </c>
      <c r="Z6717" s="61">
        <f>_xll.qlYieldTSDiscount($U$35,Y6717,,Trigger)</f>
        <v>0.77135517343451998</v>
      </c>
    </row>
    <row r="6718" spans="25:26" x14ac:dyDescent="0.25">
      <c r="Y6718" s="63">
        <v>49251</v>
      </c>
      <c r="Z6718" s="61">
        <f>_xll.qlYieldTSDiscount($U$35,Y6718,,Trigger)</f>
        <v>0.77131865074794481</v>
      </c>
    </row>
    <row r="6719" spans="25:26" x14ac:dyDescent="0.25">
      <c r="Y6719" s="63">
        <v>49252</v>
      </c>
      <c r="Z6719" s="61">
        <f>_xll.qlYieldTSDiscount($U$35,Y6719,,Trigger)</f>
        <v>0.77128212437637078</v>
      </c>
    </row>
    <row r="6720" spans="25:26" x14ac:dyDescent="0.25">
      <c r="Y6720" s="63">
        <v>49253</v>
      </c>
      <c r="Z6720" s="61">
        <f>_xll.qlYieldTSDiscount($U$35,Y6720,,Trigger)</f>
        <v>0.77124559431740436</v>
      </c>
    </row>
    <row r="6721" spans="25:26" x14ac:dyDescent="0.25">
      <c r="Y6721" s="63">
        <v>49254</v>
      </c>
      <c r="Z6721" s="61">
        <f>_xll.qlYieldTSDiscount($U$35,Y6721,,Trigger)</f>
        <v>0.77120906056865213</v>
      </c>
    </row>
    <row r="6722" spans="25:26" x14ac:dyDescent="0.25">
      <c r="Y6722" s="63">
        <v>49255</v>
      </c>
      <c r="Z6722" s="61">
        <f>_xll.qlYieldTSDiscount($U$35,Y6722,,Trigger)</f>
        <v>0.77117252312772056</v>
      </c>
    </row>
    <row r="6723" spans="25:26" x14ac:dyDescent="0.25">
      <c r="Y6723" s="63">
        <v>49256</v>
      </c>
      <c r="Z6723" s="61">
        <f>_xll.qlYieldTSDiscount($U$35,Y6723,,Trigger)</f>
        <v>0.77113598199221611</v>
      </c>
    </row>
    <row r="6724" spans="25:26" x14ac:dyDescent="0.25">
      <c r="Y6724" s="63">
        <v>49257</v>
      </c>
      <c r="Z6724" s="61">
        <f>_xll.qlYieldTSDiscount($U$35,Y6724,,Trigger)</f>
        <v>0.77109943715974516</v>
      </c>
    </row>
    <row r="6725" spans="25:26" x14ac:dyDescent="0.25">
      <c r="Y6725" s="63">
        <v>49258</v>
      </c>
      <c r="Z6725" s="61">
        <f>_xll.qlYieldTSDiscount($U$35,Y6725,,Trigger)</f>
        <v>0.77106288862791439</v>
      </c>
    </row>
    <row r="6726" spans="25:26" x14ac:dyDescent="0.25">
      <c r="Y6726" s="63">
        <v>49259</v>
      </c>
      <c r="Z6726" s="61">
        <f>_xll.qlYieldTSDiscount($U$35,Y6726,,Trigger)</f>
        <v>0.77102633639433016</v>
      </c>
    </row>
    <row r="6727" spans="25:26" x14ac:dyDescent="0.25">
      <c r="Y6727" s="63">
        <v>49260</v>
      </c>
      <c r="Z6727" s="61">
        <f>_xll.qlYieldTSDiscount($U$35,Y6727,,Trigger)</f>
        <v>0.77098978045659894</v>
      </c>
    </row>
    <row r="6728" spans="25:26" x14ac:dyDescent="0.25">
      <c r="Y6728" s="63">
        <v>49261</v>
      </c>
      <c r="Z6728" s="61">
        <f>_xll.qlYieldTSDiscount($U$35,Y6728,,Trigger)</f>
        <v>0.7709532208123272</v>
      </c>
    </row>
    <row r="6729" spans="25:26" x14ac:dyDescent="0.25">
      <c r="Y6729" s="63">
        <v>49262</v>
      </c>
      <c r="Z6729" s="61">
        <f>_xll.qlYieldTSDiscount($U$35,Y6729,,Trigger)</f>
        <v>0.77091665745912152</v>
      </c>
    </row>
    <row r="6730" spans="25:26" x14ac:dyDescent="0.25">
      <c r="Y6730" s="63">
        <v>49263</v>
      </c>
      <c r="Z6730" s="61">
        <f>_xll.qlYieldTSDiscount($U$35,Y6730,,Trigger)</f>
        <v>0.77088009039458838</v>
      </c>
    </row>
    <row r="6731" spans="25:26" x14ac:dyDescent="0.25">
      <c r="Y6731" s="63">
        <v>49264</v>
      </c>
      <c r="Z6731" s="61">
        <f>_xll.qlYieldTSDiscount($U$35,Y6731,,Trigger)</f>
        <v>0.77084351961633413</v>
      </c>
    </row>
    <row r="6732" spans="25:26" x14ac:dyDescent="0.25">
      <c r="Y6732" s="63">
        <v>49265</v>
      </c>
      <c r="Z6732" s="61">
        <f>_xll.qlYieldTSDiscount($U$35,Y6732,,Trigger)</f>
        <v>0.77080694512196535</v>
      </c>
    </row>
    <row r="6733" spans="25:26" x14ac:dyDescent="0.25">
      <c r="Y6733" s="63">
        <v>49266</v>
      </c>
      <c r="Z6733" s="61">
        <f>_xll.qlYieldTSDiscount($U$35,Y6733,,Trigger)</f>
        <v>0.7707703669090884</v>
      </c>
    </row>
    <row r="6734" spans="25:26" x14ac:dyDescent="0.25">
      <c r="Y6734" s="63">
        <v>49267</v>
      </c>
      <c r="Z6734" s="61">
        <f>_xll.qlYieldTSDiscount($U$35,Y6734,,Trigger)</f>
        <v>0.77073378497530998</v>
      </c>
    </row>
    <row r="6735" spans="25:26" x14ac:dyDescent="0.25">
      <c r="Y6735" s="63">
        <v>49268</v>
      </c>
      <c r="Z6735" s="61">
        <f>_xll.qlYieldTSDiscount($U$35,Y6735,,Trigger)</f>
        <v>0.77069719931823633</v>
      </c>
    </row>
    <row r="6736" spans="25:26" x14ac:dyDescent="0.25">
      <c r="Y6736" s="63">
        <v>49269</v>
      </c>
      <c r="Z6736" s="61">
        <f>_xll.qlYieldTSDiscount($U$35,Y6736,,Trigger)</f>
        <v>0.77066060993547414</v>
      </c>
    </row>
    <row r="6737" spans="25:26" x14ac:dyDescent="0.25">
      <c r="Y6737" s="63">
        <v>49270</v>
      </c>
      <c r="Z6737" s="61">
        <f>_xll.qlYieldTSDiscount($U$35,Y6737,,Trigger)</f>
        <v>0.77062401682462978</v>
      </c>
    </row>
    <row r="6738" spans="25:26" x14ac:dyDescent="0.25">
      <c r="Y6738" s="63">
        <v>49271</v>
      </c>
      <c r="Z6738" s="61">
        <f>_xll.qlYieldTSDiscount($U$35,Y6738,,Trigger)</f>
        <v>0.7705874199833096</v>
      </c>
    </row>
    <row r="6739" spans="25:26" x14ac:dyDescent="0.25">
      <c r="Y6739" s="63">
        <v>49272</v>
      </c>
      <c r="Z6739" s="61">
        <f>_xll.qlYieldTSDiscount($U$35,Y6739,,Trigger)</f>
        <v>0.7705508194091204</v>
      </c>
    </row>
    <row r="6740" spans="25:26" x14ac:dyDescent="0.25">
      <c r="Y6740" s="63">
        <v>49273</v>
      </c>
      <c r="Z6740" s="61">
        <f>_xll.qlYieldTSDiscount($U$35,Y6740,,Trigger)</f>
        <v>0.77051421509966844</v>
      </c>
    </row>
    <row r="6741" spans="25:26" x14ac:dyDescent="0.25">
      <c r="Y6741" s="63">
        <v>49274</v>
      </c>
      <c r="Z6741" s="61">
        <f>_xll.qlYieldTSDiscount($U$35,Y6741,,Trigger)</f>
        <v>0.77047760705256019</v>
      </c>
    </row>
    <row r="6742" spans="25:26" x14ac:dyDescent="0.25">
      <c r="Y6742" s="63">
        <v>49275</v>
      </c>
      <c r="Z6742" s="61">
        <f>_xll.qlYieldTSDiscount($U$35,Y6742,,Trigger)</f>
        <v>0.77044099526540222</v>
      </c>
    </row>
    <row r="6743" spans="25:26" x14ac:dyDescent="0.25">
      <c r="Y6743" s="63">
        <v>49276</v>
      </c>
      <c r="Z6743" s="61">
        <f>_xll.qlYieldTSDiscount($U$35,Y6743,,Trigger)</f>
        <v>0.770404379735801</v>
      </c>
    </row>
    <row r="6744" spans="25:26" x14ac:dyDescent="0.25">
      <c r="Y6744" s="63">
        <v>49277</v>
      </c>
      <c r="Z6744" s="61">
        <f>_xll.qlYieldTSDiscount($U$35,Y6744,,Trigger)</f>
        <v>0.77036776046136302</v>
      </c>
    </row>
    <row r="6745" spans="25:26" x14ac:dyDescent="0.25">
      <c r="Y6745" s="63">
        <v>49278</v>
      </c>
      <c r="Z6745" s="61">
        <f>_xll.qlYieldTSDiscount($U$35,Y6745,,Trigger)</f>
        <v>0.77033113743969472</v>
      </c>
    </row>
    <row r="6746" spans="25:26" x14ac:dyDescent="0.25">
      <c r="Y6746" s="63">
        <v>49279</v>
      </c>
      <c r="Z6746" s="61">
        <f>_xll.qlYieldTSDiscount($U$35,Y6746,,Trigger)</f>
        <v>0.77029451066840249</v>
      </c>
    </row>
    <row r="6747" spans="25:26" x14ac:dyDescent="0.25">
      <c r="Y6747" s="63">
        <v>49280</v>
      </c>
      <c r="Z6747" s="61">
        <f>_xll.qlYieldTSDiscount($U$35,Y6747,,Trigger)</f>
        <v>0.770257880145093</v>
      </c>
    </row>
    <row r="6748" spans="25:26" x14ac:dyDescent="0.25">
      <c r="Y6748" s="63">
        <v>49281</v>
      </c>
      <c r="Z6748" s="61">
        <f>_xll.qlYieldTSDiscount($U$35,Y6748,,Trigger)</f>
        <v>0.77022124586737262</v>
      </c>
    </row>
    <row r="6749" spans="25:26" x14ac:dyDescent="0.25">
      <c r="Y6749" s="63">
        <v>49282</v>
      </c>
      <c r="Z6749" s="61">
        <f>_xll.qlYieldTSDiscount($U$35,Y6749,,Trigger)</f>
        <v>0.77018460783284781</v>
      </c>
    </row>
    <row r="6750" spans="25:26" x14ac:dyDescent="0.25">
      <c r="Y6750" s="63">
        <v>49283</v>
      </c>
      <c r="Z6750" s="61">
        <f>_xll.qlYieldTSDiscount($U$35,Y6750,,Trigger)</f>
        <v>0.77014796603912516</v>
      </c>
    </row>
    <row r="6751" spans="25:26" x14ac:dyDescent="0.25">
      <c r="Y6751" s="63">
        <v>49284</v>
      </c>
      <c r="Z6751" s="61">
        <f>_xll.qlYieldTSDiscount($U$35,Y6751,,Trigger)</f>
        <v>0.77011132048381103</v>
      </c>
    </row>
    <row r="6752" spans="25:26" x14ac:dyDescent="0.25">
      <c r="Y6752" s="63">
        <v>49285</v>
      </c>
      <c r="Z6752" s="61">
        <f>_xll.qlYieldTSDiscount($U$35,Y6752,,Trigger)</f>
        <v>0.770074671164512</v>
      </c>
    </row>
    <row r="6753" spans="25:26" x14ac:dyDescent="0.25">
      <c r="Y6753" s="63">
        <v>49286</v>
      </c>
      <c r="Z6753" s="61">
        <f>_xll.qlYieldTSDiscount($U$35,Y6753,,Trigger)</f>
        <v>0.77003801807883454</v>
      </c>
    </row>
    <row r="6754" spans="25:26" x14ac:dyDescent="0.25">
      <c r="Y6754" s="63">
        <v>49287</v>
      </c>
      <c r="Z6754" s="61">
        <f>_xll.qlYieldTSDiscount($U$35,Y6754,,Trigger)</f>
        <v>0.77000136122438501</v>
      </c>
    </row>
    <row r="6755" spans="25:26" x14ac:dyDescent="0.25">
      <c r="Y6755" s="63">
        <v>49288</v>
      </c>
      <c r="Z6755" s="61">
        <f>_xll.qlYieldTSDiscount($U$35,Y6755,,Trigger)</f>
        <v>0.76996470059876998</v>
      </c>
    </row>
    <row r="6756" spans="25:26" x14ac:dyDescent="0.25">
      <c r="Y6756" s="63">
        <v>49289</v>
      </c>
      <c r="Z6756" s="61">
        <f>_xll.qlYieldTSDiscount($U$35,Y6756,,Trigger)</f>
        <v>0.76992803619959593</v>
      </c>
    </row>
    <row r="6757" spans="25:26" x14ac:dyDescent="0.25">
      <c r="Y6757" s="63">
        <v>49290</v>
      </c>
      <c r="Z6757" s="61">
        <f>_xll.qlYieldTSDiscount($U$35,Y6757,,Trigger)</f>
        <v>0.76989136802446934</v>
      </c>
    </row>
    <row r="6758" spans="25:26" x14ac:dyDescent="0.25">
      <c r="Y6758" s="63">
        <v>49291</v>
      </c>
      <c r="Z6758" s="61">
        <f>_xll.qlYieldTSDiscount($U$35,Y6758,,Trigger)</f>
        <v>0.76985469607099677</v>
      </c>
    </row>
    <row r="6759" spans="25:26" x14ac:dyDescent="0.25">
      <c r="Y6759" s="63">
        <v>49292</v>
      </c>
      <c r="Z6759" s="61">
        <f>_xll.qlYieldTSDiscount($U$35,Y6759,,Trigger)</f>
        <v>0.76981802033678448</v>
      </c>
    </row>
    <row r="6760" spans="25:26" x14ac:dyDescent="0.25">
      <c r="Y6760" s="63">
        <v>49293</v>
      </c>
      <c r="Z6760" s="61">
        <f>_xll.qlYieldTSDiscount($U$35,Y6760,,Trigger)</f>
        <v>0.76978134081943916</v>
      </c>
    </row>
    <row r="6761" spans="25:26" x14ac:dyDescent="0.25">
      <c r="Y6761" s="63">
        <v>49294</v>
      </c>
      <c r="Z6761" s="61">
        <f>_xll.qlYieldTSDiscount($U$35,Y6761,,Trigger)</f>
        <v>0.76974465751656729</v>
      </c>
    </row>
    <row r="6762" spans="25:26" x14ac:dyDescent="0.25">
      <c r="Y6762" s="63">
        <v>49295</v>
      </c>
      <c r="Z6762" s="61">
        <f>_xll.qlYieldTSDiscount($U$35,Y6762,,Trigger)</f>
        <v>0.7697079704257751</v>
      </c>
    </row>
    <row r="6763" spans="25:26" x14ac:dyDescent="0.25">
      <c r="Y6763" s="63">
        <v>49296</v>
      </c>
      <c r="Z6763" s="61">
        <f>_xll.qlYieldTSDiscount($U$35,Y6763,,Trigger)</f>
        <v>0.76967127954466941</v>
      </c>
    </row>
    <row r="6764" spans="25:26" x14ac:dyDescent="0.25">
      <c r="Y6764" s="63">
        <v>49297</v>
      </c>
      <c r="Z6764" s="61">
        <f>_xll.qlYieldTSDiscount($U$35,Y6764,,Trigger)</f>
        <v>0.76963458487085656</v>
      </c>
    </row>
    <row r="6765" spans="25:26" x14ac:dyDescent="0.25">
      <c r="Y6765" s="63">
        <v>49298</v>
      </c>
      <c r="Z6765" s="61">
        <f>_xll.qlYieldTSDiscount($U$35,Y6765,,Trigger)</f>
        <v>0.76959788640194282</v>
      </c>
    </row>
    <row r="6766" spans="25:26" x14ac:dyDescent="0.25">
      <c r="Y6766" s="63">
        <v>49299</v>
      </c>
      <c r="Z6766" s="61">
        <f>_xll.qlYieldTSDiscount($U$35,Y6766,,Trigger)</f>
        <v>0.76956118413553509</v>
      </c>
    </row>
    <row r="6767" spans="25:26" x14ac:dyDescent="0.25">
      <c r="Y6767" s="63">
        <v>49300</v>
      </c>
      <c r="Z6767" s="61">
        <f>_xll.qlYieldTSDiscount($U$35,Y6767,,Trigger)</f>
        <v>0.76952447806923951</v>
      </c>
    </row>
    <row r="6768" spans="25:26" x14ac:dyDescent="0.25">
      <c r="Y6768" s="63">
        <v>49301</v>
      </c>
      <c r="Z6768" s="61">
        <f>_xll.qlYieldTSDiscount($U$35,Y6768,,Trigger)</f>
        <v>0.76948776820066267</v>
      </c>
    </row>
    <row r="6769" spans="25:26" x14ac:dyDescent="0.25">
      <c r="Y6769" s="63">
        <v>49302</v>
      </c>
      <c r="Z6769" s="61">
        <f>_xll.qlYieldTSDiscount($U$35,Y6769,,Trigger)</f>
        <v>0.76945105452741103</v>
      </c>
    </row>
    <row r="6770" spans="25:26" x14ac:dyDescent="0.25">
      <c r="Y6770" s="63">
        <v>49303</v>
      </c>
      <c r="Z6770" s="61">
        <f>_xll.qlYieldTSDiscount($U$35,Y6770,,Trigger)</f>
        <v>0.76941433704709106</v>
      </c>
    </row>
    <row r="6771" spans="25:26" x14ac:dyDescent="0.25">
      <c r="Y6771" s="63">
        <v>49304</v>
      </c>
      <c r="Z6771" s="61">
        <f>_xll.qlYieldTSDiscount($U$35,Y6771,,Trigger)</f>
        <v>0.76937761575730934</v>
      </c>
    </row>
    <row r="6772" spans="25:26" x14ac:dyDescent="0.25">
      <c r="Y6772" s="63">
        <v>49305</v>
      </c>
      <c r="Z6772" s="61">
        <f>_xll.qlYieldTSDiscount($U$35,Y6772,,Trigger)</f>
        <v>0.76934089065567235</v>
      </c>
    </row>
    <row r="6773" spans="25:26" x14ac:dyDescent="0.25">
      <c r="Y6773" s="63">
        <v>49306</v>
      </c>
      <c r="Z6773" s="61">
        <f>_xll.qlYieldTSDiscount($U$35,Y6773,,Trigger)</f>
        <v>0.76930416173978644</v>
      </c>
    </row>
    <row r="6774" spans="25:26" x14ac:dyDescent="0.25">
      <c r="Y6774" s="63">
        <v>49307</v>
      </c>
      <c r="Z6774" s="61">
        <f>_xll.qlYieldTSDiscount($U$35,Y6774,,Trigger)</f>
        <v>0.7692674290072582</v>
      </c>
    </row>
    <row r="6775" spans="25:26" x14ac:dyDescent="0.25">
      <c r="Y6775" s="63">
        <v>49308</v>
      </c>
      <c r="Z6775" s="61">
        <f>_xll.qlYieldTSDiscount($U$35,Y6775,,Trigger)</f>
        <v>0.76923069245569398</v>
      </c>
    </row>
    <row r="6776" spans="25:26" x14ac:dyDescent="0.25">
      <c r="Y6776" s="63">
        <v>49309</v>
      </c>
      <c r="Z6776" s="61">
        <f>_xll.qlYieldTSDiscount($U$35,Y6776,,Trigger)</f>
        <v>0.76919395208270036</v>
      </c>
    </row>
    <row r="6777" spans="25:26" x14ac:dyDescent="0.25">
      <c r="Y6777" s="63">
        <v>49310</v>
      </c>
      <c r="Z6777" s="61">
        <f>_xll.qlYieldTSDiscount($U$35,Y6777,,Trigger)</f>
        <v>0.76915720788588393</v>
      </c>
    </row>
    <row r="6778" spans="25:26" x14ac:dyDescent="0.25">
      <c r="Y6778" s="63">
        <v>49311</v>
      </c>
      <c r="Z6778" s="61">
        <f>_xll.qlYieldTSDiscount($U$35,Y6778,,Trigger)</f>
        <v>0.76912045986285094</v>
      </c>
    </row>
    <row r="6779" spans="25:26" x14ac:dyDescent="0.25">
      <c r="Y6779" s="63">
        <v>49312</v>
      </c>
      <c r="Z6779" s="61">
        <f>_xll.qlYieldTSDiscount($U$35,Y6779,,Trigger)</f>
        <v>0.76908370801120796</v>
      </c>
    </row>
    <row r="6780" spans="25:26" x14ac:dyDescent="0.25">
      <c r="Y6780" s="63">
        <v>49313</v>
      </c>
      <c r="Z6780" s="61">
        <f>_xll.qlYieldTSDiscount($U$35,Y6780,,Trigger)</f>
        <v>0.76904695232856157</v>
      </c>
    </row>
    <row r="6781" spans="25:26" x14ac:dyDescent="0.25">
      <c r="Y6781" s="63">
        <v>49314</v>
      </c>
      <c r="Z6781" s="61">
        <f>_xll.qlYieldTSDiscount($U$35,Y6781,,Trigger)</f>
        <v>0.76901019281251815</v>
      </c>
    </row>
    <row r="6782" spans="25:26" x14ac:dyDescent="0.25">
      <c r="Y6782" s="63">
        <v>49315</v>
      </c>
      <c r="Z6782" s="61">
        <f>_xll.qlYieldTSDiscount($U$35,Y6782,,Trigger)</f>
        <v>0.76897342946068414</v>
      </c>
    </row>
    <row r="6783" spans="25:26" x14ac:dyDescent="0.25">
      <c r="Y6783" s="63">
        <v>49316</v>
      </c>
      <c r="Z6783" s="61">
        <f>_xll.qlYieldTSDiscount($U$35,Y6783,,Trigger)</f>
        <v>0.76893666227066615</v>
      </c>
    </row>
    <row r="6784" spans="25:26" x14ac:dyDescent="0.25">
      <c r="Y6784" s="63">
        <v>49317</v>
      </c>
      <c r="Z6784" s="61">
        <f>_xll.qlYieldTSDiscount($U$35,Y6784,,Trigger)</f>
        <v>0.76889989124007052</v>
      </c>
    </row>
    <row r="6785" spans="25:26" x14ac:dyDescent="0.25">
      <c r="Y6785" s="63">
        <v>49318</v>
      </c>
      <c r="Z6785" s="61">
        <f>_xll.qlYieldTSDiscount($U$35,Y6785,,Trigger)</f>
        <v>0.76886311636650395</v>
      </c>
    </row>
    <row r="6786" spans="25:26" x14ac:dyDescent="0.25">
      <c r="Y6786" s="63">
        <v>49319</v>
      </c>
      <c r="Z6786" s="61">
        <f>_xll.qlYieldTSDiscount($U$35,Y6786,,Trigger)</f>
        <v>0.76882633764757258</v>
      </c>
    </row>
    <row r="6787" spans="25:26" x14ac:dyDescent="0.25">
      <c r="Y6787" s="63">
        <v>49320</v>
      </c>
      <c r="Z6787" s="61">
        <f>_xll.qlYieldTSDiscount($U$35,Y6787,,Trigger)</f>
        <v>0.7687895550808832</v>
      </c>
    </row>
    <row r="6788" spans="25:26" x14ac:dyDescent="0.25">
      <c r="Y6788" s="63">
        <v>49321</v>
      </c>
      <c r="Z6788" s="61">
        <f>_xll.qlYieldTSDiscount($U$35,Y6788,,Trigger)</f>
        <v>0.7687527686640423</v>
      </c>
    </row>
    <row r="6789" spans="25:26" x14ac:dyDescent="0.25">
      <c r="Y6789" s="63">
        <v>49322</v>
      </c>
      <c r="Z6789" s="61">
        <f>_xll.qlYieldTSDiscount($U$35,Y6789,,Trigger)</f>
        <v>0.768715978394656</v>
      </c>
    </row>
    <row r="6790" spans="25:26" x14ac:dyDescent="0.25">
      <c r="Y6790" s="63">
        <v>49323</v>
      </c>
      <c r="Z6790" s="61">
        <f>_xll.qlYieldTSDiscount($U$35,Y6790,,Trigger)</f>
        <v>0.76867918427033111</v>
      </c>
    </row>
    <row r="6791" spans="25:26" x14ac:dyDescent="0.25">
      <c r="Y6791" s="63">
        <v>49324</v>
      </c>
      <c r="Z6791" s="61">
        <f>_xll.qlYieldTSDiscount($U$35,Y6791,,Trigger)</f>
        <v>0.76864238628867398</v>
      </c>
    </row>
    <row r="6792" spans="25:26" x14ac:dyDescent="0.25">
      <c r="Y6792" s="63">
        <v>49325</v>
      </c>
      <c r="Z6792" s="61">
        <f>_xll.qlYieldTSDiscount($U$35,Y6792,,Trigger)</f>
        <v>0.76860558444729121</v>
      </c>
    </row>
    <row r="6793" spans="25:26" x14ac:dyDescent="0.25">
      <c r="Y6793" s="63">
        <v>49326</v>
      </c>
      <c r="Z6793" s="61">
        <f>_xll.qlYieldTSDiscount($U$35,Y6793,,Trigger)</f>
        <v>0.76856877874378915</v>
      </c>
    </row>
    <row r="6794" spans="25:26" x14ac:dyDescent="0.25">
      <c r="Y6794" s="63">
        <v>49327</v>
      </c>
      <c r="Z6794" s="61">
        <f>_xll.qlYieldTSDiscount($U$35,Y6794,,Trigger)</f>
        <v>0.76853196917577438</v>
      </c>
    </row>
    <row r="6795" spans="25:26" x14ac:dyDescent="0.25">
      <c r="Y6795" s="63">
        <v>49328</v>
      </c>
      <c r="Z6795" s="61">
        <f>_xll.qlYieldTSDiscount($U$35,Y6795,,Trigger)</f>
        <v>0.76849515574085325</v>
      </c>
    </row>
    <row r="6796" spans="25:26" x14ac:dyDescent="0.25">
      <c r="Y6796" s="63">
        <v>49329</v>
      </c>
      <c r="Z6796" s="61">
        <f>_xll.qlYieldTSDiscount($U$35,Y6796,,Trigger)</f>
        <v>0.76845833843663247</v>
      </c>
    </row>
    <row r="6797" spans="25:26" x14ac:dyDescent="0.25">
      <c r="Y6797" s="63">
        <v>49330</v>
      </c>
      <c r="Z6797" s="61">
        <f>_xll.qlYieldTSDiscount($U$35,Y6797,,Trigger)</f>
        <v>0.76842151726071817</v>
      </c>
    </row>
    <row r="6798" spans="25:26" x14ac:dyDescent="0.25">
      <c r="Y6798" s="63">
        <v>49331</v>
      </c>
      <c r="Z6798" s="61">
        <f>_xll.qlYieldTSDiscount($U$35,Y6798,,Trigger)</f>
        <v>0.76838469221071715</v>
      </c>
    </row>
    <row r="6799" spans="25:26" x14ac:dyDescent="0.25">
      <c r="Y6799" s="63">
        <v>49332</v>
      </c>
      <c r="Z6799" s="61">
        <f>_xll.qlYieldTSDiscount($U$35,Y6799,,Trigger)</f>
        <v>0.76834786328423577</v>
      </c>
    </row>
    <row r="6800" spans="25:26" x14ac:dyDescent="0.25">
      <c r="Y6800" s="63">
        <v>49333</v>
      </c>
      <c r="Z6800" s="61">
        <f>_xll.qlYieldTSDiscount($U$35,Y6800,,Trigger)</f>
        <v>0.7683110304788805</v>
      </c>
    </row>
    <row r="6801" spans="25:26" x14ac:dyDescent="0.25">
      <c r="Y6801" s="63">
        <v>49334</v>
      </c>
      <c r="Z6801" s="61">
        <f>_xll.qlYieldTSDiscount($U$35,Y6801,,Trigger)</f>
        <v>0.76827419379225781</v>
      </c>
    </row>
    <row r="6802" spans="25:26" x14ac:dyDescent="0.25">
      <c r="Y6802" s="63">
        <v>49335</v>
      </c>
      <c r="Z6802" s="61">
        <f>_xll.qlYieldTSDiscount($U$35,Y6802,,Trigger)</f>
        <v>0.76823735322197417</v>
      </c>
    </row>
    <row r="6803" spans="25:26" x14ac:dyDescent="0.25">
      <c r="Y6803" s="63">
        <v>49336</v>
      </c>
      <c r="Z6803" s="61">
        <f>_xll.qlYieldTSDiscount($U$35,Y6803,,Trigger)</f>
        <v>0.76820050876563617</v>
      </c>
    </row>
    <row r="6804" spans="25:26" x14ac:dyDescent="0.25">
      <c r="Y6804" s="63">
        <v>49337</v>
      </c>
      <c r="Z6804" s="61">
        <f>_xll.qlYieldTSDiscount($U$35,Y6804,,Trigger)</f>
        <v>0.76816366042085016</v>
      </c>
    </row>
    <row r="6805" spans="25:26" x14ac:dyDescent="0.25">
      <c r="Y6805" s="63">
        <v>49338</v>
      </c>
      <c r="Z6805" s="61">
        <f>_xll.qlYieldTSDiscount($U$35,Y6805,,Trigger)</f>
        <v>0.76812680818522272</v>
      </c>
    </row>
    <row r="6806" spans="25:26" x14ac:dyDescent="0.25">
      <c r="Y6806" s="63">
        <v>49339</v>
      </c>
      <c r="Z6806" s="61">
        <f>_xll.qlYieldTSDiscount($U$35,Y6806,,Trigger)</f>
        <v>0.76808995205636033</v>
      </c>
    </row>
    <row r="6807" spans="25:26" x14ac:dyDescent="0.25">
      <c r="Y6807" s="63">
        <v>49340</v>
      </c>
      <c r="Z6807" s="61">
        <f>_xll.qlYieldTSDiscount($U$35,Y6807,,Trigger)</f>
        <v>0.76805309203186933</v>
      </c>
    </row>
    <row r="6808" spans="25:26" x14ac:dyDescent="0.25">
      <c r="Y6808" s="63">
        <v>49341</v>
      </c>
      <c r="Z6808" s="61">
        <f>_xll.qlYieldTSDiscount($U$35,Y6808,,Trigger)</f>
        <v>0.76801622810935632</v>
      </c>
    </row>
    <row r="6809" spans="25:26" x14ac:dyDescent="0.25">
      <c r="Y6809" s="63">
        <v>49342</v>
      </c>
      <c r="Z6809" s="61">
        <f>_xll.qlYieldTSDiscount($U$35,Y6809,,Trigger)</f>
        <v>0.76797936028642777</v>
      </c>
    </row>
    <row r="6810" spans="25:26" x14ac:dyDescent="0.25">
      <c r="Y6810" s="63">
        <v>49343</v>
      </c>
      <c r="Z6810" s="61">
        <f>_xll.qlYieldTSDiscount($U$35,Y6810,,Trigger)</f>
        <v>0.76794248856069014</v>
      </c>
    </row>
    <row r="6811" spans="25:26" x14ac:dyDescent="0.25">
      <c r="Y6811" s="63">
        <v>49344</v>
      </c>
      <c r="Z6811" s="61">
        <f>_xll.qlYieldTSDiscount($U$35,Y6811,,Trigger)</f>
        <v>0.76790561292975001</v>
      </c>
    </row>
    <row r="6812" spans="25:26" x14ac:dyDescent="0.25">
      <c r="Y6812" s="63">
        <v>49345</v>
      </c>
      <c r="Z6812" s="61">
        <f>_xll.qlYieldTSDiscount($U$35,Y6812,,Trigger)</f>
        <v>0.76786873339121364</v>
      </c>
    </row>
    <row r="6813" spans="25:26" x14ac:dyDescent="0.25">
      <c r="Y6813" s="63">
        <v>49346</v>
      </c>
      <c r="Z6813" s="61">
        <f>_xll.qlYieldTSDiscount($U$35,Y6813,,Trigger)</f>
        <v>0.76783184994268772</v>
      </c>
    </row>
    <row r="6814" spans="25:26" x14ac:dyDescent="0.25">
      <c r="Y6814" s="63">
        <v>49347</v>
      </c>
      <c r="Z6814" s="61">
        <f>_xll.qlYieldTSDiscount($U$35,Y6814,,Trigger)</f>
        <v>0.7677949625817786</v>
      </c>
    </row>
    <row r="6815" spans="25:26" x14ac:dyDescent="0.25">
      <c r="Y6815" s="63">
        <v>49348</v>
      </c>
      <c r="Z6815" s="61">
        <f>_xll.qlYieldTSDiscount($U$35,Y6815,,Trigger)</f>
        <v>0.76775807130609286</v>
      </c>
    </row>
    <row r="6816" spans="25:26" x14ac:dyDescent="0.25">
      <c r="Y6816" s="63">
        <v>49349</v>
      </c>
      <c r="Z6816" s="61">
        <f>_xll.qlYieldTSDiscount($U$35,Y6816,,Trigger)</f>
        <v>0.76772117611323687</v>
      </c>
    </row>
    <row r="6817" spans="25:26" x14ac:dyDescent="0.25">
      <c r="Y6817" s="63">
        <v>49350</v>
      </c>
      <c r="Z6817" s="61">
        <f>_xll.qlYieldTSDiscount($U$35,Y6817,,Trigger)</f>
        <v>0.76768427700081732</v>
      </c>
    </row>
    <row r="6818" spans="25:26" x14ac:dyDescent="0.25">
      <c r="Y6818" s="63">
        <v>49351</v>
      </c>
      <c r="Z6818" s="61">
        <f>_xll.qlYieldTSDiscount($U$35,Y6818,,Trigger)</f>
        <v>0.76764737396644034</v>
      </c>
    </row>
    <row r="6819" spans="25:26" x14ac:dyDescent="0.25">
      <c r="Y6819" s="63">
        <v>49352</v>
      </c>
      <c r="Z6819" s="61">
        <f>_xll.qlYieldTSDiscount($U$35,Y6819,,Trigger)</f>
        <v>0.76761046700771274</v>
      </c>
    </row>
    <row r="6820" spans="25:26" x14ac:dyDescent="0.25">
      <c r="Y6820" s="63">
        <v>49353</v>
      </c>
      <c r="Z6820" s="61">
        <f>_xll.qlYieldTSDiscount($U$35,Y6820,,Trigger)</f>
        <v>0.76757355612224087</v>
      </c>
    </row>
    <row r="6821" spans="25:26" x14ac:dyDescent="0.25">
      <c r="Y6821" s="63">
        <v>49354</v>
      </c>
      <c r="Z6821" s="61">
        <f>_xll.qlYieldTSDiscount($U$35,Y6821,,Trigger)</f>
        <v>0.76753664130763122</v>
      </c>
    </row>
    <row r="6822" spans="25:26" x14ac:dyDescent="0.25">
      <c r="Y6822" s="63">
        <v>49355</v>
      </c>
      <c r="Z6822" s="61">
        <f>_xll.qlYieldTSDiscount($U$35,Y6822,,Trigger)</f>
        <v>0.76749972256149024</v>
      </c>
    </row>
    <row r="6823" spans="25:26" x14ac:dyDescent="0.25">
      <c r="Y6823" s="63">
        <v>49356</v>
      </c>
      <c r="Z6823" s="61">
        <f>_xll.qlYieldTSDiscount($U$35,Y6823,,Trigger)</f>
        <v>0.76746279988142441</v>
      </c>
    </row>
    <row r="6824" spans="25:26" x14ac:dyDescent="0.25">
      <c r="Y6824" s="63">
        <v>49357</v>
      </c>
      <c r="Z6824" s="61">
        <f>_xll.qlYieldTSDiscount($U$35,Y6824,,Trigger)</f>
        <v>0.7674258732650403</v>
      </c>
    </row>
    <row r="6825" spans="25:26" x14ac:dyDescent="0.25">
      <c r="Y6825" s="63">
        <v>49358</v>
      </c>
      <c r="Z6825" s="61">
        <f>_xll.qlYieldTSDiscount($U$35,Y6825,,Trigger)</f>
        <v>0.76738894270994429</v>
      </c>
    </row>
    <row r="6826" spans="25:26" x14ac:dyDescent="0.25">
      <c r="Y6826" s="63">
        <v>49359</v>
      </c>
      <c r="Z6826" s="61">
        <f>_xll.qlYieldTSDiscount($U$35,Y6826,,Trigger)</f>
        <v>0.76735200821374283</v>
      </c>
    </row>
    <row r="6827" spans="25:26" x14ac:dyDescent="0.25">
      <c r="Y6827" s="63">
        <v>49360</v>
      </c>
      <c r="Z6827" s="61">
        <f>_xll.qlYieldTSDiscount($U$35,Y6827,,Trigger)</f>
        <v>0.76731506977404262</v>
      </c>
    </row>
    <row r="6828" spans="25:26" x14ac:dyDescent="0.25">
      <c r="Y6828" s="63">
        <v>49361</v>
      </c>
      <c r="Z6828" s="61">
        <f>_xll.qlYieldTSDiscount($U$35,Y6828,,Trigger)</f>
        <v>0.76727812738844992</v>
      </c>
    </row>
    <row r="6829" spans="25:26" x14ac:dyDescent="0.25">
      <c r="Y6829" s="63">
        <v>49362</v>
      </c>
      <c r="Z6829" s="61">
        <f>_xll.qlYieldTSDiscount($U$35,Y6829,,Trigger)</f>
        <v>0.76724118105457129</v>
      </c>
    </row>
    <row r="6830" spans="25:26" x14ac:dyDescent="0.25">
      <c r="Y6830" s="63">
        <v>49363</v>
      </c>
      <c r="Z6830" s="61">
        <f>_xll.qlYieldTSDiscount($U$35,Y6830,,Trigger)</f>
        <v>0.76720423077001321</v>
      </c>
    </row>
    <row r="6831" spans="25:26" x14ac:dyDescent="0.25">
      <c r="Y6831" s="63">
        <v>49364</v>
      </c>
      <c r="Z6831" s="61">
        <f>_xll.qlYieldTSDiscount($U$35,Y6831,,Trigger)</f>
        <v>0.76716727653238204</v>
      </c>
    </row>
    <row r="6832" spans="25:26" x14ac:dyDescent="0.25">
      <c r="Y6832" s="63">
        <v>49365</v>
      </c>
      <c r="Z6832" s="61">
        <f>_xll.qlYieldTSDiscount($U$35,Y6832,,Trigger)</f>
        <v>0.76713031833928458</v>
      </c>
    </row>
    <row r="6833" spans="25:26" x14ac:dyDescent="0.25">
      <c r="Y6833" s="63">
        <v>49366</v>
      </c>
      <c r="Z6833" s="61">
        <f>_xll.qlYieldTSDiscount($U$35,Y6833,,Trigger)</f>
        <v>0.76709335618832697</v>
      </c>
    </row>
    <row r="6834" spans="25:26" x14ac:dyDescent="0.25">
      <c r="Y6834" s="63">
        <v>49367</v>
      </c>
      <c r="Z6834" s="61">
        <f>_xll.qlYieldTSDiscount($U$35,Y6834,,Trigger)</f>
        <v>0.76705639007711579</v>
      </c>
    </row>
    <row r="6835" spans="25:26" x14ac:dyDescent="0.25">
      <c r="Y6835" s="63">
        <v>49368</v>
      </c>
      <c r="Z6835" s="61">
        <f>_xll.qlYieldTSDiscount($U$35,Y6835,,Trigger)</f>
        <v>0.76701942000325762</v>
      </c>
    </row>
    <row r="6836" spans="25:26" x14ac:dyDescent="0.25">
      <c r="Y6836" s="63">
        <v>49369</v>
      </c>
      <c r="Z6836" s="61">
        <f>_xll.qlYieldTSDiscount($U$35,Y6836,,Trigger)</f>
        <v>0.76698244596435883</v>
      </c>
    </row>
    <row r="6837" spans="25:26" x14ac:dyDescent="0.25">
      <c r="Y6837" s="63">
        <v>49370</v>
      </c>
      <c r="Z6837" s="61">
        <f>_xll.qlYieldTSDiscount($U$35,Y6837,,Trigger)</f>
        <v>0.76694546795802598</v>
      </c>
    </row>
    <row r="6838" spans="25:26" x14ac:dyDescent="0.25">
      <c r="Y6838" s="63">
        <v>49371</v>
      </c>
      <c r="Z6838" s="61">
        <f>_xll.qlYieldTSDiscount($U$35,Y6838,,Trigger)</f>
        <v>0.76690848598186556</v>
      </c>
    </row>
    <row r="6839" spans="25:26" x14ac:dyDescent="0.25">
      <c r="Y6839" s="63">
        <v>49372</v>
      </c>
      <c r="Z6839" s="61">
        <f>_xll.qlYieldTSDiscount($U$35,Y6839,,Trigger)</f>
        <v>0.76687150003348392</v>
      </c>
    </row>
    <row r="6840" spans="25:26" x14ac:dyDescent="0.25">
      <c r="Y6840" s="63">
        <v>49373</v>
      </c>
      <c r="Z6840" s="61">
        <f>_xll.qlYieldTSDiscount($U$35,Y6840,,Trigger)</f>
        <v>0.76683451011048764</v>
      </c>
    </row>
    <row r="6841" spans="25:26" x14ac:dyDescent="0.25">
      <c r="Y6841" s="63">
        <v>49374</v>
      </c>
      <c r="Z6841" s="61">
        <f>_xll.qlYieldTSDiscount($U$35,Y6841,,Trigger)</f>
        <v>0.76679751621048331</v>
      </c>
    </row>
    <row r="6842" spans="25:26" x14ac:dyDescent="0.25">
      <c r="Y6842" s="63">
        <v>49375</v>
      </c>
      <c r="Z6842" s="61">
        <f>_xll.qlYieldTSDiscount($U$35,Y6842,,Trigger)</f>
        <v>0.76676051833107717</v>
      </c>
    </row>
    <row r="6843" spans="25:26" x14ac:dyDescent="0.25">
      <c r="Y6843" s="63">
        <v>49376</v>
      </c>
      <c r="Z6843" s="61">
        <f>_xll.qlYieldTSDiscount($U$35,Y6843,,Trigger)</f>
        <v>0.7667235164698758</v>
      </c>
    </row>
    <row r="6844" spans="25:26" x14ac:dyDescent="0.25">
      <c r="Y6844" s="63">
        <v>49377</v>
      </c>
      <c r="Z6844" s="61">
        <f>_xll.qlYieldTSDiscount($U$35,Y6844,,Trigger)</f>
        <v>0.76668651062448578</v>
      </c>
    </row>
    <row r="6845" spans="25:26" x14ac:dyDescent="0.25">
      <c r="Y6845" s="63">
        <v>49378</v>
      </c>
      <c r="Z6845" s="61">
        <f>_xll.qlYieldTSDiscount($U$35,Y6845,,Trigger)</f>
        <v>0.76664950079251348</v>
      </c>
    </row>
    <row r="6846" spans="25:26" x14ac:dyDescent="0.25">
      <c r="Y6846" s="63">
        <v>49379</v>
      </c>
      <c r="Z6846" s="61">
        <f>_xll.qlYieldTSDiscount($U$35,Y6846,,Trigger)</f>
        <v>0.76661248697156548</v>
      </c>
    </row>
    <row r="6847" spans="25:26" x14ac:dyDescent="0.25">
      <c r="Y6847" s="63">
        <v>49380</v>
      </c>
      <c r="Z6847" s="61">
        <f>_xll.qlYieldTSDiscount($U$35,Y6847,,Trigger)</f>
        <v>0.76657546915924801</v>
      </c>
    </row>
    <row r="6848" spans="25:26" x14ac:dyDescent="0.25">
      <c r="Y6848" s="63">
        <v>49381</v>
      </c>
      <c r="Z6848" s="61">
        <f>_xll.qlYieldTSDiscount($U$35,Y6848,,Trigger)</f>
        <v>0.7665384473531679</v>
      </c>
    </row>
    <row r="6849" spans="25:26" x14ac:dyDescent="0.25">
      <c r="Y6849" s="63">
        <v>49382</v>
      </c>
      <c r="Z6849" s="61">
        <f>_xll.qlYieldTSDiscount($U$35,Y6849,,Trigger)</f>
        <v>0.76650142155093148</v>
      </c>
    </row>
    <row r="6850" spans="25:26" x14ac:dyDescent="0.25">
      <c r="Y6850" s="63">
        <v>49383</v>
      </c>
      <c r="Z6850" s="61">
        <f>_xll.qlYieldTSDiscount($U$35,Y6850,,Trigger)</f>
        <v>0.76646439175014502</v>
      </c>
    </row>
    <row r="6851" spans="25:26" x14ac:dyDescent="0.25">
      <c r="Y6851" s="63">
        <v>49384</v>
      </c>
      <c r="Z6851" s="61">
        <f>_xll.qlYieldTSDiscount($U$35,Y6851,,Trigger)</f>
        <v>0.76642735794841532</v>
      </c>
    </row>
    <row r="6852" spans="25:26" x14ac:dyDescent="0.25">
      <c r="Y6852" s="63">
        <v>49385</v>
      </c>
      <c r="Z6852" s="61">
        <f>_xll.qlYieldTSDiscount($U$35,Y6852,,Trigger)</f>
        <v>0.76639032014334874</v>
      </c>
    </row>
    <row r="6853" spans="25:26" x14ac:dyDescent="0.25">
      <c r="Y6853" s="63">
        <v>49386</v>
      </c>
      <c r="Z6853" s="61">
        <f>_xll.qlYieldTSDiscount($U$35,Y6853,,Trigger)</f>
        <v>0.76635327833255174</v>
      </c>
    </row>
    <row r="6854" spans="25:26" x14ac:dyDescent="0.25">
      <c r="Y6854" s="63">
        <v>49387</v>
      </c>
      <c r="Z6854" s="61">
        <f>_xll.qlYieldTSDiscount($U$35,Y6854,,Trigger)</f>
        <v>0.7663162325136309</v>
      </c>
    </row>
    <row r="6855" spans="25:26" x14ac:dyDescent="0.25">
      <c r="Y6855" s="63">
        <v>49388</v>
      </c>
      <c r="Z6855" s="61">
        <f>_xll.qlYieldTSDiscount($U$35,Y6855,,Trigger)</f>
        <v>0.76627918268419248</v>
      </c>
    </row>
    <row r="6856" spans="25:26" x14ac:dyDescent="0.25">
      <c r="Y6856" s="63">
        <v>49389</v>
      </c>
      <c r="Z6856" s="61">
        <f>_xll.qlYieldTSDiscount($U$35,Y6856,,Trigger)</f>
        <v>0.76624212884184317</v>
      </c>
    </row>
    <row r="6857" spans="25:26" x14ac:dyDescent="0.25">
      <c r="Y6857" s="63">
        <v>49390</v>
      </c>
      <c r="Z6857" s="61">
        <f>_xll.qlYieldTSDiscount($U$35,Y6857,,Trigger)</f>
        <v>0.76620507098418944</v>
      </c>
    </row>
    <row r="6858" spans="25:26" x14ac:dyDescent="0.25">
      <c r="Y6858" s="63">
        <v>49391</v>
      </c>
      <c r="Z6858" s="61">
        <f>_xll.qlYieldTSDiscount($U$35,Y6858,,Trigger)</f>
        <v>0.76616800910883764</v>
      </c>
    </row>
    <row r="6859" spans="25:26" x14ac:dyDescent="0.25">
      <c r="Y6859" s="63">
        <v>49392</v>
      </c>
      <c r="Z6859" s="61">
        <f>_xll.qlYieldTSDiscount($U$35,Y6859,,Trigger)</f>
        <v>0.76613094321339426</v>
      </c>
    </row>
    <row r="6860" spans="25:26" x14ac:dyDescent="0.25">
      <c r="Y6860" s="63">
        <v>49393</v>
      </c>
      <c r="Z6860" s="61">
        <f>_xll.qlYieldTSDiscount($U$35,Y6860,,Trigger)</f>
        <v>0.76609387329546585</v>
      </c>
    </row>
    <row r="6861" spans="25:26" x14ac:dyDescent="0.25">
      <c r="Y6861" s="63">
        <v>49394</v>
      </c>
      <c r="Z6861" s="61">
        <f>_xll.qlYieldTSDiscount($U$35,Y6861,,Trigger)</f>
        <v>0.76605679935265902</v>
      </c>
    </row>
    <row r="6862" spans="25:26" x14ac:dyDescent="0.25">
      <c r="Y6862" s="63">
        <v>49395</v>
      </c>
      <c r="Z6862" s="61">
        <f>_xll.qlYieldTSDiscount($U$35,Y6862,,Trigger)</f>
        <v>0.76601972138258001</v>
      </c>
    </row>
    <row r="6863" spans="25:26" x14ac:dyDescent="0.25">
      <c r="Y6863" s="63">
        <v>49396</v>
      </c>
      <c r="Z6863" s="61">
        <f>_xll.qlYieldTSDiscount($U$35,Y6863,,Trigger)</f>
        <v>0.7659826393828354</v>
      </c>
    </row>
    <row r="6864" spans="25:26" x14ac:dyDescent="0.25">
      <c r="Y6864" s="63">
        <v>49397</v>
      </c>
      <c r="Z6864" s="61">
        <f>_xll.qlYieldTSDiscount($U$35,Y6864,,Trigger)</f>
        <v>0.76594555335103165</v>
      </c>
    </row>
    <row r="6865" spans="25:26" x14ac:dyDescent="0.25">
      <c r="Y6865" s="63">
        <v>49398</v>
      </c>
      <c r="Z6865" s="61">
        <f>_xll.qlYieldTSDiscount($U$35,Y6865,,Trigger)</f>
        <v>0.76590846328477535</v>
      </c>
    </row>
    <row r="6866" spans="25:26" x14ac:dyDescent="0.25">
      <c r="Y6866" s="63">
        <v>49399</v>
      </c>
      <c r="Z6866" s="61">
        <f>_xll.qlYieldTSDiscount($U$35,Y6866,,Trigger)</f>
        <v>0.76587136918167276</v>
      </c>
    </row>
    <row r="6867" spans="25:26" x14ac:dyDescent="0.25">
      <c r="Y6867" s="63">
        <v>49400</v>
      </c>
      <c r="Z6867" s="61">
        <f>_xll.qlYieldTSDiscount($U$35,Y6867,,Trigger)</f>
        <v>0.76583427103933066</v>
      </c>
    </row>
    <row r="6868" spans="25:26" x14ac:dyDescent="0.25">
      <c r="Y6868" s="63">
        <v>49401</v>
      </c>
      <c r="Z6868" s="61">
        <f>_xll.qlYieldTSDiscount($U$35,Y6868,,Trigger)</f>
        <v>0.7657971688553552</v>
      </c>
    </row>
    <row r="6869" spans="25:26" x14ac:dyDescent="0.25">
      <c r="Y6869" s="63">
        <v>49402</v>
      </c>
      <c r="Z6869" s="61">
        <f>_xll.qlYieldTSDiscount($U$35,Y6869,,Trigger)</f>
        <v>0.76576006262735319</v>
      </c>
    </row>
    <row r="6870" spans="25:26" x14ac:dyDescent="0.25">
      <c r="Y6870" s="63">
        <v>49403</v>
      </c>
      <c r="Z6870" s="61">
        <f>_xll.qlYieldTSDiscount($U$35,Y6870,,Trigger)</f>
        <v>0.76572295235293086</v>
      </c>
    </row>
    <row r="6871" spans="25:26" x14ac:dyDescent="0.25">
      <c r="Y6871" s="63">
        <v>49404</v>
      </c>
      <c r="Z6871" s="61">
        <f>_xll.qlYieldTSDiscount($U$35,Y6871,,Trigger)</f>
        <v>0.7656858380296947</v>
      </c>
    </row>
    <row r="6872" spans="25:26" x14ac:dyDescent="0.25">
      <c r="Y6872" s="63">
        <v>49405</v>
      </c>
      <c r="Z6872" s="61">
        <f>_xll.qlYieldTSDiscount($U$35,Y6872,,Trigger)</f>
        <v>0.76564871965525139</v>
      </c>
    </row>
    <row r="6873" spans="25:26" x14ac:dyDescent="0.25">
      <c r="Y6873" s="63">
        <v>49406</v>
      </c>
      <c r="Z6873" s="61">
        <f>_xll.qlYieldTSDiscount($U$35,Y6873,,Trigger)</f>
        <v>0.76561159722720717</v>
      </c>
    </row>
    <row r="6874" spans="25:26" x14ac:dyDescent="0.25">
      <c r="Y6874" s="63">
        <v>49407</v>
      </c>
      <c r="Z6874" s="61">
        <f>_xll.qlYieldTSDiscount($U$35,Y6874,,Trigger)</f>
        <v>0.76557447074316876</v>
      </c>
    </row>
    <row r="6875" spans="25:26" x14ac:dyDescent="0.25">
      <c r="Y6875" s="63">
        <v>49408</v>
      </c>
      <c r="Z6875" s="61">
        <f>_xll.qlYieldTSDiscount($U$35,Y6875,,Trigger)</f>
        <v>0.76553734020074249</v>
      </c>
    </row>
    <row r="6876" spans="25:26" x14ac:dyDescent="0.25">
      <c r="Y6876" s="63">
        <v>49409</v>
      </c>
      <c r="Z6876" s="61">
        <f>_xll.qlYieldTSDiscount($U$35,Y6876,,Trigger)</f>
        <v>0.76550020559753484</v>
      </c>
    </row>
    <row r="6877" spans="25:26" x14ac:dyDescent="0.25">
      <c r="Y6877" s="63">
        <v>49410</v>
      </c>
      <c r="Z6877" s="61">
        <f>_xll.qlYieldTSDiscount($U$35,Y6877,,Trigger)</f>
        <v>0.7654630669311524</v>
      </c>
    </row>
    <row r="6878" spans="25:26" x14ac:dyDescent="0.25">
      <c r="Y6878" s="63">
        <v>49411</v>
      </c>
      <c r="Z6878" s="61">
        <f>_xll.qlYieldTSDiscount($U$35,Y6878,,Trigger)</f>
        <v>0.76542592419920141</v>
      </c>
    </row>
    <row r="6879" spans="25:26" x14ac:dyDescent="0.25">
      <c r="Y6879" s="63">
        <v>49412</v>
      </c>
      <c r="Z6879" s="61">
        <f>_xll.qlYieldTSDiscount($U$35,Y6879,,Trigger)</f>
        <v>0.76538877739928868</v>
      </c>
    </row>
    <row r="6880" spans="25:26" x14ac:dyDescent="0.25">
      <c r="Y6880" s="63">
        <v>49413</v>
      </c>
      <c r="Z6880" s="61">
        <f>_xll.qlYieldTSDiscount($U$35,Y6880,,Trigger)</f>
        <v>0.76535162652902045</v>
      </c>
    </row>
    <row r="6881" spans="25:26" x14ac:dyDescent="0.25">
      <c r="Y6881" s="63">
        <v>49414</v>
      </c>
      <c r="Z6881" s="61">
        <f>_xll.qlYieldTSDiscount($U$35,Y6881,,Trigger)</f>
        <v>0.76531447158600319</v>
      </c>
    </row>
    <row r="6882" spans="25:26" x14ac:dyDescent="0.25">
      <c r="Y6882" s="63">
        <v>49415</v>
      </c>
      <c r="Z6882" s="61">
        <f>_xll.qlYieldTSDiscount($U$35,Y6882,,Trigger)</f>
        <v>0.76527731256784359</v>
      </c>
    </row>
    <row r="6883" spans="25:26" x14ac:dyDescent="0.25">
      <c r="Y6883" s="63">
        <v>49416</v>
      </c>
      <c r="Z6883" s="61">
        <f>_xll.qlYieldTSDiscount($U$35,Y6883,,Trigger)</f>
        <v>0.76524014947214791</v>
      </c>
    </row>
    <row r="6884" spans="25:26" x14ac:dyDescent="0.25">
      <c r="Y6884" s="63">
        <v>49417</v>
      </c>
      <c r="Z6884" s="61">
        <f>_xll.qlYieldTSDiscount($U$35,Y6884,,Trigger)</f>
        <v>0.76520298229652284</v>
      </c>
    </row>
    <row r="6885" spans="25:26" x14ac:dyDescent="0.25">
      <c r="Y6885" s="63">
        <v>49418</v>
      </c>
      <c r="Z6885" s="61">
        <f>_xll.qlYieldTSDiscount($U$35,Y6885,,Trigger)</f>
        <v>0.76516581103857462</v>
      </c>
    </row>
    <row r="6886" spans="25:26" x14ac:dyDescent="0.25">
      <c r="Y6886" s="63">
        <v>49419</v>
      </c>
      <c r="Z6886" s="61">
        <f>_xll.qlYieldTSDiscount($U$35,Y6886,,Trigger)</f>
        <v>0.76512863569590994</v>
      </c>
    </row>
    <row r="6887" spans="25:26" x14ac:dyDescent="0.25">
      <c r="Y6887" s="63">
        <v>49420</v>
      </c>
      <c r="Z6887" s="61">
        <f>_xll.qlYieldTSDiscount($U$35,Y6887,,Trigger)</f>
        <v>0.76509145626613517</v>
      </c>
    </row>
    <row r="6888" spans="25:26" x14ac:dyDescent="0.25">
      <c r="Y6888" s="63">
        <v>49421</v>
      </c>
      <c r="Z6888" s="61">
        <f>_xll.qlYieldTSDiscount($U$35,Y6888,,Trigger)</f>
        <v>0.76505427274685689</v>
      </c>
    </row>
    <row r="6889" spans="25:26" x14ac:dyDescent="0.25">
      <c r="Y6889" s="63">
        <v>49422</v>
      </c>
      <c r="Z6889" s="61">
        <f>_xll.qlYieldTSDiscount($U$35,Y6889,,Trigger)</f>
        <v>0.76501708513568134</v>
      </c>
    </row>
    <row r="6890" spans="25:26" x14ac:dyDescent="0.25">
      <c r="Y6890" s="63">
        <v>49423</v>
      </c>
      <c r="Z6890" s="61">
        <f>_xll.qlYieldTSDiscount($U$35,Y6890,,Trigger)</f>
        <v>0.76497989343021533</v>
      </c>
    </row>
    <row r="6891" spans="25:26" x14ac:dyDescent="0.25">
      <c r="Y6891" s="63">
        <v>49424</v>
      </c>
      <c r="Z6891" s="61">
        <f>_xll.qlYieldTSDiscount($U$35,Y6891,,Trigger)</f>
        <v>0.7649426976280651</v>
      </c>
    </row>
    <row r="6892" spans="25:26" x14ac:dyDescent="0.25">
      <c r="Y6892" s="63">
        <v>49425</v>
      </c>
      <c r="Z6892" s="61">
        <f>_xll.qlYieldTSDiscount($U$35,Y6892,,Trigger)</f>
        <v>0.76490549772683725</v>
      </c>
    </row>
    <row r="6893" spans="25:26" x14ac:dyDescent="0.25">
      <c r="Y6893" s="63">
        <v>49426</v>
      </c>
      <c r="Z6893" s="61">
        <f>_xll.qlYieldTSDiscount($U$35,Y6893,,Trigger)</f>
        <v>0.76486829372413823</v>
      </c>
    </row>
    <row r="6894" spans="25:26" x14ac:dyDescent="0.25">
      <c r="Y6894" s="63">
        <v>49427</v>
      </c>
      <c r="Z6894" s="61">
        <f>_xll.qlYieldTSDiscount($U$35,Y6894,,Trigger)</f>
        <v>0.76483108561757451</v>
      </c>
    </row>
    <row r="6895" spans="25:26" x14ac:dyDescent="0.25">
      <c r="Y6895" s="63">
        <v>49428</v>
      </c>
      <c r="Z6895" s="61">
        <f>_xll.qlYieldTSDiscount($U$35,Y6895,,Trigger)</f>
        <v>0.76479387340475247</v>
      </c>
    </row>
    <row r="6896" spans="25:26" x14ac:dyDescent="0.25">
      <c r="Y6896" s="63">
        <v>49429</v>
      </c>
      <c r="Z6896" s="61">
        <f>_xll.qlYieldTSDiscount($U$35,Y6896,,Trigger)</f>
        <v>0.76475665708327878</v>
      </c>
    </row>
    <row r="6897" spans="25:26" x14ac:dyDescent="0.25">
      <c r="Y6897" s="63">
        <v>49430</v>
      </c>
      <c r="Z6897" s="61">
        <f>_xll.qlYieldTSDiscount($U$35,Y6897,,Trigger)</f>
        <v>0.76471943665075981</v>
      </c>
    </row>
    <row r="6898" spans="25:26" x14ac:dyDescent="0.25">
      <c r="Y6898" s="63">
        <v>49431</v>
      </c>
      <c r="Z6898" s="61">
        <f>_xll.qlYieldTSDiscount($U$35,Y6898,,Trigger)</f>
        <v>0.76468221210480203</v>
      </c>
    </row>
    <row r="6899" spans="25:26" x14ac:dyDescent="0.25">
      <c r="Y6899" s="63">
        <v>49432</v>
      </c>
      <c r="Z6899" s="61">
        <f>_xll.qlYieldTSDiscount($U$35,Y6899,,Trigger)</f>
        <v>0.76464498344301202</v>
      </c>
    </row>
    <row r="6900" spans="25:26" x14ac:dyDescent="0.25">
      <c r="Y6900" s="63">
        <v>49433</v>
      </c>
      <c r="Z6900" s="61">
        <f>_xll.qlYieldTSDiscount($U$35,Y6900,,Trigger)</f>
        <v>0.76460775066299613</v>
      </c>
    </row>
    <row r="6901" spans="25:26" x14ac:dyDescent="0.25">
      <c r="Y6901" s="63">
        <v>49434</v>
      </c>
      <c r="Z6901" s="61">
        <f>_xll.qlYieldTSDiscount($U$35,Y6901,,Trigger)</f>
        <v>0.76457051376236096</v>
      </c>
    </row>
    <row r="6902" spans="25:26" x14ac:dyDescent="0.25">
      <c r="Y6902" s="63">
        <v>49435</v>
      </c>
      <c r="Z6902" s="61">
        <f>_xll.qlYieldTSDiscount($U$35,Y6902,,Trigger)</f>
        <v>0.76453327273871297</v>
      </c>
    </row>
    <row r="6903" spans="25:26" x14ac:dyDescent="0.25">
      <c r="Y6903" s="63">
        <v>49436</v>
      </c>
      <c r="Z6903" s="61">
        <f>_xll.qlYieldTSDiscount($U$35,Y6903,,Trigger)</f>
        <v>0.76449602758965851</v>
      </c>
    </row>
    <row r="6904" spans="25:26" x14ac:dyDescent="0.25">
      <c r="Y6904" s="63">
        <v>49437</v>
      </c>
      <c r="Z6904" s="61">
        <f>_xll.qlYieldTSDiscount($U$35,Y6904,,Trigger)</f>
        <v>0.76445877831280429</v>
      </c>
    </row>
    <row r="6905" spans="25:26" x14ac:dyDescent="0.25">
      <c r="Y6905" s="63">
        <v>49438</v>
      </c>
      <c r="Z6905" s="61">
        <f>_xll.qlYieldTSDiscount($U$35,Y6905,,Trigger)</f>
        <v>0.76442152490575643</v>
      </c>
    </row>
    <row r="6906" spans="25:26" x14ac:dyDescent="0.25">
      <c r="Y6906" s="63">
        <v>49439</v>
      </c>
      <c r="Z6906" s="61">
        <f>_xll.qlYieldTSDiscount($U$35,Y6906,,Trigger)</f>
        <v>0.76438426736612186</v>
      </c>
    </row>
    <row r="6907" spans="25:26" x14ac:dyDescent="0.25">
      <c r="Y6907" s="63">
        <v>49440</v>
      </c>
      <c r="Z6907" s="61">
        <f>_xll.qlYieldTSDiscount($U$35,Y6907,,Trigger)</f>
        <v>0.76434700569150682</v>
      </c>
    </row>
    <row r="6908" spans="25:26" x14ac:dyDescent="0.25">
      <c r="Y6908" s="63">
        <v>49441</v>
      </c>
      <c r="Z6908" s="61">
        <f>_xll.qlYieldTSDiscount($U$35,Y6908,,Trigger)</f>
        <v>0.76430973987951767</v>
      </c>
    </row>
    <row r="6909" spans="25:26" x14ac:dyDescent="0.25">
      <c r="Y6909" s="63">
        <v>49442</v>
      </c>
      <c r="Z6909" s="61">
        <f>_xll.qlYieldTSDiscount($U$35,Y6909,,Trigger)</f>
        <v>0.7642724699277611</v>
      </c>
    </row>
    <row r="6910" spans="25:26" x14ac:dyDescent="0.25">
      <c r="Y6910" s="63">
        <v>49443</v>
      </c>
      <c r="Z6910" s="61">
        <f>_xll.qlYieldTSDiscount($U$35,Y6910,,Trigger)</f>
        <v>0.76423519583384358</v>
      </c>
    </row>
    <row r="6911" spans="25:26" x14ac:dyDescent="0.25">
      <c r="Y6911" s="63">
        <v>49444</v>
      </c>
      <c r="Z6911" s="61">
        <f>_xll.qlYieldTSDiscount($U$35,Y6911,,Trigger)</f>
        <v>0.76419791759537148</v>
      </c>
    </row>
    <row r="6912" spans="25:26" x14ac:dyDescent="0.25">
      <c r="Y6912" s="63">
        <v>49445</v>
      </c>
      <c r="Z6912" s="61">
        <f>_xll.qlYieldTSDiscount($U$35,Y6912,,Trigger)</f>
        <v>0.76416063520995137</v>
      </c>
    </row>
    <row r="6913" spans="25:26" x14ac:dyDescent="0.25">
      <c r="Y6913" s="63">
        <v>49446</v>
      </c>
      <c r="Z6913" s="61">
        <f>_xll.qlYieldTSDiscount($U$35,Y6913,,Trigger)</f>
        <v>0.76412334867518961</v>
      </c>
    </row>
    <row r="6914" spans="25:26" x14ac:dyDescent="0.25">
      <c r="Y6914" s="63">
        <v>49447</v>
      </c>
      <c r="Z6914" s="61">
        <f>_xll.qlYieldTSDiscount($U$35,Y6914,,Trigger)</f>
        <v>0.76408605798869278</v>
      </c>
    </row>
    <row r="6915" spans="25:26" x14ac:dyDescent="0.25">
      <c r="Y6915" s="63">
        <v>49448</v>
      </c>
      <c r="Z6915" s="61">
        <f>_xll.qlYieldTSDiscount($U$35,Y6915,,Trigger)</f>
        <v>0.76404876314806747</v>
      </c>
    </row>
    <row r="6916" spans="25:26" x14ac:dyDescent="0.25">
      <c r="Y6916" s="63">
        <v>49449</v>
      </c>
      <c r="Z6916" s="61">
        <f>_xll.qlYieldTSDiscount($U$35,Y6916,,Trigger)</f>
        <v>0.76401146415091992</v>
      </c>
    </row>
    <row r="6917" spans="25:26" x14ac:dyDescent="0.25">
      <c r="Y6917" s="63">
        <v>49450</v>
      </c>
      <c r="Z6917" s="61">
        <f>_xll.qlYieldTSDiscount($U$35,Y6917,,Trigger)</f>
        <v>0.76397416099485671</v>
      </c>
    </row>
    <row r="6918" spans="25:26" x14ac:dyDescent="0.25">
      <c r="Y6918" s="63">
        <v>49451</v>
      </c>
      <c r="Z6918" s="61">
        <f>_xll.qlYieldTSDiscount($U$35,Y6918,,Trigger)</f>
        <v>0.76393685367748432</v>
      </c>
    </row>
    <row r="6919" spans="25:26" x14ac:dyDescent="0.25">
      <c r="Y6919" s="63">
        <v>49452</v>
      </c>
      <c r="Z6919" s="61">
        <f>_xll.qlYieldTSDiscount($U$35,Y6919,,Trigger)</f>
        <v>0.76389954219640932</v>
      </c>
    </row>
    <row r="6920" spans="25:26" x14ac:dyDescent="0.25">
      <c r="Y6920" s="63">
        <v>49453</v>
      </c>
      <c r="Z6920" s="61">
        <f>_xll.qlYieldTSDiscount($U$35,Y6920,,Trigger)</f>
        <v>0.76386222654923808</v>
      </c>
    </row>
    <row r="6921" spans="25:26" x14ac:dyDescent="0.25">
      <c r="Y6921" s="63">
        <v>49454</v>
      </c>
      <c r="Z6921" s="61">
        <f>_xll.qlYieldTSDiscount($U$35,Y6921,,Trigger)</f>
        <v>0.76382490673357717</v>
      </c>
    </row>
    <row r="6922" spans="25:26" x14ac:dyDescent="0.25">
      <c r="Y6922" s="63">
        <v>49455</v>
      </c>
      <c r="Z6922" s="61">
        <f>_xll.qlYieldTSDiscount($U$35,Y6922,,Trigger)</f>
        <v>0.76378758274703296</v>
      </c>
    </row>
    <row r="6923" spans="25:26" x14ac:dyDescent="0.25">
      <c r="Y6923" s="63">
        <v>49456</v>
      </c>
      <c r="Z6923" s="61">
        <f>_xll.qlYieldTSDiscount($U$35,Y6923,,Trigger)</f>
        <v>0.76375025458721202</v>
      </c>
    </row>
    <row r="6924" spans="25:26" x14ac:dyDescent="0.25">
      <c r="Y6924" s="63">
        <v>49457</v>
      </c>
      <c r="Z6924" s="61">
        <f>_xll.qlYieldTSDiscount($U$35,Y6924,,Trigger)</f>
        <v>0.76371292225172083</v>
      </c>
    </row>
    <row r="6925" spans="25:26" x14ac:dyDescent="0.25">
      <c r="Y6925" s="63">
        <v>49458</v>
      </c>
      <c r="Z6925" s="61">
        <f>_xll.qlYieldTSDiscount($U$35,Y6925,,Trigger)</f>
        <v>0.76367558573816574</v>
      </c>
    </row>
    <row r="6926" spans="25:26" x14ac:dyDescent="0.25">
      <c r="Y6926" s="63">
        <v>49459</v>
      </c>
      <c r="Z6926" s="61">
        <f>_xll.qlYieldTSDiscount($U$35,Y6926,,Trigger)</f>
        <v>0.76363824504415345</v>
      </c>
    </row>
    <row r="6927" spans="25:26" x14ac:dyDescent="0.25">
      <c r="Y6927" s="63">
        <v>49460</v>
      </c>
      <c r="Z6927" s="61">
        <f>_xll.qlYieldTSDiscount($U$35,Y6927,,Trigger)</f>
        <v>0.76360090016729021</v>
      </c>
    </row>
    <row r="6928" spans="25:26" x14ac:dyDescent="0.25">
      <c r="Y6928" s="63">
        <v>49461</v>
      </c>
      <c r="Z6928" s="61">
        <f>_xll.qlYieldTSDiscount($U$35,Y6928,,Trigger)</f>
        <v>0.7635635511051827</v>
      </c>
    </row>
    <row r="6929" spans="25:26" x14ac:dyDescent="0.25">
      <c r="Y6929" s="63">
        <v>49462</v>
      </c>
      <c r="Z6929" s="61">
        <f>_xll.qlYieldTSDiscount($U$35,Y6929,,Trigger)</f>
        <v>0.76352619785543729</v>
      </c>
    </row>
    <row r="6930" spans="25:26" x14ac:dyDescent="0.25">
      <c r="Y6930" s="63">
        <v>49463</v>
      </c>
      <c r="Z6930" s="61">
        <f>_xll.qlYieldTSDiscount($U$35,Y6930,,Trigger)</f>
        <v>0.76348884041566045</v>
      </c>
    </row>
    <row r="6931" spans="25:26" x14ac:dyDescent="0.25">
      <c r="Y6931" s="63">
        <v>49464</v>
      </c>
      <c r="Z6931" s="61">
        <f>_xll.qlYieldTSDiscount($U$35,Y6931,,Trigger)</f>
        <v>0.76345147878345876</v>
      </c>
    </row>
    <row r="6932" spans="25:26" x14ac:dyDescent="0.25">
      <c r="Y6932" s="63">
        <v>49465</v>
      </c>
      <c r="Z6932" s="61">
        <f>_xll.qlYieldTSDiscount($U$35,Y6932,,Trigger)</f>
        <v>0.76341411295643857</v>
      </c>
    </row>
    <row r="6933" spans="25:26" x14ac:dyDescent="0.25">
      <c r="Y6933" s="63">
        <v>49466</v>
      </c>
      <c r="Z6933" s="61">
        <f>_xll.qlYieldTSDiscount($U$35,Y6933,,Trigger)</f>
        <v>0.76337674293220648</v>
      </c>
    </row>
    <row r="6934" spans="25:26" x14ac:dyDescent="0.25">
      <c r="Y6934" s="63">
        <v>49467</v>
      </c>
      <c r="Z6934" s="61">
        <f>_xll.qlYieldTSDiscount($U$35,Y6934,,Trigger)</f>
        <v>0.76333936870836883</v>
      </c>
    </row>
    <row r="6935" spans="25:26" x14ac:dyDescent="0.25">
      <c r="Y6935" s="63">
        <v>49468</v>
      </c>
      <c r="Z6935" s="61">
        <f>_xll.qlYieldTSDiscount($U$35,Y6935,,Trigger)</f>
        <v>0.76330199028253221</v>
      </c>
    </row>
    <row r="6936" spans="25:26" x14ac:dyDescent="0.25">
      <c r="Y6936" s="63">
        <v>49469</v>
      </c>
      <c r="Z6936" s="61">
        <f>_xll.qlYieldTSDiscount($U$35,Y6936,,Trigger)</f>
        <v>0.7632646076523032</v>
      </c>
    </row>
    <row r="6937" spans="25:26" x14ac:dyDescent="0.25">
      <c r="Y6937" s="63">
        <v>49470</v>
      </c>
      <c r="Z6937" s="61">
        <f>_xll.qlYieldTSDiscount($U$35,Y6937,,Trigger)</f>
        <v>0.76322722081528793</v>
      </c>
    </row>
    <row r="6938" spans="25:26" x14ac:dyDescent="0.25">
      <c r="Y6938" s="63">
        <v>49471</v>
      </c>
      <c r="Z6938" s="61">
        <f>_xll.qlYieldTSDiscount($U$35,Y6938,,Trigger)</f>
        <v>0.76318982976909333</v>
      </c>
    </row>
    <row r="6939" spans="25:26" x14ac:dyDescent="0.25">
      <c r="Y6939" s="63">
        <v>49472</v>
      </c>
      <c r="Z6939" s="61">
        <f>_xll.qlYieldTSDiscount($U$35,Y6939,,Trigger)</f>
        <v>0.76315243451132553</v>
      </c>
    </row>
    <row r="6940" spans="25:26" x14ac:dyDescent="0.25">
      <c r="Y6940" s="63">
        <v>49473</v>
      </c>
      <c r="Z6940" s="61">
        <f>_xll.qlYieldTSDiscount($U$35,Y6940,,Trigger)</f>
        <v>0.76311503503959122</v>
      </c>
    </row>
    <row r="6941" spans="25:26" x14ac:dyDescent="0.25">
      <c r="Y6941" s="63">
        <v>49474</v>
      </c>
      <c r="Z6941" s="61">
        <f>_xll.qlYieldTSDiscount($U$35,Y6941,,Trigger)</f>
        <v>0.76307763135149675</v>
      </c>
    </row>
    <row r="6942" spans="25:26" x14ac:dyDescent="0.25">
      <c r="Y6942" s="63">
        <v>49475</v>
      </c>
      <c r="Z6942" s="61">
        <f>_xll.qlYieldTSDiscount($U$35,Y6942,,Trigger)</f>
        <v>0.76304022344464861</v>
      </c>
    </row>
    <row r="6943" spans="25:26" x14ac:dyDescent="0.25">
      <c r="Y6943" s="63">
        <v>49476</v>
      </c>
      <c r="Z6943" s="61">
        <f>_xll.qlYieldTSDiscount($U$35,Y6943,,Trigger)</f>
        <v>0.76300281131665337</v>
      </c>
    </row>
    <row r="6944" spans="25:26" x14ac:dyDescent="0.25">
      <c r="Y6944" s="63">
        <v>49477</v>
      </c>
      <c r="Z6944" s="61">
        <f>_xll.qlYieldTSDiscount($U$35,Y6944,,Trigger)</f>
        <v>0.7629653949651175</v>
      </c>
    </row>
    <row r="6945" spans="25:26" x14ac:dyDescent="0.25">
      <c r="Y6945" s="63">
        <v>49478</v>
      </c>
      <c r="Z6945" s="61">
        <f>_xll.qlYieldTSDiscount($U$35,Y6945,,Trigger)</f>
        <v>0.76292797438764737</v>
      </c>
    </row>
    <row r="6946" spans="25:26" x14ac:dyDescent="0.25">
      <c r="Y6946" s="63">
        <v>49479</v>
      </c>
      <c r="Z6946" s="61">
        <f>_xll.qlYieldTSDiscount($U$35,Y6946,,Trigger)</f>
        <v>0.76289054958184965</v>
      </c>
    </row>
    <row r="6947" spans="25:26" x14ac:dyDescent="0.25">
      <c r="Y6947" s="63">
        <v>49480</v>
      </c>
      <c r="Z6947" s="61">
        <f>_xll.qlYieldTSDiscount($U$35,Y6947,,Trigger)</f>
        <v>0.76285312054533061</v>
      </c>
    </row>
    <row r="6948" spans="25:26" x14ac:dyDescent="0.25">
      <c r="Y6948" s="63">
        <v>49481</v>
      </c>
      <c r="Z6948" s="61">
        <f>_xll.qlYieldTSDiscount($U$35,Y6948,,Trigger)</f>
        <v>0.76281568727569682</v>
      </c>
    </row>
    <row r="6949" spans="25:26" x14ac:dyDescent="0.25">
      <c r="Y6949" s="63">
        <v>49482</v>
      </c>
      <c r="Z6949" s="61">
        <f>_xll.qlYieldTSDiscount($U$35,Y6949,,Trigger)</f>
        <v>0.76277824977055475</v>
      </c>
    </row>
    <row r="6950" spans="25:26" x14ac:dyDescent="0.25">
      <c r="Y6950" s="63">
        <v>49483</v>
      </c>
      <c r="Z6950" s="61">
        <f>_xll.qlYieldTSDiscount($U$35,Y6950,,Trigger)</f>
        <v>0.76274080802751087</v>
      </c>
    </row>
    <row r="6951" spans="25:26" x14ac:dyDescent="0.25">
      <c r="Y6951" s="63">
        <v>49484</v>
      </c>
      <c r="Z6951" s="61">
        <f>_xll.qlYieldTSDiscount($U$35,Y6951,,Trigger)</f>
        <v>0.76270336204417177</v>
      </c>
    </row>
    <row r="6952" spans="25:26" x14ac:dyDescent="0.25">
      <c r="Y6952" s="63">
        <v>49485</v>
      </c>
      <c r="Z6952" s="61">
        <f>_xll.qlYieldTSDiscount($U$35,Y6952,,Trigger)</f>
        <v>0.76266591181814392</v>
      </c>
    </row>
    <row r="6953" spans="25:26" x14ac:dyDescent="0.25">
      <c r="Y6953" s="63">
        <v>49486</v>
      </c>
      <c r="Z6953" s="61">
        <f>_xll.qlYieldTSDiscount($U$35,Y6953,,Trigger)</f>
        <v>0.76262845734703355</v>
      </c>
    </row>
    <row r="6954" spans="25:26" x14ac:dyDescent="0.25">
      <c r="Y6954" s="63">
        <v>49487</v>
      </c>
      <c r="Z6954" s="61">
        <f>_xll.qlYieldTSDiscount($U$35,Y6954,,Trigger)</f>
        <v>0.76259099862844748</v>
      </c>
    </row>
    <row r="6955" spans="25:26" x14ac:dyDescent="0.25">
      <c r="Y6955" s="63">
        <v>49488</v>
      </c>
      <c r="Z6955" s="61">
        <f>_xll.qlYieldTSDiscount($U$35,Y6955,,Trigger)</f>
        <v>0.76255353565999195</v>
      </c>
    </row>
    <row r="6956" spans="25:26" x14ac:dyDescent="0.25">
      <c r="Y6956" s="63">
        <v>49489</v>
      </c>
      <c r="Z6956" s="61">
        <f>_xll.qlYieldTSDiscount($U$35,Y6956,,Trigger)</f>
        <v>0.76251606843927344</v>
      </c>
    </row>
    <row r="6957" spans="25:26" x14ac:dyDescent="0.25">
      <c r="Y6957" s="63">
        <v>49490</v>
      </c>
      <c r="Z6957" s="61">
        <f>_xll.qlYieldTSDiscount($U$35,Y6957,,Trigger)</f>
        <v>0.76247859696389864</v>
      </c>
    </row>
    <row r="6958" spans="25:26" x14ac:dyDescent="0.25">
      <c r="Y6958" s="63">
        <v>49491</v>
      </c>
      <c r="Z6958" s="61">
        <f>_xll.qlYieldTSDiscount($U$35,Y6958,,Trigger)</f>
        <v>0.76244112123147378</v>
      </c>
    </row>
    <row r="6959" spans="25:26" x14ac:dyDescent="0.25">
      <c r="Y6959" s="63">
        <v>49492</v>
      </c>
      <c r="Z6959" s="61">
        <f>_xll.qlYieldTSDiscount($U$35,Y6959,,Trigger)</f>
        <v>0.76240364123960558</v>
      </c>
    </row>
    <row r="6960" spans="25:26" x14ac:dyDescent="0.25">
      <c r="Y6960" s="63">
        <v>49493</v>
      </c>
      <c r="Z6960" s="61">
        <f>_xll.qlYieldTSDiscount($U$35,Y6960,,Trigger)</f>
        <v>0.76236615698590038</v>
      </c>
    </row>
    <row r="6961" spans="25:26" x14ac:dyDescent="0.25">
      <c r="Y6961" s="63">
        <v>49494</v>
      </c>
      <c r="Z6961" s="61">
        <f>_xll.qlYieldTSDiscount($U$35,Y6961,,Trigger)</f>
        <v>0.76232866846796465</v>
      </c>
    </row>
    <row r="6962" spans="25:26" x14ac:dyDescent="0.25">
      <c r="Y6962" s="63">
        <v>49495</v>
      </c>
      <c r="Z6962" s="61">
        <f>_xll.qlYieldTSDiscount($U$35,Y6962,,Trigger)</f>
        <v>0.76229117568340488</v>
      </c>
    </row>
    <row r="6963" spans="25:26" x14ac:dyDescent="0.25">
      <c r="Y6963" s="63">
        <v>49496</v>
      </c>
      <c r="Z6963" s="61">
        <f>_xll.qlYieldTSDiscount($U$35,Y6963,,Trigger)</f>
        <v>0.76225367862982751</v>
      </c>
    </row>
    <row r="6964" spans="25:26" x14ac:dyDescent="0.25">
      <c r="Y6964" s="63">
        <v>49497</v>
      </c>
      <c r="Z6964" s="61">
        <f>_xll.qlYieldTSDiscount($U$35,Y6964,,Trigger)</f>
        <v>0.76221617730483926</v>
      </c>
    </row>
    <row r="6965" spans="25:26" x14ac:dyDescent="0.25">
      <c r="Y6965" s="63">
        <v>49498</v>
      </c>
      <c r="Z6965" s="61">
        <f>_xll.qlYieldTSDiscount($U$35,Y6965,,Trigger)</f>
        <v>0.76217867170604636</v>
      </c>
    </row>
    <row r="6966" spans="25:26" x14ac:dyDescent="0.25">
      <c r="Y6966" s="63">
        <v>49499</v>
      </c>
      <c r="Z6966" s="61">
        <f>_xll.qlYieldTSDiscount($U$35,Y6966,,Trigger)</f>
        <v>0.76214116183105529</v>
      </c>
    </row>
    <row r="6967" spans="25:26" x14ac:dyDescent="0.25">
      <c r="Y6967" s="63">
        <v>49500</v>
      </c>
      <c r="Z6967" s="61">
        <f>_xll.qlYieldTSDiscount($U$35,Y6967,,Trigger)</f>
        <v>0.76210364767747274</v>
      </c>
    </row>
    <row r="6968" spans="25:26" x14ac:dyDescent="0.25">
      <c r="Y6968" s="63">
        <v>49501</v>
      </c>
      <c r="Z6968" s="61">
        <f>_xll.qlYieldTSDiscount($U$35,Y6968,,Trigger)</f>
        <v>0.76206612924290495</v>
      </c>
    </row>
    <row r="6969" spans="25:26" x14ac:dyDescent="0.25">
      <c r="Y6969" s="63">
        <v>49502</v>
      </c>
      <c r="Z6969" s="61">
        <f>_xll.qlYieldTSDiscount($U$35,Y6969,,Trigger)</f>
        <v>0.76202860652495852</v>
      </c>
    </row>
    <row r="6970" spans="25:26" x14ac:dyDescent="0.25">
      <c r="Y6970" s="63">
        <v>49503</v>
      </c>
      <c r="Z6970" s="61">
        <f>_xll.qlYieldTSDiscount($U$35,Y6970,,Trigger)</f>
        <v>0.76199107952124001</v>
      </c>
    </row>
    <row r="6971" spans="25:26" x14ac:dyDescent="0.25">
      <c r="Y6971" s="63">
        <v>49504</v>
      </c>
      <c r="Z6971" s="61">
        <f>_xll.qlYieldTSDiscount($U$35,Y6971,,Trigger)</f>
        <v>0.76195354822935568</v>
      </c>
    </row>
    <row r="6972" spans="25:26" x14ac:dyDescent="0.25">
      <c r="Y6972" s="63">
        <v>49505</v>
      </c>
      <c r="Z6972" s="61">
        <f>_xll.qlYieldTSDiscount($U$35,Y6972,,Trigger)</f>
        <v>0.76191601264691222</v>
      </c>
    </row>
    <row r="6973" spans="25:26" x14ac:dyDescent="0.25">
      <c r="Y6973" s="63">
        <v>49506</v>
      </c>
      <c r="Z6973" s="61">
        <f>_xll.qlYieldTSDiscount($U$35,Y6973,,Trigger)</f>
        <v>0.76187847277151599</v>
      </c>
    </row>
    <row r="6974" spans="25:26" x14ac:dyDescent="0.25">
      <c r="Y6974" s="63">
        <v>49507</v>
      </c>
      <c r="Z6974" s="61">
        <f>_xll.qlYieldTSDiscount($U$35,Y6974,,Trigger)</f>
        <v>0.76184092860077357</v>
      </c>
    </row>
    <row r="6975" spans="25:26" x14ac:dyDescent="0.25">
      <c r="Y6975" s="63">
        <v>49508</v>
      </c>
      <c r="Z6975" s="61">
        <f>_xll.qlYieldTSDiscount($U$35,Y6975,,Trigger)</f>
        <v>0.76180338013229132</v>
      </c>
    </row>
    <row r="6976" spans="25:26" x14ac:dyDescent="0.25">
      <c r="Y6976" s="63">
        <v>49509</v>
      </c>
      <c r="Z6976" s="61">
        <f>_xll.qlYieldTSDiscount($U$35,Y6976,,Trigger)</f>
        <v>0.76176582736367582</v>
      </c>
    </row>
    <row r="6977" spans="25:26" x14ac:dyDescent="0.25">
      <c r="Y6977" s="63">
        <v>49510</v>
      </c>
      <c r="Z6977" s="61">
        <f>_xll.qlYieldTSDiscount($U$35,Y6977,,Trigger)</f>
        <v>0.76172827029253354</v>
      </c>
    </row>
    <row r="6978" spans="25:26" x14ac:dyDescent="0.25">
      <c r="Y6978" s="63">
        <v>49511</v>
      </c>
      <c r="Z6978" s="61">
        <f>_xll.qlYieldTSDiscount($U$35,Y6978,,Trigger)</f>
        <v>0.76169070891647084</v>
      </c>
    </row>
    <row r="6979" spans="25:26" x14ac:dyDescent="0.25">
      <c r="Y6979" s="63">
        <v>49512</v>
      </c>
      <c r="Z6979" s="61">
        <f>_xll.qlYieldTSDiscount($U$35,Y6979,,Trigger)</f>
        <v>0.7616531432330943</v>
      </c>
    </row>
    <row r="6980" spans="25:26" x14ac:dyDescent="0.25">
      <c r="Y6980" s="63">
        <v>49513</v>
      </c>
      <c r="Z6980" s="61">
        <f>_xll.qlYieldTSDiscount($U$35,Y6980,,Trigger)</f>
        <v>0.7616155732400105</v>
      </c>
    </row>
    <row r="6981" spans="25:26" x14ac:dyDescent="0.25">
      <c r="Y6981" s="63">
        <v>49514</v>
      </c>
      <c r="Z6981" s="61">
        <f>_xll.qlYieldTSDiscount($U$35,Y6981,,Trigger)</f>
        <v>0.76157799893482581</v>
      </c>
    </row>
    <row r="6982" spans="25:26" x14ac:dyDescent="0.25">
      <c r="Y6982" s="63">
        <v>49515</v>
      </c>
      <c r="Z6982" s="61">
        <f>_xll.qlYieldTSDiscount($U$35,Y6982,,Trigger)</f>
        <v>0.76154042031514657</v>
      </c>
    </row>
    <row r="6983" spans="25:26" x14ac:dyDescent="0.25">
      <c r="Y6983" s="63">
        <v>49516</v>
      </c>
      <c r="Z6983" s="61">
        <f>_xll.qlYieldTSDiscount($U$35,Y6983,,Trigger)</f>
        <v>0.76150283737857949</v>
      </c>
    </row>
    <row r="6984" spans="25:26" x14ac:dyDescent="0.25">
      <c r="Y6984" s="63">
        <v>49517</v>
      </c>
      <c r="Z6984" s="61">
        <f>_xll.qlYieldTSDiscount($U$35,Y6984,,Trigger)</f>
        <v>0.76146525012273103</v>
      </c>
    </row>
    <row r="6985" spans="25:26" x14ac:dyDescent="0.25">
      <c r="Y6985" s="63">
        <v>49518</v>
      </c>
      <c r="Z6985" s="61">
        <f>_xll.qlYieldTSDiscount($U$35,Y6985,,Trigger)</f>
        <v>0.76142765854520755</v>
      </c>
    </row>
    <row r="6986" spans="25:26" x14ac:dyDescent="0.25">
      <c r="Y6986" s="63">
        <v>49519</v>
      </c>
      <c r="Z6986" s="61">
        <f>_xll.qlYieldTSDiscount($U$35,Y6986,,Trigger)</f>
        <v>0.76139006264361553</v>
      </c>
    </row>
    <row r="6987" spans="25:26" x14ac:dyDescent="0.25">
      <c r="Y6987" s="63">
        <v>49520</v>
      </c>
      <c r="Z6987" s="61">
        <f>_xll.qlYieldTSDiscount($U$35,Y6987,,Trigger)</f>
        <v>0.76135246241556154</v>
      </c>
    </row>
    <row r="6988" spans="25:26" x14ac:dyDescent="0.25">
      <c r="Y6988" s="63">
        <v>49521</v>
      </c>
      <c r="Z6988" s="61">
        <f>_xll.qlYieldTSDiscount($U$35,Y6988,,Trigger)</f>
        <v>0.76131485785865216</v>
      </c>
    </row>
    <row r="6989" spans="25:26" x14ac:dyDescent="0.25">
      <c r="Y6989" s="63">
        <v>49522</v>
      </c>
      <c r="Z6989" s="61">
        <f>_xll.qlYieldTSDiscount($U$35,Y6989,,Trigger)</f>
        <v>0.76127724897049365</v>
      </c>
    </row>
    <row r="6990" spans="25:26" x14ac:dyDescent="0.25">
      <c r="Y6990" s="63">
        <v>49523</v>
      </c>
      <c r="Z6990" s="61">
        <f>_xll.qlYieldTSDiscount($U$35,Y6990,,Trigger)</f>
        <v>0.76123963574869247</v>
      </c>
    </row>
    <row r="6991" spans="25:26" x14ac:dyDescent="0.25">
      <c r="Y6991" s="63">
        <v>49524</v>
      </c>
      <c r="Z6991" s="61">
        <f>_xll.qlYieldTSDiscount($U$35,Y6991,,Trigger)</f>
        <v>0.76120201819085531</v>
      </c>
    </row>
    <row r="6992" spans="25:26" x14ac:dyDescent="0.25">
      <c r="Y6992" s="63">
        <v>49525</v>
      </c>
      <c r="Z6992" s="61">
        <f>_xll.qlYieldTSDiscount($U$35,Y6992,,Trigger)</f>
        <v>0.76116439629458865</v>
      </c>
    </row>
    <row r="6993" spans="25:26" x14ac:dyDescent="0.25">
      <c r="Y6993" s="63">
        <v>49526</v>
      </c>
      <c r="Z6993" s="61">
        <f>_xll.qlYieldTSDiscount($U$35,Y6993,,Trigger)</f>
        <v>0.76112677005749863</v>
      </c>
    </row>
    <row r="6994" spans="25:26" x14ac:dyDescent="0.25">
      <c r="Y6994" s="63">
        <v>49527</v>
      </c>
      <c r="Z6994" s="61">
        <f>_xll.qlYieldTSDiscount($U$35,Y6994,,Trigger)</f>
        <v>0.76108913947719214</v>
      </c>
    </row>
    <row r="6995" spans="25:26" x14ac:dyDescent="0.25">
      <c r="Y6995" s="63">
        <v>49528</v>
      </c>
      <c r="Z6995" s="61">
        <f>_xll.qlYieldTSDiscount($U$35,Y6995,,Trigger)</f>
        <v>0.76105150455127546</v>
      </c>
    </row>
    <row r="6996" spans="25:26" x14ac:dyDescent="0.25">
      <c r="Y6996" s="63">
        <v>49529</v>
      </c>
      <c r="Z6996" s="61">
        <f>_xll.qlYieldTSDiscount($U$35,Y6996,,Trigger)</f>
        <v>0.76101386527735515</v>
      </c>
    </row>
    <row r="6997" spans="25:26" x14ac:dyDescent="0.25">
      <c r="Y6997" s="63">
        <v>49530</v>
      </c>
      <c r="Z6997" s="61">
        <f>_xll.qlYieldTSDiscount($U$35,Y6997,,Trigger)</f>
        <v>0.76097622165303758</v>
      </c>
    </row>
    <row r="6998" spans="25:26" x14ac:dyDescent="0.25">
      <c r="Y6998" s="63">
        <v>49531</v>
      </c>
      <c r="Z6998" s="61">
        <f>_xll.qlYieldTSDiscount($U$35,Y6998,,Trigger)</f>
        <v>0.76093857367592932</v>
      </c>
    </row>
    <row r="6999" spans="25:26" x14ac:dyDescent="0.25">
      <c r="Y6999" s="63">
        <v>49532</v>
      </c>
      <c r="Z6999" s="61">
        <f>_xll.qlYieldTSDiscount($U$35,Y6999,,Trigger)</f>
        <v>0.76090092134363685</v>
      </c>
    </row>
    <row r="7000" spans="25:26" x14ac:dyDescent="0.25">
      <c r="Y7000" s="63">
        <v>49533</v>
      </c>
      <c r="Z7000" s="61">
        <f>_xll.qlYieldTSDiscount($U$35,Y7000,,Trigger)</f>
        <v>0.76086326465376664</v>
      </c>
    </row>
    <row r="7001" spans="25:26" x14ac:dyDescent="0.25">
      <c r="Y7001" s="63">
        <v>49534</v>
      </c>
      <c r="Z7001" s="61">
        <f>_xll.qlYieldTSDiscount($U$35,Y7001,,Trigger)</f>
        <v>0.76082560360392504</v>
      </c>
    </row>
    <row r="7002" spans="25:26" x14ac:dyDescent="0.25">
      <c r="Y7002" s="63">
        <v>49535</v>
      </c>
      <c r="Z7002" s="61">
        <f>_xll.qlYieldTSDiscount($U$35,Y7002,,Trigger)</f>
        <v>0.76078793819171875</v>
      </c>
    </row>
    <row r="7003" spans="25:26" x14ac:dyDescent="0.25">
      <c r="Y7003" s="63">
        <v>49536</v>
      </c>
      <c r="Z7003" s="61">
        <f>_xll.qlYieldTSDiscount($U$35,Y7003,,Trigger)</f>
        <v>0.76075026841475413</v>
      </c>
    </row>
    <row r="7004" spans="25:26" x14ac:dyDescent="0.25">
      <c r="Y7004" s="63">
        <v>49537</v>
      </c>
      <c r="Z7004" s="61">
        <f>_xll.qlYieldTSDiscount($U$35,Y7004,,Trigger)</f>
        <v>0.76071259427063764</v>
      </c>
    </row>
    <row r="7005" spans="25:26" x14ac:dyDescent="0.25">
      <c r="Y7005" s="63">
        <v>49538</v>
      </c>
      <c r="Z7005" s="61">
        <f>_xll.qlYieldTSDiscount($U$35,Y7005,,Trigger)</f>
        <v>0.76067491575697588</v>
      </c>
    </row>
    <row r="7006" spans="25:26" x14ac:dyDescent="0.25">
      <c r="Y7006" s="63">
        <v>49539</v>
      </c>
      <c r="Z7006" s="61">
        <f>_xll.qlYieldTSDiscount($U$35,Y7006,,Trigger)</f>
        <v>0.76063723287137519</v>
      </c>
    </row>
    <row r="7007" spans="25:26" x14ac:dyDescent="0.25">
      <c r="Y7007" s="63">
        <v>49540</v>
      </c>
      <c r="Z7007" s="61">
        <f>_xll.qlYieldTSDiscount($U$35,Y7007,,Trigger)</f>
        <v>0.76059954561144216</v>
      </c>
    </row>
    <row r="7008" spans="25:26" x14ac:dyDescent="0.25">
      <c r="Y7008" s="63">
        <v>49541</v>
      </c>
      <c r="Z7008" s="61">
        <f>_xll.qlYieldTSDiscount($U$35,Y7008,,Trigger)</f>
        <v>0.76056185397478315</v>
      </c>
    </row>
    <row r="7009" spans="25:26" x14ac:dyDescent="0.25">
      <c r="Y7009" s="63">
        <v>49542</v>
      </c>
      <c r="Z7009" s="61">
        <f>_xll.qlYieldTSDiscount($U$35,Y7009,,Trigger)</f>
        <v>0.76052415795900474</v>
      </c>
    </row>
    <row r="7010" spans="25:26" x14ac:dyDescent="0.25">
      <c r="Y7010" s="63">
        <v>49543</v>
      </c>
      <c r="Z7010" s="61">
        <f>_xll.qlYieldTSDiscount($U$35,Y7010,,Trigger)</f>
        <v>0.7604864575617134</v>
      </c>
    </row>
    <row r="7011" spans="25:26" x14ac:dyDescent="0.25">
      <c r="Y7011" s="63">
        <v>49544</v>
      </c>
      <c r="Z7011" s="61">
        <f>_xll.qlYieldTSDiscount($U$35,Y7011,,Trigger)</f>
        <v>0.7604487527805156</v>
      </c>
    </row>
    <row r="7012" spans="25:26" x14ac:dyDescent="0.25">
      <c r="Y7012" s="63">
        <v>49545</v>
      </c>
      <c r="Z7012" s="61">
        <f>_xll.qlYieldTSDiscount($U$35,Y7012,,Trigger)</f>
        <v>0.76041104361301781</v>
      </c>
    </row>
    <row r="7013" spans="25:26" x14ac:dyDescent="0.25">
      <c r="Y7013" s="63">
        <v>49546</v>
      </c>
      <c r="Z7013" s="61">
        <f>_xll.qlYieldTSDiscount($U$35,Y7013,,Trigger)</f>
        <v>0.7603733300568265</v>
      </c>
    </row>
    <row r="7014" spans="25:26" x14ac:dyDescent="0.25">
      <c r="Y7014" s="63">
        <v>49547</v>
      </c>
      <c r="Z7014" s="61">
        <f>_xll.qlYieldTSDiscount($U$35,Y7014,,Trigger)</f>
        <v>0.76033561210954814</v>
      </c>
    </row>
    <row r="7015" spans="25:26" x14ac:dyDescent="0.25">
      <c r="Y7015" s="63">
        <v>49548</v>
      </c>
      <c r="Z7015" s="61">
        <f>_xll.qlYieldTSDiscount($U$35,Y7015,,Trigger)</f>
        <v>0.76029788976878931</v>
      </c>
    </row>
    <row r="7016" spans="25:26" x14ac:dyDescent="0.25">
      <c r="Y7016" s="63">
        <v>49549</v>
      </c>
      <c r="Z7016" s="61">
        <f>_xll.qlYieldTSDiscount($U$35,Y7016,,Trigger)</f>
        <v>0.76026016303215638</v>
      </c>
    </row>
    <row r="7017" spans="25:26" x14ac:dyDescent="0.25">
      <c r="Y7017" s="63">
        <v>49550</v>
      </c>
      <c r="Z7017" s="61">
        <f>_xll.qlYieldTSDiscount($U$35,Y7017,,Trigger)</f>
        <v>0.7602224318972558</v>
      </c>
    </row>
    <row r="7018" spans="25:26" x14ac:dyDescent="0.25">
      <c r="Y7018" s="63">
        <v>49551</v>
      </c>
      <c r="Z7018" s="61">
        <f>_xll.qlYieldTSDiscount($U$35,Y7018,,Trigger)</f>
        <v>0.76018469636169428</v>
      </c>
    </row>
    <row r="7019" spans="25:26" x14ac:dyDescent="0.25">
      <c r="Y7019" s="63">
        <v>49552</v>
      </c>
      <c r="Z7019" s="61">
        <f>_xll.qlYieldTSDiscount($U$35,Y7019,,Trigger)</f>
        <v>0.76014695642307795</v>
      </c>
    </row>
    <row r="7020" spans="25:26" x14ac:dyDescent="0.25">
      <c r="Y7020" s="63">
        <v>49553</v>
      </c>
      <c r="Z7020" s="61">
        <f>_xll.qlYieldTSDiscount($U$35,Y7020,,Trigger)</f>
        <v>0.76010921207901361</v>
      </c>
    </row>
    <row r="7021" spans="25:26" x14ac:dyDescent="0.25">
      <c r="Y7021" s="63">
        <v>49554</v>
      </c>
      <c r="Z7021" s="61">
        <f>_xll.qlYieldTSDiscount($U$35,Y7021,,Trigger)</f>
        <v>0.76007146332710762</v>
      </c>
    </row>
    <row r="7022" spans="25:26" x14ac:dyDescent="0.25">
      <c r="Y7022" s="63">
        <v>49555</v>
      </c>
      <c r="Z7022" s="61">
        <f>_xll.qlYieldTSDiscount($U$35,Y7022,,Trigger)</f>
        <v>0.76003371016496635</v>
      </c>
    </row>
    <row r="7023" spans="25:26" x14ac:dyDescent="0.25">
      <c r="Y7023" s="63">
        <v>49556</v>
      </c>
      <c r="Z7023" s="61">
        <f>_xll.qlYieldTSDiscount($U$35,Y7023,,Trigger)</f>
        <v>0.75999595259019637</v>
      </c>
    </row>
    <row r="7024" spans="25:26" x14ac:dyDescent="0.25">
      <c r="Y7024" s="63">
        <v>49557</v>
      </c>
      <c r="Z7024" s="61">
        <f>_xll.qlYieldTSDiscount($U$35,Y7024,,Trigger)</f>
        <v>0.75995819060040426</v>
      </c>
    </row>
    <row r="7025" spans="25:26" x14ac:dyDescent="0.25">
      <c r="Y7025" s="63">
        <v>49558</v>
      </c>
      <c r="Z7025" s="61">
        <f>_xll.qlYieldTSDiscount($U$35,Y7025,,Trigger)</f>
        <v>0.75992042419319639</v>
      </c>
    </row>
    <row r="7026" spans="25:26" x14ac:dyDescent="0.25">
      <c r="Y7026" s="63">
        <v>49559</v>
      </c>
      <c r="Z7026" s="61">
        <f>_xll.qlYieldTSDiscount($U$35,Y7026,,Trigger)</f>
        <v>0.75988265336617922</v>
      </c>
    </row>
    <row r="7027" spans="25:26" x14ac:dyDescent="0.25">
      <c r="Y7027" s="63">
        <v>49560</v>
      </c>
      <c r="Z7027" s="61">
        <f>_xll.qlYieldTSDiscount($U$35,Y7027,,Trigger)</f>
        <v>0.75984487811695933</v>
      </c>
    </row>
    <row r="7028" spans="25:26" x14ac:dyDescent="0.25">
      <c r="Y7028" s="63">
        <v>49561</v>
      </c>
      <c r="Z7028" s="61">
        <f>_xll.qlYieldTSDiscount($U$35,Y7028,,Trigger)</f>
        <v>0.75980709844314309</v>
      </c>
    </row>
    <row r="7029" spans="25:26" x14ac:dyDescent="0.25">
      <c r="Y7029" s="63">
        <v>49562</v>
      </c>
      <c r="Z7029" s="61">
        <f>_xll.qlYieldTSDiscount($U$35,Y7029,,Trigger)</f>
        <v>0.75976931434233708</v>
      </c>
    </row>
    <row r="7030" spans="25:26" x14ac:dyDescent="0.25">
      <c r="Y7030" s="63">
        <v>49563</v>
      </c>
      <c r="Z7030" s="61">
        <f>_xll.qlYieldTSDiscount($U$35,Y7030,,Trigger)</f>
        <v>0.75973152581214776</v>
      </c>
    </row>
    <row r="7031" spans="25:26" x14ac:dyDescent="0.25">
      <c r="Y7031" s="63">
        <v>49564</v>
      </c>
      <c r="Z7031" s="61">
        <f>_xll.qlYieldTSDiscount($U$35,Y7031,,Trigger)</f>
        <v>0.75969373285018149</v>
      </c>
    </row>
    <row r="7032" spans="25:26" x14ac:dyDescent="0.25">
      <c r="Y7032" s="63">
        <v>49565</v>
      </c>
      <c r="Z7032" s="61">
        <f>_xll.qlYieldTSDiscount($U$35,Y7032,,Trigger)</f>
        <v>0.75965593545404486</v>
      </c>
    </row>
    <row r="7033" spans="25:26" x14ac:dyDescent="0.25">
      <c r="Y7033" s="63">
        <v>49566</v>
      </c>
      <c r="Z7033" s="61">
        <f>_xll.qlYieldTSDiscount($U$35,Y7033,,Trigger)</f>
        <v>0.75961813362134445</v>
      </c>
    </row>
    <row r="7034" spans="25:26" x14ac:dyDescent="0.25">
      <c r="Y7034" s="63">
        <v>49567</v>
      </c>
      <c r="Z7034" s="61">
        <f>_xll.qlYieldTSDiscount($U$35,Y7034,,Trigger)</f>
        <v>0.75958032734968661</v>
      </c>
    </row>
    <row r="7035" spans="25:26" x14ac:dyDescent="0.25">
      <c r="Y7035" s="63">
        <v>49568</v>
      </c>
      <c r="Z7035" s="61">
        <f>_xll.qlYieldTSDiscount($U$35,Y7035,,Trigger)</f>
        <v>0.75954251663667771</v>
      </c>
    </row>
    <row r="7036" spans="25:26" x14ac:dyDescent="0.25">
      <c r="Y7036" s="63">
        <v>49569</v>
      </c>
      <c r="Z7036" s="61">
        <f>_xll.qlYieldTSDiscount($U$35,Y7036,,Trigger)</f>
        <v>0.75950470147992444</v>
      </c>
    </row>
    <row r="7037" spans="25:26" x14ac:dyDescent="0.25">
      <c r="Y7037" s="63">
        <v>49570</v>
      </c>
      <c r="Z7037" s="61">
        <f>_xll.qlYieldTSDiscount($U$35,Y7037,,Trigger)</f>
        <v>0.75946688187703326</v>
      </c>
    </row>
    <row r="7038" spans="25:26" x14ac:dyDescent="0.25">
      <c r="Y7038" s="63">
        <v>49571</v>
      </c>
      <c r="Z7038" s="61">
        <f>_xll.qlYieldTSDiscount($U$35,Y7038,,Trigger)</f>
        <v>0.75942905782561043</v>
      </c>
    </row>
    <row r="7039" spans="25:26" x14ac:dyDescent="0.25">
      <c r="Y7039" s="63">
        <v>49572</v>
      </c>
      <c r="Z7039" s="61">
        <f>_xll.qlYieldTSDiscount($U$35,Y7039,,Trigger)</f>
        <v>0.75939122932326275</v>
      </c>
    </row>
    <row r="7040" spans="25:26" x14ac:dyDescent="0.25">
      <c r="Y7040" s="63">
        <v>49573</v>
      </c>
      <c r="Z7040" s="61">
        <f>_xll.qlYieldTSDiscount($U$35,Y7040,,Trigger)</f>
        <v>0.75935339636759647</v>
      </c>
    </row>
    <row r="7041" spans="25:26" x14ac:dyDescent="0.25">
      <c r="Y7041" s="63">
        <v>49574</v>
      </c>
      <c r="Z7041" s="61">
        <f>_xll.qlYieldTSDiscount($U$35,Y7041,,Trigger)</f>
        <v>0.75931555895621816</v>
      </c>
    </row>
    <row r="7042" spans="25:26" x14ac:dyDescent="0.25">
      <c r="Y7042" s="63">
        <v>49575</v>
      </c>
      <c r="Z7042" s="61">
        <f>_xll.qlYieldTSDiscount($U$35,Y7042,,Trigger)</f>
        <v>0.75927771708673419</v>
      </c>
    </row>
    <row r="7043" spans="25:26" x14ac:dyDescent="0.25">
      <c r="Y7043" s="63">
        <v>49576</v>
      </c>
      <c r="Z7043" s="61">
        <f>_xll.qlYieldTSDiscount($U$35,Y7043,,Trigger)</f>
        <v>0.75923987075675126</v>
      </c>
    </row>
    <row r="7044" spans="25:26" x14ac:dyDescent="0.25">
      <c r="Y7044" s="63">
        <v>49577</v>
      </c>
      <c r="Z7044" s="61">
        <f>_xll.qlYieldTSDiscount($U$35,Y7044,,Trigger)</f>
        <v>0.7592020199638756</v>
      </c>
    </row>
    <row r="7045" spans="25:26" x14ac:dyDescent="0.25">
      <c r="Y7045" s="63">
        <v>49578</v>
      </c>
      <c r="Z7045" s="61">
        <f>_xll.qlYieldTSDiscount($U$35,Y7045,,Trigger)</f>
        <v>0.75916416470571391</v>
      </c>
    </row>
    <row r="7046" spans="25:26" x14ac:dyDescent="0.25">
      <c r="Y7046" s="63">
        <v>49579</v>
      </c>
      <c r="Z7046" s="61">
        <f>_xll.qlYieldTSDiscount($U$35,Y7046,,Trigger)</f>
        <v>0.75912630497987255</v>
      </c>
    </row>
    <row r="7047" spans="25:26" x14ac:dyDescent="0.25">
      <c r="Y7047" s="63">
        <v>49580</v>
      </c>
      <c r="Z7047" s="61">
        <f>_xll.qlYieldTSDiscount($U$35,Y7047,,Trigger)</f>
        <v>0.7590884407839581</v>
      </c>
    </row>
    <row r="7048" spans="25:26" x14ac:dyDescent="0.25">
      <c r="Y7048" s="63">
        <v>49581</v>
      </c>
      <c r="Z7048" s="61">
        <f>_xll.qlYieldTSDiscount($U$35,Y7048,,Trigger)</f>
        <v>0.7590505721155768</v>
      </c>
    </row>
    <row r="7049" spans="25:26" x14ac:dyDescent="0.25">
      <c r="Y7049" s="63">
        <v>49582</v>
      </c>
      <c r="Z7049" s="61">
        <f>_xll.qlYieldTSDiscount($U$35,Y7049,,Trigger)</f>
        <v>0.75901269897233548</v>
      </c>
    </row>
    <row r="7050" spans="25:26" x14ac:dyDescent="0.25">
      <c r="Y7050" s="63">
        <v>49583</v>
      </c>
      <c r="Z7050" s="61">
        <f>_xll.qlYieldTSDiscount($U$35,Y7050,,Trigger)</f>
        <v>0.75897482135184036</v>
      </c>
    </row>
    <row r="7051" spans="25:26" x14ac:dyDescent="0.25">
      <c r="Y7051" s="63">
        <v>49584</v>
      </c>
      <c r="Z7051" s="61">
        <f>_xll.qlYieldTSDiscount($U$35,Y7051,,Trigger)</f>
        <v>0.75893693925169792</v>
      </c>
    </row>
    <row r="7052" spans="25:26" x14ac:dyDescent="0.25">
      <c r="Y7052" s="63">
        <v>49585</v>
      </c>
      <c r="Z7052" s="61">
        <f>_xll.qlYieldTSDiscount($U$35,Y7052,,Trigger)</f>
        <v>0.75889905266951485</v>
      </c>
    </row>
    <row r="7053" spans="25:26" x14ac:dyDescent="0.25">
      <c r="Y7053" s="63">
        <v>49586</v>
      </c>
      <c r="Z7053" s="61">
        <f>_xll.qlYieldTSDiscount($U$35,Y7053,,Trigger)</f>
        <v>0.7588611616028974</v>
      </c>
    </row>
    <row r="7054" spans="25:26" x14ac:dyDescent="0.25">
      <c r="Y7054" s="63">
        <v>49587</v>
      </c>
      <c r="Z7054" s="61">
        <f>_xll.qlYieldTSDiscount($U$35,Y7054,,Trigger)</f>
        <v>0.75882326604945216</v>
      </c>
    </row>
    <row r="7055" spans="25:26" x14ac:dyDescent="0.25">
      <c r="Y7055" s="63">
        <v>49588</v>
      </c>
      <c r="Z7055" s="61">
        <f>_xll.qlYieldTSDiscount($U$35,Y7055,,Trigger)</f>
        <v>0.7587853660067857</v>
      </c>
    </row>
    <row r="7056" spans="25:26" x14ac:dyDescent="0.25">
      <c r="Y7056" s="63">
        <v>49589</v>
      </c>
      <c r="Z7056" s="61">
        <f>_xll.qlYieldTSDiscount($U$35,Y7056,,Trigger)</f>
        <v>0.75874746147250427</v>
      </c>
    </row>
    <row r="7057" spans="25:26" x14ac:dyDescent="0.25">
      <c r="Y7057" s="63">
        <v>49590</v>
      </c>
      <c r="Z7057" s="61">
        <f>_xll.qlYieldTSDiscount($U$35,Y7057,,Trigger)</f>
        <v>0.75870955244421456</v>
      </c>
    </row>
    <row r="7058" spans="25:26" x14ac:dyDescent="0.25">
      <c r="Y7058" s="63">
        <v>49591</v>
      </c>
      <c r="Z7058" s="61">
        <f>_xll.qlYieldTSDiscount($U$35,Y7058,,Trigger)</f>
        <v>0.75867163891952294</v>
      </c>
    </row>
    <row r="7059" spans="25:26" x14ac:dyDescent="0.25">
      <c r="Y7059" s="63">
        <v>49592</v>
      </c>
      <c r="Z7059" s="61">
        <f>_xll.qlYieldTSDiscount($U$35,Y7059,,Trigger)</f>
        <v>0.75863372089603587</v>
      </c>
    </row>
    <row r="7060" spans="25:26" x14ac:dyDescent="0.25">
      <c r="Y7060" s="63">
        <v>49593</v>
      </c>
      <c r="Z7060" s="61">
        <f>_xll.qlYieldTSDiscount($U$35,Y7060,,Trigger)</f>
        <v>0.75859579837136004</v>
      </c>
    </row>
    <row r="7061" spans="25:26" x14ac:dyDescent="0.25">
      <c r="Y7061" s="63">
        <v>49594</v>
      </c>
      <c r="Z7061" s="61">
        <f>_xll.qlYieldTSDiscount($U$35,Y7061,,Trigger)</f>
        <v>0.7585578713431016</v>
      </c>
    </row>
    <row r="7062" spans="25:26" x14ac:dyDescent="0.25">
      <c r="Y7062" s="63">
        <v>49595</v>
      </c>
      <c r="Z7062" s="61">
        <f>_xll.qlYieldTSDiscount($U$35,Y7062,,Trigger)</f>
        <v>0.75851993980886734</v>
      </c>
    </row>
    <row r="7063" spans="25:26" x14ac:dyDescent="0.25">
      <c r="Y7063" s="63">
        <v>49596</v>
      </c>
      <c r="Z7063" s="61">
        <f>_xll.qlYieldTSDiscount($U$35,Y7063,,Trigger)</f>
        <v>0.75848200376626362</v>
      </c>
    </row>
    <row r="7064" spans="25:26" x14ac:dyDescent="0.25">
      <c r="Y7064" s="63">
        <v>49597</v>
      </c>
      <c r="Z7064" s="61">
        <f>_xll.qlYieldTSDiscount($U$35,Y7064,,Trigger)</f>
        <v>0.75844406321289681</v>
      </c>
    </row>
    <row r="7065" spans="25:26" x14ac:dyDescent="0.25">
      <c r="Y7065" s="63">
        <v>49598</v>
      </c>
      <c r="Z7065" s="61">
        <f>_xll.qlYieldTSDiscount($U$35,Y7065,,Trigger)</f>
        <v>0.75840611814637349</v>
      </c>
    </row>
    <row r="7066" spans="25:26" x14ac:dyDescent="0.25">
      <c r="Y7066" s="63">
        <v>49599</v>
      </c>
      <c r="Z7066" s="61">
        <f>_xll.qlYieldTSDiscount($U$35,Y7066,,Trigger)</f>
        <v>0.75836816856430023</v>
      </c>
    </row>
    <row r="7067" spans="25:26" x14ac:dyDescent="0.25">
      <c r="Y7067" s="63">
        <v>49600</v>
      </c>
      <c r="Z7067" s="61">
        <f>_xll.qlYieldTSDiscount($U$35,Y7067,,Trigger)</f>
        <v>0.75833021446428328</v>
      </c>
    </row>
    <row r="7068" spans="25:26" x14ac:dyDescent="0.25">
      <c r="Y7068" s="63">
        <v>49601</v>
      </c>
      <c r="Z7068" s="61">
        <f>_xll.qlYieldTSDiscount($U$35,Y7068,,Trigger)</f>
        <v>0.75829225584392934</v>
      </c>
    </row>
    <row r="7069" spans="25:26" x14ac:dyDescent="0.25">
      <c r="Y7069" s="63">
        <v>49602</v>
      </c>
      <c r="Z7069" s="61">
        <f>_xll.qlYieldTSDiscount($U$35,Y7069,,Trigger)</f>
        <v>0.75825429270084477</v>
      </c>
    </row>
    <row r="7070" spans="25:26" x14ac:dyDescent="0.25">
      <c r="Y7070" s="63">
        <v>49603</v>
      </c>
      <c r="Z7070" s="61">
        <f>_xll.qlYieldTSDiscount($U$35,Y7070,,Trigger)</f>
        <v>0.75821632503263614</v>
      </c>
    </row>
    <row r="7071" spans="25:26" x14ac:dyDescent="0.25">
      <c r="Y7071" s="63">
        <v>49604</v>
      </c>
      <c r="Z7071" s="61">
        <f>_xll.qlYieldTSDiscount($U$35,Y7071,,Trigger)</f>
        <v>0.75817835283690993</v>
      </c>
    </row>
    <row r="7072" spans="25:26" x14ac:dyDescent="0.25">
      <c r="Y7072" s="63">
        <v>49605</v>
      </c>
      <c r="Z7072" s="61">
        <f>_xll.qlYieldTSDiscount($U$35,Y7072,,Trigger)</f>
        <v>0.75814037611127238</v>
      </c>
    </row>
    <row r="7073" spans="25:26" x14ac:dyDescent="0.25">
      <c r="Y7073" s="63">
        <v>49606</v>
      </c>
      <c r="Z7073" s="61">
        <f>_xll.qlYieldTSDiscount($U$35,Y7073,,Trigger)</f>
        <v>0.75810239485333031</v>
      </c>
    </row>
    <row r="7074" spans="25:26" x14ac:dyDescent="0.25">
      <c r="Y7074" s="63">
        <v>49607</v>
      </c>
      <c r="Z7074" s="61">
        <f>_xll.qlYieldTSDiscount($U$35,Y7074,,Trigger)</f>
        <v>0.75806440906069006</v>
      </c>
    </row>
    <row r="7075" spans="25:26" x14ac:dyDescent="0.25">
      <c r="Y7075" s="63">
        <v>49608</v>
      </c>
      <c r="Z7075" s="61">
        <f>_xll.qlYieldTSDiscount($U$35,Y7075,,Trigger)</f>
        <v>0.75802641873095811</v>
      </c>
    </row>
    <row r="7076" spans="25:26" x14ac:dyDescent="0.25">
      <c r="Y7076" s="63">
        <v>49609</v>
      </c>
      <c r="Z7076" s="61">
        <f>_xll.qlYieldTSDiscount($U$35,Y7076,,Trigger)</f>
        <v>0.75798842386174092</v>
      </c>
    </row>
    <row r="7077" spans="25:26" x14ac:dyDescent="0.25">
      <c r="Y7077" s="63">
        <v>49610</v>
      </c>
      <c r="Z7077" s="61">
        <f>_xll.qlYieldTSDiscount($U$35,Y7077,,Trigger)</f>
        <v>0.75795042445064487</v>
      </c>
    </row>
    <row r="7078" spans="25:26" x14ac:dyDescent="0.25">
      <c r="Y7078" s="63">
        <v>49611</v>
      </c>
      <c r="Z7078" s="61">
        <f>_xll.qlYieldTSDiscount($U$35,Y7078,,Trigger)</f>
        <v>0.75791242049527663</v>
      </c>
    </row>
    <row r="7079" spans="25:26" x14ac:dyDescent="0.25">
      <c r="Y7079" s="63">
        <v>49612</v>
      </c>
      <c r="Z7079" s="61">
        <f>_xll.qlYieldTSDiscount($U$35,Y7079,,Trigger)</f>
        <v>0.75787441199324268</v>
      </c>
    </row>
    <row r="7080" spans="25:26" x14ac:dyDescent="0.25">
      <c r="Y7080" s="63">
        <v>49613</v>
      </c>
      <c r="Z7080" s="61">
        <f>_xll.qlYieldTSDiscount($U$35,Y7080,,Trigger)</f>
        <v>0.75783639894214927</v>
      </c>
    </row>
    <row r="7081" spans="25:26" x14ac:dyDescent="0.25">
      <c r="Y7081" s="63">
        <v>49614</v>
      </c>
      <c r="Z7081" s="61">
        <f>_xll.qlYieldTSDiscount($U$35,Y7081,,Trigger)</f>
        <v>0.7577983813396032</v>
      </c>
    </row>
    <row r="7082" spans="25:26" x14ac:dyDescent="0.25">
      <c r="Y7082" s="63">
        <v>49615</v>
      </c>
      <c r="Z7082" s="61">
        <f>_xll.qlYieldTSDiscount($U$35,Y7082,,Trigger)</f>
        <v>0.75776035918321072</v>
      </c>
    </row>
    <row r="7083" spans="25:26" x14ac:dyDescent="0.25">
      <c r="Y7083" s="63">
        <v>49616</v>
      </c>
      <c r="Z7083" s="61">
        <f>_xll.qlYieldTSDiscount($U$35,Y7083,,Trigger)</f>
        <v>0.75772233247057841</v>
      </c>
    </row>
    <row r="7084" spans="25:26" x14ac:dyDescent="0.25">
      <c r="Y7084" s="63">
        <v>49617</v>
      </c>
      <c r="Z7084" s="61">
        <f>_xll.qlYieldTSDiscount($U$35,Y7084,,Trigger)</f>
        <v>0.75768430119931263</v>
      </c>
    </row>
    <row r="7085" spans="25:26" x14ac:dyDescent="0.25">
      <c r="Y7085" s="63">
        <v>49618</v>
      </c>
      <c r="Z7085" s="61">
        <f>_xll.qlYieldTSDiscount($U$35,Y7085,,Trigger)</f>
        <v>0.75764626536701996</v>
      </c>
    </row>
    <row r="7086" spans="25:26" x14ac:dyDescent="0.25">
      <c r="Y7086" s="63">
        <v>49619</v>
      </c>
      <c r="Z7086" s="61">
        <f>_xll.qlYieldTSDiscount($U$35,Y7086,,Trigger)</f>
        <v>0.75760822497130698</v>
      </c>
    </row>
    <row r="7087" spans="25:26" x14ac:dyDescent="0.25">
      <c r="Y7087" s="63">
        <v>49620</v>
      </c>
      <c r="Z7087" s="61">
        <f>_xll.qlYieldTSDiscount($U$35,Y7087,,Trigger)</f>
        <v>0.75757018000978005</v>
      </c>
    </row>
    <row r="7088" spans="25:26" x14ac:dyDescent="0.25">
      <c r="Y7088" s="63">
        <v>49621</v>
      </c>
      <c r="Z7088" s="61">
        <f>_xll.qlYieldTSDiscount($U$35,Y7088,,Trigger)</f>
        <v>0.75753213048004553</v>
      </c>
    </row>
    <row r="7089" spans="25:26" x14ac:dyDescent="0.25">
      <c r="Y7089" s="63">
        <v>49622</v>
      </c>
      <c r="Z7089" s="61">
        <f>_xll.qlYieldTSDiscount($U$35,Y7089,,Trigger)</f>
        <v>0.75749407637971011</v>
      </c>
    </row>
    <row r="7090" spans="25:26" x14ac:dyDescent="0.25">
      <c r="Y7090" s="63">
        <v>49623</v>
      </c>
      <c r="Z7090" s="61">
        <f>_xll.qlYieldTSDiscount($U$35,Y7090,,Trigger)</f>
        <v>0.75745601770638016</v>
      </c>
    </row>
    <row r="7091" spans="25:26" x14ac:dyDescent="0.25">
      <c r="Y7091" s="63">
        <v>49624</v>
      </c>
      <c r="Z7091" s="61">
        <f>_xll.qlYieldTSDiscount($U$35,Y7091,,Trigger)</f>
        <v>0.75741795445766225</v>
      </c>
    </row>
    <row r="7092" spans="25:26" x14ac:dyDescent="0.25">
      <c r="Y7092" s="63">
        <v>49625</v>
      </c>
      <c r="Z7092" s="61">
        <f>_xll.qlYieldTSDiscount($U$35,Y7092,,Trigger)</f>
        <v>0.75737988663116274</v>
      </c>
    </row>
    <row r="7093" spans="25:26" x14ac:dyDescent="0.25">
      <c r="Y7093" s="63">
        <v>49626</v>
      </c>
      <c r="Z7093" s="61">
        <f>_xll.qlYieldTSDiscount($U$35,Y7093,,Trigger)</f>
        <v>0.75734181422448821</v>
      </c>
    </row>
    <row r="7094" spans="25:26" x14ac:dyDescent="0.25">
      <c r="Y7094" s="63">
        <v>49627</v>
      </c>
      <c r="Z7094" s="61">
        <f>_xll.qlYieldTSDiscount($U$35,Y7094,,Trigger)</f>
        <v>0.75730373723524513</v>
      </c>
    </row>
    <row r="7095" spans="25:26" x14ac:dyDescent="0.25">
      <c r="Y7095" s="63">
        <v>49628</v>
      </c>
      <c r="Z7095" s="61">
        <f>_xll.qlYieldTSDiscount($U$35,Y7095,,Trigger)</f>
        <v>0.75726565566103998</v>
      </c>
    </row>
    <row r="7096" spans="25:26" x14ac:dyDescent="0.25">
      <c r="Y7096" s="63">
        <v>49629</v>
      </c>
      <c r="Z7096" s="61">
        <f>_xll.qlYieldTSDiscount($U$35,Y7096,,Trigger)</f>
        <v>0.75722756949947911</v>
      </c>
    </row>
    <row r="7097" spans="25:26" x14ac:dyDescent="0.25">
      <c r="Y7097" s="63">
        <v>49630</v>
      </c>
      <c r="Z7097" s="61">
        <f>_xll.qlYieldTSDiscount($U$35,Y7097,,Trigger)</f>
        <v>0.75718947874816911</v>
      </c>
    </row>
    <row r="7098" spans="25:26" x14ac:dyDescent="0.25">
      <c r="Y7098" s="63">
        <v>49631</v>
      </c>
      <c r="Z7098" s="61">
        <f>_xll.qlYieldTSDiscount($U$35,Y7098,,Trigger)</f>
        <v>0.75715138340471655</v>
      </c>
    </row>
    <row r="7099" spans="25:26" x14ac:dyDescent="0.25">
      <c r="Y7099" s="63">
        <v>49632</v>
      </c>
      <c r="Z7099" s="61">
        <f>_xll.qlYieldTSDiscount($U$35,Y7099,,Trigger)</f>
        <v>0.75711328346672779</v>
      </c>
    </row>
    <row r="7100" spans="25:26" x14ac:dyDescent="0.25">
      <c r="Y7100" s="63">
        <v>49633</v>
      </c>
      <c r="Z7100" s="61">
        <f>_xll.qlYieldTSDiscount($U$35,Y7100,,Trigger)</f>
        <v>0.75707517893180931</v>
      </c>
    </row>
    <row r="7101" spans="25:26" x14ac:dyDescent="0.25">
      <c r="Y7101" s="63">
        <v>49634</v>
      </c>
      <c r="Z7101" s="61">
        <f>_xll.qlYieldTSDiscount($U$35,Y7101,,Trigger)</f>
        <v>0.75703706979756757</v>
      </c>
    </row>
    <row r="7102" spans="25:26" x14ac:dyDescent="0.25">
      <c r="Y7102" s="63">
        <v>49635</v>
      </c>
      <c r="Z7102" s="61">
        <f>_xll.qlYieldTSDiscount($U$35,Y7102,,Trigger)</f>
        <v>0.75699895606160916</v>
      </c>
    </row>
    <row r="7103" spans="25:26" x14ac:dyDescent="0.25">
      <c r="Y7103" s="63">
        <v>49636</v>
      </c>
      <c r="Z7103" s="61">
        <f>_xll.qlYieldTSDiscount($U$35,Y7103,,Trigger)</f>
        <v>0.75696083772154055</v>
      </c>
    </row>
    <row r="7104" spans="25:26" x14ac:dyDescent="0.25">
      <c r="Y7104" s="63">
        <v>49637</v>
      </c>
      <c r="Z7104" s="61">
        <f>_xll.qlYieldTSDiscount($U$35,Y7104,,Trigger)</f>
        <v>0.75692271477496809</v>
      </c>
    </row>
    <row r="7105" spans="25:26" x14ac:dyDescent="0.25">
      <c r="Y7105" s="63">
        <v>49638</v>
      </c>
      <c r="Z7105" s="61">
        <f>_xll.qlYieldTSDiscount($U$35,Y7105,,Trigger)</f>
        <v>0.75688458721949836</v>
      </c>
    </row>
    <row r="7106" spans="25:26" x14ac:dyDescent="0.25">
      <c r="Y7106" s="63">
        <v>49639</v>
      </c>
      <c r="Z7106" s="61">
        <f>_xll.qlYieldTSDiscount($U$35,Y7106,,Trigger)</f>
        <v>0.75684645505273784</v>
      </c>
    </row>
    <row r="7107" spans="25:26" x14ac:dyDescent="0.25">
      <c r="Y7107" s="63">
        <v>49640</v>
      </c>
      <c r="Z7107" s="61">
        <f>_xll.qlYieldTSDiscount($U$35,Y7107,,Trigger)</f>
        <v>0.756808318272293</v>
      </c>
    </row>
    <row r="7108" spans="25:26" x14ac:dyDescent="0.25">
      <c r="Y7108" s="63">
        <v>49641</v>
      </c>
      <c r="Z7108" s="61">
        <f>_xll.qlYieldTSDiscount($U$35,Y7108,,Trigger)</f>
        <v>0.75677017687577031</v>
      </c>
    </row>
    <row r="7109" spans="25:26" x14ac:dyDescent="0.25">
      <c r="Y7109" s="63">
        <v>49642</v>
      </c>
      <c r="Z7109" s="61">
        <f>_xll.qlYieldTSDiscount($U$35,Y7109,,Trigger)</f>
        <v>0.75673203086077623</v>
      </c>
    </row>
    <row r="7110" spans="25:26" x14ac:dyDescent="0.25">
      <c r="Y7110" s="63">
        <v>49643</v>
      </c>
      <c r="Z7110" s="61">
        <f>_xll.qlYieldTSDiscount($U$35,Y7110,,Trigger)</f>
        <v>0.75669388022491735</v>
      </c>
    </row>
    <row r="7111" spans="25:26" x14ac:dyDescent="0.25">
      <c r="Y7111" s="63">
        <v>49644</v>
      </c>
      <c r="Z7111" s="61">
        <f>_xll.qlYieldTSDiscount($U$35,Y7111,,Trigger)</f>
        <v>0.75665572496580003</v>
      </c>
    </row>
    <row r="7112" spans="25:26" x14ac:dyDescent="0.25">
      <c r="Y7112" s="63">
        <v>49645</v>
      </c>
      <c r="Z7112" s="61">
        <f>_xll.qlYieldTSDiscount($U$35,Y7112,,Trigger)</f>
        <v>0.75661756508103062</v>
      </c>
    </row>
    <row r="7113" spans="25:26" x14ac:dyDescent="0.25">
      <c r="Y7113" s="63">
        <v>49646</v>
      </c>
      <c r="Z7113" s="61">
        <f>_xll.qlYieldTSDiscount($U$35,Y7113,,Trigger)</f>
        <v>0.75657940056821593</v>
      </c>
    </row>
    <row r="7114" spans="25:26" x14ac:dyDescent="0.25">
      <c r="Y7114" s="63">
        <v>49647</v>
      </c>
      <c r="Z7114" s="61">
        <f>_xll.qlYieldTSDiscount($U$35,Y7114,,Trigger)</f>
        <v>0.75654123142496221</v>
      </c>
    </row>
    <row r="7115" spans="25:26" x14ac:dyDescent="0.25">
      <c r="Y7115" s="63">
        <v>49648</v>
      </c>
      <c r="Z7115" s="61">
        <f>_xll.qlYieldTSDiscount($U$35,Y7115,,Trigger)</f>
        <v>0.75650305764887604</v>
      </c>
    </row>
    <row r="7116" spans="25:26" x14ac:dyDescent="0.25">
      <c r="Y7116" s="63">
        <v>49649</v>
      </c>
      <c r="Z7116" s="61">
        <f>_xll.qlYieldTSDiscount($U$35,Y7116,,Trigger)</f>
        <v>0.75646487923756389</v>
      </c>
    </row>
    <row r="7117" spans="25:26" x14ac:dyDescent="0.25">
      <c r="Y7117" s="63">
        <v>49650</v>
      </c>
      <c r="Z7117" s="61">
        <f>_xll.qlYieldTSDiscount($U$35,Y7117,,Trigger)</f>
        <v>0.75642669618863223</v>
      </c>
    </row>
    <row r="7118" spans="25:26" x14ac:dyDescent="0.25">
      <c r="Y7118" s="63">
        <v>49651</v>
      </c>
      <c r="Z7118" s="61">
        <f>_xll.qlYieldTSDiscount($U$35,Y7118,,Trigger)</f>
        <v>0.75638850849968753</v>
      </c>
    </row>
    <row r="7119" spans="25:26" x14ac:dyDescent="0.25">
      <c r="Y7119" s="63">
        <v>49652</v>
      </c>
      <c r="Z7119" s="61">
        <f>_xll.qlYieldTSDiscount($U$35,Y7119,,Trigger)</f>
        <v>0.75635031616833626</v>
      </c>
    </row>
    <row r="7120" spans="25:26" x14ac:dyDescent="0.25">
      <c r="Y7120" s="63">
        <v>49653</v>
      </c>
      <c r="Z7120" s="61">
        <f>_xll.qlYieldTSDiscount($U$35,Y7120,,Trigger)</f>
        <v>0.75631211919218488</v>
      </c>
    </row>
    <row r="7121" spans="25:26" x14ac:dyDescent="0.25">
      <c r="Y7121" s="63">
        <v>49654</v>
      </c>
      <c r="Z7121" s="61">
        <f>_xll.qlYieldTSDiscount($U$35,Y7121,,Trigger)</f>
        <v>0.75627391756883988</v>
      </c>
    </row>
    <row r="7122" spans="25:26" x14ac:dyDescent="0.25">
      <c r="Y7122" s="63">
        <v>49655</v>
      </c>
      <c r="Z7122" s="61">
        <f>_xll.qlYieldTSDiscount($U$35,Y7122,,Trigger)</f>
        <v>0.75623571129590772</v>
      </c>
    </row>
    <row r="7123" spans="25:26" x14ac:dyDescent="0.25">
      <c r="Y7123" s="63">
        <v>49656</v>
      </c>
      <c r="Z7123" s="61">
        <f>_xll.qlYieldTSDiscount($U$35,Y7123,,Trigger)</f>
        <v>0.75619750037099509</v>
      </c>
    </row>
    <row r="7124" spans="25:26" x14ac:dyDescent="0.25">
      <c r="Y7124" s="63">
        <v>49657</v>
      </c>
      <c r="Z7124" s="61">
        <f>_xll.qlYieldTSDiscount($U$35,Y7124,,Trigger)</f>
        <v>0.75615928479170824</v>
      </c>
    </row>
    <row r="7125" spans="25:26" x14ac:dyDescent="0.25">
      <c r="Y7125" s="63">
        <v>49658</v>
      </c>
      <c r="Z7125" s="61">
        <f>_xll.qlYieldTSDiscount($U$35,Y7125,,Trigger)</f>
        <v>0.75612106455565364</v>
      </c>
    </row>
    <row r="7126" spans="25:26" x14ac:dyDescent="0.25">
      <c r="Y7126" s="63">
        <v>49659</v>
      </c>
      <c r="Z7126" s="61">
        <f>_xll.qlYieldTSDiscount($U$35,Y7126,,Trigger)</f>
        <v>0.75608283966043788</v>
      </c>
    </row>
    <row r="7127" spans="25:26" x14ac:dyDescent="0.25">
      <c r="Y7127" s="63">
        <v>49660</v>
      </c>
      <c r="Z7127" s="61">
        <f>_xll.qlYieldTSDiscount($U$35,Y7127,,Trigger)</f>
        <v>0.75604461010366741</v>
      </c>
    </row>
    <row r="7128" spans="25:26" x14ac:dyDescent="0.25">
      <c r="Y7128" s="63">
        <v>49661</v>
      </c>
      <c r="Z7128" s="61">
        <f>_xll.qlYieldTSDiscount($U$35,Y7128,,Trigger)</f>
        <v>0.75600637588294872</v>
      </c>
    </row>
    <row r="7129" spans="25:26" x14ac:dyDescent="0.25">
      <c r="Y7129" s="63">
        <v>49662</v>
      </c>
      <c r="Z7129" s="61">
        <f>_xll.qlYieldTSDiscount($U$35,Y7129,,Trigger)</f>
        <v>0.75596813699588827</v>
      </c>
    </row>
    <row r="7130" spans="25:26" x14ac:dyDescent="0.25">
      <c r="Y7130" s="63">
        <v>49663</v>
      </c>
      <c r="Z7130" s="61">
        <f>_xll.qlYieldTSDiscount($U$35,Y7130,,Trigger)</f>
        <v>0.75592989344009254</v>
      </c>
    </row>
    <row r="7131" spans="25:26" x14ac:dyDescent="0.25">
      <c r="Y7131" s="63">
        <v>49664</v>
      </c>
      <c r="Z7131" s="61">
        <f>_xll.qlYieldTSDiscount($U$35,Y7131,,Trigger)</f>
        <v>0.75589164521316798</v>
      </c>
    </row>
    <row r="7132" spans="25:26" x14ac:dyDescent="0.25">
      <c r="Y7132" s="63">
        <v>49665</v>
      </c>
      <c r="Z7132" s="61">
        <f>_xll.qlYieldTSDiscount($U$35,Y7132,,Trigger)</f>
        <v>0.7558533923127212</v>
      </c>
    </row>
    <row r="7133" spans="25:26" x14ac:dyDescent="0.25">
      <c r="Y7133" s="63">
        <v>49666</v>
      </c>
      <c r="Z7133" s="61">
        <f>_xll.qlYieldTSDiscount($U$35,Y7133,,Trigger)</f>
        <v>0.75581513473635853</v>
      </c>
    </row>
    <row r="7134" spans="25:26" x14ac:dyDescent="0.25">
      <c r="Y7134" s="63">
        <v>49667</v>
      </c>
      <c r="Z7134" s="61">
        <f>_xll.qlYieldTSDiscount($U$35,Y7134,,Trigger)</f>
        <v>0.75577687248168646</v>
      </c>
    </row>
    <row r="7135" spans="25:26" x14ac:dyDescent="0.25">
      <c r="Y7135" s="63">
        <v>49668</v>
      </c>
      <c r="Z7135" s="61">
        <f>_xll.qlYieldTSDiscount($U$35,Y7135,,Trigger)</f>
        <v>0.75573860554631156</v>
      </c>
    </row>
    <row r="7136" spans="25:26" x14ac:dyDescent="0.25">
      <c r="Y7136" s="63">
        <v>49669</v>
      </c>
      <c r="Z7136" s="61">
        <f>_xll.qlYieldTSDiscount($U$35,Y7136,,Trigger)</f>
        <v>0.75570033392784031</v>
      </c>
    </row>
    <row r="7137" spans="25:26" x14ac:dyDescent="0.25">
      <c r="Y7137" s="63">
        <v>49670</v>
      </c>
      <c r="Z7137" s="61">
        <f>_xll.qlYieldTSDiscount($U$35,Y7137,,Trigger)</f>
        <v>0.75566205762387917</v>
      </c>
    </row>
    <row r="7138" spans="25:26" x14ac:dyDescent="0.25">
      <c r="Y7138" s="63">
        <v>49671</v>
      </c>
      <c r="Z7138" s="61">
        <f>_xll.qlYieldTSDiscount($U$35,Y7138,,Trigger)</f>
        <v>0.75562377663203451</v>
      </c>
    </row>
    <row r="7139" spans="25:26" x14ac:dyDescent="0.25">
      <c r="Y7139" s="63">
        <v>49672</v>
      </c>
      <c r="Z7139" s="61">
        <f>_xll.qlYieldTSDiscount($U$35,Y7139,,Trigger)</f>
        <v>0.75558549094991301</v>
      </c>
    </row>
    <row r="7140" spans="25:26" x14ac:dyDescent="0.25">
      <c r="Y7140" s="63">
        <v>49673</v>
      </c>
      <c r="Z7140" s="61">
        <f>_xll.qlYieldTSDiscount($U$35,Y7140,,Trigger)</f>
        <v>0.75554720057512093</v>
      </c>
    </row>
    <row r="7141" spans="25:26" x14ac:dyDescent="0.25">
      <c r="Y7141" s="63">
        <v>49674</v>
      </c>
      <c r="Z7141" s="61">
        <f>_xll.qlYieldTSDiscount($U$35,Y7141,,Trigger)</f>
        <v>0.75550890550526484</v>
      </c>
    </row>
    <row r="7142" spans="25:26" x14ac:dyDescent="0.25">
      <c r="Y7142" s="63">
        <v>49675</v>
      </c>
      <c r="Z7142" s="61">
        <f>_xll.qlYieldTSDiscount($U$35,Y7142,,Trigger)</f>
        <v>0.75547060573795144</v>
      </c>
    </row>
    <row r="7143" spans="25:26" x14ac:dyDescent="0.25">
      <c r="Y7143" s="63">
        <v>49676</v>
      </c>
      <c r="Z7143" s="61">
        <f>_xll.qlYieldTSDiscount($U$35,Y7143,,Trigger)</f>
        <v>0.75543230127078687</v>
      </c>
    </row>
    <row r="7144" spans="25:26" x14ac:dyDescent="0.25">
      <c r="Y7144" s="63">
        <v>49677</v>
      </c>
      <c r="Z7144" s="61">
        <f>_xll.qlYieldTSDiscount($U$35,Y7144,,Trigger)</f>
        <v>0.75539399210137781</v>
      </c>
    </row>
    <row r="7145" spans="25:26" x14ac:dyDescent="0.25">
      <c r="Y7145" s="63">
        <v>49678</v>
      </c>
      <c r="Z7145" s="61">
        <f>_xll.qlYieldTSDiscount($U$35,Y7145,,Trigger)</f>
        <v>0.75535567822733063</v>
      </c>
    </row>
    <row r="7146" spans="25:26" x14ac:dyDescent="0.25">
      <c r="Y7146" s="63">
        <v>49679</v>
      </c>
      <c r="Z7146" s="61">
        <f>_xll.qlYieldTSDiscount($U$35,Y7146,,Trigger)</f>
        <v>0.75531735964625191</v>
      </c>
    </row>
    <row r="7147" spans="25:26" x14ac:dyDescent="0.25">
      <c r="Y7147" s="63">
        <v>49680</v>
      </c>
      <c r="Z7147" s="61">
        <f>_xll.qlYieldTSDiscount($U$35,Y7147,,Trigger)</f>
        <v>0.755279036355748</v>
      </c>
    </row>
    <row r="7148" spans="25:26" x14ac:dyDescent="0.25">
      <c r="Y7148" s="63">
        <v>49681</v>
      </c>
      <c r="Z7148" s="61">
        <f>_xll.qlYieldTSDiscount($U$35,Y7148,,Trigger)</f>
        <v>0.7552407083534256</v>
      </c>
    </row>
    <row r="7149" spans="25:26" x14ac:dyDescent="0.25">
      <c r="Y7149" s="63">
        <v>49682</v>
      </c>
      <c r="Z7149" s="61">
        <f>_xll.qlYieldTSDiscount($U$35,Y7149,,Trigger)</f>
        <v>0.75520237563689097</v>
      </c>
    </row>
    <row r="7150" spans="25:26" x14ac:dyDescent="0.25">
      <c r="Y7150" s="63">
        <v>49683</v>
      </c>
      <c r="Z7150" s="61">
        <f>_xll.qlYieldTSDiscount($U$35,Y7150,,Trigger)</f>
        <v>0.75516403820375078</v>
      </c>
    </row>
    <row r="7151" spans="25:26" x14ac:dyDescent="0.25">
      <c r="Y7151" s="63">
        <v>49684</v>
      </c>
      <c r="Z7151" s="61">
        <f>_xll.qlYieldTSDiscount($U$35,Y7151,,Trigger)</f>
        <v>0.75512569605161128</v>
      </c>
    </row>
    <row r="7152" spans="25:26" x14ac:dyDescent="0.25">
      <c r="Y7152" s="63">
        <v>49685</v>
      </c>
      <c r="Z7152" s="61">
        <f>_xll.qlYieldTSDiscount($U$35,Y7152,,Trigger)</f>
        <v>0.75508734917807918</v>
      </c>
    </row>
    <row r="7153" spans="25:26" x14ac:dyDescent="0.25">
      <c r="Y7153" s="63">
        <v>49686</v>
      </c>
      <c r="Z7153" s="61">
        <f>_xll.qlYieldTSDiscount($U$35,Y7153,,Trigger)</f>
        <v>0.75504899758076083</v>
      </c>
    </row>
    <row r="7154" spans="25:26" x14ac:dyDescent="0.25">
      <c r="Y7154" s="63">
        <v>49687</v>
      </c>
      <c r="Z7154" s="61">
        <f>_xll.qlYieldTSDiscount($U$35,Y7154,,Trigger)</f>
        <v>0.75501064125726269</v>
      </c>
    </row>
    <row r="7155" spans="25:26" x14ac:dyDescent="0.25">
      <c r="Y7155" s="63">
        <v>49688</v>
      </c>
      <c r="Z7155" s="61">
        <f>_xll.qlYieldTSDiscount($U$35,Y7155,,Trigger)</f>
        <v>0.75497228020519136</v>
      </c>
    </row>
    <row r="7156" spans="25:26" x14ac:dyDescent="0.25">
      <c r="Y7156" s="63">
        <v>49689</v>
      </c>
      <c r="Z7156" s="61">
        <f>_xll.qlYieldTSDiscount($U$35,Y7156,,Trigger)</f>
        <v>0.75493391442215318</v>
      </c>
    </row>
    <row r="7157" spans="25:26" x14ac:dyDescent="0.25">
      <c r="Y7157" s="63">
        <v>49690</v>
      </c>
      <c r="Z7157" s="61">
        <f>_xll.qlYieldTSDiscount($U$35,Y7157,,Trigger)</f>
        <v>0.75489554390575475</v>
      </c>
    </row>
    <row r="7158" spans="25:26" x14ac:dyDescent="0.25">
      <c r="Y7158" s="63">
        <v>49691</v>
      </c>
      <c r="Z7158" s="61">
        <f>_xll.qlYieldTSDiscount($U$35,Y7158,,Trigger)</f>
        <v>0.75485716865360253</v>
      </c>
    </row>
    <row r="7159" spans="25:26" x14ac:dyDescent="0.25">
      <c r="Y7159" s="63">
        <v>49692</v>
      </c>
      <c r="Z7159" s="61">
        <f>_xll.qlYieldTSDiscount($U$35,Y7159,,Trigger)</f>
        <v>0.75481878866330288</v>
      </c>
    </row>
    <row r="7160" spans="25:26" x14ac:dyDescent="0.25">
      <c r="Y7160" s="63">
        <v>49693</v>
      </c>
      <c r="Z7160" s="61">
        <f>_xll.qlYieldTSDiscount($U$35,Y7160,,Trigger)</f>
        <v>0.75478040393246248</v>
      </c>
    </row>
    <row r="7161" spans="25:26" x14ac:dyDescent="0.25">
      <c r="Y7161" s="63">
        <v>49694</v>
      </c>
      <c r="Z7161" s="61">
        <f>_xll.qlYieldTSDiscount($U$35,Y7161,,Trigger)</f>
        <v>0.75474201445868772</v>
      </c>
    </row>
    <row r="7162" spans="25:26" x14ac:dyDescent="0.25">
      <c r="Y7162" s="63">
        <v>49695</v>
      </c>
      <c r="Z7162" s="61">
        <f>_xll.qlYieldTSDiscount($U$35,Y7162,,Trigger)</f>
        <v>0.75470362023958493</v>
      </c>
    </row>
    <row r="7163" spans="25:26" x14ac:dyDescent="0.25">
      <c r="Y7163" s="63">
        <v>49696</v>
      </c>
      <c r="Z7163" s="61">
        <f>_xll.qlYieldTSDiscount($U$35,Y7163,,Trigger)</f>
        <v>0.75466522127276081</v>
      </c>
    </row>
    <row r="7164" spans="25:26" x14ac:dyDescent="0.25">
      <c r="Y7164" s="63">
        <v>49697</v>
      </c>
      <c r="Z7164" s="61">
        <f>_xll.qlYieldTSDiscount($U$35,Y7164,,Trigger)</f>
        <v>0.75462681755582184</v>
      </c>
    </row>
    <row r="7165" spans="25:26" x14ac:dyDescent="0.25">
      <c r="Y7165" s="63">
        <v>49698</v>
      </c>
      <c r="Z7165" s="61">
        <f>_xll.qlYieldTSDiscount($U$35,Y7165,,Trigger)</f>
        <v>0.75458840908637426</v>
      </c>
    </row>
    <row r="7166" spans="25:26" x14ac:dyDescent="0.25">
      <c r="Y7166" s="63">
        <v>49699</v>
      </c>
      <c r="Z7166" s="61">
        <f>_xll.qlYieldTSDiscount($U$35,Y7166,,Trigger)</f>
        <v>0.75454999586202487</v>
      </c>
    </row>
    <row r="7167" spans="25:26" x14ac:dyDescent="0.25">
      <c r="Y7167" s="63">
        <v>49700</v>
      </c>
      <c r="Z7167" s="61">
        <f>_xll.qlYieldTSDiscount($U$35,Y7167,,Trigger)</f>
        <v>0.75451157788037981</v>
      </c>
    </row>
    <row r="7168" spans="25:26" x14ac:dyDescent="0.25">
      <c r="Y7168" s="63">
        <v>49701</v>
      </c>
      <c r="Z7168" s="61">
        <f>_xll.qlYieldTSDiscount($U$35,Y7168,,Trigger)</f>
        <v>0.75447315513904589</v>
      </c>
    </row>
    <row r="7169" spans="25:26" x14ac:dyDescent="0.25">
      <c r="Y7169" s="63">
        <v>49702</v>
      </c>
      <c r="Z7169" s="61">
        <f>_xll.qlYieldTSDiscount($U$35,Y7169,,Trigger)</f>
        <v>0.75443472763562947</v>
      </c>
    </row>
    <row r="7170" spans="25:26" x14ac:dyDescent="0.25">
      <c r="Y7170" s="63">
        <v>49703</v>
      </c>
      <c r="Z7170" s="61">
        <f>_xll.qlYieldTSDiscount($U$35,Y7170,,Trigger)</f>
        <v>0.75439629536773689</v>
      </c>
    </row>
    <row r="7171" spans="25:26" x14ac:dyDescent="0.25">
      <c r="Y7171" s="63">
        <v>49704</v>
      </c>
      <c r="Z7171" s="61">
        <f>_xll.qlYieldTSDiscount($U$35,Y7171,,Trigger)</f>
        <v>0.75435785833297475</v>
      </c>
    </row>
    <row r="7172" spans="25:26" x14ac:dyDescent="0.25">
      <c r="Y7172" s="63">
        <v>49705</v>
      </c>
      <c r="Z7172" s="61">
        <f>_xll.qlYieldTSDiscount($U$35,Y7172,,Trigger)</f>
        <v>0.75431941652894952</v>
      </c>
    </row>
    <row r="7173" spans="25:26" x14ac:dyDescent="0.25">
      <c r="Y7173" s="63">
        <v>49706</v>
      </c>
      <c r="Z7173" s="61">
        <f>_xll.qlYieldTSDiscount($U$35,Y7173,,Trigger)</f>
        <v>0.75428096995326777</v>
      </c>
    </row>
    <row r="7174" spans="25:26" x14ac:dyDescent="0.25">
      <c r="Y7174" s="63">
        <v>49707</v>
      </c>
      <c r="Z7174" s="61">
        <f>_xll.qlYieldTSDiscount($U$35,Y7174,,Trigger)</f>
        <v>0.75424251860353586</v>
      </c>
    </row>
    <row r="7175" spans="25:26" x14ac:dyDescent="0.25">
      <c r="Y7175" s="63">
        <v>49708</v>
      </c>
      <c r="Z7175" s="61">
        <f>_xll.qlYieldTSDiscount($U$35,Y7175,,Trigger)</f>
        <v>0.75420406247736016</v>
      </c>
    </row>
    <row r="7176" spans="25:26" x14ac:dyDescent="0.25">
      <c r="Y7176" s="63">
        <v>49709</v>
      </c>
      <c r="Z7176" s="61">
        <f>_xll.qlYieldTSDiscount($U$35,Y7176,,Trigger)</f>
        <v>0.75416560157234747</v>
      </c>
    </row>
    <row r="7177" spans="25:26" x14ac:dyDescent="0.25">
      <c r="Y7177" s="63">
        <v>49710</v>
      </c>
      <c r="Z7177" s="61">
        <f>_xll.qlYieldTSDiscount($U$35,Y7177,,Trigger)</f>
        <v>0.75412713588610403</v>
      </c>
    </row>
    <row r="7178" spans="25:26" x14ac:dyDescent="0.25">
      <c r="Y7178" s="63">
        <v>49711</v>
      </c>
      <c r="Z7178" s="61">
        <f>_xll.qlYieldTSDiscount($U$35,Y7178,,Trigger)</f>
        <v>0.75408866541623643</v>
      </c>
    </row>
    <row r="7179" spans="25:26" x14ac:dyDescent="0.25">
      <c r="Y7179" s="63">
        <v>49712</v>
      </c>
      <c r="Z7179" s="61">
        <f>_xll.qlYieldTSDiscount($U$35,Y7179,,Trigger)</f>
        <v>0.75405019016035102</v>
      </c>
    </row>
    <row r="7180" spans="25:26" x14ac:dyDescent="0.25">
      <c r="Y7180" s="63">
        <v>49713</v>
      </c>
      <c r="Z7180" s="61">
        <f>_xll.qlYieldTSDiscount($U$35,Y7180,,Trigger)</f>
        <v>0.7540117101160545</v>
      </c>
    </row>
    <row r="7181" spans="25:26" x14ac:dyDescent="0.25">
      <c r="Y7181" s="63">
        <v>49714</v>
      </c>
      <c r="Z7181" s="61">
        <f>_xll.qlYieldTSDiscount($U$35,Y7181,,Trigger)</f>
        <v>0.75397322528095312</v>
      </c>
    </row>
    <row r="7182" spans="25:26" x14ac:dyDescent="0.25">
      <c r="Y7182" s="63">
        <v>49715</v>
      </c>
      <c r="Z7182" s="61">
        <f>_xll.qlYieldTSDiscount($U$35,Y7182,,Trigger)</f>
        <v>0.75393473565265345</v>
      </c>
    </row>
    <row r="7183" spans="25:26" x14ac:dyDescent="0.25">
      <c r="Y7183" s="63">
        <v>49716</v>
      </c>
      <c r="Z7183" s="61">
        <f>_xll.qlYieldTSDiscount($U$35,Y7183,,Trigger)</f>
        <v>0.75389624122876198</v>
      </c>
    </row>
    <row r="7184" spans="25:26" x14ac:dyDescent="0.25">
      <c r="Y7184" s="63">
        <v>49717</v>
      </c>
      <c r="Z7184" s="61">
        <f>_xll.qlYieldTSDiscount($U$35,Y7184,,Trigger)</f>
        <v>0.75385774200688527</v>
      </c>
    </row>
    <row r="7185" spans="25:26" x14ac:dyDescent="0.25">
      <c r="Y7185" s="63">
        <v>49718</v>
      </c>
      <c r="Z7185" s="61">
        <f>_xll.qlYieldTSDiscount($U$35,Y7185,,Trigger)</f>
        <v>0.75381923798462969</v>
      </c>
    </row>
    <row r="7186" spans="25:26" x14ac:dyDescent="0.25">
      <c r="Y7186" s="63">
        <v>49719</v>
      </c>
      <c r="Z7186" s="61">
        <f>_xll.qlYieldTSDiscount($U$35,Y7186,,Trigger)</f>
        <v>0.7537807291596017</v>
      </c>
    </row>
    <row r="7187" spans="25:26" x14ac:dyDescent="0.25">
      <c r="Y7187" s="63">
        <v>49720</v>
      </c>
      <c r="Z7187" s="61">
        <f>_xll.qlYieldTSDiscount($U$35,Y7187,,Trigger)</f>
        <v>0.7537422155294079</v>
      </c>
    </row>
    <row r="7188" spans="25:26" x14ac:dyDescent="0.25">
      <c r="Y7188" s="63">
        <v>49721</v>
      </c>
      <c r="Z7188" s="61">
        <f>_xll.qlYieldTSDiscount($U$35,Y7188,,Trigger)</f>
        <v>0.75370369709165463</v>
      </c>
    </row>
    <row r="7189" spans="25:26" x14ac:dyDescent="0.25">
      <c r="Y7189" s="63">
        <v>49722</v>
      </c>
      <c r="Z7189" s="61">
        <f>_xll.qlYieldTSDiscount($U$35,Y7189,,Trigger)</f>
        <v>0.75366517384394849</v>
      </c>
    </row>
    <row r="7190" spans="25:26" x14ac:dyDescent="0.25">
      <c r="Y7190" s="63">
        <v>49723</v>
      </c>
      <c r="Z7190" s="61">
        <f>_xll.qlYieldTSDiscount($U$35,Y7190,,Trigger)</f>
        <v>0.75362664578389593</v>
      </c>
    </row>
    <row r="7191" spans="25:26" x14ac:dyDescent="0.25">
      <c r="Y7191" s="63">
        <v>49724</v>
      </c>
      <c r="Z7191" s="61">
        <f>_xll.qlYieldTSDiscount($U$35,Y7191,,Trigger)</f>
        <v>0.75358811290910332</v>
      </c>
    </row>
    <row r="7192" spans="25:26" x14ac:dyDescent="0.25">
      <c r="Y7192" s="63">
        <v>49725</v>
      </c>
      <c r="Z7192" s="61">
        <f>_xll.qlYieldTSDiscount($U$35,Y7192,,Trigger)</f>
        <v>0.75354957521717736</v>
      </c>
    </row>
    <row r="7193" spans="25:26" x14ac:dyDescent="0.25">
      <c r="Y7193" s="63">
        <v>49726</v>
      </c>
      <c r="Z7193" s="61">
        <f>_xll.qlYieldTSDiscount($U$35,Y7193,,Trigger)</f>
        <v>0.75351103270572439</v>
      </c>
    </row>
    <row r="7194" spans="25:26" x14ac:dyDescent="0.25">
      <c r="Y7194" s="63">
        <v>49727</v>
      </c>
      <c r="Z7194" s="61">
        <f>_xll.qlYieldTSDiscount($U$35,Y7194,,Trigger)</f>
        <v>0.75347248537235079</v>
      </c>
    </row>
    <row r="7195" spans="25:26" x14ac:dyDescent="0.25">
      <c r="Y7195" s="63">
        <v>49728</v>
      </c>
      <c r="Z7195" s="61">
        <f>_xll.qlYieldTSDiscount($U$35,Y7195,,Trigger)</f>
        <v>0.75343393321466323</v>
      </c>
    </row>
    <row r="7196" spans="25:26" x14ac:dyDescent="0.25">
      <c r="Y7196" s="63">
        <v>49729</v>
      </c>
      <c r="Z7196" s="61">
        <f>_xll.qlYieldTSDiscount($U$35,Y7196,,Trigger)</f>
        <v>0.75339537623026809</v>
      </c>
    </row>
    <row r="7197" spans="25:26" x14ac:dyDescent="0.25">
      <c r="Y7197" s="63">
        <v>49730</v>
      </c>
      <c r="Z7197" s="61">
        <f>_xll.qlYieldTSDiscount($U$35,Y7197,,Trigger)</f>
        <v>0.75335681441677194</v>
      </c>
    </row>
    <row r="7198" spans="25:26" x14ac:dyDescent="0.25">
      <c r="Y7198" s="63">
        <v>49731</v>
      </c>
      <c r="Z7198" s="61">
        <f>_xll.qlYieldTSDiscount($U$35,Y7198,,Trigger)</f>
        <v>0.75331824777178125</v>
      </c>
    </row>
    <row r="7199" spans="25:26" x14ac:dyDescent="0.25">
      <c r="Y7199" s="63">
        <v>49732</v>
      </c>
      <c r="Z7199" s="61">
        <f>_xll.qlYieldTSDiscount($U$35,Y7199,,Trigger)</f>
        <v>0.75327967629290227</v>
      </c>
    </row>
    <row r="7200" spans="25:26" x14ac:dyDescent="0.25">
      <c r="Y7200" s="63">
        <v>49733</v>
      </c>
      <c r="Z7200" s="61">
        <f>_xll.qlYieldTSDiscount($U$35,Y7200,,Trigger)</f>
        <v>0.7532410999777418</v>
      </c>
    </row>
    <row r="7201" spans="25:26" x14ac:dyDescent="0.25">
      <c r="Y7201" s="63">
        <v>49734</v>
      </c>
      <c r="Z7201" s="61">
        <f>_xll.qlYieldTSDiscount($U$35,Y7201,,Trigger)</f>
        <v>0.7532025188239061</v>
      </c>
    </row>
    <row r="7202" spans="25:26" x14ac:dyDescent="0.25">
      <c r="Y7202" s="63">
        <v>49735</v>
      </c>
      <c r="Z7202" s="61">
        <f>_xll.qlYieldTSDiscount($U$35,Y7202,,Trigger)</f>
        <v>0.75316393282900174</v>
      </c>
    </row>
    <row r="7203" spans="25:26" x14ac:dyDescent="0.25">
      <c r="Y7203" s="63">
        <v>49736</v>
      </c>
      <c r="Z7203" s="61">
        <f>_xll.qlYieldTSDiscount($U$35,Y7203,,Trigger)</f>
        <v>0.7531253419906353</v>
      </c>
    </row>
    <row r="7204" spans="25:26" x14ac:dyDescent="0.25">
      <c r="Y7204" s="63">
        <v>49737</v>
      </c>
      <c r="Z7204" s="61">
        <f>_xll.qlYieldTSDiscount($U$35,Y7204,,Trigger)</f>
        <v>0.75308674630641304</v>
      </c>
    </row>
    <row r="7205" spans="25:26" x14ac:dyDescent="0.25">
      <c r="Y7205" s="63">
        <v>49738</v>
      </c>
      <c r="Z7205" s="61">
        <f>_xll.qlYieldTSDiscount($U$35,Y7205,,Trigger)</f>
        <v>0.75304814577394152</v>
      </c>
    </row>
    <row r="7206" spans="25:26" x14ac:dyDescent="0.25">
      <c r="Y7206" s="63">
        <v>49739</v>
      </c>
      <c r="Z7206" s="61">
        <f>_xll.qlYieldTSDiscount($U$35,Y7206,,Trigger)</f>
        <v>0.75300954039082746</v>
      </c>
    </row>
    <row r="7207" spans="25:26" x14ac:dyDescent="0.25">
      <c r="Y7207" s="63">
        <v>49740</v>
      </c>
      <c r="Z7207" s="61">
        <f>_xll.qlYieldTSDiscount($U$35,Y7207,,Trigger)</f>
        <v>0.75297093015467687</v>
      </c>
    </row>
    <row r="7208" spans="25:26" x14ac:dyDescent="0.25">
      <c r="Y7208" s="63">
        <v>49741</v>
      </c>
      <c r="Z7208" s="61">
        <f>_xll.qlYieldTSDiscount($U$35,Y7208,,Trigger)</f>
        <v>0.75293231506309666</v>
      </c>
    </row>
    <row r="7209" spans="25:26" x14ac:dyDescent="0.25">
      <c r="Y7209" s="63">
        <v>49742</v>
      </c>
      <c r="Z7209" s="61">
        <f>_xll.qlYieldTSDiscount($U$35,Y7209,,Trigger)</f>
        <v>0.75289369511369308</v>
      </c>
    </row>
    <row r="7210" spans="25:26" x14ac:dyDescent="0.25">
      <c r="Y7210" s="63">
        <v>49743</v>
      </c>
      <c r="Z7210" s="61">
        <f>_xll.qlYieldTSDiscount($U$35,Y7210,,Trigger)</f>
        <v>0.75285507030407273</v>
      </c>
    </row>
    <row r="7211" spans="25:26" x14ac:dyDescent="0.25">
      <c r="Y7211" s="63">
        <v>49744</v>
      </c>
      <c r="Z7211" s="61">
        <f>_xll.qlYieldTSDiscount($U$35,Y7211,,Trigger)</f>
        <v>0.75281644063184205</v>
      </c>
    </row>
    <row r="7212" spans="25:26" x14ac:dyDescent="0.25">
      <c r="Y7212" s="63">
        <v>49745</v>
      </c>
      <c r="Z7212" s="61">
        <f>_xll.qlYieldTSDiscount($U$35,Y7212,,Trigger)</f>
        <v>0.75277780609460743</v>
      </c>
    </row>
    <row r="7213" spans="25:26" x14ac:dyDescent="0.25">
      <c r="Y7213" s="63">
        <v>49746</v>
      </c>
      <c r="Z7213" s="61">
        <f>_xll.qlYieldTSDiscount($U$35,Y7213,,Trigger)</f>
        <v>0.75273916668997543</v>
      </c>
    </row>
    <row r="7214" spans="25:26" x14ac:dyDescent="0.25">
      <c r="Y7214" s="63">
        <v>49747</v>
      </c>
      <c r="Z7214" s="61">
        <f>_xll.qlYieldTSDiscount($U$35,Y7214,,Trigger)</f>
        <v>0.75270052241555263</v>
      </c>
    </row>
    <row r="7215" spans="25:26" x14ac:dyDescent="0.25">
      <c r="Y7215" s="63">
        <v>49748</v>
      </c>
      <c r="Z7215" s="61">
        <f>_xll.qlYieldTSDiscount($U$35,Y7215,,Trigger)</f>
        <v>0.75266187326894529</v>
      </c>
    </row>
    <row r="7216" spans="25:26" x14ac:dyDescent="0.25">
      <c r="Y7216" s="63">
        <v>49749</v>
      </c>
      <c r="Z7216" s="61">
        <f>_xll.qlYieldTSDiscount($U$35,Y7216,,Trigger)</f>
        <v>0.7526232192477601</v>
      </c>
    </row>
    <row r="7217" spans="25:26" x14ac:dyDescent="0.25">
      <c r="Y7217" s="63">
        <v>49750</v>
      </c>
      <c r="Z7217" s="61">
        <f>_xll.qlYieldTSDiscount($U$35,Y7217,,Trigger)</f>
        <v>0.75258456034960342</v>
      </c>
    </row>
    <row r="7218" spans="25:26" x14ac:dyDescent="0.25">
      <c r="Y7218" s="63">
        <v>49751</v>
      </c>
      <c r="Z7218" s="61">
        <f>_xll.qlYieldTSDiscount($U$35,Y7218,,Trigger)</f>
        <v>0.75254589657208171</v>
      </c>
    </row>
    <row r="7219" spans="25:26" x14ac:dyDescent="0.25">
      <c r="Y7219" s="63">
        <v>49752</v>
      </c>
      <c r="Z7219" s="61">
        <f>_xll.qlYieldTSDiscount($U$35,Y7219,,Trigger)</f>
        <v>0.75250722791280156</v>
      </c>
    </row>
    <row r="7220" spans="25:26" x14ac:dyDescent="0.25">
      <c r="Y7220" s="63">
        <v>49753</v>
      </c>
      <c r="Z7220" s="61">
        <f>_xll.qlYieldTSDiscount($U$35,Y7220,,Trigger)</f>
        <v>0.75246855436936932</v>
      </c>
    </row>
    <row r="7221" spans="25:26" x14ac:dyDescent="0.25">
      <c r="Y7221" s="63">
        <v>49754</v>
      </c>
      <c r="Z7221" s="61">
        <f>_xll.qlYieldTSDiscount($U$35,Y7221,,Trigger)</f>
        <v>0.7524298759393917</v>
      </c>
    </row>
    <row r="7222" spans="25:26" x14ac:dyDescent="0.25">
      <c r="Y7222" s="63">
        <v>49755</v>
      </c>
      <c r="Z7222" s="61">
        <f>_xll.qlYieldTSDiscount($U$35,Y7222,,Trigger)</f>
        <v>0.75239119262047494</v>
      </c>
    </row>
    <row r="7223" spans="25:26" x14ac:dyDescent="0.25">
      <c r="Y7223" s="63">
        <v>49756</v>
      </c>
      <c r="Z7223" s="61">
        <f>_xll.qlYieldTSDiscount($U$35,Y7223,,Trigger)</f>
        <v>0.7523525044102255</v>
      </c>
    </row>
    <row r="7224" spans="25:26" x14ac:dyDescent="0.25">
      <c r="Y7224" s="63">
        <v>49757</v>
      </c>
      <c r="Z7224" s="61">
        <f>_xll.qlYieldTSDiscount($U$35,Y7224,,Trigger)</f>
        <v>0.75231381130625008</v>
      </c>
    </row>
    <row r="7225" spans="25:26" x14ac:dyDescent="0.25">
      <c r="Y7225" s="63">
        <v>49758</v>
      </c>
      <c r="Z7225" s="61">
        <f>_xll.qlYieldTSDiscount($U$35,Y7225,,Trigger)</f>
        <v>0.75227511330615504</v>
      </c>
    </row>
    <row r="7226" spans="25:26" x14ac:dyDescent="0.25">
      <c r="Y7226" s="63">
        <v>49759</v>
      </c>
      <c r="Z7226" s="61">
        <f>_xll.qlYieldTSDiscount($U$35,Y7226,,Trigger)</f>
        <v>0.75223641040754685</v>
      </c>
    </row>
    <row r="7227" spans="25:26" x14ac:dyDescent="0.25">
      <c r="Y7227" s="63">
        <v>49760</v>
      </c>
      <c r="Z7227" s="61">
        <f>_xll.qlYieldTSDiscount($U$35,Y7227,,Trigger)</f>
        <v>0.75219770260803198</v>
      </c>
    </row>
    <row r="7228" spans="25:26" x14ac:dyDescent="0.25">
      <c r="Y7228" s="63">
        <v>49761</v>
      </c>
      <c r="Z7228" s="61">
        <f>_xll.qlYieldTSDiscount($U$35,Y7228,,Trigger)</f>
        <v>0.75215898990521701</v>
      </c>
    </row>
    <row r="7229" spans="25:26" x14ac:dyDescent="0.25">
      <c r="Y7229" s="63">
        <v>49762</v>
      </c>
      <c r="Z7229" s="61">
        <f>_xll.qlYieldTSDiscount($U$35,Y7229,,Trigger)</f>
        <v>0.7521202722967083</v>
      </c>
    </row>
    <row r="7230" spans="25:26" x14ac:dyDescent="0.25">
      <c r="Y7230" s="63">
        <v>49763</v>
      </c>
      <c r="Z7230" s="61">
        <f>_xll.qlYieldTSDiscount($U$35,Y7230,,Trigger)</f>
        <v>0.75208154978011232</v>
      </c>
    </row>
    <row r="7231" spans="25:26" x14ac:dyDescent="0.25">
      <c r="Y7231" s="63">
        <v>49764</v>
      </c>
      <c r="Z7231" s="61">
        <f>_xll.qlYieldTSDiscount($U$35,Y7231,,Trigger)</f>
        <v>0.75204282235303566</v>
      </c>
    </row>
    <row r="7232" spans="25:26" x14ac:dyDescent="0.25">
      <c r="Y7232" s="63">
        <v>49765</v>
      </c>
      <c r="Z7232" s="61">
        <f>_xll.qlYieldTSDiscount($U$35,Y7232,,Trigger)</f>
        <v>0.75200409001308477</v>
      </c>
    </row>
    <row r="7233" spans="25:26" x14ac:dyDescent="0.25">
      <c r="Y7233" s="63">
        <v>49766</v>
      </c>
      <c r="Z7233" s="61">
        <f>_xll.qlYieldTSDiscount($U$35,Y7233,,Trigger)</f>
        <v>0.75196535275786613</v>
      </c>
    </row>
    <row r="7234" spans="25:26" x14ac:dyDescent="0.25">
      <c r="Y7234" s="63">
        <v>49767</v>
      </c>
      <c r="Z7234" s="61">
        <f>_xll.qlYieldTSDiscount($U$35,Y7234,,Trigger)</f>
        <v>0.75192661058498611</v>
      </c>
    </row>
    <row r="7235" spans="25:26" x14ac:dyDescent="0.25">
      <c r="Y7235" s="63">
        <v>49768</v>
      </c>
      <c r="Z7235" s="61">
        <f>_xll.qlYieldTSDiscount($U$35,Y7235,,Trigger)</f>
        <v>0.75188786349205139</v>
      </c>
    </row>
    <row r="7236" spans="25:26" x14ac:dyDescent="0.25">
      <c r="Y7236" s="63">
        <v>49769</v>
      </c>
      <c r="Z7236" s="61">
        <f>_xll.qlYieldTSDiscount($U$35,Y7236,,Trigger)</f>
        <v>0.75184911147666833</v>
      </c>
    </row>
    <row r="7237" spans="25:26" x14ac:dyDescent="0.25">
      <c r="Y7237" s="63">
        <v>49770</v>
      </c>
      <c r="Z7237" s="61">
        <f>_xll.qlYieldTSDiscount($U$35,Y7237,,Trigger)</f>
        <v>0.7518103545364434</v>
      </c>
    </row>
    <row r="7238" spans="25:26" x14ac:dyDescent="0.25">
      <c r="Y7238" s="63">
        <v>49771</v>
      </c>
      <c r="Z7238" s="61">
        <f>_xll.qlYieldTSDiscount($U$35,Y7238,,Trigger)</f>
        <v>0.75177159266898308</v>
      </c>
    </row>
    <row r="7239" spans="25:26" x14ac:dyDescent="0.25">
      <c r="Y7239" s="63">
        <v>49772</v>
      </c>
      <c r="Z7239" s="61">
        <f>_xll.qlYieldTSDiscount($U$35,Y7239,,Trigger)</f>
        <v>0.75173282587189383</v>
      </c>
    </row>
    <row r="7240" spans="25:26" x14ac:dyDescent="0.25">
      <c r="Y7240" s="63">
        <v>49773</v>
      </c>
      <c r="Z7240" s="61">
        <f>_xll.qlYieldTSDiscount($U$35,Y7240,,Trigger)</f>
        <v>0.75169405414278223</v>
      </c>
    </row>
    <row r="7241" spans="25:26" x14ac:dyDescent="0.25">
      <c r="Y7241" s="63">
        <v>49774</v>
      </c>
      <c r="Z7241" s="61">
        <f>_xll.qlYieldTSDiscount($U$35,Y7241,,Trigger)</f>
        <v>0.75165527747925465</v>
      </c>
    </row>
    <row r="7242" spans="25:26" x14ac:dyDescent="0.25">
      <c r="Y7242" s="63">
        <v>49775</v>
      </c>
      <c r="Z7242" s="61">
        <f>_xll.qlYieldTSDiscount($U$35,Y7242,,Trigger)</f>
        <v>0.75161649587891777</v>
      </c>
    </row>
    <row r="7243" spans="25:26" x14ac:dyDescent="0.25">
      <c r="Y7243" s="63">
        <v>49776</v>
      </c>
      <c r="Z7243" s="61">
        <f>_xll.qlYieldTSDiscount($U$35,Y7243,,Trigger)</f>
        <v>0.75157770933937784</v>
      </c>
    </row>
    <row r="7244" spans="25:26" x14ac:dyDescent="0.25">
      <c r="Y7244" s="63">
        <v>49777</v>
      </c>
      <c r="Z7244" s="61">
        <f>_xll.qlYieldTSDiscount($U$35,Y7244,,Trigger)</f>
        <v>0.75153891785824134</v>
      </c>
    </row>
    <row r="7245" spans="25:26" x14ac:dyDescent="0.25">
      <c r="Y7245" s="63">
        <v>49778</v>
      </c>
      <c r="Z7245" s="61">
        <f>_xll.qlYieldTSDiscount($U$35,Y7245,,Trigger)</f>
        <v>0.75150012143311495</v>
      </c>
    </row>
    <row r="7246" spans="25:26" x14ac:dyDescent="0.25">
      <c r="Y7246" s="63">
        <v>49779</v>
      </c>
      <c r="Z7246" s="61">
        <f>_xll.qlYieldTSDiscount($U$35,Y7246,,Trigger)</f>
        <v>0.75146132006160504</v>
      </c>
    </row>
    <row r="7247" spans="25:26" x14ac:dyDescent="0.25">
      <c r="Y7247" s="63">
        <v>49780</v>
      </c>
      <c r="Z7247" s="61">
        <f>_xll.qlYieldTSDiscount($U$35,Y7247,,Trigger)</f>
        <v>0.75142251374131797</v>
      </c>
    </row>
    <row r="7248" spans="25:26" x14ac:dyDescent="0.25">
      <c r="Y7248" s="63">
        <v>49781</v>
      </c>
      <c r="Z7248" s="61">
        <f>_xll.qlYieldTSDiscount($U$35,Y7248,,Trigger)</f>
        <v>0.75138370246986053</v>
      </c>
    </row>
    <row r="7249" spans="25:26" x14ac:dyDescent="0.25">
      <c r="Y7249" s="63">
        <v>49782</v>
      </c>
      <c r="Z7249" s="61">
        <f>_xll.qlYieldTSDiscount($U$35,Y7249,,Trigger)</f>
        <v>0.75134488624483886</v>
      </c>
    </row>
    <row r="7250" spans="25:26" x14ac:dyDescent="0.25">
      <c r="Y7250" s="63">
        <v>49783</v>
      </c>
      <c r="Z7250" s="61">
        <f>_xll.qlYieldTSDiscount($U$35,Y7250,,Trigger)</f>
        <v>0.75130606506385966</v>
      </c>
    </row>
    <row r="7251" spans="25:26" x14ac:dyDescent="0.25">
      <c r="Y7251" s="63">
        <v>49784</v>
      </c>
      <c r="Z7251" s="61">
        <f>_xll.qlYieldTSDiscount($U$35,Y7251,,Trigger)</f>
        <v>0.7512672389245294</v>
      </c>
    </row>
    <row r="7252" spans="25:26" x14ac:dyDescent="0.25">
      <c r="Y7252" s="63">
        <v>49785</v>
      </c>
      <c r="Z7252" s="61">
        <f>_xll.qlYieldTSDiscount($U$35,Y7252,,Trigger)</f>
        <v>0.75122840782445433</v>
      </c>
    </row>
    <row r="7253" spans="25:26" x14ac:dyDescent="0.25">
      <c r="Y7253" s="63">
        <v>49786</v>
      </c>
      <c r="Z7253" s="61">
        <f>_xll.qlYieldTSDiscount($U$35,Y7253,,Trigger)</f>
        <v>0.75118957176124124</v>
      </c>
    </row>
    <row r="7254" spans="25:26" x14ac:dyDescent="0.25">
      <c r="Y7254" s="63">
        <v>49787</v>
      </c>
      <c r="Z7254" s="61">
        <f>_xll.qlYieldTSDiscount($U$35,Y7254,,Trigger)</f>
        <v>0.7511507307324965</v>
      </c>
    </row>
    <row r="7255" spans="25:26" x14ac:dyDescent="0.25">
      <c r="Y7255" s="63">
        <v>49788</v>
      </c>
      <c r="Z7255" s="61">
        <f>_xll.qlYieldTSDiscount($U$35,Y7255,,Trigger)</f>
        <v>0.75111188473582635</v>
      </c>
    </row>
    <row r="7256" spans="25:26" x14ac:dyDescent="0.25">
      <c r="Y7256" s="63">
        <v>49789</v>
      </c>
      <c r="Z7256" s="61">
        <f>_xll.qlYieldTSDiscount($U$35,Y7256,,Trigger)</f>
        <v>0.75107303376883772</v>
      </c>
    </row>
    <row r="7257" spans="25:26" x14ac:dyDescent="0.25">
      <c r="Y7257" s="63">
        <v>49790</v>
      </c>
      <c r="Z7257" s="61">
        <f>_xll.qlYieldTSDiscount($U$35,Y7257,,Trigger)</f>
        <v>0.75103417782913673</v>
      </c>
    </row>
    <row r="7258" spans="25:26" x14ac:dyDescent="0.25">
      <c r="Y7258" s="63">
        <v>49791</v>
      </c>
      <c r="Z7258" s="61">
        <f>_xll.qlYieldTSDiscount($U$35,Y7258,,Trigger)</f>
        <v>0.75099531691432997</v>
      </c>
    </row>
    <row r="7259" spans="25:26" x14ac:dyDescent="0.25">
      <c r="Y7259" s="63">
        <v>49792</v>
      </c>
      <c r="Z7259" s="61">
        <f>_xll.qlYieldTSDiscount($U$35,Y7259,,Trigger)</f>
        <v>0.75095645102202402</v>
      </c>
    </row>
    <row r="7260" spans="25:26" x14ac:dyDescent="0.25">
      <c r="Y7260" s="63">
        <v>49793</v>
      </c>
      <c r="Z7260" s="61">
        <f>_xll.qlYieldTSDiscount($U$35,Y7260,,Trigger)</f>
        <v>0.75091758014982524</v>
      </c>
    </row>
    <row r="7261" spans="25:26" x14ac:dyDescent="0.25">
      <c r="Y7261" s="63">
        <v>49794</v>
      </c>
      <c r="Z7261" s="61">
        <f>_xll.qlYieldTSDiscount($U$35,Y7261,,Trigger)</f>
        <v>0.7508787042953402</v>
      </c>
    </row>
    <row r="7262" spans="25:26" x14ac:dyDescent="0.25">
      <c r="Y7262" s="63">
        <v>49795</v>
      </c>
      <c r="Z7262" s="61">
        <f>_xll.qlYieldTSDiscount($U$35,Y7262,,Trigger)</f>
        <v>0.75083982345617528</v>
      </c>
    </row>
    <row r="7263" spans="25:26" x14ac:dyDescent="0.25">
      <c r="Y7263" s="63">
        <v>49796</v>
      </c>
      <c r="Z7263" s="61">
        <f>_xll.qlYieldTSDiscount($U$35,Y7263,,Trigger)</f>
        <v>0.75080093762993694</v>
      </c>
    </row>
    <row r="7264" spans="25:26" x14ac:dyDescent="0.25">
      <c r="Y7264" s="63">
        <v>49797</v>
      </c>
      <c r="Z7264" s="61">
        <f>_xll.qlYieldTSDiscount($U$35,Y7264,,Trigger)</f>
        <v>0.75076204681423186</v>
      </c>
    </row>
    <row r="7265" spans="25:26" x14ac:dyDescent="0.25">
      <c r="Y7265" s="63">
        <v>49798</v>
      </c>
      <c r="Z7265" s="61">
        <f>_xll.qlYieldTSDiscount($U$35,Y7265,,Trigger)</f>
        <v>0.75072315100666631</v>
      </c>
    </row>
    <row r="7266" spans="25:26" x14ac:dyDescent="0.25">
      <c r="Y7266" s="63">
        <v>49799</v>
      </c>
      <c r="Z7266" s="61">
        <f>_xll.qlYieldTSDiscount($U$35,Y7266,,Trigger)</f>
        <v>0.75068425020484686</v>
      </c>
    </row>
    <row r="7267" spans="25:26" x14ac:dyDescent="0.25">
      <c r="Y7267" s="63">
        <v>49800</v>
      </c>
      <c r="Z7267" s="61">
        <f>_xll.qlYieldTSDiscount($U$35,Y7267,,Trigger)</f>
        <v>0.75064534440637998</v>
      </c>
    </row>
    <row r="7268" spans="25:26" x14ac:dyDescent="0.25">
      <c r="Y7268" s="63">
        <v>49801</v>
      </c>
      <c r="Z7268" s="61">
        <f>_xll.qlYieldTSDiscount($U$35,Y7268,,Trigger)</f>
        <v>0.75060643360887214</v>
      </c>
    </row>
    <row r="7269" spans="25:26" x14ac:dyDescent="0.25">
      <c r="Y7269" s="63">
        <v>49802</v>
      </c>
      <c r="Z7269" s="61">
        <f>_xll.qlYieldTSDiscount($U$35,Y7269,,Trigger)</f>
        <v>0.75056751780992992</v>
      </c>
    </row>
    <row r="7270" spans="25:26" x14ac:dyDescent="0.25">
      <c r="Y7270" s="63">
        <v>49803</v>
      </c>
      <c r="Z7270" s="61">
        <f>_xll.qlYieldTSDiscount($U$35,Y7270,,Trigger)</f>
        <v>0.75052859700715968</v>
      </c>
    </row>
    <row r="7271" spans="25:26" x14ac:dyDescent="0.25">
      <c r="Y7271" s="63">
        <v>49804</v>
      </c>
      <c r="Z7271" s="61">
        <f>_xll.qlYieldTSDiscount($U$35,Y7271,,Trigger)</f>
        <v>0.7504896711981679</v>
      </c>
    </row>
    <row r="7272" spans="25:26" x14ac:dyDescent="0.25">
      <c r="Y7272" s="63">
        <v>49805</v>
      </c>
      <c r="Z7272" s="61">
        <f>_xll.qlYieldTSDiscount($U$35,Y7272,,Trigger)</f>
        <v>0.75045074038056103</v>
      </c>
    </row>
    <row r="7273" spans="25:26" x14ac:dyDescent="0.25">
      <c r="Y7273" s="63">
        <v>49806</v>
      </c>
      <c r="Z7273" s="61">
        <f>_xll.qlYieldTSDiscount($U$35,Y7273,,Trigger)</f>
        <v>0.75041180455194567</v>
      </c>
    </row>
    <row r="7274" spans="25:26" x14ac:dyDescent="0.25">
      <c r="Y7274" s="63">
        <v>49807</v>
      </c>
      <c r="Z7274" s="61">
        <f>_xll.qlYieldTSDiscount($U$35,Y7274,,Trigger)</f>
        <v>0.75037286370992828</v>
      </c>
    </row>
    <row r="7275" spans="25:26" x14ac:dyDescent="0.25">
      <c r="Y7275" s="63">
        <v>49808</v>
      </c>
      <c r="Z7275" s="61">
        <f>_xll.qlYieldTSDiscount($U$35,Y7275,,Trigger)</f>
        <v>0.75033391785211534</v>
      </c>
    </row>
    <row r="7276" spans="25:26" x14ac:dyDescent="0.25">
      <c r="Y7276" s="63">
        <v>49809</v>
      </c>
      <c r="Z7276" s="61">
        <f>_xll.qlYieldTSDiscount($U$35,Y7276,,Trigger)</f>
        <v>0.7502949669761132</v>
      </c>
    </row>
    <row r="7277" spans="25:26" x14ac:dyDescent="0.25">
      <c r="Y7277" s="63">
        <v>49810</v>
      </c>
      <c r="Z7277" s="61">
        <f>_xll.qlYieldTSDiscount($U$35,Y7277,,Trigger)</f>
        <v>0.75025601107952844</v>
      </c>
    </row>
    <row r="7278" spans="25:26" x14ac:dyDescent="0.25">
      <c r="Y7278" s="63">
        <v>49811</v>
      </c>
      <c r="Z7278" s="61">
        <f>_xll.qlYieldTSDiscount($U$35,Y7278,,Trigger)</f>
        <v>0.75021705015996765</v>
      </c>
    </row>
    <row r="7279" spans="25:26" x14ac:dyDescent="0.25">
      <c r="Y7279" s="63">
        <v>49812</v>
      </c>
      <c r="Z7279" s="61">
        <f>_xll.qlYieldTSDiscount($U$35,Y7279,,Trigger)</f>
        <v>0.75017808421503707</v>
      </c>
    </row>
    <row r="7280" spans="25:26" x14ac:dyDescent="0.25">
      <c r="Y7280" s="63">
        <v>49813</v>
      </c>
      <c r="Z7280" s="61">
        <f>_xll.qlYieldTSDiscount($U$35,Y7280,,Trigger)</f>
        <v>0.75013911324234339</v>
      </c>
    </row>
    <row r="7281" spans="25:26" x14ac:dyDescent="0.25">
      <c r="Y7281" s="63">
        <v>49814</v>
      </c>
      <c r="Z7281" s="61">
        <f>_xll.qlYieldTSDiscount($U$35,Y7281,,Trigger)</f>
        <v>0.75010013723949298</v>
      </c>
    </row>
    <row r="7282" spans="25:26" x14ac:dyDescent="0.25">
      <c r="Y7282" s="63">
        <v>49815</v>
      </c>
      <c r="Z7282" s="61">
        <f>_xll.qlYieldTSDiscount($U$35,Y7282,,Trigger)</f>
        <v>0.75006115620409242</v>
      </c>
    </row>
    <row r="7283" spans="25:26" x14ac:dyDescent="0.25">
      <c r="Y7283" s="63">
        <v>49816</v>
      </c>
      <c r="Z7283" s="61">
        <f>_xll.qlYieldTSDiscount($U$35,Y7283,,Trigger)</f>
        <v>0.75002217013374806</v>
      </c>
    </row>
    <row r="7284" spans="25:26" x14ac:dyDescent="0.25">
      <c r="Y7284" s="63">
        <v>49817</v>
      </c>
      <c r="Z7284" s="61">
        <f>_xll.qlYieldTSDiscount($U$35,Y7284,,Trigger)</f>
        <v>0.74998317902606637</v>
      </c>
    </row>
    <row r="7285" spans="25:26" x14ac:dyDescent="0.25">
      <c r="Y7285" s="63">
        <v>49818</v>
      </c>
      <c r="Z7285" s="61">
        <f>_xll.qlYieldTSDiscount($U$35,Y7285,,Trigger)</f>
        <v>0.74994418287865394</v>
      </c>
    </row>
    <row r="7286" spans="25:26" x14ac:dyDescent="0.25">
      <c r="Y7286" s="63">
        <v>49819</v>
      </c>
      <c r="Z7286" s="61">
        <f>_xll.qlYieldTSDiscount($U$35,Y7286,,Trigger)</f>
        <v>0.74990518168911724</v>
      </c>
    </row>
    <row r="7287" spans="25:26" x14ac:dyDescent="0.25">
      <c r="Y7287" s="63">
        <v>49820</v>
      </c>
      <c r="Z7287" s="61">
        <f>_xll.qlYieldTSDiscount($U$35,Y7287,,Trigger)</f>
        <v>0.74986617545506284</v>
      </c>
    </row>
    <row r="7288" spans="25:26" x14ac:dyDescent="0.25">
      <c r="Y7288" s="63">
        <v>49821</v>
      </c>
      <c r="Z7288" s="61">
        <f>_xll.qlYieldTSDiscount($U$35,Y7288,,Trigger)</f>
        <v>0.74982716417409701</v>
      </c>
    </row>
    <row r="7289" spans="25:26" x14ac:dyDescent="0.25">
      <c r="Y7289" s="63">
        <v>49822</v>
      </c>
      <c r="Z7289" s="61">
        <f>_xll.qlYieldTSDiscount($U$35,Y7289,,Trigger)</f>
        <v>0.74978814784382619</v>
      </c>
    </row>
    <row r="7290" spans="25:26" x14ac:dyDescent="0.25">
      <c r="Y7290" s="63">
        <v>49823</v>
      </c>
      <c r="Z7290" s="61">
        <f>_xll.qlYieldTSDiscount($U$35,Y7290,,Trigger)</f>
        <v>0.74974912646185721</v>
      </c>
    </row>
    <row r="7291" spans="25:26" x14ac:dyDescent="0.25">
      <c r="Y7291" s="63">
        <v>49824</v>
      </c>
      <c r="Z7291" s="61">
        <f>_xll.qlYieldTSDiscount($U$35,Y7291,,Trigger)</f>
        <v>0.74971010002579619</v>
      </c>
    </row>
    <row r="7292" spans="25:26" x14ac:dyDescent="0.25">
      <c r="Y7292" s="63">
        <v>49825</v>
      </c>
      <c r="Z7292" s="61">
        <f>_xll.qlYieldTSDiscount($U$35,Y7292,,Trigger)</f>
        <v>0.74967106853324983</v>
      </c>
    </row>
    <row r="7293" spans="25:26" x14ac:dyDescent="0.25">
      <c r="Y7293" s="63">
        <v>49826</v>
      </c>
      <c r="Z7293" s="61">
        <f>_xll.qlYieldTSDiscount($U$35,Y7293,,Trigger)</f>
        <v>0.74963203198182449</v>
      </c>
    </row>
    <row r="7294" spans="25:26" x14ac:dyDescent="0.25">
      <c r="Y7294" s="63">
        <v>49827</v>
      </c>
      <c r="Z7294" s="61">
        <f>_xll.qlYieldTSDiscount($U$35,Y7294,,Trigger)</f>
        <v>0.74959299036912674</v>
      </c>
    </row>
    <row r="7295" spans="25:26" x14ac:dyDescent="0.25">
      <c r="Y7295" s="63">
        <v>49828</v>
      </c>
      <c r="Z7295" s="61">
        <f>_xll.qlYieldTSDiscount($U$35,Y7295,,Trigger)</f>
        <v>0.74955394369276296</v>
      </c>
    </row>
    <row r="7296" spans="25:26" x14ac:dyDescent="0.25">
      <c r="Y7296" s="63">
        <v>49829</v>
      </c>
      <c r="Z7296" s="61">
        <f>_xll.qlYieldTSDiscount($U$35,Y7296,,Trigger)</f>
        <v>0.74951489195033982</v>
      </c>
    </row>
    <row r="7297" spans="25:26" x14ac:dyDescent="0.25">
      <c r="Y7297" s="63">
        <v>49830</v>
      </c>
      <c r="Z7297" s="61">
        <f>_xll.qlYieldTSDiscount($U$35,Y7297,,Trigger)</f>
        <v>0.74947583513946348</v>
      </c>
    </row>
    <row r="7298" spans="25:26" x14ac:dyDescent="0.25">
      <c r="Y7298" s="63">
        <v>49831</v>
      </c>
      <c r="Z7298" s="61">
        <f>_xll.qlYieldTSDiscount($U$35,Y7298,,Trigger)</f>
        <v>0.74943677325774072</v>
      </c>
    </row>
    <row r="7299" spans="25:26" x14ac:dyDescent="0.25">
      <c r="Y7299" s="63">
        <v>49832</v>
      </c>
      <c r="Z7299" s="61">
        <f>_xll.qlYieldTSDiscount($U$35,Y7299,,Trigger)</f>
        <v>0.74939770630277791</v>
      </c>
    </row>
    <row r="7300" spans="25:26" x14ac:dyDescent="0.25">
      <c r="Y7300" s="63">
        <v>49833</v>
      </c>
      <c r="Z7300" s="61">
        <f>_xll.qlYieldTSDiscount($U$35,Y7300,,Trigger)</f>
        <v>0.74935863427218152</v>
      </c>
    </row>
    <row r="7301" spans="25:26" x14ac:dyDescent="0.25">
      <c r="Y7301" s="63">
        <v>49834</v>
      </c>
      <c r="Z7301" s="61">
        <f>_xll.qlYieldTSDiscount($U$35,Y7301,,Trigger)</f>
        <v>0.74931955716355814</v>
      </c>
    </row>
    <row r="7302" spans="25:26" x14ac:dyDescent="0.25">
      <c r="Y7302" s="63">
        <v>49835</v>
      </c>
      <c r="Z7302" s="61">
        <f>_xll.qlYieldTSDiscount($U$35,Y7302,,Trigger)</f>
        <v>0.749280474974514</v>
      </c>
    </row>
    <row r="7303" spans="25:26" x14ac:dyDescent="0.25">
      <c r="Y7303" s="63">
        <v>49836</v>
      </c>
      <c r="Z7303" s="61">
        <f>_xll.qlYieldTSDiscount($U$35,Y7303,,Trigger)</f>
        <v>0.7492413877026558</v>
      </c>
    </row>
    <row r="7304" spans="25:26" x14ac:dyDescent="0.25">
      <c r="Y7304" s="63">
        <v>49837</v>
      </c>
      <c r="Z7304" s="61">
        <f>_xll.qlYieldTSDiscount($U$35,Y7304,,Trigger)</f>
        <v>0.74920229534558991</v>
      </c>
    </row>
    <row r="7305" spans="25:26" x14ac:dyDescent="0.25">
      <c r="Y7305" s="63">
        <v>49838</v>
      </c>
      <c r="Z7305" s="61">
        <f>_xll.qlYieldTSDiscount($U$35,Y7305,,Trigger)</f>
        <v>0.74916319790092301</v>
      </c>
    </row>
    <row r="7306" spans="25:26" x14ac:dyDescent="0.25">
      <c r="Y7306" s="63">
        <v>49839</v>
      </c>
      <c r="Z7306" s="61">
        <f>_xll.qlYieldTSDiscount($U$35,Y7306,,Trigger)</f>
        <v>0.74912409536626123</v>
      </c>
    </row>
    <row r="7307" spans="25:26" x14ac:dyDescent="0.25">
      <c r="Y7307" s="63">
        <v>49840</v>
      </c>
      <c r="Z7307" s="61">
        <f>_xll.qlYieldTSDiscount($U$35,Y7307,,Trigger)</f>
        <v>0.74908498773921139</v>
      </c>
    </row>
    <row r="7308" spans="25:26" x14ac:dyDescent="0.25">
      <c r="Y7308" s="63">
        <v>49841</v>
      </c>
      <c r="Z7308" s="61">
        <f>_xll.qlYieldTSDiscount($U$35,Y7308,,Trigger)</f>
        <v>0.74904587501737974</v>
      </c>
    </row>
    <row r="7309" spans="25:26" x14ac:dyDescent="0.25">
      <c r="Y7309" s="63">
        <v>49842</v>
      </c>
      <c r="Z7309" s="61">
        <f>_xll.qlYieldTSDiscount($U$35,Y7309,,Trigger)</f>
        <v>0.74900675719837284</v>
      </c>
    </row>
    <row r="7310" spans="25:26" x14ac:dyDescent="0.25">
      <c r="Y7310" s="63">
        <v>49843</v>
      </c>
      <c r="Z7310" s="61">
        <f>_xll.qlYieldTSDiscount($U$35,Y7310,,Trigger)</f>
        <v>0.74896763427979718</v>
      </c>
    </row>
    <row r="7311" spans="25:26" x14ac:dyDescent="0.25">
      <c r="Y7311" s="63">
        <v>49844</v>
      </c>
      <c r="Z7311" s="61">
        <f>_xll.qlYieldTSDiscount($U$35,Y7311,,Trigger)</f>
        <v>0.74892850625925933</v>
      </c>
    </row>
    <row r="7312" spans="25:26" x14ac:dyDescent="0.25">
      <c r="Y7312" s="63">
        <v>49845</v>
      </c>
      <c r="Z7312" s="61">
        <f>_xll.qlYieldTSDiscount($U$35,Y7312,,Trigger)</f>
        <v>0.74888937313436554</v>
      </c>
    </row>
    <row r="7313" spans="25:26" x14ac:dyDescent="0.25">
      <c r="Y7313" s="63">
        <v>49846</v>
      </c>
      <c r="Z7313" s="61">
        <f>_xll.qlYieldTSDiscount($U$35,Y7313,,Trigger)</f>
        <v>0.74885023490272262</v>
      </c>
    </row>
    <row r="7314" spans="25:26" x14ac:dyDescent="0.25">
      <c r="Y7314" s="63">
        <v>49847</v>
      </c>
      <c r="Z7314" s="61">
        <f>_xll.qlYieldTSDiscount($U$35,Y7314,,Trigger)</f>
        <v>0.7488110915619367</v>
      </c>
    </row>
    <row r="7315" spans="25:26" x14ac:dyDescent="0.25">
      <c r="Y7315" s="63">
        <v>49848</v>
      </c>
      <c r="Z7315" s="61">
        <f>_xll.qlYieldTSDiscount($U$35,Y7315,,Trigger)</f>
        <v>0.74877194310961448</v>
      </c>
    </row>
    <row r="7316" spans="25:26" x14ac:dyDescent="0.25">
      <c r="Y7316" s="63">
        <v>49849</v>
      </c>
      <c r="Z7316" s="61">
        <f>_xll.qlYieldTSDiscount($U$35,Y7316,,Trigger)</f>
        <v>0.74873278954336231</v>
      </c>
    </row>
    <row r="7317" spans="25:26" x14ac:dyDescent="0.25">
      <c r="Y7317" s="63">
        <v>49850</v>
      </c>
      <c r="Z7317" s="61">
        <f>_xll.qlYieldTSDiscount($U$35,Y7317,,Trigger)</f>
        <v>0.74869363086078689</v>
      </c>
    </row>
    <row r="7318" spans="25:26" x14ac:dyDescent="0.25">
      <c r="Y7318" s="63">
        <v>49851</v>
      </c>
      <c r="Z7318" s="61">
        <f>_xll.qlYieldTSDiscount($U$35,Y7318,,Trigger)</f>
        <v>0.74865446705949434</v>
      </c>
    </row>
    <row r="7319" spans="25:26" x14ac:dyDescent="0.25">
      <c r="Y7319" s="63">
        <v>49852</v>
      </c>
      <c r="Z7319" s="61">
        <f>_xll.qlYieldTSDiscount($U$35,Y7319,,Trigger)</f>
        <v>0.7486152981370916</v>
      </c>
    </row>
    <row r="7320" spans="25:26" x14ac:dyDescent="0.25">
      <c r="Y7320" s="63">
        <v>49853</v>
      </c>
      <c r="Z7320" s="61">
        <f>_xll.qlYieldTSDiscount($U$35,Y7320,,Trigger)</f>
        <v>0.74857612409118479</v>
      </c>
    </row>
    <row r="7321" spans="25:26" x14ac:dyDescent="0.25">
      <c r="Y7321" s="63">
        <v>49854</v>
      </c>
      <c r="Z7321" s="61">
        <f>_xll.qlYieldTSDiscount($U$35,Y7321,,Trigger)</f>
        <v>0.74853694491938039</v>
      </c>
    </row>
    <row r="7322" spans="25:26" x14ac:dyDescent="0.25">
      <c r="Y7322" s="63">
        <v>49855</v>
      </c>
      <c r="Z7322" s="61">
        <f>_xll.qlYieldTSDiscount($U$35,Y7322,,Trigger)</f>
        <v>0.74849776061928519</v>
      </c>
    </row>
    <row r="7323" spans="25:26" x14ac:dyDescent="0.25">
      <c r="Y7323" s="63">
        <v>49856</v>
      </c>
      <c r="Z7323" s="61">
        <f>_xll.qlYieldTSDiscount($U$35,Y7323,,Trigger)</f>
        <v>0.74845857118850534</v>
      </c>
    </row>
    <row r="7324" spans="25:26" x14ac:dyDescent="0.25">
      <c r="Y7324" s="63">
        <v>49857</v>
      </c>
      <c r="Z7324" s="61">
        <f>_xll.qlYieldTSDiscount($U$35,Y7324,,Trigger)</f>
        <v>0.74841937662464753</v>
      </c>
    </row>
    <row r="7325" spans="25:26" x14ac:dyDescent="0.25">
      <c r="Y7325" s="63">
        <v>49858</v>
      </c>
      <c r="Z7325" s="61">
        <f>_xll.qlYieldTSDiscount($U$35,Y7325,,Trigger)</f>
        <v>0.74838017692531822</v>
      </c>
    </row>
    <row r="7326" spans="25:26" x14ac:dyDescent="0.25">
      <c r="Y7326" s="63">
        <v>49859</v>
      </c>
      <c r="Z7326" s="61">
        <f>_xll.qlYieldTSDiscount($U$35,Y7326,,Trigger)</f>
        <v>0.74834097208812367</v>
      </c>
    </row>
    <row r="7327" spans="25:26" x14ac:dyDescent="0.25">
      <c r="Y7327" s="63">
        <v>49860</v>
      </c>
      <c r="Z7327" s="61">
        <f>_xll.qlYieldTSDiscount($U$35,Y7327,,Trigger)</f>
        <v>0.74830176211067068</v>
      </c>
    </row>
    <row r="7328" spans="25:26" x14ac:dyDescent="0.25">
      <c r="Y7328" s="63">
        <v>49861</v>
      </c>
      <c r="Z7328" s="61">
        <f>_xll.qlYieldTSDiscount($U$35,Y7328,,Trigger)</f>
        <v>0.74826254699056549</v>
      </c>
    </row>
    <row r="7329" spans="25:26" x14ac:dyDescent="0.25">
      <c r="Y7329" s="63">
        <v>49862</v>
      </c>
      <c r="Z7329" s="61">
        <f>_xll.qlYieldTSDiscount($U$35,Y7329,,Trigger)</f>
        <v>0.74822332672541469</v>
      </c>
    </row>
    <row r="7330" spans="25:26" x14ac:dyDescent="0.25">
      <c r="Y7330" s="63">
        <v>49863</v>
      </c>
      <c r="Z7330" s="61">
        <f>_xll.qlYieldTSDiscount($U$35,Y7330,,Trigger)</f>
        <v>0.74818410131282476</v>
      </c>
    </row>
    <row r="7331" spans="25:26" x14ac:dyDescent="0.25">
      <c r="Y7331" s="63">
        <v>49864</v>
      </c>
      <c r="Z7331" s="61">
        <f>_xll.qlYieldTSDiscount($U$35,Y7331,,Trigger)</f>
        <v>0.74814487075040215</v>
      </c>
    </row>
    <row r="7332" spans="25:26" x14ac:dyDescent="0.25">
      <c r="Y7332" s="63">
        <v>49865</v>
      </c>
      <c r="Z7332" s="61">
        <f>_xll.qlYieldTSDiscount($U$35,Y7332,,Trigger)</f>
        <v>0.74810563503575334</v>
      </c>
    </row>
    <row r="7333" spans="25:26" x14ac:dyDescent="0.25">
      <c r="Y7333" s="63">
        <v>49866</v>
      </c>
      <c r="Z7333" s="61">
        <f>_xll.qlYieldTSDiscount($U$35,Y7333,,Trigger)</f>
        <v>0.7480663941664849</v>
      </c>
    </row>
    <row r="7334" spans="25:26" x14ac:dyDescent="0.25">
      <c r="Y7334" s="63">
        <v>49867</v>
      </c>
      <c r="Z7334" s="61">
        <f>_xll.qlYieldTSDiscount($U$35,Y7334,,Trigger)</f>
        <v>0.7480271481402031</v>
      </c>
    </row>
    <row r="7335" spans="25:26" x14ac:dyDescent="0.25">
      <c r="Y7335" s="63">
        <v>49868</v>
      </c>
      <c r="Z7335" s="61">
        <f>_xll.qlYieldTSDiscount($U$35,Y7335,,Trigger)</f>
        <v>0.74798789695451462</v>
      </c>
    </row>
    <row r="7336" spans="25:26" x14ac:dyDescent="0.25">
      <c r="Y7336" s="63">
        <v>49869</v>
      </c>
      <c r="Z7336" s="61">
        <f>_xll.qlYieldTSDiscount($U$35,Y7336,,Trigger)</f>
        <v>0.74794864060702593</v>
      </c>
    </row>
    <row r="7337" spans="25:26" x14ac:dyDescent="0.25">
      <c r="Y7337" s="63">
        <v>49870</v>
      </c>
      <c r="Z7337" s="61">
        <f>_xll.qlYieldTSDiscount($U$35,Y7337,,Trigger)</f>
        <v>0.74790937909534339</v>
      </c>
    </row>
    <row r="7338" spans="25:26" x14ac:dyDescent="0.25">
      <c r="Y7338" s="63">
        <v>49871</v>
      </c>
      <c r="Z7338" s="61">
        <f>_xll.qlYieldTSDiscount($U$35,Y7338,,Trigger)</f>
        <v>0.74787011241789136</v>
      </c>
    </row>
    <row r="7339" spans="25:26" x14ac:dyDescent="0.25">
      <c r="Y7339" s="63">
        <v>49872</v>
      </c>
      <c r="Z7339" s="61">
        <f>_xll.qlYieldTSDiscount($U$35,Y7339,,Trigger)</f>
        <v>0.74783084057636562</v>
      </c>
    </row>
    <row r="7340" spans="25:26" x14ac:dyDescent="0.25">
      <c r="Y7340" s="63">
        <v>49873</v>
      </c>
      <c r="Z7340" s="61">
        <f>_xll.qlYieldTSDiscount($U$35,Y7340,,Trigger)</f>
        <v>0.74779156357327969</v>
      </c>
    </row>
    <row r="7341" spans="25:26" x14ac:dyDescent="0.25">
      <c r="Y7341" s="63">
        <v>49874</v>
      </c>
      <c r="Z7341" s="61">
        <f>_xll.qlYieldTSDiscount($U$35,Y7341,,Trigger)</f>
        <v>0.74775228141114713</v>
      </c>
    </row>
    <row r="7342" spans="25:26" x14ac:dyDescent="0.25">
      <c r="Y7342" s="63">
        <v>49875</v>
      </c>
      <c r="Z7342" s="61">
        <f>_xll.qlYieldTSDiscount($U$35,Y7342,,Trigger)</f>
        <v>0.74771299409248138</v>
      </c>
    </row>
    <row r="7343" spans="25:26" x14ac:dyDescent="0.25">
      <c r="Y7343" s="63">
        <v>49876</v>
      </c>
      <c r="Z7343" s="61">
        <f>_xll.qlYieldTSDiscount($U$35,Y7343,,Trigger)</f>
        <v>0.74767370161979618</v>
      </c>
    </row>
    <row r="7344" spans="25:26" x14ac:dyDescent="0.25">
      <c r="Y7344" s="63">
        <v>49877</v>
      </c>
      <c r="Z7344" s="61">
        <f>_xll.qlYieldTSDiscount($U$35,Y7344,,Trigger)</f>
        <v>0.74763440399560499</v>
      </c>
    </row>
    <row r="7345" spans="25:26" x14ac:dyDescent="0.25">
      <c r="Y7345" s="63">
        <v>49878</v>
      </c>
      <c r="Z7345" s="61">
        <f>_xll.qlYieldTSDiscount($U$35,Y7345,,Trigger)</f>
        <v>0.74759510122242123</v>
      </c>
    </row>
    <row r="7346" spans="25:26" x14ac:dyDescent="0.25">
      <c r="Y7346" s="63">
        <v>49879</v>
      </c>
      <c r="Z7346" s="61">
        <f>_xll.qlYieldTSDiscount($U$35,Y7346,,Trigger)</f>
        <v>0.74755579330275868</v>
      </c>
    </row>
    <row r="7347" spans="25:26" x14ac:dyDescent="0.25">
      <c r="Y7347" s="63">
        <v>49880</v>
      </c>
      <c r="Z7347" s="61">
        <f>_xll.qlYieldTSDiscount($U$35,Y7347,,Trigger)</f>
        <v>0.74751648023913075</v>
      </c>
    </row>
    <row r="7348" spans="25:26" x14ac:dyDescent="0.25">
      <c r="Y7348" s="63">
        <v>49881</v>
      </c>
      <c r="Z7348" s="61">
        <f>_xll.qlYieldTSDiscount($U$35,Y7348,,Trigger)</f>
        <v>0.74747716203405101</v>
      </c>
    </row>
    <row r="7349" spans="25:26" x14ac:dyDescent="0.25">
      <c r="Y7349" s="63">
        <v>49882</v>
      </c>
      <c r="Z7349" s="61">
        <f>_xll.qlYieldTSDiscount($U$35,Y7349,,Trigger)</f>
        <v>0.74743783869003311</v>
      </c>
    </row>
    <row r="7350" spans="25:26" x14ac:dyDescent="0.25">
      <c r="Y7350" s="63">
        <v>49883</v>
      </c>
      <c r="Z7350" s="61">
        <f>_xll.qlYieldTSDiscount($U$35,Y7350,,Trigger)</f>
        <v>0.74739851020959047</v>
      </c>
    </row>
    <row r="7351" spans="25:26" x14ac:dyDescent="0.25">
      <c r="Y7351" s="63">
        <v>49884</v>
      </c>
      <c r="Z7351" s="61">
        <f>_xll.qlYieldTSDiscount($U$35,Y7351,,Trigger)</f>
        <v>0.74735917659523665</v>
      </c>
    </row>
    <row r="7352" spans="25:26" x14ac:dyDescent="0.25">
      <c r="Y7352" s="63">
        <v>49885</v>
      </c>
      <c r="Z7352" s="61">
        <f>_xll.qlYieldTSDiscount($U$35,Y7352,,Trigger)</f>
        <v>0.7473198378494853</v>
      </c>
    </row>
    <row r="7353" spans="25:26" x14ac:dyDescent="0.25">
      <c r="Y7353" s="63">
        <v>49886</v>
      </c>
      <c r="Z7353" s="61">
        <f>_xll.qlYieldTSDiscount($U$35,Y7353,,Trigger)</f>
        <v>0.74728049397484986</v>
      </c>
    </row>
    <row r="7354" spans="25:26" x14ac:dyDescent="0.25">
      <c r="Y7354" s="63">
        <v>49887</v>
      </c>
      <c r="Z7354" s="61">
        <f>_xll.qlYieldTSDiscount($U$35,Y7354,,Trigger)</f>
        <v>0.74724114497384397</v>
      </c>
    </row>
    <row r="7355" spans="25:26" x14ac:dyDescent="0.25">
      <c r="Y7355" s="63">
        <v>49888</v>
      </c>
      <c r="Z7355" s="61">
        <f>_xll.qlYieldTSDiscount($U$35,Y7355,,Trigger)</f>
        <v>0.74720179084898108</v>
      </c>
    </row>
    <row r="7356" spans="25:26" x14ac:dyDescent="0.25">
      <c r="Y7356" s="63">
        <v>49889</v>
      </c>
      <c r="Z7356" s="61">
        <f>_xll.qlYieldTSDiscount($U$35,Y7356,,Trigger)</f>
        <v>0.74716243160277496</v>
      </c>
    </row>
    <row r="7357" spans="25:26" x14ac:dyDescent="0.25">
      <c r="Y7357" s="63">
        <v>49890</v>
      </c>
      <c r="Z7357" s="61">
        <f>_xll.qlYieldTSDiscount($U$35,Y7357,,Trigger)</f>
        <v>0.74712306723773891</v>
      </c>
    </row>
    <row r="7358" spans="25:26" x14ac:dyDescent="0.25">
      <c r="Y7358" s="63">
        <v>49891</v>
      </c>
      <c r="Z7358" s="61">
        <f>_xll.qlYieldTSDiscount($U$35,Y7358,,Trigger)</f>
        <v>0.74708369775638661</v>
      </c>
    </row>
    <row r="7359" spans="25:26" x14ac:dyDescent="0.25">
      <c r="Y7359" s="63">
        <v>49892</v>
      </c>
      <c r="Z7359" s="61">
        <f>_xll.qlYieldTSDiscount($U$35,Y7359,,Trigger)</f>
        <v>0.74704432316123159</v>
      </c>
    </row>
    <row r="7360" spans="25:26" x14ac:dyDescent="0.25">
      <c r="Y7360" s="63">
        <v>49893</v>
      </c>
      <c r="Z7360" s="61">
        <f>_xll.qlYieldTSDiscount($U$35,Y7360,,Trigger)</f>
        <v>0.74700494345478741</v>
      </c>
    </row>
    <row r="7361" spans="25:26" x14ac:dyDescent="0.25">
      <c r="Y7361" s="63">
        <v>49894</v>
      </c>
      <c r="Z7361" s="61">
        <f>_xll.qlYieldTSDiscount($U$35,Y7361,,Trigger)</f>
        <v>0.74696555863956748</v>
      </c>
    </row>
    <row r="7362" spans="25:26" x14ac:dyDescent="0.25">
      <c r="Y7362" s="63">
        <v>49895</v>
      </c>
      <c r="Z7362" s="61">
        <f>_xll.qlYieldTSDiscount($U$35,Y7362,,Trigger)</f>
        <v>0.74692616871808559</v>
      </c>
    </row>
    <row r="7363" spans="25:26" x14ac:dyDescent="0.25">
      <c r="Y7363" s="63">
        <v>49896</v>
      </c>
      <c r="Z7363" s="61">
        <f>_xll.qlYieldTSDiscount($U$35,Y7363,,Trigger)</f>
        <v>0.74688677369285517</v>
      </c>
    </row>
    <row r="7364" spans="25:26" x14ac:dyDescent="0.25">
      <c r="Y7364" s="63">
        <v>49897</v>
      </c>
      <c r="Z7364" s="61">
        <f>_xll.qlYieldTSDiscount($U$35,Y7364,,Trigger)</f>
        <v>0.74684737356638975</v>
      </c>
    </row>
    <row r="7365" spans="25:26" x14ac:dyDescent="0.25">
      <c r="Y7365" s="63">
        <v>49898</v>
      </c>
      <c r="Z7365" s="61">
        <f>_xll.qlYieldTSDiscount($U$35,Y7365,,Trigger)</f>
        <v>0.74680796834120289</v>
      </c>
    </row>
    <row r="7366" spans="25:26" x14ac:dyDescent="0.25">
      <c r="Y7366" s="63">
        <v>49899</v>
      </c>
      <c r="Z7366" s="61">
        <f>_xll.qlYieldTSDiscount($U$35,Y7366,,Trigger)</f>
        <v>0.74676855801980813</v>
      </c>
    </row>
    <row r="7367" spans="25:26" x14ac:dyDescent="0.25">
      <c r="Y7367" s="63">
        <v>49900</v>
      </c>
      <c r="Z7367" s="61">
        <f>_xll.qlYieldTSDiscount($U$35,Y7367,,Trigger)</f>
        <v>0.74672914260471912</v>
      </c>
    </row>
    <row r="7368" spans="25:26" x14ac:dyDescent="0.25">
      <c r="Y7368" s="63">
        <v>49901</v>
      </c>
      <c r="Z7368" s="61">
        <f>_xll.qlYieldTSDiscount($U$35,Y7368,,Trigger)</f>
        <v>0.7466897220984493</v>
      </c>
    </row>
    <row r="7369" spans="25:26" x14ac:dyDescent="0.25">
      <c r="Y7369" s="63">
        <v>49902</v>
      </c>
      <c r="Z7369" s="61">
        <f>_xll.qlYieldTSDiscount($U$35,Y7369,,Trigger)</f>
        <v>0.74665029650351233</v>
      </c>
    </row>
    <row r="7370" spans="25:26" x14ac:dyDescent="0.25">
      <c r="Y7370" s="63">
        <v>49903</v>
      </c>
      <c r="Z7370" s="61">
        <f>_xll.qlYieldTSDiscount($U$35,Y7370,,Trigger)</f>
        <v>0.74661086582242175</v>
      </c>
    </row>
    <row r="7371" spans="25:26" x14ac:dyDescent="0.25">
      <c r="Y7371" s="63">
        <v>49904</v>
      </c>
      <c r="Z7371" s="61">
        <f>_xll.qlYieldTSDiscount($U$35,Y7371,,Trigger)</f>
        <v>0.74657143005769089</v>
      </c>
    </row>
    <row r="7372" spans="25:26" x14ac:dyDescent="0.25">
      <c r="Y7372" s="63">
        <v>49905</v>
      </c>
      <c r="Z7372" s="61">
        <f>_xll.qlYieldTSDiscount($U$35,Y7372,,Trigger)</f>
        <v>0.74653198921183361</v>
      </c>
    </row>
    <row r="7373" spans="25:26" x14ac:dyDescent="0.25">
      <c r="Y7373" s="63">
        <v>49906</v>
      </c>
      <c r="Z7373" s="61">
        <f>_xll.qlYieldTSDiscount($U$35,Y7373,,Trigger)</f>
        <v>0.74649254328736325</v>
      </c>
    </row>
    <row r="7374" spans="25:26" x14ac:dyDescent="0.25">
      <c r="Y7374" s="63">
        <v>49907</v>
      </c>
      <c r="Z7374" s="61">
        <f>_xll.qlYieldTSDiscount($U$35,Y7374,,Trigger)</f>
        <v>0.74645309228679346</v>
      </c>
    </row>
    <row r="7375" spans="25:26" x14ac:dyDescent="0.25">
      <c r="Y7375" s="63">
        <v>49908</v>
      </c>
      <c r="Z7375" s="61">
        <f>_xll.qlYieldTSDiscount($U$35,Y7375,,Trigger)</f>
        <v>0.74641363621263779</v>
      </c>
    </row>
    <row r="7376" spans="25:26" x14ac:dyDescent="0.25">
      <c r="Y7376" s="63">
        <v>49909</v>
      </c>
      <c r="Z7376" s="61">
        <f>_xll.qlYieldTSDiscount($U$35,Y7376,,Trigger)</f>
        <v>0.74637417506740966</v>
      </c>
    </row>
    <row r="7377" spans="25:26" x14ac:dyDescent="0.25">
      <c r="Y7377" s="63">
        <v>49910</v>
      </c>
      <c r="Z7377" s="61">
        <f>_xll.qlYieldTSDiscount($U$35,Y7377,,Trigger)</f>
        <v>0.74633470885362274</v>
      </c>
    </row>
    <row r="7378" spans="25:26" x14ac:dyDescent="0.25">
      <c r="Y7378" s="63">
        <v>49911</v>
      </c>
      <c r="Z7378" s="61">
        <f>_xll.qlYieldTSDiscount($U$35,Y7378,,Trigger)</f>
        <v>0.74629523757379068</v>
      </c>
    </row>
    <row r="7379" spans="25:26" x14ac:dyDescent="0.25">
      <c r="Y7379" s="63">
        <v>49912</v>
      </c>
      <c r="Z7379" s="61">
        <f>_xll.qlYieldTSDiscount($U$35,Y7379,,Trigger)</f>
        <v>0.74625576123042681</v>
      </c>
    </row>
    <row r="7380" spans="25:26" x14ac:dyDescent="0.25">
      <c r="Y7380" s="63">
        <v>49913</v>
      </c>
      <c r="Z7380" s="61">
        <f>_xll.qlYieldTSDiscount($U$35,Y7380,,Trigger)</f>
        <v>0.74621627982604488</v>
      </c>
    </row>
    <row r="7381" spans="25:26" x14ac:dyDescent="0.25">
      <c r="Y7381" s="63">
        <v>49914</v>
      </c>
      <c r="Z7381" s="61">
        <f>_xll.qlYieldTSDiscount($U$35,Y7381,,Trigger)</f>
        <v>0.74617679336315823</v>
      </c>
    </row>
    <row r="7382" spans="25:26" x14ac:dyDescent="0.25">
      <c r="Y7382" s="63">
        <v>49915</v>
      </c>
      <c r="Z7382" s="61">
        <f>_xll.qlYieldTSDiscount($U$35,Y7382,,Trigger)</f>
        <v>0.74613730184428062</v>
      </c>
    </row>
    <row r="7383" spans="25:26" x14ac:dyDescent="0.25">
      <c r="Y7383" s="63">
        <v>49916</v>
      </c>
      <c r="Z7383" s="61">
        <f>_xll.qlYieldTSDiscount($U$35,Y7383,,Trigger)</f>
        <v>0.74609780527192548</v>
      </c>
    </row>
    <row r="7384" spans="25:26" x14ac:dyDescent="0.25">
      <c r="Y7384" s="63">
        <v>49917</v>
      </c>
      <c r="Z7384" s="61">
        <f>_xll.qlYieldTSDiscount($U$35,Y7384,,Trigger)</f>
        <v>0.74605830364860637</v>
      </c>
    </row>
    <row r="7385" spans="25:26" x14ac:dyDescent="0.25">
      <c r="Y7385" s="63">
        <v>49918</v>
      </c>
      <c r="Z7385" s="61">
        <f>_xll.qlYieldTSDiscount($U$35,Y7385,,Trigger)</f>
        <v>0.74601879697683693</v>
      </c>
    </row>
    <row r="7386" spans="25:26" x14ac:dyDescent="0.25">
      <c r="Y7386" s="63">
        <v>49919</v>
      </c>
      <c r="Z7386" s="61">
        <f>_xll.qlYieldTSDiscount($U$35,Y7386,,Trigger)</f>
        <v>0.74597928525913071</v>
      </c>
    </row>
    <row r="7387" spans="25:26" x14ac:dyDescent="0.25">
      <c r="Y7387" s="63">
        <v>49920</v>
      </c>
      <c r="Z7387" s="61">
        <f>_xll.qlYieldTSDiscount($U$35,Y7387,,Trigger)</f>
        <v>0.74593976849800103</v>
      </c>
    </row>
    <row r="7388" spans="25:26" x14ac:dyDescent="0.25">
      <c r="Y7388" s="63">
        <v>49921</v>
      </c>
      <c r="Z7388" s="61">
        <f>_xll.qlYieldTSDiscount($U$35,Y7388,,Trigger)</f>
        <v>0.74590024669596167</v>
      </c>
    </row>
    <row r="7389" spans="25:26" x14ac:dyDescent="0.25">
      <c r="Y7389" s="63">
        <v>49922</v>
      </c>
      <c r="Z7389" s="61">
        <f>_xll.qlYieldTSDiscount($U$35,Y7389,,Trigger)</f>
        <v>0.74586071985552616</v>
      </c>
    </row>
    <row r="7390" spans="25:26" x14ac:dyDescent="0.25">
      <c r="Y7390" s="63">
        <v>49923</v>
      </c>
      <c r="Z7390" s="61">
        <f>_xll.qlYieldTSDiscount($U$35,Y7390,,Trigger)</f>
        <v>0.74582118797920793</v>
      </c>
    </row>
    <row r="7391" spans="25:26" x14ac:dyDescent="0.25">
      <c r="Y7391" s="63">
        <v>49924</v>
      </c>
      <c r="Z7391" s="61">
        <f>_xll.qlYieldTSDiscount($U$35,Y7391,,Trigger)</f>
        <v>0.74578165106952077</v>
      </c>
    </row>
    <row r="7392" spans="25:26" x14ac:dyDescent="0.25">
      <c r="Y7392" s="63">
        <v>49925</v>
      </c>
      <c r="Z7392" s="61">
        <f>_xll.qlYieldTSDiscount($U$35,Y7392,,Trigger)</f>
        <v>0.74574210912897787</v>
      </c>
    </row>
    <row r="7393" spans="25:26" x14ac:dyDescent="0.25">
      <c r="Y7393" s="63">
        <v>49926</v>
      </c>
      <c r="Z7393" s="61">
        <f>_xll.qlYieldTSDiscount($U$35,Y7393,,Trigger)</f>
        <v>0.74570256216009312</v>
      </c>
    </row>
    <row r="7394" spans="25:26" x14ac:dyDescent="0.25">
      <c r="Y7394" s="63">
        <v>49927</v>
      </c>
      <c r="Z7394" s="61">
        <f>_xll.qlYieldTSDiscount($U$35,Y7394,,Trigger)</f>
        <v>0.74566301016537995</v>
      </c>
    </row>
    <row r="7395" spans="25:26" x14ac:dyDescent="0.25">
      <c r="Y7395" s="63">
        <v>49928</v>
      </c>
      <c r="Z7395" s="61">
        <f>_xll.qlYieldTSDiscount($U$35,Y7395,,Trigger)</f>
        <v>0.74562345314735179</v>
      </c>
    </row>
    <row r="7396" spans="25:26" x14ac:dyDescent="0.25">
      <c r="Y7396" s="63">
        <v>49929</v>
      </c>
      <c r="Z7396" s="61">
        <f>_xll.qlYieldTSDiscount($U$35,Y7396,,Trigger)</f>
        <v>0.74558389110852241</v>
      </c>
    </row>
    <row r="7397" spans="25:26" x14ac:dyDescent="0.25">
      <c r="Y7397" s="63">
        <v>49930</v>
      </c>
      <c r="Z7397" s="61">
        <f>_xll.qlYieldTSDiscount($U$35,Y7397,,Trigger)</f>
        <v>0.74554432405140525</v>
      </c>
    </row>
    <row r="7398" spans="25:26" x14ac:dyDescent="0.25">
      <c r="Y7398" s="63">
        <v>49931</v>
      </c>
      <c r="Z7398" s="61">
        <f>_xll.qlYieldTSDiscount($U$35,Y7398,,Trigger)</f>
        <v>0.74550475197851374</v>
      </c>
    </row>
    <row r="7399" spans="25:26" x14ac:dyDescent="0.25">
      <c r="Y7399" s="63">
        <v>49932</v>
      </c>
      <c r="Z7399" s="61">
        <f>_xll.qlYieldTSDiscount($U$35,Y7399,,Trigger)</f>
        <v>0.74546517489236164</v>
      </c>
    </row>
    <row r="7400" spans="25:26" x14ac:dyDescent="0.25">
      <c r="Y7400" s="63">
        <v>49933</v>
      </c>
      <c r="Z7400" s="61">
        <f>_xll.qlYieldTSDiscount($U$35,Y7400,,Trigger)</f>
        <v>0.74542559279546239</v>
      </c>
    </row>
    <row r="7401" spans="25:26" x14ac:dyDescent="0.25">
      <c r="Y7401" s="63">
        <v>49934</v>
      </c>
      <c r="Z7401" s="61">
        <f>_xll.qlYieldTSDiscount($U$35,Y7401,,Trigger)</f>
        <v>0.74538600569032964</v>
      </c>
    </row>
    <row r="7402" spans="25:26" x14ac:dyDescent="0.25">
      <c r="Y7402" s="63">
        <v>49935</v>
      </c>
      <c r="Z7402" s="61">
        <f>_xll.qlYieldTSDiscount($U$35,Y7402,,Trigger)</f>
        <v>0.74534641357947684</v>
      </c>
    </row>
    <row r="7403" spans="25:26" x14ac:dyDescent="0.25">
      <c r="Y7403" s="63">
        <v>49936</v>
      </c>
      <c r="Z7403" s="61">
        <f>_xll.qlYieldTSDiscount($U$35,Y7403,,Trigger)</f>
        <v>0.74530681646541752</v>
      </c>
    </row>
    <row r="7404" spans="25:26" x14ac:dyDescent="0.25">
      <c r="Y7404" s="63">
        <v>49937</v>
      </c>
      <c r="Z7404" s="61">
        <f>_xll.qlYieldTSDiscount($U$35,Y7404,,Trigger)</f>
        <v>0.74526721435066523</v>
      </c>
    </row>
    <row r="7405" spans="25:26" x14ac:dyDescent="0.25">
      <c r="Y7405" s="63">
        <v>49938</v>
      </c>
      <c r="Z7405" s="61">
        <f>_xll.qlYieldTSDiscount($U$35,Y7405,,Trigger)</f>
        <v>0.74522760723773374</v>
      </c>
    </row>
    <row r="7406" spans="25:26" x14ac:dyDescent="0.25">
      <c r="Y7406" s="63">
        <v>49939</v>
      </c>
      <c r="Z7406" s="61">
        <f>_xll.qlYieldTSDiscount($U$35,Y7406,,Trigger)</f>
        <v>0.74518799512913625</v>
      </c>
    </row>
    <row r="7407" spans="25:26" x14ac:dyDescent="0.25">
      <c r="Y7407" s="63">
        <v>49940</v>
      </c>
      <c r="Z7407" s="61">
        <f>_xll.qlYieldTSDiscount($U$35,Y7407,,Trigger)</f>
        <v>0.74514837802738665</v>
      </c>
    </row>
    <row r="7408" spans="25:26" x14ac:dyDescent="0.25">
      <c r="Y7408" s="63">
        <v>49941</v>
      </c>
      <c r="Z7408" s="61">
        <f>_xll.qlYieldTSDiscount($U$35,Y7408,,Trigger)</f>
        <v>0.74510875593499815</v>
      </c>
    </row>
    <row r="7409" spans="25:26" x14ac:dyDescent="0.25">
      <c r="Y7409" s="63">
        <v>49942</v>
      </c>
      <c r="Z7409" s="61">
        <f>_xll.qlYieldTSDiscount($U$35,Y7409,,Trigger)</f>
        <v>0.74506912885448462</v>
      </c>
    </row>
    <row r="7410" spans="25:26" x14ac:dyDescent="0.25">
      <c r="Y7410" s="63">
        <v>49943</v>
      </c>
      <c r="Z7410" s="61">
        <f>_xll.qlYieldTSDiscount($U$35,Y7410,,Trigger)</f>
        <v>0.7450294967883595</v>
      </c>
    </row>
    <row r="7411" spans="25:26" x14ac:dyDescent="0.25">
      <c r="Y7411" s="63">
        <v>49944</v>
      </c>
      <c r="Z7411" s="61">
        <f>_xll.qlYieldTSDiscount($U$35,Y7411,,Trigger)</f>
        <v>0.74498985973913623</v>
      </c>
    </row>
    <row r="7412" spans="25:26" x14ac:dyDescent="0.25">
      <c r="Y7412" s="63">
        <v>49945</v>
      </c>
      <c r="Z7412" s="61">
        <f>_xll.qlYieldTSDiscount($U$35,Y7412,,Trigger)</f>
        <v>0.74495021770932857</v>
      </c>
    </row>
    <row r="7413" spans="25:26" x14ac:dyDescent="0.25">
      <c r="Y7413" s="63">
        <v>49946</v>
      </c>
      <c r="Z7413" s="61">
        <f>_xll.qlYieldTSDiscount($U$35,Y7413,,Trigger)</f>
        <v>0.74491057070144984</v>
      </c>
    </row>
    <row r="7414" spans="25:26" x14ac:dyDescent="0.25">
      <c r="Y7414" s="63">
        <v>49947</v>
      </c>
      <c r="Z7414" s="61">
        <f>_xll.qlYieldTSDiscount($U$35,Y7414,,Trigger)</f>
        <v>0.7448709187180137</v>
      </c>
    </row>
    <row r="7415" spans="25:26" x14ac:dyDescent="0.25">
      <c r="Y7415" s="63">
        <v>49948</v>
      </c>
      <c r="Z7415" s="61">
        <f>_xll.qlYieldTSDiscount($U$35,Y7415,,Trigger)</f>
        <v>0.7448312617615338</v>
      </c>
    </row>
    <row r="7416" spans="25:26" x14ac:dyDescent="0.25">
      <c r="Y7416" s="63">
        <v>49949</v>
      </c>
      <c r="Z7416" s="61">
        <f>_xll.qlYieldTSDiscount($U$35,Y7416,,Trigger)</f>
        <v>0.74479159983452348</v>
      </c>
    </row>
    <row r="7417" spans="25:26" x14ac:dyDescent="0.25">
      <c r="Y7417" s="63">
        <v>49950</v>
      </c>
      <c r="Z7417" s="61">
        <f>_xll.qlYieldTSDiscount($U$35,Y7417,,Trigger)</f>
        <v>0.74475193293949649</v>
      </c>
    </row>
    <row r="7418" spans="25:26" x14ac:dyDescent="0.25">
      <c r="Y7418" s="63">
        <v>49951</v>
      </c>
      <c r="Z7418" s="61">
        <f>_xll.qlYieldTSDiscount($U$35,Y7418,,Trigger)</f>
        <v>0.74471226107896626</v>
      </c>
    </row>
    <row r="7419" spans="25:26" x14ac:dyDescent="0.25">
      <c r="Y7419" s="63">
        <v>49952</v>
      </c>
      <c r="Z7419" s="61">
        <f>_xll.qlYieldTSDiscount($U$35,Y7419,,Trigger)</f>
        <v>0.74467258425544636</v>
      </c>
    </row>
    <row r="7420" spans="25:26" x14ac:dyDescent="0.25">
      <c r="Y7420" s="63">
        <v>49953</v>
      </c>
      <c r="Z7420" s="61">
        <f>_xll.qlYieldTSDiscount($U$35,Y7420,,Trigger)</f>
        <v>0.74463290247145042</v>
      </c>
    </row>
    <row r="7421" spans="25:26" x14ac:dyDescent="0.25">
      <c r="Y7421" s="63">
        <v>49954</v>
      </c>
      <c r="Z7421" s="61">
        <f>_xll.qlYieldTSDiscount($U$35,Y7421,,Trigger)</f>
        <v>0.74459321572949178</v>
      </c>
    </row>
    <row r="7422" spans="25:26" x14ac:dyDescent="0.25">
      <c r="Y7422" s="63">
        <v>49955</v>
      </c>
      <c r="Z7422" s="61">
        <f>_xll.qlYieldTSDiscount($U$35,Y7422,,Trigger)</f>
        <v>0.7445535240320843</v>
      </c>
    </row>
    <row r="7423" spans="25:26" x14ac:dyDescent="0.25">
      <c r="Y7423" s="63">
        <v>49956</v>
      </c>
      <c r="Z7423" s="61">
        <f>_xll.qlYieldTSDiscount($U$35,Y7423,,Trigger)</f>
        <v>0.74451382738174132</v>
      </c>
    </row>
    <row r="7424" spans="25:26" x14ac:dyDescent="0.25">
      <c r="Y7424" s="63">
        <v>49957</v>
      </c>
      <c r="Z7424" s="61">
        <f>_xll.qlYieldTSDiscount($U$35,Y7424,,Trigger)</f>
        <v>0.74447412578097649</v>
      </c>
    </row>
    <row r="7425" spans="25:26" x14ac:dyDescent="0.25">
      <c r="Y7425" s="63">
        <v>49958</v>
      </c>
      <c r="Z7425" s="61">
        <f>_xll.qlYieldTSDiscount($U$35,Y7425,,Trigger)</f>
        <v>0.74443441923230325</v>
      </c>
    </row>
    <row r="7426" spans="25:26" x14ac:dyDescent="0.25">
      <c r="Y7426" s="63">
        <v>49959</v>
      </c>
      <c r="Z7426" s="61">
        <f>_xll.qlYieldTSDiscount($U$35,Y7426,,Trigger)</f>
        <v>0.74439470773823535</v>
      </c>
    </row>
    <row r="7427" spans="25:26" x14ac:dyDescent="0.25">
      <c r="Y7427" s="63">
        <v>49960</v>
      </c>
      <c r="Z7427" s="61">
        <f>_xll.qlYieldTSDiscount($U$35,Y7427,,Trigger)</f>
        <v>0.74435499130128602</v>
      </c>
    </row>
    <row r="7428" spans="25:26" x14ac:dyDescent="0.25">
      <c r="Y7428" s="63">
        <v>49961</v>
      </c>
      <c r="Z7428" s="61">
        <f>_xll.qlYieldTSDiscount($U$35,Y7428,,Trigger)</f>
        <v>0.74431526992396913</v>
      </c>
    </row>
    <row r="7429" spans="25:26" x14ac:dyDescent="0.25">
      <c r="Y7429" s="63">
        <v>49962</v>
      </c>
      <c r="Z7429" s="61">
        <f>_xll.qlYieldTSDiscount($U$35,Y7429,,Trigger)</f>
        <v>0.744275543608798</v>
      </c>
    </row>
    <row r="7430" spans="25:26" x14ac:dyDescent="0.25">
      <c r="Y7430" s="63">
        <v>49963</v>
      </c>
      <c r="Z7430" s="61">
        <f>_xll.qlYieldTSDiscount($U$35,Y7430,,Trigger)</f>
        <v>0.7442358123582864</v>
      </c>
    </row>
    <row r="7431" spans="25:26" x14ac:dyDescent="0.25">
      <c r="Y7431" s="63">
        <v>49964</v>
      </c>
      <c r="Z7431" s="61">
        <f>_xll.qlYieldTSDiscount($U$35,Y7431,,Trigger)</f>
        <v>0.74419607617494776</v>
      </c>
    </row>
    <row r="7432" spans="25:26" x14ac:dyDescent="0.25">
      <c r="Y7432" s="63">
        <v>49965</v>
      </c>
      <c r="Z7432" s="61">
        <f>_xll.qlYieldTSDiscount($U$35,Y7432,,Trigger)</f>
        <v>0.74415633506129553</v>
      </c>
    </row>
    <row r="7433" spans="25:26" x14ac:dyDescent="0.25">
      <c r="Y7433" s="63">
        <v>49966</v>
      </c>
      <c r="Z7433" s="61">
        <f>_xll.qlYieldTSDiscount($U$35,Y7433,,Trigger)</f>
        <v>0.74411658901984346</v>
      </c>
    </row>
    <row r="7434" spans="25:26" x14ac:dyDescent="0.25">
      <c r="Y7434" s="63">
        <v>49967</v>
      </c>
      <c r="Z7434" s="61">
        <f>_xll.qlYieldTSDiscount($U$35,Y7434,,Trigger)</f>
        <v>0.74407683805310498</v>
      </c>
    </row>
    <row r="7435" spans="25:26" x14ac:dyDescent="0.25">
      <c r="Y7435" s="63">
        <v>49968</v>
      </c>
      <c r="Z7435" s="61">
        <f>_xll.qlYieldTSDiscount($U$35,Y7435,,Trigger)</f>
        <v>0.74403708216359354</v>
      </c>
    </row>
    <row r="7436" spans="25:26" x14ac:dyDescent="0.25">
      <c r="Y7436" s="63">
        <v>49969</v>
      </c>
      <c r="Z7436" s="61">
        <f>_xll.qlYieldTSDiscount($U$35,Y7436,,Trigger)</f>
        <v>0.74399732135382302</v>
      </c>
    </row>
    <row r="7437" spans="25:26" x14ac:dyDescent="0.25">
      <c r="Y7437" s="63">
        <v>49970</v>
      </c>
      <c r="Z7437" s="61">
        <f>_xll.qlYieldTSDiscount($U$35,Y7437,,Trigger)</f>
        <v>0.74395755562630661</v>
      </c>
    </row>
    <row r="7438" spans="25:26" x14ac:dyDescent="0.25">
      <c r="Y7438" s="63">
        <v>49971</v>
      </c>
      <c r="Z7438" s="61">
        <f>_xll.qlYieldTSDiscount($U$35,Y7438,,Trigger)</f>
        <v>0.74391778498355821</v>
      </c>
    </row>
    <row r="7439" spans="25:26" x14ac:dyDescent="0.25">
      <c r="Y7439" s="63">
        <v>49972</v>
      </c>
      <c r="Z7439" s="61">
        <f>_xll.qlYieldTSDiscount($U$35,Y7439,,Trigger)</f>
        <v>0.74387800942809101</v>
      </c>
    </row>
    <row r="7440" spans="25:26" x14ac:dyDescent="0.25">
      <c r="Y7440" s="63">
        <v>49973</v>
      </c>
      <c r="Z7440" s="61">
        <f>_xll.qlYieldTSDiscount($U$35,Y7440,,Trigger)</f>
        <v>0.7438382289624188</v>
      </c>
    </row>
    <row r="7441" spans="25:26" x14ac:dyDescent="0.25">
      <c r="Y7441" s="63">
        <v>49974</v>
      </c>
      <c r="Z7441" s="61">
        <f>_xll.qlYieldTSDiscount($U$35,Y7441,,Trigger)</f>
        <v>0.74379844358905511</v>
      </c>
    </row>
    <row r="7442" spans="25:26" x14ac:dyDescent="0.25">
      <c r="Y7442" s="63">
        <v>49975</v>
      </c>
      <c r="Z7442" s="61">
        <f>_xll.qlYieldTSDiscount($U$35,Y7442,,Trigger)</f>
        <v>0.74375865331051338</v>
      </c>
    </row>
    <row r="7443" spans="25:26" x14ac:dyDescent="0.25">
      <c r="Y7443" s="63">
        <v>49976</v>
      </c>
      <c r="Z7443" s="61">
        <f>_xll.qlYieldTSDiscount($U$35,Y7443,,Trigger)</f>
        <v>0.74371885812930727</v>
      </c>
    </row>
    <row r="7444" spans="25:26" x14ac:dyDescent="0.25">
      <c r="Y7444" s="63">
        <v>49977</v>
      </c>
      <c r="Z7444" s="61">
        <f>_xll.qlYieldTSDiscount($U$35,Y7444,,Trigger)</f>
        <v>0.74367905804795031</v>
      </c>
    </row>
    <row r="7445" spans="25:26" x14ac:dyDescent="0.25">
      <c r="Y7445" s="63">
        <v>49978</v>
      </c>
      <c r="Z7445" s="61">
        <f>_xll.qlYieldTSDiscount($U$35,Y7445,,Trigger)</f>
        <v>0.74363925306895595</v>
      </c>
    </row>
    <row r="7446" spans="25:26" x14ac:dyDescent="0.25">
      <c r="Y7446" s="63">
        <v>49979</v>
      </c>
      <c r="Z7446" s="61">
        <f>_xll.qlYieldTSDiscount($U$35,Y7446,,Trigger)</f>
        <v>0.74359944319483784</v>
      </c>
    </row>
    <row r="7447" spans="25:26" x14ac:dyDescent="0.25">
      <c r="Y7447" s="63">
        <v>49980</v>
      </c>
      <c r="Z7447" s="61">
        <f>_xll.qlYieldTSDiscount($U$35,Y7447,,Trigger)</f>
        <v>0.74355962842810963</v>
      </c>
    </row>
    <row r="7448" spans="25:26" x14ac:dyDescent="0.25">
      <c r="Y7448" s="63">
        <v>49981</v>
      </c>
      <c r="Z7448" s="61">
        <f>_xll.qlYieldTSDiscount($U$35,Y7448,,Trigger)</f>
        <v>0.74351980877128465</v>
      </c>
    </row>
    <row r="7449" spans="25:26" x14ac:dyDescent="0.25">
      <c r="Y7449" s="63">
        <v>49982</v>
      </c>
      <c r="Z7449" s="61">
        <f>_xll.qlYieldTSDiscount($U$35,Y7449,,Trigger)</f>
        <v>0.74347998422687656</v>
      </c>
    </row>
    <row r="7450" spans="25:26" x14ac:dyDescent="0.25">
      <c r="Y7450" s="63">
        <v>49983</v>
      </c>
      <c r="Z7450" s="61">
        <f>_xll.qlYieldTSDiscount($U$35,Y7450,,Trigger)</f>
        <v>0.743440154797399</v>
      </c>
    </row>
    <row r="7451" spans="25:26" x14ac:dyDescent="0.25">
      <c r="Y7451" s="63">
        <v>49984</v>
      </c>
      <c r="Z7451" s="61">
        <f>_xll.qlYieldTSDiscount($U$35,Y7451,,Trigger)</f>
        <v>0.74340032048536531</v>
      </c>
    </row>
    <row r="7452" spans="25:26" x14ac:dyDescent="0.25">
      <c r="Y7452" s="63">
        <v>49985</v>
      </c>
      <c r="Z7452" s="61">
        <f>_xll.qlYieldTSDiscount($U$35,Y7452,,Trigger)</f>
        <v>0.74336048129328924</v>
      </c>
    </row>
    <row r="7453" spans="25:26" x14ac:dyDescent="0.25">
      <c r="Y7453" s="63">
        <v>49986</v>
      </c>
      <c r="Z7453" s="61">
        <f>_xll.qlYieldTSDiscount($U$35,Y7453,,Trigger)</f>
        <v>0.74332063722368413</v>
      </c>
    </row>
    <row r="7454" spans="25:26" x14ac:dyDescent="0.25">
      <c r="Y7454" s="63">
        <v>49987</v>
      </c>
      <c r="Z7454" s="61">
        <f>_xll.qlYieldTSDiscount($U$35,Y7454,,Trigger)</f>
        <v>0.74328078827906385</v>
      </c>
    </row>
    <row r="7455" spans="25:26" x14ac:dyDescent="0.25">
      <c r="Y7455" s="63">
        <v>49988</v>
      </c>
      <c r="Z7455" s="61">
        <f>_xll.qlYieldTSDiscount($U$35,Y7455,,Trigger)</f>
        <v>0.74324093446194173</v>
      </c>
    </row>
    <row r="7456" spans="25:26" x14ac:dyDescent="0.25">
      <c r="Y7456" s="63">
        <v>49989</v>
      </c>
      <c r="Z7456" s="61">
        <f>_xll.qlYieldTSDiscount($U$35,Y7456,,Trigger)</f>
        <v>0.74320107577483119</v>
      </c>
    </row>
    <row r="7457" spans="25:26" x14ac:dyDescent="0.25">
      <c r="Y7457" s="63">
        <v>49990</v>
      </c>
      <c r="Z7457" s="61">
        <f>_xll.qlYieldTSDiscount($U$35,Y7457,,Trigger)</f>
        <v>0.74316121222024611</v>
      </c>
    </row>
    <row r="7458" spans="25:26" x14ac:dyDescent="0.25">
      <c r="Y7458" s="63">
        <v>49991</v>
      </c>
      <c r="Z7458" s="61">
        <f>_xll.qlYieldTSDiscount($U$35,Y7458,,Trigger)</f>
        <v>0.74312134380069983</v>
      </c>
    </row>
    <row r="7459" spans="25:26" x14ac:dyDescent="0.25">
      <c r="Y7459" s="63">
        <v>49992</v>
      </c>
      <c r="Z7459" s="61">
        <f>_xll.qlYieldTSDiscount($U$35,Y7459,,Trigger)</f>
        <v>0.74308147051870599</v>
      </c>
    </row>
    <row r="7460" spans="25:26" x14ac:dyDescent="0.25">
      <c r="Y7460" s="63">
        <v>49993</v>
      </c>
      <c r="Z7460" s="61">
        <f>_xll.qlYieldTSDiscount($U$35,Y7460,,Trigger)</f>
        <v>0.74304159237677803</v>
      </c>
    </row>
    <row r="7461" spans="25:26" x14ac:dyDescent="0.25">
      <c r="Y7461" s="63">
        <v>49994</v>
      </c>
      <c r="Z7461" s="61">
        <f>_xll.qlYieldTSDiscount($U$35,Y7461,,Trigger)</f>
        <v>0.7430017093774296</v>
      </c>
    </row>
    <row r="7462" spans="25:26" x14ac:dyDescent="0.25">
      <c r="Y7462" s="63">
        <v>49995</v>
      </c>
      <c r="Z7462" s="61">
        <f>_xll.qlYieldTSDiscount($U$35,Y7462,,Trigger)</f>
        <v>0.74296182152317425</v>
      </c>
    </row>
    <row r="7463" spans="25:26" x14ac:dyDescent="0.25">
      <c r="Y7463" s="63">
        <v>49996</v>
      </c>
      <c r="Z7463" s="61">
        <f>_xll.qlYieldTSDiscount($U$35,Y7463,,Trigger)</f>
        <v>0.74292192881652552</v>
      </c>
    </row>
    <row r="7464" spans="25:26" x14ac:dyDescent="0.25">
      <c r="Y7464" s="63">
        <v>49997</v>
      </c>
      <c r="Z7464" s="61">
        <f>_xll.qlYieldTSDiscount($U$35,Y7464,,Trigger)</f>
        <v>0.74288203125999686</v>
      </c>
    </row>
    <row r="7465" spans="25:26" x14ac:dyDescent="0.25">
      <c r="Y7465" s="63">
        <v>49998</v>
      </c>
      <c r="Z7465" s="61">
        <f>_xll.qlYieldTSDiscount($U$35,Y7465,,Trigger)</f>
        <v>0.74284212885610201</v>
      </c>
    </row>
    <row r="7466" spans="25:26" x14ac:dyDescent="0.25">
      <c r="Y7466" s="63">
        <v>49999</v>
      </c>
      <c r="Z7466" s="61">
        <f>_xll.qlYieldTSDiscount($U$35,Y7466,,Trigger)</f>
        <v>0.74280222160735432</v>
      </c>
    </row>
    <row r="7467" spans="25:26" x14ac:dyDescent="0.25">
      <c r="Y7467" s="63">
        <v>50000</v>
      </c>
      <c r="Z7467" s="61">
        <f>_xll.qlYieldTSDiscount($U$35,Y7467,,Trigger)</f>
        <v>0.74276230951626743</v>
      </c>
    </row>
    <row r="7468" spans="25:26" x14ac:dyDescent="0.25">
      <c r="Y7468" s="63">
        <v>50001</v>
      </c>
      <c r="Z7468" s="61">
        <f>_xll.qlYieldTSDiscount($U$35,Y7468,,Trigger)</f>
        <v>0.742722392585355</v>
      </c>
    </row>
    <row r="7469" spans="25:26" x14ac:dyDescent="0.25">
      <c r="Y7469" s="63">
        <v>50002</v>
      </c>
      <c r="Z7469" s="61">
        <f>_xll.qlYieldTSDiscount($U$35,Y7469,,Trigger)</f>
        <v>0.74268247081713046</v>
      </c>
    </row>
    <row r="7470" spans="25:26" x14ac:dyDescent="0.25">
      <c r="Y7470" s="63">
        <v>50003</v>
      </c>
      <c r="Z7470" s="61">
        <f>_xll.qlYieldTSDiscount($U$35,Y7470,,Trigger)</f>
        <v>0.74264254421410736</v>
      </c>
    </row>
    <row r="7471" spans="25:26" x14ac:dyDescent="0.25">
      <c r="Y7471" s="63">
        <v>50004</v>
      </c>
      <c r="Z7471" s="61">
        <f>_xll.qlYieldTSDiscount($U$35,Y7471,,Trigger)</f>
        <v>0.74260261277879924</v>
      </c>
    </row>
    <row r="7472" spans="25:26" x14ac:dyDescent="0.25">
      <c r="Y7472" s="63">
        <v>50005</v>
      </c>
      <c r="Z7472" s="61">
        <f>_xll.qlYieldTSDiscount($U$35,Y7472,,Trigger)</f>
        <v>0.74256267651371977</v>
      </c>
    </row>
    <row r="7473" spans="25:26" x14ac:dyDescent="0.25">
      <c r="Y7473" s="63">
        <v>50006</v>
      </c>
      <c r="Z7473" s="61">
        <f>_xll.qlYieldTSDiscount($U$35,Y7473,,Trigger)</f>
        <v>0.74252273542138236</v>
      </c>
    </row>
    <row r="7474" spans="25:26" x14ac:dyDescent="0.25">
      <c r="Y7474" s="63">
        <v>50007</v>
      </c>
      <c r="Z7474" s="61">
        <f>_xll.qlYieldTSDiscount($U$35,Y7474,,Trigger)</f>
        <v>0.74248278950430058</v>
      </c>
    </row>
    <row r="7475" spans="25:26" x14ac:dyDescent="0.25">
      <c r="Y7475" s="63">
        <v>50008</v>
      </c>
      <c r="Z7475" s="61">
        <f>_xll.qlYieldTSDiscount($U$35,Y7475,,Trigger)</f>
        <v>0.74244283876498818</v>
      </c>
    </row>
    <row r="7476" spans="25:26" x14ac:dyDescent="0.25">
      <c r="Y7476" s="63">
        <v>50009</v>
      </c>
      <c r="Z7476" s="61">
        <f>_xll.qlYieldTSDiscount($U$35,Y7476,,Trigger)</f>
        <v>0.74240288320595837</v>
      </c>
    </row>
    <row r="7477" spans="25:26" x14ac:dyDescent="0.25">
      <c r="Y7477" s="63">
        <v>50010</v>
      </c>
      <c r="Z7477" s="61">
        <f>_xll.qlYieldTSDiscount($U$35,Y7477,,Trigger)</f>
        <v>0.74236292282972494</v>
      </c>
    </row>
    <row r="7478" spans="25:26" x14ac:dyDescent="0.25">
      <c r="Y7478" s="63">
        <v>50011</v>
      </c>
      <c r="Z7478" s="61">
        <f>_xll.qlYieldTSDiscount($U$35,Y7478,,Trigger)</f>
        <v>0.74232295763880141</v>
      </c>
    </row>
    <row r="7479" spans="25:26" x14ac:dyDescent="0.25">
      <c r="Y7479" s="63">
        <v>50012</v>
      </c>
      <c r="Z7479" s="61">
        <f>_xll.qlYieldTSDiscount($U$35,Y7479,,Trigger)</f>
        <v>0.74228298763570133</v>
      </c>
    </row>
    <row r="7480" spans="25:26" x14ac:dyDescent="0.25">
      <c r="Y7480" s="63">
        <v>50013</v>
      </c>
      <c r="Z7480" s="61">
        <f>_xll.qlYieldTSDiscount($U$35,Y7480,,Trigger)</f>
        <v>0.74224301282293814</v>
      </c>
    </row>
    <row r="7481" spans="25:26" x14ac:dyDescent="0.25">
      <c r="Y7481" s="63">
        <v>50014</v>
      </c>
      <c r="Z7481" s="61">
        <f>_xll.qlYieldTSDiscount($U$35,Y7481,,Trigger)</f>
        <v>0.74220303320302561</v>
      </c>
    </row>
    <row r="7482" spans="25:26" x14ac:dyDescent="0.25">
      <c r="Y7482" s="63">
        <v>50015</v>
      </c>
      <c r="Z7482" s="61">
        <f>_xll.qlYieldTSDiscount($U$35,Y7482,,Trigger)</f>
        <v>0.74216304877847705</v>
      </c>
    </row>
    <row r="7483" spans="25:26" x14ac:dyDescent="0.25">
      <c r="Y7483" s="63">
        <v>50016</v>
      </c>
      <c r="Z7483" s="61">
        <f>_xll.qlYieldTSDiscount($U$35,Y7483,,Trigger)</f>
        <v>0.74212305955180613</v>
      </c>
    </row>
    <row r="7484" spans="25:26" x14ac:dyDescent="0.25">
      <c r="Y7484" s="63">
        <v>50017</v>
      </c>
      <c r="Z7484" s="61">
        <f>_xll.qlYieldTSDiscount($U$35,Y7484,,Trigger)</f>
        <v>0.7420830655255265</v>
      </c>
    </row>
    <row r="7485" spans="25:26" x14ac:dyDescent="0.25">
      <c r="Y7485" s="63">
        <v>50018</v>
      </c>
      <c r="Z7485" s="61">
        <f>_xll.qlYieldTSDiscount($U$35,Y7485,,Trigger)</f>
        <v>0.74204306670215148</v>
      </c>
    </row>
    <row r="7486" spans="25:26" x14ac:dyDescent="0.25">
      <c r="Y7486" s="63">
        <v>50019</v>
      </c>
      <c r="Z7486" s="61">
        <f>_xll.qlYieldTSDiscount($U$35,Y7486,,Trigger)</f>
        <v>0.74200306308419473</v>
      </c>
    </row>
    <row r="7487" spans="25:26" x14ac:dyDescent="0.25">
      <c r="Y7487" s="63">
        <v>50020</v>
      </c>
      <c r="Z7487" s="61">
        <f>_xll.qlYieldTSDiscount($U$35,Y7487,,Trigger)</f>
        <v>0.7419630546741699</v>
      </c>
    </row>
    <row r="7488" spans="25:26" x14ac:dyDescent="0.25">
      <c r="Y7488" s="63">
        <v>50021</v>
      </c>
      <c r="Z7488" s="61">
        <f>_xll.qlYieldTSDiscount($U$35,Y7488,,Trigger)</f>
        <v>0.74192304147459043</v>
      </c>
    </row>
    <row r="7489" spans="25:26" x14ac:dyDescent="0.25">
      <c r="Y7489" s="63">
        <v>50022</v>
      </c>
      <c r="Z7489" s="61">
        <f>_xll.qlYieldTSDiscount($U$35,Y7489,,Trigger)</f>
        <v>0.74188302348796986</v>
      </c>
    </row>
    <row r="7490" spans="25:26" x14ac:dyDescent="0.25">
      <c r="Y7490" s="63">
        <v>50023</v>
      </c>
      <c r="Z7490" s="61">
        <f>_xll.qlYieldTSDiscount($U$35,Y7490,,Trigger)</f>
        <v>0.74184300071682185</v>
      </c>
    </row>
    <row r="7491" spans="25:26" x14ac:dyDescent="0.25">
      <c r="Y7491" s="63">
        <v>50024</v>
      </c>
      <c r="Z7491" s="61">
        <f>_xll.qlYieldTSDiscount($U$35,Y7491,,Trigger)</f>
        <v>0.74180297316365984</v>
      </c>
    </row>
    <row r="7492" spans="25:26" x14ac:dyDescent="0.25">
      <c r="Y7492" s="63">
        <v>50025</v>
      </c>
      <c r="Z7492" s="61">
        <f>_xll.qlYieldTSDiscount($U$35,Y7492,,Trigger)</f>
        <v>0.74176294083099747</v>
      </c>
    </row>
    <row r="7493" spans="25:26" x14ac:dyDescent="0.25">
      <c r="Y7493" s="63">
        <v>50026</v>
      </c>
      <c r="Z7493" s="61">
        <f>_xll.qlYieldTSDiscount($U$35,Y7493,,Trigger)</f>
        <v>0.74172290372134808</v>
      </c>
    </row>
    <row r="7494" spans="25:26" x14ac:dyDescent="0.25">
      <c r="Y7494" s="63">
        <v>50027</v>
      </c>
      <c r="Z7494" s="61">
        <f>_xll.qlYieldTSDiscount($U$35,Y7494,,Trigger)</f>
        <v>0.74168286183722554</v>
      </c>
    </row>
    <row r="7495" spans="25:26" x14ac:dyDescent="0.25">
      <c r="Y7495" s="63">
        <v>50028</v>
      </c>
      <c r="Z7495" s="61">
        <f>_xll.qlYieldTSDiscount($U$35,Y7495,,Trigger)</f>
        <v>0.74164281518114328</v>
      </c>
    </row>
    <row r="7496" spans="25:26" x14ac:dyDescent="0.25">
      <c r="Y7496" s="63">
        <v>50029</v>
      </c>
      <c r="Z7496" s="61">
        <f>_xll.qlYieldTSDiscount($U$35,Y7496,,Trigger)</f>
        <v>0.74160276375561474</v>
      </c>
    </row>
    <row r="7497" spans="25:26" x14ac:dyDescent="0.25">
      <c r="Y7497" s="63">
        <v>50030</v>
      </c>
      <c r="Z7497" s="61">
        <f>_xll.qlYieldTSDiscount($U$35,Y7497,,Trigger)</f>
        <v>0.74156270756315357</v>
      </c>
    </row>
    <row r="7498" spans="25:26" x14ac:dyDescent="0.25">
      <c r="Y7498" s="63">
        <v>50031</v>
      </c>
      <c r="Z7498" s="61">
        <f>_xll.qlYieldTSDiscount($U$35,Y7498,,Trigger)</f>
        <v>0.74152264660627321</v>
      </c>
    </row>
    <row r="7499" spans="25:26" x14ac:dyDescent="0.25">
      <c r="Y7499" s="63">
        <v>50032</v>
      </c>
      <c r="Z7499" s="61">
        <f>_xll.qlYieldTSDiscount($U$35,Y7499,,Trigger)</f>
        <v>0.74148258088748742</v>
      </c>
    </row>
    <row r="7500" spans="25:26" x14ac:dyDescent="0.25">
      <c r="Y7500" s="63">
        <v>50033</v>
      </c>
      <c r="Z7500" s="61">
        <f>_xll.qlYieldTSDiscount($U$35,Y7500,,Trigger)</f>
        <v>0.74144251040930953</v>
      </c>
    </row>
    <row r="7501" spans="25:26" x14ac:dyDescent="0.25">
      <c r="Y7501" s="63">
        <v>50034</v>
      </c>
      <c r="Z7501" s="61">
        <f>_xll.qlYieldTSDiscount($U$35,Y7501,,Trigger)</f>
        <v>0.7414024351742533</v>
      </c>
    </row>
    <row r="7502" spans="25:26" x14ac:dyDescent="0.25">
      <c r="Y7502" s="63">
        <v>50035</v>
      </c>
      <c r="Z7502" s="61">
        <f>_xll.qlYieldTSDiscount($U$35,Y7502,,Trigger)</f>
        <v>0.74136235518483207</v>
      </c>
    </row>
    <row r="7503" spans="25:26" x14ac:dyDescent="0.25">
      <c r="Y7503" s="63">
        <v>50036</v>
      </c>
      <c r="Z7503" s="61">
        <f>_xll.qlYieldTSDiscount($U$35,Y7503,,Trigger)</f>
        <v>0.74132227044355958</v>
      </c>
    </row>
    <row r="7504" spans="25:26" x14ac:dyDescent="0.25">
      <c r="Y7504" s="63">
        <v>50037</v>
      </c>
      <c r="Z7504" s="61">
        <f>_xll.qlYieldTSDiscount($U$35,Y7504,,Trigger)</f>
        <v>0.74128218095294929</v>
      </c>
    </row>
    <row r="7505" spans="25:26" x14ac:dyDescent="0.25">
      <c r="Y7505" s="63">
        <v>50038</v>
      </c>
      <c r="Z7505" s="61">
        <f>_xll.qlYieldTSDiscount($U$35,Y7505,,Trigger)</f>
        <v>0.74124208671551473</v>
      </c>
    </row>
    <row r="7506" spans="25:26" x14ac:dyDescent="0.25">
      <c r="Y7506" s="63">
        <v>50039</v>
      </c>
      <c r="Z7506" s="61">
        <f>_xll.qlYieldTSDiscount($U$35,Y7506,,Trigger)</f>
        <v>0.74120198773376944</v>
      </c>
    </row>
    <row r="7507" spans="25:26" x14ac:dyDescent="0.25">
      <c r="Y7507" s="63">
        <v>50040</v>
      </c>
      <c r="Z7507" s="61">
        <f>_xll.qlYieldTSDiscount($U$35,Y7507,,Trigger)</f>
        <v>0.74116188401022709</v>
      </c>
    </row>
    <row r="7508" spans="25:26" x14ac:dyDescent="0.25">
      <c r="Y7508" s="63">
        <v>50041</v>
      </c>
      <c r="Z7508" s="61">
        <f>_xll.qlYieldTSDiscount($U$35,Y7508,,Trigger)</f>
        <v>0.74112177554740111</v>
      </c>
    </row>
    <row r="7509" spans="25:26" x14ac:dyDescent="0.25">
      <c r="Y7509" s="63">
        <v>50042</v>
      </c>
      <c r="Z7509" s="61">
        <f>_xll.qlYieldTSDiscount($U$35,Y7509,,Trigger)</f>
        <v>0.74108166234780515</v>
      </c>
    </row>
    <row r="7510" spans="25:26" x14ac:dyDescent="0.25">
      <c r="Y7510" s="63">
        <v>50043</v>
      </c>
      <c r="Z7510" s="61">
        <f>_xll.qlYieldTSDiscount($U$35,Y7510,,Trigger)</f>
        <v>0.74104154441395265</v>
      </c>
    </row>
    <row r="7511" spans="25:26" x14ac:dyDescent="0.25">
      <c r="Y7511" s="63">
        <v>50044</v>
      </c>
      <c r="Z7511" s="61">
        <f>_xll.qlYieldTSDiscount($U$35,Y7511,,Trigger)</f>
        <v>0.74100142174835715</v>
      </c>
    </row>
    <row r="7512" spans="25:26" x14ac:dyDescent="0.25">
      <c r="Y7512" s="63">
        <v>50045</v>
      </c>
      <c r="Z7512" s="61">
        <f>_xll.qlYieldTSDiscount($U$35,Y7512,,Trigger)</f>
        <v>0.74096129435353242</v>
      </c>
    </row>
    <row r="7513" spans="25:26" x14ac:dyDescent="0.25">
      <c r="Y7513" s="63">
        <v>50046</v>
      </c>
      <c r="Z7513" s="61">
        <f>_xll.qlYieldTSDiscount($U$35,Y7513,,Trigger)</f>
        <v>0.74092116223199178</v>
      </c>
    </row>
    <row r="7514" spans="25:26" x14ac:dyDescent="0.25">
      <c r="Y7514" s="63">
        <v>50047</v>
      </c>
      <c r="Z7514" s="61">
        <f>_xll.qlYieldTSDiscount($U$35,Y7514,,Trigger)</f>
        <v>0.74088102538624878</v>
      </c>
    </row>
    <row r="7515" spans="25:26" x14ac:dyDescent="0.25">
      <c r="Y7515" s="63">
        <v>50048</v>
      </c>
      <c r="Z7515" s="61">
        <f>_xll.qlYieldTSDiscount($U$35,Y7515,,Trigger)</f>
        <v>0.74084088381881719</v>
      </c>
    </row>
    <row r="7516" spans="25:26" x14ac:dyDescent="0.25">
      <c r="Y7516" s="63">
        <v>50049</v>
      </c>
      <c r="Z7516" s="61">
        <f>_xll.qlYieldTSDiscount($U$35,Y7516,,Trigger)</f>
        <v>0.74080073753221043</v>
      </c>
    </row>
    <row r="7517" spans="25:26" x14ac:dyDescent="0.25">
      <c r="Y7517" s="63">
        <v>50050</v>
      </c>
      <c r="Z7517" s="61">
        <f>_xll.qlYieldTSDiscount($U$35,Y7517,,Trigger)</f>
        <v>0.74076058652894194</v>
      </c>
    </row>
    <row r="7518" spans="25:26" x14ac:dyDescent="0.25">
      <c r="Y7518" s="63">
        <v>50051</v>
      </c>
      <c r="Z7518" s="61">
        <f>_xll.qlYieldTSDiscount($U$35,Y7518,,Trigger)</f>
        <v>0.74072043081152539</v>
      </c>
    </row>
    <row r="7519" spans="25:26" x14ac:dyDescent="0.25">
      <c r="Y7519" s="63">
        <v>50052</v>
      </c>
      <c r="Z7519" s="61">
        <f>_xll.qlYieldTSDiscount($U$35,Y7519,,Trigger)</f>
        <v>0.7406802703824743</v>
      </c>
    </row>
    <row r="7520" spans="25:26" x14ac:dyDescent="0.25">
      <c r="Y7520" s="63">
        <v>50053</v>
      </c>
      <c r="Z7520" s="61">
        <f>_xll.qlYieldTSDiscount($U$35,Y7520,,Trigger)</f>
        <v>0.74064010524430235</v>
      </c>
    </row>
    <row r="7521" spans="25:26" x14ac:dyDescent="0.25">
      <c r="Y7521" s="63">
        <v>50054</v>
      </c>
      <c r="Z7521" s="61">
        <f>_xll.qlYieldTSDiscount($U$35,Y7521,,Trigger)</f>
        <v>0.74059993539952285</v>
      </c>
    </row>
    <row r="7522" spans="25:26" x14ac:dyDescent="0.25">
      <c r="Y7522" s="63">
        <v>50055</v>
      </c>
      <c r="Z7522" s="61">
        <f>_xll.qlYieldTSDiscount($U$35,Y7522,,Trigger)</f>
        <v>0.74055976085064956</v>
      </c>
    </row>
    <row r="7523" spans="25:26" x14ac:dyDescent="0.25">
      <c r="Y7523" s="63">
        <v>50056</v>
      </c>
      <c r="Z7523" s="61">
        <f>_xll.qlYieldTSDiscount($U$35,Y7523,,Trigger)</f>
        <v>0.74051958160019593</v>
      </c>
    </row>
    <row r="7524" spans="25:26" x14ac:dyDescent="0.25">
      <c r="Y7524" s="63">
        <v>50057</v>
      </c>
      <c r="Z7524" s="61">
        <f>_xll.qlYieldTSDiscount($U$35,Y7524,,Trigger)</f>
        <v>0.74047939765067561</v>
      </c>
    </row>
    <row r="7525" spans="25:26" x14ac:dyDescent="0.25">
      <c r="Y7525" s="63">
        <v>50058</v>
      </c>
      <c r="Z7525" s="61">
        <f>_xll.qlYieldTSDiscount($U$35,Y7525,,Trigger)</f>
        <v>0.74043920900460192</v>
      </c>
    </row>
    <row r="7526" spans="25:26" x14ac:dyDescent="0.25">
      <c r="Y7526" s="63">
        <v>50059</v>
      </c>
      <c r="Z7526" s="61">
        <f>_xll.qlYieldTSDiscount($U$35,Y7526,,Trigger)</f>
        <v>0.74039901566448862</v>
      </c>
    </row>
    <row r="7527" spans="25:26" x14ac:dyDescent="0.25">
      <c r="Y7527" s="63">
        <v>50060</v>
      </c>
      <c r="Z7527" s="61">
        <f>_xll.qlYieldTSDiscount($U$35,Y7527,,Trigger)</f>
        <v>0.74035881763284928</v>
      </c>
    </row>
    <row r="7528" spans="25:26" x14ac:dyDescent="0.25">
      <c r="Y7528" s="63">
        <v>50061</v>
      </c>
      <c r="Z7528" s="61">
        <f>_xll.qlYieldTSDiscount($U$35,Y7528,,Trigger)</f>
        <v>0.7403186149121973</v>
      </c>
    </row>
    <row r="7529" spans="25:26" x14ac:dyDescent="0.25">
      <c r="Y7529" s="63">
        <v>50062</v>
      </c>
      <c r="Z7529" s="61">
        <f>_xll.qlYieldTSDiscount($U$35,Y7529,,Trigger)</f>
        <v>0.74027840750504637</v>
      </c>
    </row>
    <row r="7530" spans="25:26" x14ac:dyDescent="0.25">
      <c r="Y7530" s="63">
        <v>50063</v>
      </c>
      <c r="Z7530" s="61">
        <f>_xll.qlYieldTSDiscount($U$35,Y7530,,Trigger)</f>
        <v>0.74023819541390989</v>
      </c>
    </row>
    <row r="7531" spans="25:26" x14ac:dyDescent="0.25">
      <c r="Y7531" s="63">
        <v>50064</v>
      </c>
      <c r="Z7531" s="61">
        <f>_xll.qlYieldTSDiscount($U$35,Y7531,,Trigger)</f>
        <v>0.74019797864130155</v>
      </c>
    </row>
    <row r="7532" spans="25:26" x14ac:dyDescent="0.25">
      <c r="Y7532" s="63">
        <v>50065</v>
      </c>
      <c r="Z7532" s="61">
        <f>_xll.qlYieldTSDiscount($U$35,Y7532,,Trigger)</f>
        <v>0.74015775718973498</v>
      </c>
    </row>
    <row r="7533" spans="25:26" x14ac:dyDescent="0.25">
      <c r="Y7533" s="63">
        <v>50066</v>
      </c>
      <c r="Z7533" s="61">
        <f>_xll.qlYieldTSDiscount($U$35,Y7533,,Trigger)</f>
        <v>0.7401175310617234</v>
      </c>
    </row>
    <row r="7534" spans="25:26" x14ac:dyDescent="0.25">
      <c r="Y7534" s="63">
        <v>50067</v>
      </c>
      <c r="Z7534" s="61">
        <f>_xll.qlYieldTSDiscount($U$35,Y7534,,Trigger)</f>
        <v>0.74007730025978069</v>
      </c>
    </row>
    <row r="7535" spans="25:26" x14ac:dyDescent="0.25">
      <c r="Y7535" s="63">
        <v>50068</v>
      </c>
      <c r="Z7535" s="61">
        <f>_xll.qlYieldTSDiscount($U$35,Y7535,,Trigger)</f>
        <v>0.74003706478642017</v>
      </c>
    </row>
    <row r="7536" spans="25:26" x14ac:dyDescent="0.25">
      <c r="Y7536" s="63">
        <v>50069</v>
      </c>
      <c r="Z7536" s="61">
        <f>_xll.qlYieldTSDiscount($U$35,Y7536,,Trigger)</f>
        <v>0.73999682464415562</v>
      </c>
    </row>
    <row r="7537" spans="25:26" x14ac:dyDescent="0.25">
      <c r="Y7537" s="63">
        <v>50070</v>
      </c>
      <c r="Z7537" s="61">
        <f>_xll.qlYieldTSDiscount($U$35,Y7537,,Trigger)</f>
        <v>0.73995657983550045</v>
      </c>
    </row>
    <row r="7538" spans="25:26" x14ac:dyDescent="0.25">
      <c r="Y7538" s="63">
        <v>50071</v>
      </c>
      <c r="Z7538" s="61">
        <f>_xll.qlYieldTSDiscount($U$35,Y7538,,Trigger)</f>
        <v>0.73991633036296811</v>
      </c>
    </row>
    <row r="7539" spans="25:26" x14ac:dyDescent="0.25">
      <c r="Y7539" s="63">
        <v>50072</v>
      </c>
      <c r="Z7539" s="61">
        <f>_xll.qlYieldTSDiscount($U$35,Y7539,,Trigger)</f>
        <v>0.73987607622907237</v>
      </c>
    </row>
    <row r="7540" spans="25:26" x14ac:dyDescent="0.25">
      <c r="Y7540" s="63">
        <v>50073</v>
      </c>
      <c r="Z7540" s="61">
        <f>_xll.qlYieldTSDiscount($U$35,Y7540,,Trigger)</f>
        <v>0.73983581743632676</v>
      </c>
    </row>
    <row r="7541" spans="25:26" x14ac:dyDescent="0.25">
      <c r="Y7541" s="63">
        <v>50074</v>
      </c>
      <c r="Z7541" s="61">
        <f>_xll.qlYieldTSDiscount($U$35,Y7541,,Trigger)</f>
        <v>0.73979555398724461</v>
      </c>
    </row>
    <row r="7542" spans="25:26" x14ac:dyDescent="0.25">
      <c r="Y7542" s="63">
        <v>50075</v>
      </c>
      <c r="Z7542" s="61">
        <f>_xll.qlYieldTSDiscount($U$35,Y7542,,Trigger)</f>
        <v>0.7397552858843397</v>
      </c>
    </row>
    <row r="7543" spans="25:26" x14ac:dyDescent="0.25">
      <c r="Y7543" s="63">
        <v>50076</v>
      </c>
      <c r="Z7543" s="61">
        <f>_xll.qlYieldTSDiscount($U$35,Y7543,,Trigger)</f>
        <v>0.73971501313012544</v>
      </c>
    </row>
    <row r="7544" spans="25:26" x14ac:dyDescent="0.25">
      <c r="Y7544" s="63">
        <v>50077</v>
      </c>
      <c r="Z7544" s="61">
        <f>_xll.qlYieldTSDiscount($U$35,Y7544,,Trigger)</f>
        <v>0.73967473572711551</v>
      </c>
    </row>
    <row r="7545" spans="25:26" x14ac:dyDescent="0.25">
      <c r="Y7545" s="63">
        <v>50078</v>
      </c>
      <c r="Z7545" s="61">
        <f>_xll.qlYieldTSDiscount($U$35,Y7545,,Trigger)</f>
        <v>0.73963445367782332</v>
      </c>
    </row>
    <row r="7546" spans="25:26" x14ac:dyDescent="0.25">
      <c r="Y7546" s="63">
        <v>50079</v>
      </c>
      <c r="Z7546" s="61">
        <f>_xll.qlYieldTSDiscount($U$35,Y7546,,Trigger)</f>
        <v>0.73959416698476255</v>
      </c>
    </row>
    <row r="7547" spans="25:26" x14ac:dyDescent="0.25">
      <c r="Y7547" s="63">
        <v>50080</v>
      </c>
      <c r="Z7547" s="61">
        <f>_xll.qlYieldTSDiscount($U$35,Y7547,,Trigger)</f>
        <v>0.73955387565044661</v>
      </c>
    </row>
    <row r="7548" spans="25:26" x14ac:dyDescent="0.25">
      <c r="Y7548" s="63">
        <v>50081</v>
      </c>
      <c r="Z7548" s="61">
        <f>_xll.qlYieldTSDiscount($U$35,Y7548,,Trigger)</f>
        <v>0.73951357967738918</v>
      </c>
    </row>
    <row r="7549" spans="25:26" x14ac:dyDescent="0.25">
      <c r="Y7549" s="63">
        <v>50082</v>
      </c>
      <c r="Z7549" s="61">
        <f>_xll.qlYieldTSDiscount($U$35,Y7549,,Trigger)</f>
        <v>0.73947327906810378</v>
      </c>
    </row>
    <row r="7550" spans="25:26" x14ac:dyDescent="0.25">
      <c r="Y7550" s="63">
        <v>50083</v>
      </c>
      <c r="Z7550" s="61">
        <f>_xll.qlYieldTSDiscount($U$35,Y7550,,Trigger)</f>
        <v>0.73943297382510398</v>
      </c>
    </row>
    <row r="7551" spans="25:26" x14ac:dyDescent="0.25">
      <c r="Y7551" s="63">
        <v>50084</v>
      </c>
      <c r="Z7551" s="61">
        <f>_xll.qlYieldTSDiscount($U$35,Y7551,,Trigger)</f>
        <v>0.7393926639509032</v>
      </c>
    </row>
    <row r="7552" spans="25:26" x14ac:dyDescent="0.25">
      <c r="Y7552" s="63">
        <v>50085</v>
      </c>
      <c r="Z7552" s="61">
        <f>_xll.qlYieldTSDiscount($U$35,Y7552,,Trigger)</f>
        <v>0.7393523494480152</v>
      </c>
    </row>
    <row r="7553" spans="25:26" x14ac:dyDescent="0.25">
      <c r="Y7553" s="63">
        <v>50086</v>
      </c>
      <c r="Z7553" s="61">
        <f>_xll.qlYieldTSDiscount($U$35,Y7553,,Trigger)</f>
        <v>0.73931203031895332</v>
      </c>
    </row>
    <row r="7554" spans="25:26" x14ac:dyDescent="0.25">
      <c r="Y7554" s="63">
        <v>50087</v>
      </c>
      <c r="Z7554" s="61">
        <f>_xll.qlYieldTSDiscount($U$35,Y7554,,Trigger)</f>
        <v>0.7392717065662312</v>
      </c>
    </row>
    <row r="7555" spans="25:26" x14ac:dyDescent="0.25">
      <c r="Y7555" s="63">
        <v>50088</v>
      </c>
      <c r="Z7555" s="61">
        <f>_xll.qlYieldTSDiscount($U$35,Y7555,,Trigger)</f>
        <v>0.73923137819236251</v>
      </c>
    </row>
    <row r="7556" spans="25:26" x14ac:dyDescent="0.25">
      <c r="Y7556" s="63">
        <v>50089</v>
      </c>
      <c r="Z7556" s="61">
        <f>_xll.qlYieldTSDiscount($U$35,Y7556,,Trigger)</f>
        <v>0.73919104519986056</v>
      </c>
    </row>
    <row r="7557" spans="25:26" x14ac:dyDescent="0.25">
      <c r="Y7557" s="63">
        <v>50090</v>
      </c>
      <c r="Z7557" s="61">
        <f>_xll.qlYieldTSDiscount($U$35,Y7557,,Trigger)</f>
        <v>0.73915070759123913</v>
      </c>
    </row>
    <row r="7558" spans="25:26" x14ac:dyDescent="0.25">
      <c r="Y7558" s="63">
        <v>50091</v>
      </c>
      <c r="Z7558" s="61">
        <f>_xll.qlYieldTSDiscount($U$35,Y7558,,Trigger)</f>
        <v>0.73911036536901176</v>
      </c>
    </row>
    <row r="7559" spans="25:26" x14ac:dyDescent="0.25">
      <c r="Y7559" s="63">
        <v>50092</v>
      </c>
      <c r="Z7559" s="61">
        <f>_xll.qlYieldTSDiscount($U$35,Y7559,,Trigger)</f>
        <v>0.73907001853569176</v>
      </c>
    </row>
    <row r="7560" spans="25:26" x14ac:dyDescent="0.25">
      <c r="Y7560" s="63">
        <v>50093</v>
      </c>
      <c r="Z7560" s="61">
        <f>_xll.qlYieldTSDiscount($U$35,Y7560,,Trigger)</f>
        <v>0.73902966709379292</v>
      </c>
    </row>
    <row r="7561" spans="25:26" x14ac:dyDescent="0.25">
      <c r="Y7561" s="63">
        <v>50094</v>
      </c>
      <c r="Z7561" s="61">
        <f>_xll.qlYieldTSDiscount($U$35,Y7561,,Trigger)</f>
        <v>0.73898931104582866</v>
      </c>
    </row>
    <row r="7562" spans="25:26" x14ac:dyDescent="0.25">
      <c r="Y7562" s="63">
        <v>50095</v>
      </c>
      <c r="Z7562" s="61">
        <f>_xll.qlYieldTSDiscount($U$35,Y7562,,Trigger)</f>
        <v>0.73894895039431263</v>
      </c>
    </row>
    <row r="7563" spans="25:26" x14ac:dyDescent="0.25">
      <c r="Y7563" s="63">
        <v>50096</v>
      </c>
      <c r="Z7563" s="61">
        <f>_xll.qlYieldTSDiscount($U$35,Y7563,,Trigger)</f>
        <v>0.73890858514175828</v>
      </c>
    </row>
    <row r="7564" spans="25:26" x14ac:dyDescent="0.25">
      <c r="Y7564" s="63">
        <v>50097</v>
      </c>
      <c r="Z7564" s="61">
        <f>_xll.qlYieldTSDiscount($U$35,Y7564,,Trigger)</f>
        <v>0.73886821529067925</v>
      </c>
    </row>
    <row r="7565" spans="25:26" x14ac:dyDescent="0.25">
      <c r="Y7565" s="63">
        <v>50098</v>
      </c>
      <c r="Z7565" s="61">
        <f>_xll.qlYieldTSDiscount($U$35,Y7565,,Trigger)</f>
        <v>0.7388278408435891</v>
      </c>
    </row>
    <row r="7566" spans="25:26" x14ac:dyDescent="0.25">
      <c r="Y7566" s="63">
        <v>50099</v>
      </c>
      <c r="Z7566" s="61">
        <f>_xll.qlYieldTSDiscount($U$35,Y7566,,Trigger)</f>
        <v>0.73878746180300126</v>
      </c>
    </row>
    <row r="7567" spans="25:26" x14ac:dyDescent="0.25">
      <c r="Y7567" s="63">
        <v>50100</v>
      </c>
      <c r="Z7567" s="61">
        <f>_xll.qlYieldTSDiscount($U$35,Y7567,,Trigger)</f>
        <v>0.73874707817142937</v>
      </c>
    </row>
    <row r="7568" spans="25:26" x14ac:dyDescent="0.25">
      <c r="Y7568" s="63">
        <v>50101</v>
      </c>
      <c r="Z7568" s="61">
        <f>_xll.qlYieldTSDiscount($U$35,Y7568,,Trigger)</f>
        <v>0.738706689951387</v>
      </c>
    </row>
    <row r="7569" spans="25:26" x14ac:dyDescent="0.25">
      <c r="Y7569" s="63">
        <v>50102</v>
      </c>
      <c r="Z7569" s="61">
        <f>_xll.qlYieldTSDiscount($U$35,Y7569,,Trigger)</f>
        <v>0.73866629714538767</v>
      </c>
    </row>
    <row r="7570" spans="25:26" x14ac:dyDescent="0.25">
      <c r="Y7570" s="63">
        <v>50103</v>
      </c>
      <c r="Z7570" s="61">
        <f>_xll.qlYieldTSDiscount($U$35,Y7570,,Trigger)</f>
        <v>0.73862589975594495</v>
      </c>
    </row>
    <row r="7571" spans="25:26" x14ac:dyDescent="0.25">
      <c r="Y7571" s="63">
        <v>50104</v>
      </c>
      <c r="Z7571" s="61">
        <f>_xll.qlYieldTSDiscount($U$35,Y7571,,Trigger)</f>
        <v>0.73858549778557225</v>
      </c>
    </row>
    <row r="7572" spans="25:26" x14ac:dyDescent="0.25">
      <c r="Y7572" s="63">
        <v>50105</v>
      </c>
      <c r="Z7572" s="61">
        <f>_xll.qlYieldTSDiscount($U$35,Y7572,,Trigger)</f>
        <v>0.73854509123678336</v>
      </c>
    </row>
    <row r="7573" spans="25:26" x14ac:dyDescent="0.25">
      <c r="Y7573" s="63">
        <v>50106</v>
      </c>
      <c r="Z7573" s="61">
        <f>_xll.qlYieldTSDiscount($U$35,Y7573,,Trigger)</f>
        <v>0.73850468011209169</v>
      </c>
    </row>
    <row r="7574" spans="25:26" x14ac:dyDescent="0.25">
      <c r="Y7574" s="63">
        <v>50107</v>
      </c>
      <c r="Z7574" s="61">
        <f>_xll.qlYieldTSDiscount($U$35,Y7574,,Trigger)</f>
        <v>0.73846426441401081</v>
      </c>
    </row>
    <row r="7575" spans="25:26" x14ac:dyDescent="0.25">
      <c r="Y7575" s="63">
        <v>50108</v>
      </c>
      <c r="Z7575" s="61">
        <f>_xll.qlYieldTSDiscount($U$35,Y7575,,Trigger)</f>
        <v>0.73842384414505424</v>
      </c>
    </row>
    <row r="7576" spans="25:26" x14ac:dyDescent="0.25">
      <c r="Y7576" s="63">
        <v>50109</v>
      </c>
      <c r="Z7576" s="61">
        <f>_xll.qlYieldTSDiscount($U$35,Y7576,,Trigger)</f>
        <v>0.73838341930773566</v>
      </c>
    </row>
    <row r="7577" spans="25:26" x14ac:dyDescent="0.25">
      <c r="Y7577" s="63">
        <v>50110</v>
      </c>
      <c r="Z7577" s="61">
        <f>_xll.qlYieldTSDiscount($U$35,Y7577,,Trigger)</f>
        <v>0.73834298990456848</v>
      </c>
    </row>
    <row r="7578" spans="25:26" x14ac:dyDescent="0.25">
      <c r="Y7578" s="63">
        <v>50111</v>
      </c>
      <c r="Z7578" s="61">
        <f>_xll.qlYieldTSDiscount($U$35,Y7578,,Trigger)</f>
        <v>0.73830255593806626</v>
      </c>
    </row>
    <row r="7579" spans="25:26" x14ac:dyDescent="0.25">
      <c r="Y7579" s="63">
        <v>50112</v>
      </c>
      <c r="Z7579" s="61">
        <f>_xll.qlYieldTSDiscount($U$35,Y7579,,Trigger)</f>
        <v>0.73826211741074277</v>
      </c>
    </row>
    <row r="7580" spans="25:26" x14ac:dyDescent="0.25">
      <c r="Y7580" s="63">
        <v>50113</v>
      </c>
      <c r="Z7580" s="61">
        <f>_xll.qlYieldTSDiscount($U$35,Y7580,,Trigger)</f>
        <v>0.73822167432511121</v>
      </c>
    </row>
    <row r="7581" spans="25:26" x14ac:dyDescent="0.25">
      <c r="Y7581" s="63">
        <v>50114</v>
      </c>
      <c r="Z7581" s="61">
        <f>_xll.qlYieldTSDiscount($U$35,Y7581,,Trigger)</f>
        <v>0.73818122668368535</v>
      </c>
    </row>
    <row r="7582" spans="25:26" x14ac:dyDescent="0.25">
      <c r="Y7582" s="63">
        <v>50115</v>
      </c>
      <c r="Z7582" s="61">
        <f>_xll.qlYieldTSDiscount($U$35,Y7582,,Trigger)</f>
        <v>0.73814077448897863</v>
      </c>
    </row>
    <row r="7583" spans="25:26" x14ac:dyDescent="0.25">
      <c r="Y7583" s="63">
        <v>50116</v>
      </c>
      <c r="Z7583" s="61">
        <f>_xll.qlYieldTSDiscount($U$35,Y7583,,Trigger)</f>
        <v>0.73810031774350471</v>
      </c>
    </row>
    <row r="7584" spans="25:26" x14ac:dyDescent="0.25">
      <c r="Y7584" s="63">
        <v>50117</v>
      </c>
      <c r="Z7584" s="61">
        <f>_xll.qlYieldTSDiscount($U$35,Y7584,,Trigger)</f>
        <v>0.73805985644977723</v>
      </c>
    </row>
    <row r="7585" spans="25:26" x14ac:dyDescent="0.25">
      <c r="Y7585" s="63">
        <v>50118</v>
      </c>
      <c r="Z7585" s="61">
        <f>_xll.qlYieldTSDiscount($U$35,Y7585,,Trigger)</f>
        <v>0.73801939061030952</v>
      </c>
    </row>
    <row r="7586" spans="25:26" x14ac:dyDescent="0.25">
      <c r="Y7586" s="63">
        <v>50119</v>
      </c>
      <c r="Z7586" s="61">
        <f>_xll.qlYieldTSDiscount($U$35,Y7586,,Trigger)</f>
        <v>0.73797892022761513</v>
      </c>
    </row>
    <row r="7587" spans="25:26" x14ac:dyDescent="0.25">
      <c r="Y7587" s="63">
        <v>50120</v>
      </c>
      <c r="Z7587" s="61">
        <f>_xll.qlYieldTSDiscount($U$35,Y7587,,Trigger)</f>
        <v>0.73793844530420782</v>
      </c>
    </row>
    <row r="7588" spans="25:26" x14ac:dyDescent="0.25">
      <c r="Y7588" s="63">
        <v>50121</v>
      </c>
      <c r="Z7588" s="61">
        <f>_xll.qlYieldTSDiscount($U$35,Y7588,,Trigger)</f>
        <v>0.73789796584260092</v>
      </c>
    </row>
    <row r="7589" spans="25:26" x14ac:dyDescent="0.25">
      <c r="Y7589" s="63">
        <v>50122</v>
      </c>
      <c r="Z7589" s="61">
        <f>_xll.qlYieldTSDiscount($U$35,Y7589,,Trigger)</f>
        <v>0.73785748184530819</v>
      </c>
    </row>
    <row r="7590" spans="25:26" x14ac:dyDescent="0.25">
      <c r="Y7590" s="63">
        <v>50123</v>
      </c>
      <c r="Z7590" s="61">
        <f>_xll.qlYieldTSDiscount($U$35,Y7590,,Trigger)</f>
        <v>0.73781699331484307</v>
      </c>
    </row>
    <row r="7591" spans="25:26" x14ac:dyDescent="0.25">
      <c r="Y7591" s="63">
        <v>50124</v>
      </c>
      <c r="Z7591" s="61">
        <f>_xll.qlYieldTSDiscount($U$35,Y7591,,Trigger)</f>
        <v>0.73777650025371899</v>
      </c>
    </row>
    <row r="7592" spans="25:26" x14ac:dyDescent="0.25">
      <c r="Y7592" s="63">
        <v>50125</v>
      </c>
      <c r="Z7592" s="61">
        <f>_xll.qlYieldTSDiscount($U$35,Y7592,,Trigger)</f>
        <v>0.73773600266444983</v>
      </c>
    </row>
    <row r="7593" spans="25:26" x14ac:dyDescent="0.25">
      <c r="Y7593" s="63">
        <v>50126</v>
      </c>
      <c r="Z7593" s="61">
        <f>_xll.qlYieldTSDiscount($U$35,Y7593,,Trigger)</f>
        <v>0.7376955005495488</v>
      </c>
    </row>
    <row r="7594" spans="25:26" x14ac:dyDescent="0.25">
      <c r="Y7594" s="63">
        <v>50127</v>
      </c>
      <c r="Z7594" s="61">
        <f>_xll.qlYieldTSDiscount($U$35,Y7594,,Trigger)</f>
        <v>0.73765499391152967</v>
      </c>
    </row>
    <row r="7595" spans="25:26" x14ac:dyDescent="0.25">
      <c r="Y7595" s="63">
        <v>50128</v>
      </c>
      <c r="Z7595" s="61">
        <f>_xll.qlYieldTSDiscount($U$35,Y7595,,Trigger)</f>
        <v>0.73761448275290586</v>
      </c>
    </row>
    <row r="7596" spans="25:26" x14ac:dyDescent="0.25">
      <c r="Y7596" s="63">
        <v>50129</v>
      </c>
      <c r="Z7596" s="61">
        <f>_xll.qlYieldTSDiscount($U$35,Y7596,,Trigger)</f>
        <v>0.73757396707619094</v>
      </c>
    </row>
    <row r="7597" spans="25:26" x14ac:dyDescent="0.25">
      <c r="Y7597" s="63">
        <v>50130</v>
      </c>
      <c r="Z7597" s="61">
        <f>_xll.qlYieldTSDiscount($U$35,Y7597,,Trigger)</f>
        <v>0.73753344688389855</v>
      </c>
    </row>
    <row r="7598" spans="25:26" x14ac:dyDescent="0.25">
      <c r="Y7598" s="63">
        <v>50131</v>
      </c>
      <c r="Z7598" s="61">
        <f>_xll.qlYieldTSDiscount($U$35,Y7598,,Trigger)</f>
        <v>0.73749292217854223</v>
      </c>
    </row>
    <row r="7599" spans="25:26" x14ac:dyDescent="0.25">
      <c r="Y7599" s="63">
        <v>50132</v>
      </c>
      <c r="Z7599" s="61">
        <f>_xll.qlYieldTSDiscount($U$35,Y7599,,Trigger)</f>
        <v>0.73745239296263543</v>
      </c>
    </row>
    <row r="7600" spans="25:26" x14ac:dyDescent="0.25">
      <c r="Y7600" s="63">
        <v>50133</v>
      </c>
      <c r="Z7600" s="61">
        <f>_xll.qlYieldTSDiscount($U$35,Y7600,,Trigger)</f>
        <v>0.73741185923869168</v>
      </c>
    </row>
    <row r="7601" spans="25:26" x14ac:dyDescent="0.25">
      <c r="Y7601" s="63">
        <v>50134</v>
      </c>
      <c r="Z7601" s="61">
        <f>_xll.qlYieldTSDiscount($U$35,Y7601,,Trigger)</f>
        <v>0.73737132100922476</v>
      </c>
    </row>
    <row r="7602" spans="25:26" x14ac:dyDescent="0.25">
      <c r="Y7602" s="63">
        <v>50135</v>
      </c>
      <c r="Z7602" s="61">
        <f>_xll.qlYieldTSDiscount($U$35,Y7602,,Trigger)</f>
        <v>0.73733077827674798</v>
      </c>
    </row>
    <row r="7603" spans="25:26" x14ac:dyDescent="0.25">
      <c r="Y7603" s="63">
        <v>50136</v>
      </c>
      <c r="Z7603" s="61">
        <f>_xll.qlYieldTSDiscount($U$35,Y7603,,Trigger)</f>
        <v>0.737290231043775</v>
      </c>
    </row>
    <row r="7604" spans="25:26" x14ac:dyDescent="0.25">
      <c r="Y7604" s="63">
        <v>50137</v>
      </c>
      <c r="Z7604" s="61">
        <f>_xll.qlYieldTSDiscount($U$35,Y7604,,Trigger)</f>
        <v>0.73724967931281937</v>
      </c>
    </row>
    <row r="7605" spans="25:26" x14ac:dyDescent="0.25">
      <c r="Y7605" s="63">
        <v>50138</v>
      </c>
      <c r="Z7605" s="61">
        <f>_xll.qlYieldTSDiscount($U$35,Y7605,,Trigger)</f>
        <v>0.73720912308639464</v>
      </c>
    </row>
    <row r="7606" spans="25:26" x14ac:dyDescent="0.25">
      <c r="Y7606" s="63">
        <v>50139</v>
      </c>
      <c r="Z7606" s="61">
        <f>_xll.qlYieldTSDiscount($U$35,Y7606,,Trigger)</f>
        <v>0.73716856236701434</v>
      </c>
    </row>
    <row r="7607" spans="25:26" x14ac:dyDescent="0.25">
      <c r="Y7607" s="63">
        <v>50140</v>
      </c>
      <c r="Z7607" s="61">
        <f>_xll.qlYieldTSDiscount($U$35,Y7607,,Trigger)</f>
        <v>0.73712799715719202</v>
      </c>
    </row>
    <row r="7608" spans="25:26" x14ac:dyDescent="0.25">
      <c r="Y7608" s="63">
        <v>50141</v>
      </c>
      <c r="Z7608" s="61">
        <f>_xll.qlYieldTSDiscount($U$35,Y7608,,Trigger)</f>
        <v>0.73708742745944122</v>
      </c>
    </row>
    <row r="7609" spans="25:26" x14ac:dyDescent="0.25">
      <c r="Y7609" s="63">
        <v>50142</v>
      </c>
      <c r="Z7609" s="61">
        <f>_xll.qlYieldTSDiscount($U$35,Y7609,,Trigger)</f>
        <v>0.73704685327627562</v>
      </c>
    </row>
    <row r="7610" spans="25:26" x14ac:dyDescent="0.25">
      <c r="Y7610" s="63">
        <v>50143</v>
      </c>
      <c r="Z7610" s="61">
        <f>_xll.qlYieldTSDiscount($U$35,Y7610,,Trigger)</f>
        <v>0.73700627461020851</v>
      </c>
    </row>
    <row r="7611" spans="25:26" x14ac:dyDescent="0.25">
      <c r="Y7611" s="63">
        <v>50144</v>
      </c>
      <c r="Z7611" s="61">
        <f>_xll.qlYieldTSDiscount($U$35,Y7611,,Trigger)</f>
        <v>0.73696569146375368</v>
      </c>
    </row>
    <row r="7612" spans="25:26" x14ac:dyDescent="0.25">
      <c r="Y7612" s="63">
        <v>50145</v>
      </c>
      <c r="Z7612" s="61">
        <f>_xll.qlYieldTSDiscount($U$35,Y7612,,Trigger)</f>
        <v>0.73692510383942456</v>
      </c>
    </row>
    <row r="7613" spans="25:26" x14ac:dyDescent="0.25">
      <c r="Y7613" s="63">
        <v>50146</v>
      </c>
      <c r="Z7613" s="61">
        <f>_xll.qlYieldTSDiscount($U$35,Y7613,,Trigger)</f>
        <v>0.73688451173973479</v>
      </c>
    </row>
    <row r="7614" spans="25:26" x14ac:dyDescent="0.25">
      <c r="Y7614" s="63">
        <v>50147</v>
      </c>
      <c r="Z7614" s="61">
        <f>_xll.qlYieldTSDiscount($U$35,Y7614,,Trigger)</f>
        <v>0.73684391516719783</v>
      </c>
    </row>
    <row r="7615" spans="25:26" x14ac:dyDescent="0.25">
      <c r="Y7615" s="63">
        <v>50148</v>
      </c>
      <c r="Z7615" s="61">
        <f>_xll.qlYieldTSDiscount($U$35,Y7615,,Trigger)</f>
        <v>0.73680331412432731</v>
      </c>
    </row>
    <row r="7616" spans="25:26" x14ac:dyDescent="0.25">
      <c r="Y7616" s="63">
        <v>50149</v>
      </c>
      <c r="Z7616" s="61">
        <f>_xll.qlYieldTSDiscount($U$35,Y7616,,Trigger)</f>
        <v>0.73676270861363669</v>
      </c>
    </row>
    <row r="7617" spans="25:26" x14ac:dyDescent="0.25">
      <c r="Y7617" s="63">
        <v>50150</v>
      </c>
      <c r="Z7617" s="61">
        <f>_xll.qlYieldTSDiscount($U$35,Y7617,,Trigger)</f>
        <v>0.73672209863763949</v>
      </c>
    </row>
    <row r="7618" spans="25:26" x14ac:dyDescent="0.25">
      <c r="Y7618" s="63">
        <v>50151</v>
      </c>
      <c r="Z7618" s="61">
        <f>_xll.qlYieldTSDiscount($U$35,Y7618,,Trigger)</f>
        <v>0.73668148419884949</v>
      </c>
    </row>
    <row r="7619" spans="25:26" x14ac:dyDescent="0.25">
      <c r="Y7619" s="63">
        <v>50152</v>
      </c>
      <c r="Z7619" s="61">
        <f>_xll.qlYieldTSDiscount($U$35,Y7619,,Trigger)</f>
        <v>0.73664086529978001</v>
      </c>
    </row>
    <row r="7620" spans="25:26" x14ac:dyDescent="0.25">
      <c r="Y7620" s="63">
        <v>50153</v>
      </c>
      <c r="Z7620" s="61">
        <f>_xll.qlYieldTSDiscount($U$35,Y7620,,Trigger)</f>
        <v>0.73660024194294471</v>
      </c>
    </row>
    <row r="7621" spans="25:26" x14ac:dyDescent="0.25">
      <c r="Y7621" s="63">
        <v>50154</v>
      </c>
      <c r="Z7621" s="61">
        <f>_xll.qlYieldTSDiscount($U$35,Y7621,,Trigger)</f>
        <v>0.73655961413085713</v>
      </c>
    </row>
    <row r="7622" spans="25:26" x14ac:dyDescent="0.25">
      <c r="Y7622" s="63">
        <v>50155</v>
      </c>
      <c r="Z7622" s="61">
        <f>_xll.qlYieldTSDiscount($U$35,Y7622,,Trigger)</f>
        <v>0.73651898186603082</v>
      </c>
    </row>
    <row r="7623" spans="25:26" x14ac:dyDescent="0.25">
      <c r="Y7623" s="63">
        <v>50156</v>
      </c>
      <c r="Z7623" s="61">
        <f>_xll.qlYieldTSDiscount($U$35,Y7623,,Trigger)</f>
        <v>0.73647834515097932</v>
      </c>
    </row>
    <row r="7624" spans="25:26" x14ac:dyDescent="0.25">
      <c r="Y7624" s="63">
        <v>50157</v>
      </c>
      <c r="Z7624" s="61">
        <f>_xll.qlYieldTSDiscount($U$35,Y7624,,Trigger)</f>
        <v>0.73643770398821617</v>
      </c>
    </row>
    <row r="7625" spans="25:26" x14ac:dyDescent="0.25">
      <c r="Y7625" s="63">
        <v>50158</v>
      </c>
      <c r="Z7625" s="61">
        <f>_xll.qlYieldTSDiscount($U$35,Y7625,,Trigger)</f>
        <v>0.73639705838025493</v>
      </c>
    </row>
    <row r="7626" spans="25:26" x14ac:dyDescent="0.25">
      <c r="Y7626" s="63">
        <v>50159</v>
      </c>
      <c r="Z7626" s="61">
        <f>_xll.qlYieldTSDiscount($U$35,Y7626,,Trigger)</f>
        <v>0.73635640832960914</v>
      </c>
    </row>
    <row r="7627" spans="25:26" x14ac:dyDescent="0.25">
      <c r="Y7627" s="63">
        <v>50160</v>
      </c>
      <c r="Z7627" s="61">
        <f>_xll.qlYieldTSDiscount($U$35,Y7627,,Trigger)</f>
        <v>0.73631575383879233</v>
      </c>
    </row>
    <row r="7628" spans="25:26" x14ac:dyDescent="0.25">
      <c r="Y7628" s="63">
        <v>50161</v>
      </c>
      <c r="Z7628" s="61">
        <f>_xll.qlYieldTSDiscount($U$35,Y7628,,Trigger)</f>
        <v>0.73627509491031817</v>
      </c>
    </row>
    <row r="7629" spans="25:26" x14ac:dyDescent="0.25">
      <c r="Y7629" s="63">
        <v>50162</v>
      </c>
      <c r="Z7629" s="61">
        <f>_xll.qlYieldTSDiscount($U$35,Y7629,,Trigger)</f>
        <v>0.7362344315467001</v>
      </c>
    </row>
    <row r="7630" spans="25:26" x14ac:dyDescent="0.25">
      <c r="Y7630" s="63">
        <v>50163</v>
      </c>
      <c r="Z7630" s="61">
        <f>_xll.qlYieldTSDiscount($U$35,Y7630,,Trigger)</f>
        <v>0.73619376375045165</v>
      </c>
    </row>
    <row r="7631" spans="25:26" x14ac:dyDescent="0.25">
      <c r="Y7631" s="63">
        <v>50164</v>
      </c>
      <c r="Z7631" s="61">
        <f>_xll.qlYieldTSDiscount($U$35,Y7631,,Trigger)</f>
        <v>0.73615309152408648</v>
      </c>
    </row>
    <row r="7632" spans="25:26" x14ac:dyDescent="0.25">
      <c r="Y7632" s="63">
        <v>50165</v>
      </c>
      <c r="Z7632" s="61">
        <f>_xll.qlYieldTSDiscount($U$35,Y7632,,Trigger)</f>
        <v>0.73611241487011803</v>
      </c>
    </row>
    <row r="7633" spans="25:26" x14ac:dyDescent="0.25">
      <c r="Y7633" s="63">
        <v>50166</v>
      </c>
      <c r="Z7633" s="61">
        <f>_xll.qlYieldTSDiscount($U$35,Y7633,,Trigger)</f>
        <v>0.73607173379105995</v>
      </c>
    </row>
    <row r="7634" spans="25:26" x14ac:dyDescent="0.25">
      <c r="Y7634" s="63">
        <v>50167</v>
      </c>
      <c r="Z7634" s="61">
        <f>_xll.qlYieldTSDiscount($U$35,Y7634,,Trigger)</f>
        <v>0.73603104828942567</v>
      </c>
    </row>
    <row r="7635" spans="25:26" x14ac:dyDescent="0.25">
      <c r="Y7635" s="63">
        <v>50168</v>
      </c>
      <c r="Z7635" s="61">
        <f>_xll.qlYieldTSDiscount($U$35,Y7635,,Trigger)</f>
        <v>0.73599035836772886</v>
      </c>
    </row>
    <row r="7636" spans="25:26" x14ac:dyDescent="0.25">
      <c r="Y7636" s="63">
        <v>50169</v>
      </c>
      <c r="Z7636" s="61">
        <f>_xll.qlYieldTSDiscount($U$35,Y7636,,Trigger)</f>
        <v>0.73594966402848305</v>
      </c>
    </row>
    <row r="7637" spans="25:26" x14ac:dyDescent="0.25">
      <c r="Y7637" s="63">
        <v>50170</v>
      </c>
      <c r="Z7637" s="61">
        <f>_xll.qlYieldTSDiscount($U$35,Y7637,,Trigger)</f>
        <v>0.73590896527420169</v>
      </c>
    </row>
    <row r="7638" spans="25:26" x14ac:dyDescent="0.25">
      <c r="Y7638" s="63">
        <v>50171</v>
      </c>
      <c r="Z7638" s="61">
        <f>_xll.qlYieldTSDiscount($U$35,Y7638,,Trigger)</f>
        <v>0.73586826210739853</v>
      </c>
    </row>
    <row r="7639" spans="25:26" x14ac:dyDescent="0.25">
      <c r="Y7639" s="63">
        <v>50172</v>
      </c>
      <c r="Z7639" s="61">
        <f>_xll.qlYieldTSDiscount($U$35,Y7639,,Trigger)</f>
        <v>0.7358275545305869</v>
      </c>
    </row>
    <row r="7640" spans="25:26" x14ac:dyDescent="0.25">
      <c r="Y7640" s="63">
        <v>50173</v>
      </c>
      <c r="Z7640" s="61">
        <f>_xll.qlYieldTSDiscount($U$35,Y7640,,Trigger)</f>
        <v>0.73578684254628046</v>
      </c>
    </row>
    <row r="7641" spans="25:26" x14ac:dyDescent="0.25">
      <c r="Y7641" s="63">
        <v>50174</v>
      </c>
      <c r="Z7641" s="61">
        <f>_xll.qlYieldTSDiscount($U$35,Y7641,,Trigger)</f>
        <v>0.73574612615699275</v>
      </c>
    </row>
    <row r="7642" spans="25:26" x14ac:dyDescent="0.25">
      <c r="Y7642" s="63">
        <v>50175</v>
      </c>
      <c r="Z7642" s="61">
        <f>_xll.qlYieldTSDiscount($U$35,Y7642,,Trigger)</f>
        <v>0.73570540536523743</v>
      </c>
    </row>
    <row r="7643" spans="25:26" x14ac:dyDescent="0.25">
      <c r="Y7643" s="63">
        <v>50176</v>
      </c>
      <c r="Z7643" s="61">
        <f>_xll.qlYieldTSDiscount($U$35,Y7643,,Trigger)</f>
        <v>0.73566468017352782</v>
      </c>
    </row>
    <row r="7644" spans="25:26" x14ac:dyDescent="0.25">
      <c r="Y7644" s="63">
        <v>50177</v>
      </c>
      <c r="Z7644" s="61">
        <f>_xll.qlYieldTSDiscount($U$35,Y7644,,Trigger)</f>
        <v>0.73562395058437768</v>
      </c>
    </row>
    <row r="7645" spans="25:26" x14ac:dyDescent="0.25">
      <c r="Y7645" s="63">
        <v>50178</v>
      </c>
      <c r="Z7645" s="61">
        <f>_xll.qlYieldTSDiscount($U$35,Y7645,,Trigger)</f>
        <v>0.73558321660030046</v>
      </c>
    </row>
    <row r="7646" spans="25:26" x14ac:dyDescent="0.25">
      <c r="Y7646" s="63">
        <v>50179</v>
      </c>
      <c r="Z7646" s="61">
        <f>_xll.qlYieldTSDiscount($U$35,Y7646,,Trigger)</f>
        <v>0.73554247822380969</v>
      </c>
    </row>
    <row r="7647" spans="25:26" x14ac:dyDescent="0.25">
      <c r="Y7647" s="63">
        <v>50180</v>
      </c>
      <c r="Z7647" s="61">
        <f>_xll.qlYieldTSDiscount($U$35,Y7647,,Trigger)</f>
        <v>0.73550173545741893</v>
      </c>
    </row>
    <row r="7648" spans="25:26" x14ac:dyDescent="0.25">
      <c r="Y7648" s="63">
        <v>50181</v>
      </c>
      <c r="Z7648" s="61">
        <f>_xll.qlYieldTSDiscount($U$35,Y7648,,Trigger)</f>
        <v>0.73546098830364182</v>
      </c>
    </row>
    <row r="7649" spans="25:26" x14ac:dyDescent="0.25">
      <c r="Y7649" s="63">
        <v>50182</v>
      </c>
      <c r="Z7649" s="61">
        <f>_xll.qlYieldTSDiscount($U$35,Y7649,,Trigger)</f>
        <v>0.7354202367649918</v>
      </c>
    </row>
    <row r="7650" spans="25:26" x14ac:dyDescent="0.25">
      <c r="Y7650" s="63">
        <v>50183</v>
      </c>
      <c r="Z7650" s="61">
        <f>_xll.qlYieldTSDiscount($U$35,Y7650,,Trigger)</f>
        <v>0.73537948084398252</v>
      </c>
    </row>
    <row r="7651" spans="25:26" x14ac:dyDescent="0.25">
      <c r="Y7651" s="63">
        <v>50184</v>
      </c>
      <c r="Z7651" s="61">
        <f>_xll.qlYieldTSDiscount($U$35,Y7651,,Trigger)</f>
        <v>0.73533872054312754</v>
      </c>
    </row>
    <row r="7652" spans="25:26" x14ac:dyDescent="0.25">
      <c r="Y7652" s="63">
        <v>50185</v>
      </c>
      <c r="Z7652" s="61">
        <f>_xll.qlYieldTSDiscount($U$35,Y7652,,Trigger)</f>
        <v>0.73529795586494029</v>
      </c>
    </row>
    <row r="7653" spans="25:26" x14ac:dyDescent="0.25">
      <c r="Y7653" s="63">
        <v>50186</v>
      </c>
      <c r="Z7653" s="61">
        <f>_xll.qlYieldTSDiscount($U$35,Y7653,,Trigger)</f>
        <v>0.73525718681193442</v>
      </c>
    </row>
    <row r="7654" spans="25:26" x14ac:dyDescent="0.25">
      <c r="Y7654" s="63">
        <v>50187</v>
      </c>
      <c r="Z7654" s="61">
        <f>_xll.qlYieldTSDiscount($U$35,Y7654,,Trigger)</f>
        <v>0.73521641338662336</v>
      </c>
    </row>
    <row r="7655" spans="25:26" x14ac:dyDescent="0.25">
      <c r="Y7655" s="63">
        <v>50188</v>
      </c>
      <c r="Z7655" s="61">
        <f>_xll.qlYieldTSDiscount($U$35,Y7655,,Trigger)</f>
        <v>0.73517563559152088</v>
      </c>
    </row>
    <row r="7656" spans="25:26" x14ac:dyDescent="0.25">
      <c r="Y7656" s="63">
        <v>50189</v>
      </c>
      <c r="Z7656" s="61">
        <f>_xll.qlYieldTSDiscount($U$35,Y7656,,Trigger)</f>
        <v>0.73513485342914031</v>
      </c>
    </row>
    <row r="7657" spans="25:26" x14ac:dyDescent="0.25">
      <c r="Y7657" s="63">
        <v>50190</v>
      </c>
      <c r="Z7657" s="61">
        <f>_xll.qlYieldTSDiscount($U$35,Y7657,,Trigger)</f>
        <v>0.7350940669019953</v>
      </c>
    </row>
    <row r="7658" spans="25:26" x14ac:dyDescent="0.25">
      <c r="Y7658" s="63">
        <v>50191</v>
      </c>
      <c r="Z7658" s="61">
        <f>_xll.qlYieldTSDiscount($U$35,Y7658,,Trigger)</f>
        <v>0.7350532760125994</v>
      </c>
    </row>
    <row r="7659" spans="25:26" x14ac:dyDescent="0.25">
      <c r="Y7659" s="63">
        <v>50192</v>
      </c>
      <c r="Z7659" s="61">
        <f>_xll.qlYieldTSDiscount($U$35,Y7659,,Trigger)</f>
        <v>0.73501248076346615</v>
      </c>
    </row>
    <row r="7660" spans="25:26" x14ac:dyDescent="0.25">
      <c r="Y7660" s="63">
        <v>50193</v>
      </c>
      <c r="Z7660" s="61">
        <f>_xll.qlYieldTSDiscount($U$35,Y7660,,Trigger)</f>
        <v>0.73497168115710909</v>
      </c>
    </row>
    <row r="7661" spans="25:26" x14ac:dyDescent="0.25">
      <c r="Y7661" s="63">
        <v>50194</v>
      </c>
      <c r="Z7661" s="61">
        <f>_xll.qlYieldTSDiscount($U$35,Y7661,,Trigger)</f>
        <v>0.73493087719604189</v>
      </c>
    </row>
    <row r="7662" spans="25:26" x14ac:dyDescent="0.25">
      <c r="Y7662" s="63">
        <v>50195</v>
      </c>
      <c r="Z7662" s="61">
        <f>_xll.qlYieldTSDiscount($U$35,Y7662,,Trigger)</f>
        <v>0.73489006888277786</v>
      </c>
    </row>
    <row r="7663" spans="25:26" x14ac:dyDescent="0.25">
      <c r="Y7663" s="63">
        <v>50196</v>
      </c>
      <c r="Z7663" s="61">
        <f>_xll.qlYieldTSDiscount($U$35,Y7663,,Trigger)</f>
        <v>0.73484925621983077</v>
      </c>
    </row>
    <row r="7664" spans="25:26" x14ac:dyDescent="0.25">
      <c r="Y7664" s="63">
        <v>50197</v>
      </c>
      <c r="Z7664" s="61">
        <f>_xll.qlYieldTSDiscount($U$35,Y7664,,Trigger)</f>
        <v>0.73480843920971417</v>
      </c>
    </row>
    <row r="7665" spans="25:26" x14ac:dyDescent="0.25">
      <c r="Y7665" s="63">
        <v>50198</v>
      </c>
      <c r="Z7665" s="61">
        <f>_xll.qlYieldTSDiscount($U$35,Y7665,,Trigger)</f>
        <v>0.73476761785494138</v>
      </c>
    </row>
    <row r="7666" spans="25:26" x14ac:dyDescent="0.25">
      <c r="Y7666" s="63">
        <v>50199</v>
      </c>
      <c r="Z7666" s="61">
        <f>_xll.qlYieldTSDiscount($U$35,Y7666,,Trigger)</f>
        <v>0.73472679215802617</v>
      </c>
    </row>
    <row r="7667" spans="25:26" x14ac:dyDescent="0.25">
      <c r="Y7667" s="63">
        <v>50200</v>
      </c>
      <c r="Z7667" s="61">
        <f>_xll.qlYieldTSDiscount($U$35,Y7667,,Trigger)</f>
        <v>0.73468596212148207</v>
      </c>
    </row>
    <row r="7668" spans="25:26" x14ac:dyDescent="0.25">
      <c r="Y7668" s="63">
        <v>50201</v>
      </c>
      <c r="Z7668" s="61">
        <f>_xll.qlYieldTSDiscount($U$35,Y7668,,Trigger)</f>
        <v>0.73464512774782254</v>
      </c>
    </row>
    <row r="7669" spans="25:26" x14ac:dyDescent="0.25">
      <c r="Y7669" s="63">
        <v>50202</v>
      </c>
      <c r="Z7669" s="61">
        <f>_xll.qlYieldTSDiscount($U$35,Y7669,,Trigger)</f>
        <v>0.73460428903956121</v>
      </c>
    </row>
    <row r="7670" spans="25:26" x14ac:dyDescent="0.25">
      <c r="Y7670" s="63">
        <v>50203</v>
      </c>
      <c r="Z7670" s="61">
        <f>_xll.qlYieldTSDiscount($U$35,Y7670,,Trigger)</f>
        <v>0.73456344599921153</v>
      </c>
    </row>
    <row r="7671" spans="25:26" x14ac:dyDescent="0.25">
      <c r="Y7671" s="63">
        <v>50204</v>
      </c>
      <c r="Z7671" s="61">
        <f>_xll.qlYieldTSDiscount($U$35,Y7671,,Trigger)</f>
        <v>0.73452259862928715</v>
      </c>
    </row>
    <row r="7672" spans="25:26" x14ac:dyDescent="0.25">
      <c r="Y7672" s="63">
        <v>50205</v>
      </c>
      <c r="Z7672" s="61">
        <f>_xll.qlYieldTSDiscount($U$35,Y7672,,Trigger)</f>
        <v>0.73448174693230162</v>
      </c>
    </row>
    <row r="7673" spans="25:26" x14ac:dyDescent="0.25">
      <c r="Y7673" s="63">
        <v>50206</v>
      </c>
      <c r="Z7673" s="61">
        <f>_xll.qlYieldTSDiscount($U$35,Y7673,,Trigger)</f>
        <v>0.73444089091076836</v>
      </c>
    </row>
    <row r="7674" spans="25:26" x14ac:dyDescent="0.25">
      <c r="Y7674" s="63">
        <v>50207</v>
      </c>
      <c r="Z7674" s="61">
        <f>_xll.qlYieldTSDiscount($U$35,Y7674,,Trigger)</f>
        <v>0.73440003056720116</v>
      </c>
    </row>
    <row r="7675" spans="25:26" x14ac:dyDescent="0.25">
      <c r="Y7675" s="63">
        <v>50208</v>
      </c>
      <c r="Z7675" s="61">
        <f>_xll.qlYieldTSDiscount($U$35,Y7675,,Trigger)</f>
        <v>0.73435916590411343</v>
      </c>
    </row>
    <row r="7676" spans="25:26" x14ac:dyDescent="0.25">
      <c r="Y7676" s="63">
        <v>50209</v>
      </c>
      <c r="Z7676" s="61">
        <f>_xll.qlYieldTSDiscount($U$35,Y7676,,Trigger)</f>
        <v>0.73431829692401862</v>
      </c>
    </row>
    <row r="7677" spans="25:26" x14ac:dyDescent="0.25">
      <c r="Y7677" s="63">
        <v>50210</v>
      </c>
      <c r="Z7677" s="61">
        <f>_xll.qlYieldTSDiscount($U$35,Y7677,,Trigger)</f>
        <v>0.73427742362943049</v>
      </c>
    </row>
    <row r="7678" spans="25:26" x14ac:dyDescent="0.25">
      <c r="Y7678" s="63">
        <v>50211</v>
      </c>
      <c r="Z7678" s="61">
        <f>_xll.qlYieldTSDiscount($U$35,Y7678,,Trigger)</f>
        <v>0.73423654602286237</v>
      </c>
    </row>
    <row r="7679" spans="25:26" x14ac:dyDescent="0.25">
      <c r="Y7679" s="63">
        <v>50212</v>
      </c>
      <c r="Z7679" s="61">
        <f>_xll.qlYieldTSDiscount($U$35,Y7679,,Trigger)</f>
        <v>0.73419566410682802</v>
      </c>
    </row>
    <row r="7680" spans="25:26" x14ac:dyDescent="0.25">
      <c r="Y7680" s="63">
        <v>50213</v>
      </c>
      <c r="Z7680" s="61">
        <f>_xll.qlYieldTSDiscount($U$35,Y7680,,Trigger)</f>
        <v>0.73415477788384098</v>
      </c>
    </row>
    <row r="7681" spans="25:26" x14ac:dyDescent="0.25">
      <c r="Y7681" s="63">
        <v>50214</v>
      </c>
      <c r="Z7681" s="61">
        <f>_xll.qlYieldTSDiscount($U$35,Y7681,,Trigger)</f>
        <v>0.73411388735641459</v>
      </c>
    </row>
    <row r="7682" spans="25:26" x14ac:dyDescent="0.25">
      <c r="Y7682" s="63">
        <v>50215</v>
      </c>
      <c r="Z7682" s="61">
        <f>_xll.qlYieldTSDiscount($U$35,Y7682,,Trigger)</f>
        <v>0.7340729925270626</v>
      </c>
    </row>
    <row r="7683" spans="25:26" x14ac:dyDescent="0.25">
      <c r="Y7683" s="63">
        <v>50216</v>
      </c>
      <c r="Z7683" s="61">
        <f>_xll.qlYieldTSDiscount($U$35,Y7683,,Trigger)</f>
        <v>0.73403209339829845</v>
      </c>
    </row>
    <row r="7684" spans="25:26" x14ac:dyDescent="0.25">
      <c r="Y7684" s="63">
        <v>50217</v>
      </c>
      <c r="Z7684" s="61">
        <f>_xll.qlYieldTSDiscount($U$35,Y7684,,Trigger)</f>
        <v>0.73399118997263579</v>
      </c>
    </row>
    <row r="7685" spans="25:26" x14ac:dyDescent="0.25">
      <c r="Y7685" s="63">
        <v>50218</v>
      </c>
      <c r="Z7685" s="61">
        <f>_xll.qlYieldTSDiscount($U$35,Y7685,,Trigger)</f>
        <v>0.73395028225258807</v>
      </c>
    </row>
    <row r="7686" spans="25:26" x14ac:dyDescent="0.25">
      <c r="Y7686" s="63">
        <v>50219</v>
      </c>
      <c r="Z7686" s="61">
        <f>_xll.qlYieldTSDiscount($U$35,Y7686,,Trigger)</f>
        <v>0.73390937024066893</v>
      </c>
    </row>
    <row r="7687" spans="25:26" x14ac:dyDescent="0.25">
      <c r="Y7687" s="63">
        <v>50220</v>
      </c>
      <c r="Z7687" s="61">
        <f>_xll.qlYieldTSDiscount($U$35,Y7687,,Trigger)</f>
        <v>0.73386845393939182</v>
      </c>
    </row>
    <row r="7688" spans="25:26" x14ac:dyDescent="0.25">
      <c r="Y7688" s="63">
        <v>50221</v>
      </c>
      <c r="Z7688" s="61">
        <f>_xll.qlYieldTSDiscount($U$35,Y7688,,Trigger)</f>
        <v>0.73382753335127049</v>
      </c>
    </row>
    <row r="7689" spans="25:26" x14ac:dyDescent="0.25">
      <c r="Y7689" s="63">
        <v>50222</v>
      </c>
      <c r="Z7689" s="61">
        <f>_xll.qlYieldTSDiscount($U$35,Y7689,,Trigger)</f>
        <v>0.73378660847881816</v>
      </c>
    </row>
    <row r="7690" spans="25:26" x14ac:dyDescent="0.25">
      <c r="Y7690" s="63">
        <v>50223</v>
      </c>
      <c r="Z7690" s="61">
        <f>_xll.qlYieldTSDiscount($U$35,Y7690,,Trigger)</f>
        <v>0.73374567932454871</v>
      </c>
    </row>
    <row r="7691" spans="25:26" x14ac:dyDescent="0.25">
      <c r="Y7691" s="63">
        <v>50224</v>
      </c>
      <c r="Z7691" s="61">
        <f>_xll.qlYieldTSDiscount($U$35,Y7691,,Trigger)</f>
        <v>0.73370474589097545</v>
      </c>
    </row>
    <row r="7692" spans="25:26" x14ac:dyDescent="0.25">
      <c r="Y7692" s="63">
        <v>50225</v>
      </c>
      <c r="Z7692" s="61">
        <f>_xll.qlYieldTSDiscount($U$35,Y7692,,Trigger)</f>
        <v>0.73366380818061216</v>
      </c>
    </row>
    <row r="7693" spans="25:26" x14ac:dyDescent="0.25">
      <c r="Y7693" s="63">
        <v>50226</v>
      </c>
      <c r="Z7693" s="61">
        <f>_xll.qlYieldTSDiscount($U$35,Y7693,,Trigger)</f>
        <v>0.73362286619597228</v>
      </c>
    </row>
    <row r="7694" spans="25:26" x14ac:dyDescent="0.25">
      <c r="Y7694" s="63">
        <v>50227</v>
      </c>
      <c r="Z7694" s="61">
        <f>_xll.qlYieldTSDiscount($U$35,Y7694,,Trigger)</f>
        <v>0.73358191993956923</v>
      </c>
    </row>
    <row r="7695" spans="25:26" x14ac:dyDescent="0.25">
      <c r="Y7695" s="63">
        <v>50228</v>
      </c>
      <c r="Z7695" s="61">
        <f>_xll.qlYieldTSDiscount($U$35,Y7695,,Trigger)</f>
        <v>0.73354096941391678</v>
      </c>
    </row>
    <row r="7696" spans="25:26" x14ac:dyDescent="0.25">
      <c r="Y7696" s="63">
        <v>50229</v>
      </c>
      <c r="Z7696" s="61">
        <f>_xll.qlYieldTSDiscount($U$35,Y7696,,Trigger)</f>
        <v>0.73350001462152836</v>
      </c>
    </row>
    <row r="7697" spans="25:26" x14ac:dyDescent="0.25">
      <c r="Y7697" s="63">
        <v>50230</v>
      </c>
      <c r="Z7697" s="61">
        <f>_xll.qlYieldTSDiscount($U$35,Y7697,,Trigger)</f>
        <v>0.73345905556491742</v>
      </c>
    </row>
    <row r="7698" spans="25:26" x14ac:dyDescent="0.25">
      <c r="Y7698" s="63">
        <v>50231</v>
      </c>
      <c r="Z7698" s="61">
        <f>_xll.qlYieldTSDiscount($U$35,Y7698,,Trigger)</f>
        <v>0.73341809224659782</v>
      </c>
    </row>
    <row r="7699" spans="25:26" x14ac:dyDescent="0.25">
      <c r="Y7699" s="63">
        <v>50232</v>
      </c>
      <c r="Z7699" s="61">
        <f>_xll.qlYieldTSDiscount($U$35,Y7699,,Trigger)</f>
        <v>0.73337712466908278</v>
      </c>
    </row>
    <row r="7700" spans="25:26" x14ac:dyDescent="0.25">
      <c r="Y7700" s="63">
        <v>50233</v>
      </c>
      <c r="Z7700" s="61">
        <f>_xll.qlYieldTSDiscount($U$35,Y7700,,Trigger)</f>
        <v>0.73333615283488607</v>
      </c>
    </row>
    <row r="7701" spans="25:26" x14ac:dyDescent="0.25">
      <c r="Y7701" s="63">
        <v>50234</v>
      </c>
      <c r="Z7701" s="61">
        <f>_xll.qlYieldTSDiscount($U$35,Y7701,,Trigger)</f>
        <v>0.73329517674652123</v>
      </c>
    </row>
    <row r="7702" spans="25:26" x14ac:dyDescent="0.25">
      <c r="Y7702" s="63">
        <v>50235</v>
      </c>
      <c r="Z7702" s="61">
        <f>_xll.qlYieldTSDiscount($U$35,Y7702,,Trigger)</f>
        <v>0.73325419640650158</v>
      </c>
    </row>
    <row r="7703" spans="25:26" x14ac:dyDescent="0.25">
      <c r="Y7703" s="63">
        <v>50236</v>
      </c>
      <c r="Z7703" s="61">
        <f>_xll.qlYieldTSDiscount($U$35,Y7703,,Trigger)</f>
        <v>0.733213211817341</v>
      </c>
    </row>
    <row r="7704" spans="25:26" x14ac:dyDescent="0.25">
      <c r="Y7704" s="63">
        <v>50237</v>
      </c>
      <c r="Z7704" s="61">
        <f>_xll.qlYieldTSDiscount($U$35,Y7704,,Trigger)</f>
        <v>0.73317222298155282</v>
      </c>
    </row>
    <row r="7705" spans="25:26" x14ac:dyDescent="0.25">
      <c r="Y7705" s="63">
        <v>50238</v>
      </c>
      <c r="Z7705" s="61">
        <f>_xll.qlYieldTSDiscount($U$35,Y7705,,Trigger)</f>
        <v>0.73313122990165069</v>
      </c>
    </row>
    <row r="7706" spans="25:26" x14ac:dyDescent="0.25">
      <c r="Y7706" s="63">
        <v>50239</v>
      </c>
      <c r="Z7706" s="61">
        <f>_xll.qlYieldTSDiscount($U$35,Y7706,,Trigger)</f>
        <v>0.73309023258014805</v>
      </c>
    </row>
    <row r="7707" spans="25:26" x14ac:dyDescent="0.25">
      <c r="Y7707" s="63">
        <v>50240</v>
      </c>
      <c r="Z7707" s="61">
        <f>_xll.qlYieldTSDiscount($U$35,Y7707,,Trigger)</f>
        <v>0.73304923101955854</v>
      </c>
    </row>
    <row r="7708" spans="25:26" x14ac:dyDescent="0.25">
      <c r="Y7708" s="63">
        <v>50241</v>
      </c>
      <c r="Z7708" s="61">
        <f>_xll.qlYieldTSDiscount($U$35,Y7708,,Trigger)</f>
        <v>0.73300822522239573</v>
      </c>
    </row>
    <row r="7709" spans="25:26" x14ac:dyDescent="0.25">
      <c r="Y7709" s="63">
        <v>50242</v>
      </c>
      <c r="Z7709" s="61">
        <f>_xll.qlYieldTSDiscount($U$35,Y7709,,Trigger)</f>
        <v>0.73296721519117325</v>
      </c>
    </row>
    <row r="7710" spans="25:26" x14ac:dyDescent="0.25">
      <c r="Y7710" s="63">
        <v>50243</v>
      </c>
      <c r="Z7710" s="61">
        <f>_xll.qlYieldTSDiscount($U$35,Y7710,,Trigger)</f>
        <v>0.73292620092840433</v>
      </c>
    </row>
    <row r="7711" spans="25:26" x14ac:dyDescent="0.25">
      <c r="Y7711" s="63">
        <v>50244</v>
      </c>
      <c r="Z7711" s="61">
        <f>_xll.qlYieldTSDiscount($U$35,Y7711,,Trigger)</f>
        <v>0.73288518243660283</v>
      </c>
    </row>
    <row r="7712" spans="25:26" x14ac:dyDescent="0.25">
      <c r="Y7712" s="63">
        <v>50245</v>
      </c>
      <c r="Z7712" s="61">
        <f>_xll.qlYieldTSDiscount($U$35,Y7712,,Trigger)</f>
        <v>0.73284415971828232</v>
      </c>
    </row>
    <row r="7713" spans="25:26" x14ac:dyDescent="0.25">
      <c r="Y7713" s="63">
        <v>50246</v>
      </c>
      <c r="Z7713" s="61">
        <f>_xll.qlYieldTSDiscount($U$35,Y7713,,Trigger)</f>
        <v>0.73280313277595599</v>
      </c>
    </row>
    <row r="7714" spans="25:26" x14ac:dyDescent="0.25">
      <c r="Y7714" s="63">
        <v>50247</v>
      </c>
      <c r="Z7714" s="61">
        <f>_xll.qlYieldTSDiscount($U$35,Y7714,,Trigger)</f>
        <v>0.73276210161213784</v>
      </c>
    </row>
    <row r="7715" spans="25:26" x14ac:dyDescent="0.25">
      <c r="Y7715" s="63">
        <v>50248</v>
      </c>
      <c r="Z7715" s="61">
        <f>_xll.qlYieldTSDiscount($U$35,Y7715,,Trigger)</f>
        <v>0.73272106622934108</v>
      </c>
    </row>
    <row r="7716" spans="25:26" x14ac:dyDescent="0.25">
      <c r="Y7716" s="63">
        <v>50249</v>
      </c>
      <c r="Z7716" s="61">
        <f>_xll.qlYieldTSDiscount($U$35,Y7716,,Trigger)</f>
        <v>0.73268002663007947</v>
      </c>
    </row>
    <row r="7717" spans="25:26" x14ac:dyDescent="0.25">
      <c r="Y7717" s="63">
        <v>50250</v>
      </c>
      <c r="Z7717" s="61">
        <f>_xll.qlYieldTSDiscount($U$35,Y7717,,Trigger)</f>
        <v>0.73263898281686657</v>
      </c>
    </row>
    <row r="7718" spans="25:26" x14ac:dyDescent="0.25">
      <c r="Y7718" s="63">
        <v>50251</v>
      </c>
      <c r="Z7718" s="61">
        <f>_xll.qlYieldTSDiscount($U$35,Y7718,,Trigger)</f>
        <v>0.73259793479221569</v>
      </c>
    </row>
    <row r="7719" spans="25:26" x14ac:dyDescent="0.25">
      <c r="Y7719" s="63">
        <v>50252</v>
      </c>
      <c r="Z7719" s="61">
        <f>_xll.qlYieldTSDiscount($U$35,Y7719,,Trigger)</f>
        <v>0.7325568825586406</v>
      </c>
    </row>
    <row r="7720" spans="25:26" x14ac:dyDescent="0.25">
      <c r="Y7720" s="63">
        <v>50253</v>
      </c>
      <c r="Z7720" s="61">
        <f>_xll.qlYieldTSDiscount($U$35,Y7720,,Trigger)</f>
        <v>0.73251582611865484</v>
      </c>
    </row>
    <row r="7721" spans="25:26" x14ac:dyDescent="0.25">
      <c r="Y7721" s="63">
        <v>50254</v>
      </c>
      <c r="Z7721" s="61">
        <f>_xll.qlYieldTSDiscount($U$35,Y7721,,Trigger)</f>
        <v>0.73247476547477186</v>
      </c>
    </row>
    <row r="7722" spans="25:26" x14ac:dyDescent="0.25">
      <c r="Y7722" s="63">
        <v>50255</v>
      </c>
      <c r="Z7722" s="61">
        <f>_xll.qlYieldTSDiscount($U$35,Y7722,,Trigger)</f>
        <v>0.7324337006295053</v>
      </c>
    </row>
    <row r="7723" spans="25:26" x14ac:dyDescent="0.25">
      <c r="Y7723" s="63">
        <v>50256</v>
      </c>
      <c r="Z7723" s="61">
        <f>_xll.qlYieldTSDiscount($U$35,Y7723,,Trigger)</f>
        <v>0.7323926315853686</v>
      </c>
    </row>
    <row r="7724" spans="25:26" x14ac:dyDescent="0.25">
      <c r="Y7724" s="63">
        <v>50257</v>
      </c>
      <c r="Z7724" s="61">
        <f>_xll.qlYieldTSDiscount($U$35,Y7724,,Trigger)</f>
        <v>0.73235155834487553</v>
      </c>
    </row>
    <row r="7725" spans="25:26" x14ac:dyDescent="0.25">
      <c r="Y7725" s="63">
        <v>50258</v>
      </c>
      <c r="Z7725" s="61">
        <f>_xll.qlYieldTSDiscount($U$35,Y7725,,Trigger)</f>
        <v>0.73231048091053941</v>
      </c>
    </row>
    <row r="7726" spans="25:26" x14ac:dyDescent="0.25">
      <c r="Y7726" s="63">
        <v>50259</v>
      </c>
      <c r="Z7726" s="61">
        <f>_xll.qlYieldTSDiscount($U$35,Y7726,,Trigger)</f>
        <v>0.73226939928487389</v>
      </c>
    </row>
    <row r="7727" spans="25:26" x14ac:dyDescent="0.25">
      <c r="Y7727" s="63">
        <v>50260</v>
      </c>
      <c r="Z7727" s="61">
        <f>_xll.qlYieldTSDiscount($U$35,Y7727,,Trigger)</f>
        <v>0.73222831347039252</v>
      </c>
    </row>
    <row r="7728" spans="25:26" x14ac:dyDescent="0.25">
      <c r="Y7728" s="63">
        <v>50261</v>
      </c>
      <c r="Z7728" s="61">
        <f>_xll.qlYieldTSDiscount($U$35,Y7728,,Trigger)</f>
        <v>0.73218722346960874</v>
      </c>
    </row>
    <row r="7729" spans="25:26" x14ac:dyDescent="0.25">
      <c r="Y7729" s="63">
        <v>50262</v>
      </c>
      <c r="Z7729" s="61">
        <f>_xll.qlYieldTSDiscount($U$35,Y7729,,Trigger)</f>
        <v>0.73214612928503631</v>
      </c>
    </row>
    <row r="7730" spans="25:26" x14ac:dyDescent="0.25">
      <c r="Y7730" s="63">
        <v>50263</v>
      </c>
      <c r="Z7730" s="61">
        <f>_xll.qlYieldTSDiscount($U$35,Y7730,,Trigger)</f>
        <v>0.73210503091918877</v>
      </c>
    </row>
    <row r="7731" spans="25:26" x14ac:dyDescent="0.25">
      <c r="Y7731" s="63">
        <v>50264</v>
      </c>
      <c r="Z7731" s="61">
        <f>_xll.qlYieldTSDiscount($U$35,Y7731,,Trigger)</f>
        <v>0.73206392837457934</v>
      </c>
    </row>
    <row r="7732" spans="25:26" x14ac:dyDescent="0.25">
      <c r="Y7732" s="63">
        <v>50265</v>
      </c>
      <c r="Z7732" s="61">
        <f>_xll.qlYieldTSDiscount($U$35,Y7732,,Trigger)</f>
        <v>0.73202282165372201</v>
      </c>
    </row>
    <row r="7733" spans="25:26" x14ac:dyDescent="0.25">
      <c r="Y7733" s="63">
        <v>50266</v>
      </c>
      <c r="Z7733" s="61">
        <f>_xll.qlYieldTSDiscount($U$35,Y7733,,Trigger)</f>
        <v>0.7319817107591301</v>
      </c>
    </row>
    <row r="7734" spans="25:26" x14ac:dyDescent="0.25">
      <c r="Y7734" s="63">
        <v>50267</v>
      </c>
      <c r="Z7734" s="61">
        <f>_xll.qlYieldTSDiscount($U$35,Y7734,,Trigger)</f>
        <v>0.73194059569331715</v>
      </c>
    </row>
    <row r="7735" spans="25:26" x14ac:dyDescent="0.25">
      <c r="Y7735" s="63">
        <v>50268</v>
      </c>
      <c r="Z7735" s="61">
        <f>_xll.qlYieldTSDiscount($U$35,Y7735,,Trigger)</f>
        <v>0.73189947645879672</v>
      </c>
    </row>
    <row r="7736" spans="25:26" x14ac:dyDescent="0.25">
      <c r="Y7736" s="63">
        <v>50269</v>
      </c>
      <c r="Z7736" s="61">
        <f>_xll.qlYieldTSDiscount($U$35,Y7736,,Trigger)</f>
        <v>0.73185835305808244</v>
      </c>
    </row>
    <row r="7737" spans="25:26" x14ac:dyDescent="0.25">
      <c r="Y7737" s="63">
        <v>50270</v>
      </c>
      <c r="Z7737" s="61">
        <f>_xll.qlYieldTSDiscount($U$35,Y7737,,Trigger)</f>
        <v>0.73181722549368777</v>
      </c>
    </row>
    <row r="7738" spans="25:26" x14ac:dyDescent="0.25">
      <c r="Y7738" s="63">
        <v>50271</v>
      </c>
      <c r="Z7738" s="61">
        <f>_xll.qlYieldTSDiscount($U$35,Y7738,,Trigger)</f>
        <v>0.73177609376812636</v>
      </c>
    </row>
    <row r="7739" spans="25:26" x14ac:dyDescent="0.25">
      <c r="Y7739" s="63">
        <v>50272</v>
      </c>
      <c r="Z7739" s="61">
        <f>_xll.qlYieldTSDiscount($U$35,Y7739,,Trigger)</f>
        <v>0.73173495788391163</v>
      </c>
    </row>
    <row r="7740" spans="25:26" x14ac:dyDescent="0.25">
      <c r="Y7740" s="63">
        <v>50273</v>
      </c>
      <c r="Z7740" s="61">
        <f>_xll.qlYieldTSDiscount($U$35,Y7740,,Trigger)</f>
        <v>0.73169381784355736</v>
      </c>
    </row>
    <row r="7741" spans="25:26" x14ac:dyDescent="0.25">
      <c r="Y7741" s="63">
        <v>50274</v>
      </c>
      <c r="Z7741" s="61">
        <f>_xll.qlYieldTSDiscount($U$35,Y7741,,Trigger)</f>
        <v>0.73165267364957687</v>
      </c>
    </row>
    <row r="7742" spans="25:26" x14ac:dyDescent="0.25">
      <c r="Y7742" s="63">
        <v>50275</v>
      </c>
      <c r="Z7742" s="61">
        <f>_xll.qlYieldTSDiscount($U$35,Y7742,,Trigger)</f>
        <v>0.7316115253044837</v>
      </c>
    </row>
    <row r="7743" spans="25:26" x14ac:dyDescent="0.25">
      <c r="Y7743" s="63">
        <v>50276</v>
      </c>
      <c r="Z7743" s="61">
        <f>_xll.qlYieldTSDiscount($U$35,Y7743,,Trigger)</f>
        <v>0.73157037281079162</v>
      </c>
    </row>
    <row r="7744" spans="25:26" x14ac:dyDescent="0.25">
      <c r="Y7744" s="63">
        <v>50277</v>
      </c>
      <c r="Z7744" s="61">
        <f>_xll.qlYieldTSDiscount($U$35,Y7744,,Trigger)</f>
        <v>0.73152921617101396</v>
      </c>
    </row>
    <row r="7745" spans="25:26" x14ac:dyDescent="0.25">
      <c r="Y7745" s="63">
        <v>50278</v>
      </c>
      <c r="Z7745" s="61">
        <f>_xll.qlYieldTSDiscount($U$35,Y7745,,Trigger)</f>
        <v>0.73148805538766448</v>
      </c>
    </row>
    <row r="7746" spans="25:26" x14ac:dyDescent="0.25">
      <c r="Y7746" s="63">
        <v>50279</v>
      </c>
      <c r="Z7746" s="61">
        <f>_xll.qlYieldTSDiscount($U$35,Y7746,,Trigger)</f>
        <v>0.7314468904632565</v>
      </c>
    </row>
    <row r="7747" spans="25:26" x14ac:dyDescent="0.25">
      <c r="Y7747" s="63">
        <v>50280</v>
      </c>
      <c r="Z7747" s="61">
        <f>_xll.qlYieldTSDiscount($U$35,Y7747,,Trigger)</f>
        <v>0.73140572140030369</v>
      </c>
    </row>
    <row r="7748" spans="25:26" x14ac:dyDescent="0.25">
      <c r="Y7748" s="63">
        <v>50281</v>
      </c>
      <c r="Z7748" s="61">
        <f>_xll.qlYieldTSDiscount($U$35,Y7748,,Trigger)</f>
        <v>0.73136454820131969</v>
      </c>
    </row>
    <row r="7749" spans="25:26" x14ac:dyDescent="0.25">
      <c r="Y7749" s="63">
        <v>50282</v>
      </c>
      <c r="Z7749" s="61">
        <f>_xll.qlYieldTSDiscount($U$35,Y7749,,Trigger)</f>
        <v>0.73132337086881793</v>
      </c>
    </row>
    <row r="7750" spans="25:26" x14ac:dyDescent="0.25">
      <c r="Y7750" s="63">
        <v>50283</v>
      </c>
      <c r="Z7750" s="61">
        <f>_xll.qlYieldTSDiscount($U$35,Y7750,,Trigger)</f>
        <v>0.73128218940531198</v>
      </c>
    </row>
    <row r="7751" spans="25:26" x14ac:dyDescent="0.25">
      <c r="Y7751" s="63">
        <v>50284</v>
      </c>
      <c r="Z7751" s="61">
        <f>_xll.qlYieldTSDiscount($U$35,Y7751,,Trigger)</f>
        <v>0.73124100381331536</v>
      </c>
    </row>
    <row r="7752" spans="25:26" x14ac:dyDescent="0.25">
      <c r="Y7752" s="63">
        <v>50285</v>
      </c>
      <c r="Z7752" s="61">
        <f>_xll.qlYieldTSDiscount($U$35,Y7752,,Trigger)</f>
        <v>0.73119981409534174</v>
      </c>
    </row>
    <row r="7753" spans="25:26" x14ac:dyDescent="0.25">
      <c r="Y7753" s="63">
        <v>50286</v>
      </c>
      <c r="Z7753" s="61">
        <f>_xll.qlYieldTSDiscount($U$35,Y7753,,Trigger)</f>
        <v>0.73115862025390455</v>
      </c>
    </row>
    <row r="7754" spans="25:26" x14ac:dyDescent="0.25">
      <c r="Y7754" s="63">
        <v>50287</v>
      </c>
      <c r="Z7754" s="61">
        <f>_xll.qlYieldTSDiscount($U$35,Y7754,,Trigger)</f>
        <v>0.73111742229151733</v>
      </c>
    </row>
    <row r="7755" spans="25:26" x14ac:dyDescent="0.25">
      <c r="Y7755" s="63">
        <v>50288</v>
      </c>
      <c r="Z7755" s="61">
        <f>_xll.qlYieldTSDiscount($U$35,Y7755,,Trigger)</f>
        <v>0.73107622021069374</v>
      </c>
    </row>
    <row r="7756" spans="25:26" x14ac:dyDescent="0.25">
      <c r="Y7756" s="63">
        <v>50289</v>
      </c>
      <c r="Z7756" s="61">
        <f>_xll.qlYieldTSDiscount($U$35,Y7756,,Trigger)</f>
        <v>0.73103501401394733</v>
      </c>
    </row>
    <row r="7757" spans="25:26" x14ac:dyDescent="0.25">
      <c r="Y7757" s="63">
        <v>50290</v>
      </c>
      <c r="Z7757" s="61">
        <f>_xll.qlYieldTSDiscount($U$35,Y7757,,Trigger)</f>
        <v>0.73099380370379163</v>
      </c>
    </row>
    <row r="7758" spans="25:26" x14ac:dyDescent="0.25">
      <c r="Y7758" s="63">
        <v>50291</v>
      </c>
      <c r="Z7758" s="61">
        <f>_xll.qlYieldTSDiscount($U$35,Y7758,,Trigger)</f>
        <v>0.73095258928273998</v>
      </c>
    </row>
    <row r="7759" spans="25:26" x14ac:dyDescent="0.25">
      <c r="Y7759" s="63">
        <v>50292</v>
      </c>
      <c r="Z7759" s="61">
        <f>_xll.qlYieldTSDiscount($U$35,Y7759,,Trigger)</f>
        <v>0.73091137075330626</v>
      </c>
    </row>
    <row r="7760" spans="25:26" x14ac:dyDescent="0.25">
      <c r="Y7760" s="63">
        <v>50293</v>
      </c>
      <c r="Z7760" s="61">
        <f>_xll.qlYieldTSDiscount($U$35,Y7760,,Trigger)</f>
        <v>0.73087014811800377</v>
      </c>
    </row>
    <row r="7761" spans="25:26" x14ac:dyDescent="0.25">
      <c r="Y7761" s="63">
        <v>50294</v>
      </c>
      <c r="Z7761" s="61">
        <f>_xll.qlYieldTSDiscount($U$35,Y7761,,Trigger)</f>
        <v>0.7308289213793463</v>
      </c>
    </row>
    <row r="7762" spans="25:26" x14ac:dyDescent="0.25">
      <c r="Y7762" s="63">
        <v>50295</v>
      </c>
      <c r="Z7762" s="61">
        <f>_xll.qlYieldTSDiscount($U$35,Y7762,,Trigger)</f>
        <v>0.73078769053984727</v>
      </c>
    </row>
    <row r="7763" spans="25:26" x14ac:dyDescent="0.25">
      <c r="Y7763" s="63">
        <v>50296</v>
      </c>
      <c r="Z7763" s="61">
        <f>_xll.qlYieldTSDiscount($U$35,Y7763,,Trigger)</f>
        <v>0.73074645560202012</v>
      </c>
    </row>
    <row r="7764" spans="25:26" x14ac:dyDescent="0.25">
      <c r="Y7764" s="63">
        <v>50297</v>
      </c>
      <c r="Z7764" s="61">
        <f>_xll.qlYieldTSDiscount($U$35,Y7764,,Trigger)</f>
        <v>0.7307052165683785</v>
      </c>
    </row>
    <row r="7765" spans="25:26" x14ac:dyDescent="0.25">
      <c r="Y7765" s="63">
        <v>50298</v>
      </c>
      <c r="Z7765" s="61">
        <f>_xll.qlYieldTSDiscount($U$35,Y7765,,Trigger)</f>
        <v>0.73066397344143608</v>
      </c>
    </row>
    <row r="7766" spans="25:26" x14ac:dyDescent="0.25">
      <c r="Y7766" s="63">
        <v>50299</v>
      </c>
      <c r="Z7766" s="61">
        <f>_xll.qlYieldTSDiscount($U$35,Y7766,,Trigger)</f>
        <v>0.73062272622370616</v>
      </c>
    </row>
    <row r="7767" spans="25:26" x14ac:dyDescent="0.25">
      <c r="Y7767" s="63">
        <v>50300</v>
      </c>
      <c r="Z7767" s="61">
        <f>_xll.qlYieldTSDiscount($U$35,Y7767,,Trigger)</f>
        <v>0.73058147491770253</v>
      </c>
    </row>
    <row r="7768" spans="25:26" x14ac:dyDescent="0.25">
      <c r="Y7768" s="63">
        <v>50301</v>
      </c>
      <c r="Z7768" s="61">
        <f>_xll.qlYieldTSDiscount($U$35,Y7768,,Trigger)</f>
        <v>0.73054021952593862</v>
      </c>
    </row>
    <row r="7769" spans="25:26" x14ac:dyDescent="0.25">
      <c r="Y7769" s="63">
        <v>50302</v>
      </c>
      <c r="Z7769" s="61">
        <f>_xll.qlYieldTSDiscount($U$35,Y7769,,Trigger)</f>
        <v>0.73049896005092807</v>
      </c>
    </row>
    <row r="7770" spans="25:26" x14ac:dyDescent="0.25">
      <c r="Y7770" s="63">
        <v>50303</v>
      </c>
      <c r="Z7770" s="61">
        <f>_xll.qlYieldTSDiscount($U$35,Y7770,,Trigger)</f>
        <v>0.73045769649518433</v>
      </c>
    </row>
    <row r="7771" spans="25:26" x14ac:dyDescent="0.25">
      <c r="Y7771" s="63">
        <v>50304</v>
      </c>
      <c r="Z7771" s="61">
        <f>_xll.qlYieldTSDiscount($U$35,Y7771,,Trigger)</f>
        <v>0.73041642886122093</v>
      </c>
    </row>
    <row r="7772" spans="25:26" x14ac:dyDescent="0.25">
      <c r="Y7772" s="63">
        <v>50305</v>
      </c>
      <c r="Z7772" s="61">
        <f>_xll.qlYieldTSDiscount($U$35,Y7772,,Trigger)</f>
        <v>0.73037515715155155</v>
      </c>
    </row>
    <row r="7773" spans="25:26" x14ac:dyDescent="0.25">
      <c r="Y7773" s="63">
        <v>50306</v>
      </c>
      <c r="Z7773" s="61">
        <f>_xll.qlYieldTSDiscount($U$35,Y7773,,Trigger)</f>
        <v>0.7303338813686896</v>
      </c>
    </row>
    <row r="7774" spans="25:26" x14ac:dyDescent="0.25">
      <c r="Y7774" s="63">
        <v>50307</v>
      </c>
      <c r="Z7774" s="61">
        <f>_xll.qlYieldTSDiscount($U$35,Y7774,,Trigger)</f>
        <v>0.73029260151514874</v>
      </c>
    </row>
    <row r="7775" spans="25:26" x14ac:dyDescent="0.25">
      <c r="Y7775" s="63">
        <v>50308</v>
      </c>
      <c r="Z7775" s="61">
        <f>_xll.qlYieldTSDiscount($U$35,Y7775,,Trigger)</f>
        <v>0.73025131759344253</v>
      </c>
    </row>
    <row r="7776" spans="25:26" x14ac:dyDescent="0.25">
      <c r="Y7776" s="63">
        <v>50309</v>
      </c>
      <c r="Z7776" s="61">
        <f>_xll.qlYieldTSDiscount($U$35,Y7776,,Trigger)</f>
        <v>0.73021002960608439</v>
      </c>
    </row>
    <row r="7777" spans="25:26" x14ac:dyDescent="0.25">
      <c r="Y7777" s="63">
        <v>50310</v>
      </c>
      <c r="Z7777" s="61">
        <f>_xll.qlYieldTSDiscount($U$35,Y7777,,Trigger)</f>
        <v>0.73016873755558798</v>
      </c>
    </row>
    <row r="7778" spans="25:26" x14ac:dyDescent="0.25">
      <c r="Y7778" s="63">
        <v>50311</v>
      </c>
      <c r="Z7778" s="61">
        <f>_xll.qlYieldTSDiscount($U$35,Y7778,,Trigger)</f>
        <v>0.73012744144446695</v>
      </c>
    </row>
    <row r="7779" spans="25:26" x14ac:dyDescent="0.25">
      <c r="Y7779" s="63">
        <v>50312</v>
      </c>
      <c r="Z7779" s="61">
        <f>_xll.qlYieldTSDiscount($U$35,Y7779,,Trigger)</f>
        <v>0.73008614127523452</v>
      </c>
    </row>
    <row r="7780" spans="25:26" x14ac:dyDescent="0.25">
      <c r="Y7780" s="63">
        <v>50313</v>
      </c>
      <c r="Z7780" s="61">
        <f>_xll.qlYieldTSDiscount($U$35,Y7780,,Trigger)</f>
        <v>0.73004483705040457</v>
      </c>
    </row>
    <row r="7781" spans="25:26" x14ac:dyDescent="0.25">
      <c r="Y7781" s="63">
        <v>50314</v>
      </c>
      <c r="Z7781" s="61">
        <f>_xll.qlYieldTSDiscount($U$35,Y7781,,Trigger)</f>
        <v>0.73000352877249053</v>
      </c>
    </row>
    <row r="7782" spans="25:26" x14ac:dyDescent="0.25">
      <c r="Y7782" s="63">
        <v>50315</v>
      </c>
      <c r="Z7782" s="61">
        <f>_xll.qlYieldTSDiscount($U$35,Y7782,,Trigger)</f>
        <v>0.72996221644400594</v>
      </c>
    </row>
    <row r="7783" spans="25:26" x14ac:dyDescent="0.25">
      <c r="Y7783" s="63">
        <v>50316</v>
      </c>
      <c r="Z7783" s="61">
        <f>_xll.qlYieldTSDiscount($U$35,Y7783,,Trigger)</f>
        <v>0.72992090006746435</v>
      </c>
    </row>
    <row r="7784" spans="25:26" x14ac:dyDescent="0.25">
      <c r="Y7784" s="63">
        <v>50317</v>
      </c>
      <c r="Z7784" s="61">
        <f>_xll.qlYieldTSDiscount($U$35,Y7784,,Trigger)</f>
        <v>0.72987957964537931</v>
      </c>
    </row>
    <row r="7785" spans="25:26" x14ac:dyDescent="0.25">
      <c r="Y7785" s="63">
        <v>50318</v>
      </c>
      <c r="Z7785" s="61">
        <f>_xll.qlYieldTSDiscount($U$35,Y7785,,Trigger)</f>
        <v>0.72983825518026446</v>
      </c>
    </row>
    <row r="7786" spans="25:26" x14ac:dyDescent="0.25">
      <c r="Y7786" s="63">
        <v>50319</v>
      </c>
      <c r="Z7786" s="61">
        <f>_xll.qlYieldTSDiscount($U$35,Y7786,,Trigger)</f>
        <v>0.72979692667463325</v>
      </c>
    </row>
    <row r="7787" spans="25:26" x14ac:dyDescent="0.25">
      <c r="Y7787" s="63">
        <v>50320</v>
      </c>
      <c r="Z7787" s="61">
        <f>_xll.qlYieldTSDiscount($U$35,Y7787,,Trigger)</f>
        <v>0.72975559413099922</v>
      </c>
    </row>
    <row r="7788" spans="25:26" x14ac:dyDescent="0.25">
      <c r="Y7788" s="63">
        <v>50321</v>
      </c>
      <c r="Z7788" s="61">
        <f>_xll.qlYieldTSDiscount($U$35,Y7788,,Trigger)</f>
        <v>0.72971425755187602</v>
      </c>
    </row>
    <row r="7789" spans="25:26" x14ac:dyDescent="0.25">
      <c r="Y7789" s="63">
        <v>50322</v>
      </c>
      <c r="Z7789" s="61">
        <f>_xll.qlYieldTSDiscount($U$35,Y7789,,Trigger)</f>
        <v>0.72967291693977698</v>
      </c>
    </row>
    <row r="7790" spans="25:26" x14ac:dyDescent="0.25">
      <c r="Y7790" s="63">
        <v>50323</v>
      </c>
      <c r="Z7790" s="61">
        <f>_xll.qlYieldTSDiscount($U$35,Y7790,,Trigger)</f>
        <v>0.72963157229721598</v>
      </c>
    </row>
    <row r="7791" spans="25:26" x14ac:dyDescent="0.25">
      <c r="Y7791" s="63">
        <v>50324</v>
      </c>
      <c r="Z7791" s="61">
        <f>_xll.qlYieldTSDiscount($U$35,Y7791,,Trigger)</f>
        <v>0.72959022362670634</v>
      </c>
    </row>
    <row r="7792" spans="25:26" x14ac:dyDescent="0.25">
      <c r="Y7792" s="63">
        <v>50325</v>
      </c>
      <c r="Z7792" s="61">
        <f>_xll.qlYieldTSDiscount($U$35,Y7792,,Trigger)</f>
        <v>0.72954887093076171</v>
      </c>
    </row>
    <row r="7793" spans="25:26" x14ac:dyDescent="0.25">
      <c r="Y7793" s="63">
        <v>50326</v>
      </c>
      <c r="Z7793" s="61">
        <f>_xll.qlYieldTSDiscount($U$35,Y7793,,Trigger)</f>
        <v>0.72950751421189564</v>
      </c>
    </row>
    <row r="7794" spans="25:26" x14ac:dyDescent="0.25">
      <c r="Y7794" s="63">
        <v>50327</v>
      </c>
      <c r="Z7794" s="61">
        <f>_xll.qlYieldTSDiscount($U$35,Y7794,,Trigger)</f>
        <v>0.72946615347262156</v>
      </c>
    </row>
    <row r="7795" spans="25:26" x14ac:dyDescent="0.25">
      <c r="Y7795" s="63">
        <v>50328</v>
      </c>
      <c r="Z7795" s="61">
        <f>_xll.qlYieldTSDiscount($U$35,Y7795,,Trigger)</f>
        <v>0.72942478871545313</v>
      </c>
    </row>
    <row r="7796" spans="25:26" x14ac:dyDescent="0.25">
      <c r="Y7796" s="63">
        <v>50329</v>
      </c>
      <c r="Z7796" s="61">
        <f>_xll.qlYieldTSDiscount($U$35,Y7796,,Trigger)</f>
        <v>0.7293834199429039</v>
      </c>
    </row>
    <row r="7797" spans="25:26" x14ac:dyDescent="0.25">
      <c r="Y7797" s="63">
        <v>50330</v>
      </c>
      <c r="Z7797" s="61">
        <f>_xll.qlYieldTSDiscount($U$35,Y7797,,Trigger)</f>
        <v>0.72934204715748741</v>
      </c>
    </row>
    <row r="7798" spans="25:26" x14ac:dyDescent="0.25">
      <c r="Y7798" s="63">
        <v>50331</v>
      </c>
      <c r="Z7798" s="61">
        <f>_xll.qlYieldTSDiscount($U$35,Y7798,,Trigger)</f>
        <v>0.7293006703617172</v>
      </c>
    </row>
    <row r="7799" spans="25:26" x14ac:dyDescent="0.25">
      <c r="Y7799" s="63">
        <v>50332</v>
      </c>
      <c r="Z7799" s="61">
        <f>_xll.qlYieldTSDiscount($U$35,Y7799,,Trigger)</f>
        <v>0.72925928955810682</v>
      </c>
    </row>
    <row r="7800" spans="25:26" x14ac:dyDescent="0.25">
      <c r="Y7800" s="63">
        <v>50333</v>
      </c>
      <c r="Z7800" s="61">
        <f>_xll.qlYieldTSDiscount($U$35,Y7800,,Trigger)</f>
        <v>0.72921790474916981</v>
      </c>
    </row>
    <row r="7801" spans="25:26" x14ac:dyDescent="0.25">
      <c r="Y7801" s="63">
        <v>50334</v>
      </c>
      <c r="Z7801" s="61">
        <f>_xll.qlYieldTSDiscount($U$35,Y7801,,Trigger)</f>
        <v>0.72917651593741972</v>
      </c>
    </row>
    <row r="7802" spans="25:26" x14ac:dyDescent="0.25">
      <c r="Y7802" s="63">
        <v>50335</v>
      </c>
      <c r="Z7802" s="61">
        <f>_xll.qlYieldTSDiscount($U$35,Y7802,,Trigger)</f>
        <v>0.72913512312537021</v>
      </c>
    </row>
    <row r="7803" spans="25:26" x14ac:dyDescent="0.25">
      <c r="Y7803" s="63">
        <v>50336</v>
      </c>
      <c r="Z7803" s="61">
        <f>_xll.qlYieldTSDiscount($U$35,Y7803,,Trigger)</f>
        <v>0.7290937263155346</v>
      </c>
    </row>
    <row r="7804" spans="25:26" x14ac:dyDescent="0.25">
      <c r="Y7804" s="63">
        <v>50337</v>
      </c>
      <c r="Z7804" s="61">
        <f>_xll.qlYieldTSDiscount($U$35,Y7804,,Trigger)</f>
        <v>0.72905232551042665</v>
      </c>
    </row>
    <row r="7805" spans="25:26" x14ac:dyDescent="0.25">
      <c r="Y7805" s="63">
        <v>50338</v>
      </c>
      <c r="Z7805" s="61">
        <f>_xll.qlYieldTSDiscount($U$35,Y7805,,Trigger)</f>
        <v>0.7290109207125598</v>
      </c>
    </row>
    <row r="7806" spans="25:26" x14ac:dyDescent="0.25">
      <c r="Y7806" s="63">
        <v>50339</v>
      </c>
      <c r="Z7806" s="61">
        <f>_xll.qlYieldTSDiscount($U$35,Y7806,,Trigger)</f>
        <v>0.7289695119244477</v>
      </c>
    </row>
    <row r="7807" spans="25:26" x14ac:dyDescent="0.25">
      <c r="Y7807" s="63">
        <v>50340</v>
      </c>
      <c r="Z7807" s="61">
        <f>_xll.qlYieldTSDiscount($U$35,Y7807,,Trigger)</f>
        <v>0.7289280991486039</v>
      </c>
    </row>
    <row r="7808" spans="25:26" x14ac:dyDescent="0.25">
      <c r="Y7808" s="63">
        <v>50341</v>
      </c>
      <c r="Z7808" s="61">
        <f>_xll.qlYieldTSDiscount($U$35,Y7808,,Trigger)</f>
        <v>0.72888668238754173</v>
      </c>
    </row>
    <row r="7809" spans="25:26" x14ac:dyDescent="0.25">
      <c r="Y7809" s="63">
        <v>50342</v>
      </c>
      <c r="Z7809" s="61">
        <f>_xll.qlYieldTSDiscount($U$35,Y7809,,Trigger)</f>
        <v>0.72884526164377506</v>
      </c>
    </row>
    <row r="7810" spans="25:26" x14ac:dyDescent="0.25">
      <c r="Y7810" s="63">
        <v>50343</v>
      </c>
      <c r="Z7810" s="61">
        <f>_xll.qlYieldTSDiscount($U$35,Y7810,,Trigger)</f>
        <v>0.72880383691981732</v>
      </c>
    </row>
    <row r="7811" spans="25:26" x14ac:dyDescent="0.25">
      <c r="Y7811" s="63">
        <v>50344</v>
      </c>
      <c r="Z7811" s="61">
        <f>_xll.qlYieldTSDiscount($U$35,Y7811,,Trigger)</f>
        <v>0.72876240821818183</v>
      </c>
    </row>
    <row r="7812" spans="25:26" x14ac:dyDescent="0.25">
      <c r="Y7812" s="63">
        <v>50345</v>
      </c>
      <c r="Z7812" s="61">
        <f>_xll.qlYieldTSDiscount($U$35,Y7812,,Trigger)</f>
        <v>0.72872097554138249</v>
      </c>
    </row>
    <row r="7813" spans="25:26" x14ac:dyDescent="0.25">
      <c r="Y7813" s="63">
        <v>50346</v>
      </c>
      <c r="Z7813" s="61">
        <f>_xll.qlYieldTSDiscount($U$35,Y7813,,Trigger)</f>
        <v>0.7286795388919326</v>
      </c>
    </row>
    <row r="7814" spans="25:26" x14ac:dyDescent="0.25">
      <c r="Y7814" s="63">
        <v>50347</v>
      </c>
      <c r="Z7814" s="61">
        <f>_xll.qlYieldTSDiscount($U$35,Y7814,,Trigger)</f>
        <v>0.72863809827234594</v>
      </c>
    </row>
    <row r="7815" spans="25:26" x14ac:dyDescent="0.25">
      <c r="Y7815" s="63">
        <v>50348</v>
      </c>
      <c r="Z7815" s="61">
        <f>_xll.qlYieldTSDiscount($U$35,Y7815,,Trigger)</f>
        <v>0.72859665368513593</v>
      </c>
    </row>
    <row r="7816" spans="25:26" x14ac:dyDescent="0.25">
      <c r="Y7816" s="63">
        <v>50349</v>
      </c>
      <c r="Z7816" s="61">
        <f>_xll.qlYieldTSDiscount($U$35,Y7816,,Trigger)</f>
        <v>0.72855520513281602</v>
      </c>
    </row>
    <row r="7817" spans="25:26" x14ac:dyDescent="0.25">
      <c r="Y7817" s="63">
        <v>50350</v>
      </c>
      <c r="Z7817" s="61">
        <f>_xll.qlYieldTSDiscount($U$35,Y7817,,Trigger)</f>
        <v>0.72851375261789986</v>
      </c>
    </row>
    <row r="7818" spans="25:26" x14ac:dyDescent="0.25">
      <c r="Y7818" s="63">
        <v>50351</v>
      </c>
      <c r="Z7818" s="61">
        <f>_xll.qlYieldTSDiscount($U$35,Y7818,,Trigger)</f>
        <v>0.7284722961429011</v>
      </c>
    </row>
    <row r="7819" spans="25:26" x14ac:dyDescent="0.25">
      <c r="Y7819" s="63">
        <v>50352</v>
      </c>
      <c r="Z7819" s="61">
        <f>_xll.qlYieldTSDiscount($U$35,Y7819,,Trigger)</f>
        <v>0.72843083571033318</v>
      </c>
    </row>
    <row r="7820" spans="25:26" x14ac:dyDescent="0.25">
      <c r="Y7820" s="63">
        <v>50353</v>
      </c>
      <c r="Z7820" s="61">
        <f>_xll.qlYieldTSDiscount($U$35,Y7820,,Trigger)</f>
        <v>0.72838937132270964</v>
      </c>
    </row>
    <row r="7821" spans="25:26" x14ac:dyDescent="0.25">
      <c r="Y7821" s="63">
        <v>50354</v>
      </c>
      <c r="Z7821" s="61">
        <f>_xll.qlYieldTSDiscount($U$35,Y7821,,Trigger)</f>
        <v>0.72834790298254404</v>
      </c>
    </row>
    <row r="7822" spans="25:26" x14ac:dyDescent="0.25">
      <c r="Y7822" s="63">
        <v>50355</v>
      </c>
      <c r="Z7822" s="61">
        <f>_xll.qlYieldTSDiscount($U$35,Y7822,,Trigger)</f>
        <v>0.72830643069235002</v>
      </c>
    </row>
    <row r="7823" spans="25:26" x14ac:dyDescent="0.25">
      <c r="Y7823" s="63">
        <v>50356</v>
      </c>
      <c r="Z7823" s="61">
        <f>_xll.qlYieldTSDiscount($U$35,Y7823,,Trigger)</f>
        <v>0.72826495445464101</v>
      </c>
    </row>
    <row r="7824" spans="25:26" x14ac:dyDescent="0.25">
      <c r="Y7824" s="63">
        <v>50357</v>
      </c>
      <c r="Z7824" s="61">
        <f>_xll.qlYieldTSDiscount($U$35,Y7824,,Trigger)</f>
        <v>0.72822347427193068</v>
      </c>
    </row>
    <row r="7825" spans="25:26" x14ac:dyDescent="0.25">
      <c r="Y7825" s="63">
        <v>50358</v>
      </c>
      <c r="Z7825" s="61">
        <f>_xll.qlYieldTSDiscount($U$35,Y7825,,Trigger)</f>
        <v>0.72818199014673246</v>
      </c>
    </row>
    <row r="7826" spans="25:26" x14ac:dyDescent="0.25">
      <c r="Y7826" s="63">
        <v>50359</v>
      </c>
      <c r="Z7826" s="61">
        <f>_xll.qlYieldTSDiscount($U$35,Y7826,,Trigger)</f>
        <v>0.72814050208155989</v>
      </c>
    </row>
    <row r="7827" spans="25:26" x14ac:dyDescent="0.25">
      <c r="Y7827" s="63">
        <v>50360</v>
      </c>
      <c r="Z7827" s="61">
        <f>_xll.qlYieldTSDiscount($U$35,Y7827,,Trigger)</f>
        <v>0.72809901007892674</v>
      </c>
    </row>
    <row r="7828" spans="25:26" x14ac:dyDescent="0.25">
      <c r="Y7828" s="63">
        <v>50361</v>
      </c>
      <c r="Z7828" s="61">
        <f>_xll.qlYieldTSDiscount($U$35,Y7828,,Trigger)</f>
        <v>0.72805751414134634</v>
      </c>
    </row>
    <row r="7829" spans="25:26" x14ac:dyDescent="0.25">
      <c r="Y7829" s="63">
        <v>50362</v>
      </c>
      <c r="Z7829" s="61">
        <f>_xll.qlYieldTSDiscount($U$35,Y7829,,Trigger)</f>
        <v>0.72801601427133233</v>
      </c>
    </row>
    <row r="7830" spans="25:26" x14ac:dyDescent="0.25">
      <c r="Y7830" s="63">
        <v>50363</v>
      </c>
      <c r="Z7830" s="61">
        <f>_xll.qlYieldTSDiscount($U$35,Y7830,,Trigger)</f>
        <v>0.72797451047139827</v>
      </c>
    </row>
    <row r="7831" spans="25:26" x14ac:dyDescent="0.25">
      <c r="Y7831" s="63">
        <v>50364</v>
      </c>
      <c r="Z7831" s="61">
        <f>_xll.qlYieldTSDiscount($U$35,Y7831,,Trigger)</f>
        <v>0.72793300274405759</v>
      </c>
    </row>
    <row r="7832" spans="25:26" x14ac:dyDescent="0.25">
      <c r="Y7832" s="63">
        <v>50365</v>
      </c>
      <c r="Z7832" s="61">
        <f>_xll.qlYieldTSDiscount($U$35,Y7832,,Trigger)</f>
        <v>0.72789149109182405</v>
      </c>
    </row>
    <row r="7833" spans="25:26" x14ac:dyDescent="0.25">
      <c r="Y7833" s="63">
        <v>50366</v>
      </c>
      <c r="Z7833" s="61">
        <f>_xll.qlYieldTSDiscount($U$35,Y7833,,Trigger)</f>
        <v>0.72784997551721098</v>
      </c>
    </row>
    <row r="7834" spans="25:26" x14ac:dyDescent="0.25">
      <c r="Y7834" s="63">
        <v>50367</v>
      </c>
      <c r="Z7834" s="61">
        <f>_xll.qlYieldTSDiscount($U$35,Y7834,,Trigger)</f>
        <v>0.72780845602273214</v>
      </c>
    </row>
    <row r="7835" spans="25:26" x14ac:dyDescent="0.25">
      <c r="Y7835" s="63">
        <v>50368</v>
      </c>
      <c r="Z7835" s="61">
        <f>_xll.qlYieldTSDiscount($U$35,Y7835,,Trigger)</f>
        <v>0.72776693261090086</v>
      </c>
    </row>
    <row r="7836" spans="25:26" x14ac:dyDescent="0.25">
      <c r="Y7836" s="63">
        <v>50369</v>
      </c>
      <c r="Z7836" s="61">
        <f>_xll.qlYieldTSDiscount($U$35,Y7836,,Trigger)</f>
        <v>0.72772540528423091</v>
      </c>
    </row>
    <row r="7837" spans="25:26" x14ac:dyDescent="0.25">
      <c r="Y7837" s="63">
        <v>50370</v>
      </c>
      <c r="Z7837" s="61">
        <f>_xll.qlYieldTSDiscount($U$35,Y7837,,Trigger)</f>
        <v>0.72768387404523571</v>
      </c>
    </row>
    <row r="7838" spans="25:26" x14ac:dyDescent="0.25">
      <c r="Y7838" s="63">
        <v>50371</v>
      </c>
      <c r="Z7838" s="61">
        <f>_xll.qlYieldTSDiscount($U$35,Y7838,,Trigger)</f>
        <v>0.72764233889642882</v>
      </c>
    </row>
    <row r="7839" spans="25:26" x14ac:dyDescent="0.25">
      <c r="Y7839" s="63">
        <v>50372</v>
      </c>
      <c r="Z7839" s="61">
        <f>_xll.qlYieldTSDiscount($U$35,Y7839,,Trigger)</f>
        <v>0.72760079984032389</v>
      </c>
    </row>
    <row r="7840" spans="25:26" x14ac:dyDescent="0.25">
      <c r="Y7840" s="63">
        <v>50373</v>
      </c>
      <c r="Z7840" s="61">
        <f>_xll.qlYieldTSDiscount($U$35,Y7840,,Trigger)</f>
        <v>0.72755925687943435</v>
      </c>
    </row>
    <row r="7841" spans="25:26" x14ac:dyDescent="0.25">
      <c r="Y7841" s="63">
        <v>50374</v>
      </c>
      <c r="Z7841" s="61">
        <f>_xll.qlYieldTSDiscount($U$35,Y7841,,Trigger)</f>
        <v>0.72751771001627386</v>
      </c>
    </row>
    <row r="7842" spans="25:26" x14ac:dyDescent="0.25">
      <c r="Y7842" s="63">
        <v>50375</v>
      </c>
      <c r="Z7842" s="61">
        <f>_xll.qlYieldTSDiscount($U$35,Y7842,,Trigger)</f>
        <v>0.72747615925335574</v>
      </c>
    </row>
    <row r="7843" spans="25:26" x14ac:dyDescent="0.25">
      <c r="Y7843" s="63">
        <v>50376</v>
      </c>
      <c r="Z7843" s="61">
        <f>_xll.qlYieldTSDiscount($U$35,Y7843,,Trigger)</f>
        <v>0.72743460459319387</v>
      </c>
    </row>
    <row r="7844" spans="25:26" x14ac:dyDescent="0.25">
      <c r="Y7844" s="63">
        <v>50377</v>
      </c>
      <c r="Z7844" s="61">
        <f>_xll.qlYieldTSDiscount($U$35,Y7844,,Trigger)</f>
        <v>0.72739304603830157</v>
      </c>
    </row>
    <row r="7845" spans="25:26" x14ac:dyDescent="0.25">
      <c r="Y7845" s="63">
        <v>50378</v>
      </c>
      <c r="Z7845" s="61">
        <f>_xll.qlYieldTSDiscount($U$35,Y7845,,Trigger)</f>
        <v>0.7273514835911925</v>
      </c>
    </row>
    <row r="7846" spans="25:26" x14ac:dyDescent="0.25">
      <c r="Y7846" s="63">
        <v>50379</v>
      </c>
      <c r="Z7846" s="61">
        <f>_xll.qlYieldTSDiscount($U$35,Y7846,,Trigger)</f>
        <v>0.7273099172543801</v>
      </c>
    </row>
    <row r="7847" spans="25:26" x14ac:dyDescent="0.25">
      <c r="Y7847" s="63">
        <v>50380</v>
      </c>
      <c r="Z7847" s="61">
        <f>_xll.qlYieldTSDiscount($U$35,Y7847,,Trigger)</f>
        <v>0.72726834703037813</v>
      </c>
    </row>
    <row r="7848" spans="25:26" x14ac:dyDescent="0.25">
      <c r="Y7848" s="63">
        <v>50381</v>
      </c>
      <c r="Z7848" s="61">
        <f>_xll.qlYieldTSDiscount($U$35,Y7848,,Trigger)</f>
        <v>0.7272267729216999</v>
      </c>
    </row>
    <row r="7849" spans="25:26" x14ac:dyDescent="0.25">
      <c r="Y7849" s="63">
        <v>50382</v>
      </c>
      <c r="Z7849" s="61">
        <f>_xll.qlYieldTSDiscount($U$35,Y7849,,Trigger)</f>
        <v>0.72718519493085909</v>
      </c>
    </row>
    <row r="7850" spans="25:26" x14ac:dyDescent="0.25">
      <c r="Y7850" s="63">
        <v>50383</v>
      </c>
      <c r="Z7850" s="61">
        <f>_xll.qlYieldTSDiscount($U$35,Y7850,,Trigger)</f>
        <v>0.72714361306036923</v>
      </c>
    </row>
    <row r="7851" spans="25:26" x14ac:dyDescent="0.25">
      <c r="Y7851" s="63">
        <v>50384</v>
      </c>
      <c r="Z7851" s="61">
        <f>_xll.qlYieldTSDiscount($U$35,Y7851,,Trigger)</f>
        <v>0.72710202731274387</v>
      </c>
    </row>
    <row r="7852" spans="25:26" x14ac:dyDescent="0.25">
      <c r="Y7852" s="63">
        <v>50385</v>
      </c>
      <c r="Z7852" s="61">
        <f>_xll.qlYieldTSDiscount($U$35,Y7852,,Trigger)</f>
        <v>0.72706043769049655</v>
      </c>
    </row>
    <row r="7853" spans="25:26" x14ac:dyDescent="0.25">
      <c r="Y7853" s="63">
        <v>50386</v>
      </c>
      <c r="Z7853" s="61">
        <f>_xll.qlYieldTSDiscount($U$35,Y7853,,Trigger)</f>
        <v>0.72701884419614082</v>
      </c>
    </row>
    <row r="7854" spans="25:26" x14ac:dyDescent="0.25">
      <c r="Y7854" s="63">
        <v>50387</v>
      </c>
      <c r="Z7854" s="61">
        <f>_xll.qlYieldTSDiscount($U$35,Y7854,,Trigger)</f>
        <v>0.72697724683219034</v>
      </c>
    </row>
    <row r="7855" spans="25:26" x14ac:dyDescent="0.25">
      <c r="Y7855" s="63">
        <v>50388</v>
      </c>
      <c r="Z7855" s="61">
        <f>_xll.qlYieldTSDiscount($U$35,Y7855,,Trigger)</f>
        <v>0.72693564560115853</v>
      </c>
    </row>
    <row r="7856" spans="25:26" x14ac:dyDescent="0.25">
      <c r="Y7856" s="63">
        <v>50389</v>
      </c>
      <c r="Z7856" s="61">
        <f>_xll.qlYieldTSDiscount($U$35,Y7856,,Trigger)</f>
        <v>0.72689404050555895</v>
      </c>
    </row>
    <row r="7857" spans="25:26" x14ac:dyDescent="0.25">
      <c r="Y7857" s="63">
        <v>50390</v>
      </c>
      <c r="Z7857" s="61">
        <f>_xll.qlYieldTSDiscount($U$35,Y7857,,Trigger)</f>
        <v>0.72685243154790513</v>
      </c>
    </row>
    <row r="7858" spans="25:26" x14ac:dyDescent="0.25">
      <c r="Y7858" s="63">
        <v>50391</v>
      </c>
      <c r="Z7858" s="61">
        <f>_xll.qlYieldTSDiscount($U$35,Y7858,,Trigger)</f>
        <v>0.72681081873071074</v>
      </c>
    </row>
    <row r="7859" spans="25:26" x14ac:dyDescent="0.25">
      <c r="Y7859" s="63">
        <v>50392</v>
      </c>
      <c r="Z7859" s="61">
        <f>_xll.qlYieldTSDiscount($U$35,Y7859,,Trigger)</f>
        <v>0.72676920205648921</v>
      </c>
    </row>
    <row r="7860" spans="25:26" x14ac:dyDescent="0.25">
      <c r="Y7860" s="63">
        <v>50393</v>
      </c>
      <c r="Z7860" s="61">
        <f>_xll.qlYieldTSDiscount($U$35,Y7860,,Trigger)</f>
        <v>0.72672758152775419</v>
      </c>
    </row>
    <row r="7861" spans="25:26" x14ac:dyDescent="0.25">
      <c r="Y7861" s="63">
        <v>50394</v>
      </c>
      <c r="Z7861" s="61">
        <f>_xll.qlYieldTSDiscount($U$35,Y7861,,Trigger)</f>
        <v>0.72668595714701911</v>
      </c>
    </row>
    <row r="7862" spans="25:26" x14ac:dyDescent="0.25">
      <c r="Y7862" s="63">
        <v>50395</v>
      </c>
      <c r="Z7862" s="61">
        <f>_xll.qlYieldTSDiscount($U$35,Y7862,,Trigger)</f>
        <v>0.72664432891679764</v>
      </c>
    </row>
    <row r="7863" spans="25:26" x14ac:dyDescent="0.25">
      <c r="Y7863" s="63">
        <v>50396</v>
      </c>
      <c r="Z7863" s="61">
        <f>_xll.qlYieldTSDiscount($U$35,Y7863,,Trigger)</f>
        <v>0.72660269683960332</v>
      </c>
    </row>
    <row r="7864" spans="25:26" x14ac:dyDescent="0.25">
      <c r="Y7864" s="63">
        <v>50397</v>
      </c>
      <c r="Z7864" s="61">
        <f>_xll.qlYieldTSDiscount($U$35,Y7864,,Trigger)</f>
        <v>0.72656106091794959</v>
      </c>
    </row>
    <row r="7865" spans="25:26" x14ac:dyDescent="0.25">
      <c r="Y7865" s="63">
        <v>50398</v>
      </c>
      <c r="Z7865" s="61">
        <f>_xll.qlYieldTSDiscount($U$35,Y7865,,Trigger)</f>
        <v>0.7265194211543502</v>
      </c>
    </row>
    <row r="7866" spans="25:26" x14ac:dyDescent="0.25">
      <c r="Y7866" s="63">
        <v>50399</v>
      </c>
      <c r="Z7866" s="61">
        <f>_xll.qlYieldTSDiscount($U$35,Y7866,,Trigger)</f>
        <v>0.72647777755131848</v>
      </c>
    </row>
    <row r="7867" spans="25:26" x14ac:dyDescent="0.25">
      <c r="Y7867" s="63">
        <v>50400</v>
      </c>
      <c r="Z7867" s="61">
        <f>_xll.qlYieldTSDiscount($U$35,Y7867,,Trigger)</f>
        <v>0.72643613011136809</v>
      </c>
    </row>
    <row r="7868" spans="25:26" x14ac:dyDescent="0.25">
      <c r="Y7868" s="63">
        <v>50401</v>
      </c>
      <c r="Z7868" s="61">
        <f>_xll.qlYieldTSDiscount($U$35,Y7868,,Trigger)</f>
        <v>0.72639447883701258</v>
      </c>
    </row>
    <row r="7869" spans="25:26" x14ac:dyDescent="0.25">
      <c r="Y7869" s="63">
        <v>50402</v>
      </c>
      <c r="Z7869" s="61">
        <f>_xll.qlYieldTSDiscount($U$35,Y7869,,Trigger)</f>
        <v>0.72635282373076548</v>
      </c>
    </row>
    <row r="7870" spans="25:26" x14ac:dyDescent="0.25">
      <c r="Y7870" s="63">
        <v>50403</v>
      </c>
      <c r="Z7870" s="61">
        <f>_xll.qlYieldTSDiscount($U$35,Y7870,,Trigger)</f>
        <v>0.72631116479514046</v>
      </c>
    </row>
    <row r="7871" spans="25:26" x14ac:dyDescent="0.25">
      <c r="Y7871" s="63">
        <v>50404</v>
      </c>
      <c r="Z7871" s="61">
        <f>_xll.qlYieldTSDiscount($U$35,Y7871,,Trigger)</f>
        <v>0.72626950203265084</v>
      </c>
    </row>
    <row r="7872" spans="25:26" x14ac:dyDescent="0.25">
      <c r="Y7872" s="63">
        <v>50405</v>
      </c>
      <c r="Z7872" s="61">
        <f>_xll.qlYieldTSDiscount($U$35,Y7872,,Trigger)</f>
        <v>0.72622783544581038</v>
      </c>
    </row>
    <row r="7873" spans="25:26" x14ac:dyDescent="0.25">
      <c r="Y7873" s="63">
        <v>50406</v>
      </c>
      <c r="Z7873" s="61">
        <f>_xll.qlYieldTSDiscount($U$35,Y7873,,Trigger)</f>
        <v>0.72618616503713251</v>
      </c>
    </row>
    <row r="7874" spans="25:26" x14ac:dyDescent="0.25">
      <c r="Y7874" s="63">
        <v>50407</v>
      </c>
      <c r="Z7874" s="61">
        <f>_xll.qlYieldTSDiscount($U$35,Y7874,,Trigger)</f>
        <v>0.72614449080913079</v>
      </c>
    </row>
    <row r="7875" spans="25:26" x14ac:dyDescent="0.25">
      <c r="Y7875" s="63">
        <v>50408</v>
      </c>
      <c r="Z7875" s="61">
        <f>_xll.qlYieldTSDiscount($U$35,Y7875,,Trigger)</f>
        <v>0.72610281276431887</v>
      </c>
    </row>
    <row r="7876" spans="25:26" x14ac:dyDescent="0.25">
      <c r="Y7876" s="63">
        <v>50409</v>
      </c>
      <c r="Z7876" s="61">
        <f>_xll.qlYieldTSDiscount($U$35,Y7876,,Trigger)</f>
        <v>0.72606113090521018</v>
      </c>
    </row>
    <row r="7877" spans="25:26" x14ac:dyDescent="0.25">
      <c r="Y7877" s="63">
        <v>50410</v>
      </c>
      <c r="Z7877" s="61">
        <f>_xll.qlYieldTSDiscount($U$35,Y7877,,Trigger)</f>
        <v>0.72601944523431827</v>
      </c>
    </row>
    <row r="7878" spans="25:26" x14ac:dyDescent="0.25">
      <c r="Y7878" s="63">
        <v>50411</v>
      </c>
      <c r="Z7878" s="61">
        <f>_xll.qlYieldTSDiscount($U$35,Y7878,,Trigger)</f>
        <v>0.72597775575415691</v>
      </c>
    </row>
    <row r="7879" spans="25:26" x14ac:dyDescent="0.25">
      <c r="Y7879" s="63">
        <v>50412</v>
      </c>
      <c r="Z7879" s="61">
        <f>_xll.qlYieldTSDiscount($U$35,Y7879,,Trigger)</f>
        <v>0.7259360624672393</v>
      </c>
    </row>
    <row r="7880" spans="25:26" x14ac:dyDescent="0.25">
      <c r="Y7880" s="63">
        <v>50413</v>
      </c>
      <c r="Z7880" s="61">
        <f>_xll.qlYieldTSDiscount($U$35,Y7880,,Trigger)</f>
        <v>0.72589436537607932</v>
      </c>
    </row>
    <row r="7881" spans="25:26" x14ac:dyDescent="0.25">
      <c r="Y7881" s="63">
        <v>50414</v>
      </c>
      <c r="Z7881" s="61">
        <f>_xll.qlYieldTSDiscount($U$35,Y7881,,Trigger)</f>
        <v>0.7258526644831903</v>
      </c>
    </row>
    <row r="7882" spans="25:26" x14ac:dyDescent="0.25">
      <c r="Y7882" s="63">
        <v>50415</v>
      </c>
      <c r="Z7882" s="61">
        <f>_xll.qlYieldTSDiscount($U$35,Y7882,,Trigger)</f>
        <v>0.7258109597910859</v>
      </c>
    </row>
    <row r="7883" spans="25:26" x14ac:dyDescent="0.25">
      <c r="Y7883" s="63">
        <v>50416</v>
      </c>
      <c r="Z7883" s="61">
        <f>_xll.qlYieldTSDiscount($U$35,Y7883,,Trigger)</f>
        <v>0.72576925130227965</v>
      </c>
    </row>
    <row r="7884" spans="25:26" x14ac:dyDescent="0.25">
      <c r="Y7884" s="63">
        <v>50417</v>
      </c>
      <c r="Z7884" s="61">
        <f>_xll.qlYieldTSDiscount($U$35,Y7884,,Trigger)</f>
        <v>0.72572753901928511</v>
      </c>
    </row>
    <row r="7885" spans="25:26" x14ac:dyDescent="0.25">
      <c r="Y7885" s="63">
        <v>50418</v>
      </c>
      <c r="Z7885" s="61">
        <f>_xll.qlYieldTSDiscount($U$35,Y7885,,Trigger)</f>
        <v>0.7256858229446157</v>
      </c>
    </row>
    <row r="7886" spans="25:26" x14ac:dyDescent="0.25">
      <c r="Y7886" s="63">
        <v>50419</v>
      </c>
      <c r="Z7886" s="61">
        <f>_xll.qlYieldTSDiscount($U$35,Y7886,,Trigger)</f>
        <v>0.7256441030807852</v>
      </c>
    </row>
    <row r="7887" spans="25:26" x14ac:dyDescent="0.25">
      <c r="Y7887" s="63">
        <v>50420</v>
      </c>
      <c r="Z7887" s="61">
        <f>_xll.qlYieldTSDiscount($U$35,Y7887,,Trigger)</f>
        <v>0.72560237943030703</v>
      </c>
    </row>
    <row r="7888" spans="25:26" x14ac:dyDescent="0.25">
      <c r="Y7888" s="63">
        <v>50421</v>
      </c>
      <c r="Z7888" s="61">
        <f>_xll.qlYieldTSDiscount($U$35,Y7888,,Trigger)</f>
        <v>0.72556065199569475</v>
      </c>
    </row>
    <row r="7889" spans="25:26" x14ac:dyDescent="0.25">
      <c r="Y7889" s="63">
        <v>50422</v>
      </c>
      <c r="Z7889" s="61">
        <f>_xll.qlYieldTSDiscount($U$35,Y7889,,Trigger)</f>
        <v>0.7255189207794619</v>
      </c>
    </row>
    <row r="7890" spans="25:26" x14ac:dyDescent="0.25">
      <c r="Y7890" s="63">
        <v>50423</v>
      </c>
      <c r="Z7890" s="61">
        <f>_xll.qlYieldTSDiscount($U$35,Y7890,,Trigger)</f>
        <v>0.72547718578412201</v>
      </c>
    </row>
    <row r="7891" spans="25:26" x14ac:dyDescent="0.25">
      <c r="Y7891" s="63">
        <v>50424</v>
      </c>
      <c r="Z7891" s="61">
        <f>_xll.qlYieldTSDiscount($U$35,Y7891,,Trigger)</f>
        <v>0.72543544701218876</v>
      </c>
    </row>
    <row r="7892" spans="25:26" x14ac:dyDescent="0.25">
      <c r="Y7892" s="63">
        <v>50425</v>
      </c>
      <c r="Z7892" s="61">
        <f>_xll.qlYieldTSDiscount($U$35,Y7892,,Trigger)</f>
        <v>0.72539370446617557</v>
      </c>
    </row>
    <row r="7893" spans="25:26" x14ac:dyDescent="0.25">
      <c r="Y7893" s="63">
        <v>50426</v>
      </c>
      <c r="Z7893" s="61">
        <f>_xll.qlYieldTSDiscount($U$35,Y7893,,Trigger)</f>
        <v>0.72535195814859599</v>
      </c>
    </row>
    <row r="7894" spans="25:26" x14ac:dyDescent="0.25">
      <c r="Y7894" s="63">
        <v>50427</v>
      </c>
      <c r="Z7894" s="61">
        <f>_xll.qlYieldTSDiscount($U$35,Y7894,,Trigger)</f>
        <v>0.72531020806196367</v>
      </c>
    </row>
    <row r="7895" spans="25:26" x14ac:dyDescent="0.25">
      <c r="Y7895" s="63">
        <v>50428</v>
      </c>
      <c r="Z7895" s="61">
        <f>_xll.qlYieldTSDiscount($U$35,Y7895,,Trigger)</f>
        <v>0.72526845420879216</v>
      </c>
    </row>
    <row r="7896" spans="25:26" x14ac:dyDescent="0.25">
      <c r="Y7896" s="63">
        <v>50429</v>
      </c>
      <c r="Z7896" s="61">
        <f>_xll.qlYieldTSDiscount($U$35,Y7896,,Trigger)</f>
        <v>0.72522669659159489</v>
      </c>
    </row>
    <row r="7897" spans="25:26" x14ac:dyDescent="0.25">
      <c r="Y7897" s="63">
        <v>50430</v>
      </c>
      <c r="Z7897" s="61">
        <f>_xll.qlYieldTSDiscount($U$35,Y7897,,Trigger)</f>
        <v>0.72518493521288552</v>
      </c>
    </row>
    <row r="7898" spans="25:26" x14ac:dyDescent="0.25">
      <c r="Y7898" s="63">
        <v>50431</v>
      </c>
      <c r="Z7898" s="61">
        <f>_xll.qlYieldTSDiscount($U$35,Y7898,,Trigger)</f>
        <v>0.72514317007517748</v>
      </c>
    </row>
    <row r="7899" spans="25:26" x14ac:dyDescent="0.25">
      <c r="Y7899" s="63">
        <v>50432</v>
      </c>
      <c r="Z7899" s="61">
        <f>_xll.qlYieldTSDiscount($U$35,Y7899,,Trigger)</f>
        <v>0.72510140118098443</v>
      </c>
    </row>
    <row r="7900" spans="25:26" x14ac:dyDescent="0.25">
      <c r="Y7900" s="63">
        <v>50433</v>
      </c>
      <c r="Z7900" s="61">
        <f>_xll.qlYieldTSDiscount($U$35,Y7900,,Trigger)</f>
        <v>0.72505962853281991</v>
      </c>
    </row>
    <row r="7901" spans="25:26" x14ac:dyDescent="0.25">
      <c r="Y7901" s="63">
        <v>50434</v>
      </c>
      <c r="Z7901" s="61">
        <f>_xll.qlYieldTSDiscount($U$35,Y7901,,Trigger)</f>
        <v>0.72501785213319747</v>
      </c>
    </row>
    <row r="7902" spans="25:26" x14ac:dyDescent="0.25">
      <c r="Y7902" s="63">
        <v>50435</v>
      </c>
      <c r="Z7902" s="61">
        <f>_xll.qlYieldTSDiscount($U$35,Y7902,,Trigger)</f>
        <v>0.72497607198463065</v>
      </c>
    </row>
    <row r="7903" spans="25:26" x14ac:dyDescent="0.25">
      <c r="Y7903" s="63">
        <v>50436</v>
      </c>
      <c r="Z7903" s="61">
        <f>_xll.qlYieldTSDiscount($U$35,Y7903,,Trigger)</f>
        <v>0.72493428808963301</v>
      </c>
    </row>
    <row r="7904" spans="25:26" x14ac:dyDescent="0.25">
      <c r="Y7904" s="63">
        <v>50437</v>
      </c>
      <c r="Z7904" s="61">
        <f>_xll.qlYieldTSDiscount($U$35,Y7904,,Trigger)</f>
        <v>0.72489250045071807</v>
      </c>
    </row>
    <row r="7905" spans="25:26" x14ac:dyDescent="0.25">
      <c r="Y7905" s="63">
        <v>50438</v>
      </c>
      <c r="Z7905" s="61">
        <f>_xll.qlYieldTSDiscount($U$35,Y7905,,Trigger)</f>
        <v>0.72485070907039939</v>
      </c>
    </row>
    <row r="7906" spans="25:26" x14ac:dyDescent="0.25">
      <c r="Y7906" s="63">
        <v>50439</v>
      </c>
      <c r="Z7906" s="61">
        <f>_xll.qlYieldTSDiscount($U$35,Y7906,,Trigger)</f>
        <v>0.72480891395119051</v>
      </c>
    </row>
    <row r="7907" spans="25:26" x14ac:dyDescent="0.25">
      <c r="Y7907" s="63">
        <v>50440</v>
      </c>
      <c r="Z7907" s="61">
        <f>_xll.qlYieldTSDiscount($U$35,Y7907,,Trigger)</f>
        <v>0.72476711509560499</v>
      </c>
    </row>
    <row r="7908" spans="25:26" x14ac:dyDescent="0.25">
      <c r="Y7908" s="63">
        <v>50441</v>
      </c>
      <c r="Z7908" s="61">
        <f>_xll.qlYieldTSDiscount($U$35,Y7908,,Trigger)</f>
        <v>0.72472531250615646</v>
      </c>
    </row>
    <row r="7909" spans="25:26" x14ac:dyDescent="0.25">
      <c r="Y7909" s="63">
        <v>50442</v>
      </c>
      <c r="Z7909" s="61">
        <f>_xll.qlYieldTSDiscount($U$35,Y7909,,Trigger)</f>
        <v>0.72468350618535837</v>
      </c>
    </row>
    <row r="7910" spans="25:26" x14ac:dyDescent="0.25">
      <c r="Y7910" s="63">
        <v>50443</v>
      </c>
      <c r="Z7910" s="61">
        <f>_xll.qlYieldTSDiscount($U$35,Y7910,,Trigger)</f>
        <v>0.72464169613572427</v>
      </c>
    </row>
    <row r="7911" spans="25:26" x14ac:dyDescent="0.25">
      <c r="Y7911" s="63">
        <v>50444</v>
      </c>
      <c r="Z7911" s="61">
        <f>_xll.qlYieldTSDiscount($U$35,Y7911,,Trigger)</f>
        <v>0.7245998823597678</v>
      </c>
    </row>
    <row r="7912" spans="25:26" x14ac:dyDescent="0.25">
      <c r="Y7912" s="63">
        <v>50445</v>
      </c>
      <c r="Z7912" s="61">
        <f>_xll.qlYieldTSDiscount($U$35,Y7912,,Trigger)</f>
        <v>0.7245580648600024</v>
      </c>
    </row>
    <row r="7913" spans="25:26" x14ac:dyDescent="0.25">
      <c r="Y7913" s="63">
        <v>50446</v>
      </c>
      <c r="Z7913" s="61">
        <f>_xll.qlYieldTSDiscount($U$35,Y7913,,Trigger)</f>
        <v>0.72451624363894174</v>
      </c>
    </row>
    <row r="7914" spans="25:26" x14ac:dyDescent="0.25">
      <c r="Y7914" s="63">
        <v>50447</v>
      </c>
      <c r="Z7914" s="61">
        <f>_xll.qlYieldTSDiscount($U$35,Y7914,,Trigger)</f>
        <v>0.72447441869909934</v>
      </c>
    </row>
    <row r="7915" spans="25:26" x14ac:dyDescent="0.25">
      <c r="Y7915" s="63">
        <v>50448</v>
      </c>
      <c r="Z7915" s="61">
        <f>_xll.qlYieldTSDiscount($U$35,Y7915,,Trigger)</f>
        <v>0.72443259004298866</v>
      </c>
    </row>
    <row r="7916" spans="25:26" x14ac:dyDescent="0.25">
      <c r="Y7916" s="63">
        <v>50449</v>
      </c>
      <c r="Z7916" s="61">
        <f>_xll.qlYieldTSDiscount($U$35,Y7916,,Trigger)</f>
        <v>0.72439075767312333</v>
      </c>
    </row>
    <row r="7917" spans="25:26" x14ac:dyDescent="0.25">
      <c r="Y7917" s="63">
        <v>50450</v>
      </c>
      <c r="Z7917" s="61">
        <f>_xll.qlYieldTSDiscount($U$35,Y7917,,Trigger)</f>
        <v>0.7243489215920168</v>
      </c>
    </row>
    <row r="7918" spans="25:26" x14ac:dyDescent="0.25">
      <c r="Y7918" s="63">
        <v>50451</v>
      </c>
      <c r="Z7918" s="61">
        <f>_xll.qlYieldTSDiscount($U$35,Y7918,,Trigger)</f>
        <v>0.72430708180218284</v>
      </c>
    </row>
    <row r="7919" spans="25:26" x14ac:dyDescent="0.25">
      <c r="Y7919" s="63">
        <v>50452</v>
      </c>
      <c r="Z7919" s="61">
        <f>_xll.qlYieldTSDiscount($U$35,Y7919,,Trigger)</f>
        <v>0.72426523830613476</v>
      </c>
    </row>
    <row r="7920" spans="25:26" x14ac:dyDescent="0.25">
      <c r="Y7920" s="63">
        <v>50453</v>
      </c>
      <c r="Z7920" s="61">
        <f>_xll.qlYieldTSDiscount($U$35,Y7920,,Trigger)</f>
        <v>0.72422339110638634</v>
      </c>
    </row>
    <row r="7921" spans="25:26" x14ac:dyDescent="0.25">
      <c r="Y7921" s="63">
        <v>50454</v>
      </c>
      <c r="Z7921" s="61">
        <f>_xll.qlYieldTSDiscount($U$35,Y7921,,Trigger)</f>
        <v>0.724181540205451</v>
      </c>
    </row>
    <row r="7922" spans="25:26" x14ac:dyDescent="0.25">
      <c r="Y7922" s="63">
        <v>50455</v>
      </c>
      <c r="Z7922" s="61">
        <f>_xll.qlYieldTSDiscount($U$35,Y7922,,Trigger)</f>
        <v>0.72413968560584219</v>
      </c>
    </row>
    <row r="7923" spans="25:26" x14ac:dyDescent="0.25">
      <c r="Y7923" s="63">
        <v>50456</v>
      </c>
      <c r="Z7923" s="61">
        <f>_xll.qlYieldTSDiscount($U$35,Y7923,,Trigger)</f>
        <v>0.72409782731007366</v>
      </c>
    </row>
    <row r="7924" spans="25:26" x14ac:dyDescent="0.25">
      <c r="Y7924" s="63">
        <v>50457</v>
      </c>
      <c r="Z7924" s="61">
        <f>_xll.qlYieldTSDiscount($U$35,Y7924,,Trigger)</f>
        <v>0.72405596532065875</v>
      </c>
    </row>
    <row r="7925" spans="25:26" x14ac:dyDescent="0.25">
      <c r="Y7925" s="63">
        <v>50458</v>
      </c>
      <c r="Z7925" s="61">
        <f>_xll.qlYieldTSDiscount($U$35,Y7925,,Trigger)</f>
        <v>0.72401409964011132</v>
      </c>
    </row>
    <row r="7926" spans="25:26" x14ac:dyDescent="0.25">
      <c r="Y7926" s="63">
        <v>50459</v>
      </c>
      <c r="Z7926" s="61">
        <f>_xll.qlYieldTSDiscount($U$35,Y7926,,Trigger)</f>
        <v>0.72397223027094459</v>
      </c>
    </row>
    <row r="7927" spans="25:26" x14ac:dyDescent="0.25">
      <c r="Y7927" s="63">
        <v>50460</v>
      </c>
      <c r="Z7927" s="61">
        <f>_xll.qlYieldTSDiscount($U$35,Y7927,,Trigger)</f>
        <v>0.72393035721567234</v>
      </c>
    </row>
    <row r="7928" spans="25:26" x14ac:dyDescent="0.25">
      <c r="Y7928" s="63">
        <v>50461</v>
      </c>
      <c r="Z7928" s="61">
        <f>_xll.qlYieldTSDiscount($U$35,Y7928,,Trigger)</f>
        <v>0.72388848047680798</v>
      </c>
    </row>
    <row r="7929" spans="25:26" x14ac:dyDescent="0.25">
      <c r="Y7929" s="63">
        <v>50462</v>
      </c>
      <c r="Z7929" s="61">
        <f>_xll.qlYieldTSDiscount($U$35,Y7929,,Trigger)</f>
        <v>0.72384660005686519</v>
      </c>
    </row>
    <row r="7930" spans="25:26" x14ac:dyDescent="0.25">
      <c r="Y7930" s="63">
        <v>50463</v>
      </c>
      <c r="Z7930" s="61">
        <f>_xll.qlYieldTSDiscount($U$35,Y7930,,Trigger)</f>
        <v>0.72380471595835738</v>
      </c>
    </row>
    <row r="7931" spans="25:26" x14ac:dyDescent="0.25">
      <c r="Y7931" s="63">
        <v>50464</v>
      </c>
      <c r="Z7931" s="61">
        <f>_xll.qlYieldTSDiscount($U$35,Y7931,,Trigger)</f>
        <v>0.72376282818379822</v>
      </c>
    </row>
    <row r="7932" spans="25:26" x14ac:dyDescent="0.25">
      <c r="Y7932" s="63">
        <v>50465</v>
      </c>
      <c r="Z7932" s="61">
        <f>_xll.qlYieldTSDiscount($U$35,Y7932,,Trigger)</f>
        <v>0.72372093673570115</v>
      </c>
    </row>
    <row r="7933" spans="25:26" x14ac:dyDescent="0.25">
      <c r="Y7933" s="63">
        <v>50466</v>
      </c>
      <c r="Z7933" s="61">
        <f>_xll.qlYieldTSDiscount($U$35,Y7933,,Trigger)</f>
        <v>0.72367904161657981</v>
      </c>
    </row>
    <row r="7934" spans="25:26" x14ac:dyDescent="0.25">
      <c r="Y7934" s="63">
        <v>50467</v>
      </c>
      <c r="Z7934" s="61">
        <f>_xll.qlYieldTSDiscount($U$35,Y7934,,Trigger)</f>
        <v>0.72363714282894787</v>
      </c>
    </row>
    <row r="7935" spans="25:26" x14ac:dyDescent="0.25">
      <c r="Y7935" s="63">
        <v>50468</v>
      </c>
      <c r="Z7935" s="61">
        <f>_xll.qlYieldTSDiscount($U$35,Y7935,,Trigger)</f>
        <v>0.72359524037531853</v>
      </c>
    </row>
    <row r="7936" spans="25:26" x14ac:dyDescent="0.25">
      <c r="Y7936" s="63">
        <v>50469</v>
      </c>
      <c r="Z7936" s="61">
        <f>_xll.qlYieldTSDiscount($U$35,Y7936,,Trigger)</f>
        <v>0.72355333425820567</v>
      </c>
    </row>
    <row r="7937" spans="25:26" x14ac:dyDescent="0.25">
      <c r="Y7937" s="63">
        <v>50470</v>
      </c>
      <c r="Z7937" s="61">
        <f>_xll.qlYieldTSDiscount($U$35,Y7937,,Trigger)</f>
        <v>0.72351142448012273</v>
      </c>
    </row>
    <row r="7938" spans="25:26" x14ac:dyDescent="0.25">
      <c r="Y7938" s="63">
        <v>50471</v>
      </c>
      <c r="Z7938" s="61">
        <f>_xll.qlYieldTSDiscount($U$35,Y7938,,Trigger)</f>
        <v>0.72346951104358315</v>
      </c>
    </row>
    <row r="7939" spans="25:26" x14ac:dyDescent="0.25">
      <c r="Y7939" s="63">
        <v>50472</v>
      </c>
      <c r="Z7939" s="61">
        <f>_xll.qlYieldTSDiscount($U$35,Y7939,,Trigger)</f>
        <v>0.72342759395110068</v>
      </c>
    </row>
    <row r="7940" spans="25:26" x14ac:dyDescent="0.25">
      <c r="Y7940" s="63">
        <v>50473</v>
      </c>
      <c r="Z7940" s="61">
        <f>_xll.qlYieldTSDiscount($U$35,Y7940,,Trigger)</f>
        <v>0.72338567320518865</v>
      </c>
    </row>
    <row r="7941" spans="25:26" x14ac:dyDescent="0.25">
      <c r="Y7941" s="63">
        <v>50474</v>
      </c>
      <c r="Z7941" s="61">
        <f>_xll.qlYieldTSDiscount($U$35,Y7941,,Trigger)</f>
        <v>0.72334374880836083</v>
      </c>
    </row>
    <row r="7942" spans="25:26" x14ac:dyDescent="0.25">
      <c r="Y7942" s="63">
        <v>50475</v>
      </c>
      <c r="Z7942" s="61">
        <f>_xll.qlYieldTSDiscount($U$35,Y7942,,Trigger)</f>
        <v>0.72330182076313077</v>
      </c>
    </row>
    <row r="7943" spans="25:26" x14ac:dyDescent="0.25">
      <c r="Y7943" s="63">
        <v>50476</v>
      </c>
      <c r="Z7943" s="61">
        <f>_xll.qlYieldTSDiscount($U$35,Y7943,,Trigger)</f>
        <v>0.72325988907201177</v>
      </c>
    </row>
    <row r="7944" spans="25:26" x14ac:dyDescent="0.25">
      <c r="Y7944" s="63">
        <v>50477</v>
      </c>
      <c r="Z7944" s="61">
        <f>_xll.qlYieldTSDiscount($U$35,Y7944,,Trigger)</f>
        <v>0.72321795373751763</v>
      </c>
    </row>
    <row r="7945" spans="25:26" x14ac:dyDescent="0.25">
      <c r="Y7945" s="63">
        <v>50478</v>
      </c>
      <c r="Z7945" s="61">
        <f>_xll.qlYieldTSDiscount($U$35,Y7945,,Trigger)</f>
        <v>0.72317601476216176</v>
      </c>
    </row>
    <row r="7946" spans="25:26" x14ac:dyDescent="0.25">
      <c r="Y7946" s="63">
        <v>50479</v>
      </c>
      <c r="Z7946" s="61">
        <f>_xll.qlYieldTSDiscount($U$35,Y7946,,Trigger)</f>
        <v>0.72313407214845771</v>
      </c>
    </row>
    <row r="7947" spans="25:26" x14ac:dyDescent="0.25">
      <c r="Y7947" s="63">
        <v>50480</v>
      </c>
      <c r="Z7947" s="61">
        <f>_xll.qlYieldTSDiscount($U$35,Y7947,,Trigger)</f>
        <v>0.72309212589891914</v>
      </c>
    </row>
    <row r="7948" spans="25:26" x14ac:dyDescent="0.25">
      <c r="Y7948" s="63">
        <v>50481</v>
      </c>
      <c r="Z7948" s="61">
        <f>_xll.qlYieldTSDiscount($U$35,Y7948,,Trigger)</f>
        <v>0.72305017601605959</v>
      </c>
    </row>
    <row r="7949" spans="25:26" x14ac:dyDescent="0.25">
      <c r="Y7949" s="63">
        <v>50482</v>
      </c>
      <c r="Z7949" s="61">
        <f>_xll.qlYieldTSDiscount($U$35,Y7949,,Trigger)</f>
        <v>0.72300822250239249</v>
      </c>
    </row>
    <row r="7950" spans="25:26" x14ac:dyDescent="0.25">
      <c r="Y7950" s="63">
        <v>50483</v>
      </c>
      <c r="Z7950" s="61">
        <f>_xll.qlYieldTSDiscount($U$35,Y7950,,Trigger)</f>
        <v>0.72296626536043163</v>
      </c>
    </row>
    <row r="7951" spans="25:26" x14ac:dyDescent="0.25">
      <c r="Y7951" s="63">
        <v>50484</v>
      </c>
      <c r="Z7951" s="61">
        <f>_xll.qlYieldTSDiscount($U$35,Y7951,,Trigger)</f>
        <v>0.72292430459269019</v>
      </c>
    </row>
    <row r="7952" spans="25:26" x14ac:dyDescent="0.25">
      <c r="Y7952" s="63">
        <v>50485</v>
      </c>
      <c r="Z7952" s="61">
        <f>_xll.qlYieldTSDiscount($U$35,Y7952,,Trigger)</f>
        <v>0.72288234020168207</v>
      </c>
    </row>
    <row r="7953" spans="25:26" x14ac:dyDescent="0.25">
      <c r="Y7953" s="63">
        <v>50486</v>
      </c>
      <c r="Z7953" s="61">
        <f>_xll.qlYieldTSDiscount($U$35,Y7953,,Trigger)</f>
        <v>0.72284037218992059</v>
      </c>
    </row>
    <row r="7954" spans="25:26" x14ac:dyDescent="0.25">
      <c r="Y7954" s="63">
        <v>50487</v>
      </c>
      <c r="Z7954" s="61">
        <f>_xll.qlYieldTSDiscount($U$35,Y7954,,Trigger)</f>
        <v>0.7227984005599194</v>
      </c>
    </row>
    <row r="7955" spans="25:26" x14ac:dyDescent="0.25">
      <c r="Y7955" s="63">
        <v>50488</v>
      </c>
      <c r="Z7955" s="61">
        <f>_xll.qlYieldTSDiscount($U$35,Y7955,,Trigger)</f>
        <v>0.72275642531419204</v>
      </c>
    </row>
    <row r="7956" spans="25:26" x14ac:dyDescent="0.25">
      <c r="Y7956" s="63">
        <v>50489</v>
      </c>
      <c r="Z7956" s="61">
        <f>_xll.qlYieldTSDiscount($U$35,Y7956,,Trigger)</f>
        <v>0.72271444645525207</v>
      </c>
    </row>
    <row r="7957" spans="25:26" x14ac:dyDescent="0.25">
      <c r="Y7957" s="63">
        <v>50490</v>
      </c>
      <c r="Z7957" s="61">
        <f>_xll.qlYieldTSDiscount($U$35,Y7957,,Trigger)</f>
        <v>0.72267246398561313</v>
      </c>
    </row>
    <row r="7958" spans="25:26" x14ac:dyDescent="0.25">
      <c r="Y7958" s="63">
        <v>50491</v>
      </c>
      <c r="Z7958" s="61">
        <f>_xll.qlYieldTSDiscount($U$35,Y7958,,Trigger)</f>
        <v>0.72263047790778867</v>
      </c>
    </row>
    <row r="7959" spans="25:26" x14ac:dyDescent="0.25">
      <c r="Y7959" s="63">
        <v>50492</v>
      </c>
      <c r="Z7959" s="61">
        <f>_xll.qlYieldTSDiscount($U$35,Y7959,,Trigger)</f>
        <v>0.72258848822429211</v>
      </c>
    </row>
    <row r="7960" spans="25:26" x14ac:dyDescent="0.25">
      <c r="Y7960" s="63">
        <v>50493</v>
      </c>
      <c r="Z7960" s="61">
        <f>_xll.qlYieldTSDiscount($U$35,Y7960,,Trigger)</f>
        <v>0.72254649493763723</v>
      </c>
    </row>
    <row r="7961" spans="25:26" x14ac:dyDescent="0.25">
      <c r="Y7961" s="63">
        <v>50494</v>
      </c>
      <c r="Z7961" s="61">
        <f>_xll.qlYieldTSDiscount($U$35,Y7961,,Trigger)</f>
        <v>0.72250449805033745</v>
      </c>
    </row>
    <row r="7962" spans="25:26" x14ac:dyDescent="0.25">
      <c r="Y7962" s="63">
        <v>50495</v>
      </c>
      <c r="Z7962" s="61">
        <f>_xll.qlYieldTSDiscount($U$35,Y7962,,Trigger)</f>
        <v>0.72246249756490644</v>
      </c>
    </row>
    <row r="7963" spans="25:26" x14ac:dyDescent="0.25">
      <c r="Y7963" s="63">
        <v>50496</v>
      </c>
      <c r="Z7963" s="61">
        <f>_xll.qlYieldTSDiscount($U$35,Y7963,,Trigger)</f>
        <v>0.72242049348385762</v>
      </c>
    </row>
    <row r="7964" spans="25:26" x14ac:dyDescent="0.25">
      <c r="Y7964" s="63">
        <v>50497</v>
      </c>
      <c r="Z7964" s="61">
        <f>_xll.qlYieldTSDiscount($U$35,Y7964,,Trigger)</f>
        <v>0.72237848580970454</v>
      </c>
    </row>
    <row r="7965" spans="25:26" x14ac:dyDescent="0.25">
      <c r="Y7965" s="63">
        <v>50498</v>
      </c>
      <c r="Z7965" s="61">
        <f>_xll.qlYieldTSDiscount($U$35,Y7965,,Trigger)</f>
        <v>0.72233647454496086</v>
      </c>
    </row>
    <row r="7966" spans="25:26" x14ac:dyDescent="0.25">
      <c r="Y7966" s="63">
        <v>50499</v>
      </c>
      <c r="Z7966" s="61">
        <f>_xll.qlYieldTSDiscount($U$35,Y7966,,Trigger)</f>
        <v>0.72229445969214012</v>
      </c>
    </row>
    <row r="7967" spans="25:26" x14ac:dyDescent="0.25">
      <c r="Y7967" s="63">
        <v>50500</v>
      </c>
      <c r="Z7967" s="61">
        <f>_xll.qlYieldTSDiscount($U$35,Y7967,,Trigger)</f>
        <v>0.72225244125375576</v>
      </c>
    </row>
    <row r="7968" spans="25:26" x14ac:dyDescent="0.25">
      <c r="Y7968" s="63">
        <v>50501</v>
      </c>
      <c r="Z7968" s="61">
        <f>_xll.qlYieldTSDiscount($U$35,Y7968,,Trigger)</f>
        <v>0.72221041923232143</v>
      </c>
    </row>
    <row r="7969" spans="25:26" x14ac:dyDescent="0.25">
      <c r="Y7969" s="63">
        <v>50502</v>
      </c>
      <c r="Z7969" s="61">
        <f>_xll.qlYieldTSDiscount($U$35,Y7969,,Trigger)</f>
        <v>0.72216839363035068</v>
      </c>
    </row>
    <row r="7970" spans="25:26" x14ac:dyDescent="0.25">
      <c r="Y7970" s="63">
        <v>50503</v>
      </c>
      <c r="Z7970" s="61">
        <f>_xll.qlYieldTSDiscount($U$35,Y7970,,Trigger)</f>
        <v>0.72212636445035705</v>
      </c>
    </row>
    <row r="7971" spans="25:26" x14ac:dyDescent="0.25">
      <c r="Y7971" s="63">
        <v>50504</v>
      </c>
      <c r="Z7971" s="61">
        <f>_xll.qlYieldTSDiscount($U$35,Y7971,,Trigger)</f>
        <v>0.72208433169485398</v>
      </c>
    </row>
    <row r="7972" spans="25:26" x14ac:dyDescent="0.25">
      <c r="Y7972" s="63">
        <v>50505</v>
      </c>
      <c r="Z7972" s="61">
        <f>_xll.qlYieldTSDiscount($U$35,Y7972,,Trigger)</f>
        <v>0.72204229536635511</v>
      </c>
    </row>
    <row r="7973" spans="25:26" x14ac:dyDescent="0.25">
      <c r="Y7973" s="63">
        <v>50506</v>
      </c>
      <c r="Z7973" s="61">
        <f>_xll.qlYieldTSDiscount($U$35,Y7973,,Trigger)</f>
        <v>0.72200025546737412</v>
      </c>
    </row>
    <row r="7974" spans="25:26" x14ac:dyDescent="0.25">
      <c r="Y7974" s="63">
        <v>50507</v>
      </c>
      <c r="Z7974" s="61">
        <f>_xll.qlYieldTSDiscount($U$35,Y7974,,Trigger)</f>
        <v>0.72195821200042443</v>
      </c>
    </row>
    <row r="7975" spans="25:26" x14ac:dyDescent="0.25">
      <c r="Y7975" s="63">
        <v>50508</v>
      </c>
      <c r="Z7975" s="61">
        <f>_xll.qlYieldTSDiscount($U$35,Y7975,,Trigger)</f>
        <v>0.72191616496801947</v>
      </c>
    </row>
    <row r="7976" spans="25:26" x14ac:dyDescent="0.25">
      <c r="Y7976" s="63">
        <v>50509</v>
      </c>
      <c r="Z7976" s="61">
        <f>_xll.qlYieldTSDiscount($U$35,Y7976,,Trigger)</f>
        <v>0.72187411437267301</v>
      </c>
    </row>
    <row r="7977" spans="25:26" x14ac:dyDescent="0.25">
      <c r="Y7977" s="63">
        <v>50510</v>
      </c>
      <c r="Z7977" s="61">
        <f>_xll.qlYieldTSDiscount($U$35,Y7977,,Trigger)</f>
        <v>0.72183206021689839</v>
      </c>
    </row>
    <row r="7978" spans="25:26" x14ac:dyDescent="0.25">
      <c r="Y7978" s="63">
        <v>50511</v>
      </c>
      <c r="Z7978" s="61">
        <f>_xll.qlYieldTSDiscount($U$35,Y7978,,Trigger)</f>
        <v>0.72179000250320946</v>
      </c>
    </row>
    <row r="7979" spans="25:26" x14ac:dyDescent="0.25">
      <c r="Y7979" s="63">
        <v>50512</v>
      </c>
      <c r="Z7979" s="61">
        <f>_xll.qlYieldTSDiscount($U$35,Y7979,,Trigger)</f>
        <v>0.72174794123411956</v>
      </c>
    </row>
    <row r="7980" spans="25:26" x14ac:dyDescent="0.25">
      <c r="Y7980" s="63">
        <v>50513</v>
      </c>
      <c r="Z7980" s="61">
        <f>_xll.qlYieldTSDiscount($U$35,Y7980,,Trigger)</f>
        <v>0.72170587641214212</v>
      </c>
    </row>
    <row r="7981" spans="25:26" x14ac:dyDescent="0.25">
      <c r="Y7981" s="63">
        <v>50514</v>
      </c>
      <c r="Z7981" s="61">
        <f>_xll.qlYieldTSDiscount($U$35,Y7981,,Trigger)</f>
        <v>0.72166380803979102</v>
      </c>
    </row>
    <row r="7982" spans="25:26" x14ac:dyDescent="0.25">
      <c r="Y7982" s="63">
        <v>50515</v>
      </c>
      <c r="Z7982" s="61">
        <f>_xll.qlYieldTSDiscount($U$35,Y7982,,Trigger)</f>
        <v>0.72162173611957958</v>
      </c>
    </row>
    <row r="7983" spans="25:26" x14ac:dyDescent="0.25">
      <c r="Y7983" s="63">
        <v>50516</v>
      </c>
      <c r="Z7983" s="61">
        <f>_xll.qlYieldTSDiscount($U$35,Y7983,,Trigger)</f>
        <v>0.72157966065402135</v>
      </c>
    </row>
    <row r="7984" spans="25:26" x14ac:dyDescent="0.25">
      <c r="Y7984" s="63">
        <v>50517</v>
      </c>
      <c r="Z7984" s="61">
        <f>_xll.qlYieldTSDiscount($U$35,Y7984,,Trigger)</f>
        <v>0.72153758164562998</v>
      </c>
    </row>
    <row r="7985" spans="25:26" x14ac:dyDescent="0.25">
      <c r="Y7985" s="63">
        <v>50518</v>
      </c>
      <c r="Z7985" s="61">
        <f>_xll.qlYieldTSDiscount($U$35,Y7985,,Trigger)</f>
        <v>0.72149549909691901</v>
      </c>
    </row>
    <row r="7986" spans="25:26" x14ac:dyDescent="0.25">
      <c r="Y7986" s="63">
        <v>50519</v>
      </c>
      <c r="Z7986" s="61">
        <f>_xll.qlYieldTSDiscount($U$35,Y7986,,Trigger)</f>
        <v>0.721453413010402</v>
      </c>
    </row>
    <row r="7987" spans="25:26" x14ac:dyDescent="0.25">
      <c r="Y7987" s="63">
        <v>50520</v>
      </c>
      <c r="Z7987" s="61">
        <f>_xll.qlYieldTSDiscount($U$35,Y7987,,Trigger)</f>
        <v>0.72141132338859237</v>
      </c>
    </row>
    <row r="7988" spans="25:26" x14ac:dyDescent="0.25">
      <c r="Y7988" s="63">
        <v>50521</v>
      </c>
      <c r="Z7988" s="61">
        <f>_xll.qlYieldTSDiscount($U$35,Y7988,,Trigger)</f>
        <v>0.72136923023400379</v>
      </c>
    </row>
    <row r="7989" spans="25:26" x14ac:dyDescent="0.25">
      <c r="Y7989" s="63">
        <v>50522</v>
      </c>
      <c r="Z7989" s="61">
        <f>_xll.qlYieldTSDiscount($U$35,Y7989,,Trigger)</f>
        <v>0.72132713354914979</v>
      </c>
    </row>
    <row r="7990" spans="25:26" x14ac:dyDescent="0.25">
      <c r="Y7990" s="63">
        <v>50523</v>
      </c>
      <c r="Z7990" s="61">
        <f>_xll.qlYieldTSDiscount($U$35,Y7990,,Trigger)</f>
        <v>0.72128503333654403</v>
      </c>
    </row>
    <row r="7991" spans="25:26" x14ac:dyDescent="0.25">
      <c r="Y7991" s="63">
        <v>50524</v>
      </c>
      <c r="Z7991" s="61">
        <f>_xll.qlYieldTSDiscount($U$35,Y7991,,Trigger)</f>
        <v>0.72124292959869973</v>
      </c>
    </row>
    <row r="7992" spans="25:26" x14ac:dyDescent="0.25">
      <c r="Y7992" s="63">
        <v>50525</v>
      </c>
      <c r="Z7992" s="61">
        <f>_xll.qlYieldTSDiscount($U$35,Y7992,,Trigger)</f>
        <v>0.72120082233813088</v>
      </c>
    </row>
    <row r="7993" spans="25:26" x14ac:dyDescent="0.25">
      <c r="Y7993" s="63">
        <v>50526</v>
      </c>
      <c r="Z7993" s="61">
        <f>_xll.qlYieldTSDiscount($U$35,Y7993,,Trigger)</f>
        <v>0.72115871155735067</v>
      </c>
    </row>
    <row r="7994" spans="25:26" x14ac:dyDescent="0.25">
      <c r="Y7994" s="63">
        <v>50527</v>
      </c>
      <c r="Z7994" s="61">
        <f>_xll.qlYieldTSDiscount($U$35,Y7994,,Trigger)</f>
        <v>0.72111659725887278</v>
      </c>
    </row>
    <row r="7995" spans="25:26" x14ac:dyDescent="0.25">
      <c r="Y7995" s="63">
        <v>50528</v>
      </c>
      <c r="Z7995" s="61">
        <f>_xll.qlYieldTSDiscount($U$35,Y7995,,Trigger)</f>
        <v>0.72107447944521086</v>
      </c>
    </row>
    <row r="7996" spans="25:26" x14ac:dyDescent="0.25">
      <c r="Y7996" s="63">
        <v>50529</v>
      </c>
      <c r="Z7996" s="61">
        <f>_xll.qlYieldTSDiscount($U$35,Y7996,,Trigger)</f>
        <v>0.72103235811887834</v>
      </c>
    </row>
    <row r="7997" spans="25:26" x14ac:dyDescent="0.25">
      <c r="Y7997" s="63">
        <v>50530</v>
      </c>
      <c r="Z7997" s="61">
        <f>_xll.qlYieldTSDiscount($U$35,Y7997,,Trigger)</f>
        <v>0.72099023328238887</v>
      </c>
    </row>
    <row r="7998" spans="25:26" x14ac:dyDescent="0.25">
      <c r="Y7998" s="63">
        <v>50531</v>
      </c>
      <c r="Z7998" s="61">
        <f>_xll.qlYieldTSDiscount($U$35,Y7998,,Trigger)</f>
        <v>0.72094810493825578</v>
      </c>
    </row>
    <row r="7999" spans="25:26" x14ac:dyDescent="0.25">
      <c r="Y7999" s="63">
        <v>50532</v>
      </c>
      <c r="Z7999" s="61">
        <f>_xll.qlYieldTSDiscount($U$35,Y7999,,Trigger)</f>
        <v>0.72090597308899296</v>
      </c>
    </row>
    <row r="8000" spans="25:26" x14ac:dyDescent="0.25">
      <c r="Y8000" s="63">
        <v>50533</v>
      </c>
      <c r="Z8000" s="61">
        <f>_xll.qlYieldTSDiscount($U$35,Y8000,,Trigger)</f>
        <v>0.72086383773711371</v>
      </c>
    </row>
    <row r="8001" spans="25:26" x14ac:dyDescent="0.25">
      <c r="Y8001" s="63">
        <v>50534</v>
      </c>
      <c r="Z8001" s="61">
        <f>_xll.qlYieldTSDiscount($U$35,Y8001,,Trigger)</f>
        <v>0.72082169888513159</v>
      </c>
    </row>
    <row r="8002" spans="25:26" x14ac:dyDescent="0.25">
      <c r="Y8002" s="63">
        <v>50535</v>
      </c>
      <c r="Z8002" s="61">
        <f>_xll.qlYieldTSDiscount($U$35,Y8002,,Trigger)</f>
        <v>0.72077955653556036</v>
      </c>
    </row>
    <row r="8003" spans="25:26" x14ac:dyDescent="0.25">
      <c r="Y8003" s="63">
        <v>50536</v>
      </c>
      <c r="Z8003" s="61">
        <f>_xll.qlYieldTSDiscount($U$35,Y8003,,Trigger)</f>
        <v>0.72073741069091335</v>
      </c>
    </row>
    <row r="8004" spans="25:26" x14ac:dyDescent="0.25">
      <c r="Y8004" s="63">
        <v>50537</v>
      </c>
      <c r="Z8004" s="61">
        <f>_xll.qlYieldTSDiscount($U$35,Y8004,,Trigger)</f>
        <v>0.7206952613537041</v>
      </c>
    </row>
    <row r="8005" spans="25:26" x14ac:dyDescent="0.25">
      <c r="Y8005" s="63">
        <v>50538</v>
      </c>
      <c r="Z8005" s="61">
        <f>_xll.qlYieldTSDiscount($U$35,Y8005,,Trigger)</f>
        <v>0.72065310852644637</v>
      </c>
    </row>
    <row r="8006" spans="25:26" x14ac:dyDescent="0.25">
      <c r="Y8006" s="63">
        <v>50539</v>
      </c>
      <c r="Z8006" s="61">
        <f>_xll.qlYieldTSDiscount($U$35,Y8006,,Trigger)</f>
        <v>0.7206109522116535</v>
      </c>
    </row>
    <row r="8007" spans="25:26" x14ac:dyDescent="0.25">
      <c r="Y8007" s="63">
        <v>50540</v>
      </c>
      <c r="Z8007" s="61">
        <f>_xll.qlYieldTSDiscount($U$35,Y8007,,Trigger)</f>
        <v>0.72056879241183913</v>
      </c>
    </row>
    <row r="8008" spans="25:26" x14ac:dyDescent="0.25">
      <c r="Y8008" s="63">
        <v>50541</v>
      </c>
      <c r="Z8008" s="61">
        <f>_xll.qlYieldTSDiscount($U$35,Y8008,,Trigger)</f>
        <v>0.72052662912951693</v>
      </c>
    </row>
    <row r="8009" spans="25:26" x14ac:dyDescent="0.25">
      <c r="Y8009" s="63">
        <v>50542</v>
      </c>
      <c r="Z8009" s="61">
        <f>_xll.qlYieldTSDiscount($U$35,Y8009,,Trigger)</f>
        <v>0.72048446236720021</v>
      </c>
    </row>
    <row r="8010" spans="25:26" x14ac:dyDescent="0.25">
      <c r="Y8010" s="63">
        <v>50543</v>
      </c>
      <c r="Z8010" s="61">
        <f>_xll.qlYieldTSDiscount($U$35,Y8010,,Trigger)</f>
        <v>0.72044229212740263</v>
      </c>
    </row>
    <row r="8011" spans="25:26" x14ac:dyDescent="0.25">
      <c r="Y8011" s="63">
        <v>50544</v>
      </c>
      <c r="Z8011" s="61">
        <f>_xll.qlYieldTSDiscount($U$35,Y8011,,Trigger)</f>
        <v>0.72040011841263785</v>
      </c>
    </row>
    <row r="8012" spans="25:26" x14ac:dyDescent="0.25">
      <c r="Y8012" s="63">
        <v>50545</v>
      </c>
      <c r="Z8012" s="61">
        <f>_xll.qlYieldTSDiscount($U$35,Y8012,,Trigger)</f>
        <v>0.7203579412254193</v>
      </c>
    </row>
    <row r="8013" spans="25:26" x14ac:dyDescent="0.25">
      <c r="Y8013" s="63">
        <v>50546</v>
      </c>
      <c r="Z8013" s="61">
        <f>_xll.qlYieldTSDiscount($U$35,Y8013,,Trigger)</f>
        <v>0.72031576056826052</v>
      </c>
    </row>
    <row r="8014" spans="25:26" x14ac:dyDescent="0.25">
      <c r="Y8014" s="63">
        <v>50547</v>
      </c>
      <c r="Z8014" s="61">
        <f>_xll.qlYieldTSDiscount($U$35,Y8014,,Trigger)</f>
        <v>0.72027357644367507</v>
      </c>
    </row>
    <row r="8015" spans="25:26" x14ac:dyDescent="0.25">
      <c r="Y8015" s="63">
        <v>50548</v>
      </c>
      <c r="Z8015" s="61">
        <f>_xll.qlYieldTSDiscount($U$35,Y8015,,Trigger)</f>
        <v>0.72023138885417659</v>
      </c>
    </row>
    <row r="8016" spans="25:26" x14ac:dyDescent="0.25">
      <c r="Y8016" s="63">
        <v>50549</v>
      </c>
      <c r="Z8016" s="61">
        <f>_xll.qlYieldTSDiscount($U$35,Y8016,,Trigger)</f>
        <v>0.72018919780227852</v>
      </c>
    </row>
    <row r="8017" spans="25:26" x14ac:dyDescent="0.25">
      <c r="Y8017" s="63">
        <v>50550</v>
      </c>
      <c r="Z8017" s="61">
        <f>_xll.qlYieldTSDiscount($U$35,Y8017,,Trigger)</f>
        <v>0.72014700329049453</v>
      </c>
    </row>
    <row r="8018" spans="25:26" x14ac:dyDescent="0.25">
      <c r="Y8018" s="63">
        <v>50551</v>
      </c>
      <c r="Z8018" s="61">
        <f>_xll.qlYieldTSDiscount($U$35,Y8018,,Trigger)</f>
        <v>0.72010480532133814</v>
      </c>
    </row>
    <row r="8019" spans="25:26" x14ac:dyDescent="0.25">
      <c r="Y8019" s="63">
        <v>50552</v>
      </c>
      <c r="Z8019" s="61">
        <f>_xll.qlYieldTSDiscount($U$35,Y8019,,Trigger)</f>
        <v>0.72006260389732279</v>
      </c>
    </row>
    <row r="8020" spans="25:26" x14ac:dyDescent="0.25">
      <c r="Y8020" s="63">
        <v>50553</v>
      </c>
      <c r="Z8020" s="61">
        <f>_xll.qlYieldTSDiscount($U$35,Y8020,,Trigger)</f>
        <v>0.72002039902096204</v>
      </c>
    </row>
    <row r="8021" spans="25:26" x14ac:dyDescent="0.25">
      <c r="Y8021" s="63">
        <v>50554</v>
      </c>
      <c r="Z8021" s="61">
        <f>_xll.qlYieldTSDiscount($U$35,Y8021,,Trigger)</f>
        <v>0.71997819069476965</v>
      </c>
    </row>
    <row r="8022" spans="25:26" x14ac:dyDescent="0.25">
      <c r="Y8022" s="63">
        <v>50555</v>
      </c>
      <c r="Z8022" s="61">
        <f>_xll.qlYieldTSDiscount($U$35,Y8022,,Trigger)</f>
        <v>0.71993597892125893</v>
      </c>
    </row>
    <row r="8023" spans="25:26" x14ac:dyDescent="0.25">
      <c r="Y8023" s="63">
        <v>50556</v>
      </c>
      <c r="Z8023" s="61">
        <f>_xll.qlYieldTSDiscount($U$35,Y8023,,Trigger)</f>
        <v>0.71989376370294356</v>
      </c>
    </row>
    <row r="8024" spans="25:26" x14ac:dyDescent="0.25">
      <c r="Y8024" s="63">
        <v>50557</v>
      </c>
      <c r="Z8024" s="61">
        <f>_xll.qlYieldTSDiscount($U$35,Y8024,,Trigger)</f>
        <v>0.71985154504233706</v>
      </c>
    </row>
    <row r="8025" spans="25:26" x14ac:dyDescent="0.25">
      <c r="Y8025" s="63">
        <v>50558</v>
      </c>
      <c r="Z8025" s="61">
        <f>_xll.qlYieldTSDiscount($U$35,Y8025,,Trigger)</f>
        <v>0.71980932294195299</v>
      </c>
    </row>
    <row r="8026" spans="25:26" x14ac:dyDescent="0.25">
      <c r="Y8026" s="63">
        <v>50559</v>
      </c>
      <c r="Z8026" s="61">
        <f>_xll.qlYieldTSDiscount($U$35,Y8026,,Trigger)</f>
        <v>0.71976709740430489</v>
      </c>
    </row>
    <row r="8027" spans="25:26" x14ac:dyDescent="0.25">
      <c r="Y8027" s="63">
        <v>50560</v>
      </c>
      <c r="Z8027" s="61">
        <f>_xll.qlYieldTSDiscount($U$35,Y8027,,Trigger)</f>
        <v>0.71972486843190631</v>
      </c>
    </row>
    <row r="8028" spans="25:26" x14ac:dyDescent="0.25">
      <c r="Y8028" s="63">
        <v>50561</v>
      </c>
      <c r="Z8028" s="61">
        <f>_xll.qlYieldTSDiscount($U$35,Y8028,,Trigger)</f>
        <v>0.71968263602727078</v>
      </c>
    </row>
    <row r="8029" spans="25:26" x14ac:dyDescent="0.25">
      <c r="Y8029" s="63">
        <v>50562</v>
      </c>
      <c r="Z8029" s="61">
        <f>_xll.qlYieldTSDiscount($U$35,Y8029,,Trigger)</f>
        <v>0.71964040019291198</v>
      </c>
    </row>
    <row r="8030" spans="25:26" x14ac:dyDescent="0.25">
      <c r="Y8030" s="63">
        <v>50563</v>
      </c>
      <c r="Z8030" s="61">
        <f>_xll.qlYieldTSDiscount($U$35,Y8030,,Trigger)</f>
        <v>0.71959816093134321</v>
      </c>
    </row>
    <row r="8031" spans="25:26" x14ac:dyDescent="0.25">
      <c r="Y8031" s="63">
        <v>50564</v>
      </c>
      <c r="Z8031" s="61">
        <f>_xll.qlYieldTSDiscount($U$35,Y8031,,Trigger)</f>
        <v>0.71955591824507825</v>
      </c>
    </row>
    <row r="8032" spans="25:26" x14ac:dyDescent="0.25">
      <c r="Y8032" s="63">
        <v>50565</v>
      </c>
      <c r="Z8032" s="61">
        <f>_xll.qlYieldTSDiscount($U$35,Y8032,,Trigger)</f>
        <v>0.71951367213663064</v>
      </c>
    </row>
    <row r="8033" spans="25:26" x14ac:dyDescent="0.25">
      <c r="Y8033" s="63">
        <v>50566</v>
      </c>
      <c r="Z8033" s="61">
        <f>_xll.qlYieldTSDiscount($U$35,Y8033,,Trigger)</f>
        <v>0.71947142260851371</v>
      </c>
    </row>
    <row r="8034" spans="25:26" x14ac:dyDescent="0.25">
      <c r="Y8034" s="63">
        <v>50567</v>
      </c>
      <c r="Z8034" s="61">
        <f>_xll.qlYieldTSDiscount($U$35,Y8034,,Trigger)</f>
        <v>0.71942916966324133</v>
      </c>
    </row>
    <row r="8035" spans="25:26" x14ac:dyDescent="0.25">
      <c r="Y8035" s="63">
        <v>50568</v>
      </c>
      <c r="Z8035" s="61">
        <f>_xll.qlYieldTSDiscount($U$35,Y8035,,Trigger)</f>
        <v>0.71938691330332682</v>
      </c>
    </row>
    <row r="8036" spans="25:26" x14ac:dyDescent="0.25">
      <c r="Y8036" s="63">
        <v>50569</v>
      </c>
      <c r="Z8036" s="61">
        <f>_xll.qlYieldTSDiscount($U$35,Y8036,,Trigger)</f>
        <v>0.71934465353128374</v>
      </c>
    </row>
    <row r="8037" spans="25:26" x14ac:dyDescent="0.25">
      <c r="Y8037" s="63">
        <v>50570</v>
      </c>
      <c r="Z8037" s="61">
        <f>_xll.qlYieldTSDiscount($U$35,Y8037,,Trigger)</f>
        <v>0.71930239034962573</v>
      </c>
    </row>
    <row r="8038" spans="25:26" x14ac:dyDescent="0.25">
      <c r="Y8038" s="63">
        <v>50571</v>
      </c>
      <c r="Z8038" s="61">
        <f>_xll.qlYieldTSDiscount($U$35,Y8038,,Trigger)</f>
        <v>0.71926012376086634</v>
      </c>
    </row>
    <row r="8039" spans="25:26" x14ac:dyDescent="0.25">
      <c r="Y8039" s="63">
        <v>50572</v>
      </c>
      <c r="Z8039" s="61">
        <f>_xll.qlYieldTSDiscount($U$35,Y8039,,Trigger)</f>
        <v>0.71921785376751912</v>
      </c>
    </row>
    <row r="8040" spans="25:26" x14ac:dyDescent="0.25">
      <c r="Y8040" s="63">
        <v>50573</v>
      </c>
      <c r="Z8040" s="61">
        <f>_xll.qlYieldTSDiscount($U$35,Y8040,,Trigger)</f>
        <v>0.7191755803720975</v>
      </c>
    </row>
    <row r="8041" spans="25:26" x14ac:dyDescent="0.25">
      <c r="Y8041" s="63">
        <v>50574</v>
      </c>
      <c r="Z8041" s="61">
        <f>_xll.qlYieldTSDiscount($U$35,Y8041,,Trigger)</f>
        <v>0.71913330357711513</v>
      </c>
    </row>
    <row r="8042" spans="25:26" x14ac:dyDescent="0.25">
      <c r="Y8042" s="63">
        <v>50575</v>
      </c>
      <c r="Z8042" s="61">
        <f>_xll.qlYieldTSDiscount($U$35,Y8042,,Trigger)</f>
        <v>0.71909102338508557</v>
      </c>
    </row>
    <row r="8043" spans="25:26" x14ac:dyDescent="0.25">
      <c r="Y8043" s="63">
        <v>50576</v>
      </c>
      <c r="Z8043" s="61">
        <f>_xll.qlYieldTSDiscount($U$35,Y8043,,Trigger)</f>
        <v>0.71904873979852235</v>
      </c>
    </row>
    <row r="8044" spans="25:26" x14ac:dyDescent="0.25">
      <c r="Y8044" s="63">
        <v>50577</v>
      </c>
      <c r="Z8044" s="61">
        <f>_xll.qlYieldTSDiscount($U$35,Y8044,,Trigger)</f>
        <v>0.71900645281993913</v>
      </c>
    </row>
    <row r="8045" spans="25:26" x14ac:dyDescent="0.25">
      <c r="Y8045" s="63">
        <v>50578</v>
      </c>
      <c r="Z8045" s="61">
        <f>_xll.qlYieldTSDiscount($U$35,Y8045,,Trigger)</f>
        <v>0.71896416245184924</v>
      </c>
    </row>
    <row r="8046" spans="25:26" x14ac:dyDescent="0.25">
      <c r="Y8046" s="63">
        <v>50579</v>
      </c>
      <c r="Z8046" s="61">
        <f>_xll.qlYieldTSDiscount($U$35,Y8046,,Trigger)</f>
        <v>0.71892186869676644</v>
      </c>
    </row>
    <row r="8047" spans="25:26" x14ac:dyDescent="0.25">
      <c r="Y8047" s="63">
        <v>50580</v>
      </c>
      <c r="Z8047" s="61">
        <f>_xll.qlYieldTSDiscount($U$35,Y8047,,Trigger)</f>
        <v>0.71887957155720417</v>
      </c>
    </row>
    <row r="8048" spans="25:26" x14ac:dyDescent="0.25">
      <c r="Y8048" s="63">
        <v>50581</v>
      </c>
      <c r="Z8048" s="61">
        <f>_xll.qlYieldTSDiscount($U$35,Y8048,,Trigger)</f>
        <v>0.71883727103567596</v>
      </c>
    </row>
    <row r="8049" spans="25:26" x14ac:dyDescent="0.25">
      <c r="Y8049" s="63">
        <v>50582</v>
      </c>
      <c r="Z8049" s="61">
        <f>_xll.qlYieldTSDiscount($U$35,Y8049,,Trigger)</f>
        <v>0.71879496713469537</v>
      </c>
    </row>
    <row r="8050" spans="25:26" x14ac:dyDescent="0.25">
      <c r="Y8050" s="63">
        <v>50583</v>
      </c>
      <c r="Z8050" s="61">
        <f>_xll.qlYieldTSDiscount($U$35,Y8050,,Trigger)</f>
        <v>0.71875265985677605</v>
      </c>
    </row>
    <row r="8051" spans="25:26" x14ac:dyDescent="0.25">
      <c r="Y8051" s="63">
        <v>50584</v>
      </c>
      <c r="Z8051" s="61">
        <f>_xll.qlYieldTSDiscount($U$35,Y8051,,Trigger)</f>
        <v>0.71871034920443144</v>
      </c>
    </row>
    <row r="8052" spans="25:26" x14ac:dyDescent="0.25">
      <c r="Y8052" s="63">
        <v>50585</v>
      </c>
      <c r="Z8052" s="61">
        <f>_xll.qlYieldTSDiscount($U$35,Y8052,,Trigger)</f>
        <v>0.71866803518017519</v>
      </c>
    </row>
    <row r="8053" spans="25:26" x14ac:dyDescent="0.25">
      <c r="Y8053" s="63">
        <v>50586</v>
      </c>
      <c r="Z8053" s="61">
        <f>_xll.qlYieldTSDiscount($U$35,Y8053,,Trigger)</f>
        <v>0.71862571778652073</v>
      </c>
    </row>
    <row r="8054" spans="25:26" x14ac:dyDescent="0.25">
      <c r="Y8054" s="63">
        <v>50587</v>
      </c>
      <c r="Z8054" s="61">
        <f>_xll.qlYieldTSDiscount($U$35,Y8054,,Trigger)</f>
        <v>0.71858339702598173</v>
      </c>
    </row>
    <row r="8055" spans="25:26" x14ac:dyDescent="0.25">
      <c r="Y8055" s="63">
        <v>50588</v>
      </c>
      <c r="Z8055" s="61">
        <f>_xll.qlYieldTSDiscount($U$35,Y8055,,Trigger)</f>
        <v>0.71854107290107172</v>
      </c>
    </row>
    <row r="8056" spans="25:26" x14ac:dyDescent="0.25">
      <c r="Y8056" s="63">
        <v>50589</v>
      </c>
      <c r="Z8056" s="61">
        <f>_xll.qlYieldTSDiscount($U$35,Y8056,,Trigger)</f>
        <v>0.71849874541430414</v>
      </c>
    </row>
    <row r="8057" spans="25:26" x14ac:dyDescent="0.25">
      <c r="Y8057" s="63">
        <v>50590</v>
      </c>
      <c r="Z8057" s="61">
        <f>_xll.qlYieldTSDiscount($U$35,Y8057,,Trigger)</f>
        <v>0.71845641456819265</v>
      </c>
    </row>
    <row r="8058" spans="25:26" x14ac:dyDescent="0.25">
      <c r="Y8058" s="63">
        <v>50591</v>
      </c>
      <c r="Z8058" s="61">
        <f>_xll.qlYieldTSDiscount($U$35,Y8058,,Trigger)</f>
        <v>0.7184140803652509</v>
      </c>
    </row>
    <row r="8059" spans="25:26" x14ac:dyDescent="0.25">
      <c r="Y8059" s="63">
        <v>50592</v>
      </c>
      <c r="Z8059" s="61">
        <f>_xll.qlYieldTSDiscount($U$35,Y8059,,Trigger)</f>
        <v>0.7183717428079921</v>
      </c>
    </row>
    <row r="8060" spans="25:26" x14ac:dyDescent="0.25">
      <c r="Y8060" s="63">
        <v>50593</v>
      </c>
      <c r="Z8060" s="61">
        <f>_xll.qlYieldTSDiscount($U$35,Y8060,,Trigger)</f>
        <v>0.71832940189893013</v>
      </c>
    </row>
    <row r="8061" spans="25:26" x14ac:dyDescent="0.25">
      <c r="Y8061" s="63">
        <v>50594</v>
      </c>
      <c r="Z8061" s="61">
        <f>_xll.qlYieldTSDiscount($U$35,Y8061,,Trigger)</f>
        <v>0.71828705764057854</v>
      </c>
    </row>
    <row r="8062" spans="25:26" x14ac:dyDescent="0.25">
      <c r="Y8062" s="63">
        <v>50595</v>
      </c>
      <c r="Z8062" s="61">
        <f>_xll.qlYieldTSDiscount($U$35,Y8062,,Trigger)</f>
        <v>0.71824471003545054</v>
      </c>
    </row>
    <row r="8063" spans="25:26" x14ac:dyDescent="0.25">
      <c r="Y8063" s="63">
        <v>50596</v>
      </c>
      <c r="Z8063" s="61">
        <f>_xll.qlYieldTSDiscount($U$35,Y8063,,Trigger)</f>
        <v>0.71820235908606012</v>
      </c>
    </row>
    <row r="8064" spans="25:26" x14ac:dyDescent="0.25">
      <c r="Y8064" s="63">
        <v>50597</v>
      </c>
      <c r="Z8064" s="61">
        <f>_xll.qlYieldTSDiscount($U$35,Y8064,,Trigger)</f>
        <v>0.71816000479492048</v>
      </c>
    </row>
    <row r="8065" spans="25:26" x14ac:dyDescent="0.25">
      <c r="Y8065" s="63">
        <v>50598</v>
      </c>
      <c r="Z8065" s="61">
        <f>_xll.qlYieldTSDiscount($U$35,Y8065,,Trigger)</f>
        <v>0.7181176471645454</v>
      </c>
    </row>
    <row r="8066" spans="25:26" x14ac:dyDescent="0.25">
      <c r="Y8066" s="63">
        <v>50599</v>
      </c>
      <c r="Z8066" s="61">
        <f>_xll.qlYieldTSDiscount($U$35,Y8066,,Trigger)</f>
        <v>0.71807528619744831</v>
      </c>
    </row>
    <row r="8067" spans="25:26" x14ac:dyDescent="0.25">
      <c r="Y8067" s="63">
        <v>50600</v>
      </c>
      <c r="Z8067" s="61">
        <f>_xll.qlYieldTSDiscount($U$35,Y8067,,Trigger)</f>
        <v>0.71803292189614276</v>
      </c>
    </row>
    <row r="8068" spans="25:26" x14ac:dyDescent="0.25">
      <c r="Y8068" s="63">
        <v>50601</v>
      </c>
      <c r="Z8068" s="61">
        <f>_xll.qlYieldTSDiscount($U$35,Y8068,,Trigger)</f>
        <v>0.7179905542631424</v>
      </c>
    </row>
    <row r="8069" spans="25:26" x14ac:dyDescent="0.25">
      <c r="Y8069" s="63">
        <v>50602</v>
      </c>
      <c r="Z8069" s="61">
        <f>_xll.qlYieldTSDiscount($U$35,Y8069,,Trigger)</f>
        <v>0.71794818330096066</v>
      </c>
    </row>
    <row r="8070" spans="25:26" x14ac:dyDescent="0.25">
      <c r="Y8070" s="63">
        <v>50603</v>
      </c>
      <c r="Z8070" s="61">
        <f>_xll.qlYieldTSDiscount($U$35,Y8070,,Trigger)</f>
        <v>0.71790580901211121</v>
      </c>
    </row>
    <row r="8071" spans="25:26" x14ac:dyDescent="0.25">
      <c r="Y8071" s="63">
        <v>50604</v>
      </c>
      <c r="Z8071" s="61">
        <f>_xll.qlYieldTSDiscount($U$35,Y8071,,Trigger)</f>
        <v>0.71786343139910747</v>
      </c>
    </row>
    <row r="8072" spans="25:26" x14ac:dyDescent="0.25">
      <c r="Y8072" s="63">
        <v>50605</v>
      </c>
      <c r="Z8072" s="61">
        <f>_xll.qlYieldTSDiscount($U$35,Y8072,,Trigger)</f>
        <v>0.7178210504644631</v>
      </c>
    </row>
    <row r="8073" spans="25:26" x14ac:dyDescent="0.25">
      <c r="Y8073" s="63">
        <v>50606</v>
      </c>
      <c r="Z8073" s="61">
        <f>_xll.qlYieldTSDiscount($U$35,Y8073,,Trigger)</f>
        <v>0.71777866621069164</v>
      </c>
    </row>
    <row r="8074" spans="25:26" x14ac:dyDescent="0.25">
      <c r="Y8074" s="63">
        <v>50607</v>
      </c>
      <c r="Z8074" s="61">
        <f>_xll.qlYieldTSDiscount($U$35,Y8074,,Trigger)</f>
        <v>0.71773627864030665</v>
      </c>
    </row>
    <row r="8075" spans="25:26" x14ac:dyDescent="0.25">
      <c r="Y8075" s="63">
        <v>50608</v>
      </c>
      <c r="Z8075" s="61">
        <f>_xll.qlYieldTSDiscount($U$35,Y8075,,Trigger)</f>
        <v>0.71769388775582155</v>
      </c>
    </row>
    <row r="8076" spans="25:26" x14ac:dyDescent="0.25">
      <c r="Y8076" s="63">
        <v>50609</v>
      </c>
      <c r="Z8076" s="61">
        <f>_xll.qlYieldTSDiscount($U$35,Y8076,,Trigger)</f>
        <v>0.71765149355975</v>
      </c>
    </row>
    <row r="8077" spans="25:26" x14ac:dyDescent="0.25">
      <c r="Y8077" s="63">
        <v>50610</v>
      </c>
      <c r="Z8077" s="61">
        <f>_xll.qlYieldTSDiscount($U$35,Y8077,,Trigger)</f>
        <v>0.71760909605460566</v>
      </c>
    </row>
    <row r="8078" spans="25:26" x14ac:dyDescent="0.25">
      <c r="Y8078" s="63">
        <v>50611</v>
      </c>
      <c r="Z8078" s="61">
        <f>_xll.qlYieldTSDiscount($U$35,Y8078,,Trigger)</f>
        <v>0.71756669524290173</v>
      </c>
    </row>
    <row r="8079" spans="25:26" x14ac:dyDescent="0.25">
      <c r="Y8079" s="63">
        <v>50612</v>
      </c>
      <c r="Z8079" s="61">
        <f>_xll.qlYieldTSDiscount($U$35,Y8079,,Trigger)</f>
        <v>0.71752429112715221</v>
      </c>
    </row>
    <row r="8080" spans="25:26" x14ac:dyDescent="0.25">
      <c r="Y8080" s="63">
        <v>50613</v>
      </c>
      <c r="Z8080" s="61">
        <f>_xll.qlYieldTSDiscount($U$35,Y8080,,Trigger)</f>
        <v>0.71748188370987032</v>
      </c>
    </row>
    <row r="8081" spans="25:26" x14ac:dyDescent="0.25">
      <c r="Y8081" s="63">
        <v>50614</v>
      </c>
      <c r="Z8081" s="61">
        <f>_xll.qlYieldTSDiscount($U$35,Y8081,,Trigger)</f>
        <v>0.7174394729935698</v>
      </c>
    </row>
    <row r="8082" spans="25:26" x14ac:dyDescent="0.25">
      <c r="Y8082" s="63">
        <v>50615</v>
      </c>
      <c r="Z8082" s="61">
        <f>_xll.qlYieldTSDiscount($U$35,Y8082,,Trigger)</f>
        <v>0.71739705898076411</v>
      </c>
    </row>
    <row r="8083" spans="25:26" x14ac:dyDescent="0.25">
      <c r="Y8083" s="63">
        <v>50616</v>
      </c>
      <c r="Z8083" s="61">
        <f>_xll.qlYieldTSDiscount($U$35,Y8083,,Trigger)</f>
        <v>0.71735464167396668</v>
      </c>
    </row>
    <row r="8084" spans="25:26" x14ac:dyDescent="0.25">
      <c r="Y8084" s="63">
        <v>50617</v>
      </c>
      <c r="Z8084" s="61">
        <f>_xll.qlYieldTSDiscount($U$35,Y8084,,Trigger)</f>
        <v>0.71731222107569137</v>
      </c>
    </row>
    <row r="8085" spans="25:26" x14ac:dyDescent="0.25">
      <c r="Y8085" s="63">
        <v>50618</v>
      </c>
      <c r="Z8085" s="61">
        <f>_xll.qlYieldTSDiscount($U$35,Y8085,,Trigger)</f>
        <v>0.71726979718845152</v>
      </c>
    </row>
    <row r="8086" spans="25:26" x14ac:dyDescent="0.25">
      <c r="Y8086" s="63">
        <v>50619</v>
      </c>
      <c r="Z8086" s="61">
        <f>_xll.qlYieldTSDiscount($U$35,Y8086,,Trigger)</f>
        <v>0.71722737001476067</v>
      </c>
    </row>
    <row r="8087" spans="25:26" x14ac:dyDescent="0.25">
      <c r="Y8087" s="63">
        <v>50620</v>
      </c>
      <c r="Z8087" s="61">
        <f>_xll.qlYieldTSDiscount($U$35,Y8087,,Trigger)</f>
        <v>0.71718493955713247</v>
      </c>
    </row>
    <row r="8088" spans="25:26" x14ac:dyDescent="0.25">
      <c r="Y8088" s="63">
        <v>50621</v>
      </c>
      <c r="Z8088" s="61">
        <f>_xll.qlYieldTSDiscount($U$35,Y8088,,Trigger)</f>
        <v>0.71714250581808037</v>
      </c>
    </row>
    <row r="8089" spans="25:26" x14ac:dyDescent="0.25">
      <c r="Y8089" s="63">
        <v>50622</v>
      </c>
      <c r="Z8089" s="61">
        <f>_xll.qlYieldTSDiscount($U$35,Y8089,,Trigger)</f>
        <v>0.71710006880011801</v>
      </c>
    </row>
    <row r="8090" spans="25:26" x14ac:dyDescent="0.25">
      <c r="Y8090" s="63">
        <v>50623</v>
      </c>
      <c r="Z8090" s="61">
        <f>_xll.qlYieldTSDiscount($U$35,Y8090,,Trigger)</f>
        <v>0.71705762850575894</v>
      </c>
    </row>
    <row r="8091" spans="25:26" x14ac:dyDescent="0.25">
      <c r="Y8091" s="63">
        <v>50624</v>
      </c>
      <c r="Z8091" s="61">
        <f>_xll.qlYieldTSDiscount($U$35,Y8091,,Trigger)</f>
        <v>0.71701518493751659</v>
      </c>
    </row>
    <row r="8092" spans="25:26" x14ac:dyDescent="0.25">
      <c r="Y8092" s="63">
        <v>50625</v>
      </c>
      <c r="Z8092" s="61">
        <f>_xll.qlYieldTSDiscount($U$35,Y8092,,Trigger)</f>
        <v>0.71697273809790463</v>
      </c>
    </row>
    <row r="8093" spans="25:26" x14ac:dyDescent="0.25">
      <c r="Y8093" s="63">
        <v>50626</v>
      </c>
      <c r="Z8093" s="61">
        <f>_xll.qlYieldTSDiscount($U$35,Y8093,,Trigger)</f>
        <v>0.7169302879894367</v>
      </c>
    </row>
    <row r="8094" spans="25:26" x14ac:dyDescent="0.25">
      <c r="Y8094" s="63">
        <v>50627</v>
      </c>
      <c r="Z8094" s="61">
        <f>_xll.qlYieldTSDiscount($U$35,Y8094,,Trigger)</f>
        <v>0.71688783461462602</v>
      </c>
    </row>
    <row r="8095" spans="25:26" x14ac:dyDescent="0.25">
      <c r="Y8095" s="63">
        <v>50628</v>
      </c>
      <c r="Z8095" s="61">
        <f>_xll.qlYieldTSDiscount($U$35,Y8095,,Trigger)</f>
        <v>0.71684537797598658</v>
      </c>
    </row>
    <row r="8096" spans="25:26" x14ac:dyDescent="0.25">
      <c r="Y8096" s="63">
        <v>50629</v>
      </c>
      <c r="Z8096" s="61">
        <f>_xll.qlYieldTSDiscount($U$35,Y8096,,Trigger)</f>
        <v>0.71680291807603147</v>
      </c>
    </row>
    <row r="8097" spans="25:26" x14ac:dyDescent="0.25">
      <c r="Y8097" s="63">
        <v>50630</v>
      </c>
      <c r="Z8097" s="61">
        <f>_xll.qlYieldTSDiscount($U$35,Y8097,,Trigger)</f>
        <v>0.71676045491727469</v>
      </c>
    </row>
    <row r="8098" spans="25:26" x14ac:dyDescent="0.25">
      <c r="Y8098" s="63">
        <v>50631</v>
      </c>
      <c r="Z8098" s="61">
        <f>_xll.qlYieldTSDiscount($U$35,Y8098,,Trigger)</f>
        <v>0.71671798850222945</v>
      </c>
    </row>
    <row r="8099" spans="25:26" x14ac:dyDescent="0.25">
      <c r="Y8099" s="63">
        <v>50632</v>
      </c>
      <c r="Z8099" s="61">
        <f>_xll.qlYieldTSDiscount($U$35,Y8099,,Trigger)</f>
        <v>0.71667551883340941</v>
      </c>
    </row>
    <row r="8100" spans="25:26" x14ac:dyDescent="0.25">
      <c r="Y8100" s="63">
        <v>50633</v>
      </c>
      <c r="Z8100" s="61">
        <f>_xll.qlYieldTSDiscount($U$35,Y8100,,Trigger)</f>
        <v>0.71663304591332821</v>
      </c>
    </row>
    <row r="8101" spans="25:26" x14ac:dyDescent="0.25">
      <c r="Y8101" s="63">
        <v>50634</v>
      </c>
      <c r="Z8101" s="61">
        <f>_xll.qlYieldTSDiscount($U$35,Y8101,,Trigger)</f>
        <v>0.71659056974449931</v>
      </c>
    </row>
    <row r="8102" spans="25:26" x14ac:dyDescent="0.25">
      <c r="Y8102" s="63">
        <v>50635</v>
      </c>
      <c r="Z8102" s="61">
        <f>_xll.qlYieldTSDiscount($U$35,Y8102,,Trigger)</f>
        <v>0.71654809032943623</v>
      </c>
    </row>
    <row r="8103" spans="25:26" x14ac:dyDescent="0.25">
      <c r="Y8103" s="63">
        <v>50636</v>
      </c>
      <c r="Z8103" s="61">
        <f>_xll.qlYieldTSDiscount($U$35,Y8103,,Trigger)</f>
        <v>0.71650560767065263</v>
      </c>
    </row>
    <row r="8104" spans="25:26" x14ac:dyDescent="0.25">
      <c r="Y8104" s="63">
        <v>50637</v>
      </c>
      <c r="Z8104" s="61">
        <f>_xll.qlYieldTSDiscount($U$35,Y8104,,Trigger)</f>
        <v>0.71646312177066196</v>
      </c>
    </row>
    <row r="8105" spans="25:26" x14ac:dyDescent="0.25">
      <c r="Y8105" s="63">
        <v>50638</v>
      </c>
      <c r="Z8105" s="61">
        <f>_xll.qlYieldTSDiscount($U$35,Y8105,,Trigger)</f>
        <v>0.71642063263197786</v>
      </c>
    </row>
    <row r="8106" spans="25:26" x14ac:dyDescent="0.25">
      <c r="Y8106" s="63">
        <v>50639</v>
      </c>
      <c r="Z8106" s="61">
        <f>_xll.qlYieldTSDiscount($U$35,Y8106,,Trigger)</f>
        <v>0.71637814025711388</v>
      </c>
    </row>
    <row r="8107" spans="25:26" x14ac:dyDescent="0.25">
      <c r="Y8107" s="63">
        <v>50640</v>
      </c>
      <c r="Z8107" s="61">
        <f>_xll.qlYieldTSDiscount($U$35,Y8107,,Trigger)</f>
        <v>0.71633564464858346</v>
      </c>
    </row>
    <row r="8108" spans="25:26" x14ac:dyDescent="0.25">
      <c r="Y8108" s="63">
        <v>50641</v>
      </c>
      <c r="Z8108" s="61">
        <f>_xll.qlYieldTSDiscount($U$35,Y8108,,Trigger)</f>
        <v>0.71629314580890024</v>
      </c>
    </row>
    <row r="8109" spans="25:26" x14ac:dyDescent="0.25">
      <c r="Y8109" s="63">
        <v>50642</v>
      </c>
      <c r="Z8109" s="61">
        <f>_xll.qlYieldTSDiscount($U$35,Y8109,,Trigger)</f>
        <v>0.71625064374057767</v>
      </c>
    </row>
    <row r="8110" spans="25:26" x14ac:dyDescent="0.25">
      <c r="Y8110" s="63">
        <v>50643</v>
      </c>
      <c r="Z8110" s="61">
        <f>_xll.qlYieldTSDiscount($U$35,Y8110,,Trigger)</f>
        <v>0.71620813844612941</v>
      </c>
    </row>
    <row r="8111" spans="25:26" x14ac:dyDescent="0.25">
      <c r="Y8111" s="63">
        <v>50644</v>
      </c>
      <c r="Z8111" s="61">
        <f>_xll.qlYieldTSDiscount($U$35,Y8111,,Trigger)</f>
        <v>0.71616562992806909</v>
      </c>
    </row>
    <row r="8112" spans="25:26" x14ac:dyDescent="0.25">
      <c r="Y8112" s="63">
        <v>50645</v>
      </c>
      <c r="Z8112" s="61">
        <f>_xll.qlYieldTSDiscount($U$35,Y8112,,Trigger)</f>
        <v>0.71612311818891006</v>
      </c>
    </row>
    <row r="8113" spans="25:26" x14ac:dyDescent="0.25">
      <c r="Y8113" s="63">
        <v>50646</v>
      </c>
      <c r="Z8113" s="61">
        <f>_xll.qlYieldTSDiscount($U$35,Y8113,,Trigger)</f>
        <v>0.71608060323116596</v>
      </c>
    </row>
    <row r="8114" spans="25:26" x14ac:dyDescent="0.25">
      <c r="Y8114" s="63">
        <v>50647</v>
      </c>
      <c r="Z8114" s="61">
        <f>_xll.qlYieldTSDiscount($U$35,Y8114,,Trigger)</f>
        <v>0.71603808505735045</v>
      </c>
    </row>
    <row r="8115" spans="25:26" x14ac:dyDescent="0.25">
      <c r="Y8115" s="63">
        <v>50648</v>
      </c>
      <c r="Z8115" s="61">
        <f>_xll.qlYieldTSDiscount($U$35,Y8115,,Trigger)</f>
        <v>0.71599556366997685</v>
      </c>
    </row>
    <row r="8116" spans="25:26" x14ac:dyDescent="0.25">
      <c r="Y8116" s="63">
        <v>50649</v>
      </c>
      <c r="Z8116" s="61">
        <f>_xll.qlYieldTSDiscount($U$35,Y8116,,Trigger)</f>
        <v>0.71595303907155894</v>
      </c>
    </row>
    <row r="8117" spans="25:26" x14ac:dyDescent="0.25">
      <c r="Y8117" s="63">
        <v>50650</v>
      </c>
      <c r="Z8117" s="61">
        <f>_xll.qlYieldTSDiscount($U$35,Y8117,,Trigger)</f>
        <v>0.71591051126461014</v>
      </c>
    </row>
    <row r="8118" spans="25:26" x14ac:dyDescent="0.25">
      <c r="Y8118" s="63">
        <v>50651</v>
      </c>
      <c r="Z8118" s="61">
        <f>_xll.qlYieldTSDiscount($U$35,Y8118,,Trigger)</f>
        <v>0.71586798025164389</v>
      </c>
    </row>
    <row r="8119" spans="25:26" x14ac:dyDescent="0.25">
      <c r="Y8119" s="63">
        <v>50652</v>
      </c>
      <c r="Z8119" s="61">
        <f>_xll.qlYieldTSDiscount($U$35,Y8119,,Trigger)</f>
        <v>0.71582544603517406</v>
      </c>
    </row>
    <row r="8120" spans="25:26" x14ac:dyDescent="0.25">
      <c r="Y8120" s="63">
        <v>50653</v>
      </c>
      <c r="Z8120" s="61">
        <f>_xll.qlYieldTSDiscount($U$35,Y8120,,Trigger)</f>
        <v>0.71578290861771399</v>
      </c>
    </row>
    <row r="8121" spans="25:26" x14ac:dyDescent="0.25">
      <c r="Y8121" s="63">
        <v>50654</v>
      </c>
      <c r="Z8121" s="61">
        <f>_xll.qlYieldTSDiscount($U$35,Y8121,,Trigger)</f>
        <v>0.71574036800177721</v>
      </c>
    </row>
    <row r="8122" spans="25:26" x14ac:dyDescent="0.25">
      <c r="Y8122" s="63">
        <v>50655</v>
      </c>
      <c r="Z8122" s="61">
        <f>_xll.qlYieldTSDiscount($U$35,Y8122,,Trigger)</f>
        <v>0.71569782418987737</v>
      </c>
    </row>
    <row r="8123" spans="25:26" x14ac:dyDescent="0.25">
      <c r="Y8123" s="63">
        <v>50656</v>
      </c>
      <c r="Z8123" s="61">
        <f>_xll.qlYieldTSDiscount($U$35,Y8123,,Trigger)</f>
        <v>0.71565527718452793</v>
      </c>
    </row>
    <row r="8124" spans="25:26" x14ac:dyDescent="0.25">
      <c r="Y8124" s="63">
        <v>50657</v>
      </c>
      <c r="Z8124" s="61">
        <f>_xll.qlYieldTSDiscount($U$35,Y8124,,Trigger)</f>
        <v>0.71561272698824263</v>
      </c>
    </row>
    <row r="8125" spans="25:26" x14ac:dyDescent="0.25">
      <c r="Y8125" s="63">
        <v>50658</v>
      </c>
      <c r="Z8125" s="61">
        <f>_xll.qlYieldTSDiscount($U$35,Y8125,,Trigger)</f>
        <v>0.71557017360353481</v>
      </c>
    </row>
    <row r="8126" spans="25:26" x14ac:dyDescent="0.25">
      <c r="Y8126" s="63">
        <v>50659</v>
      </c>
      <c r="Z8126" s="61">
        <f>_xll.qlYieldTSDiscount($U$35,Y8126,,Trigger)</f>
        <v>0.71552761703291801</v>
      </c>
    </row>
    <row r="8127" spans="25:26" x14ac:dyDescent="0.25">
      <c r="Y8127" s="63">
        <v>50660</v>
      </c>
      <c r="Z8127" s="61">
        <f>_xll.qlYieldTSDiscount($U$35,Y8127,,Trigger)</f>
        <v>0.71548505727890588</v>
      </c>
    </row>
    <row r="8128" spans="25:26" x14ac:dyDescent="0.25">
      <c r="Y8128" s="63">
        <v>50661</v>
      </c>
      <c r="Z8128" s="61">
        <f>_xll.qlYieldTSDiscount($U$35,Y8128,,Trigger)</f>
        <v>0.71544249434401197</v>
      </c>
    </row>
    <row r="8129" spans="25:26" x14ac:dyDescent="0.25">
      <c r="Y8129" s="63">
        <v>50662</v>
      </c>
      <c r="Z8129" s="61">
        <f>_xll.qlYieldTSDiscount($U$35,Y8129,,Trigger)</f>
        <v>0.71539992823074983</v>
      </c>
    </row>
    <row r="8130" spans="25:26" x14ac:dyDescent="0.25">
      <c r="Y8130" s="63">
        <v>50663</v>
      </c>
      <c r="Z8130" s="61">
        <f>_xll.qlYieldTSDiscount($U$35,Y8130,,Trigger)</f>
        <v>0.7153573589416331</v>
      </c>
    </row>
    <row r="8131" spans="25:26" x14ac:dyDescent="0.25">
      <c r="Y8131" s="63">
        <v>50664</v>
      </c>
      <c r="Z8131" s="61">
        <f>_xll.qlYieldTSDiscount($U$35,Y8131,,Trigger)</f>
        <v>0.71531478647917501</v>
      </c>
    </row>
    <row r="8132" spans="25:26" x14ac:dyDescent="0.25">
      <c r="Y8132" s="63">
        <v>50665</v>
      </c>
      <c r="Z8132" s="61">
        <f>_xll.qlYieldTSDiscount($U$35,Y8132,,Trigger)</f>
        <v>0.71527221084588954</v>
      </c>
    </row>
    <row r="8133" spans="25:26" x14ac:dyDescent="0.25">
      <c r="Y8133" s="63">
        <v>50666</v>
      </c>
      <c r="Z8133" s="61">
        <f>_xll.qlYieldTSDiscount($U$35,Y8133,,Trigger)</f>
        <v>0.71522963204428991</v>
      </c>
    </row>
    <row r="8134" spans="25:26" x14ac:dyDescent="0.25">
      <c r="Y8134" s="63">
        <v>50667</v>
      </c>
      <c r="Z8134" s="61">
        <f>_xll.qlYieldTSDiscount($U$35,Y8134,,Trigger)</f>
        <v>0.71518705007688976</v>
      </c>
    </row>
    <row r="8135" spans="25:26" x14ac:dyDescent="0.25">
      <c r="Y8135" s="63">
        <v>50668</v>
      </c>
      <c r="Z8135" s="61">
        <f>_xll.qlYieldTSDiscount($U$35,Y8135,,Trigger)</f>
        <v>0.71514446494620276</v>
      </c>
    </row>
    <row r="8136" spans="25:26" x14ac:dyDescent="0.25">
      <c r="Y8136" s="63">
        <v>50669</v>
      </c>
      <c r="Z8136" s="61">
        <f>_xll.qlYieldTSDiscount($U$35,Y8136,,Trigger)</f>
        <v>0.71510187665474234</v>
      </c>
    </row>
    <row r="8137" spans="25:26" x14ac:dyDescent="0.25">
      <c r="Y8137" s="63">
        <v>50670</v>
      </c>
      <c r="Z8137" s="61">
        <f>_xll.qlYieldTSDiscount($U$35,Y8137,,Trigger)</f>
        <v>0.71505928520502215</v>
      </c>
    </row>
    <row r="8138" spans="25:26" x14ac:dyDescent="0.25">
      <c r="Y8138" s="63">
        <v>50671</v>
      </c>
      <c r="Z8138" s="61">
        <f>_xll.qlYieldTSDiscount($U$35,Y8138,,Trigger)</f>
        <v>0.71501669059955564</v>
      </c>
    </row>
    <row r="8139" spans="25:26" x14ac:dyDescent="0.25">
      <c r="Y8139" s="63">
        <v>50672</v>
      </c>
      <c r="Z8139" s="61">
        <f>_xll.qlYieldTSDiscount($U$35,Y8139,,Trigger)</f>
        <v>0.71497409284085633</v>
      </c>
    </row>
    <row r="8140" spans="25:26" x14ac:dyDescent="0.25">
      <c r="Y8140" s="63">
        <v>50673</v>
      </c>
      <c r="Z8140" s="61">
        <f>_xll.qlYieldTSDiscount($U$35,Y8140,,Trigger)</f>
        <v>0.7149314919314379</v>
      </c>
    </row>
    <row r="8141" spans="25:26" x14ac:dyDescent="0.25">
      <c r="Y8141" s="63">
        <v>50674</v>
      </c>
      <c r="Z8141" s="61">
        <f>_xll.qlYieldTSDiscount($U$35,Y8141,,Trigger)</f>
        <v>0.71488888787381377</v>
      </c>
    </row>
    <row r="8142" spans="25:26" x14ac:dyDescent="0.25">
      <c r="Y8142" s="63">
        <v>50675</v>
      </c>
      <c r="Z8142" s="61">
        <f>_xll.qlYieldTSDiscount($U$35,Y8142,,Trigger)</f>
        <v>0.71484628067049771</v>
      </c>
    </row>
    <row r="8143" spans="25:26" x14ac:dyDescent="0.25">
      <c r="Y8143" s="63">
        <v>50676</v>
      </c>
      <c r="Z8143" s="61">
        <f>_xll.qlYieldTSDiscount($U$35,Y8143,,Trigger)</f>
        <v>0.71480367032400305</v>
      </c>
    </row>
    <row r="8144" spans="25:26" x14ac:dyDescent="0.25">
      <c r="Y8144" s="63">
        <v>50677</v>
      </c>
      <c r="Z8144" s="61">
        <f>_xll.qlYieldTSDiscount($U$35,Y8144,,Trigger)</f>
        <v>0.71476105683684332</v>
      </c>
    </row>
    <row r="8145" spans="25:26" x14ac:dyDescent="0.25">
      <c r="Y8145" s="63">
        <v>50678</v>
      </c>
      <c r="Z8145" s="61">
        <f>_xll.qlYieldTSDiscount($U$35,Y8145,,Trigger)</f>
        <v>0.7147184402115323</v>
      </c>
    </row>
    <row r="8146" spans="25:26" x14ac:dyDescent="0.25">
      <c r="Y8146" s="63">
        <v>50679</v>
      </c>
      <c r="Z8146" s="61">
        <f>_xll.qlYieldTSDiscount($U$35,Y8146,,Trigger)</f>
        <v>0.71467582045058331</v>
      </c>
    </row>
    <row r="8147" spans="25:26" x14ac:dyDescent="0.25">
      <c r="Y8147" s="63">
        <v>50680</v>
      </c>
      <c r="Z8147" s="61">
        <f>_xll.qlYieldTSDiscount($U$35,Y8147,,Trigger)</f>
        <v>0.71463319755651</v>
      </c>
    </row>
    <row r="8148" spans="25:26" x14ac:dyDescent="0.25">
      <c r="Y8148" s="63">
        <v>50681</v>
      </c>
      <c r="Z8148" s="61">
        <f>_xll.qlYieldTSDiscount($U$35,Y8148,,Trigger)</f>
        <v>0.71459057153182604</v>
      </c>
    </row>
    <row r="8149" spans="25:26" x14ac:dyDescent="0.25">
      <c r="Y8149" s="63">
        <v>50682</v>
      </c>
      <c r="Z8149" s="61">
        <f>_xll.qlYieldTSDiscount($U$35,Y8149,,Trigger)</f>
        <v>0.71454794237904473</v>
      </c>
    </row>
    <row r="8150" spans="25:26" x14ac:dyDescent="0.25">
      <c r="Y8150" s="63">
        <v>50683</v>
      </c>
      <c r="Z8150" s="61">
        <f>_xll.qlYieldTSDiscount($U$35,Y8150,,Trigger)</f>
        <v>0.71450531010067986</v>
      </c>
    </row>
    <row r="8151" spans="25:26" x14ac:dyDescent="0.25">
      <c r="Y8151" s="63">
        <v>50684</v>
      </c>
      <c r="Z8151" s="61">
        <f>_xll.qlYieldTSDiscount($U$35,Y8151,,Trigger)</f>
        <v>0.71446267469924485</v>
      </c>
    </row>
    <row r="8152" spans="25:26" x14ac:dyDescent="0.25">
      <c r="Y8152" s="63">
        <v>50685</v>
      </c>
      <c r="Z8152" s="61">
        <f>_xll.qlYieldTSDiscount($U$35,Y8152,,Trigger)</f>
        <v>0.71442003617725314</v>
      </c>
    </row>
    <row r="8153" spans="25:26" x14ac:dyDescent="0.25">
      <c r="Y8153" s="63">
        <v>50686</v>
      </c>
      <c r="Z8153" s="61">
        <f>_xll.qlYieldTSDiscount($U$35,Y8153,,Trigger)</f>
        <v>0.7143773945372186</v>
      </c>
    </row>
    <row r="8154" spans="25:26" x14ac:dyDescent="0.25">
      <c r="Y8154" s="63">
        <v>50687</v>
      </c>
      <c r="Z8154" s="61">
        <f>_xll.qlYieldTSDiscount($U$35,Y8154,,Trigger)</f>
        <v>0.71433474978165457</v>
      </c>
    </row>
    <row r="8155" spans="25:26" x14ac:dyDescent="0.25">
      <c r="Y8155" s="63">
        <v>50688</v>
      </c>
      <c r="Z8155" s="61">
        <f>_xll.qlYieldTSDiscount($U$35,Y8155,,Trigger)</f>
        <v>0.71429210191307446</v>
      </c>
    </row>
    <row r="8156" spans="25:26" x14ac:dyDescent="0.25">
      <c r="Y8156" s="63">
        <v>50689</v>
      </c>
      <c r="Z8156" s="61">
        <f>_xll.qlYieldTSDiscount($U$35,Y8156,,Trigger)</f>
        <v>0.71424945093399217</v>
      </c>
    </row>
    <row r="8157" spans="25:26" x14ac:dyDescent="0.25">
      <c r="Y8157" s="63">
        <v>50690</v>
      </c>
      <c r="Z8157" s="61">
        <f>_xll.qlYieldTSDiscount($U$35,Y8157,,Trigger)</f>
        <v>0.71420679684692101</v>
      </c>
    </row>
    <row r="8158" spans="25:26" x14ac:dyDescent="0.25">
      <c r="Y8158" s="63">
        <v>50691</v>
      </c>
      <c r="Z8158" s="61">
        <f>_xll.qlYieldTSDiscount($U$35,Y8158,,Trigger)</f>
        <v>0.71416413965437453</v>
      </c>
    </row>
    <row r="8159" spans="25:26" x14ac:dyDescent="0.25">
      <c r="Y8159" s="63">
        <v>50692</v>
      </c>
      <c r="Z8159" s="61">
        <f>_xll.qlYieldTSDiscount($U$35,Y8159,,Trigger)</f>
        <v>0.7141214793588665</v>
      </c>
    </row>
    <row r="8160" spans="25:26" x14ac:dyDescent="0.25">
      <c r="Y8160" s="63">
        <v>50693</v>
      </c>
      <c r="Z8160" s="61">
        <f>_xll.qlYieldTSDiscount($U$35,Y8160,,Trigger)</f>
        <v>0.71407881596291012</v>
      </c>
    </row>
    <row r="8161" spans="25:26" x14ac:dyDescent="0.25">
      <c r="Y8161" s="63">
        <v>50694</v>
      </c>
      <c r="Z8161" s="61">
        <f>_xll.qlYieldTSDiscount($U$35,Y8161,,Trigger)</f>
        <v>0.71403614946901928</v>
      </c>
    </row>
    <row r="8162" spans="25:26" x14ac:dyDescent="0.25">
      <c r="Y8162" s="63">
        <v>50695</v>
      </c>
      <c r="Z8162" s="61">
        <f>_xll.qlYieldTSDiscount($U$35,Y8162,,Trigger)</f>
        <v>0.7139934798797074</v>
      </c>
    </row>
    <row r="8163" spans="25:26" x14ac:dyDescent="0.25">
      <c r="Y8163" s="63">
        <v>50696</v>
      </c>
      <c r="Z8163" s="61">
        <f>_xll.qlYieldTSDiscount($U$35,Y8163,,Trigger)</f>
        <v>0.71395080719748782</v>
      </c>
    </row>
    <row r="8164" spans="25:26" x14ac:dyDescent="0.25">
      <c r="Y8164" s="63">
        <v>50697</v>
      </c>
      <c r="Z8164" s="61">
        <f>_xll.qlYieldTSDiscount($U$35,Y8164,,Trigger)</f>
        <v>0.71390813142487453</v>
      </c>
    </row>
    <row r="8165" spans="25:26" x14ac:dyDescent="0.25">
      <c r="Y8165" s="63">
        <v>50698</v>
      </c>
      <c r="Z8165" s="61">
        <f>_xll.qlYieldTSDiscount($U$35,Y8165,,Trigger)</f>
        <v>0.71386545256438072</v>
      </c>
    </row>
    <row r="8166" spans="25:26" x14ac:dyDescent="0.25">
      <c r="Y8166" s="63">
        <v>50699</v>
      </c>
      <c r="Z8166" s="61">
        <f>_xll.qlYieldTSDiscount($U$35,Y8166,,Trigger)</f>
        <v>0.71382277061852006</v>
      </c>
    </row>
    <row r="8167" spans="25:26" x14ac:dyDescent="0.25">
      <c r="Y8167" s="63">
        <v>50700</v>
      </c>
      <c r="Z8167" s="61">
        <f>_xll.qlYieldTSDiscount($U$35,Y8167,,Trigger)</f>
        <v>0.71378008558980621</v>
      </c>
    </row>
    <row r="8168" spans="25:26" x14ac:dyDescent="0.25">
      <c r="Y8168" s="63">
        <v>50701</v>
      </c>
      <c r="Z8168" s="61">
        <f>_xll.qlYieldTSDiscount($U$35,Y8168,,Trigger)</f>
        <v>0.71373739748075249</v>
      </c>
    </row>
    <row r="8169" spans="25:26" x14ac:dyDescent="0.25">
      <c r="Y8169" s="63">
        <v>50702</v>
      </c>
      <c r="Z8169" s="61">
        <f>_xll.qlYieldTSDiscount($U$35,Y8169,,Trigger)</f>
        <v>0.71369470629387266</v>
      </c>
    </row>
    <row r="8170" spans="25:26" x14ac:dyDescent="0.25">
      <c r="Y8170" s="63">
        <v>50703</v>
      </c>
      <c r="Z8170" s="61">
        <f>_xll.qlYieldTSDiscount($U$35,Y8170,,Trigger)</f>
        <v>0.71365201203168016</v>
      </c>
    </row>
    <row r="8171" spans="25:26" x14ac:dyDescent="0.25">
      <c r="Y8171" s="63">
        <v>50704</v>
      </c>
      <c r="Z8171" s="61">
        <f>_xll.qlYieldTSDiscount($U$35,Y8171,,Trigger)</f>
        <v>0.71360931469668853</v>
      </c>
    </row>
    <row r="8172" spans="25:26" x14ac:dyDescent="0.25">
      <c r="Y8172" s="63">
        <v>50705</v>
      </c>
      <c r="Z8172" s="61">
        <f>_xll.qlYieldTSDiscount($U$35,Y8172,,Trigger)</f>
        <v>0.71356661429141133</v>
      </c>
    </row>
    <row r="8173" spans="25:26" x14ac:dyDescent="0.25">
      <c r="Y8173" s="63">
        <v>50706</v>
      </c>
      <c r="Z8173" s="61">
        <f>_xll.qlYieldTSDiscount($U$35,Y8173,,Trigger)</f>
        <v>0.71352391081836219</v>
      </c>
    </row>
    <row r="8174" spans="25:26" x14ac:dyDescent="0.25">
      <c r="Y8174" s="63">
        <v>50707</v>
      </c>
      <c r="Z8174" s="61">
        <f>_xll.qlYieldTSDiscount($U$35,Y8174,,Trigger)</f>
        <v>0.71348120428005468</v>
      </c>
    </row>
    <row r="8175" spans="25:26" x14ac:dyDescent="0.25">
      <c r="Y8175" s="63">
        <v>50708</v>
      </c>
      <c r="Z8175" s="61">
        <f>_xll.qlYieldTSDiscount($U$35,Y8175,,Trigger)</f>
        <v>0.71343849467900222</v>
      </c>
    </row>
    <row r="8176" spans="25:26" x14ac:dyDescent="0.25">
      <c r="Y8176" s="63">
        <v>50709</v>
      </c>
      <c r="Z8176" s="61">
        <f>_xll.qlYieldTSDiscount($U$35,Y8176,,Trigger)</f>
        <v>0.71339578201771836</v>
      </c>
    </row>
    <row r="8177" spans="25:26" x14ac:dyDescent="0.25">
      <c r="Y8177" s="63">
        <v>50710</v>
      </c>
      <c r="Z8177" s="61">
        <f>_xll.qlYieldTSDiscount($U$35,Y8177,,Trigger)</f>
        <v>0.71335306629871686</v>
      </c>
    </row>
    <row r="8178" spans="25:26" x14ac:dyDescent="0.25">
      <c r="Y8178" s="63">
        <v>50711</v>
      </c>
      <c r="Z8178" s="61">
        <f>_xll.qlYieldTSDiscount($U$35,Y8178,,Trigger)</f>
        <v>0.71331034752451106</v>
      </c>
    </row>
    <row r="8179" spans="25:26" x14ac:dyDescent="0.25">
      <c r="Y8179" s="63">
        <v>50712</v>
      </c>
      <c r="Z8179" s="61">
        <f>_xll.qlYieldTSDiscount($U$35,Y8179,,Trigger)</f>
        <v>0.71326762569761459</v>
      </c>
    </row>
    <row r="8180" spans="25:26" x14ac:dyDescent="0.25">
      <c r="Y8180" s="63">
        <v>50713</v>
      </c>
      <c r="Z8180" s="61">
        <f>_xll.qlYieldTSDiscount($U$35,Y8180,,Trigger)</f>
        <v>0.71322490082054102</v>
      </c>
    </row>
    <row r="8181" spans="25:26" x14ac:dyDescent="0.25">
      <c r="Y8181" s="63">
        <v>50714</v>
      </c>
      <c r="Z8181" s="61">
        <f>_xll.qlYieldTSDiscount($U$35,Y8181,,Trigger)</f>
        <v>0.71318217289580377</v>
      </c>
    </row>
    <row r="8182" spans="25:26" x14ac:dyDescent="0.25">
      <c r="Y8182" s="63">
        <v>50715</v>
      </c>
      <c r="Z8182" s="61">
        <f>_xll.qlYieldTSDiscount($U$35,Y8182,,Trigger)</f>
        <v>0.71313944192591661</v>
      </c>
    </row>
    <row r="8183" spans="25:26" x14ac:dyDescent="0.25">
      <c r="Y8183" s="63">
        <v>50716</v>
      </c>
      <c r="Z8183" s="61">
        <f>_xll.qlYieldTSDiscount($U$35,Y8183,,Trigger)</f>
        <v>0.71309670791339286</v>
      </c>
    </row>
    <row r="8184" spans="25:26" x14ac:dyDescent="0.25">
      <c r="Y8184" s="63">
        <v>50717</v>
      </c>
      <c r="Z8184" s="61">
        <f>_xll.qlYieldTSDiscount($U$35,Y8184,,Trigger)</f>
        <v>0.71305397086074629</v>
      </c>
    </row>
    <row r="8185" spans="25:26" x14ac:dyDescent="0.25">
      <c r="Y8185" s="63">
        <v>50718</v>
      </c>
      <c r="Z8185" s="61">
        <f>_xll.qlYieldTSDiscount($U$35,Y8185,,Trigger)</f>
        <v>0.71301123077049033</v>
      </c>
    </row>
    <row r="8186" spans="25:26" x14ac:dyDescent="0.25">
      <c r="Y8186" s="63">
        <v>50719</v>
      </c>
      <c r="Z8186" s="61">
        <f>_xll.qlYieldTSDiscount($U$35,Y8186,,Trigger)</f>
        <v>0.71296848764513843</v>
      </c>
    </row>
    <row r="8187" spans="25:26" x14ac:dyDescent="0.25">
      <c r="Y8187" s="63">
        <v>50720</v>
      </c>
      <c r="Z8187" s="61">
        <f>_xll.qlYieldTSDiscount($U$35,Y8187,,Trigger)</f>
        <v>0.71292574148720433</v>
      </c>
    </row>
    <row r="8188" spans="25:26" x14ac:dyDescent="0.25">
      <c r="Y8188" s="63">
        <v>50721</v>
      </c>
      <c r="Z8188" s="61">
        <f>_xll.qlYieldTSDiscount($U$35,Y8188,,Trigger)</f>
        <v>0.7128829922992016</v>
      </c>
    </row>
    <row r="8189" spans="25:26" x14ac:dyDescent="0.25">
      <c r="Y8189" s="63">
        <v>50722</v>
      </c>
      <c r="Z8189" s="61">
        <f>_xll.qlYieldTSDiscount($U$35,Y8189,,Trigger)</f>
        <v>0.71284024008364355</v>
      </c>
    </row>
    <row r="8190" spans="25:26" x14ac:dyDescent="0.25">
      <c r="Y8190" s="63">
        <v>50723</v>
      </c>
      <c r="Z8190" s="61">
        <f>_xll.qlYieldTSDiscount($U$35,Y8190,,Trigger)</f>
        <v>0.71279748484304406</v>
      </c>
    </row>
    <row r="8191" spans="25:26" x14ac:dyDescent="0.25">
      <c r="Y8191" s="63">
        <v>50724</v>
      </c>
      <c r="Z8191" s="61">
        <f>_xll.qlYieldTSDiscount($U$35,Y8191,,Trigger)</f>
        <v>0.71275472657991645</v>
      </c>
    </row>
    <row r="8192" spans="25:26" x14ac:dyDescent="0.25">
      <c r="Y8192" s="63">
        <v>50725</v>
      </c>
      <c r="Z8192" s="61">
        <f>_xll.qlYieldTSDiscount($U$35,Y8192,,Trigger)</f>
        <v>0.71271196529677416</v>
      </c>
    </row>
    <row r="8193" spans="25:26" x14ac:dyDescent="0.25">
      <c r="Y8193" s="63">
        <v>50726</v>
      </c>
      <c r="Z8193" s="61">
        <f>_xll.qlYieldTSDiscount($U$35,Y8193,,Trigger)</f>
        <v>0.71266920099613107</v>
      </c>
    </row>
    <row r="8194" spans="25:26" x14ac:dyDescent="0.25">
      <c r="Y8194" s="63">
        <v>50727</v>
      </c>
      <c r="Z8194" s="61">
        <f>_xll.qlYieldTSDiscount($U$35,Y8194,,Trigger)</f>
        <v>0.71262643368050049</v>
      </c>
    </row>
    <row r="8195" spans="25:26" x14ac:dyDescent="0.25">
      <c r="Y8195" s="63">
        <v>50728</v>
      </c>
      <c r="Z8195" s="61">
        <f>_xll.qlYieldTSDiscount($U$35,Y8195,,Trigger)</f>
        <v>0.7125836633523962</v>
      </c>
    </row>
    <row r="8196" spans="25:26" x14ac:dyDescent="0.25">
      <c r="Y8196" s="63">
        <v>50729</v>
      </c>
      <c r="Z8196" s="61">
        <f>_xll.qlYieldTSDiscount($U$35,Y8196,,Trigger)</f>
        <v>0.71254089001433152</v>
      </c>
    </row>
    <row r="8197" spans="25:26" x14ac:dyDescent="0.25">
      <c r="Y8197" s="63">
        <v>50730</v>
      </c>
      <c r="Z8197" s="61">
        <f>_xll.qlYieldTSDiscount($U$35,Y8197,,Trigger)</f>
        <v>0.71249811366881999</v>
      </c>
    </row>
    <row r="8198" spans="25:26" x14ac:dyDescent="0.25">
      <c r="Y8198" s="63">
        <v>50731</v>
      </c>
      <c r="Z8198" s="61">
        <f>_xll.qlYieldTSDiscount($U$35,Y8198,,Trigger)</f>
        <v>0.71245533431837538</v>
      </c>
    </row>
    <row r="8199" spans="25:26" x14ac:dyDescent="0.25">
      <c r="Y8199" s="63">
        <v>50732</v>
      </c>
      <c r="Z8199" s="61">
        <f>_xll.qlYieldTSDiscount($U$35,Y8199,,Trigger)</f>
        <v>0.71241255196551101</v>
      </c>
    </row>
    <row r="8200" spans="25:26" x14ac:dyDescent="0.25">
      <c r="Y8200" s="63">
        <v>50733</v>
      </c>
      <c r="Z8200" s="61">
        <f>_xll.qlYieldTSDiscount($U$35,Y8200,,Trigger)</f>
        <v>0.71236976661274054</v>
      </c>
    </row>
    <row r="8201" spans="25:26" x14ac:dyDescent="0.25">
      <c r="Y8201" s="63">
        <v>50734</v>
      </c>
      <c r="Z8201" s="61">
        <f>_xll.qlYieldTSDiscount($U$35,Y8201,,Trigger)</f>
        <v>0.71232697826257763</v>
      </c>
    </row>
    <row r="8202" spans="25:26" x14ac:dyDescent="0.25">
      <c r="Y8202" s="63">
        <v>50735</v>
      </c>
      <c r="Z8202" s="61">
        <f>_xll.qlYieldTSDiscount($U$35,Y8202,,Trigger)</f>
        <v>0.71228418691753559</v>
      </c>
    </row>
    <row r="8203" spans="25:26" x14ac:dyDescent="0.25">
      <c r="Y8203" s="63">
        <v>50736</v>
      </c>
      <c r="Z8203" s="61">
        <f>_xll.qlYieldTSDiscount($U$35,Y8203,,Trigger)</f>
        <v>0.7122413925801282</v>
      </c>
    </row>
    <row r="8204" spans="25:26" x14ac:dyDescent="0.25">
      <c r="Y8204" s="63">
        <v>50737</v>
      </c>
      <c r="Z8204" s="61">
        <f>_xll.qlYieldTSDiscount($U$35,Y8204,,Trigger)</f>
        <v>0.71219859525286888</v>
      </c>
    </row>
    <row r="8205" spans="25:26" x14ac:dyDescent="0.25">
      <c r="Y8205" s="63">
        <v>50738</v>
      </c>
      <c r="Z8205" s="61">
        <f>_xll.qlYieldTSDiscount($U$35,Y8205,,Trigger)</f>
        <v>0.71215579493827119</v>
      </c>
    </row>
    <row r="8206" spans="25:26" x14ac:dyDescent="0.25">
      <c r="Y8206" s="63">
        <v>50739</v>
      </c>
      <c r="Z8206" s="61">
        <f>_xll.qlYieldTSDiscount($U$35,Y8206,,Trigger)</f>
        <v>0.71211299163884867</v>
      </c>
    </row>
    <row r="8207" spans="25:26" x14ac:dyDescent="0.25">
      <c r="Y8207" s="63">
        <v>50740</v>
      </c>
      <c r="Z8207" s="61">
        <f>_xll.qlYieldTSDiscount($U$35,Y8207,,Trigger)</f>
        <v>0.71207018535711497</v>
      </c>
    </row>
    <row r="8208" spans="25:26" x14ac:dyDescent="0.25">
      <c r="Y8208" s="63">
        <v>50741</v>
      </c>
      <c r="Z8208" s="61">
        <f>_xll.qlYieldTSDiscount($U$35,Y8208,,Trigger)</f>
        <v>0.71202737609558353</v>
      </c>
    </row>
    <row r="8209" spans="25:26" x14ac:dyDescent="0.25">
      <c r="Y8209" s="63">
        <v>50742</v>
      </c>
      <c r="Z8209" s="61">
        <f>_xll.qlYieldTSDiscount($U$35,Y8209,,Trigger)</f>
        <v>0.711984563856768</v>
      </c>
    </row>
    <row r="8210" spans="25:26" x14ac:dyDescent="0.25">
      <c r="Y8210" s="63">
        <v>50743</v>
      </c>
      <c r="Z8210" s="61">
        <f>_xll.qlYieldTSDiscount($U$35,Y8210,,Trigger)</f>
        <v>0.71194174864318183</v>
      </c>
    </row>
    <row r="8211" spans="25:26" x14ac:dyDescent="0.25">
      <c r="Y8211" s="63">
        <v>50744</v>
      </c>
      <c r="Z8211" s="61">
        <f>_xll.qlYieldTSDiscount($U$35,Y8211,,Trigger)</f>
        <v>0.71189893045733865</v>
      </c>
    </row>
    <row r="8212" spans="25:26" x14ac:dyDescent="0.25">
      <c r="Y8212" s="63">
        <v>50745</v>
      </c>
      <c r="Z8212" s="61">
        <f>_xll.qlYieldTSDiscount($U$35,Y8212,,Trigger)</f>
        <v>0.71185610930175203</v>
      </c>
    </row>
    <row r="8213" spans="25:26" x14ac:dyDescent="0.25">
      <c r="Y8213" s="63">
        <v>50746</v>
      </c>
      <c r="Z8213" s="61">
        <f>_xll.qlYieldTSDiscount($U$35,Y8213,,Trigger)</f>
        <v>0.71181328517893538</v>
      </c>
    </row>
    <row r="8214" spans="25:26" x14ac:dyDescent="0.25">
      <c r="Y8214" s="63">
        <v>50747</v>
      </c>
      <c r="Z8214" s="61">
        <f>_xll.qlYieldTSDiscount($U$35,Y8214,,Trigger)</f>
        <v>0.71177045809140238</v>
      </c>
    </row>
    <row r="8215" spans="25:26" x14ac:dyDescent="0.25">
      <c r="Y8215" s="63">
        <v>50748</v>
      </c>
      <c r="Z8215" s="61">
        <f>_xll.qlYieldTSDiscount($U$35,Y8215,,Trigger)</f>
        <v>0.71172762804166656</v>
      </c>
    </row>
    <row r="8216" spans="25:26" x14ac:dyDescent="0.25">
      <c r="Y8216" s="63">
        <v>50749</v>
      </c>
      <c r="Z8216" s="61">
        <f>_xll.qlYieldTSDiscount($U$35,Y8216,,Trigger)</f>
        <v>0.71168479503224147</v>
      </c>
    </row>
    <row r="8217" spans="25:26" x14ac:dyDescent="0.25">
      <c r="Y8217" s="63">
        <v>50750</v>
      </c>
      <c r="Z8217" s="61">
        <f>_xll.qlYieldTSDiscount($U$35,Y8217,,Trigger)</f>
        <v>0.71164195906564065</v>
      </c>
    </row>
    <row r="8218" spans="25:26" x14ac:dyDescent="0.25">
      <c r="Y8218" s="63">
        <v>50751</v>
      </c>
      <c r="Z8218" s="61">
        <f>_xll.qlYieldTSDiscount($U$35,Y8218,,Trigger)</f>
        <v>0.71159912014437754</v>
      </c>
    </row>
    <row r="8219" spans="25:26" x14ac:dyDescent="0.25">
      <c r="Y8219" s="63">
        <v>50752</v>
      </c>
      <c r="Z8219" s="61">
        <f>_xll.qlYieldTSDiscount($U$35,Y8219,,Trigger)</f>
        <v>0.7115562782709659</v>
      </c>
    </row>
    <row r="8220" spans="25:26" x14ac:dyDescent="0.25">
      <c r="Y8220" s="63">
        <v>50753</v>
      </c>
      <c r="Z8220" s="61">
        <f>_xll.qlYieldTSDiscount($U$35,Y8220,,Trigger)</f>
        <v>0.71151343344791917</v>
      </c>
    </row>
    <row r="8221" spans="25:26" x14ac:dyDescent="0.25">
      <c r="Y8221" s="63">
        <v>50754</v>
      </c>
      <c r="Z8221" s="61">
        <f>_xll.qlYieldTSDiscount($U$35,Y8221,,Trigger)</f>
        <v>0.7114705856777509</v>
      </c>
    </row>
    <row r="8222" spans="25:26" x14ac:dyDescent="0.25">
      <c r="Y8222" s="63">
        <v>50755</v>
      </c>
      <c r="Z8222" s="61">
        <f>_xll.qlYieldTSDiscount($U$35,Y8222,,Trigger)</f>
        <v>0.71142773496297473</v>
      </c>
    </row>
    <row r="8223" spans="25:26" x14ac:dyDescent="0.25">
      <c r="Y8223" s="63">
        <v>50756</v>
      </c>
      <c r="Z8223" s="61">
        <f>_xll.qlYieldTSDiscount($U$35,Y8223,,Trigger)</f>
        <v>0.711384881306104</v>
      </c>
    </row>
    <row r="8224" spans="25:26" x14ac:dyDescent="0.25">
      <c r="Y8224" s="63">
        <v>50757</v>
      </c>
      <c r="Z8224" s="61">
        <f>_xll.qlYieldTSDiscount($U$35,Y8224,,Trigger)</f>
        <v>0.71134202470965247</v>
      </c>
    </row>
    <row r="8225" spans="25:26" x14ac:dyDescent="0.25">
      <c r="Y8225" s="63">
        <v>50758</v>
      </c>
      <c r="Z8225" s="61">
        <f>_xll.qlYieldTSDiscount($U$35,Y8225,,Trigger)</f>
        <v>0.71129916517613367</v>
      </c>
    </row>
    <row r="8226" spans="25:26" x14ac:dyDescent="0.25">
      <c r="Y8226" s="63">
        <v>50759</v>
      </c>
      <c r="Z8226" s="61">
        <f>_xll.qlYieldTSDiscount($U$35,Y8226,,Trigger)</f>
        <v>0.71125630270806095</v>
      </c>
    </row>
    <row r="8227" spans="25:26" x14ac:dyDescent="0.25">
      <c r="Y8227" s="63">
        <v>50760</v>
      </c>
      <c r="Z8227" s="61">
        <f>_xll.qlYieldTSDiscount($U$35,Y8227,,Trigger)</f>
        <v>0.71121343730794817</v>
      </c>
    </row>
    <row r="8228" spans="25:26" x14ac:dyDescent="0.25">
      <c r="Y8228" s="63">
        <v>50761</v>
      </c>
      <c r="Z8228" s="61">
        <f>_xll.qlYieldTSDiscount($U$35,Y8228,,Trigger)</f>
        <v>0.71117056897830866</v>
      </c>
    </row>
    <row r="8229" spans="25:26" x14ac:dyDescent="0.25">
      <c r="Y8229" s="63">
        <v>50762</v>
      </c>
      <c r="Z8229" s="61">
        <f>_xll.qlYieldTSDiscount($U$35,Y8229,,Trigger)</f>
        <v>0.71112769772165596</v>
      </c>
    </row>
    <row r="8230" spans="25:26" x14ac:dyDescent="0.25">
      <c r="Y8230" s="63">
        <v>50763</v>
      </c>
      <c r="Z8230" s="61">
        <f>_xll.qlYieldTSDiscount($U$35,Y8230,,Trigger)</f>
        <v>0.71108482354050384</v>
      </c>
    </row>
    <row r="8231" spans="25:26" x14ac:dyDescent="0.25">
      <c r="Y8231" s="63">
        <v>50764</v>
      </c>
      <c r="Z8231" s="61">
        <f>_xll.qlYieldTSDiscount($U$35,Y8231,,Trigger)</f>
        <v>0.71104194643736562</v>
      </c>
    </row>
    <row r="8232" spans="25:26" x14ac:dyDescent="0.25">
      <c r="Y8232" s="63">
        <v>50765</v>
      </c>
      <c r="Z8232" s="61">
        <f>_xll.qlYieldTSDiscount($U$35,Y8232,,Trigger)</f>
        <v>0.71099906641475497</v>
      </c>
    </row>
    <row r="8233" spans="25:26" x14ac:dyDescent="0.25">
      <c r="Y8233" s="63">
        <v>50766</v>
      </c>
      <c r="Z8233" s="61">
        <f>_xll.qlYieldTSDiscount($U$35,Y8233,,Trigger)</f>
        <v>0.71095618347518541</v>
      </c>
    </row>
    <row r="8234" spans="25:26" x14ac:dyDescent="0.25">
      <c r="Y8234" s="63">
        <v>50767</v>
      </c>
      <c r="Z8234" s="61">
        <f>_xll.qlYieldTSDiscount($U$35,Y8234,,Trigger)</f>
        <v>0.71091329762117039</v>
      </c>
    </row>
    <row r="8235" spans="25:26" x14ac:dyDescent="0.25">
      <c r="Y8235" s="63">
        <v>50768</v>
      </c>
      <c r="Z8235" s="61">
        <f>_xll.qlYieldTSDiscount($U$35,Y8235,,Trigger)</f>
        <v>0.71087040885522368</v>
      </c>
    </row>
    <row r="8236" spans="25:26" x14ac:dyDescent="0.25">
      <c r="Y8236" s="63">
        <v>50769</v>
      </c>
      <c r="Z8236" s="61">
        <f>_xll.qlYieldTSDiscount($U$35,Y8236,,Trigger)</f>
        <v>0.71082751717985859</v>
      </c>
    </row>
    <row r="8237" spans="25:26" x14ac:dyDescent="0.25">
      <c r="Y8237" s="63">
        <v>50770</v>
      </c>
      <c r="Z8237" s="61">
        <f>_xll.qlYieldTSDiscount($U$35,Y8237,,Trigger)</f>
        <v>0.7107846225975889</v>
      </c>
    </row>
    <row r="8238" spans="25:26" x14ac:dyDescent="0.25">
      <c r="Y8238" s="63">
        <v>50771</v>
      </c>
      <c r="Z8238" s="61">
        <f>_xll.qlYieldTSDiscount($U$35,Y8238,,Trigger)</f>
        <v>0.71074172511092804</v>
      </c>
    </row>
    <row r="8239" spans="25:26" x14ac:dyDescent="0.25">
      <c r="Y8239" s="63">
        <v>50772</v>
      </c>
      <c r="Z8239" s="61">
        <f>_xll.qlYieldTSDiscount($U$35,Y8239,,Trigger)</f>
        <v>0.71069882472238954</v>
      </c>
    </row>
    <row r="8240" spans="25:26" x14ac:dyDescent="0.25">
      <c r="Y8240" s="63">
        <v>50773</v>
      </c>
      <c r="Z8240" s="61">
        <f>_xll.qlYieldTSDiscount($U$35,Y8240,,Trigger)</f>
        <v>0.71065592143448697</v>
      </c>
    </row>
    <row r="8241" spans="25:26" x14ac:dyDescent="0.25">
      <c r="Y8241" s="63">
        <v>50774</v>
      </c>
      <c r="Z8241" s="61">
        <f>_xll.qlYieldTSDiscount($U$35,Y8241,,Trigger)</f>
        <v>0.71061301524973397</v>
      </c>
    </row>
    <row r="8242" spans="25:26" x14ac:dyDescent="0.25">
      <c r="Y8242" s="63">
        <v>50775</v>
      </c>
      <c r="Z8242" s="61">
        <f>_xll.qlYieldTSDiscount($U$35,Y8242,,Trigger)</f>
        <v>0.71057010617064398</v>
      </c>
    </row>
    <row r="8243" spans="25:26" x14ac:dyDescent="0.25">
      <c r="Y8243" s="63">
        <v>50776</v>
      </c>
      <c r="Z8243" s="61">
        <f>_xll.qlYieldTSDiscount($U$35,Y8243,,Trigger)</f>
        <v>0.71052719419973065</v>
      </c>
    </row>
    <row r="8244" spans="25:26" x14ac:dyDescent="0.25">
      <c r="Y8244" s="63">
        <v>50777</v>
      </c>
      <c r="Z8244" s="61">
        <f>_xll.qlYieldTSDiscount($U$35,Y8244,,Trigger)</f>
        <v>0.71048427933950742</v>
      </c>
    </row>
    <row r="8245" spans="25:26" x14ac:dyDescent="0.25">
      <c r="Y8245" s="63">
        <v>50778</v>
      </c>
      <c r="Z8245" s="61">
        <f>_xll.qlYieldTSDiscount($U$35,Y8245,,Trigger)</f>
        <v>0.71044136159248783</v>
      </c>
    </row>
    <row r="8246" spans="25:26" x14ac:dyDescent="0.25">
      <c r="Y8246" s="63">
        <v>50779</v>
      </c>
      <c r="Z8246" s="61">
        <f>_xll.qlYieldTSDiscount($U$35,Y8246,,Trigger)</f>
        <v>0.71039844096118565</v>
      </c>
    </row>
    <row r="8247" spans="25:26" x14ac:dyDescent="0.25">
      <c r="Y8247" s="63">
        <v>50780</v>
      </c>
      <c r="Z8247" s="61">
        <f>_xll.qlYieldTSDiscount($U$35,Y8247,,Trigger)</f>
        <v>0.71035551744811409</v>
      </c>
    </row>
    <row r="8248" spans="25:26" x14ac:dyDescent="0.25">
      <c r="Y8248" s="63">
        <v>50781</v>
      </c>
      <c r="Z8248" s="61">
        <f>_xll.qlYieldTSDiscount($U$35,Y8248,,Trigger)</f>
        <v>0.71031259105578703</v>
      </c>
    </row>
    <row r="8249" spans="25:26" x14ac:dyDescent="0.25">
      <c r="Y8249" s="63">
        <v>50782</v>
      </c>
      <c r="Z8249" s="61">
        <f>_xll.qlYieldTSDiscount($U$35,Y8249,,Trigger)</f>
        <v>0.7102696617867178</v>
      </c>
    </row>
    <row r="8250" spans="25:26" x14ac:dyDescent="0.25">
      <c r="Y8250" s="63">
        <v>50783</v>
      </c>
      <c r="Z8250" s="61">
        <f>_xll.qlYieldTSDiscount($U$35,Y8250,,Trigger)</f>
        <v>0.71022672964342004</v>
      </c>
    </row>
    <row r="8251" spans="25:26" x14ac:dyDescent="0.25">
      <c r="Y8251" s="63">
        <v>50784</v>
      </c>
      <c r="Z8251" s="61">
        <f>_xll.qlYieldTSDiscount($U$35,Y8251,,Trigger)</f>
        <v>0.71018379462840731</v>
      </c>
    </row>
    <row r="8252" spans="25:26" x14ac:dyDescent="0.25">
      <c r="Y8252" s="63">
        <v>50785</v>
      </c>
      <c r="Z8252" s="61">
        <f>_xll.qlYieldTSDiscount($U$35,Y8252,,Trigger)</f>
        <v>0.71014085674419325</v>
      </c>
    </row>
    <row r="8253" spans="25:26" x14ac:dyDescent="0.25">
      <c r="Y8253" s="63">
        <v>50786</v>
      </c>
      <c r="Z8253" s="61">
        <f>_xll.qlYieldTSDiscount($U$35,Y8253,,Trigger)</f>
        <v>0.71009791599329108</v>
      </c>
    </row>
    <row r="8254" spans="25:26" x14ac:dyDescent="0.25">
      <c r="Y8254" s="63">
        <v>50787</v>
      </c>
      <c r="Z8254" s="61">
        <f>_xll.qlYieldTSDiscount($U$35,Y8254,,Trigger)</f>
        <v>0.7100549723782148</v>
      </c>
    </row>
    <row r="8255" spans="25:26" x14ac:dyDescent="0.25">
      <c r="Y8255" s="63">
        <v>50788</v>
      </c>
      <c r="Z8255" s="61">
        <f>_xll.qlYieldTSDiscount($U$35,Y8255,,Trigger)</f>
        <v>0.71001202590147761</v>
      </c>
    </row>
    <row r="8256" spans="25:26" x14ac:dyDescent="0.25">
      <c r="Y8256" s="63">
        <v>50789</v>
      </c>
      <c r="Z8256" s="61">
        <f>_xll.qlYieldTSDiscount($U$35,Y8256,,Trigger)</f>
        <v>0.70996907656559316</v>
      </c>
    </row>
    <row r="8257" spans="25:26" x14ac:dyDescent="0.25">
      <c r="Y8257" s="63">
        <v>50790</v>
      </c>
      <c r="Z8257" s="61">
        <f>_xll.qlYieldTSDiscount($U$35,Y8257,,Trigger)</f>
        <v>0.70992612437307512</v>
      </c>
    </row>
    <row r="8258" spans="25:26" x14ac:dyDescent="0.25">
      <c r="Y8258" s="63">
        <v>50791</v>
      </c>
      <c r="Z8258" s="61">
        <f>_xll.qlYieldTSDiscount($U$35,Y8258,,Trigger)</f>
        <v>0.70988316932643691</v>
      </c>
    </row>
    <row r="8259" spans="25:26" x14ac:dyDescent="0.25">
      <c r="Y8259" s="63">
        <v>50792</v>
      </c>
      <c r="Z8259" s="61">
        <f>_xll.qlYieldTSDiscount($U$35,Y8259,,Trigger)</f>
        <v>0.70984021142819209</v>
      </c>
    </row>
    <row r="8260" spans="25:26" x14ac:dyDescent="0.25">
      <c r="Y8260" s="63">
        <v>50793</v>
      </c>
      <c r="Z8260" s="61">
        <f>_xll.qlYieldTSDiscount($U$35,Y8260,,Trigger)</f>
        <v>0.70979725068085431</v>
      </c>
    </row>
    <row r="8261" spans="25:26" x14ac:dyDescent="0.25">
      <c r="Y8261" s="63">
        <v>50794</v>
      </c>
      <c r="Z8261" s="61">
        <f>_xll.qlYieldTSDiscount($U$35,Y8261,,Trigger)</f>
        <v>0.709754287086937</v>
      </c>
    </row>
    <row r="8262" spans="25:26" x14ac:dyDescent="0.25">
      <c r="Y8262" s="63">
        <v>50795</v>
      </c>
      <c r="Z8262" s="61">
        <f>_xll.qlYieldTSDiscount($U$35,Y8262,,Trigger)</f>
        <v>0.70971132064895381</v>
      </c>
    </row>
    <row r="8263" spans="25:26" x14ac:dyDescent="0.25">
      <c r="Y8263" s="63">
        <v>50796</v>
      </c>
      <c r="Z8263" s="61">
        <f>_xll.qlYieldTSDiscount($U$35,Y8263,,Trigger)</f>
        <v>0.70966835136941819</v>
      </c>
    </row>
    <row r="8264" spans="25:26" x14ac:dyDescent="0.25">
      <c r="Y8264" s="63">
        <v>50797</v>
      </c>
      <c r="Z8264" s="61">
        <f>_xll.qlYieldTSDiscount($U$35,Y8264,,Trigger)</f>
        <v>0.70962537925084379</v>
      </c>
    </row>
    <row r="8265" spans="25:26" x14ac:dyDescent="0.25">
      <c r="Y8265" s="63">
        <v>50798</v>
      </c>
      <c r="Z8265" s="61">
        <f>_xll.qlYieldTSDiscount($U$35,Y8265,,Trigger)</f>
        <v>0.70958240429574415</v>
      </c>
    </row>
    <row r="8266" spans="25:26" x14ac:dyDescent="0.25">
      <c r="Y8266" s="63">
        <v>50799</v>
      </c>
      <c r="Z8266" s="61">
        <f>_xll.qlYieldTSDiscount($U$35,Y8266,,Trigger)</f>
        <v>0.70953942650663271</v>
      </c>
    </row>
    <row r="8267" spans="25:26" x14ac:dyDescent="0.25">
      <c r="Y8267" s="63">
        <v>50800</v>
      </c>
      <c r="Z8267" s="61">
        <f>_xll.qlYieldTSDiscount($U$35,Y8267,,Trigger)</f>
        <v>0.70949644588602312</v>
      </c>
    </row>
    <row r="8268" spans="25:26" x14ac:dyDescent="0.25">
      <c r="Y8268" s="63">
        <v>50801</v>
      </c>
      <c r="Z8268" s="61">
        <f>_xll.qlYieldTSDiscount($U$35,Y8268,,Trigger)</f>
        <v>0.70945346243642893</v>
      </c>
    </row>
    <row r="8269" spans="25:26" x14ac:dyDescent="0.25">
      <c r="Y8269" s="63">
        <v>50802</v>
      </c>
      <c r="Z8269" s="61">
        <f>_xll.qlYieldTSDiscount($U$35,Y8269,,Trigger)</f>
        <v>0.70941047616036368</v>
      </c>
    </row>
    <row r="8270" spans="25:26" x14ac:dyDescent="0.25">
      <c r="Y8270" s="63">
        <v>50803</v>
      </c>
      <c r="Z8270" s="61">
        <f>_xll.qlYieldTSDiscount($U$35,Y8270,,Trigger)</f>
        <v>0.70936748706034092</v>
      </c>
    </row>
    <row r="8271" spans="25:26" x14ac:dyDescent="0.25">
      <c r="Y8271" s="63">
        <v>50804</v>
      </c>
      <c r="Z8271" s="61">
        <f>_xll.qlYieldTSDiscount($U$35,Y8271,,Trigger)</f>
        <v>0.70932449513887419</v>
      </c>
    </row>
    <row r="8272" spans="25:26" x14ac:dyDescent="0.25">
      <c r="Y8272" s="63">
        <v>50805</v>
      </c>
      <c r="Z8272" s="61">
        <f>_xll.qlYieldTSDiscount($U$35,Y8272,,Trigger)</f>
        <v>0.70928150039847704</v>
      </c>
    </row>
    <row r="8273" spans="25:26" x14ac:dyDescent="0.25">
      <c r="Y8273" s="63">
        <v>50806</v>
      </c>
      <c r="Z8273" s="61">
        <f>_xll.qlYieldTSDiscount($U$35,Y8273,,Trigger)</f>
        <v>0.70923850284166301</v>
      </c>
    </row>
    <row r="8274" spans="25:26" x14ac:dyDescent="0.25">
      <c r="Y8274" s="63">
        <v>50807</v>
      </c>
      <c r="Z8274" s="61">
        <f>_xll.qlYieldTSDiscount($U$35,Y8274,,Trigger)</f>
        <v>0.70919550247094565</v>
      </c>
    </row>
    <row r="8275" spans="25:26" x14ac:dyDescent="0.25">
      <c r="Y8275" s="63">
        <v>50808</v>
      </c>
      <c r="Z8275" s="61">
        <f>_xll.qlYieldTSDiscount($U$35,Y8275,,Trigger)</f>
        <v>0.70915249928883861</v>
      </c>
    </row>
    <row r="8276" spans="25:26" x14ac:dyDescent="0.25">
      <c r="Y8276" s="63">
        <v>50809</v>
      </c>
      <c r="Z8276" s="61">
        <f>_xll.qlYieldTSDiscount($U$35,Y8276,,Trigger)</f>
        <v>0.70910949329785533</v>
      </c>
    </row>
    <row r="8277" spans="25:26" x14ac:dyDescent="0.25">
      <c r="Y8277" s="63">
        <v>50810</v>
      </c>
      <c r="Z8277" s="61">
        <f>_xll.qlYieldTSDiscount($U$35,Y8277,,Trigger)</f>
        <v>0.70906648450050946</v>
      </c>
    </row>
    <row r="8278" spans="25:26" x14ac:dyDescent="0.25">
      <c r="Y8278" s="63">
        <v>50811</v>
      </c>
      <c r="Z8278" s="61">
        <f>_xll.qlYieldTSDiscount($U$35,Y8278,,Trigger)</f>
        <v>0.70902347289931433</v>
      </c>
    </row>
    <row r="8279" spans="25:26" x14ac:dyDescent="0.25">
      <c r="Y8279" s="63">
        <v>50812</v>
      </c>
      <c r="Z8279" s="61">
        <f>_xll.qlYieldTSDiscount($U$35,Y8279,,Trigger)</f>
        <v>0.70898045849678382</v>
      </c>
    </row>
    <row r="8280" spans="25:26" x14ac:dyDescent="0.25">
      <c r="Y8280" s="63">
        <v>50813</v>
      </c>
      <c r="Z8280" s="61">
        <f>_xll.qlYieldTSDiscount($U$35,Y8280,,Trigger)</f>
        <v>0.70893744129543124</v>
      </c>
    </row>
    <row r="8281" spans="25:26" x14ac:dyDescent="0.25">
      <c r="Y8281" s="63">
        <v>50814</v>
      </c>
      <c r="Z8281" s="61">
        <f>_xll.qlYieldTSDiscount($U$35,Y8281,,Trigger)</f>
        <v>0.70889442129777014</v>
      </c>
    </row>
    <row r="8282" spans="25:26" x14ac:dyDescent="0.25">
      <c r="Y8282" s="63">
        <v>50815</v>
      </c>
      <c r="Z8282" s="61">
        <f>_xll.qlYieldTSDiscount($U$35,Y8282,,Trigger)</f>
        <v>0.70885139850631418</v>
      </c>
    </row>
    <row r="8283" spans="25:26" x14ac:dyDescent="0.25">
      <c r="Y8283" s="63">
        <v>50816</v>
      </c>
      <c r="Z8283" s="61">
        <f>_xll.qlYieldTSDiscount($U$35,Y8283,,Trigger)</f>
        <v>0.7088083729235769</v>
      </c>
    </row>
    <row r="8284" spans="25:26" x14ac:dyDescent="0.25">
      <c r="Y8284" s="63">
        <v>50817</v>
      </c>
      <c r="Z8284" s="61">
        <f>_xll.qlYieldTSDiscount($U$35,Y8284,,Trigger)</f>
        <v>0.70876534455207185</v>
      </c>
    </row>
    <row r="8285" spans="25:26" x14ac:dyDescent="0.25">
      <c r="Y8285" s="63">
        <v>50818</v>
      </c>
      <c r="Z8285" s="61">
        <f>_xll.qlYieldTSDiscount($U$35,Y8285,,Trigger)</f>
        <v>0.70872231339431246</v>
      </c>
    </row>
    <row r="8286" spans="25:26" x14ac:dyDescent="0.25">
      <c r="Y8286" s="63">
        <v>50819</v>
      </c>
      <c r="Z8286" s="61">
        <f>_xll.qlYieldTSDiscount($U$35,Y8286,,Trigger)</f>
        <v>0.70867927945281251</v>
      </c>
    </row>
    <row r="8287" spans="25:26" x14ac:dyDescent="0.25">
      <c r="Y8287" s="63">
        <v>50820</v>
      </c>
      <c r="Z8287" s="61">
        <f>_xll.qlYieldTSDiscount($U$35,Y8287,,Trigger)</f>
        <v>0.7086362427300853</v>
      </c>
    </row>
    <row r="8288" spans="25:26" x14ac:dyDescent="0.25">
      <c r="Y8288" s="63">
        <v>50821</v>
      </c>
      <c r="Z8288" s="61">
        <f>_xll.qlYieldTSDiscount($U$35,Y8288,,Trigger)</f>
        <v>0.7085932032286445</v>
      </c>
    </row>
    <row r="8289" spans="25:26" x14ac:dyDescent="0.25">
      <c r="Y8289" s="63">
        <v>50822</v>
      </c>
      <c r="Z8289" s="61">
        <f>_xll.qlYieldTSDiscount($U$35,Y8289,,Trigger)</f>
        <v>0.70855016095100376</v>
      </c>
    </row>
    <row r="8290" spans="25:26" x14ac:dyDescent="0.25">
      <c r="Y8290" s="63">
        <v>50823</v>
      </c>
      <c r="Z8290" s="61">
        <f>_xll.qlYieldTSDiscount($U$35,Y8290,,Trigger)</f>
        <v>0.70850711589967641</v>
      </c>
    </row>
    <row r="8291" spans="25:26" x14ac:dyDescent="0.25">
      <c r="Y8291" s="63">
        <v>50824</v>
      </c>
      <c r="Z8291" s="61">
        <f>_xll.qlYieldTSDiscount($U$35,Y8291,,Trigger)</f>
        <v>0.70846406807717621</v>
      </c>
    </row>
    <row r="8292" spans="25:26" x14ac:dyDescent="0.25">
      <c r="Y8292" s="63">
        <v>50825</v>
      </c>
      <c r="Z8292" s="61">
        <f>_xll.qlYieldTSDiscount($U$35,Y8292,,Trigger)</f>
        <v>0.7084210174860166</v>
      </c>
    </row>
    <row r="8293" spans="25:26" x14ac:dyDescent="0.25">
      <c r="Y8293" s="63">
        <v>50826</v>
      </c>
      <c r="Z8293" s="61">
        <f>_xll.qlYieldTSDiscount($U$35,Y8293,,Trigger)</f>
        <v>0.70837796412871112</v>
      </c>
    </row>
    <row r="8294" spans="25:26" x14ac:dyDescent="0.25">
      <c r="Y8294" s="63">
        <v>50827</v>
      </c>
      <c r="Z8294" s="61">
        <f>_xll.qlYieldTSDiscount($U$35,Y8294,,Trigger)</f>
        <v>0.70833490800777343</v>
      </c>
    </row>
    <row r="8295" spans="25:26" x14ac:dyDescent="0.25">
      <c r="Y8295" s="63">
        <v>50828</v>
      </c>
      <c r="Z8295" s="61">
        <f>_xll.qlYieldTSDiscount($U$35,Y8295,,Trigger)</f>
        <v>0.70829184912571697</v>
      </c>
    </row>
    <row r="8296" spans="25:26" x14ac:dyDescent="0.25">
      <c r="Y8296" s="63">
        <v>50829</v>
      </c>
      <c r="Z8296" s="61">
        <f>_xll.qlYieldTSDiscount($U$35,Y8296,,Trigger)</f>
        <v>0.70824878748505538</v>
      </c>
    </row>
    <row r="8297" spans="25:26" x14ac:dyDescent="0.25">
      <c r="Y8297" s="63">
        <v>50830</v>
      </c>
      <c r="Z8297" s="61">
        <f>_xll.qlYieldTSDiscount($U$35,Y8297,,Trigger)</f>
        <v>0.7082057230883021</v>
      </c>
    </row>
    <row r="8298" spans="25:26" x14ac:dyDescent="0.25">
      <c r="Y8298" s="63">
        <v>50831</v>
      </c>
      <c r="Z8298" s="61">
        <f>_xll.qlYieldTSDiscount($U$35,Y8298,,Trigger)</f>
        <v>0.70816265593797068</v>
      </c>
    </row>
    <row r="8299" spans="25:26" x14ac:dyDescent="0.25">
      <c r="Y8299" s="63">
        <v>50832</v>
      </c>
      <c r="Z8299" s="61">
        <f>_xll.qlYieldTSDiscount($U$35,Y8299,,Trigger)</f>
        <v>0.70811958603657488</v>
      </c>
    </row>
    <row r="8300" spans="25:26" x14ac:dyDescent="0.25">
      <c r="Y8300" s="63">
        <v>50833</v>
      </c>
      <c r="Z8300" s="61">
        <f>_xll.qlYieldTSDiscount($U$35,Y8300,,Trigger)</f>
        <v>0.70807651338662791</v>
      </c>
    </row>
    <row r="8301" spans="25:26" x14ac:dyDescent="0.25">
      <c r="Y8301" s="63">
        <v>50834</v>
      </c>
      <c r="Z8301" s="61">
        <f>_xll.qlYieldTSDiscount($U$35,Y8301,,Trigger)</f>
        <v>0.70803343799064367</v>
      </c>
    </row>
    <row r="8302" spans="25:26" x14ac:dyDescent="0.25">
      <c r="Y8302" s="63">
        <v>50835</v>
      </c>
      <c r="Z8302" s="61">
        <f>_xll.qlYieldTSDiscount($U$35,Y8302,,Trigger)</f>
        <v>0.70799035985113556</v>
      </c>
    </row>
    <row r="8303" spans="25:26" x14ac:dyDescent="0.25">
      <c r="Y8303" s="63">
        <v>50836</v>
      </c>
      <c r="Z8303" s="61">
        <f>_xll.qlYieldTSDiscount($U$35,Y8303,,Trigger)</f>
        <v>0.70794727897061704</v>
      </c>
    </row>
    <row r="8304" spans="25:26" x14ac:dyDescent="0.25">
      <c r="Y8304" s="63">
        <v>50837</v>
      </c>
      <c r="Z8304" s="61">
        <f>_xll.qlYieldTSDiscount($U$35,Y8304,,Trigger)</f>
        <v>0.70790419535160187</v>
      </c>
    </row>
    <row r="8305" spans="25:26" x14ac:dyDescent="0.25">
      <c r="Y8305" s="63">
        <v>50838</v>
      </c>
      <c r="Z8305" s="61">
        <f>_xll.qlYieldTSDiscount($U$35,Y8305,,Trigger)</f>
        <v>0.70786110899660337</v>
      </c>
    </row>
    <row r="8306" spans="25:26" x14ac:dyDescent="0.25">
      <c r="Y8306" s="63">
        <v>50839</v>
      </c>
      <c r="Z8306" s="61">
        <f>_xll.qlYieldTSDiscount($U$35,Y8306,,Trigger)</f>
        <v>0.7078180199081352</v>
      </c>
    </row>
    <row r="8307" spans="25:26" x14ac:dyDescent="0.25">
      <c r="Y8307" s="63">
        <v>50840</v>
      </c>
      <c r="Z8307" s="61">
        <f>_xll.qlYieldTSDiscount($U$35,Y8307,,Trigger)</f>
        <v>0.70777492808871101</v>
      </c>
    </row>
    <row r="8308" spans="25:26" x14ac:dyDescent="0.25">
      <c r="Y8308" s="63">
        <v>50841</v>
      </c>
      <c r="Z8308" s="61">
        <f>_xll.qlYieldTSDiscount($U$35,Y8308,,Trigger)</f>
        <v>0.70773183354084412</v>
      </c>
    </row>
    <row r="8309" spans="25:26" x14ac:dyDescent="0.25">
      <c r="Y8309" s="63">
        <v>50842</v>
      </c>
      <c r="Z8309" s="61">
        <f>_xll.qlYieldTSDiscount($U$35,Y8309,,Trigger)</f>
        <v>0.70768873626704831</v>
      </c>
    </row>
    <row r="8310" spans="25:26" x14ac:dyDescent="0.25">
      <c r="Y8310" s="63">
        <v>50843</v>
      </c>
      <c r="Z8310" s="61">
        <f>_xll.qlYieldTSDiscount($U$35,Y8310,,Trigger)</f>
        <v>0.70764563626983701</v>
      </c>
    </row>
    <row r="8311" spans="25:26" x14ac:dyDescent="0.25">
      <c r="Y8311" s="63">
        <v>50844</v>
      </c>
      <c r="Z8311" s="61">
        <f>_xll.qlYieldTSDiscount($U$35,Y8311,,Trigger)</f>
        <v>0.70760253355172376</v>
      </c>
    </row>
    <row r="8312" spans="25:26" x14ac:dyDescent="0.25">
      <c r="Y8312" s="63">
        <v>50845</v>
      </c>
      <c r="Z8312" s="61">
        <f>_xll.qlYieldTSDiscount($U$35,Y8312,,Trigger)</f>
        <v>0.70755942811522221</v>
      </c>
    </row>
    <row r="8313" spans="25:26" x14ac:dyDescent="0.25">
      <c r="Y8313" s="63">
        <v>50846</v>
      </c>
      <c r="Z8313" s="61">
        <f>_xll.qlYieldTSDiscount($U$35,Y8313,,Trigger)</f>
        <v>0.70751631996284581</v>
      </c>
    </row>
    <row r="8314" spans="25:26" x14ac:dyDescent="0.25">
      <c r="Y8314" s="63">
        <v>50847</v>
      </c>
      <c r="Z8314" s="61">
        <f>_xll.qlYieldTSDiscount($U$35,Y8314,,Trigger)</f>
        <v>0.7074732090971082</v>
      </c>
    </row>
    <row r="8315" spans="25:26" x14ac:dyDescent="0.25">
      <c r="Y8315" s="63">
        <v>50848</v>
      </c>
      <c r="Z8315" s="61">
        <f>_xll.qlYieldTSDiscount($U$35,Y8315,,Trigger)</f>
        <v>0.70743009552052283</v>
      </c>
    </row>
    <row r="8316" spans="25:26" x14ac:dyDescent="0.25">
      <c r="Y8316" s="63">
        <v>50849</v>
      </c>
      <c r="Z8316" s="61">
        <f>_xll.qlYieldTSDiscount($U$35,Y8316,,Trigger)</f>
        <v>0.70738697923560334</v>
      </c>
    </row>
    <row r="8317" spans="25:26" x14ac:dyDescent="0.25">
      <c r="Y8317" s="63">
        <v>50850</v>
      </c>
      <c r="Z8317" s="61">
        <f>_xll.qlYieldTSDiscount($U$35,Y8317,,Trigger)</f>
        <v>0.70734386024486329</v>
      </c>
    </row>
    <row r="8318" spans="25:26" x14ac:dyDescent="0.25">
      <c r="Y8318" s="63">
        <v>50851</v>
      </c>
      <c r="Z8318" s="61">
        <f>_xll.qlYieldTSDiscount($U$35,Y8318,,Trigger)</f>
        <v>0.7073007385508161</v>
      </c>
    </row>
    <row r="8319" spans="25:26" x14ac:dyDescent="0.25">
      <c r="Y8319" s="63">
        <v>50852</v>
      </c>
      <c r="Z8319" s="61">
        <f>_xll.qlYieldTSDiscount($U$35,Y8319,,Trigger)</f>
        <v>0.70725761415597543</v>
      </c>
    </row>
    <row r="8320" spans="25:26" x14ac:dyDescent="0.25">
      <c r="Y8320" s="63">
        <v>50853</v>
      </c>
      <c r="Z8320" s="61">
        <f>_xll.qlYieldTSDiscount($U$35,Y8320,,Trigger)</f>
        <v>0.70721448706285484</v>
      </c>
    </row>
    <row r="8321" spans="25:26" x14ac:dyDescent="0.25">
      <c r="Y8321" s="63">
        <v>50854</v>
      </c>
      <c r="Z8321" s="61">
        <f>_xll.qlYieldTSDiscount($U$35,Y8321,,Trigger)</f>
        <v>0.70717135727396785</v>
      </c>
    </row>
    <row r="8322" spans="25:26" x14ac:dyDescent="0.25">
      <c r="Y8322" s="63">
        <v>50855</v>
      </c>
      <c r="Z8322" s="61">
        <f>_xll.qlYieldTSDiscount($U$35,Y8322,,Trigger)</f>
        <v>0.70712822479182802</v>
      </c>
    </row>
    <row r="8323" spans="25:26" x14ac:dyDescent="0.25">
      <c r="Y8323" s="63">
        <v>50856</v>
      </c>
      <c r="Z8323" s="61">
        <f>_xll.qlYieldTSDiscount($U$35,Y8323,,Trigger)</f>
        <v>0.70708508961894889</v>
      </c>
    </row>
    <row r="8324" spans="25:26" x14ac:dyDescent="0.25">
      <c r="Y8324" s="63">
        <v>50857</v>
      </c>
      <c r="Z8324" s="61">
        <f>_xll.qlYieldTSDiscount($U$35,Y8324,,Trigger)</f>
        <v>0.7070419517578439</v>
      </c>
    </row>
    <row r="8325" spans="25:26" x14ac:dyDescent="0.25">
      <c r="Y8325" s="63">
        <v>50858</v>
      </c>
      <c r="Z8325" s="61">
        <f>_xll.qlYieldTSDiscount($U$35,Y8325,,Trigger)</f>
        <v>0.70699881121102681</v>
      </c>
    </row>
    <row r="8326" spans="25:26" x14ac:dyDescent="0.25">
      <c r="Y8326" s="63">
        <v>50859</v>
      </c>
      <c r="Z8326" s="61">
        <f>_xll.qlYieldTSDiscount($U$35,Y8326,,Trigger)</f>
        <v>0.70695566798101106</v>
      </c>
    </row>
    <row r="8327" spans="25:26" x14ac:dyDescent="0.25">
      <c r="Y8327" s="63">
        <v>50860</v>
      </c>
      <c r="Z8327" s="61">
        <f>_xll.qlYieldTSDiscount($U$35,Y8327,,Trigger)</f>
        <v>0.7069125220703103</v>
      </c>
    </row>
    <row r="8328" spans="25:26" x14ac:dyDescent="0.25">
      <c r="Y8328" s="63">
        <v>50861</v>
      </c>
      <c r="Z8328" s="61">
        <f>_xll.qlYieldTSDiscount($U$35,Y8328,,Trigger)</f>
        <v>0.70686937348143786</v>
      </c>
    </row>
    <row r="8329" spans="25:26" x14ac:dyDescent="0.25">
      <c r="Y8329" s="63">
        <v>50862</v>
      </c>
      <c r="Z8329" s="61">
        <f>_xll.qlYieldTSDiscount($U$35,Y8329,,Trigger)</f>
        <v>0.7068262222169075</v>
      </c>
    </row>
    <row r="8330" spans="25:26" x14ac:dyDescent="0.25">
      <c r="Y8330" s="63">
        <v>50863</v>
      </c>
      <c r="Z8330" s="61">
        <f>_xll.qlYieldTSDiscount($U$35,Y8330,,Trigger)</f>
        <v>0.70678306827923276</v>
      </c>
    </row>
    <row r="8331" spans="25:26" x14ac:dyDescent="0.25">
      <c r="Y8331" s="63">
        <v>50864</v>
      </c>
      <c r="Z8331" s="61">
        <f>_xll.qlYieldTSDiscount($U$35,Y8331,,Trigger)</f>
        <v>0.70673991167092709</v>
      </c>
    </row>
    <row r="8332" spans="25:26" x14ac:dyDescent="0.25">
      <c r="Y8332" s="63">
        <v>50865</v>
      </c>
      <c r="Z8332" s="61">
        <f>_xll.qlYieldTSDiscount($U$35,Y8332,,Trigger)</f>
        <v>0.70669675239450402</v>
      </c>
    </row>
    <row r="8333" spans="25:26" x14ac:dyDescent="0.25">
      <c r="Y8333" s="63">
        <v>50866</v>
      </c>
      <c r="Z8333" s="61">
        <f>_xll.qlYieldTSDiscount($U$35,Y8333,,Trigger)</f>
        <v>0.70665359045247722</v>
      </c>
    </row>
    <row r="8334" spans="25:26" x14ac:dyDescent="0.25">
      <c r="Y8334" s="63">
        <v>50867</v>
      </c>
      <c r="Z8334" s="61">
        <f>_xll.qlYieldTSDiscount($U$35,Y8334,,Trigger)</f>
        <v>0.70661042584736022</v>
      </c>
    </row>
    <row r="8335" spans="25:26" x14ac:dyDescent="0.25">
      <c r="Y8335" s="63">
        <v>50868</v>
      </c>
      <c r="Z8335" s="61">
        <f>_xll.qlYieldTSDiscount($U$35,Y8335,,Trigger)</f>
        <v>0.70656725858166647</v>
      </c>
    </row>
    <row r="8336" spans="25:26" x14ac:dyDescent="0.25">
      <c r="Y8336" s="63">
        <v>50869</v>
      </c>
      <c r="Z8336" s="61">
        <f>_xll.qlYieldTSDiscount($U$35,Y8336,,Trigger)</f>
        <v>0.70652408865790972</v>
      </c>
    </row>
    <row r="8337" spans="25:26" x14ac:dyDescent="0.25">
      <c r="Y8337" s="63">
        <v>50870</v>
      </c>
      <c r="Z8337" s="61">
        <f>_xll.qlYieldTSDiscount($U$35,Y8337,,Trigger)</f>
        <v>0.70648091607860319</v>
      </c>
    </row>
    <row r="8338" spans="25:26" x14ac:dyDescent="0.25">
      <c r="Y8338" s="63">
        <v>50871</v>
      </c>
      <c r="Z8338" s="61">
        <f>_xll.qlYieldTSDiscount($U$35,Y8338,,Trigger)</f>
        <v>0.70643774084626076</v>
      </c>
    </row>
    <row r="8339" spans="25:26" x14ac:dyDescent="0.25">
      <c r="Y8339" s="63">
        <v>50872</v>
      </c>
      <c r="Z8339" s="61">
        <f>_xll.qlYieldTSDiscount($U$35,Y8339,,Trigger)</f>
        <v>0.70639456296339587</v>
      </c>
    </row>
    <row r="8340" spans="25:26" x14ac:dyDescent="0.25">
      <c r="Y8340" s="63">
        <v>50873</v>
      </c>
      <c r="Z8340" s="61">
        <f>_xll.qlYieldTSDiscount($U$35,Y8340,,Trigger)</f>
        <v>0.70635138243252205</v>
      </c>
    </row>
    <row r="8341" spans="25:26" x14ac:dyDescent="0.25">
      <c r="Y8341" s="63">
        <v>50874</v>
      </c>
      <c r="Z8341" s="61">
        <f>_xll.qlYieldTSDiscount($U$35,Y8341,,Trigger)</f>
        <v>0.70630819925615274</v>
      </c>
    </row>
    <row r="8342" spans="25:26" x14ac:dyDescent="0.25">
      <c r="Y8342" s="63">
        <v>50875</v>
      </c>
      <c r="Z8342" s="61">
        <f>_xll.qlYieldTSDiscount($U$35,Y8342,,Trigger)</f>
        <v>0.70626501343680181</v>
      </c>
    </row>
    <row r="8343" spans="25:26" x14ac:dyDescent="0.25">
      <c r="Y8343" s="63">
        <v>50876</v>
      </c>
      <c r="Z8343" s="61">
        <f>_xll.qlYieldTSDiscount($U$35,Y8343,,Trigger)</f>
        <v>0.70622182497698238</v>
      </c>
    </row>
    <row r="8344" spans="25:26" x14ac:dyDescent="0.25">
      <c r="Y8344" s="63">
        <v>50877</v>
      </c>
      <c r="Z8344" s="61">
        <f>_xll.qlYieldTSDiscount($U$35,Y8344,,Trigger)</f>
        <v>0.70617863387920843</v>
      </c>
    </row>
    <row r="8345" spans="25:26" x14ac:dyDescent="0.25">
      <c r="Y8345" s="63">
        <v>50878</v>
      </c>
      <c r="Z8345" s="61">
        <f>_xll.qlYieldTSDiscount($U$35,Y8345,,Trigger)</f>
        <v>0.70613544014599317</v>
      </c>
    </row>
    <row r="8346" spans="25:26" x14ac:dyDescent="0.25">
      <c r="Y8346" s="63">
        <v>50879</v>
      </c>
      <c r="Z8346" s="61">
        <f>_xll.qlYieldTSDiscount($U$35,Y8346,,Trigger)</f>
        <v>0.70609224377985036</v>
      </c>
    </row>
    <row r="8347" spans="25:26" x14ac:dyDescent="0.25">
      <c r="Y8347" s="63">
        <v>50880</v>
      </c>
      <c r="Z8347" s="61">
        <f>_xll.qlYieldTSDiscount($U$35,Y8347,,Trigger)</f>
        <v>0.70604904478329344</v>
      </c>
    </row>
    <row r="8348" spans="25:26" x14ac:dyDescent="0.25">
      <c r="Y8348" s="63">
        <v>50881</v>
      </c>
      <c r="Z8348" s="61">
        <f>_xll.qlYieldTSDiscount($U$35,Y8348,,Trigger)</f>
        <v>0.70600584315883608</v>
      </c>
    </row>
    <row r="8349" spans="25:26" x14ac:dyDescent="0.25">
      <c r="Y8349" s="63">
        <v>50882</v>
      </c>
      <c r="Z8349" s="61">
        <f>_xll.qlYieldTSDiscount($U$35,Y8349,,Trigger)</f>
        <v>0.70596263890899169</v>
      </c>
    </row>
    <row r="8350" spans="25:26" x14ac:dyDescent="0.25">
      <c r="Y8350" s="63">
        <v>50883</v>
      </c>
      <c r="Z8350" s="61">
        <f>_xll.qlYieldTSDiscount($U$35,Y8350,,Trigger)</f>
        <v>0.70591943203627394</v>
      </c>
    </row>
    <row r="8351" spans="25:26" x14ac:dyDescent="0.25">
      <c r="Y8351" s="63">
        <v>50884</v>
      </c>
      <c r="Z8351" s="61">
        <f>_xll.qlYieldTSDiscount($U$35,Y8351,,Trigger)</f>
        <v>0.70587622254319626</v>
      </c>
    </row>
    <row r="8352" spans="25:26" x14ac:dyDescent="0.25">
      <c r="Y8352" s="63">
        <v>50885</v>
      </c>
      <c r="Z8352" s="61">
        <f>_xll.qlYieldTSDiscount($U$35,Y8352,,Trigger)</f>
        <v>0.70583301043227231</v>
      </c>
    </row>
    <row r="8353" spans="25:26" x14ac:dyDescent="0.25">
      <c r="Y8353" s="63">
        <v>50886</v>
      </c>
      <c r="Z8353" s="61">
        <f>_xll.qlYieldTSDiscount($U$35,Y8353,,Trigger)</f>
        <v>0.70578979570601552</v>
      </c>
    </row>
    <row r="8354" spans="25:26" x14ac:dyDescent="0.25">
      <c r="Y8354" s="63">
        <v>50887</v>
      </c>
      <c r="Z8354" s="61">
        <f>_xll.qlYieldTSDiscount($U$35,Y8354,,Trigger)</f>
        <v>0.70574657836693966</v>
      </c>
    </row>
    <row r="8355" spans="25:26" x14ac:dyDescent="0.25">
      <c r="Y8355" s="63">
        <v>50888</v>
      </c>
      <c r="Z8355" s="61">
        <f>_xll.qlYieldTSDiscount($U$35,Y8355,,Trigger)</f>
        <v>0.70570335841755816</v>
      </c>
    </row>
    <row r="8356" spans="25:26" x14ac:dyDescent="0.25">
      <c r="Y8356" s="63">
        <v>50889</v>
      </c>
      <c r="Z8356" s="61">
        <f>_xll.qlYieldTSDiscount($U$35,Y8356,,Trigger)</f>
        <v>0.70566013586038445</v>
      </c>
    </row>
    <row r="8357" spans="25:26" x14ac:dyDescent="0.25">
      <c r="Y8357" s="63">
        <v>50890</v>
      </c>
      <c r="Z8357" s="61">
        <f>_xll.qlYieldTSDiscount($U$35,Y8357,,Trigger)</f>
        <v>0.7056169106979322</v>
      </c>
    </row>
    <row r="8358" spans="25:26" x14ac:dyDescent="0.25">
      <c r="Y8358" s="63">
        <v>50891</v>
      </c>
      <c r="Z8358" s="61">
        <f>_xll.qlYieldTSDiscount($U$35,Y8358,,Trigger)</f>
        <v>0.70557368293271494</v>
      </c>
    </row>
    <row r="8359" spans="25:26" x14ac:dyDescent="0.25">
      <c r="Y8359" s="63">
        <v>50892</v>
      </c>
      <c r="Z8359" s="61">
        <f>_xll.qlYieldTSDiscount($U$35,Y8359,,Trigger)</f>
        <v>0.70553045256724622</v>
      </c>
    </row>
    <row r="8360" spans="25:26" x14ac:dyDescent="0.25">
      <c r="Y8360" s="63">
        <v>50893</v>
      </c>
      <c r="Z8360" s="61">
        <f>_xll.qlYieldTSDiscount($U$35,Y8360,,Trigger)</f>
        <v>0.70548721960403971</v>
      </c>
    </row>
    <row r="8361" spans="25:26" x14ac:dyDescent="0.25">
      <c r="Y8361" s="63">
        <v>50894</v>
      </c>
      <c r="Z8361" s="61">
        <f>_xll.qlYieldTSDiscount($U$35,Y8361,,Trigger)</f>
        <v>0.70544398404560871</v>
      </c>
    </row>
    <row r="8362" spans="25:26" x14ac:dyDescent="0.25">
      <c r="Y8362" s="63">
        <v>50895</v>
      </c>
      <c r="Z8362" s="61">
        <f>_xll.qlYieldTSDiscount($U$35,Y8362,,Trigger)</f>
        <v>0.705400745894467</v>
      </c>
    </row>
    <row r="8363" spans="25:26" x14ac:dyDescent="0.25">
      <c r="Y8363" s="63">
        <v>50896</v>
      </c>
      <c r="Z8363" s="61">
        <f>_xll.qlYieldTSDiscount($U$35,Y8363,,Trigger)</f>
        <v>0.70535750515312812</v>
      </c>
    </row>
    <row r="8364" spans="25:26" x14ac:dyDescent="0.25">
      <c r="Y8364" s="63">
        <v>50897</v>
      </c>
      <c r="Z8364" s="61">
        <f>_xll.qlYieldTSDiscount($U$35,Y8364,,Trigger)</f>
        <v>0.70531426182410539</v>
      </c>
    </row>
    <row r="8365" spans="25:26" x14ac:dyDescent="0.25">
      <c r="Y8365" s="63">
        <v>50898</v>
      </c>
      <c r="Z8365" s="61">
        <f>_xll.qlYieldTSDiscount($U$35,Y8365,,Trigger)</f>
        <v>0.70527101590991259</v>
      </c>
    </row>
    <row r="8366" spans="25:26" x14ac:dyDescent="0.25">
      <c r="Y8366" s="63">
        <v>50899</v>
      </c>
      <c r="Z8366" s="61">
        <f>_xll.qlYieldTSDiscount($U$35,Y8366,,Trigger)</f>
        <v>0.70522776741306314</v>
      </c>
    </row>
    <row r="8367" spans="25:26" x14ac:dyDescent="0.25">
      <c r="Y8367" s="63">
        <v>50900</v>
      </c>
      <c r="Z8367" s="61">
        <f>_xll.qlYieldTSDiscount($U$35,Y8367,,Trigger)</f>
        <v>0.70518451633607071</v>
      </c>
    </row>
    <row r="8368" spans="25:26" x14ac:dyDescent="0.25">
      <c r="Y8368" s="63">
        <v>50901</v>
      </c>
      <c r="Z8368" s="61">
        <f>_xll.qlYieldTSDiscount($U$35,Y8368,,Trigger)</f>
        <v>0.70514126268144883</v>
      </c>
    </row>
    <row r="8369" spans="25:26" x14ac:dyDescent="0.25">
      <c r="Y8369" s="63">
        <v>50902</v>
      </c>
      <c r="Z8369" s="61">
        <f>_xll.qlYieldTSDiscount($U$35,Y8369,,Trigger)</f>
        <v>0.70509800645171095</v>
      </c>
    </row>
    <row r="8370" spans="25:26" x14ac:dyDescent="0.25">
      <c r="Y8370" s="63">
        <v>50903</v>
      </c>
      <c r="Z8370" s="61">
        <f>_xll.qlYieldTSDiscount($U$35,Y8370,,Trigger)</f>
        <v>0.70505474764937071</v>
      </c>
    </row>
    <row r="8371" spans="25:26" x14ac:dyDescent="0.25">
      <c r="Y8371" s="63">
        <v>50904</v>
      </c>
      <c r="Z8371" s="61">
        <f>_xll.qlYieldTSDiscount($U$35,Y8371,,Trigger)</f>
        <v>0.70501148627694166</v>
      </c>
    </row>
    <row r="8372" spans="25:26" x14ac:dyDescent="0.25">
      <c r="Y8372" s="63">
        <v>50905</v>
      </c>
      <c r="Z8372" s="61">
        <f>_xll.qlYieldTSDiscount($U$35,Y8372,,Trigger)</f>
        <v>0.70496822233693723</v>
      </c>
    </row>
    <row r="8373" spans="25:26" x14ac:dyDescent="0.25">
      <c r="Y8373" s="63">
        <v>50906</v>
      </c>
      <c r="Z8373" s="61">
        <f>_xll.qlYieldTSDiscount($U$35,Y8373,,Trigger)</f>
        <v>0.70492495583187109</v>
      </c>
    </row>
    <row r="8374" spans="25:26" x14ac:dyDescent="0.25">
      <c r="Y8374" s="63">
        <v>50907</v>
      </c>
      <c r="Z8374" s="61">
        <f>_xll.qlYieldTSDiscount($U$35,Y8374,,Trigger)</f>
        <v>0.70488168676425678</v>
      </c>
    </row>
    <row r="8375" spans="25:26" x14ac:dyDescent="0.25">
      <c r="Y8375" s="63">
        <v>50908</v>
      </c>
      <c r="Z8375" s="61">
        <f>_xll.qlYieldTSDiscount($U$35,Y8375,,Trigger)</f>
        <v>0.70483841513660783</v>
      </c>
    </row>
    <row r="8376" spans="25:26" x14ac:dyDescent="0.25">
      <c r="Y8376" s="63">
        <v>50909</v>
      </c>
      <c r="Z8376" s="61">
        <f>_xll.qlYieldTSDiscount($U$35,Y8376,,Trigger)</f>
        <v>0.70479514095143792</v>
      </c>
    </row>
    <row r="8377" spans="25:26" x14ac:dyDescent="0.25">
      <c r="Y8377" s="63">
        <v>50910</v>
      </c>
      <c r="Z8377" s="61">
        <f>_xll.qlYieldTSDiscount($U$35,Y8377,,Trigger)</f>
        <v>0.70475186421126035</v>
      </c>
    </row>
    <row r="8378" spans="25:26" x14ac:dyDescent="0.25">
      <c r="Y8378" s="63">
        <v>50911</v>
      </c>
      <c r="Z8378" s="61">
        <f>_xll.qlYieldTSDiscount($U$35,Y8378,,Trigger)</f>
        <v>0.7047085849185889</v>
      </c>
    </row>
    <row r="8379" spans="25:26" x14ac:dyDescent="0.25">
      <c r="Y8379" s="63">
        <v>50912</v>
      </c>
      <c r="Z8379" s="61">
        <f>_xll.qlYieldTSDiscount($U$35,Y8379,,Trigger)</f>
        <v>0.704665303075937</v>
      </c>
    </row>
    <row r="8380" spans="25:26" x14ac:dyDescent="0.25">
      <c r="Y8380" s="63">
        <v>50913</v>
      </c>
      <c r="Z8380" s="61">
        <f>_xll.qlYieldTSDiscount($U$35,Y8380,,Trigger)</f>
        <v>0.70462201868581809</v>
      </c>
    </row>
    <row r="8381" spans="25:26" x14ac:dyDescent="0.25">
      <c r="Y8381" s="63">
        <v>50914</v>
      </c>
      <c r="Z8381" s="61">
        <f>_xll.qlYieldTSDiscount($U$35,Y8381,,Trigger)</f>
        <v>0.70457873175074603</v>
      </c>
    </row>
    <row r="8382" spans="25:26" x14ac:dyDescent="0.25">
      <c r="Y8382" s="63">
        <v>50915</v>
      </c>
      <c r="Z8382" s="61">
        <f>_xll.qlYieldTSDiscount($U$35,Y8382,,Trigger)</f>
        <v>0.70453544227323406</v>
      </c>
    </row>
    <row r="8383" spans="25:26" x14ac:dyDescent="0.25">
      <c r="Y8383" s="63">
        <v>50916</v>
      </c>
      <c r="Z8383" s="61">
        <f>_xll.qlYieldTSDiscount($U$35,Y8383,,Trigger)</f>
        <v>0.70449215025579592</v>
      </c>
    </row>
    <row r="8384" spans="25:26" x14ac:dyDescent="0.25">
      <c r="Y8384" s="63">
        <v>50917</v>
      </c>
      <c r="Z8384" s="61">
        <f>_xll.qlYieldTSDiscount($U$35,Y8384,,Trigger)</f>
        <v>0.70444885570094518</v>
      </c>
    </row>
    <row r="8385" spans="25:26" x14ac:dyDescent="0.25">
      <c r="Y8385" s="63">
        <v>50918</v>
      </c>
      <c r="Z8385" s="61">
        <f>_xll.qlYieldTSDiscount($U$35,Y8385,,Trigger)</f>
        <v>0.70440555861119525</v>
      </c>
    </row>
    <row r="8386" spans="25:26" x14ac:dyDescent="0.25">
      <c r="Y8386" s="63">
        <v>50919</v>
      </c>
      <c r="Z8386" s="61">
        <f>_xll.qlYieldTSDiscount($U$35,Y8386,,Trigger)</f>
        <v>0.7043622589890598</v>
      </c>
    </row>
    <row r="8387" spans="25:26" x14ac:dyDescent="0.25">
      <c r="Y8387" s="63">
        <v>50920</v>
      </c>
      <c r="Z8387" s="61">
        <f>_xll.qlYieldTSDiscount($U$35,Y8387,,Trigger)</f>
        <v>0.70431895683705237</v>
      </c>
    </row>
    <row r="8388" spans="25:26" x14ac:dyDescent="0.25">
      <c r="Y8388" s="63">
        <v>50921</v>
      </c>
      <c r="Z8388" s="61">
        <f>_xll.qlYieldTSDiscount($U$35,Y8388,,Trigger)</f>
        <v>0.70427565215768639</v>
      </c>
    </row>
    <row r="8389" spans="25:26" x14ac:dyDescent="0.25">
      <c r="Y8389" s="63">
        <v>50922</v>
      </c>
      <c r="Z8389" s="61">
        <f>_xll.qlYieldTSDiscount($U$35,Y8389,,Trigger)</f>
        <v>0.70423234495347553</v>
      </c>
    </row>
    <row r="8390" spans="25:26" x14ac:dyDescent="0.25">
      <c r="Y8390" s="63">
        <v>50923</v>
      </c>
      <c r="Z8390" s="61">
        <f>_xll.qlYieldTSDiscount($U$35,Y8390,,Trigger)</f>
        <v>0.70418903522693332</v>
      </c>
    </row>
    <row r="8391" spans="25:26" x14ac:dyDescent="0.25">
      <c r="Y8391" s="63">
        <v>50924</v>
      </c>
      <c r="Z8391" s="61">
        <f>_xll.qlYieldTSDiscount($U$35,Y8391,,Trigger)</f>
        <v>0.70414572298057332</v>
      </c>
    </row>
    <row r="8392" spans="25:26" x14ac:dyDescent="0.25">
      <c r="Y8392" s="63">
        <v>50925</v>
      </c>
      <c r="Z8392" s="61">
        <f>_xll.qlYieldTSDiscount($U$35,Y8392,,Trigger)</f>
        <v>0.70410240821690895</v>
      </c>
    </row>
    <row r="8393" spans="25:26" x14ac:dyDescent="0.25">
      <c r="Y8393" s="63">
        <v>50926</v>
      </c>
      <c r="Z8393" s="61">
        <f>_xll.qlYieldTSDiscount($U$35,Y8393,,Trigger)</f>
        <v>0.70405909093845398</v>
      </c>
    </row>
    <row r="8394" spans="25:26" x14ac:dyDescent="0.25">
      <c r="Y8394" s="63">
        <v>50927</v>
      </c>
      <c r="Z8394" s="61">
        <f>_xll.qlYieldTSDiscount($U$35,Y8394,,Trigger)</f>
        <v>0.70401577114772185</v>
      </c>
    </row>
    <row r="8395" spans="25:26" x14ac:dyDescent="0.25">
      <c r="Y8395" s="63">
        <v>50928</v>
      </c>
      <c r="Z8395" s="61">
        <f>_xll.qlYieldTSDiscount($U$35,Y8395,,Trigger)</f>
        <v>0.7039724488472261</v>
      </c>
    </row>
    <row r="8396" spans="25:26" x14ac:dyDescent="0.25">
      <c r="Y8396" s="63">
        <v>50929</v>
      </c>
      <c r="Z8396" s="61">
        <f>_xll.qlYieldTSDiscount($U$35,Y8396,,Trigger)</f>
        <v>0.70392912403948027</v>
      </c>
    </row>
    <row r="8397" spans="25:26" x14ac:dyDescent="0.25">
      <c r="Y8397" s="63">
        <v>50930</v>
      </c>
      <c r="Z8397" s="61">
        <f>_xll.qlYieldTSDiscount($U$35,Y8397,,Trigger)</f>
        <v>0.70388579672699791</v>
      </c>
    </row>
    <row r="8398" spans="25:26" x14ac:dyDescent="0.25">
      <c r="Y8398" s="63">
        <v>50931</v>
      </c>
      <c r="Z8398" s="61">
        <f>_xll.qlYieldTSDiscount($U$35,Y8398,,Trigger)</f>
        <v>0.70384246691229269</v>
      </c>
    </row>
    <row r="8399" spans="25:26" x14ac:dyDescent="0.25">
      <c r="Y8399" s="63">
        <v>50932</v>
      </c>
      <c r="Z8399" s="61">
        <f>_xll.qlYieldTSDiscount($U$35,Y8399,,Trigger)</f>
        <v>0.70379913459787802</v>
      </c>
    </row>
    <row r="8400" spans="25:26" x14ac:dyDescent="0.25">
      <c r="Y8400" s="63">
        <v>50933</v>
      </c>
      <c r="Z8400" s="61">
        <f>_xll.qlYieldTSDiscount($U$35,Y8400,,Trigger)</f>
        <v>0.70375579978626757</v>
      </c>
    </row>
    <row r="8401" spans="25:26" x14ac:dyDescent="0.25">
      <c r="Y8401" s="63">
        <v>50934</v>
      </c>
      <c r="Z8401" s="61">
        <f>_xll.qlYieldTSDiscount($U$35,Y8401,,Trigger)</f>
        <v>0.70371246247997465</v>
      </c>
    </row>
    <row r="8402" spans="25:26" x14ac:dyDescent="0.25">
      <c r="Y8402" s="63">
        <v>50935</v>
      </c>
      <c r="Z8402" s="61">
        <f>_xll.qlYieldTSDiscount($U$35,Y8402,,Trigger)</f>
        <v>0.70366912268151316</v>
      </c>
    </row>
    <row r="8403" spans="25:26" x14ac:dyDescent="0.25">
      <c r="Y8403" s="63">
        <v>50936</v>
      </c>
      <c r="Z8403" s="61">
        <f>_xll.qlYieldTSDiscount($U$35,Y8403,,Trigger)</f>
        <v>0.70362578039339641</v>
      </c>
    </row>
    <row r="8404" spans="25:26" x14ac:dyDescent="0.25">
      <c r="Y8404" s="63">
        <v>50937</v>
      </c>
      <c r="Z8404" s="61">
        <f>_xll.qlYieldTSDiscount($U$35,Y8404,,Trigger)</f>
        <v>0.70358243561813794</v>
      </c>
    </row>
    <row r="8405" spans="25:26" x14ac:dyDescent="0.25">
      <c r="Y8405" s="63">
        <v>50938</v>
      </c>
      <c r="Z8405" s="61">
        <f>_xll.qlYieldTSDiscount($U$35,Y8405,,Trigger)</f>
        <v>0.70353908835825152</v>
      </c>
    </row>
    <row r="8406" spans="25:26" x14ac:dyDescent="0.25">
      <c r="Y8406" s="63">
        <v>50939</v>
      </c>
      <c r="Z8406" s="61">
        <f>_xll.qlYieldTSDiscount($U$35,Y8406,,Trigger)</f>
        <v>0.70349573861625048</v>
      </c>
    </row>
    <row r="8407" spans="25:26" x14ac:dyDescent="0.25">
      <c r="Y8407" s="63">
        <v>50940</v>
      </c>
      <c r="Z8407" s="61">
        <f>_xll.qlYieldTSDiscount($U$35,Y8407,,Trigger)</f>
        <v>0.70345238639464847</v>
      </c>
    </row>
    <row r="8408" spans="25:26" x14ac:dyDescent="0.25">
      <c r="Y8408" s="63">
        <v>50941</v>
      </c>
      <c r="Z8408" s="61">
        <f>_xll.qlYieldTSDiscount($U$35,Y8408,,Trigger)</f>
        <v>0.70340903169595903</v>
      </c>
    </row>
    <row r="8409" spans="25:26" x14ac:dyDescent="0.25">
      <c r="Y8409" s="63">
        <v>50942</v>
      </c>
      <c r="Z8409" s="61">
        <f>_xll.qlYieldTSDiscount($U$35,Y8409,,Trigger)</f>
        <v>0.70336567452269572</v>
      </c>
    </row>
    <row r="8410" spans="25:26" x14ac:dyDescent="0.25">
      <c r="Y8410" s="63">
        <v>50943</v>
      </c>
      <c r="Z8410" s="61">
        <f>_xll.qlYieldTSDiscount($U$35,Y8410,,Trigger)</f>
        <v>0.70332231487737196</v>
      </c>
    </row>
    <row r="8411" spans="25:26" x14ac:dyDescent="0.25">
      <c r="Y8411" s="63">
        <v>50944</v>
      </c>
      <c r="Z8411" s="61">
        <f>_xll.qlYieldTSDiscount($U$35,Y8411,,Trigger)</f>
        <v>0.70327895276250152</v>
      </c>
    </row>
    <row r="8412" spans="25:26" x14ac:dyDescent="0.25">
      <c r="Y8412" s="63">
        <v>50945</v>
      </c>
      <c r="Z8412" s="61">
        <f>_xll.qlYieldTSDiscount($U$35,Y8412,,Trigger)</f>
        <v>0.70323558818059784</v>
      </c>
    </row>
    <row r="8413" spans="25:26" x14ac:dyDescent="0.25">
      <c r="Y8413" s="63">
        <v>50946</v>
      </c>
      <c r="Z8413" s="61">
        <f>_xll.qlYieldTSDiscount($U$35,Y8413,,Trigger)</f>
        <v>0.70319222113417446</v>
      </c>
    </row>
    <row r="8414" spans="25:26" x14ac:dyDescent="0.25">
      <c r="Y8414" s="63">
        <v>50947</v>
      </c>
      <c r="Z8414" s="61">
        <f>_xll.qlYieldTSDiscount($U$35,Y8414,,Trigger)</f>
        <v>0.70314885162574492</v>
      </c>
    </row>
    <row r="8415" spans="25:26" x14ac:dyDescent="0.25">
      <c r="Y8415" s="63">
        <v>50948</v>
      </c>
      <c r="Z8415" s="61">
        <f>_xll.qlYieldTSDiscount($U$35,Y8415,,Trigger)</f>
        <v>0.70310547965782288</v>
      </c>
    </row>
    <row r="8416" spans="25:26" x14ac:dyDescent="0.25">
      <c r="Y8416" s="63">
        <v>50949</v>
      </c>
      <c r="Z8416" s="61">
        <f>_xll.qlYieldTSDiscount($U$35,Y8416,,Trigger)</f>
        <v>0.70306210523292179</v>
      </c>
    </row>
    <row r="8417" spans="25:26" x14ac:dyDescent="0.25">
      <c r="Y8417" s="63">
        <v>50950</v>
      </c>
      <c r="Z8417" s="61">
        <f>_xll.qlYieldTSDiscount($U$35,Y8417,,Trigger)</f>
        <v>0.70301872835355517</v>
      </c>
    </row>
    <row r="8418" spans="25:26" x14ac:dyDescent="0.25">
      <c r="Y8418" s="63">
        <v>50951</v>
      </c>
      <c r="Z8418" s="61">
        <f>_xll.qlYieldTSDiscount($U$35,Y8418,,Trigger)</f>
        <v>0.70297534902223668</v>
      </c>
    </row>
    <row r="8419" spans="25:26" x14ac:dyDescent="0.25">
      <c r="Y8419" s="63">
        <v>50952</v>
      </c>
      <c r="Z8419" s="61">
        <f>_xll.qlYieldTSDiscount($U$35,Y8419,,Trigger)</f>
        <v>0.70293196724147977</v>
      </c>
    </row>
    <row r="8420" spans="25:26" x14ac:dyDescent="0.25">
      <c r="Y8420" s="63">
        <v>50953</v>
      </c>
      <c r="Z8420" s="61">
        <f>_xll.qlYieldTSDiscount($U$35,Y8420,,Trigger)</f>
        <v>0.70288858301379809</v>
      </c>
    </row>
    <row r="8421" spans="25:26" x14ac:dyDescent="0.25">
      <c r="Y8421" s="63">
        <v>50954</v>
      </c>
      <c r="Z8421" s="61">
        <f>_xll.qlYieldTSDiscount($U$35,Y8421,,Trigger)</f>
        <v>0.70284519634170506</v>
      </c>
    </row>
    <row r="8422" spans="25:26" x14ac:dyDescent="0.25">
      <c r="Y8422" s="63">
        <v>50955</v>
      </c>
      <c r="Z8422" s="61">
        <f>_xll.qlYieldTSDiscount($U$35,Y8422,,Trigger)</f>
        <v>0.70280180722771435</v>
      </c>
    </row>
    <row r="8423" spans="25:26" x14ac:dyDescent="0.25">
      <c r="Y8423" s="63">
        <v>50956</v>
      </c>
      <c r="Z8423" s="61">
        <f>_xll.qlYieldTSDiscount($U$35,Y8423,,Trigger)</f>
        <v>0.7027584156743395</v>
      </c>
    </row>
    <row r="8424" spans="25:26" x14ac:dyDescent="0.25">
      <c r="Y8424" s="63">
        <v>50957</v>
      </c>
      <c r="Z8424" s="61">
        <f>_xll.qlYieldTSDiscount($U$35,Y8424,,Trigger)</f>
        <v>0.70271502168409405</v>
      </c>
    </row>
    <row r="8425" spans="25:26" x14ac:dyDescent="0.25">
      <c r="Y8425" s="63">
        <v>50958</v>
      </c>
      <c r="Z8425" s="61">
        <f>_xll.qlYieldTSDiscount($U$35,Y8425,,Trigger)</f>
        <v>0.70267162525949145</v>
      </c>
    </row>
    <row r="8426" spans="25:26" x14ac:dyDescent="0.25">
      <c r="Y8426" s="63">
        <v>50959</v>
      </c>
      <c r="Z8426" s="61">
        <f>_xll.qlYieldTSDiscount($U$35,Y8426,,Trigger)</f>
        <v>0.70262822640304534</v>
      </c>
    </row>
    <row r="8427" spans="25:26" x14ac:dyDescent="0.25">
      <c r="Y8427" s="63">
        <v>50960</v>
      </c>
      <c r="Z8427" s="61">
        <f>_xll.qlYieldTSDiscount($U$35,Y8427,,Trigger)</f>
        <v>0.70258482511726927</v>
      </c>
    </row>
    <row r="8428" spans="25:26" x14ac:dyDescent="0.25">
      <c r="Y8428" s="63">
        <v>50961</v>
      </c>
      <c r="Z8428" s="61">
        <f>_xll.qlYieldTSDiscount($U$35,Y8428,,Trigger)</f>
        <v>0.7025414214046769</v>
      </c>
    </row>
    <row r="8429" spans="25:26" x14ac:dyDescent="0.25">
      <c r="Y8429" s="63">
        <v>50962</v>
      </c>
      <c r="Z8429" s="61">
        <f>_xll.qlYieldTSDiscount($U$35,Y8429,,Trigger)</f>
        <v>0.70249801526778155</v>
      </c>
    </row>
    <row r="8430" spans="25:26" x14ac:dyDescent="0.25">
      <c r="Y8430" s="63">
        <v>50963</v>
      </c>
      <c r="Z8430" s="61">
        <f>_xll.qlYieldTSDiscount($U$35,Y8430,,Trigger)</f>
        <v>0.70245460670909698</v>
      </c>
    </row>
    <row r="8431" spans="25:26" x14ac:dyDescent="0.25">
      <c r="Y8431" s="63">
        <v>50964</v>
      </c>
      <c r="Z8431" s="61">
        <f>_xll.qlYieldTSDiscount($U$35,Y8431,,Trigger)</f>
        <v>0.70241119573113664</v>
      </c>
    </row>
    <row r="8432" spans="25:26" x14ac:dyDescent="0.25">
      <c r="Y8432" s="63">
        <v>50965</v>
      </c>
      <c r="Z8432" s="61">
        <f>_xll.qlYieldTSDiscount($U$35,Y8432,,Trigger)</f>
        <v>0.70236778233641406</v>
      </c>
    </row>
    <row r="8433" spans="25:26" x14ac:dyDescent="0.25">
      <c r="Y8433" s="63">
        <v>50966</v>
      </c>
      <c r="Z8433" s="61">
        <f>_xll.qlYieldTSDiscount($U$35,Y8433,,Trigger)</f>
        <v>0.70232436652744279</v>
      </c>
    </row>
    <row r="8434" spans="25:26" x14ac:dyDescent="0.25">
      <c r="Y8434" s="63">
        <v>50967</v>
      </c>
      <c r="Z8434" s="61">
        <f>_xll.qlYieldTSDiscount($U$35,Y8434,,Trigger)</f>
        <v>0.70228094830673649</v>
      </c>
    </row>
    <row r="8435" spans="25:26" x14ac:dyDescent="0.25">
      <c r="Y8435" s="63">
        <v>50968</v>
      </c>
      <c r="Z8435" s="61">
        <f>_xll.qlYieldTSDiscount($U$35,Y8435,,Trigger)</f>
        <v>0.70223752767680847</v>
      </c>
    </row>
    <row r="8436" spans="25:26" x14ac:dyDescent="0.25">
      <c r="Y8436" s="63">
        <v>50969</v>
      </c>
      <c r="Z8436" s="61">
        <f>_xll.qlYieldTSDiscount($U$35,Y8436,,Trigger)</f>
        <v>0.70219410464017262</v>
      </c>
    </row>
    <row r="8437" spans="25:26" x14ac:dyDescent="0.25">
      <c r="Y8437" s="63">
        <v>50970</v>
      </c>
      <c r="Z8437" s="61">
        <f>_xll.qlYieldTSDiscount($U$35,Y8437,,Trigger)</f>
        <v>0.70215067919934226</v>
      </c>
    </row>
    <row r="8438" spans="25:26" x14ac:dyDescent="0.25">
      <c r="Y8438" s="63">
        <v>50971</v>
      </c>
      <c r="Z8438" s="61">
        <f>_xll.qlYieldTSDiscount($U$35,Y8438,,Trigger)</f>
        <v>0.70210725135683094</v>
      </c>
    </row>
    <row r="8439" spans="25:26" x14ac:dyDescent="0.25">
      <c r="Y8439" s="63">
        <v>50972</v>
      </c>
      <c r="Z8439" s="61">
        <f>_xll.qlYieldTSDiscount($U$35,Y8439,,Trigger)</f>
        <v>0.70206382111515242</v>
      </c>
    </row>
    <row r="8440" spans="25:26" x14ac:dyDescent="0.25">
      <c r="Y8440" s="63">
        <v>50973</v>
      </c>
      <c r="Z8440" s="61">
        <f>_xll.qlYieldTSDiscount($U$35,Y8440,,Trigger)</f>
        <v>0.70202038847682002</v>
      </c>
    </row>
    <row r="8441" spans="25:26" x14ac:dyDescent="0.25">
      <c r="Y8441" s="63">
        <v>50974</v>
      </c>
      <c r="Z8441" s="61">
        <f>_xll.qlYieldTSDiscount($U$35,Y8441,,Trigger)</f>
        <v>0.70197695344434741</v>
      </c>
    </row>
    <row r="8442" spans="25:26" x14ac:dyDescent="0.25">
      <c r="Y8442" s="63">
        <v>50975</v>
      </c>
      <c r="Z8442" s="61">
        <f>_xll.qlYieldTSDiscount($U$35,Y8442,,Trigger)</f>
        <v>0.70193351602024801</v>
      </c>
    </row>
    <row r="8443" spans="25:26" x14ac:dyDescent="0.25">
      <c r="Y8443" s="63">
        <v>50976</v>
      </c>
      <c r="Z8443" s="61">
        <f>_xll.qlYieldTSDiscount($U$35,Y8443,,Trigger)</f>
        <v>0.70189007620703547</v>
      </c>
    </row>
    <row r="8444" spans="25:26" x14ac:dyDescent="0.25">
      <c r="Y8444" s="63">
        <v>50977</v>
      </c>
      <c r="Z8444" s="61">
        <f>_xll.qlYieldTSDiscount($U$35,Y8444,,Trigger)</f>
        <v>0.70184663400722347</v>
      </c>
    </row>
    <row r="8445" spans="25:26" x14ac:dyDescent="0.25">
      <c r="Y8445" s="63">
        <v>50978</v>
      </c>
      <c r="Z8445" s="61">
        <f>_xll.qlYieldTSDiscount($U$35,Y8445,,Trigger)</f>
        <v>0.70180318942332531</v>
      </c>
    </row>
    <row r="8446" spans="25:26" x14ac:dyDescent="0.25">
      <c r="Y8446" s="63">
        <v>50979</v>
      </c>
      <c r="Z8446" s="61">
        <f>_xll.qlYieldTSDiscount($U$35,Y8446,,Trigger)</f>
        <v>0.70175974245785477</v>
      </c>
    </row>
    <row r="8447" spans="25:26" x14ac:dyDescent="0.25">
      <c r="Y8447" s="63">
        <v>50980</v>
      </c>
      <c r="Z8447" s="61">
        <f>_xll.qlYieldTSDiscount($U$35,Y8447,,Trigger)</f>
        <v>0.70171629311332517</v>
      </c>
    </row>
    <row r="8448" spans="25:26" x14ac:dyDescent="0.25">
      <c r="Y8448" s="63">
        <v>50981</v>
      </c>
      <c r="Z8448" s="61">
        <f>_xll.qlYieldTSDiscount($U$35,Y8448,,Trigger)</f>
        <v>0.70167284139225028</v>
      </c>
    </row>
    <row r="8449" spans="25:26" x14ac:dyDescent="0.25">
      <c r="Y8449" s="63">
        <v>50982</v>
      </c>
      <c r="Z8449" s="61">
        <f>_xll.qlYieldTSDiscount($U$35,Y8449,,Trigger)</f>
        <v>0.70162938729714353</v>
      </c>
    </row>
    <row r="8450" spans="25:26" x14ac:dyDescent="0.25">
      <c r="Y8450" s="63">
        <v>50983</v>
      </c>
      <c r="Z8450" s="61">
        <f>_xll.qlYieldTSDiscount($U$35,Y8450,,Trigger)</f>
        <v>0.70158593083051846</v>
      </c>
    </row>
    <row r="8451" spans="25:26" x14ac:dyDescent="0.25">
      <c r="Y8451" s="63">
        <v>50984</v>
      </c>
      <c r="Z8451" s="61">
        <f>_xll.qlYieldTSDiscount($U$35,Y8451,,Trigger)</f>
        <v>0.70154247199488862</v>
      </c>
    </row>
    <row r="8452" spans="25:26" x14ac:dyDescent="0.25">
      <c r="Y8452" s="63">
        <v>50985</v>
      </c>
      <c r="Z8452" s="61">
        <f>_xll.qlYieldTSDiscount($U$35,Y8452,,Trigger)</f>
        <v>0.70149901079276766</v>
      </c>
    </row>
    <row r="8453" spans="25:26" x14ac:dyDescent="0.25">
      <c r="Y8453" s="63">
        <v>50986</v>
      </c>
      <c r="Z8453" s="61">
        <f>_xll.qlYieldTSDiscount($U$35,Y8453,,Trigger)</f>
        <v>0.70145554722666914</v>
      </c>
    </row>
    <row r="8454" spans="25:26" x14ac:dyDescent="0.25">
      <c r="Y8454" s="63">
        <v>50987</v>
      </c>
      <c r="Z8454" s="61">
        <f>_xll.qlYieldTSDiscount($U$35,Y8454,,Trigger)</f>
        <v>0.70141208129910637</v>
      </c>
    </row>
    <row r="8455" spans="25:26" x14ac:dyDescent="0.25">
      <c r="Y8455" s="63">
        <v>50988</v>
      </c>
      <c r="Z8455" s="61">
        <f>_xll.qlYieldTSDiscount($U$35,Y8455,,Trigger)</f>
        <v>0.70136861301259323</v>
      </c>
    </row>
    <row r="8456" spans="25:26" x14ac:dyDescent="0.25">
      <c r="Y8456" s="63">
        <v>50989</v>
      </c>
      <c r="Z8456" s="61">
        <f>_xll.qlYieldTSDiscount($U$35,Y8456,,Trigger)</f>
        <v>0.70132514236964294</v>
      </c>
    </row>
    <row r="8457" spans="25:26" x14ac:dyDescent="0.25">
      <c r="Y8457" s="63">
        <v>50990</v>
      </c>
      <c r="Z8457" s="61">
        <f>_xll.qlYieldTSDiscount($U$35,Y8457,,Trigger)</f>
        <v>0.70128166937276937</v>
      </c>
    </row>
    <row r="8458" spans="25:26" x14ac:dyDescent="0.25">
      <c r="Y8458" s="63">
        <v>50991</v>
      </c>
      <c r="Z8458" s="61">
        <f>_xll.qlYieldTSDiscount($U$35,Y8458,,Trigger)</f>
        <v>0.70123819402448595</v>
      </c>
    </row>
    <row r="8459" spans="25:26" x14ac:dyDescent="0.25">
      <c r="Y8459" s="63">
        <v>50992</v>
      </c>
      <c r="Z8459" s="61">
        <f>_xll.qlYieldTSDiscount($U$35,Y8459,,Trigger)</f>
        <v>0.70119471632730612</v>
      </c>
    </row>
    <row r="8460" spans="25:26" x14ac:dyDescent="0.25">
      <c r="Y8460" s="63">
        <v>50993</v>
      </c>
      <c r="Z8460" s="61">
        <f>_xll.qlYieldTSDiscount($U$35,Y8460,,Trigger)</f>
        <v>0.70115123628374354</v>
      </c>
    </row>
    <row r="8461" spans="25:26" x14ac:dyDescent="0.25">
      <c r="Y8461" s="63">
        <v>50994</v>
      </c>
      <c r="Z8461" s="61">
        <f>_xll.qlYieldTSDiscount($U$35,Y8461,,Trigger)</f>
        <v>0.70110775389631175</v>
      </c>
    </row>
    <row r="8462" spans="25:26" x14ac:dyDescent="0.25">
      <c r="Y8462" s="63">
        <v>50995</v>
      </c>
      <c r="Z8462" s="61">
        <f>_xll.qlYieldTSDiscount($U$35,Y8462,,Trigger)</f>
        <v>0.70106426916752429</v>
      </c>
    </row>
    <row r="8463" spans="25:26" x14ac:dyDescent="0.25">
      <c r="Y8463" s="63">
        <v>50996</v>
      </c>
      <c r="Z8463" s="61">
        <f>_xll.qlYieldTSDiscount($U$35,Y8463,,Trigger)</f>
        <v>0.70102078209989471</v>
      </c>
    </row>
    <row r="8464" spans="25:26" x14ac:dyDescent="0.25">
      <c r="Y8464" s="63">
        <v>50997</v>
      </c>
      <c r="Z8464" s="61">
        <f>_xll.qlYieldTSDiscount($U$35,Y8464,,Trigger)</f>
        <v>0.70097729269593656</v>
      </c>
    </row>
    <row r="8465" spans="25:26" x14ac:dyDescent="0.25">
      <c r="Y8465" s="63">
        <v>50998</v>
      </c>
      <c r="Z8465" s="61">
        <f>_xll.qlYieldTSDiscount($U$35,Y8465,,Trigger)</f>
        <v>0.70093380095816338</v>
      </c>
    </row>
    <row r="8466" spans="25:26" x14ac:dyDescent="0.25">
      <c r="Y8466" s="63">
        <v>50999</v>
      </c>
      <c r="Z8466" s="61">
        <f>_xll.qlYieldTSDiscount($U$35,Y8466,,Trigger)</f>
        <v>0.70089030688908882</v>
      </c>
    </row>
    <row r="8467" spans="25:26" x14ac:dyDescent="0.25">
      <c r="Y8467" s="63">
        <v>51000</v>
      </c>
      <c r="Z8467" s="61">
        <f>_xll.qlYieldTSDiscount($U$35,Y8467,,Trigger)</f>
        <v>0.70084681049122621</v>
      </c>
    </row>
    <row r="8468" spans="25:26" x14ac:dyDescent="0.25">
      <c r="Y8468" s="63">
        <v>51001</v>
      </c>
      <c r="Z8468" s="61">
        <f>_xll.qlYieldTSDiscount($U$35,Y8468,,Trigger)</f>
        <v>0.70080331176708932</v>
      </c>
    </row>
    <row r="8469" spans="25:26" x14ac:dyDescent="0.25">
      <c r="Y8469" s="63">
        <v>51002</v>
      </c>
      <c r="Z8469" s="61">
        <f>_xll.qlYieldTSDiscount($U$35,Y8469,,Trigger)</f>
        <v>0.70075981071919158</v>
      </c>
    </row>
    <row r="8470" spans="25:26" x14ac:dyDescent="0.25">
      <c r="Y8470" s="63">
        <v>51003</v>
      </c>
      <c r="Z8470" s="61">
        <f>_xll.qlYieldTSDiscount($U$35,Y8470,,Trigger)</f>
        <v>0.70071630735004664</v>
      </c>
    </row>
    <row r="8471" spans="25:26" x14ac:dyDescent="0.25">
      <c r="Y8471" s="63">
        <v>51004</v>
      </c>
      <c r="Z8471" s="61">
        <f>_xll.qlYieldTSDiscount($U$35,Y8471,,Trigger)</f>
        <v>0.70067280166216794</v>
      </c>
    </row>
    <row r="8472" spans="25:26" x14ac:dyDescent="0.25">
      <c r="Y8472" s="63">
        <v>51005</v>
      </c>
      <c r="Z8472" s="61">
        <f>_xll.qlYieldTSDiscount($U$35,Y8472,,Trigger)</f>
        <v>0.70062929365806903</v>
      </c>
    </row>
    <row r="8473" spans="25:26" x14ac:dyDescent="0.25">
      <c r="Y8473" s="63">
        <v>51006</v>
      </c>
      <c r="Z8473" s="61">
        <f>_xll.qlYieldTSDiscount($U$35,Y8473,,Trigger)</f>
        <v>0.70058578334026367</v>
      </c>
    </row>
    <row r="8474" spans="25:26" x14ac:dyDescent="0.25">
      <c r="Y8474" s="63">
        <v>51007</v>
      </c>
      <c r="Z8474" s="61">
        <f>_xll.qlYieldTSDiscount($U$35,Y8474,,Trigger)</f>
        <v>0.70054227071126518</v>
      </c>
    </row>
    <row r="8475" spans="25:26" x14ac:dyDescent="0.25">
      <c r="Y8475" s="63">
        <v>51008</v>
      </c>
      <c r="Z8475" s="61">
        <f>_xll.qlYieldTSDiscount($U$35,Y8475,,Trigger)</f>
        <v>0.70049875577358711</v>
      </c>
    </row>
    <row r="8476" spans="25:26" x14ac:dyDescent="0.25">
      <c r="Y8476" s="63">
        <v>51009</v>
      </c>
      <c r="Z8476" s="61">
        <f>_xll.qlYieldTSDiscount($U$35,Y8476,,Trigger)</f>
        <v>0.70045523852974323</v>
      </c>
    </row>
    <row r="8477" spans="25:26" x14ac:dyDescent="0.25">
      <c r="Y8477" s="63">
        <v>51010</v>
      </c>
      <c r="Z8477" s="61">
        <f>_xll.qlYieldTSDiscount($U$35,Y8477,,Trigger)</f>
        <v>0.70041171898224686</v>
      </c>
    </row>
    <row r="8478" spans="25:26" x14ac:dyDescent="0.25">
      <c r="Y8478" s="63">
        <v>51011</v>
      </c>
      <c r="Z8478" s="61">
        <f>_xll.qlYieldTSDiscount($U$35,Y8478,,Trigger)</f>
        <v>0.70036819713361165</v>
      </c>
    </row>
    <row r="8479" spans="25:26" x14ac:dyDescent="0.25">
      <c r="Y8479" s="63">
        <v>51012</v>
      </c>
      <c r="Z8479" s="61">
        <f>_xll.qlYieldTSDiscount($U$35,Y8479,,Trigger)</f>
        <v>0.70032467298635115</v>
      </c>
    </row>
    <row r="8480" spans="25:26" x14ac:dyDescent="0.25">
      <c r="Y8480" s="63">
        <v>51013</v>
      </c>
      <c r="Z8480" s="61">
        <f>_xll.qlYieldTSDiscount($U$35,Y8480,,Trigger)</f>
        <v>0.70028114654297891</v>
      </c>
    </row>
    <row r="8481" spans="25:26" x14ac:dyDescent="0.25">
      <c r="Y8481" s="63">
        <v>51014</v>
      </c>
      <c r="Z8481" s="61">
        <f>_xll.qlYieldTSDiscount($U$35,Y8481,,Trigger)</f>
        <v>0.70023761780600846</v>
      </c>
    </row>
    <row r="8482" spans="25:26" x14ac:dyDescent="0.25">
      <c r="Y8482" s="63">
        <v>51015</v>
      </c>
      <c r="Z8482" s="61">
        <f>_xll.qlYieldTSDiscount($U$35,Y8482,,Trigger)</f>
        <v>0.70019408677795347</v>
      </c>
    </row>
    <row r="8483" spans="25:26" x14ac:dyDescent="0.25">
      <c r="Y8483" s="63">
        <v>51016</v>
      </c>
      <c r="Z8483" s="61">
        <f>_xll.qlYieldTSDiscount($U$35,Y8483,,Trigger)</f>
        <v>0.70015055346132726</v>
      </c>
    </row>
    <row r="8484" spans="25:26" x14ac:dyDescent="0.25">
      <c r="Y8484" s="63">
        <v>51017</v>
      </c>
      <c r="Z8484" s="61">
        <f>_xll.qlYieldTSDiscount($U$35,Y8484,,Trigger)</f>
        <v>0.70010701785864349</v>
      </c>
    </row>
    <row r="8485" spans="25:26" x14ac:dyDescent="0.25">
      <c r="Y8485" s="63">
        <v>51018</v>
      </c>
      <c r="Z8485" s="61">
        <f>_xll.qlYieldTSDiscount($U$35,Y8485,,Trigger)</f>
        <v>0.7000634799724158</v>
      </c>
    </row>
    <row r="8486" spans="25:26" x14ac:dyDescent="0.25">
      <c r="Y8486" s="63">
        <v>51019</v>
      </c>
      <c r="Z8486" s="61">
        <f>_xll.qlYieldTSDiscount($U$35,Y8486,,Trigger)</f>
        <v>0.70001993980515764</v>
      </c>
    </row>
    <row r="8487" spans="25:26" x14ac:dyDescent="0.25">
      <c r="Y8487" s="63">
        <v>51020</v>
      </c>
      <c r="Z8487" s="61">
        <f>_xll.qlYieldTSDiscount($U$35,Y8487,,Trigger)</f>
        <v>0.69997639735938266</v>
      </c>
    </row>
    <row r="8488" spans="25:26" x14ac:dyDescent="0.25">
      <c r="Y8488" s="63">
        <v>51021</v>
      </c>
      <c r="Z8488" s="61">
        <f>_xll.qlYieldTSDiscount($U$35,Y8488,,Trigger)</f>
        <v>0.6999328526376043</v>
      </c>
    </row>
    <row r="8489" spans="25:26" x14ac:dyDescent="0.25">
      <c r="Y8489" s="63">
        <v>51022</v>
      </c>
      <c r="Z8489" s="61">
        <f>_xll.qlYieldTSDiscount($U$35,Y8489,,Trigger)</f>
        <v>0.69988930564233609</v>
      </c>
    </row>
    <row r="8490" spans="25:26" x14ac:dyDescent="0.25">
      <c r="Y8490" s="63">
        <v>51023</v>
      </c>
      <c r="Z8490" s="61">
        <f>_xll.qlYieldTSDiscount($U$35,Y8490,,Trigger)</f>
        <v>0.6998457563760917</v>
      </c>
    </row>
    <row r="8491" spans="25:26" x14ac:dyDescent="0.25">
      <c r="Y8491" s="63">
        <v>51024</v>
      </c>
      <c r="Z8491" s="61">
        <f>_xll.qlYieldTSDiscount($U$35,Y8491,,Trigger)</f>
        <v>0.69980220484138467</v>
      </c>
    </row>
    <row r="8492" spans="25:26" x14ac:dyDescent="0.25">
      <c r="Y8492" s="63">
        <v>51025</v>
      </c>
      <c r="Z8492" s="61">
        <f>_xll.qlYieldTSDiscount($U$35,Y8492,,Trigger)</f>
        <v>0.69975865104072843</v>
      </c>
    </row>
    <row r="8493" spans="25:26" x14ac:dyDescent="0.25">
      <c r="Y8493" s="63">
        <v>51026</v>
      </c>
      <c r="Z8493" s="61">
        <f>_xll.qlYieldTSDiscount($U$35,Y8493,,Trigger)</f>
        <v>0.69971509497663664</v>
      </c>
    </row>
    <row r="8494" spans="25:26" x14ac:dyDescent="0.25">
      <c r="Y8494" s="63">
        <v>51027</v>
      </c>
      <c r="Z8494" s="61">
        <f>_xll.qlYieldTSDiscount($U$35,Y8494,,Trigger)</f>
        <v>0.69967153665162285</v>
      </c>
    </row>
    <row r="8495" spans="25:26" x14ac:dyDescent="0.25">
      <c r="Y8495" s="63">
        <v>51028</v>
      </c>
      <c r="Z8495" s="61">
        <f>_xll.qlYieldTSDiscount($U$35,Y8495,,Trigger)</f>
        <v>0.6996279760682006</v>
      </c>
    </row>
    <row r="8496" spans="25:26" x14ac:dyDescent="0.25">
      <c r="Y8496" s="63">
        <v>51029</v>
      </c>
      <c r="Z8496" s="61">
        <f>_xll.qlYieldTSDiscount($U$35,Y8496,,Trigger)</f>
        <v>0.69958441322888332</v>
      </c>
    </row>
    <row r="8497" spans="25:26" x14ac:dyDescent="0.25">
      <c r="Y8497" s="63">
        <v>51030</v>
      </c>
      <c r="Z8497" s="61">
        <f>_xll.qlYieldTSDiscount($U$35,Y8497,,Trigger)</f>
        <v>0.69954084813618478</v>
      </c>
    </row>
    <row r="8498" spans="25:26" x14ac:dyDescent="0.25">
      <c r="Y8498" s="63">
        <v>51031</v>
      </c>
      <c r="Z8498" s="61">
        <f>_xll.qlYieldTSDiscount($U$35,Y8498,,Trigger)</f>
        <v>0.69949728079261841</v>
      </c>
    </row>
    <row r="8499" spans="25:26" x14ac:dyDescent="0.25">
      <c r="Y8499" s="63">
        <v>51032</v>
      </c>
      <c r="Z8499" s="61">
        <f>_xll.qlYieldTSDiscount($U$35,Y8499,,Trigger)</f>
        <v>0.69945371120069777</v>
      </c>
    </row>
    <row r="8500" spans="25:26" x14ac:dyDescent="0.25">
      <c r="Y8500" s="63">
        <v>51033</v>
      </c>
      <c r="Z8500" s="61">
        <f>_xll.qlYieldTSDiscount($U$35,Y8500,,Trigger)</f>
        <v>0.69941013936293639</v>
      </c>
    </row>
    <row r="8501" spans="25:26" x14ac:dyDescent="0.25">
      <c r="Y8501" s="63">
        <v>51034</v>
      </c>
      <c r="Z8501" s="61">
        <f>_xll.qlYieldTSDiscount($U$35,Y8501,,Trigger)</f>
        <v>0.69936656528184771</v>
      </c>
    </row>
    <row r="8502" spans="25:26" x14ac:dyDescent="0.25">
      <c r="Y8502" s="63">
        <v>51035</v>
      </c>
      <c r="Z8502" s="61">
        <f>_xll.qlYieldTSDiscount($U$35,Y8502,,Trigger)</f>
        <v>0.6993229889599456</v>
      </c>
    </row>
    <row r="8503" spans="25:26" x14ac:dyDescent="0.25">
      <c r="Y8503" s="63">
        <v>51036</v>
      </c>
      <c r="Z8503" s="61">
        <f>_xll.qlYieldTSDiscount($U$35,Y8503,,Trigger)</f>
        <v>0.69927941039974328</v>
      </c>
    </row>
    <row r="8504" spans="25:26" x14ac:dyDescent="0.25">
      <c r="Y8504" s="63">
        <v>51037</v>
      </c>
      <c r="Z8504" s="61">
        <f>_xll.qlYieldTSDiscount($U$35,Y8504,,Trigger)</f>
        <v>0.69923582960375452</v>
      </c>
    </row>
    <row r="8505" spans="25:26" x14ac:dyDescent="0.25">
      <c r="Y8505" s="63">
        <v>51038</v>
      </c>
      <c r="Z8505" s="61">
        <f>_xll.qlYieldTSDiscount($U$35,Y8505,,Trigger)</f>
        <v>0.69919224657449286</v>
      </c>
    </row>
    <row r="8506" spans="25:26" x14ac:dyDescent="0.25">
      <c r="Y8506" s="63">
        <v>51039</v>
      </c>
      <c r="Z8506" s="61">
        <f>_xll.qlYieldTSDiscount($U$35,Y8506,,Trigger)</f>
        <v>0.69914866131447173</v>
      </c>
    </row>
    <row r="8507" spans="25:26" x14ac:dyDescent="0.25">
      <c r="Y8507" s="63">
        <v>51040</v>
      </c>
      <c r="Z8507" s="61">
        <f>_xll.qlYieldTSDiscount($U$35,Y8507,,Trigger)</f>
        <v>0.69910507382620468</v>
      </c>
    </row>
    <row r="8508" spans="25:26" x14ac:dyDescent="0.25">
      <c r="Y8508" s="63">
        <v>51041</v>
      </c>
      <c r="Z8508" s="61">
        <f>_xll.qlYieldTSDiscount($U$35,Y8508,,Trigger)</f>
        <v>0.69906148411220537</v>
      </c>
    </row>
    <row r="8509" spans="25:26" x14ac:dyDescent="0.25">
      <c r="Y8509" s="63">
        <v>51042</v>
      </c>
      <c r="Z8509" s="61">
        <f>_xll.qlYieldTSDiscount($U$35,Y8509,,Trigger)</f>
        <v>0.69901789217498722</v>
      </c>
    </row>
    <row r="8510" spans="25:26" x14ac:dyDescent="0.25">
      <c r="Y8510" s="63">
        <v>51043</v>
      </c>
      <c r="Z8510" s="61">
        <f>_xll.qlYieldTSDiscount($U$35,Y8510,,Trigger)</f>
        <v>0.69897429801706401</v>
      </c>
    </row>
    <row r="8511" spans="25:26" x14ac:dyDescent="0.25">
      <c r="Y8511" s="63">
        <v>51044</v>
      </c>
      <c r="Z8511" s="61">
        <f>_xll.qlYieldTSDiscount($U$35,Y8511,,Trigger)</f>
        <v>0.69893070164094906</v>
      </c>
    </row>
    <row r="8512" spans="25:26" x14ac:dyDescent="0.25">
      <c r="Y8512" s="63">
        <v>51045</v>
      </c>
      <c r="Z8512" s="61">
        <f>_xll.qlYieldTSDiscount($U$35,Y8512,,Trigger)</f>
        <v>0.69888710304915602</v>
      </c>
    </row>
    <row r="8513" spans="25:26" x14ac:dyDescent="0.25">
      <c r="Y8513" s="63">
        <v>51046</v>
      </c>
      <c r="Z8513" s="61">
        <f>_xll.qlYieldTSDiscount($U$35,Y8513,,Trigger)</f>
        <v>0.69884350224419844</v>
      </c>
    </row>
    <row r="8514" spans="25:26" x14ac:dyDescent="0.25">
      <c r="Y8514" s="63">
        <v>51047</v>
      </c>
      <c r="Z8514" s="61">
        <f>_xll.qlYieldTSDiscount($U$35,Y8514,,Trigger)</f>
        <v>0.69879989922858987</v>
      </c>
    </row>
    <row r="8515" spans="25:26" x14ac:dyDescent="0.25">
      <c r="Y8515" s="63">
        <v>51048</v>
      </c>
      <c r="Z8515" s="61">
        <f>_xll.qlYieldTSDiscount($U$35,Y8515,,Trigger)</f>
        <v>0.69875629400484374</v>
      </c>
    </row>
    <row r="8516" spans="25:26" x14ac:dyDescent="0.25">
      <c r="Y8516" s="63">
        <v>51049</v>
      </c>
      <c r="Z8516" s="61">
        <f>_xll.qlYieldTSDiscount($U$35,Y8516,,Trigger)</f>
        <v>0.69871268657547381</v>
      </c>
    </row>
    <row r="8517" spans="25:26" x14ac:dyDescent="0.25">
      <c r="Y8517" s="63">
        <v>51050</v>
      </c>
      <c r="Z8517" s="61">
        <f>_xll.qlYieldTSDiscount($U$35,Y8517,,Trigger)</f>
        <v>0.69866907694299352</v>
      </c>
    </row>
    <row r="8518" spans="25:26" x14ac:dyDescent="0.25">
      <c r="Y8518" s="63">
        <v>51051</v>
      </c>
      <c r="Z8518" s="61">
        <f>_xll.qlYieldTSDiscount($U$35,Y8518,,Trigger)</f>
        <v>0.69862546510991641</v>
      </c>
    </row>
    <row r="8519" spans="25:26" x14ac:dyDescent="0.25">
      <c r="Y8519" s="63">
        <v>51052</v>
      </c>
      <c r="Z8519" s="61">
        <f>_xll.qlYieldTSDiscount($U$35,Y8519,,Trigger)</f>
        <v>0.69858185107875603</v>
      </c>
    </row>
    <row r="8520" spans="25:26" x14ac:dyDescent="0.25">
      <c r="Y8520" s="63">
        <v>51053</v>
      </c>
      <c r="Z8520" s="61">
        <f>_xll.qlYieldTSDiscount($U$35,Y8520,,Trigger)</f>
        <v>0.69853823485202593</v>
      </c>
    </row>
    <row r="8521" spans="25:26" x14ac:dyDescent="0.25">
      <c r="Y8521" s="63">
        <v>51054</v>
      </c>
      <c r="Z8521" s="61">
        <f>_xll.qlYieldTSDiscount($U$35,Y8521,,Trigger)</f>
        <v>0.69849461643223987</v>
      </c>
    </row>
    <row r="8522" spans="25:26" x14ac:dyDescent="0.25">
      <c r="Y8522" s="63">
        <v>51055</v>
      </c>
      <c r="Z8522" s="61">
        <f>_xll.qlYieldTSDiscount($U$35,Y8522,,Trigger)</f>
        <v>0.69845099582191106</v>
      </c>
    </row>
    <row r="8523" spans="25:26" x14ac:dyDescent="0.25">
      <c r="Y8523" s="63">
        <v>51056</v>
      </c>
      <c r="Z8523" s="61">
        <f>_xll.qlYieldTSDiscount($U$35,Y8523,,Trigger)</f>
        <v>0.69840737302355316</v>
      </c>
    </row>
    <row r="8524" spans="25:26" x14ac:dyDescent="0.25">
      <c r="Y8524" s="63">
        <v>51057</v>
      </c>
      <c r="Z8524" s="61">
        <f>_xll.qlYieldTSDiscount($U$35,Y8524,,Trigger)</f>
        <v>0.69836374803967993</v>
      </c>
    </row>
    <row r="8525" spans="25:26" x14ac:dyDescent="0.25">
      <c r="Y8525" s="63">
        <v>51058</v>
      </c>
      <c r="Z8525" s="61">
        <f>_xll.qlYieldTSDiscount($U$35,Y8525,,Trigger)</f>
        <v>0.6983201208728046</v>
      </c>
    </row>
    <row r="8526" spans="25:26" x14ac:dyDescent="0.25">
      <c r="Y8526" s="63">
        <v>51059</v>
      </c>
      <c r="Z8526" s="61">
        <f>_xll.qlYieldTSDiscount($U$35,Y8526,,Trigger)</f>
        <v>0.69827649152544102</v>
      </c>
    </row>
    <row r="8527" spans="25:26" x14ac:dyDescent="0.25">
      <c r="Y8527" s="63">
        <v>51060</v>
      </c>
      <c r="Z8527" s="61">
        <f>_xll.qlYieldTSDiscount($U$35,Y8527,,Trigger)</f>
        <v>0.69823286000010254</v>
      </c>
    </row>
    <row r="8528" spans="25:26" x14ac:dyDescent="0.25">
      <c r="Y8528" s="63">
        <v>51061</v>
      </c>
      <c r="Z8528" s="61">
        <f>_xll.qlYieldTSDiscount($U$35,Y8528,,Trigger)</f>
        <v>0.6981892262993028</v>
      </c>
    </row>
    <row r="8529" spans="25:26" x14ac:dyDescent="0.25">
      <c r="Y8529" s="63">
        <v>51062</v>
      </c>
      <c r="Z8529" s="61">
        <f>_xll.qlYieldTSDiscount($U$35,Y8529,,Trigger)</f>
        <v>0.69814559042555535</v>
      </c>
    </row>
    <row r="8530" spans="25:26" x14ac:dyDescent="0.25">
      <c r="Y8530" s="63">
        <v>51063</v>
      </c>
      <c r="Z8530" s="61">
        <f>_xll.qlYieldTSDiscount($U$35,Y8530,,Trigger)</f>
        <v>0.69810195238137362</v>
      </c>
    </row>
    <row r="8531" spans="25:26" x14ac:dyDescent="0.25">
      <c r="Y8531" s="63">
        <v>51064</v>
      </c>
      <c r="Z8531" s="61">
        <f>_xll.qlYieldTSDiscount($U$35,Y8531,,Trigger)</f>
        <v>0.69805831216927128</v>
      </c>
    </row>
    <row r="8532" spans="25:26" x14ac:dyDescent="0.25">
      <c r="Y8532" s="63">
        <v>51065</v>
      </c>
      <c r="Z8532" s="61">
        <f>_xll.qlYieldTSDiscount($U$35,Y8532,,Trigger)</f>
        <v>0.69801466979176197</v>
      </c>
    </row>
    <row r="8533" spans="25:26" x14ac:dyDescent="0.25">
      <c r="Y8533" s="63">
        <v>51066</v>
      </c>
      <c r="Z8533" s="61">
        <f>_xll.qlYieldTSDiscount($U$35,Y8533,,Trigger)</f>
        <v>0.69797102525135901</v>
      </c>
    </row>
    <row r="8534" spans="25:26" x14ac:dyDescent="0.25">
      <c r="Y8534" s="63">
        <v>51067</v>
      </c>
      <c r="Z8534" s="61">
        <f>_xll.qlYieldTSDiscount($U$35,Y8534,,Trigger)</f>
        <v>0.69792737855057618</v>
      </c>
    </row>
    <row r="8535" spans="25:26" x14ac:dyDescent="0.25">
      <c r="Y8535" s="63">
        <v>51068</v>
      </c>
      <c r="Z8535" s="61">
        <f>_xll.qlYieldTSDiscount($U$35,Y8535,,Trigger)</f>
        <v>0.6978837296919268</v>
      </c>
    </row>
    <row r="8536" spans="25:26" x14ac:dyDescent="0.25">
      <c r="Y8536" s="63">
        <v>51069</v>
      </c>
      <c r="Z8536" s="61">
        <f>_xll.qlYieldTSDiscount($U$35,Y8536,,Trigger)</f>
        <v>0.69784007867792464</v>
      </c>
    </row>
    <row r="8537" spans="25:26" x14ac:dyDescent="0.25">
      <c r="Y8537" s="63">
        <v>51070</v>
      </c>
      <c r="Z8537" s="61">
        <f>_xll.qlYieldTSDiscount($U$35,Y8537,,Trigger)</f>
        <v>0.69779642551108312</v>
      </c>
    </row>
    <row r="8538" spans="25:26" x14ac:dyDescent="0.25">
      <c r="Y8538" s="63">
        <v>51071</v>
      </c>
      <c r="Z8538" s="61">
        <f>_xll.qlYieldTSDiscount($U$35,Y8538,,Trigger)</f>
        <v>0.69775277019391579</v>
      </c>
    </row>
    <row r="8539" spans="25:26" x14ac:dyDescent="0.25">
      <c r="Y8539" s="63">
        <v>51072</v>
      </c>
      <c r="Z8539" s="61">
        <f>_xll.qlYieldTSDiscount($U$35,Y8539,,Trigger)</f>
        <v>0.69770911272893632</v>
      </c>
    </row>
    <row r="8540" spans="25:26" x14ac:dyDescent="0.25">
      <c r="Y8540" s="63">
        <v>51073</v>
      </c>
      <c r="Z8540" s="61">
        <f>_xll.qlYieldTSDiscount($U$35,Y8540,,Trigger)</f>
        <v>0.69766545311865813</v>
      </c>
    </row>
    <row r="8541" spans="25:26" x14ac:dyDescent="0.25">
      <c r="Y8541" s="63">
        <v>51074</v>
      </c>
      <c r="Z8541" s="61">
        <f>_xll.qlYieldTSDiscount($U$35,Y8541,,Trigger)</f>
        <v>0.69762179136559488</v>
      </c>
    </row>
    <row r="8542" spans="25:26" x14ac:dyDescent="0.25">
      <c r="Y8542" s="63">
        <v>51075</v>
      </c>
      <c r="Z8542" s="61">
        <f>_xll.qlYieldTSDiscount($U$35,Y8542,,Trigger)</f>
        <v>0.69757812747226</v>
      </c>
    </row>
    <row r="8543" spans="25:26" x14ac:dyDescent="0.25">
      <c r="Y8543" s="63">
        <v>51076</v>
      </c>
      <c r="Z8543" s="61">
        <f>_xll.qlYieldTSDiscount($U$35,Y8543,,Trigger)</f>
        <v>0.69753446144116715</v>
      </c>
    </row>
    <row r="8544" spans="25:26" x14ac:dyDescent="0.25">
      <c r="Y8544" s="63">
        <v>51077</v>
      </c>
      <c r="Z8544" s="61">
        <f>_xll.qlYieldTSDiscount($U$35,Y8544,,Trigger)</f>
        <v>0.69749079327482977</v>
      </c>
    </row>
    <row r="8545" spans="25:26" x14ac:dyDescent="0.25">
      <c r="Y8545" s="63">
        <v>51078</v>
      </c>
      <c r="Z8545" s="61">
        <f>_xll.qlYieldTSDiscount($U$35,Y8545,,Trigger)</f>
        <v>0.6974471229757615</v>
      </c>
    </row>
    <row r="8546" spans="25:26" x14ac:dyDescent="0.25">
      <c r="Y8546" s="63">
        <v>51079</v>
      </c>
      <c r="Z8546" s="61">
        <f>_xll.qlYieldTSDiscount($U$35,Y8546,,Trigger)</f>
        <v>0.6974034505464759</v>
      </c>
    </row>
    <row r="8547" spans="25:26" x14ac:dyDescent="0.25">
      <c r="Y8547" s="63">
        <v>51080</v>
      </c>
      <c r="Z8547" s="61">
        <f>_xll.qlYieldTSDiscount($U$35,Y8547,,Trigger)</f>
        <v>0.69735977598948651</v>
      </c>
    </row>
    <row r="8548" spans="25:26" x14ac:dyDescent="0.25">
      <c r="Y8548" s="63">
        <v>51081</v>
      </c>
      <c r="Z8548" s="61">
        <f>_xll.qlYieldTSDiscount($U$35,Y8548,,Trigger)</f>
        <v>0.69731609930730676</v>
      </c>
    </row>
    <row r="8549" spans="25:26" x14ac:dyDescent="0.25">
      <c r="Y8549" s="63">
        <v>51082</v>
      </c>
      <c r="Z8549" s="61">
        <f>_xll.qlYieldTSDiscount($U$35,Y8549,,Trigger)</f>
        <v>0.69727242050245031</v>
      </c>
    </row>
    <row r="8550" spans="25:26" x14ac:dyDescent="0.25">
      <c r="Y8550" s="63">
        <v>51083</v>
      </c>
      <c r="Z8550" s="61">
        <f>_xll.qlYieldTSDiscount($U$35,Y8550,,Trigger)</f>
        <v>0.69722873957743081</v>
      </c>
    </row>
    <row r="8551" spans="25:26" x14ac:dyDescent="0.25">
      <c r="Y8551" s="63">
        <v>51084</v>
      </c>
      <c r="Z8551" s="61">
        <f>_xll.qlYieldTSDiscount($U$35,Y8551,,Trigger)</f>
        <v>0.6971850565347617</v>
      </c>
    </row>
    <row r="8552" spans="25:26" x14ac:dyDescent="0.25">
      <c r="Y8552" s="63">
        <v>51085</v>
      </c>
      <c r="Z8552" s="61">
        <f>_xll.qlYieldTSDiscount($U$35,Y8552,,Trigger)</f>
        <v>0.69714137137695642</v>
      </c>
    </row>
    <row r="8553" spans="25:26" x14ac:dyDescent="0.25">
      <c r="Y8553" s="63">
        <v>51086</v>
      </c>
      <c r="Z8553" s="61">
        <f>_xll.qlYieldTSDiscount($U$35,Y8553,,Trigger)</f>
        <v>0.69709768410652873</v>
      </c>
    </row>
    <row r="8554" spans="25:26" x14ac:dyDescent="0.25">
      <c r="Y8554" s="63">
        <v>51087</v>
      </c>
      <c r="Z8554" s="61">
        <f>_xll.qlYieldTSDiscount($U$35,Y8554,,Trigger)</f>
        <v>0.69705399472599205</v>
      </c>
    </row>
    <row r="8555" spans="25:26" x14ac:dyDescent="0.25">
      <c r="Y8555" s="63">
        <v>51088</v>
      </c>
      <c r="Z8555" s="61">
        <f>_xll.qlYieldTSDiscount($U$35,Y8555,,Trigger)</f>
        <v>0.69701030323786006</v>
      </c>
    </row>
    <row r="8556" spans="25:26" x14ac:dyDescent="0.25">
      <c r="Y8556" s="63">
        <v>51089</v>
      </c>
      <c r="Z8556" s="61">
        <f>_xll.qlYieldTSDiscount($U$35,Y8556,,Trigger)</f>
        <v>0.69696660964464607</v>
      </c>
    </row>
    <row r="8557" spans="25:26" x14ac:dyDescent="0.25">
      <c r="Y8557" s="63">
        <v>51090</v>
      </c>
      <c r="Z8557" s="61">
        <f>_xll.qlYieldTSDiscount($U$35,Y8557,,Trigger)</f>
        <v>0.69692291394886385</v>
      </c>
    </row>
    <row r="8558" spans="25:26" x14ac:dyDescent="0.25">
      <c r="Y8558" s="63">
        <v>51091</v>
      </c>
      <c r="Z8558" s="61">
        <f>_xll.qlYieldTSDiscount($U$35,Y8558,,Trigger)</f>
        <v>0.69687921615302695</v>
      </c>
    </row>
    <row r="8559" spans="25:26" x14ac:dyDescent="0.25">
      <c r="Y8559" s="63">
        <v>51092</v>
      </c>
      <c r="Z8559" s="61">
        <f>_xll.qlYieldTSDiscount($U$35,Y8559,,Trigger)</f>
        <v>0.69683551625964879</v>
      </c>
    </row>
    <row r="8560" spans="25:26" x14ac:dyDescent="0.25">
      <c r="Y8560" s="63">
        <v>51093</v>
      </c>
      <c r="Z8560" s="61">
        <f>_xll.qlYieldTSDiscount($U$35,Y8560,,Trigger)</f>
        <v>0.69679181427124293</v>
      </c>
    </row>
    <row r="8561" spans="25:26" x14ac:dyDescent="0.25">
      <c r="Y8561" s="63">
        <v>51094</v>
      </c>
      <c r="Z8561" s="61">
        <f>_xll.qlYieldTSDiscount($U$35,Y8561,,Trigger)</f>
        <v>0.69674811019032312</v>
      </c>
    </row>
    <row r="8562" spans="25:26" x14ac:dyDescent="0.25">
      <c r="Y8562" s="63">
        <v>51095</v>
      </c>
      <c r="Z8562" s="61">
        <f>_xll.qlYieldTSDiscount($U$35,Y8562,,Trigger)</f>
        <v>0.69670440401940259</v>
      </c>
    </row>
    <row r="8563" spans="25:26" x14ac:dyDescent="0.25">
      <c r="Y8563" s="63">
        <v>51096</v>
      </c>
      <c r="Z8563" s="61">
        <f>_xll.qlYieldTSDiscount($U$35,Y8563,,Trigger)</f>
        <v>0.69666069576099521</v>
      </c>
    </row>
    <row r="8564" spans="25:26" x14ac:dyDescent="0.25">
      <c r="Y8564" s="63">
        <v>51097</v>
      </c>
      <c r="Z8564" s="61">
        <f>_xll.qlYieldTSDiscount($U$35,Y8564,,Trigger)</f>
        <v>0.69661698541761441</v>
      </c>
    </row>
    <row r="8565" spans="25:26" x14ac:dyDescent="0.25">
      <c r="Y8565" s="63">
        <v>51098</v>
      </c>
      <c r="Z8565" s="61">
        <f>_xll.qlYieldTSDiscount($U$35,Y8565,,Trigger)</f>
        <v>0.69657327299177363</v>
      </c>
    </row>
    <row r="8566" spans="25:26" x14ac:dyDescent="0.25">
      <c r="Y8566" s="63">
        <v>51099</v>
      </c>
      <c r="Z8566" s="61">
        <f>_xll.qlYieldTSDiscount($U$35,Y8566,,Trigger)</f>
        <v>0.69652955848598652</v>
      </c>
    </row>
    <row r="8567" spans="25:26" x14ac:dyDescent="0.25">
      <c r="Y8567" s="63">
        <v>51100</v>
      </c>
      <c r="Z8567" s="61">
        <f>_xll.qlYieldTSDiscount($U$35,Y8567,,Trigger)</f>
        <v>0.69648584190276663</v>
      </c>
    </row>
    <row r="8568" spans="25:26" x14ac:dyDescent="0.25">
      <c r="Y8568" s="63">
        <v>51101</v>
      </c>
      <c r="Z8568" s="61">
        <f>_xll.qlYieldTSDiscount($U$35,Y8568,,Trigger)</f>
        <v>0.69644212324462751</v>
      </c>
    </row>
    <row r="8569" spans="25:26" x14ac:dyDescent="0.25">
      <c r="Y8569" s="63">
        <v>51102</v>
      </c>
      <c r="Z8569" s="61">
        <f>_xll.qlYieldTSDiscount($U$35,Y8569,,Trigger)</f>
        <v>0.6963984025140828</v>
      </c>
    </row>
    <row r="8570" spans="25:26" x14ac:dyDescent="0.25">
      <c r="Y8570" s="63">
        <v>51103</v>
      </c>
      <c r="Z8570" s="61">
        <f>_xll.qlYieldTSDiscount($U$35,Y8570,,Trigger)</f>
        <v>0.69635467971364584</v>
      </c>
    </row>
    <row r="8571" spans="25:26" x14ac:dyDescent="0.25">
      <c r="Y8571" s="63">
        <v>51104</v>
      </c>
      <c r="Z8571" s="61">
        <f>_xll.qlYieldTSDiscount($U$35,Y8571,,Trigger)</f>
        <v>0.69631095484583039</v>
      </c>
    </row>
    <row r="8572" spans="25:26" x14ac:dyDescent="0.25">
      <c r="Y8572" s="63">
        <v>51105</v>
      </c>
      <c r="Z8572" s="61">
        <f>_xll.qlYieldTSDiscount($U$35,Y8572,,Trigger)</f>
        <v>0.69626722791314988</v>
      </c>
    </row>
    <row r="8573" spans="25:26" x14ac:dyDescent="0.25">
      <c r="Y8573" s="63">
        <v>51106</v>
      </c>
      <c r="Z8573" s="61">
        <f>_xll.qlYieldTSDiscount($U$35,Y8573,,Trigger)</f>
        <v>0.69622349891811774</v>
      </c>
    </row>
    <row r="8574" spans="25:26" x14ac:dyDescent="0.25">
      <c r="Y8574" s="63">
        <v>51107</v>
      </c>
      <c r="Z8574" s="61">
        <f>_xll.qlYieldTSDiscount($U$35,Y8574,,Trigger)</f>
        <v>0.69617976786324787</v>
      </c>
    </row>
    <row r="8575" spans="25:26" x14ac:dyDescent="0.25">
      <c r="Y8575" s="63">
        <v>51108</v>
      </c>
      <c r="Z8575" s="61">
        <f>_xll.qlYieldTSDiscount($U$35,Y8575,,Trigger)</f>
        <v>0.69613603475105357</v>
      </c>
    </row>
    <row r="8576" spans="25:26" x14ac:dyDescent="0.25">
      <c r="Y8576" s="63">
        <v>51109</v>
      </c>
      <c r="Z8576" s="61">
        <f>_xll.qlYieldTSDiscount($U$35,Y8576,,Trigger)</f>
        <v>0.69609229958404839</v>
      </c>
    </row>
    <row r="8577" spans="25:26" x14ac:dyDescent="0.25">
      <c r="Y8577" s="63">
        <v>51110</v>
      </c>
      <c r="Z8577" s="61">
        <f>_xll.qlYieldTSDiscount($U$35,Y8577,,Trigger)</f>
        <v>0.6960485623647461</v>
      </c>
    </row>
    <row r="8578" spans="25:26" x14ac:dyDescent="0.25">
      <c r="Y8578" s="63">
        <v>51111</v>
      </c>
      <c r="Z8578" s="61">
        <f>_xll.qlYieldTSDiscount($U$35,Y8578,,Trigger)</f>
        <v>0.69600482309565992</v>
      </c>
    </row>
    <row r="8579" spans="25:26" x14ac:dyDescent="0.25">
      <c r="Y8579" s="63">
        <v>51112</v>
      </c>
      <c r="Z8579" s="61">
        <f>_xll.qlYieldTSDiscount($U$35,Y8579,,Trigger)</f>
        <v>0.6959610817793036</v>
      </c>
    </row>
    <row r="8580" spans="25:26" x14ac:dyDescent="0.25">
      <c r="Y8580" s="63">
        <v>51113</v>
      </c>
      <c r="Z8580" s="61">
        <f>_xll.qlYieldTSDiscount($U$35,Y8580,,Trigger)</f>
        <v>0.6959173384181907</v>
      </c>
    </row>
    <row r="8581" spans="25:26" x14ac:dyDescent="0.25">
      <c r="Y8581" s="63">
        <v>51114</v>
      </c>
      <c r="Z8581" s="61">
        <f>_xll.qlYieldTSDiscount($U$35,Y8581,,Trigger)</f>
        <v>0.69587359301483476</v>
      </c>
    </row>
    <row r="8582" spans="25:26" x14ac:dyDescent="0.25">
      <c r="Y8582" s="63">
        <v>51115</v>
      </c>
      <c r="Z8582" s="61">
        <f>_xll.qlYieldTSDiscount($U$35,Y8582,,Trigger)</f>
        <v>0.69582984557174921</v>
      </c>
    </row>
    <row r="8583" spans="25:26" x14ac:dyDescent="0.25">
      <c r="Y8583" s="63">
        <v>51116</v>
      </c>
      <c r="Z8583" s="61">
        <f>_xll.qlYieldTSDiscount($U$35,Y8583,,Trigger)</f>
        <v>0.6957860960914477</v>
      </c>
    </row>
    <row r="8584" spans="25:26" x14ac:dyDescent="0.25">
      <c r="Y8584" s="63">
        <v>51117</v>
      </c>
      <c r="Z8584" s="61">
        <f>_xll.qlYieldTSDiscount($U$35,Y8584,,Trigger)</f>
        <v>0.69574234457644391</v>
      </c>
    </row>
    <row r="8585" spans="25:26" x14ac:dyDescent="0.25">
      <c r="Y8585" s="63">
        <v>51118</v>
      </c>
      <c r="Z8585" s="61">
        <f>_xll.qlYieldTSDiscount($U$35,Y8585,,Trigger)</f>
        <v>0.69569859102925113</v>
      </c>
    </row>
    <row r="8586" spans="25:26" x14ac:dyDescent="0.25">
      <c r="Y8586" s="63">
        <v>51119</v>
      </c>
      <c r="Z8586" s="61">
        <f>_xll.qlYieldTSDiscount($U$35,Y8586,,Trigger)</f>
        <v>0.69565483545238316</v>
      </c>
    </row>
    <row r="8587" spans="25:26" x14ac:dyDescent="0.25">
      <c r="Y8587" s="63">
        <v>51120</v>
      </c>
      <c r="Z8587" s="61">
        <f>_xll.qlYieldTSDiscount($U$35,Y8587,,Trigger)</f>
        <v>0.6956110778483533</v>
      </c>
    </row>
    <row r="8588" spans="25:26" x14ac:dyDescent="0.25">
      <c r="Y8588" s="63">
        <v>51121</v>
      </c>
      <c r="Z8588" s="61">
        <f>_xll.qlYieldTSDiscount($U$35,Y8588,,Trigger)</f>
        <v>0.69556731821967532</v>
      </c>
    </row>
    <row r="8589" spans="25:26" x14ac:dyDescent="0.25">
      <c r="Y8589" s="63">
        <v>51122</v>
      </c>
      <c r="Z8589" s="61">
        <f>_xll.qlYieldTSDiscount($U$35,Y8589,,Trigger)</f>
        <v>0.69552355656886267</v>
      </c>
    </row>
    <row r="8590" spans="25:26" x14ac:dyDescent="0.25">
      <c r="Y8590" s="63">
        <v>51123</v>
      </c>
      <c r="Z8590" s="61">
        <f>_xll.qlYieldTSDiscount($U$35,Y8590,,Trigger)</f>
        <v>0.69547979289842887</v>
      </c>
    </row>
    <row r="8591" spans="25:26" x14ac:dyDescent="0.25">
      <c r="Y8591" s="63">
        <v>51124</v>
      </c>
      <c r="Z8591" s="61">
        <f>_xll.qlYieldTSDiscount($U$35,Y8591,,Trigger)</f>
        <v>0.69543602721088749</v>
      </c>
    </row>
    <row r="8592" spans="25:26" x14ac:dyDescent="0.25">
      <c r="Y8592" s="63">
        <v>51125</v>
      </c>
      <c r="Z8592" s="61">
        <f>_xll.qlYieldTSDiscount($U$35,Y8592,,Trigger)</f>
        <v>0.69539225950875216</v>
      </c>
    </row>
    <row r="8593" spans="25:26" x14ac:dyDescent="0.25">
      <c r="Y8593" s="63">
        <v>51126</v>
      </c>
      <c r="Z8593" s="61">
        <f>_xll.qlYieldTSDiscount($U$35,Y8593,,Trigger)</f>
        <v>0.69534848979453645</v>
      </c>
    </row>
    <row r="8594" spans="25:26" x14ac:dyDescent="0.25">
      <c r="Y8594" s="63">
        <v>51127</v>
      </c>
      <c r="Z8594" s="61">
        <f>_xll.qlYieldTSDiscount($U$35,Y8594,,Trigger)</f>
        <v>0.69530471807075367</v>
      </c>
    </row>
    <row r="8595" spans="25:26" x14ac:dyDescent="0.25">
      <c r="Y8595" s="63">
        <v>51128</v>
      </c>
      <c r="Z8595" s="61">
        <f>_xll.qlYieldTSDiscount($U$35,Y8595,,Trigger)</f>
        <v>0.6952609443399177</v>
      </c>
    </row>
    <row r="8596" spans="25:26" x14ac:dyDescent="0.25">
      <c r="Y8596" s="63">
        <v>51129</v>
      </c>
      <c r="Z8596" s="61">
        <f>_xll.qlYieldTSDiscount($U$35,Y8596,,Trigger)</f>
        <v>0.69521716860454186</v>
      </c>
    </row>
    <row r="8597" spans="25:26" x14ac:dyDescent="0.25">
      <c r="Y8597" s="63">
        <v>51130</v>
      </c>
      <c r="Z8597" s="61">
        <f>_xll.qlYieldTSDiscount($U$35,Y8597,,Trigger)</f>
        <v>0.69517339086713981</v>
      </c>
    </row>
    <row r="8598" spans="25:26" x14ac:dyDescent="0.25">
      <c r="Y8598" s="63">
        <v>51131</v>
      </c>
      <c r="Z8598" s="61">
        <f>_xll.qlYieldTSDiscount($U$35,Y8598,,Trigger)</f>
        <v>0.69512961113022498</v>
      </c>
    </row>
    <row r="8599" spans="25:26" x14ac:dyDescent="0.25">
      <c r="Y8599" s="63">
        <v>51132</v>
      </c>
      <c r="Z8599" s="61">
        <f>_xll.qlYieldTSDiscount($U$35,Y8599,,Trigger)</f>
        <v>0.69508582939631103</v>
      </c>
    </row>
    <row r="8600" spans="25:26" x14ac:dyDescent="0.25">
      <c r="Y8600" s="63">
        <v>51133</v>
      </c>
      <c r="Z8600" s="61">
        <f>_xll.qlYieldTSDiscount($U$35,Y8600,,Trigger)</f>
        <v>0.69504204566791161</v>
      </c>
    </row>
    <row r="8601" spans="25:26" x14ac:dyDescent="0.25">
      <c r="Y8601" s="63">
        <v>51134</v>
      </c>
      <c r="Z8601" s="61">
        <f>_xll.qlYieldTSDiscount($U$35,Y8601,,Trigger)</f>
        <v>0.69499825994754005</v>
      </c>
    </row>
    <row r="8602" spans="25:26" x14ac:dyDescent="0.25">
      <c r="Y8602" s="63">
        <v>51135</v>
      </c>
      <c r="Z8602" s="61">
        <f>_xll.qlYieldTSDiscount($U$35,Y8602,,Trigger)</f>
        <v>0.6949544722377099</v>
      </c>
    </row>
    <row r="8603" spans="25:26" x14ac:dyDescent="0.25">
      <c r="Y8603" s="63">
        <v>51136</v>
      </c>
      <c r="Z8603" s="61">
        <f>_xll.qlYieldTSDiscount($U$35,Y8603,,Trigger)</f>
        <v>0.69491068254093502</v>
      </c>
    </row>
    <row r="8604" spans="25:26" x14ac:dyDescent="0.25">
      <c r="Y8604" s="63">
        <v>51137</v>
      </c>
      <c r="Z8604" s="61">
        <f>_xll.qlYieldTSDiscount($U$35,Y8604,,Trigger)</f>
        <v>0.69486689085972864</v>
      </c>
    </row>
    <row r="8605" spans="25:26" x14ac:dyDescent="0.25">
      <c r="Y8605" s="63">
        <v>51138</v>
      </c>
      <c r="Z8605" s="61">
        <f>_xll.qlYieldTSDiscount($U$35,Y8605,,Trigger)</f>
        <v>0.6948230971966044</v>
      </c>
    </row>
    <row r="8606" spans="25:26" x14ac:dyDescent="0.25">
      <c r="Y8606" s="63">
        <v>51139</v>
      </c>
      <c r="Z8606" s="61">
        <f>_xll.qlYieldTSDiscount($U$35,Y8606,,Trigger)</f>
        <v>0.69477930155407597</v>
      </c>
    </row>
    <row r="8607" spans="25:26" x14ac:dyDescent="0.25">
      <c r="Y8607" s="63">
        <v>51140</v>
      </c>
      <c r="Z8607" s="61">
        <f>_xll.qlYieldTSDiscount($U$35,Y8607,,Trigger)</f>
        <v>0.69473550393465666</v>
      </c>
    </row>
    <row r="8608" spans="25:26" x14ac:dyDescent="0.25">
      <c r="Y8608" s="63">
        <v>51141</v>
      </c>
      <c r="Z8608" s="61">
        <f>_xll.qlYieldTSDiscount($U$35,Y8608,,Trigger)</f>
        <v>0.69469170434086025</v>
      </c>
    </row>
    <row r="8609" spans="25:26" x14ac:dyDescent="0.25">
      <c r="Y8609" s="63">
        <v>51142</v>
      </c>
      <c r="Z8609" s="61">
        <f>_xll.qlYieldTSDiscount($U$35,Y8609,,Trigger)</f>
        <v>0.69464790277520028</v>
      </c>
    </row>
    <row r="8610" spans="25:26" x14ac:dyDescent="0.25">
      <c r="Y8610" s="63">
        <v>51143</v>
      </c>
      <c r="Z8610" s="61">
        <f>_xll.qlYieldTSDiscount($U$35,Y8610,,Trigger)</f>
        <v>0.69460409924019006</v>
      </c>
    </row>
    <row r="8611" spans="25:26" x14ac:dyDescent="0.25">
      <c r="Y8611" s="63">
        <v>51144</v>
      </c>
      <c r="Z8611" s="61">
        <f>_xll.qlYieldTSDiscount($U$35,Y8611,,Trigger)</f>
        <v>0.69456029373834349</v>
      </c>
    </row>
    <row r="8612" spans="25:26" x14ac:dyDescent="0.25">
      <c r="Y8612" s="63">
        <v>51145</v>
      </c>
      <c r="Z8612" s="61">
        <f>_xll.qlYieldTSDiscount($U$35,Y8612,,Trigger)</f>
        <v>0.69451648627217388</v>
      </c>
    </row>
    <row r="8613" spans="25:26" x14ac:dyDescent="0.25">
      <c r="Y8613" s="63">
        <v>51146</v>
      </c>
      <c r="Z8613" s="61">
        <f>_xll.qlYieldTSDiscount($U$35,Y8613,,Trigger)</f>
        <v>0.69447267684419478</v>
      </c>
    </row>
    <row r="8614" spans="25:26" x14ac:dyDescent="0.25">
      <c r="Y8614" s="63">
        <v>51147</v>
      </c>
      <c r="Z8614" s="61">
        <f>_xll.qlYieldTSDiscount($U$35,Y8614,,Trigger)</f>
        <v>0.69442886545691984</v>
      </c>
    </row>
    <row r="8615" spans="25:26" x14ac:dyDescent="0.25">
      <c r="Y8615" s="63">
        <v>51148</v>
      </c>
      <c r="Z8615" s="61">
        <f>_xll.qlYieldTSDiscount($U$35,Y8615,,Trigger)</f>
        <v>0.69438505211286261</v>
      </c>
    </row>
    <row r="8616" spans="25:26" x14ac:dyDescent="0.25">
      <c r="Y8616" s="63">
        <v>51149</v>
      </c>
      <c r="Z8616" s="61">
        <f>_xll.qlYieldTSDiscount($U$35,Y8616,,Trigger)</f>
        <v>0.69434123681453652</v>
      </c>
    </row>
    <row r="8617" spans="25:26" x14ac:dyDescent="0.25">
      <c r="Y8617" s="63">
        <v>51150</v>
      </c>
      <c r="Z8617" s="61">
        <f>_xll.qlYieldTSDiscount($U$35,Y8617,,Trigger)</f>
        <v>0.69429741956445534</v>
      </c>
    </row>
    <row r="8618" spans="25:26" x14ac:dyDescent="0.25">
      <c r="Y8618" s="63">
        <v>51151</v>
      </c>
      <c r="Z8618" s="61">
        <f>_xll.qlYieldTSDiscount($U$35,Y8618,,Trigger)</f>
        <v>0.6942536003651324</v>
      </c>
    </row>
    <row r="8619" spans="25:26" x14ac:dyDescent="0.25">
      <c r="Y8619" s="63">
        <v>51152</v>
      </c>
      <c r="Z8619" s="61">
        <f>_xll.qlYieldTSDiscount($U$35,Y8619,,Trigger)</f>
        <v>0.69420977921908134</v>
      </c>
    </row>
    <row r="8620" spans="25:26" x14ac:dyDescent="0.25">
      <c r="Y8620" s="63">
        <v>51153</v>
      </c>
      <c r="Z8620" s="61">
        <f>_xll.qlYieldTSDiscount($U$35,Y8620,,Trigger)</f>
        <v>0.69416595612881582</v>
      </c>
    </row>
    <row r="8621" spans="25:26" x14ac:dyDescent="0.25">
      <c r="Y8621" s="63">
        <v>51154</v>
      </c>
      <c r="Z8621" s="61">
        <f>_xll.qlYieldTSDiscount($U$35,Y8621,,Trigger)</f>
        <v>0.69412213109684917</v>
      </c>
    </row>
    <row r="8622" spans="25:26" x14ac:dyDescent="0.25">
      <c r="Y8622" s="63">
        <v>51155</v>
      </c>
      <c r="Z8622" s="61">
        <f>_xll.qlYieldTSDiscount($U$35,Y8622,,Trigger)</f>
        <v>0.69407830412569504</v>
      </c>
    </row>
    <row r="8623" spans="25:26" x14ac:dyDescent="0.25">
      <c r="Y8623" s="63">
        <v>51156</v>
      </c>
      <c r="Z8623" s="61">
        <f>_xll.qlYieldTSDiscount($U$35,Y8623,,Trigger)</f>
        <v>0.6940344752178671</v>
      </c>
    </row>
    <row r="8624" spans="25:26" x14ac:dyDescent="0.25">
      <c r="Y8624" s="63">
        <v>51157</v>
      </c>
      <c r="Z8624" s="61">
        <f>_xll.qlYieldTSDiscount($U$35,Y8624,,Trigger)</f>
        <v>0.69399064437587876</v>
      </c>
    </row>
    <row r="8625" spans="25:26" x14ac:dyDescent="0.25">
      <c r="Y8625" s="63">
        <v>51158</v>
      </c>
      <c r="Z8625" s="61">
        <f>_xll.qlYieldTSDiscount($U$35,Y8625,,Trigger)</f>
        <v>0.69394681160224359</v>
      </c>
    </row>
    <row r="8626" spans="25:26" x14ac:dyDescent="0.25">
      <c r="Y8626" s="63">
        <v>51159</v>
      </c>
      <c r="Z8626" s="61">
        <f>_xll.qlYieldTSDiscount($U$35,Y8626,,Trigger)</f>
        <v>0.69390297689947511</v>
      </c>
    </row>
    <row r="8627" spans="25:26" x14ac:dyDescent="0.25">
      <c r="Y8627" s="63">
        <v>51160</v>
      </c>
      <c r="Z8627" s="61">
        <f>_xll.qlYieldTSDiscount($U$35,Y8627,,Trigger)</f>
        <v>0.69385914027008699</v>
      </c>
    </row>
    <row r="8628" spans="25:26" x14ac:dyDescent="0.25">
      <c r="Y8628" s="63">
        <v>51161</v>
      </c>
      <c r="Z8628" s="61">
        <f>_xll.qlYieldTSDiscount($U$35,Y8628,,Trigger)</f>
        <v>0.69381530171659267</v>
      </c>
    </row>
    <row r="8629" spans="25:26" x14ac:dyDescent="0.25">
      <c r="Y8629" s="63">
        <v>51162</v>
      </c>
      <c r="Z8629" s="61">
        <f>_xll.qlYieldTSDiscount($U$35,Y8629,,Trigger)</f>
        <v>0.69377146124150579</v>
      </c>
    </row>
    <row r="8630" spans="25:26" x14ac:dyDescent="0.25">
      <c r="Y8630" s="63">
        <v>51163</v>
      </c>
      <c r="Z8630" s="61">
        <f>_xll.qlYieldTSDiscount($U$35,Y8630,,Trigger)</f>
        <v>0.6937276188473398</v>
      </c>
    </row>
    <row r="8631" spans="25:26" x14ac:dyDescent="0.25">
      <c r="Y8631" s="63">
        <v>51164</v>
      </c>
      <c r="Z8631" s="61">
        <f>_xll.qlYieldTSDiscount($U$35,Y8631,,Trigger)</f>
        <v>0.69368377453660834</v>
      </c>
    </row>
    <row r="8632" spans="25:26" x14ac:dyDescent="0.25">
      <c r="Y8632" s="63">
        <v>51165</v>
      </c>
      <c r="Z8632" s="61">
        <f>_xll.qlYieldTSDiscount($U$35,Y8632,,Trigger)</f>
        <v>0.69363992831182497</v>
      </c>
    </row>
    <row r="8633" spans="25:26" x14ac:dyDescent="0.25">
      <c r="Y8633" s="63">
        <v>51166</v>
      </c>
      <c r="Z8633" s="61">
        <f>_xll.qlYieldTSDiscount($U$35,Y8633,,Trigger)</f>
        <v>0.69359608017550323</v>
      </c>
    </row>
    <row r="8634" spans="25:26" x14ac:dyDescent="0.25">
      <c r="Y8634" s="63">
        <v>51167</v>
      </c>
      <c r="Z8634" s="61">
        <f>_xll.qlYieldTSDiscount($U$35,Y8634,,Trigger)</f>
        <v>0.69355223013015643</v>
      </c>
    </row>
    <row r="8635" spans="25:26" x14ac:dyDescent="0.25">
      <c r="Y8635" s="63">
        <v>51168</v>
      </c>
      <c r="Z8635" s="61">
        <f>_xll.qlYieldTSDiscount($U$35,Y8635,,Trigger)</f>
        <v>0.69350837817829858</v>
      </c>
    </row>
    <row r="8636" spans="25:26" x14ac:dyDescent="0.25">
      <c r="Y8636" s="63">
        <v>51169</v>
      </c>
      <c r="Z8636" s="61">
        <f>_xll.qlYieldTSDiscount($U$35,Y8636,,Trigger)</f>
        <v>0.69346452432244277</v>
      </c>
    </row>
    <row r="8637" spans="25:26" x14ac:dyDescent="0.25">
      <c r="Y8637" s="63">
        <v>51170</v>
      </c>
      <c r="Z8637" s="61">
        <f>_xll.qlYieldTSDiscount($U$35,Y8637,,Trigger)</f>
        <v>0.69342066856510287</v>
      </c>
    </row>
    <row r="8638" spans="25:26" x14ac:dyDescent="0.25">
      <c r="Y8638" s="63">
        <v>51171</v>
      </c>
      <c r="Z8638" s="61">
        <f>_xll.qlYieldTSDiscount($U$35,Y8638,,Trigger)</f>
        <v>0.69337681090879233</v>
      </c>
    </row>
    <row r="8639" spans="25:26" x14ac:dyDescent="0.25">
      <c r="Y8639" s="63">
        <v>51172</v>
      </c>
      <c r="Z8639" s="61">
        <f>_xll.qlYieldTSDiscount($U$35,Y8639,,Trigger)</f>
        <v>0.69333295135602468</v>
      </c>
    </row>
    <row r="8640" spans="25:26" x14ac:dyDescent="0.25">
      <c r="Y8640" s="63">
        <v>51173</v>
      </c>
      <c r="Z8640" s="61">
        <f>_xll.qlYieldTSDiscount($U$35,Y8640,,Trigger)</f>
        <v>0.69328908990931359</v>
      </c>
    </row>
    <row r="8641" spans="25:26" x14ac:dyDescent="0.25">
      <c r="Y8641" s="63">
        <v>51174</v>
      </c>
      <c r="Z8641" s="61">
        <f>_xll.qlYieldTSDiscount($U$35,Y8641,,Trigger)</f>
        <v>0.69324522657117238</v>
      </c>
    </row>
    <row r="8642" spans="25:26" x14ac:dyDescent="0.25">
      <c r="Y8642" s="63">
        <v>51175</v>
      </c>
      <c r="Z8642" s="61">
        <f>_xll.qlYieldTSDiscount($U$35,Y8642,,Trigger)</f>
        <v>0.69320136134411481</v>
      </c>
    </row>
    <row r="8643" spans="25:26" x14ac:dyDescent="0.25">
      <c r="Y8643" s="63">
        <v>51176</v>
      </c>
      <c r="Z8643" s="61">
        <f>_xll.qlYieldTSDiscount($U$35,Y8643,,Trigger)</f>
        <v>0.69315749423065431</v>
      </c>
    </row>
    <row r="8644" spans="25:26" x14ac:dyDescent="0.25">
      <c r="Y8644" s="63">
        <v>51177</v>
      </c>
      <c r="Z8644" s="61">
        <f>_xll.qlYieldTSDiscount($U$35,Y8644,,Trigger)</f>
        <v>0.69311362523330444</v>
      </c>
    </row>
    <row r="8645" spans="25:26" x14ac:dyDescent="0.25">
      <c r="Y8645" s="63">
        <v>51178</v>
      </c>
      <c r="Z8645" s="61">
        <f>_xll.qlYieldTSDiscount($U$35,Y8645,,Trigger)</f>
        <v>0.69306975435457885</v>
      </c>
    </row>
    <row r="8646" spans="25:26" x14ac:dyDescent="0.25">
      <c r="Y8646" s="63">
        <v>51179</v>
      </c>
      <c r="Z8646" s="61">
        <f>_xll.qlYieldTSDiscount($U$35,Y8646,,Trigger)</f>
        <v>0.69302588159699097</v>
      </c>
    </row>
    <row r="8647" spans="25:26" x14ac:dyDescent="0.25">
      <c r="Y8647" s="63">
        <v>51180</v>
      </c>
      <c r="Z8647" s="61">
        <f>_xll.qlYieldTSDiscount($U$35,Y8647,,Trigger)</f>
        <v>0.69298200696305434</v>
      </c>
    </row>
    <row r="8648" spans="25:26" x14ac:dyDescent="0.25">
      <c r="Y8648" s="63">
        <v>51181</v>
      </c>
      <c r="Z8648" s="61">
        <f>_xll.qlYieldTSDiscount($U$35,Y8648,,Trigger)</f>
        <v>0.69293813045528274</v>
      </c>
    </row>
    <row r="8649" spans="25:26" x14ac:dyDescent="0.25">
      <c r="Y8649" s="63">
        <v>51182</v>
      </c>
      <c r="Z8649" s="61">
        <f>_xll.qlYieldTSDiscount($U$35,Y8649,,Trigger)</f>
        <v>0.69289425207618949</v>
      </c>
    </row>
    <row r="8650" spans="25:26" x14ac:dyDescent="0.25">
      <c r="Y8650" s="63">
        <v>51183</v>
      </c>
      <c r="Z8650" s="61">
        <f>_xll.qlYieldTSDiscount($U$35,Y8650,,Trigger)</f>
        <v>0.69285037182828824</v>
      </c>
    </row>
    <row r="8651" spans="25:26" x14ac:dyDescent="0.25">
      <c r="Y8651" s="63">
        <v>51184</v>
      </c>
      <c r="Z8651" s="61">
        <f>_xll.qlYieldTSDiscount($U$35,Y8651,,Trigger)</f>
        <v>0.69280648971409242</v>
      </c>
    </row>
    <row r="8652" spans="25:26" x14ac:dyDescent="0.25">
      <c r="Y8652" s="63">
        <v>51185</v>
      </c>
      <c r="Z8652" s="61">
        <f>_xll.qlYieldTSDiscount($U$35,Y8652,,Trigger)</f>
        <v>0.6927626057361157</v>
      </c>
    </row>
    <row r="8653" spans="25:26" x14ac:dyDescent="0.25">
      <c r="Y8653" s="63">
        <v>51186</v>
      </c>
      <c r="Z8653" s="61">
        <f>_xll.qlYieldTSDiscount($U$35,Y8653,,Trigger)</f>
        <v>0.69271871989687173</v>
      </c>
    </row>
    <row r="8654" spans="25:26" x14ac:dyDescent="0.25">
      <c r="Y8654" s="63">
        <v>51187</v>
      </c>
      <c r="Z8654" s="61">
        <f>_xll.qlYieldTSDiscount($U$35,Y8654,,Trigger)</f>
        <v>0.69267483219887382</v>
      </c>
    </row>
    <row r="8655" spans="25:26" x14ac:dyDescent="0.25">
      <c r="Y8655" s="63">
        <v>51188</v>
      </c>
      <c r="Z8655" s="61">
        <f>_xll.qlYieldTSDiscount($U$35,Y8655,,Trigger)</f>
        <v>0.69263094264463565</v>
      </c>
    </row>
    <row r="8656" spans="25:26" x14ac:dyDescent="0.25">
      <c r="Y8656" s="63">
        <v>51189</v>
      </c>
      <c r="Z8656" s="61">
        <f>_xll.qlYieldTSDiscount($U$35,Y8656,,Trigger)</f>
        <v>0.69258705123667075</v>
      </c>
    </row>
    <row r="8657" spans="25:26" x14ac:dyDescent="0.25">
      <c r="Y8657" s="63">
        <v>51190</v>
      </c>
      <c r="Z8657" s="61">
        <f>_xll.qlYieldTSDiscount($U$35,Y8657,,Trigger)</f>
        <v>0.69254315797749277</v>
      </c>
    </row>
    <row r="8658" spans="25:26" x14ac:dyDescent="0.25">
      <c r="Y8658" s="63">
        <v>51191</v>
      </c>
      <c r="Z8658" s="61">
        <f>_xll.qlYieldTSDiscount($U$35,Y8658,,Trigger)</f>
        <v>0.69249926286961505</v>
      </c>
    </row>
    <row r="8659" spans="25:26" x14ac:dyDescent="0.25">
      <c r="Y8659" s="63">
        <v>51192</v>
      </c>
      <c r="Z8659" s="61">
        <f>_xll.qlYieldTSDiscount($U$35,Y8659,,Trigger)</f>
        <v>0.69245536591555135</v>
      </c>
    </row>
    <row r="8660" spans="25:26" x14ac:dyDescent="0.25">
      <c r="Y8660" s="63">
        <v>51193</v>
      </c>
      <c r="Z8660" s="61">
        <f>_xll.qlYieldTSDiscount($U$35,Y8660,,Trigger)</f>
        <v>0.69241146711781509</v>
      </c>
    </row>
    <row r="8661" spans="25:26" x14ac:dyDescent="0.25">
      <c r="Y8661" s="63">
        <v>51194</v>
      </c>
      <c r="Z8661" s="61">
        <f>_xll.qlYieldTSDiscount($U$35,Y8661,,Trigger)</f>
        <v>0.69236756647891984</v>
      </c>
    </row>
    <row r="8662" spans="25:26" x14ac:dyDescent="0.25">
      <c r="Y8662" s="63">
        <v>51195</v>
      </c>
      <c r="Z8662" s="61">
        <f>_xll.qlYieldTSDiscount($U$35,Y8662,,Trigger)</f>
        <v>0.69232366400137924</v>
      </c>
    </row>
    <row r="8663" spans="25:26" x14ac:dyDescent="0.25">
      <c r="Y8663" s="63">
        <v>51196</v>
      </c>
      <c r="Z8663" s="61">
        <f>_xll.qlYieldTSDiscount($U$35,Y8663,,Trigger)</f>
        <v>0.69227975968770672</v>
      </c>
    </row>
    <row r="8664" spans="25:26" x14ac:dyDescent="0.25">
      <c r="Y8664" s="63">
        <v>51197</v>
      </c>
      <c r="Z8664" s="61">
        <f>_xll.qlYieldTSDiscount($U$35,Y8664,,Trigger)</f>
        <v>0.69223585354041595</v>
      </c>
    </row>
    <row r="8665" spans="25:26" x14ac:dyDescent="0.25">
      <c r="Y8665" s="63">
        <v>51198</v>
      </c>
      <c r="Z8665" s="61">
        <f>_xll.qlYieldTSDiscount($U$35,Y8665,,Trigger)</f>
        <v>0.69219194556202046</v>
      </c>
    </row>
    <row r="8666" spans="25:26" x14ac:dyDescent="0.25">
      <c r="Y8666" s="63">
        <v>51199</v>
      </c>
      <c r="Z8666" s="61">
        <f>_xll.qlYieldTSDiscount($U$35,Y8666,,Trigger)</f>
        <v>0.69214803575503359</v>
      </c>
    </row>
    <row r="8667" spans="25:26" x14ac:dyDescent="0.25">
      <c r="Y8667" s="63">
        <v>51200</v>
      </c>
      <c r="Z8667" s="61">
        <f>_xll.qlYieldTSDiscount($U$35,Y8667,,Trigger)</f>
        <v>0.6921041241219692</v>
      </c>
    </row>
    <row r="8668" spans="25:26" x14ac:dyDescent="0.25">
      <c r="Y8668" s="63">
        <v>51201</v>
      </c>
      <c r="Z8668" s="61">
        <f>_xll.qlYieldTSDiscount($U$35,Y8668,,Trigger)</f>
        <v>0.69206021066534062</v>
      </c>
    </row>
    <row r="8669" spans="25:26" x14ac:dyDescent="0.25">
      <c r="Y8669" s="63">
        <v>51202</v>
      </c>
      <c r="Z8669" s="61">
        <f>_xll.qlYieldTSDiscount($U$35,Y8669,,Trigger)</f>
        <v>0.69201629538766152</v>
      </c>
    </row>
    <row r="8670" spans="25:26" x14ac:dyDescent="0.25">
      <c r="Y8670" s="63">
        <v>51203</v>
      </c>
      <c r="Z8670" s="61">
        <f>_xll.qlYieldTSDiscount($U$35,Y8670,,Trigger)</f>
        <v>0.69197237829144553</v>
      </c>
    </row>
    <row r="8671" spans="25:26" x14ac:dyDescent="0.25">
      <c r="Y8671" s="63">
        <v>51204</v>
      </c>
      <c r="Z8671" s="61">
        <f>_xll.qlYieldTSDiscount($U$35,Y8671,,Trigger)</f>
        <v>0.69192845937920588</v>
      </c>
    </row>
    <row r="8672" spans="25:26" x14ac:dyDescent="0.25">
      <c r="Y8672" s="63">
        <v>51205</v>
      </c>
      <c r="Z8672" s="61">
        <f>_xll.qlYieldTSDiscount($U$35,Y8672,,Trigger)</f>
        <v>0.69188453865345645</v>
      </c>
    </row>
    <row r="8673" spans="25:26" x14ac:dyDescent="0.25">
      <c r="Y8673" s="63">
        <v>51206</v>
      </c>
      <c r="Z8673" s="61">
        <f>_xll.qlYieldTSDiscount($U$35,Y8673,,Trigger)</f>
        <v>0.69184061611671066</v>
      </c>
    </row>
    <row r="8674" spans="25:26" x14ac:dyDescent="0.25">
      <c r="Y8674" s="63">
        <v>51207</v>
      </c>
      <c r="Z8674" s="61">
        <f>_xll.qlYieldTSDiscount($U$35,Y8674,,Trigger)</f>
        <v>0.69179669177148206</v>
      </c>
    </row>
    <row r="8675" spans="25:26" x14ac:dyDescent="0.25">
      <c r="Y8675" s="63">
        <v>51208</v>
      </c>
      <c r="Z8675" s="61">
        <f>_xll.qlYieldTSDiscount($U$35,Y8675,,Trigger)</f>
        <v>0.6917527656202842</v>
      </c>
    </row>
    <row r="8676" spans="25:26" x14ac:dyDescent="0.25">
      <c r="Y8676" s="63">
        <v>51209</v>
      </c>
      <c r="Z8676" s="61">
        <f>_xll.qlYieldTSDiscount($U$35,Y8676,,Trigger)</f>
        <v>0.69170883766563074</v>
      </c>
    </row>
    <row r="8677" spans="25:26" x14ac:dyDescent="0.25">
      <c r="Y8677" s="63">
        <v>51210</v>
      </c>
      <c r="Z8677" s="61">
        <f>_xll.qlYieldTSDiscount($U$35,Y8677,,Trigger)</f>
        <v>0.69166490791003499</v>
      </c>
    </row>
    <row r="8678" spans="25:26" x14ac:dyDescent="0.25">
      <c r="Y8678" s="63">
        <v>51211</v>
      </c>
      <c r="Z8678" s="61">
        <f>_xll.qlYieldTSDiscount($U$35,Y8678,,Trigger)</f>
        <v>0.69162097635601083</v>
      </c>
    </row>
    <row r="8679" spans="25:26" x14ac:dyDescent="0.25">
      <c r="Y8679" s="63">
        <v>51212</v>
      </c>
      <c r="Z8679" s="61">
        <f>_xll.qlYieldTSDiscount($U$35,Y8679,,Trigger)</f>
        <v>0.69157704300607148</v>
      </c>
    </row>
    <row r="8680" spans="25:26" x14ac:dyDescent="0.25">
      <c r="Y8680" s="63">
        <v>51213</v>
      </c>
      <c r="Z8680" s="61">
        <f>_xll.qlYieldTSDiscount($U$35,Y8680,,Trigger)</f>
        <v>0.69153310786273059</v>
      </c>
    </row>
    <row r="8681" spans="25:26" x14ac:dyDescent="0.25">
      <c r="Y8681" s="63">
        <v>51214</v>
      </c>
      <c r="Z8681" s="61">
        <f>_xll.qlYieldTSDiscount($U$35,Y8681,,Trigger)</f>
        <v>0.69148917092850182</v>
      </c>
    </row>
    <row r="8682" spans="25:26" x14ac:dyDescent="0.25">
      <c r="Y8682" s="63">
        <v>51215</v>
      </c>
      <c r="Z8682" s="61">
        <f>_xll.qlYieldTSDiscount($U$35,Y8682,,Trigger)</f>
        <v>0.69144523220589871</v>
      </c>
    </row>
    <row r="8683" spans="25:26" x14ac:dyDescent="0.25">
      <c r="Y8683" s="63">
        <v>51216</v>
      </c>
      <c r="Z8683" s="61">
        <f>_xll.qlYieldTSDiscount($U$35,Y8683,,Trigger)</f>
        <v>0.69140129169743481</v>
      </c>
    </row>
    <row r="8684" spans="25:26" x14ac:dyDescent="0.25">
      <c r="Y8684" s="63">
        <v>51217</v>
      </c>
      <c r="Z8684" s="61">
        <f>_xll.qlYieldTSDiscount($U$35,Y8684,,Trigger)</f>
        <v>0.69135734940562354</v>
      </c>
    </row>
    <row r="8685" spans="25:26" x14ac:dyDescent="0.25">
      <c r="Y8685" s="63">
        <v>51218</v>
      </c>
      <c r="Z8685" s="61">
        <f>_xll.qlYieldTSDiscount($U$35,Y8685,,Trigger)</f>
        <v>0.69131340533297858</v>
      </c>
    </row>
    <row r="8686" spans="25:26" x14ac:dyDescent="0.25">
      <c r="Y8686" s="63">
        <v>51219</v>
      </c>
      <c r="Z8686" s="61">
        <f>_xll.qlYieldTSDiscount($U$35,Y8686,,Trigger)</f>
        <v>0.69126945948201335</v>
      </c>
    </row>
    <row r="8687" spans="25:26" x14ac:dyDescent="0.25">
      <c r="Y8687" s="63">
        <v>51220</v>
      </c>
      <c r="Z8687" s="61">
        <f>_xll.qlYieldTSDiscount($U$35,Y8687,,Trigger)</f>
        <v>0.6912255118552415</v>
      </c>
    </row>
    <row r="8688" spans="25:26" x14ac:dyDescent="0.25">
      <c r="Y8688" s="63">
        <v>51221</v>
      </c>
      <c r="Z8688" s="61">
        <f>_xll.qlYieldTSDiscount($U$35,Y8688,,Trigger)</f>
        <v>0.6911815624551767</v>
      </c>
    </row>
    <row r="8689" spans="25:26" x14ac:dyDescent="0.25">
      <c r="Y8689" s="63">
        <v>51222</v>
      </c>
      <c r="Z8689" s="61">
        <f>_xll.qlYieldTSDiscount($U$35,Y8689,,Trigger)</f>
        <v>0.69113761128433215</v>
      </c>
    </row>
    <row r="8690" spans="25:26" x14ac:dyDescent="0.25">
      <c r="Y8690" s="63">
        <v>51223</v>
      </c>
      <c r="Z8690" s="61">
        <f>_xll.qlYieldTSDiscount($U$35,Y8690,,Trigger)</f>
        <v>0.69109365834522185</v>
      </c>
    </row>
    <row r="8691" spans="25:26" x14ac:dyDescent="0.25">
      <c r="Y8691" s="63">
        <v>51224</v>
      </c>
      <c r="Z8691" s="61">
        <f>_xll.qlYieldTSDiscount($U$35,Y8691,,Trigger)</f>
        <v>0.691049703640359</v>
      </c>
    </row>
    <row r="8692" spans="25:26" x14ac:dyDescent="0.25">
      <c r="Y8692" s="63">
        <v>51225</v>
      </c>
      <c r="Z8692" s="61">
        <f>_xll.qlYieldTSDiscount($U$35,Y8692,,Trigger)</f>
        <v>0.69100574717225727</v>
      </c>
    </row>
    <row r="8693" spans="25:26" x14ac:dyDescent="0.25">
      <c r="Y8693" s="63">
        <v>51226</v>
      </c>
      <c r="Z8693" s="61">
        <f>_xll.qlYieldTSDiscount($U$35,Y8693,,Trigger)</f>
        <v>0.6909617889434303</v>
      </c>
    </row>
    <row r="8694" spans="25:26" x14ac:dyDescent="0.25">
      <c r="Y8694" s="63">
        <v>51227</v>
      </c>
      <c r="Z8694" s="61">
        <f>_xll.qlYieldTSDiscount($U$35,Y8694,,Trigger)</f>
        <v>0.69091782895639153</v>
      </c>
    </row>
    <row r="8695" spans="25:26" x14ac:dyDescent="0.25">
      <c r="Y8695" s="63">
        <v>51228</v>
      </c>
      <c r="Z8695" s="61">
        <f>_xll.qlYieldTSDiscount($U$35,Y8695,,Trigger)</f>
        <v>0.69087386721365451</v>
      </c>
    </row>
    <row r="8696" spans="25:26" x14ac:dyDescent="0.25">
      <c r="Y8696" s="63">
        <v>51229</v>
      </c>
      <c r="Z8696" s="61">
        <f>_xll.qlYieldTSDiscount($U$35,Y8696,,Trigger)</f>
        <v>0.69082990371773279</v>
      </c>
    </row>
    <row r="8697" spans="25:26" x14ac:dyDescent="0.25">
      <c r="Y8697" s="63">
        <v>51230</v>
      </c>
      <c r="Z8697" s="61">
        <f>_xll.qlYieldTSDiscount($U$35,Y8697,,Trigger)</f>
        <v>0.69078593847114</v>
      </c>
    </row>
    <row r="8698" spans="25:26" x14ac:dyDescent="0.25">
      <c r="Y8698" s="63">
        <v>51231</v>
      </c>
      <c r="Z8698" s="61">
        <f>_xll.qlYieldTSDiscount($U$35,Y8698,,Trigger)</f>
        <v>0.6907419714763896</v>
      </c>
    </row>
    <row r="8699" spans="25:26" x14ac:dyDescent="0.25">
      <c r="Y8699" s="63">
        <v>51232</v>
      </c>
      <c r="Z8699" s="61">
        <f>_xll.qlYieldTSDiscount($U$35,Y8699,,Trigger)</f>
        <v>0.69069800273599524</v>
      </c>
    </row>
    <row r="8700" spans="25:26" x14ac:dyDescent="0.25">
      <c r="Y8700" s="63">
        <v>51233</v>
      </c>
      <c r="Z8700" s="61">
        <f>_xll.qlYieldTSDiscount($U$35,Y8700,,Trigger)</f>
        <v>0.69065403225247035</v>
      </c>
    </row>
    <row r="8701" spans="25:26" x14ac:dyDescent="0.25">
      <c r="Y8701" s="63">
        <v>51234</v>
      </c>
      <c r="Z8701" s="61">
        <f>_xll.qlYieldTSDiscount($U$35,Y8701,,Trigger)</f>
        <v>0.69061006002832859</v>
      </c>
    </row>
    <row r="8702" spans="25:26" x14ac:dyDescent="0.25">
      <c r="Y8702" s="63">
        <v>51235</v>
      </c>
      <c r="Z8702" s="61">
        <f>_xll.qlYieldTSDiscount($U$35,Y8702,,Trigger)</f>
        <v>0.6905660860660835</v>
      </c>
    </row>
    <row r="8703" spans="25:26" x14ac:dyDescent="0.25">
      <c r="Y8703" s="63">
        <v>51236</v>
      </c>
      <c r="Z8703" s="61">
        <f>_xll.qlYieldTSDiscount($U$35,Y8703,,Trigger)</f>
        <v>0.69052211036824851</v>
      </c>
    </row>
    <row r="8704" spans="25:26" x14ac:dyDescent="0.25">
      <c r="Y8704" s="63">
        <v>51237</v>
      </c>
      <c r="Z8704" s="61">
        <f>_xll.qlYieldTSDiscount($U$35,Y8704,,Trigger)</f>
        <v>0.69047813293733729</v>
      </c>
    </row>
    <row r="8705" spans="25:26" x14ac:dyDescent="0.25">
      <c r="Y8705" s="63">
        <v>51238</v>
      </c>
      <c r="Z8705" s="61">
        <f>_xll.qlYieldTSDiscount($U$35,Y8705,,Trigger)</f>
        <v>0.69043415377586337</v>
      </c>
    </row>
    <row r="8706" spans="25:26" x14ac:dyDescent="0.25">
      <c r="Y8706" s="63">
        <v>51239</v>
      </c>
      <c r="Z8706" s="61">
        <f>_xll.qlYieldTSDiscount($U$35,Y8706,,Trigger)</f>
        <v>0.6903901728863403</v>
      </c>
    </row>
    <row r="8707" spans="25:26" x14ac:dyDescent="0.25">
      <c r="Y8707" s="63">
        <v>51240</v>
      </c>
      <c r="Z8707" s="61">
        <f>_xll.qlYieldTSDiscount($U$35,Y8707,,Trigger)</f>
        <v>0.69034619027128175</v>
      </c>
    </row>
    <row r="8708" spans="25:26" x14ac:dyDescent="0.25">
      <c r="Y8708" s="63">
        <v>51241</v>
      </c>
      <c r="Z8708" s="61">
        <f>_xll.qlYieldTSDiscount($U$35,Y8708,,Trigger)</f>
        <v>0.69030220593320091</v>
      </c>
    </row>
    <row r="8709" spans="25:26" x14ac:dyDescent="0.25">
      <c r="Y8709" s="63">
        <v>51242</v>
      </c>
      <c r="Z8709" s="61">
        <f>_xll.qlYieldTSDiscount($U$35,Y8709,,Trigger)</f>
        <v>0.69025821987461167</v>
      </c>
    </row>
    <row r="8710" spans="25:26" x14ac:dyDescent="0.25">
      <c r="Y8710" s="63">
        <v>51243</v>
      </c>
      <c r="Z8710" s="61">
        <f>_xll.qlYieldTSDiscount($U$35,Y8710,,Trigger)</f>
        <v>0.69021423209802757</v>
      </c>
    </row>
    <row r="8711" spans="25:26" x14ac:dyDescent="0.25">
      <c r="Y8711" s="63">
        <v>51244</v>
      </c>
      <c r="Z8711" s="61">
        <f>_xll.qlYieldTSDiscount($U$35,Y8711,,Trigger)</f>
        <v>0.69017024260596194</v>
      </c>
    </row>
    <row r="8712" spans="25:26" x14ac:dyDescent="0.25">
      <c r="Y8712" s="63">
        <v>51245</v>
      </c>
      <c r="Z8712" s="61">
        <f>_xll.qlYieldTSDiscount($U$35,Y8712,,Trigger)</f>
        <v>0.69012625140092854</v>
      </c>
    </row>
    <row r="8713" spans="25:26" x14ac:dyDescent="0.25">
      <c r="Y8713" s="63">
        <v>51246</v>
      </c>
      <c r="Z8713" s="61">
        <f>_xll.qlYieldTSDiscount($U$35,Y8713,,Trigger)</f>
        <v>0.69008225848544069</v>
      </c>
    </row>
    <row r="8714" spans="25:26" x14ac:dyDescent="0.25">
      <c r="Y8714" s="63">
        <v>51247</v>
      </c>
      <c r="Z8714" s="61">
        <f>_xll.qlYieldTSDiscount($U$35,Y8714,,Trigger)</f>
        <v>0.69003826386201228</v>
      </c>
    </row>
    <row r="8715" spans="25:26" x14ac:dyDescent="0.25">
      <c r="Y8715" s="63">
        <v>51248</v>
      </c>
      <c r="Z8715" s="61">
        <f>_xll.qlYieldTSDiscount($U$35,Y8715,,Trigger)</f>
        <v>0.68999426753315662</v>
      </c>
    </row>
    <row r="8716" spans="25:26" x14ac:dyDescent="0.25">
      <c r="Y8716" s="63">
        <v>51249</v>
      </c>
      <c r="Z8716" s="61">
        <f>_xll.qlYieldTSDiscount($U$35,Y8716,,Trigger)</f>
        <v>0.68995026950138727</v>
      </c>
    </row>
    <row r="8717" spans="25:26" x14ac:dyDescent="0.25">
      <c r="Y8717" s="63">
        <v>51250</v>
      </c>
      <c r="Z8717" s="61">
        <f>_xll.qlYieldTSDiscount($U$35,Y8717,,Trigger)</f>
        <v>0.68990626976921787</v>
      </c>
    </row>
    <row r="8718" spans="25:26" x14ac:dyDescent="0.25">
      <c r="Y8718" s="63">
        <v>51251</v>
      </c>
      <c r="Z8718" s="61">
        <f>_xll.qlYieldTSDiscount($U$35,Y8718,,Trigger)</f>
        <v>0.68986226833916187</v>
      </c>
    </row>
    <row r="8719" spans="25:26" x14ac:dyDescent="0.25">
      <c r="Y8719" s="63">
        <v>51252</v>
      </c>
      <c r="Z8719" s="61">
        <f>_xll.qlYieldTSDiscount($U$35,Y8719,,Trigger)</f>
        <v>0.68981826521373291</v>
      </c>
    </row>
    <row r="8720" spans="25:26" x14ac:dyDescent="0.25">
      <c r="Y8720" s="63">
        <v>51253</v>
      </c>
      <c r="Z8720" s="61">
        <f>_xll.qlYieldTSDiscount($U$35,Y8720,,Trigger)</f>
        <v>0.68977426039544454</v>
      </c>
    </row>
    <row r="8721" spans="25:26" x14ac:dyDescent="0.25">
      <c r="Y8721" s="63">
        <v>51254</v>
      </c>
      <c r="Z8721" s="61">
        <f>_xll.qlYieldTSDiscount($U$35,Y8721,,Trigger)</f>
        <v>0.6897302538868102</v>
      </c>
    </row>
    <row r="8722" spans="25:26" x14ac:dyDescent="0.25">
      <c r="Y8722" s="63">
        <v>51255</v>
      </c>
      <c r="Z8722" s="61">
        <f>_xll.qlYieldTSDiscount($U$35,Y8722,,Trigger)</f>
        <v>0.68968624569034365</v>
      </c>
    </row>
    <row r="8723" spans="25:26" x14ac:dyDescent="0.25">
      <c r="Y8723" s="63">
        <v>51256</v>
      </c>
      <c r="Z8723" s="61">
        <f>_xll.qlYieldTSDiscount($U$35,Y8723,,Trigger)</f>
        <v>0.68964223580855832</v>
      </c>
    </row>
    <row r="8724" spans="25:26" x14ac:dyDescent="0.25">
      <c r="Y8724" s="63">
        <v>51257</v>
      </c>
      <c r="Z8724" s="61">
        <f>_xll.qlYieldTSDiscount($U$35,Y8724,,Trigger)</f>
        <v>0.68959822424396755</v>
      </c>
    </row>
    <row r="8725" spans="25:26" x14ac:dyDescent="0.25">
      <c r="Y8725" s="63">
        <v>51258</v>
      </c>
      <c r="Z8725" s="61">
        <f>_xll.qlYieldTSDiscount($U$35,Y8725,,Trigger)</f>
        <v>0.68955421099908532</v>
      </c>
    </row>
    <row r="8726" spans="25:26" x14ac:dyDescent="0.25">
      <c r="Y8726" s="63">
        <v>51259</v>
      </c>
      <c r="Z8726" s="61">
        <f>_xll.qlYieldTSDiscount($U$35,Y8726,,Trigger)</f>
        <v>0.68951019607642483</v>
      </c>
    </row>
    <row r="8727" spans="25:26" x14ac:dyDescent="0.25">
      <c r="Y8727" s="63">
        <v>51260</v>
      </c>
      <c r="Z8727" s="61">
        <f>_xll.qlYieldTSDiscount($U$35,Y8727,,Trigger)</f>
        <v>0.68946617947849975</v>
      </c>
    </row>
    <row r="8728" spans="25:26" x14ac:dyDescent="0.25">
      <c r="Y8728" s="63">
        <v>51261</v>
      </c>
      <c r="Z8728" s="61">
        <f>_xll.qlYieldTSDiscount($U$35,Y8728,,Trigger)</f>
        <v>0.68942216120782374</v>
      </c>
    </row>
    <row r="8729" spans="25:26" x14ac:dyDescent="0.25">
      <c r="Y8729" s="63">
        <v>51262</v>
      </c>
      <c r="Z8729" s="61">
        <f>_xll.qlYieldTSDiscount($U$35,Y8729,,Trigger)</f>
        <v>0.68937814126691022</v>
      </c>
    </row>
    <row r="8730" spans="25:26" x14ac:dyDescent="0.25">
      <c r="Y8730" s="63">
        <v>51263</v>
      </c>
      <c r="Z8730" s="61">
        <f>_xll.qlYieldTSDiscount($U$35,Y8730,,Trigger)</f>
        <v>0.68933411965827274</v>
      </c>
    </row>
    <row r="8731" spans="25:26" x14ac:dyDescent="0.25">
      <c r="Y8731" s="63">
        <v>51264</v>
      </c>
      <c r="Z8731" s="61">
        <f>_xll.qlYieldTSDiscount($U$35,Y8731,,Trigger)</f>
        <v>0.68929009638442496</v>
      </c>
    </row>
    <row r="8732" spans="25:26" x14ac:dyDescent="0.25">
      <c r="Y8732" s="63">
        <v>51265</v>
      </c>
      <c r="Z8732" s="61">
        <f>_xll.qlYieldTSDiscount($U$35,Y8732,,Trigger)</f>
        <v>0.68924607144788019</v>
      </c>
    </row>
    <row r="8733" spans="25:26" x14ac:dyDescent="0.25">
      <c r="Y8733" s="63">
        <v>51266</v>
      </c>
      <c r="Z8733" s="61">
        <f>_xll.qlYieldTSDiscount($U$35,Y8733,,Trigger)</f>
        <v>0.68920204485115233</v>
      </c>
    </row>
    <row r="8734" spans="25:26" x14ac:dyDescent="0.25">
      <c r="Y8734" s="63">
        <v>51267</v>
      </c>
      <c r="Z8734" s="61">
        <f>_xll.qlYieldTSDiscount($U$35,Y8734,,Trigger)</f>
        <v>0.68915801659675457</v>
      </c>
    </row>
    <row r="8735" spans="25:26" x14ac:dyDescent="0.25">
      <c r="Y8735" s="63">
        <v>51268</v>
      </c>
      <c r="Z8735" s="61">
        <f>_xll.qlYieldTSDiscount($U$35,Y8735,,Trigger)</f>
        <v>0.68911398668720081</v>
      </c>
    </row>
    <row r="8736" spans="25:26" x14ac:dyDescent="0.25">
      <c r="Y8736" s="63">
        <v>51269</v>
      </c>
      <c r="Z8736" s="61">
        <f>_xll.qlYieldTSDiscount($U$35,Y8736,,Trigger)</f>
        <v>0.68906995512500435</v>
      </c>
    </row>
    <row r="8737" spans="25:26" x14ac:dyDescent="0.25">
      <c r="Y8737" s="63">
        <v>51270</v>
      </c>
      <c r="Z8737" s="61">
        <f>_xll.qlYieldTSDiscount($U$35,Y8737,,Trigger)</f>
        <v>0.68902592191267886</v>
      </c>
    </row>
    <row r="8738" spans="25:26" x14ac:dyDescent="0.25">
      <c r="Y8738" s="63">
        <v>51271</v>
      </c>
      <c r="Z8738" s="61">
        <f>_xll.qlYieldTSDiscount($U$35,Y8738,,Trigger)</f>
        <v>0.68898188705273777</v>
      </c>
    </row>
    <row r="8739" spans="25:26" x14ac:dyDescent="0.25">
      <c r="Y8739" s="63">
        <v>51272</v>
      </c>
      <c r="Z8739" s="61">
        <f>_xll.qlYieldTSDiscount($U$35,Y8739,,Trigger)</f>
        <v>0.68893785054769485</v>
      </c>
    </row>
    <row r="8740" spans="25:26" x14ac:dyDescent="0.25">
      <c r="Y8740" s="63">
        <v>51273</v>
      </c>
      <c r="Z8740" s="61">
        <f>_xll.qlYieldTSDiscount($U$35,Y8740,,Trigger)</f>
        <v>0.68889381240006331</v>
      </c>
    </row>
    <row r="8741" spans="25:26" x14ac:dyDescent="0.25">
      <c r="Y8741" s="63">
        <v>51274</v>
      </c>
      <c r="Z8741" s="61">
        <f>_xll.qlYieldTSDiscount($U$35,Y8741,,Trigger)</f>
        <v>0.68884977261235714</v>
      </c>
    </row>
    <row r="8742" spans="25:26" x14ac:dyDescent="0.25">
      <c r="Y8742" s="63">
        <v>51275</v>
      </c>
      <c r="Z8742" s="61">
        <f>_xll.qlYieldTSDiscount($U$35,Y8742,,Trigger)</f>
        <v>0.68880573118708943</v>
      </c>
    </row>
    <row r="8743" spans="25:26" x14ac:dyDescent="0.25">
      <c r="Y8743" s="63">
        <v>51276</v>
      </c>
      <c r="Z8743" s="61">
        <f>_xll.qlYieldTSDiscount($U$35,Y8743,,Trigger)</f>
        <v>0.68876168812677419</v>
      </c>
    </row>
    <row r="8744" spans="25:26" x14ac:dyDescent="0.25">
      <c r="Y8744" s="63">
        <v>51277</v>
      </c>
      <c r="Z8744" s="61">
        <f>_xll.qlYieldTSDiscount($U$35,Y8744,,Trigger)</f>
        <v>0.68871764343392461</v>
      </c>
    </row>
    <row r="8745" spans="25:26" x14ac:dyDescent="0.25">
      <c r="Y8745" s="63">
        <v>51278</v>
      </c>
      <c r="Z8745" s="61">
        <f>_xll.qlYieldTSDiscount($U$35,Y8745,,Trigger)</f>
        <v>0.68867359711105436</v>
      </c>
    </row>
    <row r="8746" spans="25:26" x14ac:dyDescent="0.25">
      <c r="Y8746" s="63">
        <v>51279</v>
      </c>
      <c r="Z8746" s="61">
        <f>_xll.qlYieldTSDiscount($U$35,Y8746,,Trigger)</f>
        <v>0.68862954916067709</v>
      </c>
    </row>
    <row r="8747" spans="25:26" x14ac:dyDescent="0.25">
      <c r="Y8747" s="63">
        <v>51280</v>
      </c>
      <c r="Z8747" s="61">
        <f>_xll.qlYieldTSDiscount($U$35,Y8747,,Trigger)</f>
        <v>0.68858549958530624</v>
      </c>
    </row>
    <row r="8748" spans="25:26" x14ac:dyDescent="0.25">
      <c r="Y8748" s="63">
        <v>51281</v>
      </c>
      <c r="Z8748" s="61">
        <f>_xll.qlYieldTSDiscount($U$35,Y8748,,Trigger)</f>
        <v>0.68854144838745523</v>
      </c>
    </row>
    <row r="8749" spans="25:26" x14ac:dyDescent="0.25">
      <c r="Y8749" s="63">
        <v>51282</v>
      </c>
      <c r="Z8749" s="61">
        <f>_xll.qlYieldTSDiscount($U$35,Y8749,,Trigger)</f>
        <v>0.68849739556963796</v>
      </c>
    </row>
    <row r="8750" spans="25:26" x14ac:dyDescent="0.25">
      <c r="Y8750" s="63">
        <v>51283</v>
      </c>
      <c r="Z8750" s="61">
        <f>_xll.qlYieldTSDiscount($U$35,Y8750,,Trigger)</f>
        <v>0.68845334113436774</v>
      </c>
    </row>
    <row r="8751" spans="25:26" x14ac:dyDescent="0.25">
      <c r="Y8751" s="63">
        <v>51284</v>
      </c>
      <c r="Z8751" s="61">
        <f>_xll.qlYieldTSDiscount($U$35,Y8751,,Trigger)</f>
        <v>0.68840928508415811</v>
      </c>
    </row>
    <row r="8752" spans="25:26" x14ac:dyDescent="0.25">
      <c r="Y8752" s="63">
        <v>51285</v>
      </c>
      <c r="Z8752" s="61">
        <f>_xll.qlYieldTSDiscount($U$35,Y8752,,Trigger)</f>
        <v>0.68836522742152273</v>
      </c>
    </row>
    <row r="8753" spans="25:26" x14ac:dyDescent="0.25">
      <c r="Y8753" s="63">
        <v>51286</v>
      </c>
      <c r="Z8753" s="61">
        <f>_xll.qlYieldTSDiscount($U$35,Y8753,,Trigger)</f>
        <v>0.68832116814897515</v>
      </c>
    </row>
    <row r="8754" spans="25:26" x14ac:dyDescent="0.25">
      <c r="Y8754" s="63">
        <v>51287</v>
      </c>
      <c r="Z8754" s="61">
        <f>_xll.qlYieldTSDiscount($U$35,Y8754,,Trigger)</f>
        <v>0.6882771072690288</v>
      </c>
    </row>
    <row r="8755" spans="25:26" x14ac:dyDescent="0.25">
      <c r="Y8755" s="63">
        <v>51288</v>
      </c>
      <c r="Z8755" s="61">
        <f>_xll.qlYieldTSDiscount($U$35,Y8755,,Trigger)</f>
        <v>0.68823304478419733</v>
      </c>
    </row>
    <row r="8756" spans="25:26" x14ac:dyDescent="0.25">
      <c r="Y8756" s="63">
        <v>51289</v>
      </c>
      <c r="Z8756" s="61">
        <f>_xll.qlYieldTSDiscount($U$35,Y8756,,Trigger)</f>
        <v>0.68818898069699419</v>
      </c>
    </row>
    <row r="8757" spans="25:26" x14ac:dyDescent="0.25">
      <c r="Y8757" s="63">
        <v>51290</v>
      </c>
      <c r="Z8757" s="61">
        <f>_xll.qlYieldTSDiscount($U$35,Y8757,,Trigger)</f>
        <v>0.68814491500993313</v>
      </c>
    </row>
    <row r="8758" spans="25:26" x14ac:dyDescent="0.25">
      <c r="Y8758" s="63">
        <v>51291</v>
      </c>
      <c r="Z8758" s="61">
        <f>_xll.qlYieldTSDiscount($U$35,Y8758,,Trigger)</f>
        <v>0.68810084772552749</v>
      </c>
    </row>
    <row r="8759" spans="25:26" x14ac:dyDescent="0.25">
      <c r="Y8759" s="63">
        <v>51292</v>
      </c>
      <c r="Z8759" s="61">
        <f>_xll.qlYieldTSDiscount($U$35,Y8759,,Trigger)</f>
        <v>0.68805677884629102</v>
      </c>
    </row>
    <row r="8760" spans="25:26" x14ac:dyDescent="0.25">
      <c r="Y8760" s="63">
        <v>51293</v>
      </c>
      <c r="Z8760" s="61">
        <f>_xll.qlYieldTSDiscount($U$35,Y8760,,Trigger)</f>
        <v>0.68801270837473705</v>
      </c>
    </row>
    <row r="8761" spans="25:26" x14ac:dyDescent="0.25">
      <c r="Y8761" s="63">
        <v>51294</v>
      </c>
      <c r="Z8761" s="61">
        <f>_xll.qlYieldTSDiscount($U$35,Y8761,,Trigger)</f>
        <v>0.68796863631337923</v>
      </c>
    </row>
    <row r="8762" spans="25:26" x14ac:dyDescent="0.25">
      <c r="Y8762" s="63">
        <v>51295</v>
      </c>
      <c r="Z8762" s="61">
        <f>_xll.qlYieldTSDiscount($U$35,Y8762,,Trigger)</f>
        <v>0.68792456266473123</v>
      </c>
    </row>
    <row r="8763" spans="25:26" x14ac:dyDescent="0.25">
      <c r="Y8763" s="63">
        <v>51296</v>
      </c>
      <c r="Z8763" s="61">
        <f>_xll.qlYieldTSDiscount($U$35,Y8763,,Trigger)</f>
        <v>0.68788048743130648</v>
      </c>
    </row>
    <row r="8764" spans="25:26" x14ac:dyDescent="0.25">
      <c r="Y8764" s="63">
        <v>51297</v>
      </c>
      <c r="Z8764" s="61">
        <f>_xll.qlYieldTSDiscount($U$35,Y8764,,Trigger)</f>
        <v>0.68783641061561851</v>
      </c>
    </row>
    <row r="8765" spans="25:26" x14ac:dyDescent="0.25">
      <c r="Y8765" s="63">
        <v>51298</v>
      </c>
      <c r="Z8765" s="61">
        <f>_xll.qlYieldTSDiscount($U$35,Y8765,,Trigger)</f>
        <v>0.68779233222018088</v>
      </c>
    </row>
    <row r="8766" spans="25:26" x14ac:dyDescent="0.25">
      <c r="Y8766" s="63">
        <v>51299</v>
      </c>
      <c r="Z8766" s="61">
        <f>_xll.qlYieldTSDiscount($U$35,Y8766,,Trigger)</f>
        <v>0.68774825224750713</v>
      </c>
    </row>
    <row r="8767" spans="25:26" x14ac:dyDescent="0.25">
      <c r="Y8767" s="63">
        <v>51300</v>
      </c>
      <c r="Z8767" s="61">
        <f>_xll.qlYieldTSDiscount($U$35,Y8767,,Trigger)</f>
        <v>0.68770417070011092</v>
      </c>
    </row>
    <row r="8768" spans="25:26" x14ac:dyDescent="0.25">
      <c r="Y8768" s="63">
        <v>51301</v>
      </c>
      <c r="Z8768" s="61">
        <f>_xll.qlYieldTSDiscount($U$35,Y8768,,Trigger)</f>
        <v>0.68766008758050579</v>
      </c>
    </row>
    <row r="8769" spans="25:26" x14ac:dyDescent="0.25">
      <c r="Y8769" s="63">
        <v>51302</v>
      </c>
      <c r="Z8769" s="61">
        <f>_xll.qlYieldTSDiscount($U$35,Y8769,,Trigger)</f>
        <v>0.68761600289120517</v>
      </c>
    </row>
    <row r="8770" spans="25:26" x14ac:dyDescent="0.25">
      <c r="Y8770" s="63">
        <v>51303</v>
      </c>
      <c r="Z8770" s="61">
        <f>_xll.qlYieldTSDiscount($U$35,Y8770,,Trigger)</f>
        <v>0.68757191663472272</v>
      </c>
    </row>
    <row r="8771" spans="25:26" x14ac:dyDescent="0.25">
      <c r="Y8771" s="63">
        <v>51304</v>
      </c>
      <c r="Z8771" s="61">
        <f>_xll.qlYieldTSDiscount($U$35,Y8771,,Trigger)</f>
        <v>0.68752782881357177</v>
      </c>
    </row>
    <row r="8772" spans="25:26" x14ac:dyDescent="0.25">
      <c r="Y8772" s="63">
        <v>51305</v>
      </c>
      <c r="Z8772" s="61">
        <f>_xll.qlYieldTSDiscount($U$35,Y8772,,Trigger)</f>
        <v>0.68748373943026619</v>
      </c>
    </row>
    <row r="8773" spans="25:26" x14ac:dyDescent="0.25">
      <c r="Y8773" s="63">
        <v>51306</v>
      </c>
      <c r="Z8773" s="61">
        <f>_xll.qlYieldTSDiscount($U$35,Y8773,,Trigger)</f>
        <v>0.68743964848731942</v>
      </c>
    </row>
    <row r="8774" spans="25:26" x14ac:dyDescent="0.25">
      <c r="Y8774" s="63">
        <v>51307</v>
      </c>
      <c r="Z8774" s="61">
        <f>_xll.qlYieldTSDiscount($U$35,Y8774,,Trigger)</f>
        <v>0.68739555598724489</v>
      </c>
    </row>
    <row r="8775" spans="25:26" x14ac:dyDescent="0.25">
      <c r="Y8775" s="63">
        <v>51308</v>
      </c>
      <c r="Z8775" s="61">
        <f>_xll.qlYieldTSDiscount($U$35,Y8775,,Trigger)</f>
        <v>0.68735146193255636</v>
      </c>
    </row>
    <row r="8776" spans="25:26" x14ac:dyDescent="0.25">
      <c r="Y8776" s="63">
        <v>51309</v>
      </c>
      <c r="Z8776" s="61">
        <f>_xll.qlYieldTSDiscount($U$35,Y8776,,Trigger)</f>
        <v>0.68730736632576717</v>
      </c>
    </row>
    <row r="8777" spans="25:26" x14ac:dyDescent="0.25">
      <c r="Y8777" s="63">
        <v>51310</v>
      </c>
      <c r="Z8777" s="61">
        <f>_xll.qlYieldTSDiscount($U$35,Y8777,,Trigger)</f>
        <v>0.68726326916939096</v>
      </c>
    </row>
    <row r="8778" spans="25:26" x14ac:dyDescent="0.25">
      <c r="Y8778" s="63">
        <v>51311</v>
      </c>
      <c r="Z8778" s="61">
        <f>_xll.qlYieldTSDiscount($U$35,Y8778,,Trigger)</f>
        <v>0.68721917046594128</v>
      </c>
    </row>
    <row r="8779" spans="25:26" x14ac:dyDescent="0.25">
      <c r="Y8779" s="63">
        <v>51312</v>
      </c>
      <c r="Z8779" s="61">
        <f>_xll.qlYieldTSDiscount($U$35,Y8779,,Trigger)</f>
        <v>0.68717507021793167</v>
      </c>
    </row>
    <row r="8780" spans="25:26" x14ac:dyDescent="0.25">
      <c r="Y8780" s="63">
        <v>51313</v>
      </c>
      <c r="Z8780" s="61">
        <f>_xll.qlYieldTSDiscount($U$35,Y8780,,Trigger)</f>
        <v>0.6871309684278758</v>
      </c>
    </row>
    <row r="8781" spans="25:26" x14ac:dyDescent="0.25">
      <c r="Y8781" s="63">
        <v>51314</v>
      </c>
      <c r="Z8781" s="61">
        <f>_xll.qlYieldTSDiscount($U$35,Y8781,,Trigger)</f>
        <v>0.68708686509828709</v>
      </c>
    </row>
    <row r="8782" spans="25:26" x14ac:dyDescent="0.25">
      <c r="Y8782" s="63">
        <v>51315</v>
      </c>
      <c r="Z8782" s="61">
        <f>_xll.qlYieldTSDiscount($U$35,Y8782,,Trigger)</f>
        <v>0.68704276023167909</v>
      </c>
    </row>
    <row r="8783" spans="25:26" x14ac:dyDescent="0.25">
      <c r="Y8783" s="63">
        <v>51316</v>
      </c>
      <c r="Z8783" s="61">
        <f>_xll.qlYieldTSDiscount($U$35,Y8783,,Trigger)</f>
        <v>0.68699865383056535</v>
      </c>
    </row>
    <row r="8784" spans="25:26" x14ac:dyDescent="0.25">
      <c r="Y8784" s="63">
        <v>51317</v>
      </c>
      <c r="Z8784" s="61">
        <f>_xll.qlYieldTSDiscount($U$35,Y8784,,Trigger)</f>
        <v>0.68695454589745952</v>
      </c>
    </row>
    <row r="8785" spans="25:26" x14ac:dyDescent="0.25">
      <c r="Y8785" s="63">
        <v>51318</v>
      </c>
      <c r="Z8785" s="61">
        <f>_xll.qlYieldTSDiscount($U$35,Y8785,,Trigger)</f>
        <v>0.68691043643487504</v>
      </c>
    </row>
    <row r="8786" spans="25:26" x14ac:dyDescent="0.25">
      <c r="Y8786" s="63">
        <v>51319</v>
      </c>
      <c r="Z8786" s="61">
        <f>_xll.qlYieldTSDiscount($U$35,Y8786,,Trigger)</f>
        <v>0.68686632544532544</v>
      </c>
    </row>
    <row r="8787" spans="25:26" x14ac:dyDescent="0.25">
      <c r="Y8787" s="63">
        <v>51320</v>
      </c>
      <c r="Z8787" s="61">
        <f>_xll.qlYieldTSDiscount($U$35,Y8787,,Trigger)</f>
        <v>0.68682221293132439</v>
      </c>
    </row>
    <row r="8788" spans="25:26" x14ac:dyDescent="0.25">
      <c r="Y8788" s="63">
        <v>51321</v>
      </c>
      <c r="Z8788" s="61">
        <f>_xll.qlYieldTSDiscount($U$35,Y8788,,Trigger)</f>
        <v>0.68677809889538544</v>
      </c>
    </row>
    <row r="8789" spans="25:26" x14ac:dyDescent="0.25">
      <c r="Y8789" s="63">
        <v>51322</v>
      </c>
      <c r="Z8789" s="61">
        <f>_xll.qlYieldTSDiscount($U$35,Y8789,,Trigger)</f>
        <v>0.686733983340022</v>
      </c>
    </row>
    <row r="8790" spans="25:26" x14ac:dyDescent="0.25">
      <c r="Y8790" s="63">
        <v>51323</v>
      </c>
      <c r="Z8790" s="61">
        <f>_xll.qlYieldTSDiscount($U$35,Y8790,,Trigger)</f>
        <v>0.68668986626774775</v>
      </c>
    </row>
    <row r="8791" spans="25:26" x14ac:dyDescent="0.25">
      <c r="Y8791" s="63">
        <v>51324</v>
      </c>
      <c r="Z8791" s="61">
        <f>_xll.qlYieldTSDiscount($U$35,Y8791,,Trigger)</f>
        <v>0.68664574768107622</v>
      </c>
    </row>
    <row r="8792" spans="25:26" x14ac:dyDescent="0.25">
      <c r="Y8792" s="63">
        <v>51325</v>
      </c>
      <c r="Z8792" s="61">
        <f>_xll.qlYieldTSDiscount($U$35,Y8792,,Trigger)</f>
        <v>0.68660162758252097</v>
      </c>
    </row>
    <row r="8793" spans="25:26" x14ac:dyDescent="0.25">
      <c r="Y8793" s="63">
        <v>51326</v>
      </c>
      <c r="Z8793" s="61">
        <f>_xll.qlYieldTSDiscount($U$35,Y8793,,Trigger)</f>
        <v>0.68655750597459542</v>
      </c>
    </row>
    <row r="8794" spans="25:26" x14ac:dyDescent="0.25">
      <c r="Y8794" s="63">
        <v>51327</v>
      </c>
      <c r="Z8794" s="61">
        <f>_xll.qlYieldTSDiscount($U$35,Y8794,,Trigger)</f>
        <v>0.68651338285981334</v>
      </c>
    </row>
    <row r="8795" spans="25:26" x14ac:dyDescent="0.25">
      <c r="Y8795" s="63">
        <v>51328</v>
      </c>
      <c r="Z8795" s="61">
        <f>_xll.qlYieldTSDiscount($U$35,Y8795,,Trigger)</f>
        <v>0.68646925824068805</v>
      </c>
    </row>
    <row r="8796" spans="25:26" x14ac:dyDescent="0.25">
      <c r="Y8796" s="63">
        <v>51329</v>
      </c>
      <c r="Z8796" s="61">
        <f>_xll.qlYieldTSDiscount($U$35,Y8796,,Trigger)</f>
        <v>0.68642513211973333</v>
      </c>
    </row>
    <row r="8797" spans="25:26" x14ac:dyDescent="0.25">
      <c r="Y8797" s="63">
        <v>51330</v>
      </c>
      <c r="Z8797" s="61">
        <f>_xll.qlYieldTSDiscount($U$35,Y8797,,Trigger)</f>
        <v>0.6863810044994626</v>
      </c>
    </row>
    <row r="8798" spans="25:26" x14ac:dyDescent="0.25">
      <c r="Y8798" s="63">
        <v>51331</v>
      </c>
      <c r="Z8798" s="61">
        <f>_xll.qlYieldTSDiscount($U$35,Y8798,,Trigger)</f>
        <v>0.68633687538238941</v>
      </c>
    </row>
    <row r="8799" spans="25:26" x14ac:dyDescent="0.25">
      <c r="Y8799" s="63">
        <v>51332</v>
      </c>
      <c r="Z8799" s="61">
        <f>_xll.qlYieldTSDiscount($U$35,Y8799,,Trigger)</f>
        <v>0.68629274477102731</v>
      </c>
    </row>
    <row r="8800" spans="25:26" x14ac:dyDescent="0.25">
      <c r="Y8800" s="63">
        <v>51333</v>
      </c>
      <c r="Z8800" s="61">
        <f>_xll.qlYieldTSDiscount($U$35,Y8800,,Trigger)</f>
        <v>0.68624861266788995</v>
      </c>
    </row>
    <row r="8801" spans="25:26" x14ac:dyDescent="0.25">
      <c r="Y8801" s="63">
        <v>51334</v>
      </c>
      <c r="Z8801" s="61">
        <f>_xll.qlYieldTSDiscount($U$35,Y8801,,Trigger)</f>
        <v>0.68620447907549065</v>
      </c>
    </row>
    <row r="8802" spans="25:26" x14ac:dyDescent="0.25">
      <c r="Y8802" s="63">
        <v>51335</v>
      </c>
      <c r="Z8802" s="61">
        <f>_xll.qlYieldTSDiscount($U$35,Y8802,,Trigger)</f>
        <v>0.68616034399634318</v>
      </c>
    </row>
    <row r="8803" spans="25:26" x14ac:dyDescent="0.25">
      <c r="Y8803" s="63">
        <v>51336</v>
      </c>
      <c r="Z8803" s="61">
        <f>_xll.qlYieldTSDiscount($U$35,Y8803,,Trigger)</f>
        <v>0.68611620743296109</v>
      </c>
    </row>
    <row r="8804" spans="25:26" x14ac:dyDescent="0.25">
      <c r="Y8804" s="63">
        <v>51337</v>
      </c>
      <c r="Z8804" s="61">
        <f>_xll.qlYieldTSDiscount($U$35,Y8804,,Trigger)</f>
        <v>0.68607206938785781</v>
      </c>
    </row>
    <row r="8805" spans="25:26" x14ac:dyDescent="0.25">
      <c r="Y8805" s="63">
        <v>51338</v>
      </c>
      <c r="Z8805" s="61">
        <f>_xll.qlYieldTSDiscount($U$35,Y8805,,Trigger)</f>
        <v>0.68602792986354699</v>
      </c>
    </row>
    <row r="8806" spans="25:26" x14ac:dyDescent="0.25">
      <c r="Y8806" s="63">
        <v>51339</v>
      </c>
      <c r="Z8806" s="61">
        <f>_xll.qlYieldTSDiscount($U$35,Y8806,,Trigger)</f>
        <v>0.68598378886254208</v>
      </c>
    </row>
    <row r="8807" spans="25:26" x14ac:dyDescent="0.25">
      <c r="Y8807" s="63">
        <v>51340</v>
      </c>
      <c r="Z8807" s="61">
        <f>_xll.qlYieldTSDiscount($U$35,Y8807,,Trigger)</f>
        <v>0.68593964638735672</v>
      </c>
    </row>
    <row r="8808" spans="25:26" x14ac:dyDescent="0.25">
      <c r="Y8808" s="63">
        <v>51341</v>
      </c>
      <c r="Z8808" s="61">
        <f>_xll.qlYieldTSDiscount($U$35,Y8808,,Trigger)</f>
        <v>0.68589550244050446</v>
      </c>
    </row>
    <row r="8809" spans="25:26" x14ac:dyDescent="0.25">
      <c r="Y8809" s="63">
        <v>51342</v>
      </c>
      <c r="Z8809" s="61">
        <f>_xll.qlYieldTSDiscount($U$35,Y8809,,Trigger)</f>
        <v>0.68585135702449884</v>
      </c>
    </row>
    <row r="8810" spans="25:26" x14ac:dyDescent="0.25">
      <c r="Y8810" s="63">
        <v>51343</v>
      </c>
      <c r="Z8810" s="61">
        <f>_xll.qlYieldTSDiscount($U$35,Y8810,,Trigger)</f>
        <v>0.68580721014185331</v>
      </c>
    </row>
    <row r="8811" spans="25:26" x14ac:dyDescent="0.25">
      <c r="Y8811" s="63">
        <v>51344</v>
      </c>
      <c r="Z8811" s="61">
        <f>_xll.qlYieldTSDiscount($U$35,Y8811,,Trigger)</f>
        <v>0.68576306179508151</v>
      </c>
    </row>
    <row r="8812" spans="25:26" x14ac:dyDescent="0.25">
      <c r="Y8812" s="63">
        <v>51345</v>
      </c>
      <c r="Z8812" s="61">
        <f>_xll.qlYieldTSDiscount($U$35,Y8812,,Trigger)</f>
        <v>0.6857189119866971</v>
      </c>
    </row>
    <row r="8813" spans="25:26" x14ac:dyDescent="0.25">
      <c r="Y8813" s="63">
        <v>51346</v>
      </c>
      <c r="Z8813" s="61">
        <f>_xll.qlYieldTSDiscount($U$35,Y8813,,Trigger)</f>
        <v>0.68567476071921352</v>
      </c>
    </row>
    <row r="8814" spans="25:26" x14ac:dyDescent="0.25">
      <c r="Y8814" s="63">
        <v>51347</v>
      </c>
      <c r="Z8814" s="61">
        <f>_xll.qlYieldTSDiscount($U$35,Y8814,,Trigger)</f>
        <v>0.68563060799514419</v>
      </c>
    </row>
    <row r="8815" spans="25:26" x14ac:dyDescent="0.25">
      <c r="Y8815" s="63">
        <v>51348</v>
      </c>
      <c r="Z8815" s="61">
        <f>_xll.qlYieldTSDiscount($U$35,Y8815,,Trigger)</f>
        <v>0.68558645381700289</v>
      </c>
    </row>
    <row r="8816" spans="25:26" x14ac:dyDescent="0.25">
      <c r="Y8816" s="63">
        <v>51349</v>
      </c>
      <c r="Z8816" s="61">
        <f>_xll.qlYieldTSDiscount($U$35,Y8816,,Trigger)</f>
        <v>0.68554229818730295</v>
      </c>
    </row>
    <row r="8817" spans="25:26" x14ac:dyDescent="0.25">
      <c r="Y8817" s="63">
        <v>51350</v>
      </c>
      <c r="Z8817" s="61">
        <f>_xll.qlYieldTSDiscount($U$35,Y8817,,Trigger)</f>
        <v>0.68549814110855822</v>
      </c>
    </row>
    <row r="8818" spans="25:26" x14ac:dyDescent="0.25">
      <c r="Y8818" s="63">
        <v>51351</v>
      </c>
      <c r="Z8818" s="61">
        <f>_xll.qlYieldTSDiscount($U$35,Y8818,,Trigger)</f>
        <v>0.68545398258328194</v>
      </c>
    </row>
    <row r="8819" spans="25:26" x14ac:dyDescent="0.25">
      <c r="Y8819" s="63">
        <v>51352</v>
      </c>
      <c r="Z8819" s="61">
        <f>_xll.qlYieldTSDiscount($U$35,Y8819,,Trigger)</f>
        <v>0.68540982261398786</v>
      </c>
    </row>
    <row r="8820" spans="25:26" x14ac:dyDescent="0.25">
      <c r="Y8820" s="63">
        <v>51353</v>
      </c>
      <c r="Z8820" s="61">
        <f>_xll.qlYieldTSDiscount($U$35,Y8820,,Trigger)</f>
        <v>0.68536566120318942</v>
      </c>
    </row>
    <row r="8821" spans="25:26" x14ac:dyDescent="0.25">
      <c r="Y8821" s="63">
        <v>51354</v>
      </c>
      <c r="Z8821" s="61">
        <f>_xll.qlYieldTSDiscount($U$35,Y8821,,Trigger)</f>
        <v>0.68532149835340028</v>
      </c>
    </row>
    <row r="8822" spans="25:26" x14ac:dyDescent="0.25">
      <c r="Y8822" s="63">
        <v>51355</v>
      </c>
      <c r="Z8822" s="61">
        <f>_xll.qlYieldTSDiscount($U$35,Y8822,,Trigger)</f>
        <v>0.68527733406713387</v>
      </c>
    </row>
    <row r="8823" spans="25:26" x14ac:dyDescent="0.25">
      <c r="Y8823" s="63">
        <v>51356</v>
      </c>
      <c r="Z8823" s="61">
        <f>_xll.qlYieldTSDiscount($U$35,Y8823,,Trigger)</f>
        <v>0.68523316834690384</v>
      </c>
    </row>
    <row r="8824" spans="25:26" x14ac:dyDescent="0.25">
      <c r="Y8824" s="63">
        <v>51357</v>
      </c>
      <c r="Z8824" s="61">
        <f>_xll.qlYieldTSDiscount($U$35,Y8824,,Trigger)</f>
        <v>0.68518900119522375</v>
      </c>
    </row>
    <row r="8825" spans="25:26" x14ac:dyDescent="0.25">
      <c r="Y8825" s="63">
        <v>51358</v>
      </c>
      <c r="Z8825" s="61">
        <f>_xll.qlYieldTSDiscount($U$35,Y8825,,Trigger)</f>
        <v>0.68514483261460701</v>
      </c>
    </row>
    <row r="8826" spans="25:26" x14ac:dyDescent="0.25">
      <c r="Y8826" s="63">
        <v>51359</v>
      </c>
      <c r="Z8826" s="61">
        <f>_xll.qlYieldTSDiscount($U$35,Y8826,,Trigger)</f>
        <v>0.6851006626075673</v>
      </c>
    </row>
    <row r="8827" spans="25:26" x14ac:dyDescent="0.25">
      <c r="Y8827" s="63">
        <v>51360</v>
      </c>
      <c r="Z8827" s="61">
        <f>_xll.qlYieldTSDiscount($U$35,Y8827,,Trigger)</f>
        <v>0.68505649117661815</v>
      </c>
    </row>
    <row r="8828" spans="25:26" x14ac:dyDescent="0.25">
      <c r="Y8828" s="63">
        <v>51361</v>
      </c>
      <c r="Z8828" s="61">
        <f>_xll.qlYieldTSDiscount($U$35,Y8828,,Trigger)</f>
        <v>0.68501231832427312</v>
      </c>
    </row>
    <row r="8829" spans="25:26" x14ac:dyDescent="0.25">
      <c r="Y8829" s="63">
        <v>51362</v>
      </c>
      <c r="Z8829" s="61">
        <f>_xll.qlYieldTSDiscount($U$35,Y8829,,Trigger)</f>
        <v>0.68496814405304574</v>
      </c>
    </row>
    <row r="8830" spans="25:26" x14ac:dyDescent="0.25">
      <c r="Y8830" s="63">
        <v>51363</v>
      </c>
      <c r="Z8830" s="61">
        <f>_xll.qlYieldTSDiscount($U$35,Y8830,,Trigger)</f>
        <v>0.68492396836544944</v>
      </c>
    </row>
    <row r="8831" spans="25:26" x14ac:dyDescent="0.25">
      <c r="Y8831" s="63">
        <v>51364</v>
      </c>
      <c r="Z8831" s="61">
        <f>_xll.qlYieldTSDiscount($U$35,Y8831,,Trigger)</f>
        <v>0.68487979126399801</v>
      </c>
    </row>
    <row r="8832" spans="25:26" x14ac:dyDescent="0.25">
      <c r="Y8832" s="63">
        <v>51365</v>
      </c>
      <c r="Z8832" s="61">
        <f>_xll.qlYieldTSDiscount($U$35,Y8832,,Trigger)</f>
        <v>0.68483561275120486</v>
      </c>
    </row>
    <row r="8833" spans="25:26" x14ac:dyDescent="0.25">
      <c r="Y8833" s="63">
        <v>51366</v>
      </c>
      <c r="Z8833" s="61">
        <f>_xll.qlYieldTSDiscount($U$35,Y8833,,Trigger)</f>
        <v>0.68479143282958355</v>
      </c>
    </row>
    <row r="8834" spans="25:26" x14ac:dyDescent="0.25">
      <c r="Y8834" s="63">
        <v>51367</v>
      </c>
      <c r="Z8834" s="61">
        <f>_xll.qlYieldTSDiscount($U$35,Y8834,,Trigger)</f>
        <v>0.68474725150164772</v>
      </c>
    </row>
    <row r="8835" spans="25:26" x14ac:dyDescent="0.25">
      <c r="Y8835" s="63">
        <v>51368</v>
      </c>
      <c r="Z8835" s="61">
        <f>_xll.qlYieldTSDiscount($U$35,Y8835,,Trigger)</f>
        <v>0.68470306876991072</v>
      </c>
    </row>
    <row r="8836" spans="25:26" x14ac:dyDescent="0.25">
      <c r="Y8836" s="63">
        <v>51369</v>
      </c>
      <c r="Z8836" s="61">
        <f>_xll.qlYieldTSDiscount($U$35,Y8836,,Trigger)</f>
        <v>0.6846588846368864</v>
      </c>
    </row>
    <row r="8837" spans="25:26" x14ac:dyDescent="0.25">
      <c r="Y8837" s="63">
        <v>51370</v>
      </c>
      <c r="Z8837" s="61">
        <f>_xll.qlYieldTSDiscount($U$35,Y8837,,Trigger)</f>
        <v>0.68461469910508799</v>
      </c>
    </row>
    <row r="8838" spans="25:26" x14ac:dyDescent="0.25">
      <c r="Y8838" s="63">
        <v>51371</v>
      </c>
      <c r="Z8838" s="61">
        <f>_xll.qlYieldTSDiscount($U$35,Y8838,,Trigger)</f>
        <v>0.68457051217702924</v>
      </c>
    </row>
    <row r="8839" spans="25:26" x14ac:dyDescent="0.25">
      <c r="Y8839" s="63">
        <v>51372</v>
      </c>
      <c r="Z8839" s="61">
        <f>_xll.qlYieldTSDiscount($U$35,Y8839,,Trigger)</f>
        <v>0.68452632385522361</v>
      </c>
    </row>
    <row r="8840" spans="25:26" x14ac:dyDescent="0.25">
      <c r="Y8840" s="63">
        <v>51373</v>
      </c>
      <c r="Z8840" s="61">
        <f>_xll.qlYieldTSDiscount($U$35,Y8840,,Trigger)</f>
        <v>0.68448213414218473</v>
      </c>
    </row>
    <row r="8841" spans="25:26" x14ac:dyDescent="0.25">
      <c r="Y8841" s="63">
        <v>51374</v>
      </c>
      <c r="Z8841" s="61">
        <f>_xll.qlYieldTSDiscount($U$35,Y8841,,Trigger)</f>
        <v>0.68443794304042616</v>
      </c>
    </row>
    <row r="8842" spans="25:26" x14ac:dyDescent="0.25">
      <c r="Y8842" s="63">
        <v>51375</v>
      </c>
      <c r="Z8842" s="61">
        <f>_xll.qlYieldTSDiscount($U$35,Y8842,,Trigger)</f>
        <v>0.68439375055246132</v>
      </c>
    </row>
    <row r="8843" spans="25:26" x14ac:dyDescent="0.25">
      <c r="Y8843" s="63">
        <v>51376</v>
      </c>
      <c r="Z8843" s="61">
        <f>_xll.qlYieldTSDiscount($U$35,Y8843,,Trigger)</f>
        <v>0.68434955668080388</v>
      </c>
    </row>
    <row r="8844" spans="25:26" x14ac:dyDescent="0.25">
      <c r="Y8844" s="63">
        <v>51377</v>
      </c>
      <c r="Z8844" s="61">
        <f>_xll.qlYieldTSDiscount($U$35,Y8844,,Trigger)</f>
        <v>0.68430536142796738</v>
      </c>
    </row>
    <row r="8845" spans="25:26" x14ac:dyDescent="0.25">
      <c r="Y8845" s="63">
        <v>51378</v>
      </c>
      <c r="Z8845" s="61">
        <f>_xll.qlYieldTSDiscount($U$35,Y8845,,Trigger)</f>
        <v>0.68426116479646537</v>
      </c>
    </row>
    <row r="8846" spans="25:26" x14ac:dyDescent="0.25">
      <c r="Y8846" s="63">
        <v>51379</v>
      </c>
      <c r="Z8846" s="61">
        <f>_xll.qlYieldTSDiscount($U$35,Y8846,,Trigger)</f>
        <v>0.68421696678881128</v>
      </c>
    </row>
    <row r="8847" spans="25:26" x14ac:dyDescent="0.25">
      <c r="Y8847" s="63">
        <v>51380</v>
      </c>
      <c r="Z8847" s="61">
        <f>_xll.qlYieldTSDiscount($U$35,Y8847,,Trigger)</f>
        <v>0.68417276740751887</v>
      </c>
    </row>
    <row r="8848" spans="25:26" x14ac:dyDescent="0.25">
      <c r="Y8848" s="63">
        <v>51381</v>
      </c>
      <c r="Z8848" s="61">
        <f>_xll.qlYieldTSDiscount($U$35,Y8848,,Trigger)</f>
        <v>0.68412856665510158</v>
      </c>
    </row>
    <row r="8849" spans="25:26" x14ac:dyDescent="0.25">
      <c r="Y8849" s="63">
        <v>51382</v>
      </c>
      <c r="Z8849" s="61">
        <f>_xll.qlYieldTSDiscount($U$35,Y8849,,Trigger)</f>
        <v>0.68408436453407295</v>
      </c>
    </row>
    <row r="8850" spans="25:26" x14ac:dyDescent="0.25">
      <c r="Y8850" s="63">
        <v>51383</v>
      </c>
      <c r="Z8850" s="61">
        <f>_xll.qlYieldTSDiscount($U$35,Y8850,,Trigger)</f>
        <v>0.68404016104694654</v>
      </c>
    </row>
    <row r="8851" spans="25:26" x14ac:dyDescent="0.25">
      <c r="Y8851" s="63">
        <v>51384</v>
      </c>
      <c r="Z8851" s="61">
        <f>_xll.qlYieldTSDiscount($U$35,Y8851,,Trigger)</f>
        <v>0.68399595619623588</v>
      </c>
    </row>
    <row r="8852" spans="25:26" x14ac:dyDescent="0.25">
      <c r="Y8852" s="63">
        <v>51385</v>
      </c>
      <c r="Z8852" s="61">
        <f>_xll.qlYieldTSDiscount($U$35,Y8852,,Trigger)</f>
        <v>0.68395174998445452</v>
      </c>
    </row>
    <row r="8853" spans="25:26" x14ac:dyDescent="0.25">
      <c r="Y8853" s="63">
        <v>51386</v>
      </c>
      <c r="Z8853" s="61">
        <f>_xll.qlYieldTSDiscount($U$35,Y8853,,Trigger)</f>
        <v>0.68390754241411611</v>
      </c>
    </row>
    <row r="8854" spans="25:26" x14ac:dyDescent="0.25">
      <c r="Y8854" s="63">
        <v>51387</v>
      </c>
      <c r="Z8854" s="61">
        <f>_xll.qlYieldTSDiscount($U$35,Y8854,,Trigger)</f>
        <v>0.68386333348773409</v>
      </c>
    </row>
    <row r="8855" spans="25:26" x14ac:dyDescent="0.25">
      <c r="Y8855" s="63">
        <v>51388</v>
      </c>
      <c r="Z8855" s="61">
        <f>_xll.qlYieldTSDiscount($U$35,Y8855,,Trigger)</f>
        <v>0.68381912320782212</v>
      </c>
    </row>
    <row r="8856" spans="25:26" x14ac:dyDescent="0.25">
      <c r="Y8856" s="63">
        <v>51389</v>
      </c>
      <c r="Z8856" s="61">
        <f>_xll.qlYieldTSDiscount($U$35,Y8856,,Trigger)</f>
        <v>0.68377491157689352</v>
      </c>
    </row>
    <row r="8857" spans="25:26" x14ac:dyDescent="0.25">
      <c r="Y8857" s="63">
        <v>51390</v>
      </c>
      <c r="Z8857" s="61">
        <f>_xll.qlYieldTSDiscount($U$35,Y8857,,Trigger)</f>
        <v>0.68373069859746216</v>
      </c>
    </row>
    <row r="8858" spans="25:26" x14ac:dyDescent="0.25">
      <c r="Y8858" s="63">
        <v>51391</v>
      </c>
      <c r="Z8858" s="61">
        <f>_xll.qlYieldTSDiscount($U$35,Y8858,,Trigger)</f>
        <v>0.68368648427204137</v>
      </c>
    </row>
    <row r="8859" spans="25:26" x14ac:dyDescent="0.25">
      <c r="Y8859" s="63">
        <v>51392</v>
      </c>
      <c r="Z8859" s="61">
        <f>_xll.qlYieldTSDiscount($U$35,Y8859,,Trigger)</f>
        <v>0.68364226860314481</v>
      </c>
    </row>
    <row r="8860" spans="25:26" x14ac:dyDescent="0.25">
      <c r="Y8860" s="63">
        <v>51393</v>
      </c>
      <c r="Z8860" s="61">
        <f>_xll.qlYieldTSDiscount($U$35,Y8860,,Trigger)</f>
        <v>0.68359805159328602</v>
      </c>
    </row>
    <row r="8861" spans="25:26" x14ac:dyDescent="0.25">
      <c r="Y8861" s="63">
        <v>51394</v>
      </c>
      <c r="Z8861" s="61">
        <f>_xll.qlYieldTSDiscount($U$35,Y8861,,Trigger)</f>
        <v>0.68355383324497843</v>
      </c>
    </row>
    <row r="8862" spans="25:26" x14ac:dyDescent="0.25">
      <c r="Y8862" s="63">
        <v>51395</v>
      </c>
      <c r="Z8862" s="61">
        <f>_xll.qlYieldTSDiscount($U$35,Y8862,,Trigger)</f>
        <v>0.6835096135607357</v>
      </c>
    </row>
    <row r="8863" spans="25:26" x14ac:dyDescent="0.25">
      <c r="Y8863" s="63">
        <v>51396</v>
      </c>
      <c r="Z8863" s="61">
        <f>_xll.qlYieldTSDiscount($U$35,Y8863,,Trigger)</f>
        <v>0.68346539254307148</v>
      </c>
    </row>
    <row r="8864" spans="25:26" x14ac:dyDescent="0.25">
      <c r="Y8864" s="63">
        <v>51397</v>
      </c>
      <c r="Z8864" s="61">
        <f>_xll.qlYieldTSDiscount($U$35,Y8864,,Trigger)</f>
        <v>0.68342117019449899</v>
      </c>
    </row>
    <row r="8865" spans="25:26" x14ac:dyDescent="0.25">
      <c r="Y8865" s="63">
        <v>51398</v>
      </c>
      <c r="Z8865" s="61">
        <f>_xll.qlYieldTSDiscount($U$35,Y8865,,Trigger)</f>
        <v>0.68337694651753222</v>
      </c>
    </row>
    <row r="8866" spans="25:26" x14ac:dyDescent="0.25">
      <c r="Y8866" s="63">
        <v>51399</v>
      </c>
      <c r="Z8866" s="61">
        <f>_xll.qlYieldTSDiscount($U$35,Y8866,,Trigger)</f>
        <v>0.68333272151468438</v>
      </c>
    </row>
    <row r="8867" spans="25:26" x14ac:dyDescent="0.25">
      <c r="Y8867" s="63">
        <v>51400</v>
      </c>
      <c r="Z8867" s="61">
        <f>_xll.qlYieldTSDiscount($U$35,Y8867,,Trigger)</f>
        <v>0.68328849518846912</v>
      </c>
    </row>
    <row r="8868" spans="25:26" x14ac:dyDescent="0.25">
      <c r="Y8868" s="63">
        <v>51401</v>
      </c>
      <c r="Z8868" s="61">
        <f>_xll.qlYieldTSDiscount($U$35,Y8868,,Trigger)</f>
        <v>0.68324426754140011</v>
      </c>
    </row>
    <row r="8869" spans="25:26" x14ac:dyDescent="0.25">
      <c r="Y8869" s="63">
        <v>51402</v>
      </c>
      <c r="Z8869" s="61">
        <f>_xll.qlYieldTSDiscount($U$35,Y8869,,Trigger)</f>
        <v>0.68320003857599065</v>
      </c>
    </row>
    <row r="8870" spans="25:26" x14ac:dyDescent="0.25">
      <c r="Y8870" s="63">
        <v>51403</v>
      </c>
      <c r="Z8870" s="61">
        <f>_xll.qlYieldTSDiscount($U$35,Y8870,,Trigger)</f>
        <v>0.68315580829475453</v>
      </c>
    </row>
    <row r="8871" spans="25:26" x14ac:dyDescent="0.25">
      <c r="Y8871" s="63">
        <v>51404</v>
      </c>
      <c r="Z8871" s="61">
        <f>_xll.qlYieldTSDiscount($U$35,Y8871,,Trigger)</f>
        <v>0.68311157670020517</v>
      </c>
    </row>
    <row r="8872" spans="25:26" x14ac:dyDescent="0.25">
      <c r="Y8872" s="63">
        <v>51405</v>
      </c>
      <c r="Z8872" s="61">
        <f>_xll.qlYieldTSDiscount($U$35,Y8872,,Trigger)</f>
        <v>0.68306734379485623</v>
      </c>
    </row>
    <row r="8873" spans="25:26" x14ac:dyDescent="0.25">
      <c r="Y8873" s="63">
        <v>51406</v>
      </c>
      <c r="Z8873" s="61">
        <f>_xll.qlYieldTSDiscount($U$35,Y8873,,Trigger)</f>
        <v>0.68302310958122114</v>
      </c>
    </row>
    <row r="8874" spans="25:26" x14ac:dyDescent="0.25">
      <c r="Y8874" s="63">
        <v>51407</v>
      </c>
      <c r="Z8874" s="61">
        <f>_xll.qlYieldTSDiscount($U$35,Y8874,,Trigger)</f>
        <v>0.68297887406181357</v>
      </c>
    </row>
    <row r="8875" spans="25:26" x14ac:dyDescent="0.25">
      <c r="Y8875" s="63">
        <v>51408</v>
      </c>
      <c r="Z8875" s="61">
        <f>_xll.qlYieldTSDiscount($U$35,Y8875,,Trigger)</f>
        <v>0.68293463723914694</v>
      </c>
    </row>
    <row r="8876" spans="25:26" x14ac:dyDescent="0.25">
      <c r="Y8876" s="63">
        <v>51409</v>
      </c>
      <c r="Z8876" s="61">
        <f>_xll.qlYieldTSDiscount($U$35,Y8876,,Trigger)</f>
        <v>0.6828903991157349</v>
      </c>
    </row>
    <row r="8877" spans="25:26" x14ac:dyDescent="0.25">
      <c r="Y8877" s="63">
        <v>51410</v>
      </c>
      <c r="Z8877" s="61">
        <f>_xll.qlYieldTSDiscount($U$35,Y8877,,Trigger)</f>
        <v>0.68284615969409101</v>
      </c>
    </row>
    <row r="8878" spans="25:26" x14ac:dyDescent="0.25">
      <c r="Y8878" s="63">
        <v>51411</v>
      </c>
      <c r="Z8878" s="61">
        <f>_xll.qlYieldTSDiscount($U$35,Y8878,,Trigger)</f>
        <v>0.68280191897672871</v>
      </c>
    </row>
    <row r="8879" spans="25:26" x14ac:dyDescent="0.25">
      <c r="Y8879" s="63">
        <v>51412</v>
      </c>
      <c r="Z8879" s="61">
        <f>_xll.qlYieldTSDiscount($U$35,Y8879,,Trigger)</f>
        <v>0.68275767696616174</v>
      </c>
    </row>
    <row r="8880" spans="25:26" x14ac:dyDescent="0.25">
      <c r="Y8880" s="63">
        <v>51413</v>
      </c>
      <c r="Z8880" s="61">
        <f>_xll.qlYieldTSDiscount($U$35,Y8880,,Trigger)</f>
        <v>0.68271343366490345</v>
      </c>
    </row>
    <row r="8881" spans="25:26" x14ac:dyDescent="0.25">
      <c r="Y8881" s="63">
        <v>51414</v>
      </c>
      <c r="Z8881" s="61">
        <f>_xll.qlYieldTSDiscount($U$35,Y8881,,Trigger)</f>
        <v>0.68266918907546748</v>
      </c>
    </row>
    <row r="8882" spans="25:26" x14ac:dyDescent="0.25">
      <c r="Y8882" s="63">
        <v>51415</v>
      </c>
      <c r="Z8882" s="61">
        <f>_xll.qlYieldTSDiscount($U$35,Y8882,,Trigger)</f>
        <v>0.68262494320036737</v>
      </c>
    </row>
    <row r="8883" spans="25:26" x14ac:dyDescent="0.25">
      <c r="Y8883" s="63">
        <v>51416</v>
      </c>
      <c r="Z8883" s="61">
        <f>_xll.qlYieldTSDiscount($U$35,Y8883,,Trigger)</f>
        <v>0.68258069604211657</v>
      </c>
    </row>
    <row r="8884" spans="25:26" x14ac:dyDescent="0.25">
      <c r="Y8884" s="63">
        <v>51417</v>
      </c>
      <c r="Z8884" s="61">
        <f>_xll.qlYieldTSDiscount($U$35,Y8884,,Trigger)</f>
        <v>0.68253644760322896</v>
      </c>
    </row>
    <row r="8885" spans="25:26" x14ac:dyDescent="0.25">
      <c r="Y8885" s="63">
        <v>51418</v>
      </c>
      <c r="Z8885" s="61">
        <f>_xll.qlYieldTSDiscount($U$35,Y8885,,Trigger)</f>
        <v>0.68249219788621773</v>
      </c>
    </row>
    <row r="8886" spans="25:26" x14ac:dyDescent="0.25">
      <c r="Y8886" s="63">
        <v>51419</v>
      </c>
      <c r="Z8886" s="61">
        <f>_xll.qlYieldTSDiscount($U$35,Y8886,,Trigger)</f>
        <v>0.68244794689359656</v>
      </c>
    </row>
    <row r="8887" spans="25:26" x14ac:dyDescent="0.25">
      <c r="Y8887" s="63">
        <v>51420</v>
      </c>
      <c r="Z8887" s="61">
        <f>_xll.qlYieldTSDiscount($U$35,Y8887,,Trigger)</f>
        <v>0.68240369462787909</v>
      </c>
    </row>
    <row r="8888" spans="25:26" x14ac:dyDescent="0.25">
      <c r="Y8888" s="63">
        <v>51421</v>
      </c>
      <c r="Z8888" s="61">
        <f>_xll.qlYieldTSDiscount($U$35,Y8888,,Trigger)</f>
        <v>0.68235944109157876</v>
      </c>
    </row>
    <row r="8889" spans="25:26" x14ac:dyDescent="0.25">
      <c r="Y8889" s="63">
        <v>51422</v>
      </c>
      <c r="Z8889" s="61">
        <f>_xll.qlYieldTSDiscount($U$35,Y8889,,Trigger)</f>
        <v>0.68231518628720922</v>
      </c>
    </row>
    <row r="8890" spans="25:26" x14ac:dyDescent="0.25">
      <c r="Y8890" s="63">
        <v>51423</v>
      </c>
      <c r="Z8890" s="61">
        <f>_xll.qlYieldTSDiscount($U$35,Y8890,,Trigger)</f>
        <v>0.68227093021728391</v>
      </c>
    </row>
    <row r="8891" spans="25:26" x14ac:dyDescent="0.25">
      <c r="Y8891" s="63">
        <v>51424</v>
      </c>
      <c r="Z8891" s="61">
        <f>_xll.qlYieldTSDiscount($U$35,Y8891,,Trigger)</f>
        <v>0.68222667288431638</v>
      </c>
    </row>
    <row r="8892" spans="25:26" x14ac:dyDescent="0.25">
      <c r="Y8892" s="63">
        <v>51425</v>
      </c>
      <c r="Z8892" s="61">
        <f>_xll.qlYieldTSDiscount($U$35,Y8892,,Trigger)</f>
        <v>0.68218241429082027</v>
      </c>
    </row>
    <row r="8893" spans="25:26" x14ac:dyDescent="0.25">
      <c r="Y8893" s="63">
        <v>51426</v>
      </c>
      <c r="Z8893" s="61">
        <f>_xll.qlYieldTSDiscount($U$35,Y8893,,Trigger)</f>
        <v>0.68213815443930903</v>
      </c>
    </row>
    <row r="8894" spans="25:26" x14ac:dyDescent="0.25">
      <c r="Y8894" s="63">
        <v>51427</v>
      </c>
      <c r="Z8894" s="61">
        <f>_xll.qlYieldTSDiscount($U$35,Y8894,,Trigger)</f>
        <v>0.68209389333229642</v>
      </c>
    </row>
    <row r="8895" spans="25:26" x14ac:dyDescent="0.25">
      <c r="Y8895" s="63">
        <v>51428</v>
      </c>
      <c r="Z8895" s="61">
        <f>_xll.qlYieldTSDiscount($U$35,Y8895,,Trigger)</f>
        <v>0.68204963097229576</v>
      </c>
    </row>
    <row r="8896" spans="25:26" x14ac:dyDescent="0.25">
      <c r="Y8896" s="63">
        <v>51429</v>
      </c>
      <c r="Z8896" s="61">
        <f>_xll.qlYieldTSDiscount($U$35,Y8896,,Trigger)</f>
        <v>0.6820053673618206</v>
      </c>
    </row>
    <row r="8897" spans="25:26" x14ac:dyDescent="0.25">
      <c r="Y8897" s="63">
        <v>51430</v>
      </c>
      <c r="Z8897" s="61">
        <f>_xll.qlYieldTSDiscount($U$35,Y8897,,Trigger)</f>
        <v>0.68196110250338471</v>
      </c>
    </row>
    <row r="8898" spans="25:26" x14ac:dyDescent="0.25">
      <c r="Y8898" s="63">
        <v>51431</v>
      </c>
      <c r="Z8898" s="61">
        <f>_xll.qlYieldTSDiscount($U$35,Y8898,,Trigger)</f>
        <v>0.6819168363995014</v>
      </c>
    </row>
    <row r="8899" spans="25:26" x14ac:dyDescent="0.25">
      <c r="Y8899" s="63">
        <v>51432</v>
      </c>
      <c r="Z8899" s="61">
        <f>_xll.qlYieldTSDiscount($U$35,Y8899,,Trigger)</f>
        <v>0.68187256905268445</v>
      </c>
    </row>
    <row r="8900" spans="25:26" x14ac:dyDescent="0.25">
      <c r="Y8900" s="63">
        <v>51433</v>
      </c>
      <c r="Z8900" s="61">
        <f>_xll.qlYieldTSDiscount($U$35,Y8900,,Trigger)</f>
        <v>0.68182830046544718</v>
      </c>
    </row>
    <row r="8901" spans="25:26" x14ac:dyDescent="0.25">
      <c r="Y8901" s="63">
        <v>51434</v>
      </c>
      <c r="Z8901" s="61">
        <f>_xll.qlYieldTSDiscount($U$35,Y8901,,Trigger)</f>
        <v>0.68178403064030335</v>
      </c>
    </row>
    <row r="8902" spans="25:26" x14ac:dyDescent="0.25">
      <c r="Y8902" s="63">
        <v>51435</v>
      </c>
      <c r="Z8902" s="61">
        <f>_xll.qlYieldTSDiscount($U$35,Y8902,,Trigger)</f>
        <v>0.68173975957976629</v>
      </c>
    </row>
    <row r="8903" spans="25:26" x14ac:dyDescent="0.25">
      <c r="Y8903" s="63">
        <v>51436</v>
      </c>
      <c r="Z8903" s="61">
        <f>_xll.qlYieldTSDiscount($U$35,Y8903,,Trigger)</f>
        <v>0.68169548728634977</v>
      </c>
    </row>
    <row r="8904" spans="25:26" x14ac:dyDescent="0.25">
      <c r="Y8904" s="63">
        <v>51437</v>
      </c>
      <c r="Z8904" s="61">
        <f>_xll.qlYieldTSDiscount($U$35,Y8904,,Trigger)</f>
        <v>0.68165121376256721</v>
      </c>
    </row>
    <row r="8905" spans="25:26" x14ac:dyDescent="0.25">
      <c r="Y8905" s="63">
        <v>51438</v>
      </c>
      <c r="Z8905" s="61">
        <f>_xll.qlYieldTSDiscount($U$35,Y8905,,Trigger)</f>
        <v>0.68160693901093228</v>
      </c>
    </row>
    <row r="8906" spans="25:26" x14ac:dyDescent="0.25">
      <c r="Y8906" s="63">
        <v>51439</v>
      </c>
      <c r="Z8906" s="61">
        <f>_xll.qlYieldTSDiscount($U$35,Y8906,,Trigger)</f>
        <v>0.68156266303395829</v>
      </c>
    </row>
    <row r="8907" spans="25:26" x14ac:dyDescent="0.25">
      <c r="Y8907" s="63">
        <v>51440</v>
      </c>
      <c r="Z8907" s="61">
        <f>_xll.qlYieldTSDiscount($U$35,Y8907,,Trigger)</f>
        <v>0.68151838583415902</v>
      </c>
    </row>
    <row r="8908" spans="25:26" x14ac:dyDescent="0.25">
      <c r="Y8908" s="63">
        <v>51441</v>
      </c>
      <c r="Z8908" s="61">
        <f>_xll.qlYieldTSDiscount($U$35,Y8908,,Trigger)</f>
        <v>0.68147410741404801</v>
      </c>
    </row>
    <row r="8909" spans="25:26" x14ac:dyDescent="0.25">
      <c r="Y8909" s="63">
        <v>51442</v>
      </c>
      <c r="Z8909" s="61">
        <f>_xll.qlYieldTSDiscount($U$35,Y8909,,Trigger)</f>
        <v>0.6814298277761387</v>
      </c>
    </row>
    <row r="8910" spans="25:26" x14ac:dyDescent="0.25">
      <c r="Y8910" s="63">
        <v>51443</v>
      </c>
      <c r="Z8910" s="61">
        <f>_xll.qlYieldTSDiscount($U$35,Y8910,,Trigger)</f>
        <v>0.68138554692294473</v>
      </c>
    </row>
    <row r="8911" spans="25:26" x14ac:dyDescent="0.25">
      <c r="Y8911" s="63">
        <v>51444</v>
      </c>
      <c r="Z8911" s="61">
        <f>_xll.qlYieldTSDiscount($U$35,Y8911,,Trigger)</f>
        <v>0.68134126485697954</v>
      </c>
    </row>
    <row r="8912" spans="25:26" x14ac:dyDescent="0.25">
      <c r="Y8912" s="63">
        <v>51445</v>
      </c>
      <c r="Z8912" s="61">
        <f>_xll.qlYieldTSDiscount($U$35,Y8912,,Trigger)</f>
        <v>0.6812969815807568</v>
      </c>
    </row>
    <row r="8913" spans="25:26" x14ac:dyDescent="0.25">
      <c r="Y8913" s="63">
        <v>51446</v>
      </c>
      <c r="Z8913" s="61">
        <f>_xll.qlYieldTSDiscount($U$35,Y8913,,Trigger)</f>
        <v>0.68125269709679004</v>
      </c>
    </row>
    <row r="8914" spans="25:26" x14ac:dyDescent="0.25">
      <c r="Y8914" s="63">
        <v>51447</v>
      </c>
      <c r="Z8914" s="61">
        <f>_xll.qlYieldTSDiscount($U$35,Y8914,,Trigger)</f>
        <v>0.6812084114075927</v>
      </c>
    </row>
    <row r="8915" spans="25:26" x14ac:dyDescent="0.25">
      <c r="Y8915" s="63">
        <v>51448</v>
      </c>
      <c r="Z8915" s="61">
        <f>_xll.qlYieldTSDiscount($U$35,Y8915,,Trigger)</f>
        <v>0.68116412451567854</v>
      </c>
    </row>
    <row r="8916" spans="25:26" x14ac:dyDescent="0.25">
      <c r="Y8916" s="63">
        <v>51449</v>
      </c>
      <c r="Z8916" s="61">
        <f>_xll.qlYieldTSDiscount($U$35,Y8916,,Trigger)</f>
        <v>0.68111983642356089</v>
      </c>
    </row>
    <row r="8917" spans="25:26" x14ac:dyDescent="0.25">
      <c r="Y8917" s="63">
        <v>51450</v>
      </c>
      <c r="Z8917" s="61">
        <f>_xll.qlYieldTSDiscount($U$35,Y8917,,Trigger)</f>
        <v>0.6810755471337534</v>
      </c>
    </row>
    <row r="8918" spans="25:26" x14ac:dyDescent="0.25">
      <c r="Y8918" s="63">
        <v>51451</v>
      </c>
      <c r="Z8918" s="61">
        <f>_xll.qlYieldTSDiscount($U$35,Y8918,,Trigger)</f>
        <v>0.68103125664876973</v>
      </c>
    </row>
    <row r="8919" spans="25:26" x14ac:dyDescent="0.25">
      <c r="Y8919" s="63">
        <v>51452</v>
      </c>
      <c r="Z8919" s="61">
        <f>_xll.qlYieldTSDiscount($U$35,Y8919,,Trigger)</f>
        <v>0.68098696497112332</v>
      </c>
    </row>
    <row r="8920" spans="25:26" x14ac:dyDescent="0.25">
      <c r="Y8920" s="63">
        <v>51453</v>
      </c>
      <c r="Z8920" s="61">
        <f>_xll.qlYieldTSDiscount($U$35,Y8920,,Trigger)</f>
        <v>0.6809426721033276</v>
      </c>
    </row>
    <row r="8921" spans="25:26" x14ac:dyDescent="0.25">
      <c r="Y8921" s="63">
        <v>51454</v>
      </c>
      <c r="Z8921" s="61">
        <f>_xll.qlYieldTSDiscount($U$35,Y8921,,Trigger)</f>
        <v>0.68089837804789632</v>
      </c>
    </row>
    <row r="8922" spans="25:26" x14ac:dyDescent="0.25">
      <c r="Y8922" s="63">
        <v>51455</v>
      </c>
      <c r="Z8922" s="61">
        <f>_xll.qlYieldTSDiscount($U$35,Y8922,,Trigger)</f>
        <v>0.68085408280734294</v>
      </c>
    </row>
    <row r="8923" spans="25:26" x14ac:dyDescent="0.25">
      <c r="Y8923" s="63">
        <v>51456</v>
      </c>
      <c r="Z8923" s="61">
        <f>_xll.qlYieldTSDiscount($U$35,Y8923,,Trigger)</f>
        <v>0.68080978638418099</v>
      </c>
    </row>
    <row r="8924" spans="25:26" x14ac:dyDescent="0.25">
      <c r="Y8924" s="63">
        <v>51457</v>
      </c>
      <c r="Z8924" s="61">
        <f>_xll.qlYieldTSDiscount($U$35,Y8924,,Trigger)</f>
        <v>0.68076548878092424</v>
      </c>
    </row>
    <row r="8925" spans="25:26" x14ac:dyDescent="0.25">
      <c r="Y8925" s="63">
        <v>51458</v>
      </c>
      <c r="Z8925" s="61">
        <f>_xll.qlYieldTSDiscount($U$35,Y8925,,Trigger)</f>
        <v>0.6807211900000858</v>
      </c>
    </row>
    <row r="8926" spans="25:26" x14ac:dyDescent="0.25">
      <c r="Y8926" s="63">
        <v>51459</v>
      </c>
      <c r="Z8926" s="61">
        <f>_xll.qlYieldTSDiscount($U$35,Y8926,,Trigger)</f>
        <v>0.68067689004417964</v>
      </c>
    </row>
    <row r="8927" spans="25:26" x14ac:dyDescent="0.25">
      <c r="Y8927" s="63">
        <v>51460</v>
      </c>
      <c r="Z8927" s="61">
        <f>_xll.qlYieldTSDiscount($U$35,Y8927,,Trigger)</f>
        <v>0.68063258891571921</v>
      </c>
    </row>
    <row r="8928" spans="25:26" x14ac:dyDescent="0.25">
      <c r="Y8928" s="63">
        <v>51461</v>
      </c>
      <c r="Z8928" s="61">
        <f>_xll.qlYieldTSDiscount($U$35,Y8928,,Trigger)</f>
        <v>0.68058828661721793</v>
      </c>
    </row>
    <row r="8929" spans="25:26" x14ac:dyDescent="0.25">
      <c r="Y8929" s="63">
        <v>51462</v>
      </c>
      <c r="Z8929" s="61">
        <f>_xll.qlYieldTSDiscount($U$35,Y8929,,Trigger)</f>
        <v>0.68054398315118936</v>
      </c>
    </row>
    <row r="8930" spans="25:26" x14ac:dyDescent="0.25">
      <c r="Y8930" s="63">
        <v>51463</v>
      </c>
      <c r="Z8930" s="61">
        <f>_xll.qlYieldTSDiscount($U$35,Y8930,,Trigger)</f>
        <v>0.68049967852014714</v>
      </c>
    </row>
    <row r="8931" spans="25:26" x14ac:dyDescent="0.25">
      <c r="Y8931" s="63">
        <v>51464</v>
      </c>
      <c r="Z8931" s="61">
        <f>_xll.qlYieldTSDiscount($U$35,Y8931,,Trigger)</f>
        <v>0.68045537272660495</v>
      </c>
    </row>
    <row r="8932" spans="25:26" x14ac:dyDescent="0.25">
      <c r="Y8932" s="63">
        <v>51465</v>
      </c>
      <c r="Z8932" s="61">
        <f>_xll.qlYieldTSDiscount($U$35,Y8932,,Trigger)</f>
        <v>0.68041106577307608</v>
      </c>
    </row>
    <row r="8933" spans="25:26" x14ac:dyDescent="0.25">
      <c r="Y8933" s="63">
        <v>51466</v>
      </c>
      <c r="Z8933" s="61">
        <f>_xll.qlYieldTSDiscount($U$35,Y8933,,Trigger)</f>
        <v>0.68036675766207411</v>
      </c>
    </row>
    <row r="8934" spans="25:26" x14ac:dyDescent="0.25">
      <c r="Y8934" s="63">
        <v>51467</v>
      </c>
      <c r="Z8934" s="61">
        <f>_xll.qlYieldTSDiscount($U$35,Y8934,,Trigger)</f>
        <v>0.68032244839611278</v>
      </c>
    </row>
    <row r="8935" spans="25:26" x14ac:dyDescent="0.25">
      <c r="Y8935" s="63">
        <v>51468</v>
      </c>
      <c r="Z8935" s="61">
        <f>_xll.qlYieldTSDiscount($U$35,Y8935,,Trigger)</f>
        <v>0.68027813797770553</v>
      </c>
    </row>
    <row r="8936" spans="25:26" x14ac:dyDescent="0.25">
      <c r="Y8936" s="63">
        <v>51469</v>
      </c>
      <c r="Z8936" s="61">
        <f>_xll.qlYieldTSDiscount($U$35,Y8936,,Trigger)</f>
        <v>0.68023382640936592</v>
      </c>
    </row>
    <row r="8937" spans="25:26" x14ac:dyDescent="0.25">
      <c r="Y8937" s="63">
        <v>51470</v>
      </c>
      <c r="Z8937" s="61">
        <f>_xll.qlYieldTSDiscount($U$35,Y8937,,Trigger)</f>
        <v>0.68018951369360747</v>
      </c>
    </row>
    <row r="8938" spans="25:26" x14ac:dyDescent="0.25">
      <c r="Y8938" s="63">
        <v>51471</v>
      </c>
      <c r="Z8938" s="61">
        <f>_xll.qlYieldTSDiscount($U$35,Y8938,,Trigger)</f>
        <v>0.68014519983294375</v>
      </c>
    </row>
    <row r="8939" spans="25:26" x14ac:dyDescent="0.25">
      <c r="Y8939" s="63">
        <v>51472</v>
      </c>
      <c r="Z8939" s="61">
        <f>_xll.qlYieldTSDiscount($U$35,Y8939,,Trigger)</f>
        <v>0.6801008848298884</v>
      </c>
    </row>
    <row r="8940" spans="25:26" x14ac:dyDescent="0.25">
      <c r="Y8940" s="63">
        <v>51473</v>
      </c>
      <c r="Z8940" s="61">
        <f>_xll.qlYieldTSDiscount($U$35,Y8940,,Trigger)</f>
        <v>0.68005656868695485</v>
      </c>
    </row>
    <row r="8941" spans="25:26" x14ac:dyDescent="0.25">
      <c r="Y8941" s="63">
        <v>51474</v>
      </c>
      <c r="Z8941" s="61">
        <f>_xll.qlYieldTSDiscount($U$35,Y8941,,Trigger)</f>
        <v>0.68001225140665666</v>
      </c>
    </row>
    <row r="8942" spans="25:26" x14ac:dyDescent="0.25">
      <c r="Y8942" s="63">
        <v>51475</v>
      </c>
      <c r="Z8942" s="61">
        <f>_xll.qlYieldTSDiscount($U$35,Y8942,,Trigger)</f>
        <v>0.67996793299150737</v>
      </c>
    </row>
    <row r="8943" spans="25:26" x14ac:dyDescent="0.25">
      <c r="Y8943" s="63">
        <v>51476</v>
      </c>
      <c r="Z8943" s="61">
        <f>_xll.qlYieldTSDiscount($U$35,Y8943,,Trigger)</f>
        <v>0.67992361344402064</v>
      </c>
    </row>
    <row r="8944" spans="25:26" x14ac:dyDescent="0.25">
      <c r="Y8944" s="63">
        <v>51477</v>
      </c>
      <c r="Z8944" s="61">
        <f>_xll.qlYieldTSDiscount($U$35,Y8944,,Trigger)</f>
        <v>0.67987929276671</v>
      </c>
    </row>
    <row r="8945" spans="25:26" x14ac:dyDescent="0.25">
      <c r="Y8945" s="63">
        <v>51478</v>
      </c>
      <c r="Z8945" s="61">
        <f>_xll.qlYieldTSDiscount($U$35,Y8945,,Trigger)</f>
        <v>0.67983497096208889</v>
      </c>
    </row>
    <row r="8946" spans="25:26" x14ac:dyDescent="0.25">
      <c r="Y8946" s="63">
        <v>51479</v>
      </c>
      <c r="Z8946" s="61">
        <f>_xll.qlYieldTSDiscount($U$35,Y8946,,Trigger)</f>
        <v>0.67979064803267086</v>
      </c>
    </row>
    <row r="8947" spans="25:26" x14ac:dyDescent="0.25">
      <c r="Y8947" s="63">
        <v>51480</v>
      </c>
      <c r="Z8947" s="61">
        <f>_xll.qlYieldTSDiscount($U$35,Y8947,,Trigger)</f>
        <v>0.67974632398096968</v>
      </c>
    </row>
    <row r="8948" spans="25:26" x14ac:dyDescent="0.25">
      <c r="Y8948" s="63">
        <v>51481</v>
      </c>
      <c r="Z8948" s="61">
        <f>_xll.qlYieldTSDiscount($U$35,Y8948,,Trigger)</f>
        <v>0.67970199880949866</v>
      </c>
    </row>
    <row r="8949" spans="25:26" x14ac:dyDescent="0.25">
      <c r="Y8949" s="63">
        <v>51482</v>
      </c>
      <c r="Z8949" s="61">
        <f>_xll.qlYieldTSDiscount($U$35,Y8949,,Trigger)</f>
        <v>0.67965767252077147</v>
      </c>
    </row>
    <row r="8950" spans="25:26" x14ac:dyDescent="0.25">
      <c r="Y8950" s="63">
        <v>51483</v>
      </c>
      <c r="Z8950" s="61">
        <f>_xll.qlYieldTSDiscount($U$35,Y8950,,Trigger)</f>
        <v>0.67961334511730165</v>
      </c>
    </row>
    <row r="8951" spans="25:26" x14ac:dyDescent="0.25">
      <c r="Y8951" s="63">
        <v>51484</v>
      </c>
      <c r="Z8951" s="61">
        <f>_xll.qlYieldTSDiscount($U$35,Y8951,,Trigger)</f>
        <v>0.67956901660160274</v>
      </c>
    </row>
    <row r="8952" spans="25:26" x14ac:dyDescent="0.25">
      <c r="Y8952" s="63">
        <v>51485</v>
      </c>
      <c r="Z8952" s="61">
        <f>_xll.qlYieldTSDiscount($U$35,Y8952,,Trigger)</f>
        <v>0.67952468697618829</v>
      </c>
    </row>
    <row r="8953" spans="25:26" x14ac:dyDescent="0.25">
      <c r="Y8953" s="63">
        <v>51486</v>
      </c>
      <c r="Z8953" s="61">
        <f>_xll.qlYieldTSDiscount($U$35,Y8953,,Trigger)</f>
        <v>0.67948035624357184</v>
      </c>
    </row>
    <row r="8954" spans="25:26" x14ac:dyDescent="0.25">
      <c r="Y8954" s="63">
        <v>51487</v>
      </c>
      <c r="Z8954" s="61">
        <f>_xll.qlYieldTSDiscount($U$35,Y8954,,Trigger)</f>
        <v>0.67943602440626683</v>
      </c>
    </row>
    <row r="8955" spans="25:26" x14ac:dyDescent="0.25">
      <c r="Y8955" s="63">
        <v>51488</v>
      </c>
      <c r="Z8955" s="61">
        <f>_xll.qlYieldTSDiscount($U$35,Y8955,,Trigger)</f>
        <v>0.67939169146678702</v>
      </c>
    </row>
    <row r="8956" spans="25:26" x14ac:dyDescent="0.25">
      <c r="Y8956" s="63">
        <v>51489</v>
      </c>
      <c r="Z8956" s="61">
        <f>_xll.qlYieldTSDiscount($U$35,Y8956,,Trigger)</f>
        <v>0.67934735742764596</v>
      </c>
    </row>
    <row r="8957" spans="25:26" x14ac:dyDescent="0.25">
      <c r="Y8957" s="63">
        <v>51490</v>
      </c>
      <c r="Z8957" s="61">
        <f>_xll.qlYieldTSDiscount($U$35,Y8957,,Trigger)</f>
        <v>0.67930302229135697</v>
      </c>
    </row>
    <row r="8958" spans="25:26" x14ac:dyDescent="0.25">
      <c r="Y8958" s="63">
        <v>51491</v>
      </c>
      <c r="Z8958" s="61">
        <f>_xll.qlYieldTSDiscount($U$35,Y8958,,Trigger)</f>
        <v>0.67925868606043383</v>
      </c>
    </row>
    <row r="8959" spans="25:26" x14ac:dyDescent="0.25">
      <c r="Y8959" s="63">
        <v>51492</v>
      </c>
      <c r="Z8959" s="61">
        <f>_xll.qlYieldTSDiscount($U$35,Y8959,,Trigger)</f>
        <v>0.67921434873738995</v>
      </c>
    </row>
    <row r="8960" spans="25:26" x14ac:dyDescent="0.25">
      <c r="Y8960" s="63">
        <v>51493</v>
      </c>
      <c r="Z8960" s="61">
        <f>_xll.qlYieldTSDiscount($U$35,Y8960,,Trigger)</f>
        <v>0.679170010324739</v>
      </c>
    </row>
    <row r="8961" spans="25:26" x14ac:dyDescent="0.25">
      <c r="Y8961" s="63">
        <v>51494</v>
      </c>
      <c r="Z8961" s="61">
        <f>_xll.qlYieldTSDiscount($U$35,Y8961,,Trigger)</f>
        <v>0.67912567082499453</v>
      </c>
    </row>
    <row r="8962" spans="25:26" x14ac:dyDescent="0.25">
      <c r="Y8962" s="63">
        <v>51495</v>
      </c>
      <c r="Z8962" s="61">
        <f>_xll.qlYieldTSDiscount($U$35,Y8962,,Trigger)</f>
        <v>0.67908133024066986</v>
      </c>
    </row>
    <row r="8963" spans="25:26" x14ac:dyDescent="0.25">
      <c r="Y8963" s="63">
        <v>51496</v>
      </c>
      <c r="Z8963" s="61">
        <f>_xll.qlYieldTSDiscount($U$35,Y8963,,Trigger)</f>
        <v>0.67903698857427885</v>
      </c>
    </row>
    <row r="8964" spans="25:26" x14ac:dyDescent="0.25">
      <c r="Y8964" s="63">
        <v>51497</v>
      </c>
      <c r="Z8964" s="61">
        <f>_xll.qlYieldTSDiscount($U$35,Y8964,,Trigger)</f>
        <v>0.67899264582833485</v>
      </c>
    </row>
    <row r="8965" spans="25:26" x14ac:dyDescent="0.25">
      <c r="Y8965" s="63">
        <v>51498</v>
      </c>
      <c r="Z8965" s="61">
        <f>_xll.qlYieldTSDiscount($U$35,Y8965,,Trigger)</f>
        <v>0.6789483020053515</v>
      </c>
    </row>
    <row r="8966" spans="25:26" x14ac:dyDescent="0.25">
      <c r="Y8966" s="63">
        <v>51499</v>
      </c>
      <c r="Z8966" s="61">
        <f>_xll.qlYieldTSDiscount($U$35,Y8966,,Trigger)</f>
        <v>0.67890395710784224</v>
      </c>
    </row>
    <row r="8967" spans="25:26" x14ac:dyDescent="0.25">
      <c r="Y8967" s="63">
        <v>51500</v>
      </c>
      <c r="Z8967" s="61">
        <f>_xll.qlYieldTSDiscount($U$35,Y8967,,Trigger)</f>
        <v>0.67885961113832072</v>
      </c>
    </row>
    <row r="8968" spans="25:26" x14ac:dyDescent="0.25">
      <c r="Y8968" s="63">
        <v>51501</v>
      </c>
      <c r="Z8968" s="61">
        <f>_xll.qlYieldTSDiscount($U$35,Y8968,,Trigger)</f>
        <v>0.6788152640993006</v>
      </c>
    </row>
    <row r="8969" spans="25:26" x14ac:dyDescent="0.25">
      <c r="Y8969" s="63">
        <v>51502</v>
      </c>
      <c r="Z8969" s="61">
        <f>_xll.qlYieldTSDiscount($U$35,Y8969,,Trigger)</f>
        <v>0.67877091599329531</v>
      </c>
    </row>
    <row r="8970" spans="25:26" x14ac:dyDescent="0.25">
      <c r="Y8970" s="63">
        <v>51503</v>
      </c>
      <c r="Z8970" s="61">
        <f>_xll.qlYieldTSDiscount($U$35,Y8970,,Trigger)</f>
        <v>0.67872656682281818</v>
      </c>
    </row>
    <row r="8971" spans="25:26" x14ac:dyDescent="0.25">
      <c r="Y8971" s="63">
        <v>51504</v>
      </c>
      <c r="Z8971" s="61">
        <f>_xll.qlYieldTSDiscount($U$35,Y8971,,Trigger)</f>
        <v>0.67868221659038319</v>
      </c>
    </row>
    <row r="8972" spans="25:26" x14ac:dyDescent="0.25">
      <c r="Y8972" s="63">
        <v>51505</v>
      </c>
      <c r="Z8972" s="61">
        <f>_xll.qlYieldTSDiscount($U$35,Y8972,,Trigger)</f>
        <v>0.67863786529850367</v>
      </c>
    </row>
    <row r="8973" spans="25:26" x14ac:dyDescent="0.25">
      <c r="Y8973" s="63">
        <v>51506</v>
      </c>
      <c r="Z8973" s="61">
        <f>_xll.qlYieldTSDiscount($U$35,Y8973,,Trigger)</f>
        <v>0.67859351294969306</v>
      </c>
    </row>
    <row r="8974" spans="25:26" x14ac:dyDescent="0.25">
      <c r="Y8974" s="63">
        <v>51507</v>
      </c>
      <c r="Z8974" s="61">
        <f>_xll.qlYieldTSDiscount($U$35,Y8974,,Trigger)</f>
        <v>0.67854915954646511</v>
      </c>
    </row>
    <row r="8975" spans="25:26" x14ac:dyDescent="0.25">
      <c r="Y8975" s="63">
        <v>51508</v>
      </c>
      <c r="Z8975" s="61">
        <f>_xll.qlYieldTSDiscount($U$35,Y8975,,Trigger)</f>
        <v>0.67850480509133326</v>
      </c>
    </row>
    <row r="8976" spans="25:26" x14ac:dyDescent="0.25">
      <c r="Y8976" s="63">
        <v>51509</v>
      </c>
      <c r="Z8976" s="61">
        <f>_xll.qlYieldTSDiscount($U$35,Y8976,,Trigger)</f>
        <v>0.67846044958681118</v>
      </c>
    </row>
    <row r="8977" spans="25:26" x14ac:dyDescent="0.25">
      <c r="Y8977" s="63">
        <v>51510</v>
      </c>
      <c r="Z8977" s="61">
        <f>_xll.qlYieldTSDiscount($U$35,Y8977,,Trigger)</f>
        <v>0.67841609303541228</v>
      </c>
    </row>
    <row r="8978" spans="25:26" x14ac:dyDescent="0.25">
      <c r="Y8978" s="63">
        <v>51511</v>
      </c>
      <c r="Z8978" s="61">
        <f>_xll.qlYieldTSDiscount($U$35,Y8978,,Trigger)</f>
        <v>0.67837173543965013</v>
      </c>
    </row>
    <row r="8979" spans="25:26" x14ac:dyDescent="0.25">
      <c r="Y8979" s="63">
        <v>51512</v>
      </c>
      <c r="Z8979" s="61">
        <f>_xll.qlYieldTSDiscount($U$35,Y8979,,Trigger)</f>
        <v>0.67832737680203836</v>
      </c>
    </row>
    <row r="8980" spans="25:26" x14ac:dyDescent="0.25">
      <c r="Y8980" s="63">
        <v>51513</v>
      </c>
      <c r="Z8980" s="61">
        <f>_xll.qlYieldTSDiscount($U$35,Y8980,,Trigger)</f>
        <v>0.67828301712509054</v>
      </c>
    </row>
    <row r="8981" spans="25:26" x14ac:dyDescent="0.25">
      <c r="Y8981" s="63">
        <v>51514</v>
      </c>
      <c r="Z8981" s="61">
        <f>_xll.qlYieldTSDiscount($U$35,Y8981,,Trigger)</f>
        <v>0.67823865641132008</v>
      </c>
    </row>
    <row r="8982" spans="25:26" x14ac:dyDescent="0.25">
      <c r="Y8982" s="63">
        <v>51515</v>
      </c>
      <c r="Z8982" s="61">
        <f>_xll.qlYieldTSDiscount($U$35,Y8982,,Trigger)</f>
        <v>0.67819429466324066</v>
      </c>
    </row>
    <row r="8983" spans="25:26" x14ac:dyDescent="0.25">
      <c r="Y8983" s="63">
        <v>51516</v>
      </c>
      <c r="Z8983" s="61">
        <f>_xll.qlYieldTSDiscount($U$35,Y8983,,Trigger)</f>
        <v>0.67814993188336581</v>
      </c>
    </row>
    <row r="8984" spans="25:26" x14ac:dyDescent="0.25">
      <c r="Y8984" s="63">
        <v>51517</v>
      </c>
      <c r="Z8984" s="61">
        <f>_xll.qlYieldTSDiscount($U$35,Y8984,,Trigger)</f>
        <v>0.67810556807420896</v>
      </c>
    </row>
    <row r="8985" spans="25:26" x14ac:dyDescent="0.25">
      <c r="Y8985" s="63">
        <v>51518</v>
      </c>
      <c r="Z8985" s="61">
        <f>_xll.qlYieldTSDiscount($U$35,Y8985,,Trigger)</f>
        <v>0.67806120323828389</v>
      </c>
    </row>
    <row r="8986" spans="25:26" x14ac:dyDescent="0.25">
      <c r="Y8986" s="63">
        <v>51519</v>
      </c>
      <c r="Z8986" s="61">
        <f>_xll.qlYieldTSDiscount($U$35,Y8986,,Trigger)</f>
        <v>0.67801683737810392</v>
      </c>
    </row>
    <row r="8987" spans="25:26" x14ac:dyDescent="0.25">
      <c r="Y8987" s="63">
        <v>51520</v>
      </c>
      <c r="Z8987" s="61">
        <f>_xll.qlYieldTSDiscount($U$35,Y8987,,Trigger)</f>
        <v>0.6779724704961827</v>
      </c>
    </row>
    <row r="8988" spans="25:26" x14ac:dyDescent="0.25">
      <c r="Y8988" s="63">
        <v>51521</v>
      </c>
      <c r="Z8988" s="61">
        <f>_xll.qlYieldTSDiscount($U$35,Y8988,,Trigger)</f>
        <v>0.67792810259503378</v>
      </c>
    </row>
    <row r="8989" spans="25:26" x14ac:dyDescent="0.25">
      <c r="Y8989" s="63">
        <v>51522</v>
      </c>
      <c r="Z8989" s="61">
        <f>_xll.qlYieldTSDiscount($U$35,Y8989,,Trigger)</f>
        <v>0.67788373367717081</v>
      </c>
    </row>
    <row r="8990" spans="25:26" x14ac:dyDescent="0.25">
      <c r="Y8990" s="63">
        <v>51523</v>
      </c>
      <c r="Z8990" s="61">
        <f>_xll.qlYieldTSDiscount($U$35,Y8990,,Trigger)</f>
        <v>0.67783936374510723</v>
      </c>
    </row>
    <row r="8991" spans="25:26" x14ac:dyDescent="0.25">
      <c r="Y8991" s="63">
        <v>51524</v>
      </c>
      <c r="Z8991" s="61">
        <f>_xll.qlYieldTSDiscount($U$35,Y8991,,Trigger)</f>
        <v>0.67779499280135647</v>
      </c>
    </row>
    <row r="8992" spans="25:26" x14ac:dyDescent="0.25">
      <c r="Y8992" s="63">
        <v>51525</v>
      </c>
      <c r="Z8992" s="61">
        <f>_xll.qlYieldTSDiscount($U$35,Y8992,,Trigger)</f>
        <v>0.67775062084843241</v>
      </c>
    </row>
    <row r="8993" spans="25:26" x14ac:dyDescent="0.25">
      <c r="Y8993" s="63">
        <v>51526</v>
      </c>
      <c r="Z8993" s="61">
        <f>_xll.qlYieldTSDiscount($U$35,Y8993,,Trigger)</f>
        <v>0.67770624788884826</v>
      </c>
    </row>
    <row r="8994" spans="25:26" x14ac:dyDescent="0.25">
      <c r="Y8994" s="63">
        <v>51527</v>
      </c>
      <c r="Z8994" s="61">
        <f>_xll.qlYieldTSDiscount($U$35,Y8994,,Trigger)</f>
        <v>0.67766187392511779</v>
      </c>
    </row>
    <row r="8995" spans="25:26" x14ac:dyDescent="0.25">
      <c r="Y8995" s="63">
        <v>51528</v>
      </c>
      <c r="Z8995" s="61">
        <f>_xll.qlYieldTSDiscount($U$35,Y8995,,Trigger)</f>
        <v>0.67761749895975443</v>
      </c>
    </row>
    <row r="8996" spans="25:26" x14ac:dyDescent="0.25">
      <c r="Y8996" s="63">
        <v>51529</v>
      </c>
      <c r="Z8996" s="61">
        <f>_xll.qlYieldTSDiscount($U$35,Y8996,,Trigger)</f>
        <v>0.67757312299527173</v>
      </c>
    </row>
    <row r="8997" spans="25:26" x14ac:dyDescent="0.25">
      <c r="Y8997" s="63">
        <v>51530</v>
      </c>
      <c r="Z8997" s="61">
        <f>_xll.qlYieldTSDiscount($U$35,Y8997,,Trigger)</f>
        <v>0.67752874603418345</v>
      </c>
    </row>
    <row r="8998" spans="25:26" x14ac:dyDescent="0.25">
      <c r="Y8998" s="63">
        <v>51531</v>
      </c>
      <c r="Z8998" s="61">
        <f>_xll.qlYieldTSDiscount($U$35,Y8998,,Trigger)</f>
        <v>0.67748436807900292</v>
      </c>
    </row>
    <row r="8999" spans="25:26" x14ac:dyDescent="0.25">
      <c r="Y8999" s="63">
        <v>51532</v>
      </c>
      <c r="Z8999" s="61">
        <f>_xll.qlYieldTSDiscount($U$35,Y8999,,Trigger)</f>
        <v>0.67743998913224379</v>
      </c>
    </row>
    <row r="9000" spans="25:26" x14ac:dyDescent="0.25">
      <c r="Y9000" s="63">
        <v>51533</v>
      </c>
      <c r="Z9000" s="61">
        <f>_xll.qlYieldTSDiscount($U$35,Y9000,,Trigger)</f>
        <v>0.6773956091964195</v>
      </c>
    </row>
    <row r="9001" spans="25:26" x14ac:dyDescent="0.25">
      <c r="Y9001" s="63">
        <v>51534</v>
      </c>
      <c r="Z9001" s="61">
        <f>_xll.qlYieldTSDiscount($U$35,Y9001,,Trigger)</f>
        <v>0.6773512282740437</v>
      </c>
    </row>
    <row r="9002" spans="25:26" x14ac:dyDescent="0.25">
      <c r="Y9002" s="63">
        <v>51535</v>
      </c>
      <c r="Z9002" s="61">
        <f>_xll.qlYieldTSDiscount($U$35,Y9002,,Trigger)</f>
        <v>0.67730684636762994</v>
      </c>
    </row>
    <row r="9003" spans="25:26" x14ac:dyDescent="0.25">
      <c r="Y9003" s="63">
        <v>51536</v>
      </c>
      <c r="Z9003" s="61">
        <f>_xll.qlYieldTSDiscount($U$35,Y9003,,Trigger)</f>
        <v>0.67726246347969177</v>
      </c>
    </row>
    <row r="9004" spans="25:26" x14ac:dyDescent="0.25">
      <c r="Y9004" s="63">
        <v>51537</v>
      </c>
      <c r="Z9004" s="61">
        <f>_xll.qlYieldTSDiscount($U$35,Y9004,,Trigger)</f>
        <v>0.67721807961274272</v>
      </c>
    </row>
    <row r="9005" spans="25:26" x14ac:dyDescent="0.25">
      <c r="Y9005" s="63">
        <v>51538</v>
      </c>
      <c r="Z9005" s="61">
        <f>_xll.qlYieldTSDiscount($U$35,Y9005,,Trigger)</f>
        <v>0.67717369476929634</v>
      </c>
    </row>
    <row r="9006" spans="25:26" x14ac:dyDescent="0.25">
      <c r="Y9006" s="63">
        <v>51539</v>
      </c>
      <c r="Z9006" s="61">
        <f>_xll.qlYieldTSDiscount($U$35,Y9006,,Trigger)</f>
        <v>0.67712930895186618</v>
      </c>
    </row>
    <row r="9007" spans="25:26" x14ac:dyDescent="0.25">
      <c r="Y9007" s="63">
        <v>51540</v>
      </c>
      <c r="Z9007" s="61">
        <f>_xll.qlYieldTSDiscount($U$35,Y9007,,Trigger)</f>
        <v>0.67708492216296567</v>
      </c>
    </row>
    <row r="9008" spans="25:26" x14ac:dyDescent="0.25">
      <c r="Y9008" s="63">
        <v>51541</v>
      </c>
      <c r="Z9008" s="61">
        <f>_xll.qlYieldTSDiscount($U$35,Y9008,,Trigger)</f>
        <v>0.6770405344051087</v>
      </c>
    </row>
    <row r="9009" spans="25:26" x14ac:dyDescent="0.25">
      <c r="Y9009" s="63">
        <v>51542</v>
      </c>
      <c r="Z9009" s="61">
        <f>_xll.qlYieldTSDiscount($U$35,Y9009,,Trigger)</f>
        <v>0.67699614568080846</v>
      </c>
    </row>
    <row r="9010" spans="25:26" x14ac:dyDescent="0.25">
      <c r="Y9010" s="63">
        <v>51543</v>
      </c>
      <c r="Z9010" s="61">
        <f>_xll.qlYieldTSDiscount($U$35,Y9010,,Trigger)</f>
        <v>0.67695175599257873</v>
      </c>
    </row>
    <row r="9011" spans="25:26" x14ac:dyDescent="0.25">
      <c r="Y9011" s="63">
        <v>51544</v>
      </c>
      <c r="Z9011" s="61">
        <f>_xll.qlYieldTSDiscount($U$35,Y9011,,Trigger)</f>
        <v>0.67690736534293294</v>
      </c>
    </row>
    <row r="9012" spans="25:26" x14ac:dyDescent="0.25">
      <c r="Y9012" s="63">
        <v>51545</v>
      </c>
      <c r="Z9012" s="61">
        <f>_xll.qlYieldTSDiscount($U$35,Y9012,,Trigger)</f>
        <v>0.67686297373438464</v>
      </c>
    </row>
    <row r="9013" spans="25:26" x14ac:dyDescent="0.25">
      <c r="Y9013" s="63">
        <v>51546</v>
      </c>
      <c r="Z9013" s="61">
        <f>_xll.qlYieldTSDiscount($U$35,Y9013,,Trigger)</f>
        <v>0.6768185811694476</v>
      </c>
    </row>
    <row r="9014" spans="25:26" x14ac:dyDescent="0.25">
      <c r="Y9014" s="63">
        <v>51547</v>
      </c>
      <c r="Z9014" s="61">
        <f>_xll.qlYieldTSDiscount($U$35,Y9014,,Trigger)</f>
        <v>0.67677418765063502</v>
      </c>
    </row>
    <row r="9015" spans="25:26" x14ac:dyDescent="0.25">
      <c r="Y9015" s="63">
        <v>51548</v>
      </c>
      <c r="Z9015" s="61">
        <f>_xll.qlYieldTSDiscount($U$35,Y9015,,Trigger)</f>
        <v>0.67672979318046067</v>
      </c>
    </row>
    <row r="9016" spans="25:26" x14ac:dyDescent="0.25">
      <c r="Y9016" s="63">
        <v>51549</v>
      </c>
      <c r="Z9016" s="61">
        <f>_xll.qlYieldTSDiscount($U$35,Y9016,,Trigger)</f>
        <v>0.6766853977614381</v>
      </c>
    </row>
    <row r="9017" spans="25:26" x14ac:dyDescent="0.25">
      <c r="Y9017" s="63">
        <v>51550</v>
      </c>
      <c r="Z9017" s="61">
        <f>_xll.qlYieldTSDiscount($U$35,Y9017,,Trigger)</f>
        <v>0.67664100139608085</v>
      </c>
    </row>
    <row r="9018" spans="25:26" x14ac:dyDescent="0.25">
      <c r="Y9018" s="63">
        <v>51551</v>
      </c>
      <c r="Z9018" s="61">
        <f>_xll.qlYieldTSDiscount($U$35,Y9018,,Trigger)</f>
        <v>0.67659660408690236</v>
      </c>
    </row>
    <row r="9019" spans="25:26" x14ac:dyDescent="0.25">
      <c r="Y9019" s="63">
        <v>51552</v>
      </c>
      <c r="Z9019" s="61">
        <f>_xll.qlYieldTSDiscount($U$35,Y9019,,Trigger)</f>
        <v>0.67655220583641629</v>
      </c>
    </row>
    <row r="9020" spans="25:26" x14ac:dyDescent="0.25">
      <c r="Y9020" s="63">
        <v>51553</v>
      </c>
      <c r="Z9020" s="61">
        <f>_xll.qlYieldTSDiscount($U$35,Y9020,,Trigger)</f>
        <v>0.67650780664713617</v>
      </c>
    </row>
    <row r="9021" spans="25:26" x14ac:dyDescent="0.25">
      <c r="Y9021" s="63">
        <v>51554</v>
      </c>
      <c r="Z9021" s="61">
        <f>_xll.qlYieldTSDiscount($U$35,Y9021,,Trigger)</f>
        <v>0.67646340652157555</v>
      </c>
    </row>
    <row r="9022" spans="25:26" x14ac:dyDescent="0.25">
      <c r="Y9022" s="63">
        <v>51555</v>
      </c>
      <c r="Z9022" s="61">
        <f>_xll.qlYieldTSDiscount($U$35,Y9022,,Trigger)</f>
        <v>0.67641900546224798</v>
      </c>
    </row>
    <row r="9023" spans="25:26" x14ac:dyDescent="0.25">
      <c r="Y9023" s="63">
        <v>51556</v>
      </c>
      <c r="Z9023" s="61">
        <f>_xll.qlYieldTSDiscount($U$35,Y9023,,Trigger)</f>
        <v>0.67637460347166689</v>
      </c>
    </row>
    <row r="9024" spans="25:26" x14ac:dyDescent="0.25">
      <c r="Y9024" s="63">
        <v>51557</v>
      </c>
      <c r="Z9024" s="61">
        <f>_xll.qlYieldTSDiscount($U$35,Y9024,,Trigger)</f>
        <v>0.67633020055234605</v>
      </c>
    </row>
    <row r="9025" spans="25:26" x14ac:dyDescent="0.25">
      <c r="Y9025" s="63">
        <v>51558</v>
      </c>
      <c r="Z9025" s="61">
        <f>_xll.qlYieldTSDiscount($U$35,Y9025,,Trigger)</f>
        <v>0.676285796706799</v>
      </c>
    </row>
    <row r="9026" spans="25:26" x14ac:dyDescent="0.25">
      <c r="Y9026" s="63">
        <v>51559</v>
      </c>
      <c r="Z9026" s="61">
        <f>_xll.qlYieldTSDiscount($U$35,Y9026,,Trigger)</f>
        <v>0.67624139193753907</v>
      </c>
    </row>
    <row r="9027" spans="25:26" x14ac:dyDescent="0.25">
      <c r="Y9027" s="63">
        <v>51560</v>
      </c>
      <c r="Z9027" s="61">
        <f>_xll.qlYieldTSDiscount($U$35,Y9027,,Trigger)</f>
        <v>0.67619698624708002</v>
      </c>
    </row>
    <row r="9028" spans="25:26" x14ac:dyDescent="0.25">
      <c r="Y9028" s="63">
        <v>51561</v>
      </c>
      <c r="Z9028" s="61">
        <f>_xll.qlYieldTSDiscount($U$35,Y9028,,Trigger)</f>
        <v>0.67615257963793518</v>
      </c>
    </row>
    <row r="9029" spans="25:26" x14ac:dyDescent="0.25">
      <c r="Y9029" s="63">
        <v>51562</v>
      </c>
      <c r="Z9029" s="61">
        <f>_xll.qlYieldTSDiscount($U$35,Y9029,,Trigger)</f>
        <v>0.67610817211261842</v>
      </c>
    </row>
    <row r="9030" spans="25:26" x14ac:dyDescent="0.25">
      <c r="Y9030" s="63">
        <v>51563</v>
      </c>
      <c r="Z9030" s="61">
        <f>_xll.qlYieldTSDiscount($U$35,Y9030,,Trigger)</f>
        <v>0.67606376367364307</v>
      </c>
    </row>
    <row r="9031" spans="25:26" x14ac:dyDescent="0.25">
      <c r="Y9031" s="63">
        <v>51564</v>
      </c>
      <c r="Z9031" s="61">
        <f>_xll.qlYieldTSDiscount($U$35,Y9031,,Trigger)</f>
        <v>0.67601935432352267</v>
      </c>
    </row>
    <row r="9032" spans="25:26" x14ac:dyDescent="0.25">
      <c r="Y9032" s="63">
        <v>51565</v>
      </c>
      <c r="Z9032" s="61">
        <f>_xll.qlYieldTSDiscount($U$35,Y9032,,Trigger)</f>
        <v>0.67597494406477088</v>
      </c>
    </row>
    <row r="9033" spans="25:26" x14ac:dyDescent="0.25">
      <c r="Y9033" s="63">
        <v>51566</v>
      </c>
      <c r="Z9033" s="61">
        <f>_xll.qlYieldTSDiscount($U$35,Y9033,,Trigger)</f>
        <v>0.67593053289990113</v>
      </c>
    </row>
    <row r="9034" spans="25:26" x14ac:dyDescent="0.25">
      <c r="Y9034" s="63">
        <v>51567</v>
      </c>
      <c r="Z9034" s="61">
        <f>_xll.qlYieldTSDiscount($U$35,Y9034,,Trigger)</f>
        <v>0.67588612083142707</v>
      </c>
    </row>
    <row r="9035" spans="25:26" x14ac:dyDescent="0.25">
      <c r="Y9035" s="63">
        <v>51568</v>
      </c>
      <c r="Z9035" s="61">
        <f>_xll.qlYieldTSDiscount($U$35,Y9035,,Trigger)</f>
        <v>0.67584170786186237</v>
      </c>
    </row>
    <row r="9036" spans="25:26" x14ac:dyDescent="0.25">
      <c r="Y9036" s="63">
        <v>51569</v>
      </c>
      <c r="Z9036" s="61">
        <f>_xll.qlYieldTSDiscount($U$35,Y9036,,Trigger)</f>
        <v>0.67579729399372024</v>
      </c>
    </row>
    <row r="9037" spans="25:26" x14ac:dyDescent="0.25">
      <c r="Y9037" s="63">
        <v>51570</v>
      </c>
      <c r="Z9037" s="61">
        <f>_xll.qlYieldTSDiscount($U$35,Y9037,,Trigger)</f>
        <v>0.67575287922951455</v>
      </c>
    </row>
    <row r="9038" spans="25:26" x14ac:dyDescent="0.25">
      <c r="Y9038" s="63">
        <v>51571</v>
      </c>
      <c r="Z9038" s="61">
        <f>_xll.qlYieldTSDiscount($U$35,Y9038,,Trigger)</f>
        <v>0.67570846357175862</v>
      </c>
    </row>
    <row r="9039" spans="25:26" x14ac:dyDescent="0.25">
      <c r="Y9039" s="63">
        <v>51572</v>
      </c>
      <c r="Z9039" s="61">
        <f>_xll.qlYieldTSDiscount($U$35,Y9039,,Trigger)</f>
        <v>0.67566404702296612</v>
      </c>
    </row>
    <row r="9040" spans="25:26" x14ac:dyDescent="0.25">
      <c r="Y9040" s="63">
        <v>51573</v>
      </c>
      <c r="Z9040" s="61">
        <f>_xll.qlYieldTSDiscount($U$35,Y9040,,Trigger)</f>
        <v>0.67561962958565069</v>
      </c>
    </row>
    <row r="9041" spans="25:26" x14ac:dyDescent="0.25">
      <c r="Y9041" s="63">
        <v>51574</v>
      </c>
      <c r="Z9041" s="61">
        <f>_xll.qlYieldTSDiscount($U$35,Y9041,,Trigger)</f>
        <v>0.67557521126232567</v>
      </c>
    </row>
    <row r="9042" spans="25:26" x14ac:dyDescent="0.25">
      <c r="Y9042" s="63">
        <v>51575</v>
      </c>
      <c r="Z9042" s="61">
        <f>_xll.qlYieldTSDiscount($U$35,Y9042,,Trigger)</f>
        <v>0.67553079205550481</v>
      </c>
    </row>
    <row r="9043" spans="25:26" x14ac:dyDescent="0.25">
      <c r="Y9043" s="63">
        <v>51576</v>
      </c>
      <c r="Z9043" s="61">
        <f>_xll.qlYieldTSDiscount($U$35,Y9043,,Trigger)</f>
        <v>0.67548637196770156</v>
      </c>
    </row>
    <row r="9044" spans="25:26" x14ac:dyDescent="0.25">
      <c r="Y9044" s="63">
        <v>51577</v>
      </c>
      <c r="Z9044" s="61">
        <f>_xll.qlYieldTSDiscount($U$35,Y9044,,Trigger)</f>
        <v>0.67544195100142945</v>
      </c>
    </row>
    <row r="9045" spans="25:26" x14ac:dyDescent="0.25">
      <c r="Y9045" s="63">
        <v>51578</v>
      </c>
      <c r="Z9045" s="61">
        <f>_xll.qlYieldTSDiscount($U$35,Y9045,,Trigger)</f>
        <v>0.67539752915920204</v>
      </c>
    </row>
    <row r="9046" spans="25:26" x14ac:dyDescent="0.25">
      <c r="Y9046" s="63">
        <v>51579</v>
      </c>
      <c r="Z9046" s="61">
        <f>_xll.qlYieldTSDiscount($U$35,Y9046,,Trigger)</f>
        <v>0.67535310644353297</v>
      </c>
    </row>
    <row r="9047" spans="25:26" x14ac:dyDescent="0.25">
      <c r="Y9047" s="63">
        <v>51580</v>
      </c>
      <c r="Z9047" s="61">
        <f>_xll.qlYieldTSDiscount($U$35,Y9047,,Trigger)</f>
        <v>0.67530868285693568</v>
      </c>
    </row>
    <row r="9048" spans="25:26" x14ac:dyDescent="0.25">
      <c r="Y9048" s="63">
        <v>51581</v>
      </c>
      <c r="Z9048" s="61">
        <f>_xll.qlYieldTSDiscount($U$35,Y9048,,Trigger)</f>
        <v>0.67526425840192383</v>
      </c>
    </row>
    <row r="9049" spans="25:26" x14ac:dyDescent="0.25">
      <c r="Y9049" s="63">
        <v>51582</v>
      </c>
      <c r="Z9049" s="61">
        <f>_xll.qlYieldTSDiscount($U$35,Y9049,,Trigger)</f>
        <v>0.67521983308101086</v>
      </c>
    </row>
    <row r="9050" spans="25:26" x14ac:dyDescent="0.25">
      <c r="Y9050" s="63">
        <v>51583</v>
      </c>
      <c r="Z9050" s="61">
        <f>_xll.qlYieldTSDiscount($U$35,Y9050,,Trigger)</f>
        <v>0.67517540689671041</v>
      </c>
    </row>
    <row r="9051" spans="25:26" x14ac:dyDescent="0.25">
      <c r="Y9051" s="63">
        <v>51584</v>
      </c>
      <c r="Z9051" s="61">
        <f>_xll.qlYieldTSDiscount($U$35,Y9051,,Trigger)</f>
        <v>0.67513097985153592</v>
      </c>
    </row>
    <row r="9052" spans="25:26" x14ac:dyDescent="0.25">
      <c r="Y9052" s="63">
        <v>51585</v>
      </c>
      <c r="Z9052" s="61">
        <f>_xll.qlYieldTSDiscount($U$35,Y9052,,Trigger)</f>
        <v>0.67508655194800105</v>
      </c>
    </row>
    <row r="9053" spans="25:26" x14ac:dyDescent="0.25">
      <c r="Y9053" s="63">
        <v>51586</v>
      </c>
      <c r="Z9053" s="61">
        <f>_xll.qlYieldTSDiscount($U$35,Y9053,,Trigger)</f>
        <v>0.67504212318861934</v>
      </c>
    </row>
    <row r="9054" spans="25:26" x14ac:dyDescent="0.25">
      <c r="Y9054" s="63">
        <v>51587</v>
      </c>
      <c r="Z9054" s="61">
        <f>_xll.qlYieldTSDiscount($U$35,Y9054,,Trigger)</f>
        <v>0.67499769357590433</v>
      </c>
    </row>
    <row r="9055" spans="25:26" x14ac:dyDescent="0.25">
      <c r="Y9055" s="63">
        <v>51588</v>
      </c>
      <c r="Z9055" s="61">
        <f>_xll.qlYieldTSDiscount($U$35,Y9055,,Trigger)</f>
        <v>0.67495326311236947</v>
      </c>
    </row>
    <row r="9056" spans="25:26" x14ac:dyDescent="0.25">
      <c r="Y9056" s="63">
        <v>51589</v>
      </c>
      <c r="Z9056" s="61">
        <f>_xll.qlYieldTSDiscount($U$35,Y9056,,Trigger)</f>
        <v>0.67490883180052852</v>
      </c>
    </row>
    <row r="9057" spans="25:26" x14ac:dyDescent="0.25">
      <c r="Y9057" s="63">
        <v>51590</v>
      </c>
      <c r="Z9057" s="61">
        <f>_xll.qlYieldTSDiscount($U$35,Y9057,,Trigger)</f>
        <v>0.6748643996428948</v>
      </c>
    </row>
    <row r="9058" spans="25:26" x14ac:dyDescent="0.25">
      <c r="Y9058" s="63">
        <v>51591</v>
      </c>
      <c r="Z9058" s="61">
        <f>_xll.qlYieldTSDiscount($U$35,Y9058,,Trigger)</f>
        <v>0.67481996664198207</v>
      </c>
    </row>
    <row r="9059" spans="25:26" x14ac:dyDescent="0.25">
      <c r="Y9059" s="63">
        <v>51592</v>
      </c>
      <c r="Z9059" s="61">
        <f>_xll.qlYieldTSDiscount($U$35,Y9059,,Trigger)</f>
        <v>0.67477553280030367</v>
      </c>
    </row>
    <row r="9060" spans="25:26" x14ac:dyDescent="0.25">
      <c r="Y9060" s="63">
        <v>51593</v>
      </c>
      <c r="Z9060" s="61">
        <f>_xll.qlYieldTSDiscount($U$35,Y9060,,Trigger)</f>
        <v>0.67473109812037335</v>
      </c>
    </row>
    <row r="9061" spans="25:26" x14ac:dyDescent="0.25">
      <c r="Y9061" s="63">
        <v>51594</v>
      </c>
      <c r="Z9061" s="61">
        <f>_xll.qlYieldTSDiscount($U$35,Y9061,,Trigger)</f>
        <v>0.67468666260470456</v>
      </c>
    </row>
    <row r="9062" spans="25:26" x14ac:dyDescent="0.25">
      <c r="Y9062" s="63">
        <v>51595</v>
      </c>
      <c r="Z9062" s="61">
        <f>_xll.qlYieldTSDiscount($U$35,Y9062,,Trigger)</f>
        <v>0.67464222625581094</v>
      </c>
    </row>
    <row r="9063" spans="25:26" x14ac:dyDescent="0.25">
      <c r="Y9063" s="63">
        <v>51596</v>
      </c>
      <c r="Z9063" s="61">
        <f>_xll.qlYieldTSDiscount($U$35,Y9063,,Trigger)</f>
        <v>0.67459778907620582</v>
      </c>
    </row>
    <row r="9064" spans="25:26" x14ac:dyDescent="0.25">
      <c r="Y9064" s="63">
        <v>51597</v>
      </c>
      <c r="Z9064" s="61">
        <f>_xll.qlYieldTSDiscount($U$35,Y9064,,Trigger)</f>
        <v>0.67455335106840297</v>
      </c>
    </row>
    <row r="9065" spans="25:26" x14ac:dyDescent="0.25">
      <c r="Y9065" s="63">
        <v>51598</v>
      </c>
      <c r="Z9065" s="61">
        <f>_xll.qlYieldTSDiscount($U$35,Y9065,,Trigger)</f>
        <v>0.67450891223491583</v>
      </c>
    </row>
    <row r="9066" spans="25:26" x14ac:dyDescent="0.25">
      <c r="Y9066" s="63">
        <v>51599</v>
      </c>
      <c r="Z9066" s="61">
        <f>_xll.qlYieldTSDiscount($U$35,Y9066,,Trigger)</f>
        <v>0.67446447257825803</v>
      </c>
    </row>
    <row r="9067" spans="25:26" x14ac:dyDescent="0.25">
      <c r="Y9067" s="63">
        <v>51600</v>
      </c>
      <c r="Z9067" s="61">
        <f>_xll.qlYieldTSDiscount($U$35,Y9067,,Trigger)</f>
        <v>0.67442003210094315</v>
      </c>
    </row>
    <row r="9068" spans="25:26" x14ac:dyDescent="0.25">
      <c r="Y9068" s="63">
        <v>51601</v>
      </c>
      <c r="Z9068" s="61">
        <f>_xll.qlYieldTSDiscount($U$35,Y9068,,Trigger)</f>
        <v>0.67437559080548459</v>
      </c>
    </row>
    <row r="9069" spans="25:26" x14ac:dyDescent="0.25">
      <c r="Y9069" s="63">
        <v>51602</v>
      </c>
      <c r="Z9069" s="61">
        <f>_xll.qlYieldTSDiscount($U$35,Y9069,,Trigger)</f>
        <v>0.67433114869439603</v>
      </c>
    </row>
    <row r="9070" spans="25:26" x14ac:dyDescent="0.25">
      <c r="Y9070" s="63">
        <v>51603</v>
      </c>
      <c r="Z9070" s="61">
        <f>_xll.qlYieldTSDiscount($U$35,Y9070,,Trigger)</f>
        <v>0.6742867057701909</v>
      </c>
    </row>
    <row r="9071" spans="25:26" x14ac:dyDescent="0.25">
      <c r="Y9071" s="63">
        <v>51604</v>
      </c>
      <c r="Z9071" s="61">
        <f>_xll.qlYieldTSDiscount($U$35,Y9071,,Trigger)</f>
        <v>0.67424226203538284</v>
      </c>
    </row>
    <row r="9072" spans="25:26" x14ac:dyDescent="0.25">
      <c r="Y9072" s="63">
        <v>51605</v>
      </c>
      <c r="Z9072" s="61">
        <f>_xll.qlYieldTSDiscount($U$35,Y9072,,Trigger)</f>
        <v>0.67419781749248553</v>
      </c>
    </row>
    <row r="9073" spans="25:26" x14ac:dyDescent="0.25">
      <c r="Y9073" s="63">
        <v>51606</v>
      </c>
      <c r="Z9073" s="61">
        <f>_xll.qlYieldTSDiscount($U$35,Y9073,,Trigger)</f>
        <v>0.67415337214401228</v>
      </c>
    </row>
    <row r="9074" spans="25:26" x14ac:dyDescent="0.25">
      <c r="Y9074" s="63">
        <v>51607</v>
      </c>
      <c r="Z9074" s="61">
        <f>_xll.qlYieldTSDiscount($U$35,Y9074,,Trigger)</f>
        <v>0.67410892599247674</v>
      </c>
    </row>
    <row r="9075" spans="25:26" x14ac:dyDescent="0.25">
      <c r="Y9075" s="63">
        <v>51608</v>
      </c>
      <c r="Z9075" s="61">
        <f>_xll.qlYieldTSDiscount($U$35,Y9075,,Trigger)</f>
        <v>0.67406447904039246</v>
      </c>
    </row>
    <row r="9076" spans="25:26" x14ac:dyDescent="0.25">
      <c r="Y9076" s="63">
        <v>51609</v>
      </c>
      <c r="Z9076" s="61">
        <f>_xll.qlYieldTSDiscount($U$35,Y9076,,Trigger)</f>
        <v>0.67402003129027299</v>
      </c>
    </row>
    <row r="9077" spans="25:26" x14ac:dyDescent="0.25">
      <c r="Y9077" s="63">
        <v>51610</v>
      </c>
      <c r="Z9077" s="61">
        <f>_xll.qlYieldTSDiscount($U$35,Y9077,,Trigger)</f>
        <v>0.67397558274463187</v>
      </c>
    </row>
    <row r="9078" spans="25:26" x14ac:dyDescent="0.25">
      <c r="Y9078" s="63">
        <v>51611</v>
      </c>
      <c r="Z9078" s="61">
        <f>_xll.qlYieldTSDiscount($U$35,Y9078,,Trigger)</f>
        <v>0.67393113340598265</v>
      </c>
    </row>
    <row r="9079" spans="25:26" x14ac:dyDescent="0.25">
      <c r="Y9079" s="63">
        <v>51612</v>
      </c>
      <c r="Z9079" s="61">
        <f>_xll.qlYieldTSDiscount($U$35,Y9079,,Trigger)</f>
        <v>0.67388668327683898</v>
      </c>
    </row>
    <row r="9080" spans="25:26" x14ac:dyDescent="0.25">
      <c r="Y9080" s="63">
        <v>51613</v>
      </c>
      <c r="Z9080" s="61">
        <f>_xll.qlYieldTSDiscount($U$35,Y9080,,Trigger)</f>
        <v>0.67384223235971441</v>
      </c>
    </row>
    <row r="9081" spans="25:26" x14ac:dyDescent="0.25">
      <c r="Y9081" s="63">
        <v>51614</v>
      </c>
      <c r="Z9081" s="61">
        <f>_xll.qlYieldTSDiscount($U$35,Y9081,,Trigger)</f>
        <v>0.67379778065712226</v>
      </c>
    </row>
    <row r="9082" spans="25:26" x14ac:dyDescent="0.25">
      <c r="Y9082" s="63">
        <v>51615</v>
      </c>
      <c r="Z9082" s="61">
        <f>_xll.qlYieldTSDiscount($U$35,Y9082,,Trigger)</f>
        <v>0.67375332817157629</v>
      </c>
    </row>
    <row r="9083" spans="25:26" x14ac:dyDescent="0.25">
      <c r="Y9083" s="63">
        <v>51616</v>
      </c>
      <c r="Z9083" s="61">
        <f>_xll.qlYieldTSDiscount($U$35,Y9083,,Trigger)</f>
        <v>0.67370887490558995</v>
      </c>
    </row>
    <row r="9084" spans="25:26" x14ac:dyDescent="0.25">
      <c r="Y9084" s="63">
        <v>51617</v>
      </c>
      <c r="Z9084" s="61">
        <f>_xll.qlYieldTSDiscount($U$35,Y9084,,Trigger)</f>
        <v>0.67366442086167688</v>
      </c>
    </row>
    <row r="9085" spans="25:26" x14ac:dyDescent="0.25">
      <c r="Y9085" s="63">
        <v>51618</v>
      </c>
      <c r="Z9085" s="61">
        <f>_xll.qlYieldTSDiscount($U$35,Y9085,,Trigger)</f>
        <v>0.67361996604235053</v>
      </c>
    </row>
    <row r="9086" spans="25:26" x14ac:dyDescent="0.25">
      <c r="Y9086" s="63">
        <v>51619</v>
      </c>
      <c r="Z9086" s="61">
        <f>_xll.qlYieldTSDiscount($U$35,Y9086,,Trigger)</f>
        <v>0.67357551045012454</v>
      </c>
    </row>
    <row r="9087" spans="25:26" x14ac:dyDescent="0.25">
      <c r="Y9087" s="63">
        <v>51620</v>
      </c>
      <c r="Z9087" s="61">
        <f>_xll.qlYieldTSDiscount($U$35,Y9087,,Trigger)</f>
        <v>0.67353105408751246</v>
      </c>
    </row>
    <row r="9088" spans="25:26" x14ac:dyDescent="0.25">
      <c r="Y9088" s="63">
        <v>51621</v>
      </c>
      <c r="Z9088" s="61">
        <f>_xll.qlYieldTSDiscount($U$35,Y9088,,Trigger)</f>
        <v>0.67348659695702784</v>
      </c>
    </row>
    <row r="9089" spans="25:26" x14ac:dyDescent="0.25">
      <c r="Y9089" s="63">
        <v>51622</v>
      </c>
      <c r="Z9089" s="61">
        <f>_xll.qlYieldTSDiscount($U$35,Y9089,,Trigger)</f>
        <v>0.673442139061184</v>
      </c>
    </row>
    <row r="9090" spans="25:26" x14ac:dyDescent="0.25">
      <c r="Y9090" s="63">
        <v>51623</v>
      </c>
      <c r="Z9090" s="61">
        <f>_xll.qlYieldTSDiscount($U$35,Y9090,,Trigger)</f>
        <v>0.67339768040249492</v>
      </c>
    </row>
    <row r="9091" spans="25:26" x14ac:dyDescent="0.25">
      <c r="Y9091" s="63">
        <v>51624</v>
      </c>
      <c r="Z9091" s="61">
        <f>_xll.qlYieldTSDiscount($U$35,Y9091,,Trigger)</f>
        <v>0.67335322098347383</v>
      </c>
    </row>
    <row r="9092" spans="25:26" x14ac:dyDescent="0.25">
      <c r="Y9092" s="63">
        <v>51625</v>
      </c>
      <c r="Z9092" s="61">
        <f>_xll.qlYieldTSDiscount($U$35,Y9092,,Trigger)</f>
        <v>0.67330876080663438</v>
      </c>
    </row>
    <row r="9093" spans="25:26" x14ac:dyDescent="0.25">
      <c r="Y9093" s="63">
        <v>51626</v>
      </c>
      <c r="Z9093" s="61">
        <f>_xll.qlYieldTSDiscount($U$35,Y9093,,Trigger)</f>
        <v>0.6732642998744901</v>
      </c>
    </row>
    <row r="9094" spans="25:26" x14ac:dyDescent="0.25">
      <c r="Y9094" s="63">
        <v>51627</v>
      </c>
      <c r="Z9094" s="61">
        <f>_xll.qlYieldTSDiscount($U$35,Y9094,,Trigger)</f>
        <v>0.67321983818955455</v>
      </c>
    </row>
    <row r="9095" spans="25:26" x14ac:dyDescent="0.25">
      <c r="Y9095" s="63">
        <v>51628</v>
      </c>
      <c r="Z9095" s="61">
        <f>_xll.qlYieldTSDiscount($U$35,Y9095,,Trigger)</f>
        <v>0.67317537575434139</v>
      </c>
    </row>
    <row r="9096" spans="25:26" x14ac:dyDescent="0.25">
      <c r="Y9096" s="63">
        <v>51629</v>
      </c>
      <c r="Z9096" s="61">
        <f>_xll.qlYieldTSDiscount($U$35,Y9096,,Trigger)</f>
        <v>0.67313091257136404</v>
      </c>
    </row>
    <row r="9097" spans="25:26" x14ac:dyDescent="0.25">
      <c r="Y9097" s="63">
        <v>51630</v>
      </c>
      <c r="Z9097" s="61">
        <f>_xll.qlYieldTSDiscount($U$35,Y9097,,Trigger)</f>
        <v>0.67308644864313605</v>
      </c>
    </row>
    <row r="9098" spans="25:26" x14ac:dyDescent="0.25">
      <c r="Y9098" s="63">
        <v>51631</v>
      </c>
      <c r="Z9098" s="61">
        <f>_xll.qlYieldTSDiscount($U$35,Y9098,,Trigger)</f>
        <v>0.67304198397217097</v>
      </c>
    </row>
    <row r="9099" spans="25:26" x14ac:dyDescent="0.25">
      <c r="Y9099" s="63">
        <v>51632</v>
      </c>
      <c r="Z9099" s="61">
        <f>_xll.qlYieldTSDiscount($U$35,Y9099,,Trigger)</f>
        <v>0.67299751856098244</v>
      </c>
    </row>
    <row r="9100" spans="25:26" x14ac:dyDescent="0.25">
      <c r="Y9100" s="63">
        <v>51633</v>
      </c>
      <c r="Z9100" s="61">
        <f>_xll.qlYieldTSDiscount($U$35,Y9100,,Trigger)</f>
        <v>0.67295305241208392</v>
      </c>
    </row>
    <row r="9101" spans="25:26" x14ac:dyDescent="0.25">
      <c r="Y9101" s="63">
        <v>51634</v>
      </c>
      <c r="Z9101" s="61">
        <f>_xll.qlYieldTSDiscount($U$35,Y9101,,Trigger)</f>
        <v>0.67290858552798904</v>
      </c>
    </row>
    <row r="9102" spans="25:26" x14ac:dyDescent="0.25">
      <c r="Y9102" s="63">
        <v>51635</v>
      </c>
      <c r="Z9102" s="61">
        <f>_xll.qlYieldTSDiscount($U$35,Y9102,,Trigger)</f>
        <v>0.67286411791121115</v>
      </c>
    </row>
    <row r="9103" spans="25:26" x14ac:dyDescent="0.25">
      <c r="Y9103" s="63">
        <v>51636</v>
      </c>
      <c r="Z9103" s="61">
        <f>_xll.qlYieldTSDiscount($U$35,Y9103,,Trigger)</f>
        <v>0.6728196495642641</v>
      </c>
    </row>
    <row r="9104" spans="25:26" x14ac:dyDescent="0.25">
      <c r="Y9104" s="63">
        <v>51637</v>
      </c>
      <c r="Z9104" s="61">
        <f>_xll.qlYieldTSDiscount($U$35,Y9104,,Trigger)</f>
        <v>0.67277518048966134</v>
      </c>
    </row>
    <row r="9105" spans="25:26" x14ac:dyDescent="0.25">
      <c r="Y9105" s="63">
        <v>51638</v>
      </c>
      <c r="Z9105" s="61">
        <f>_xll.qlYieldTSDiscount($U$35,Y9105,,Trigger)</f>
        <v>0.6727307106899163</v>
      </c>
    </row>
    <row r="9106" spans="25:26" x14ac:dyDescent="0.25">
      <c r="Y9106" s="63">
        <v>51639</v>
      </c>
      <c r="Z9106" s="61">
        <f>_xll.qlYieldTSDiscount($U$35,Y9106,,Trigger)</f>
        <v>0.67268624016754264</v>
      </c>
    </row>
    <row r="9107" spans="25:26" x14ac:dyDescent="0.25">
      <c r="Y9107" s="63">
        <v>51640</v>
      </c>
      <c r="Z9107" s="61">
        <f>_xll.qlYieldTSDiscount($U$35,Y9107,,Trigger)</f>
        <v>0.6726417689250539</v>
      </c>
    </row>
    <row r="9108" spans="25:26" x14ac:dyDescent="0.25">
      <c r="Y9108" s="63">
        <v>51641</v>
      </c>
      <c r="Z9108" s="61">
        <f>_xll.qlYieldTSDiscount($U$35,Y9108,,Trigger)</f>
        <v>0.67259729696496362</v>
      </c>
    </row>
    <row r="9109" spans="25:26" x14ac:dyDescent="0.25">
      <c r="Y9109" s="63">
        <v>51642</v>
      </c>
      <c r="Z9109" s="61">
        <f>_xll.qlYieldTSDiscount($U$35,Y9109,,Trigger)</f>
        <v>0.67255282428978536</v>
      </c>
    </row>
    <row r="9110" spans="25:26" x14ac:dyDescent="0.25">
      <c r="Y9110" s="63">
        <v>51643</v>
      </c>
      <c r="Z9110" s="61">
        <f>_xll.qlYieldTSDiscount($U$35,Y9110,,Trigger)</f>
        <v>0.67250835090203254</v>
      </c>
    </row>
    <row r="9111" spans="25:26" x14ac:dyDescent="0.25">
      <c r="Y9111" s="63">
        <v>51644</v>
      </c>
      <c r="Z9111" s="61">
        <f>_xll.qlYieldTSDiscount($U$35,Y9111,,Trigger)</f>
        <v>0.67246387680421893</v>
      </c>
    </row>
    <row r="9112" spans="25:26" x14ac:dyDescent="0.25">
      <c r="Y9112" s="63">
        <v>51645</v>
      </c>
      <c r="Z9112" s="61">
        <f>_xll.qlYieldTSDiscount($U$35,Y9112,,Trigger)</f>
        <v>0.67241940199885797</v>
      </c>
    </row>
    <row r="9113" spans="25:26" x14ac:dyDescent="0.25">
      <c r="Y9113" s="63">
        <v>51646</v>
      </c>
      <c r="Z9113" s="61">
        <f>_xll.qlYieldTSDiscount($U$35,Y9113,,Trigger)</f>
        <v>0.6723749264884632</v>
      </c>
    </row>
    <row r="9114" spans="25:26" x14ac:dyDescent="0.25">
      <c r="Y9114" s="63">
        <v>51647</v>
      </c>
      <c r="Z9114" s="61">
        <f>_xll.qlYieldTSDiscount($U$35,Y9114,,Trigger)</f>
        <v>0.67233045027554827</v>
      </c>
    </row>
    <row r="9115" spans="25:26" x14ac:dyDescent="0.25">
      <c r="Y9115" s="63">
        <v>51648</v>
      </c>
      <c r="Z9115" s="61">
        <f>_xll.qlYieldTSDiscount($U$35,Y9115,,Trigger)</f>
        <v>0.67228597336262663</v>
      </c>
    </row>
    <row r="9116" spans="25:26" x14ac:dyDescent="0.25">
      <c r="Y9116" s="63">
        <v>51649</v>
      </c>
      <c r="Z9116" s="61">
        <f>_xll.qlYieldTSDiscount($U$35,Y9116,,Trigger)</f>
        <v>0.6722414957522117</v>
      </c>
    </row>
    <row r="9117" spans="25:26" x14ac:dyDescent="0.25">
      <c r="Y9117" s="63">
        <v>51650</v>
      </c>
      <c r="Z9117" s="61">
        <f>_xll.qlYieldTSDiscount($U$35,Y9117,,Trigger)</f>
        <v>0.67219701744681737</v>
      </c>
    </row>
    <row r="9118" spans="25:26" x14ac:dyDescent="0.25">
      <c r="Y9118" s="63">
        <v>51651</v>
      </c>
      <c r="Z9118" s="61">
        <f>_xll.qlYieldTSDiscount($U$35,Y9118,,Trigger)</f>
        <v>0.67215253844895695</v>
      </c>
    </row>
    <row r="9119" spans="25:26" x14ac:dyDescent="0.25">
      <c r="Y9119" s="63">
        <v>51652</v>
      </c>
      <c r="Z9119" s="61">
        <f>_xll.qlYieldTSDiscount($U$35,Y9119,,Trigger)</f>
        <v>0.6721080587611441</v>
      </c>
    </row>
    <row r="9120" spans="25:26" x14ac:dyDescent="0.25">
      <c r="Y9120" s="63">
        <v>51653</v>
      </c>
      <c r="Z9120" s="61">
        <f>_xll.qlYieldTSDiscount($U$35,Y9120,,Trigger)</f>
        <v>0.67206357838589226</v>
      </c>
    </row>
    <row r="9121" spans="25:26" x14ac:dyDescent="0.25">
      <c r="Y9121" s="63">
        <v>51654</v>
      </c>
      <c r="Z9121" s="61">
        <f>_xll.qlYieldTSDiscount($U$35,Y9121,,Trigger)</f>
        <v>0.67201909732571496</v>
      </c>
    </row>
    <row r="9122" spans="25:26" x14ac:dyDescent="0.25">
      <c r="Y9122" s="63">
        <v>51655</v>
      </c>
      <c r="Z9122" s="61">
        <f>_xll.qlYieldTSDiscount($U$35,Y9122,,Trigger)</f>
        <v>0.67197461558312599</v>
      </c>
    </row>
    <row r="9123" spans="25:26" x14ac:dyDescent="0.25">
      <c r="Y9123" s="63">
        <v>51656</v>
      </c>
      <c r="Z9123" s="61">
        <f>_xll.qlYieldTSDiscount($U$35,Y9123,,Trigger)</f>
        <v>0.67193013316063865</v>
      </c>
    </row>
    <row r="9124" spans="25:26" x14ac:dyDescent="0.25">
      <c r="Y9124" s="63">
        <v>51657</v>
      </c>
      <c r="Z9124" s="61">
        <f>_xll.qlYieldTSDiscount($U$35,Y9124,,Trigger)</f>
        <v>0.67188565006076661</v>
      </c>
    </row>
    <row r="9125" spans="25:26" x14ac:dyDescent="0.25">
      <c r="Y9125" s="63">
        <v>51658</v>
      </c>
      <c r="Z9125" s="61">
        <f>_xll.qlYieldTSDiscount($U$35,Y9125,,Trigger)</f>
        <v>0.67184116628602342</v>
      </c>
    </row>
    <row r="9126" spans="25:26" x14ac:dyDescent="0.25">
      <c r="Y9126" s="63">
        <v>51659</v>
      </c>
      <c r="Z9126" s="61">
        <f>_xll.qlYieldTSDiscount($U$35,Y9126,,Trigger)</f>
        <v>0.6717966818389226</v>
      </c>
    </row>
    <row r="9127" spans="25:26" x14ac:dyDescent="0.25">
      <c r="Y9127" s="63">
        <v>51660</v>
      </c>
      <c r="Z9127" s="61">
        <f>_xll.qlYieldTSDiscount($U$35,Y9127,,Trigger)</f>
        <v>0.67175219672197772</v>
      </c>
    </row>
    <row r="9128" spans="25:26" x14ac:dyDescent="0.25">
      <c r="Y9128" s="63">
        <v>51661</v>
      </c>
      <c r="Z9128" s="61">
        <f>_xll.qlYieldTSDiscount($U$35,Y9128,,Trigger)</f>
        <v>0.67170771093770232</v>
      </c>
    </row>
    <row r="9129" spans="25:26" x14ac:dyDescent="0.25">
      <c r="Y9129" s="63">
        <v>51662</v>
      </c>
      <c r="Z9129" s="61">
        <f>_xll.qlYieldTSDiscount($U$35,Y9129,,Trigger)</f>
        <v>0.67166322448860993</v>
      </c>
    </row>
    <row r="9130" spans="25:26" x14ac:dyDescent="0.25">
      <c r="Y9130" s="63">
        <v>51663</v>
      </c>
      <c r="Z9130" s="61">
        <f>_xll.qlYieldTSDiscount($U$35,Y9130,,Trigger)</f>
        <v>0.67161873737721411</v>
      </c>
    </row>
    <row r="9131" spans="25:26" x14ac:dyDescent="0.25">
      <c r="Y9131" s="63">
        <v>51664</v>
      </c>
      <c r="Z9131" s="61">
        <f>_xll.qlYieldTSDiscount($U$35,Y9131,,Trigger)</f>
        <v>0.67157424960602841</v>
      </c>
    </row>
    <row r="9132" spans="25:26" x14ac:dyDescent="0.25">
      <c r="Y9132" s="63">
        <v>51665</v>
      </c>
      <c r="Z9132" s="61">
        <f>_xll.qlYieldTSDiscount($U$35,Y9132,,Trigger)</f>
        <v>0.67152976117756646</v>
      </c>
    </row>
    <row r="9133" spans="25:26" x14ac:dyDescent="0.25">
      <c r="Y9133" s="63">
        <v>51666</v>
      </c>
      <c r="Z9133" s="61">
        <f>_xll.qlYieldTSDiscount($U$35,Y9133,,Trigger)</f>
        <v>0.67148527209434172</v>
      </c>
    </row>
    <row r="9134" spans="25:26" x14ac:dyDescent="0.25">
      <c r="Y9134" s="63">
        <v>51667</v>
      </c>
      <c r="Z9134" s="61">
        <f>_xll.qlYieldTSDiscount($U$35,Y9134,,Trigger)</f>
        <v>0.67144078235886773</v>
      </c>
    </row>
    <row r="9135" spans="25:26" x14ac:dyDescent="0.25">
      <c r="Y9135" s="63">
        <v>51668</v>
      </c>
      <c r="Z9135" s="61">
        <f>_xll.qlYieldTSDiscount($U$35,Y9135,,Trigger)</f>
        <v>0.67139629197365813</v>
      </c>
    </row>
    <row r="9136" spans="25:26" x14ac:dyDescent="0.25">
      <c r="Y9136" s="63">
        <v>51669</v>
      </c>
      <c r="Z9136" s="61">
        <f>_xll.qlYieldTSDiscount($U$35,Y9136,,Trigger)</f>
        <v>0.67135180094122648</v>
      </c>
    </row>
    <row r="9137" spans="25:26" x14ac:dyDescent="0.25">
      <c r="Y9137" s="63">
        <v>51670</v>
      </c>
      <c r="Z9137" s="61">
        <f>_xll.qlYieldTSDiscount($U$35,Y9137,,Trigger)</f>
        <v>0.67130730926408622</v>
      </c>
    </row>
    <row r="9138" spans="25:26" x14ac:dyDescent="0.25">
      <c r="Y9138" s="63">
        <v>51671</v>
      </c>
      <c r="Z9138" s="61">
        <f>_xll.qlYieldTSDiscount($U$35,Y9138,,Trigger)</f>
        <v>0.67126281694475087</v>
      </c>
    </row>
    <row r="9139" spans="25:26" x14ac:dyDescent="0.25">
      <c r="Y9139" s="63">
        <v>51672</v>
      </c>
      <c r="Z9139" s="61">
        <f>_xll.qlYieldTSDiscount($U$35,Y9139,,Trigger)</f>
        <v>0.67121832398573411</v>
      </c>
    </row>
    <row r="9140" spans="25:26" x14ac:dyDescent="0.25">
      <c r="Y9140" s="63">
        <v>51673</v>
      </c>
      <c r="Z9140" s="61">
        <f>_xll.qlYieldTSDiscount($U$35,Y9140,,Trigger)</f>
        <v>0.67117383038954948</v>
      </c>
    </row>
    <row r="9141" spans="25:26" x14ac:dyDescent="0.25">
      <c r="Y9141" s="63">
        <v>51674</v>
      </c>
      <c r="Z9141" s="61">
        <f>_xll.qlYieldTSDiscount($U$35,Y9141,,Trigger)</f>
        <v>0.67112933615871051</v>
      </c>
    </row>
    <row r="9142" spans="25:26" x14ac:dyDescent="0.25">
      <c r="Y9142" s="63">
        <v>51675</v>
      </c>
      <c r="Z9142" s="61">
        <f>_xll.qlYieldTSDiscount($U$35,Y9142,,Trigger)</f>
        <v>0.67108484129573076</v>
      </c>
    </row>
    <row r="9143" spans="25:26" x14ac:dyDescent="0.25">
      <c r="Y9143" s="63">
        <v>51676</v>
      </c>
      <c r="Z9143" s="61">
        <f>_xll.qlYieldTSDiscount($U$35,Y9143,,Trigger)</f>
        <v>0.67104034580312366</v>
      </c>
    </row>
    <row r="9144" spans="25:26" x14ac:dyDescent="0.25">
      <c r="Y9144" s="63">
        <v>51677</v>
      </c>
      <c r="Z9144" s="61">
        <f>_xll.qlYieldTSDiscount($U$35,Y9144,,Trigger)</f>
        <v>0.67099584968340298</v>
      </c>
    </row>
    <row r="9145" spans="25:26" x14ac:dyDescent="0.25">
      <c r="Y9145" s="63">
        <v>51678</v>
      </c>
      <c r="Z9145" s="61">
        <f>_xll.qlYieldTSDiscount($U$35,Y9145,,Trigger)</f>
        <v>0.67095135293908204</v>
      </c>
    </row>
    <row r="9146" spans="25:26" x14ac:dyDescent="0.25">
      <c r="Y9146" s="63">
        <v>51679</v>
      </c>
      <c r="Z9146" s="61">
        <f>_xll.qlYieldTSDiscount($U$35,Y9146,,Trigger)</f>
        <v>0.6709068555726746</v>
      </c>
    </row>
    <row r="9147" spans="25:26" x14ac:dyDescent="0.25">
      <c r="Y9147" s="63">
        <v>51680</v>
      </c>
      <c r="Z9147" s="61">
        <f>_xll.qlYieldTSDiscount($U$35,Y9147,,Trigger)</f>
        <v>0.67086235758669399</v>
      </c>
    </row>
    <row r="9148" spans="25:26" x14ac:dyDescent="0.25">
      <c r="Y9148" s="63">
        <v>51681</v>
      </c>
      <c r="Z9148" s="61">
        <f>_xll.qlYieldTSDiscount($U$35,Y9148,,Trigger)</f>
        <v>0.67081785898365409</v>
      </c>
    </row>
    <row r="9149" spans="25:26" x14ac:dyDescent="0.25">
      <c r="Y9149" s="63">
        <v>51682</v>
      </c>
      <c r="Z9149" s="61">
        <f>_xll.qlYieldTSDiscount($U$35,Y9149,,Trigger)</f>
        <v>0.67077335976606811</v>
      </c>
    </row>
    <row r="9150" spans="25:26" x14ac:dyDescent="0.25">
      <c r="Y9150" s="63">
        <v>51683</v>
      </c>
      <c r="Z9150" s="61">
        <f>_xll.qlYieldTSDiscount($U$35,Y9150,,Trigger)</f>
        <v>0.67072885993644971</v>
      </c>
    </row>
    <row r="9151" spans="25:26" x14ac:dyDescent="0.25">
      <c r="Y9151" s="63">
        <v>51684</v>
      </c>
      <c r="Z9151" s="61">
        <f>_xll.qlYieldTSDiscount($U$35,Y9151,,Trigger)</f>
        <v>0.67068435949731253</v>
      </c>
    </row>
    <row r="9152" spans="25:26" x14ac:dyDescent="0.25">
      <c r="Y9152" s="63">
        <v>51685</v>
      </c>
      <c r="Z9152" s="61">
        <f>_xll.qlYieldTSDiscount($U$35,Y9152,,Trigger)</f>
        <v>0.67063985845117013</v>
      </c>
    </row>
    <row r="9153" spans="25:26" x14ac:dyDescent="0.25">
      <c r="Y9153" s="63">
        <v>51686</v>
      </c>
      <c r="Z9153" s="61">
        <f>_xll.qlYieldTSDiscount($U$35,Y9153,,Trigger)</f>
        <v>0.67059535680053584</v>
      </c>
    </row>
    <row r="9154" spans="25:26" x14ac:dyDescent="0.25">
      <c r="Y9154" s="63">
        <v>51687</v>
      </c>
      <c r="Z9154" s="61">
        <f>_xll.qlYieldTSDiscount($U$35,Y9154,,Trigger)</f>
        <v>0.67055085454792351</v>
      </c>
    </row>
    <row r="9155" spans="25:26" x14ac:dyDescent="0.25">
      <c r="Y9155" s="63">
        <v>51688</v>
      </c>
      <c r="Z9155" s="61">
        <f>_xll.qlYieldTSDiscount($U$35,Y9155,,Trigger)</f>
        <v>0.67050635169584638</v>
      </c>
    </row>
    <row r="9156" spans="25:26" x14ac:dyDescent="0.25">
      <c r="Y9156" s="63">
        <v>51689</v>
      </c>
      <c r="Z9156" s="61">
        <f>_xll.qlYieldTSDiscount($U$35,Y9156,,Trigger)</f>
        <v>0.67046184824681831</v>
      </c>
    </row>
    <row r="9157" spans="25:26" x14ac:dyDescent="0.25">
      <c r="Y9157" s="63">
        <v>51690</v>
      </c>
      <c r="Z9157" s="61">
        <f>_xll.qlYieldTSDiscount($U$35,Y9157,,Trigger)</f>
        <v>0.67041734420335264</v>
      </c>
    </row>
    <row r="9158" spans="25:26" x14ac:dyDescent="0.25">
      <c r="Y9158" s="63">
        <v>51691</v>
      </c>
      <c r="Z9158" s="61">
        <f>_xll.qlYieldTSDiscount($U$35,Y9158,,Trigger)</f>
        <v>0.67037283956796301</v>
      </c>
    </row>
    <row r="9159" spans="25:26" x14ac:dyDescent="0.25">
      <c r="Y9159" s="63">
        <v>51692</v>
      </c>
      <c r="Z9159" s="61">
        <f>_xll.qlYieldTSDiscount($U$35,Y9159,,Trigger)</f>
        <v>0.67032833434316297</v>
      </c>
    </row>
    <row r="9160" spans="25:26" x14ac:dyDescent="0.25">
      <c r="Y9160" s="63">
        <v>51693</v>
      </c>
      <c r="Z9160" s="61">
        <f>_xll.qlYieldTSDiscount($U$35,Y9160,,Trigger)</f>
        <v>0.67028382853146606</v>
      </c>
    </row>
    <row r="9161" spans="25:26" x14ac:dyDescent="0.25">
      <c r="Y9161" s="63">
        <v>51694</v>
      </c>
      <c r="Z9161" s="61">
        <f>_xll.qlYieldTSDiscount($U$35,Y9161,,Trigger)</f>
        <v>0.67023932213538573</v>
      </c>
    </row>
    <row r="9162" spans="25:26" x14ac:dyDescent="0.25">
      <c r="Y9162" s="63">
        <v>51695</v>
      </c>
      <c r="Z9162" s="61">
        <f>_xll.qlYieldTSDiscount($U$35,Y9162,,Trigger)</f>
        <v>0.67019481515743573</v>
      </c>
    </row>
    <row r="9163" spans="25:26" x14ac:dyDescent="0.25">
      <c r="Y9163" s="63">
        <v>51696</v>
      </c>
      <c r="Z9163" s="61">
        <f>_xll.qlYieldTSDiscount($U$35,Y9163,,Trigger)</f>
        <v>0.67015030760012939</v>
      </c>
    </row>
    <row r="9164" spans="25:26" x14ac:dyDescent="0.25">
      <c r="Y9164" s="63">
        <v>51697</v>
      </c>
      <c r="Z9164" s="61">
        <f>_xll.qlYieldTSDiscount($U$35,Y9164,,Trigger)</f>
        <v>0.67010579946598048</v>
      </c>
    </row>
    <row r="9165" spans="25:26" x14ac:dyDescent="0.25">
      <c r="Y9165" s="63">
        <v>51698</v>
      </c>
      <c r="Z9165" s="61">
        <f>_xll.qlYieldTSDiscount($U$35,Y9165,,Trigger)</f>
        <v>0.67006129075750254</v>
      </c>
    </row>
    <row r="9166" spans="25:26" x14ac:dyDescent="0.25">
      <c r="Y9166" s="63">
        <v>51699</v>
      </c>
      <c r="Z9166" s="61">
        <f>_xll.qlYieldTSDiscount($U$35,Y9166,,Trigger)</f>
        <v>0.67001678147720889</v>
      </c>
    </row>
    <row r="9167" spans="25:26" x14ac:dyDescent="0.25">
      <c r="Y9167" s="63">
        <v>51700</v>
      </c>
      <c r="Z9167" s="61">
        <f>_xll.qlYieldTSDiscount($U$35,Y9167,,Trigger)</f>
        <v>0.66997227162761319</v>
      </c>
    </row>
    <row r="9168" spans="25:26" x14ac:dyDescent="0.25">
      <c r="Y9168" s="63">
        <v>51701</v>
      </c>
      <c r="Z9168" s="61">
        <f>_xll.qlYieldTSDiscount($U$35,Y9168,,Trigger)</f>
        <v>0.6699277612112291</v>
      </c>
    </row>
    <row r="9169" spans="25:26" x14ac:dyDescent="0.25">
      <c r="Y9169" s="63">
        <v>51702</v>
      </c>
      <c r="Z9169" s="61">
        <f>_xll.qlYieldTSDiscount($U$35,Y9169,,Trigger)</f>
        <v>0.66988325023057005</v>
      </c>
    </row>
    <row r="9170" spans="25:26" x14ac:dyDescent="0.25">
      <c r="Y9170" s="63">
        <v>51703</v>
      </c>
      <c r="Z9170" s="61">
        <f>_xll.qlYieldTSDiscount($U$35,Y9170,,Trigger)</f>
        <v>0.66983873868814969</v>
      </c>
    </row>
    <row r="9171" spans="25:26" x14ac:dyDescent="0.25">
      <c r="Y9171" s="63">
        <v>51704</v>
      </c>
      <c r="Z9171" s="61">
        <f>_xll.qlYieldTSDiscount($U$35,Y9171,,Trigger)</f>
        <v>0.66979422658648147</v>
      </c>
    </row>
    <row r="9172" spans="25:26" x14ac:dyDescent="0.25">
      <c r="Y9172" s="63">
        <v>51705</v>
      </c>
      <c r="Z9172" s="61">
        <f>_xll.qlYieldTSDiscount($U$35,Y9172,,Trigger)</f>
        <v>0.66974971392807903</v>
      </c>
    </row>
    <row r="9173" spans="25:26" x14ac:dyDescent="0.25">
      <c r="Y9173" s="63">
        <v>51706</v>
      </c>
      <c r="Z9173" s="61">
        <f>_xll.qlYieldTSDiscount($U$35,Y9173,,Trigger)</f>
        <v>0.66970520071545581</v>
      </c>
    </row>
    <row r="9174" spans="25:26" x14ac:dyDescent="0.25">
      <c r="Y9174" s="63">
        <v>51707</v>
      </c>
      <c r="Z9174" s="61">
        <f>_xll.qlYieldTSDiscount($U$35,Y9174,,Trigger)</f>
        <v>0.66966068695112546</v>
      </c>
    </row>
    <row r="9175" spans="25:26" x14ac:dyDescent="0.25">
      <c r="Y9175" s="63">
        <v>51708</v>
      </c>
      <c r="Z9175" s="61">
        <f>_xll.qlYieldTSDiscount($U$35,Y9175,,Trigger)</f>
        <v>0.66961617263760154</v>
      </c>
    </row>
    <row r="9176" spans="25:26" x14ac:dyDescent="0.25">
      <c r="Y9176" s="63">
        <v>51709</v>
      </c>
      <c r="Z9176" s="61">
        <f>_xll.qlYieldTSDiscount($U$35,Y9176,,Trigger)</f>
        <v>0.66957165777739747</v>
      </c>
    </row>
    <row r="9177" spans="25:26" x14ac:dyDescent="0.25">
      <c r="Y9177" s="63">
        <v>51710</v>
      </c>
      <c r="Z9177" s="61">
        <f>_xll.qlYieldTSDiscount($U$35,Y9177,,Trigger)</f>
        <v>0.66952714237302702</v>
      </c>
    </row>
    <row r="9178" spans="25:26" x14ac:dyDescent="0.25">
      <c r="Y9178" s="63">
        <v>51711</v>
      </c>
      <c r="Z9178" s="61">
        <f>_xll.qlYieldTSDiscount($U$35,Y9178,,Trigger)</f>
        <v>0.66948262642700351</v>
      </c>
    </row>
    <row r="9179" spans="25:26" x14ac:dyDescent="0.25">
      <c r="Y9179" s="63">
        <v>51712</v>
      </c>
      <c r="Z9179" s="61">
        <f>_xll.qlYieldTSDiscount($U$35,Y9179,,Trigger)</f>
        <v>0.66943810994184072</v>
      </c>
    </row>
    <row r="9180" spans="25:26" x14ac:dyDescent="0.25">
      <c r="Y9180" s="63">
        <v>51713</v>
      </c>
      <c r="Z9180" s="61">
        <f>_xll.qlYieldTSDiscount($U$35,Y9180,,Trigger)</f>
        <v>0.66939359292005196</v>
      </c>
    </row>
    <row r="9181" spans="25:26" x14ac:dyDescent="0.25">
      <c r="Y9181" s="63">
        <v>51714</v>
      </c>
      <c r="Z9181" s="61">
        <f>_xll.qlYieldTSDiscount($U$35,Y9181,,Trigger)</f>
        <v>0.669349075364151</v>
      </c>
    </row>
    <row r="9182" spans="25:26" x14ac:dyDescent="0.25">
      <c r="Y9182" s="63">
        <v>51715</v>
      </c>
      <c r="Z9182" s="61">
        <f>_xll.qlYieldTSDiscount($U$35,Y9182,,Trigger)</f>
        <v>0.66930455727665117</v>
      </c>
    </row>
    <row r="9183" spans="25:26" x14ac:dyDescent="0.25">
      <c r="Y9183" s="63">
        <v>51716</v>
      </c>
      <c r="Z9183" s="61">
        <f>_xll.qlYieldTSDiscount($U$35,Y9183,,Trigger)</f>
        <v>0.66926003866006623</v>
      </c>
    </row>
    <row r="9184" spans="25:26" x14ac:dyDescent="0.25">
      <c r="Y9184" s="63">
        <v>51717</v>
      </c>
      <c r="Z9184" s="61">
        <f>_xll.qlYieldTSDiscount($U$35,Y9184,,Trigger)</f>
        <v>0.66921551951690961</v>
      </c>
    </row>
    <row r="9185" spans="25:26" x14ac:dyDescent="0.25">
      <c r="Y9185" s="63">
        <v>51718</v>
      </c>
      <c r="Z9185" s="61">
        <f>_xll.qlYieldTSDiscount($U$35,Y9185,,Trigger)</f>
        <v>0.66917099984969486</v>
      </c>
    </row>
    <row r="9186" spans="25:26" x14ac:dyDescent="0.25">
      <c r="Y9186" s="63">
        <v>51719</v>
      </c>
      <c r="Z9186" s="61">
        <f>_xll.qlYieldTSDiscount($U$35,Y9186,,Trigger)</f>
        <v>0.66912647966093564</v>
      </c>
    </row>
    <row r="9187" spans="25:26" x14ac:dyDescent="0.25">
      <c r="Y9187" s="63">
        <v>51720</v>
      </c>
      <c r="Z9187" s="61">
        <f>_xll.qlYieldTSDiscount($U$35,Y9187,,Trigger)</f>
        <v>0.66908195895314537</v>
      </c>
    </row>
    <row r="9188" spans="25:26" x14ac:dyDescent="0.25">
      <c r="Y9188" s="63">
        <v>51721</v>
      </c>
      <c r="Z9188" s="61">
        <f>_xll.qlYieldTSDiscount($U$35,Y9188,,Trigger)</f>
        <v>0.66903743772883773</v>
      </c>
    </row>
    <row r="9189" spans="25:26" x14ac:dyDescent="0.25">
      <c r="Y9189" s="63">
        <v>51722</v>
      </c>
      <c r="Z9189" s="61">
        <f>_xll.qlYieldTSDiscount($U$35,Y9189,,Trigger)</f>
        <v>0.66899291599052613</v>
      </c>
    </row>
    <row r="9190" spans="25:26" x14ac:dyDescent="0.25">
      <c r="Y9190" s="63">
        <v>51723</v>
      </c>
      <c r="Z9190" s="61">
        <f>_xll.qlYieldTSDiscount($U$35,Y9190,,Trigger)</f>
        <v>0.66894839374072412</v>
      </c>
    </row>
    <row r="9191" spans="25:26" x14ac:dyDescent="0.25">
      <c r="Y9191" s="63">
        <v>51724</v>
      </c>
      <c r="Z9191" s="61">
        <f>_xll.qlYieldTSDiscount($U$35,Y9191,,Trigger)</f>
        <v>0.66890387098194548</v>
      </c>
    </row>
    <row r="9192" spans="25:26" x14ac:dyDescent="0.25">
      <c r="Y9192" s="63">
        <v>51725</v>
      </c>
      <c r="Z9192" s="61">
        <f>_xll.qlYieldTSDiscount($U$35,Y9192,,Trigger)</f>
        <v>0.66885934771670352</v>
      </c>
    </row>
    <row r="9193" spans="25:26" x14ac:dyDescent="0.25">
      <c r="Y9193" s="63">
        <v>51726</v>
      </c>
      <c r="Z9193" s="61">
        <f>_xll.qlYieldTSDiscount($U$35,Y9193,,Trigger)</f>
        <v>0.66881482394751179</v>
      </c>
    </row>
    <row r="9194" spans="25:26" x14ac:dyDescent="0.25">
      <c r="Y9194" s="63">
        <v>51727</v>
      </c>
      <c r="Z9194" s="61">
        <f>_xll.qlYieldTSDiscount($U$35,Y9194,,Trigger)</f>
        <v>0.66877029967688406</v>
      </c>
    </row>
    <row r="9195" spans="25:26" x14ac:dyDescent="0.25">
      <c r="Y9195" s="63">
        <v>51728</v>
      </c>
      <c r="Z9195" s="61">
        <f>_xll.qlYieldTSDiscount($U$35,Y9195,,Trigger)</f>
        <v>0.66872577490733376</v>
      </c>
    </row>
    <row r="9196" spans="25:26" x14ac:dyDescent="0.25">
      <c r="Y9196" s="63">
        <v>51729</v>
      </c>
      <c r="Z9196" s="61">
        <f>_xll.qlYieldTSDiscount($U$35,Y9196,,Trigger)</f>
        <v>0.66868124964137432</v>
      </c>
    </row>
    <row r="9197" spans="25:26" x14ac:dyDescent="0.25">
      <c r="Y9197" s="63">
        <v>51730</v>
      </c>
      <c r="Z9197" s="61">
        <f>_xll.qlYieldTSDiscount($U$35,Y9197,,Trigger)</f>
        <v>0.66863672388151951</v>
      </c>
    </row>
    <row r="9198" spans="25:26" x14ac:dyDescent="0.25">
      <c r="Y9198" s="63">
        <v>51731</v>
      </c>
      <c r="Z9198" s="61">
        <f>_xll.qlYieldTSDiscount($U$35,Y9198,,Trigger)</f>
        <v>0.66859219763028266</v>
      </c>
    </row>
    <row r="9199" spans="25:26" x14ac:dyDescent="0.25">
      <c r="Y9199" s="63">
        <v>51732</v>
      </c>
      <c r="Z9199" s="61">
        <f>_xll.qlYieldTSDiscount($U$35,Y9199,,Trigger)</f>
        <v>0.66854767089017753</v>
      </c>
    </row>
    <row r="9200" spans="25:26" x14ac:dyDescent="0.25">
      <c r="Y9200" s="63">
        <v>51733</v>
      </c>
      <c r="Z9200" s="61">
        <f>_xll.qlYieldTSDiscount($U$35,Y9200,,Trigger)</f>
        <v>0.66850314366371755</v>
      </c>
    </row>
    <row r="9201" spans="25:26" x14ac:dyDescent="0.25">
      <c r="Y9201" s="63">
        <v>51734</v>
      </c>
      <c r="Z9201" s="61">
        <f>_xll.qlYieldTSDiscount($U$35,Y9201,,Trigger)</f>
        <v>0.66845861595341627</v>
      </c>
    </row>
    <row r="9202" spans="25:26" x14ac:dyDescent="0.25">
      <c r="Y9202" s="63">
        <v>51735</v>
      </c>
      <c r="Z9202" s="61">
        <f>_xll.qlYieldTSDiscount($U$35,Y9202,,Trigger)</f>
        <v>0.66841408776178723</v>
      </c>
    </row>
    <row r="9203" spans="25:26" x14ac:dyDescent="0.25">
      <c r="Y9203" s="63">
        <v>51736</v>
      </c>
      <c r="Z9203" s="61">
        <f>_xll.qlYieldTSDiscount($U$35,Y9203,,Trigger)</f>
        <v>0.6683695590913441</v>
      </c>
    </row>
    <row r="9204" spans="25:26" x14ac:dyDescent="0.25">
      <c r="Y9204" s="63">
        <v>51737</v>
      </c>
      <c r="Z9204" s="61">
        <f>_xll.qlYieldTSDiscount($U$35,Y9204,,Trigger)</f>
        <v>0.6683250299446003</v>
      </c>
    </row>
    <row r="9205" spans="25:26" x14ac:dyDescent="0.25">
      <c r="Y9205" s="63">
        <v>51738</v>
      </c>
      <c r="Z9205" s="61">
        <f>_xll.qlYieldTSDiscount($U$35,Y9205,,Trigger)</f>
        <v>0.66828050032406949</v>
      </c>
    </row>
    <row r="9206" spans="25:26" x14ac:dyDescent="0.25">
      <c r="Y9206" s="63">
        <v>51739</v>
      </c>
      <c r="Z9206" s="61">
        <f>_xll.qlYieldTSDiscount($U$35,Y9206,,Trigger)</f>
        <v>0.66823597023226511</v>
      </c>
    </row>
    <row r="9207" spans="25:26" x14ac:dyDescent="0.25">
      <c r="Y9207" s="63">
        <v>51740</v>
      </c>
      <c r="Z9207" s="61">
        <f>_xll.qlYieldTSDiscount($U$35,Y9207,,Trigger)</f>
        <v>0.66819143967170069</v>
      </c>
    </row>
    <row r="9208" spans="25:26" x14ac:dyDescent="0.25">
      <c r="Y9208" s="63">
        <v>51741</v>
      </c>
      <c r="Z9208" s="61">
        <f>_xll.qlYieldTSDiscount($U$35,Y9208,,Trigger)</f>
        <v>0.6681469086448899</v>
      </c>
    </row>
    <row r="9209" spans="25:26" x14ac:dyDescent="0.25">
      <c r="Y9209" s="63">
        <v>51742</v>
      </c>
      <c r="Z9209" s="61">
        <f>_xll.qlYieldTSDiscount($U$35,Y9209,,Trigger)</f>
        <v>0.66810237715434628</v>
      </c>
    </row>
    <row r="9210" spans="25:26" x14ac:dyDescent="0.25">
      <c r="Y9210" s="63">
        <v>51743</v>
      </c>
      <c r="Z9210" s="61">
        <f>_xll.qlYieldTSDiscount($U$35,Y9210,,Trigger)</f>
        <v>0.66805784520258338</v>
      </c>
    </row>
    <row r="9211" spans="25:26" x14ac:dyDescent="0.25">
      <c r="Y9211" s="63">
        <v>51744</v>
      </c>
      <c r="Z9211" s="61">
        <f>_xll.qlYieldTSDiscount($U$35,Y9211,,Trigger)</f>
        <v>0.66801331279211462</v>
      </c>
    </row>
    <row r="9212" spans="25:26" x14ac:dyDescent="0.25">
      <c r="Y9212" s="63">
        <v>51745</v>
      </c>
      <c r="Z9212" s="61">
        <f>_xll.qlYieldTSDiscount($U$35,Y9212,,Trigger)</f>
        <v>0.66796877992545378</v>
      </c>
    </row>
    <row r="9213" spans="25:26" x14ac:dyDescent="0.25">
      <c r="Y9213" s="63">
        <v>51746</v>
      </c>
      <c r="Z9213" s="61">
        <f>_xll.qlYieldTSDiscount($U$35,Y9213,,Trigger)</f>
        <v>0.66792424660511418</v>
      </c>
    </row>
    <row r="9214" spans="25:26" x14ac:dyDescent="0.25">
      <c r="Y9214" s="63">
        <v>51747</v>
      </c>
      <c r="Z9214" s="61">
        <f>_xll.qlYieldTSDiscount($U$35,Y9214,,Trigger)</f>
        <v>0.66787971283360947</v>
      </c>
    </row>
    <row r="9215" spans="25:26" x14ac:dyDescent="0.25">
      <c r="Y9215" s="63">
        <v>51748</v>
      </c>
      <c r="Z9215" s="61">
        <f>_xll.qlYieldTSDiscount($U$35,Y9215,,Trigger)</f>
        <v>0.66783517861345321</v>
      </c>
    </row>
    <row r="9216" spans="25:26" x14ac:dyDescent="0.25">
      <c r="Y9216" s="63">
        <v>51749</v>
      </c>
      <c r="Z9216" s="61">
        <f>_xll.qlYieldTSDiscount($U$35,Y9216,,Trigger)</f>
        <v>0.66779064394715903</v>
      </c>
    </row>
    <row r="9217" spans="25:26" x14ac:dyDescent="0.25">
      <c r="Y9217" s="63">
        <v>51750</v>
      </c>
      <c r="Z9217" s="61">
        <f>_xll.qlYieldTSDiscount($U$35,Y9217,,Trigger)</f>
        <v>0.66774610883724028</v>
      </c>
    </row>
    <row r="9218" spans="25:26" x14ac:dyDescent="0.25">
      <c r="Y9218" s="63">
        <v>51751</v>
      </c>
      <c r="Z9218" s="61">
        <f>_xll.qlYieldTSDiscount($U$35,Y9218,,Trigger)</f>
        <v>0.66770157328621071</v>
      </c>
    </row>
    <row r="9219" spans="25:26" x14ac:dyDescent="0.25">
      <c r="Y9219" s="63">
        <v>51752</v>
      </c>
      <c r="Z9219" s="61">
        <f>_xll.qlYieldTSDiscount($U$35,Y9219,,Trigger)</f>
        <v>0.66765703729658377</v>
      </c>
    </row>
    <row r="9220" spans="25:26" x14ac:dyDescent="0.25">
      <c r="Y9220" s="63">
        <v>51753</v>
      </c>
      <c r="Z9220" s="61">
        <f>_xll.qlYieldTSDiscount($U$35,Y9220,,Trigger)</f>
        <v>0.66761250087087298</v>
      </c>
    </row>
    <row r="9221" spans="25:26" x14ac:dyDescent="0.25">
      <c r="Y9221" s="63">
        <v>51754</v>
      </c>
      <c r="Z9221" s="61">
        <f>_xll.qlYieldTSDiscount($U$35,Y9221,,Trigger)</f>
        <v>0.66756796401159191</v>
      </c>
    </row>
    <row r="9222" spans="25:26" x14ac:dyDescent="0.25">
      <c r="Y9222" s="63">
        <v>51755</v>
      </c>
      <c r="Z9222" s="61">
        <f>_xll.qlYieldTSDiscount($U$35,Y9222,,Trigger)</f>
        <v>0.6675234267212542</v>
      </c>
    </row>
    <row r="9223" spans="25:26" x14ac:dyDescent="0.25">
      <c r="Y9223" s="63">
        <v>51756</v>
      </c>
      <c r="Z9223" s="61">
        <f>_xll.qlYieldTSDiscount($U$35,Y9223,,Trigger)</f>
        <v>0.6674788890023734</v>
      </c>
    </row>
    <row r="9224" spans="25:26" x14ac:dyDescent="0.25">
      <c r="Y9224" s="63">
        <v>51757</v>
      </c>
      <c r="Z9224" s="61">
        <f>_xll.qlYieldTSDiscount($U$35,Y9224,,Trigger)</f>
        <v>0.66743435085746294</v>
      </c>
    </row>
    <row r="9225" spans="25:26" x14ac:dyDescent="0.25">
      <c r="Y9225" s="63">
        <v>51758</v>
      </c>
      <c r="Z9225" s="61">
        <f>_xll.qlYieldTSDiscount($U$35,Y9225,,Trigger)</f>
        <v>0.66738981228903649</v>
      </c>
    </row>
    <row r="9226" spans="25:26" x14ac:dyDescent="0.25">
      <c r="Y9226" s="63">
        <v>51759</v>
      </c>
      <c r="Z9226" s="61">
        <f>_xll.qlYieldTSDiscount($U$35,Y9226,,Trigger)</f>
        <v>0.66734527329960747</v>
      </c>
    </row>
    <row r="9227" spans="25:26" x14ac:dyDescent="0.25">
      <c r="Y9227" s="63">
        <v>51760</v>
      </c>
      <c r="Z9227" s="61">
        <f>_xll.qlYieldTSDiscount($U$35,Y9227,,Trigger)</f>
        <v>0.66730073389168942</v>
      </c>
    </row>
    <row r="9228" spans="25:26" x14ac:dyDescent="0.25">
      <c r="Y9228" s="63">
        <v>51761</v>
      </c>
      <c r="Z9228" s="61">
        <f>_xll.qlYieldTSDiscount($U$35,Y9228,,Trigger)</f>
        <v>0.66725619406779613</v>
      </c>
    </row>
    <row r="9229" spans="25:26" x14ac:dyDescent="0.25">
      <c r="Y9229" s="63">
        <v>51762</v>
      </c>
      <c r="Z9229" s="61">
        <f>_xll.qlYieldTSDiscount($U$35,Y9229,,Trigger)</f>
        <v>0.66721165383044101</v>
      </c>
    </row>
    <row r="9230" spans="25:26" x14ac:dyDescent="0.25">
      <c r="Y9230" s="63">
        <v>51763</v>
      </c>
      <c r="Z9230" s="61">
        <f>_xll.qlYieldTSDiscount($U$35,Y9230,,Trigger)</f>
        <v>0.66716711318213751</v>
      </c>
    </row>
    <row r="9231" spans="25:26" x14ac:dyDescent="0.25">
      <c r="Y9231" s="63">
        <v>51764</v>
      </c>
      <c r="Z9231" s="61">
        <f>_xll.qlYieldTSDiscount($U$35,Y9231,,Trigger)</f>
        <v>0.66712257212539938</v>
      </c>
    </row>
    <row r="9232" spans="25:26" x14ac:dyDescent="0.25">
      <c r="Y9232" s="63">
        <v>51765</v>
      </c>
      <c r="Z9232" s="61">
        <f>_xll.qlYieldTSDiscount($U$35,Y9232,,Trigger)</f>
        <v>0.66707803066273996</v>
      </c>
    </row>
    <row r="9233" spans="25:26" x14ac:dyDescent="0.25">
      <c r="Y9233" s="63">
        <v>51766</v>
      </c>
      <c r="Z9233" s="61">
        <f>_xll.qlYieldTSDiscount($U$35,Y9233,,Trigger)</f>
        <v>0.66703348879667301</v>
      </c>
    </row>
    <row r="9234" spans="25:26" x14ac:dyDescent="0.25">
      <c r="Y9234" s="63">
        <v>51767</v>
      </c>
      <c r="Z9234" s="61">
        <f>_xll.qlYieldTSDiscount($U$35,Y9234,,Trigger)</f>
        <v>0.66698894652971186</v>
      </c>
    </row>
    <row r="9235" spans="25:26" x14ac:dyDescent="0.25">
      <c r="Y9235" s="63">
        <v>51768</v>
      </c>
      <c r="Z9235" s="61">
        <f>_xll.qlYieldTSDiscount($U$35,Y9235,,Trigger)</f>
        <v>0.66694440386437026</v>
      </c>
    </row>
    <row r="9236" spans="25:26" x14ac:dyDescent="0.25">
      <c r="Y9236" s="63">
        <v>51769</v>
      </c>
      <c r="Z9236" s="61">
        <f>_xll.qlYieldTSDiscount($U$35,Y9236,,Trigger)</f>
        <v>0.66689986080316166</v>
      </c>
    </row>
    <row r="9237" spans="25:26" x14ac:dyDescent="0.25">
      <c r="Y9237" s="63">
        <v>51770</v>
      </c>
      <c r="Z9237" s="61">
        <f>_xll.qlYieldTSDiscount($U$35,Y9237,,Trigger)</f>
        <v>0.6668553173485996</v>
      </c>
    </row>
    <row r="9238" spans="25:26" x14ac:dyDescent="0.25">
      <c r="Y9238" s="63">
        <v>51771</v>
      </c>
      <c r="Z9238" s="61">
        <f>_xll.qlYieldTSDiscount($U$35,Y9238,,Trigger)</f>
        <v>0.66681077350319773</v>
      </c>
    </row>
    <row r="9239" spans="25:26" x14ac:dyDescent="0.25">
      <c r="Y9239" s="63">
        <v>51772</v>
      </c>
      <c r="Z9239" s="61">
        <f>_xll.qlYieldTSDiscount($U$35,Y9239,,Trigger)</f>
        <v>0.66676622926946949</v>
      </c>
    </row>
    <row r="9240" spans="25:26" x14ac:dyDescent="0.25">
      <c r="Y9240" s="63">
        <v>51773</v>
      </c>
      <c r="Z9240" s="61">
        <f>_xll.qlYieldTSDiscount($U$35,Y9240,,Trigger)</f>
        <v>0.66672168464992843</v>
      </c>
    </row>
    <row r="9241" spans="25:26" x14ac:dyDescent="0.25">
      <c r="Y9241" s="63">
        <v>51774</v>
      </c>
      <c r="Z9241" s="61">
        <f>_xll.qlYieldTSDiscount($U$35,Y9241,,Trigger)</f>
        <v>0.66667713964708819</v>
      </c>
    </row>
    <row r="9242" spans="25:26" x14ac:dyDescent="0.25">
      <c r="Y9242" s="63">
        <v>51775</v>
      </c>
      <c r="Z9242" s="61">
        <f>_xll.qlYieldTSDiscount($U$35,Y9242,,Trigger)</f>
        <v>0.66663259426346233</v>
      </c>
    </row>
    <row r="9243" spans="25:26" x14ac:dyDescent="0.25">
      <c r="Y9243" s="63">
        <v>51776</v>
      </c>
      <c r="Z9243" s="61">
        <f>_xll.qlYieldTSDiscount($U$35,Y9243,,Trigger)</f>
        <v>0.66658804850156428</v>
      </c>
    </row>
    <row r="9244" spans="25:26" x14ac:dyDescent="0.25">
      <c r="Y9244" s="63">
        <v>51777</v>
      </c>
      <c r="Z9244" s="61">
        <f>_xll.qlYieldTSDiscount($U$35,Y9244,,Trigger)</f>
        <v>0.66654350236390769</v>
      </c>
    </row>
    <row r="9245" spans="25:26" x14ac:dyDescent="0.25">
      <c r="Y9245" s="63">
        <v>51778</v>
      </c>
      <c r="Z9245" s="61">
        <f>_xll.qlYieldTSDiscount($U$35,Y9245,,Trigger)</f>
        <v>0.666498955853006</v>
      </c>
    </row>
    <row r="9246" spans="25:26" x14ac:dyDescent="0.25">
      <c r="Y9246" s="63">
        <v>51779</v>
      </c>
      <c r="Z9246" s="61">
        <f>_xll.qlYieldTSDiscount($U$35,Y9246,,Trigger)</f>
        <v>0.66645440897137298</v>
      </c>
    </row>
    <row r="9247" spans="25:26" x14ac:dyDescent="0.25">
      <c r="Y9247" s="63">
        <v>51780</v>
      </c>
      <c r="Z9247" s="61">
        <f>_xll.qlYieldTSDiscount($U$35,Y9247,,Trigger)</f>
        <v>0.66640986172152195</v>
      </c>
    </row>
    <row r="9248" spans="25:26" x14ac:dyDescent="0.25">
      <c r="Y9248" s="63">
        <v>51781</v>
      </c>
      <c r="Z9248" s="61">
        <f>_xll.qlYieldTSDiscount($U$35,Y9248,,Trigger)</f>
        <v>0.66636531410596656</v>
      </c>
    </row>
    <row r="9249" spans="25:26" x14ac:dyDescent="0.25">
      <c r="Y9249" s="63">
        <v>51782</v>
      </c>
      <c r="Z9249" s="61">
        <f>_xll.qlYieldTSDiscount($U$35,Y9249,,Trigger)</f>
        <v>0.66632076612722035</v>
      </c>
    </row>
    <row r="9250" spans="25:26" x14ac:dyDescent="0.25">
      <c r="Y9250" s="63">
        <v>51783</v>
      </c>
      <c r="Z9250" s="61">
        <f>_xll.qlYieldTSDiscount($U$35,Y9250,,Trigger)</f>
        <v>0.666276217787797</v>
      </c>
    </row>
    <row r="9251" spans="25:26" x14ac:dyDescent="0.25">
      <c r="Y9251" s="63">
        <v>51784</v>
      </c>
      <c r="Z9251" s="61">
        <f>_xll.qlYieldTSDiscount($U$35,Y9251,,Trigger)</f>
        <v>0.6662316690902097</v>
      </c>
    </row>
    <row r="9252" spans="25:26" x14ac:dyDescent="0.25">
      <c r="Y9252" s="63">
        <v>51785</v>
      </c>
      <c r="Z9252" s="61">
        <f>_xll.qlYieldTSDiscount($U$35,Y9252,,Trigger)</f>
        <v>0.66618712003697245</v>
      </c>
    </row>
    <row r="9253" spans="25:26" x14ac:dyDescent="0.25">
      <c r="Y9253" s="63">
        <v>51786</v>
      </c>
      <c r="Z9253" s="61">
        <f>_xll.qlYieldTSDiscount($U$35,Y9253,,Trigger)</f>
        <v>0.66614257063059845</v>
      </c>
    </row>
    <row r="9254" spans="25:26" x14ac:dyDescent="0.25">
      <c r="Y9254" s="63">
        <v>51787</v>
      </c>
      <c r="Z9254" s="61">
        <f>_xll.qlYieldTSDiscount($U$35,Y9254,,Trigger)</f>
        <v>0.66609802087360148</v>
      </c>
    </row>
    <row r="9255" spans="25:26" x14ac:dyDescent="0.25">
      <c r="Y9255" s="63">
        <v>51788</v>
      </c>
      <c r="Z9255" s="61">
        <f>_xll.qlYieldTSDiscount($U$35,Y9255,,Trigger)</f>
        <v>0.66605347076849508</v>
      </c>
    </row>
    <row r="9256" spans="25:26" x14ac:dyDescent="0.25">
      <c r="Y9256" s="63">
        <v>51789</v>
      </c>
      <c r="Z9256" s="61">
        <f>_xll.qlYieldTSDiscount($U$35,Y9256,,Trigger)</f>
        <v>0.66600892031779257</v>
      </c>
    </row>
    <row r="9257" spans="25:26" x14ac:dyDescent="0.25">
      <c r="Y9257" s="63">
        <v>51790</v>
      </c>
      <c r="Z9257" s="61">
        <f>_xll.qlYieldTSDiscount($U$35,Y9257,,Trigger)</f>
        <v>0.66596436952400773</v>
      </c>
    </row>
    <row r="9258" spans="25:26" x14ac:dyDescent="0.25">
      <c r="Y9258" s="63">
        <v>51791</v>
      </c>
      <c r="Z9258" s="61">
        <f>_xll.qlYieldTSDiscount($U$35,Y9258,,Trigger)</f>
        <v>0.66591981838965397</v>
      </c>
    </row>
    <row r="9259" spans="25:26" x14ac:dyDescent="0.25">
      <c r="Y9259" s="63">
        <v>51792</v>
      </c>
      <c r="Z9259" s="61">
        <f>_xll.qlYieldTSDiscount($U$35,Y9259,,Trigger)</f>
        <v>0.66587526691724497</v>
      </c>
    </row>
    <row r="9260" spans="25:26" x14ac:dyDescent="0.25">
      <c r="Y9260" s="63">
        <v>51793</v>
      </c>
      <c r="Z9260" s="61">
        <f>_xll.qlYieldTSDiscount($U$35,Y9260,,Trigger)</f>
        <v>0.66583071510929426</v>
      </c>
    </row>
    <row r="9261" spans="25:26" x14ac:dyDescent="0.25">
      <c r="Y9261" s="63">
        <v>51794</v>
      </c>
      <c r="Z9261" s="61">
        <f>_xll.qlYieldTSDiscount($U$35,Y9261,,Trigger)</f>
        <v>0.66578616296831528</v>
      </c>
    </row>
    <row r="9262" spans="25:26" x14ac:dyDescent="0.25">
      <c r="Y9262" s="63">
        <v>51795</v>
      </c>
      <c r="Z9262" s="61">
        <f>_xll.qlYieldTSDiscount($U$35,Y9262,,Trigger)</f>
        <v>0.66574161049682168</v>
      </c>
    </row>
    <row r="9263" spans="25:26" x14ac:dyDescent="0.25">
      <c r="Y9263" s="63">
        <v>51796</v>
      </c>
      <c r="Z9263" s="61">
        <f>_xll.qlYieldTSDiscount($U$35,Y9263,,Trigger)</f>
        <v>0.66569705769732701</v>
      </c>
    </row>
    <row r="9264" spans="25:26" x14ac:dyDescent="0.25">
      <c r="Y9264" s="63">
        <v>51797</v>
      </c>
      <c r="Z9264" s="61">
        <f>_xll.qlYieldTSDiscount($U$35,Y9264,,Trigger)</f>
        <v>0.66565250457234471</v>
      </c>
    </row>
    <row r="9265" spans="25:26" x14ac:dyDescent="0.25">
      <c r="Y9265" s="63">
        <v>51798</v>
      </c>
      <c r="Z9265" s="61">
        <f>_xll.qlYieldTSDiscount($U$35,Y9265,,Trigger)</f>
        <v>0.66560795112438853</v>
      </c>
    </row>
    <row r="9266" spans="25:26" x14ac:dyDescent="0.25">
      <c r="Y9266" s="63">
        <v>51799</v>
      </c>
      <c r="Z9266" s="61">
        <f>_xll.qlYieldTSDiscount($U$35,Y9266,,Trigger)</f>
        <v>0.66556339735597181</v>
      </c>
    </row>
    <row r="9267" spans="25:26" x14ac:dyDescent="0.25">
      <c r="Y9267" s="63">
        <v>51800</v>
      </c>
      <c r="Z9267" s="61">
        <f>_xll.qlYieldTSDiscount($U$35,Y9267,,Trigger)</f>
        <v>0.6655188432696082</v>
      </c>
    </row>
    <row r="9268" spans="25:26" x14ac:dyDescent="0.25">
      <c r="Y9268" s="63">
        <v>51801</v>
      </c>
      <c r="Z9268" s="61">
        <f>_xll.qlYieldTSDiscount($U$35,Y9268,,Trigger)</f>
        <v>0.66547428886781135</v>
      </c>
    </row>
    <row r="9269" spans="25:26" x14ac:dyDescent="0.25">
      <c r="Y9269" s="63">
        <v>51802</v>
      </c>
      <c r="Z9269" s="61">
        <f>_xll.qlYieldTSDiscount($U$35,Y9269,,Trigger)</f>
        <v>0.66542973415309459</v>
      </c>
    </row>
    <row r="9270" spans="25:26" x14ac:dyDescent="0.25">
      <c r="Y9270" s="63">
        <v>51803</v>
      </c>
      <c r="Z9270" s="61">
        <f>_xll.qlYieldTSDiscount($U$35,Y9270,,Trigger)</f>
        <v>0.66538517912797168</v>
      </c>
    </row>
    <row r="9271" spans="25:26" x14ac:dyDescent="0.25">
      <c r="Y9271" s="63">
        <v>51804</v>
      </c>
      <c r="Z9271" s="61">
        <f>_xll.qlYieldTSDiscount($U$35,Y9271,,Trigger)</f>
        <v>0.66534062379495607</v>
      </c>
    </row>
    <row r="9272" spans="25:26" x14ac:dyDescent="0.25">
      <c r="Y9272" s="63">
        <v>51805</v>
      </c>
      <c r="Z9272" s="61">
        <f>_xll.qlYieldTSDiscount($U$35,Y9272,,Trigger)</f>
        <v>0.66529606815656128</v>
      </c>
    </row>
    <row r="9273" spans="25:26" x14ac:dyDescent="0.25">
      <c r="Y9273" s="63">
        <v>51806</v>
      </c>
      <c r="Z9273" s="61">
        <f>_xll.qlYieldTSDiscount($U$35,Y9273,,Trigger)</f>
        <v>0.66525151221530099</v>
      </c>
    </row>
    <row r="9274" spans="25:26" x14ac:dyDescent="0.25">
      <c r="Y9274" s="63">
        <v>51807</v>
      </c>
      <c r="Z9274" s="61">
        <f>_xll.qlYieldTSDiscount($U$35,Y9274,,Trigger)</f>
        <v>0.66520695597368851</v>
      </c>
    </row>
    <row r="9275" spans="25:26" x14ac:dyDescent="0.25">
      <c r="Y9275" s="63">
        <v>51808</v>
      </c>
      <c r="Z9275" s="61">
        <f>_xll.qlYieldTSDiscount($U$35,Y9275,,Trigger)</f>
        <v>0.66516239943423772</v>
      </c>
    </row>
    <row r="9276" spans="25:26" x14ac:dyDescent="0.25">
      <c r="Y9276" s="63">
        <v>51809</v>
      </c>
      <c r="Z9276" s="61">
        <f>_xll.qlYieldTSDiscount($U$35,Y9276,,Trigger)</f>
        <v>0.66511784259946194</v>
      </c>
    </row>
    <row r="9277" spans="25:26" x14ac:dyDescent="0.25">
      <c r="Y9277" s="63">
        <v>51810</v>
      </c>
      <c r="Z9277" s="61">
        <f>_xll.qlYieldTSDiscount($U$35,Y9277,,Trigger)</f>
        <v>0.66507328547187472</v>
      </c>
    </row>
    <row r="9278" spans="25:26" x14ac:dyDescent="0.25">
      <c r="Y9278" s="63">
        <v>51811</v>
      </c>
      <c r="Z9278" s="61">
        <f>_xll.qlYieldTSDiscount($U$35,Y9278,,Trigger)</f>
        <v>0.66502872805398983</v>
      </c>
    </row>
    <row r="9279" spans="25:26" x14ac:dyDescent="0.25">
      <c r="Y9279" s="63">
        <v>51812</v>
      </c>
      <c r="Z9279" s="61">
        <f>_xll.qlYieldTSDiscount($U$35,Y9279,,Trigger)</f>
        <v>0.66498417034832058</v>
      </c>
    </row>
    <row r="9280" spans="25:26" x14ac:dyDescent="0.25">
      <c r="Y9280" s="63">
        <v>51813</v>
      </c>
      <c r="Z9280" s="61">
        <f>_xll.qlYieldTSDiscount($U$35,Y9280,,Trigger)</f>
        <v>0.66493961235738053</v>
      </c>
    </row>
    <row r="9281" spans="25:26" x14ac:dyDescent="0.25">
      <c r="Y9281" s="63">
        <v>51814</v>
      </c>
      <c r="Z9281" s="61">
        <f>_xll.qlYieldTSDiscount($U$35,Y9281,,Trigger)</f>
        <v>0.66489505408368332</v>
      </c>
    </row>
    <row r="9282" spans="25:26" x14ac:dyDescent="0.25">
      <c r="Y9282" s="63">
        <v>51815</v>
      </c>
      <c r="Z9282" s="61">
        <f>_xll.qlYieldTSDiscount($U$35,Y9282,,Trigger)</f>
        <v>0.66485049552974251</v>
      </c>
    </row>
    <row r="9283" spans="25:26" x14ac:dyDescent="0.25">
      <c r="Y9283" s="63">
        <v>51816</v>
      </c>
      <c r="Z9283" s="61">
        <f>_xll.qlYieldTSDiscount($U$35,Y9283,,Trigger)</f>
        <v>0.66480593669807175</v>
      </c>
    </row>
    <row r="9284" spans="25:26" x14ac:dyDescent="0.25">
      <c r="Y9284" s="63">
        <v>51817</v>
      </c>
      <c r="Z9284" s="61">
        <f>_xll.qlYieldTSDiscount($U$35,Y9284,,Trigger)</f>
        <v>0.66476137759118437</v>
      </c>
    </row>
    <row r="9285" spans="25:26" x14ac:dyDescent="0.25">
      <c r="Y9285" s="63">
        <v>51818</v>
      </c>
      <c r="Z9285" s="61">
        <f>_xll.qlYieldTSDiscount($U$35,Y9285,,Trigger)</f>
        <v>0.66471681821159401</v>
      </c>
    </row>
    <row r="9286" spans="25:26" x14ac:dyDescent="0.25">
      <c r="Y9286" s="63">
        <v>51819</v>
      </c>
      <c r="Z9286" s="61">
        <f>_xll.qlYieldTSDiscount($U$35,Y9286,,Trigger)</f>
        <v>0.66467225856181422</v>
      </c>
    </row>
    <row r="9287" spans="25:26" x14ac:dyDescent="0.25">
      <c r="Y9287" s="63">
        <v>51820</v>
      </c>
      <c r="Z9287" s="61">
        <f>_xll.qlYieldTSDiscount($U$35,Y9287,,Trigger)</f>
        <v>0.66462769864435867</v>
      </c>
    </row>
    <row r="9288" spans="25:26" x14ac:dyDescent="0.25">
      <c r="Y9288" s="63">
        <v>51821</v>
      </c>
      <c r="Z9288" s="61">
        <f>_xll.qlYieldTSDiscount($U$35,Y9288,,Trigger)</f>
        <v>0.66458313846174066</v>
      </c>
    </row>
    <row r="9289" spans="25:26" x14ac:dyDescent="0.25">
      <c r="Y9289" s="63">
        <v>51822</v>
      </c>
      <c r="Z9289" s="61">
        <f>_xll.qlYieldTSDiscount($U$35,Y9289,,Trigger)</f>
        <v>0.66453857801647398</v>
      </c>
    </row>
    <row r="9290" spans="25:26" x14ac:dyDescent="0.25">
      <c r="Y9290" s="63">
        <v>51823</v>
      </c>
      <c r="Z9290" s="61">
        <f>_xll.qlYieldTSDiscount($U$35,Y9290,,Trigger)</f>
        <v>0.66449401731107205</v>
      </c>
    </row>
    <row r="9291" spans="25:26" x14ac:dyDescent="0.25">
      <c r="Y9291" s="63">
        <v>51824</v>
      </c>
      <c r="Z9291" s="61">
        <f>_xll.qlYieldTSDiscount($U$35,Y9291,,Trigger)</f>
        <v>0.66444945634804853</v>
      </c>
    </row>
    <row r="9292" spans="25:26" x14ac:dyDescent="0.25">
      <c r="Y9292" s="63">
        <v>51825</v>
      </c>
      <c r="Z9292" s="61">
        <f>_xll.qlYieldTSDiscount($U$35,Y9292,,Trigger)</f>
        <v>0.66440489512991685</v>
      </c>
    </row>
    <row r="9293" spans="25:26" x14ac:dyDescent="0.25">
      <c r="Y9293" s="63">
        <v>51826</v>
      </c>
      <c r="Z9293" s="61">
        <f>_xll.qlYieldTSDiscount($U$35,Y9293,,Trigger)</f>
        <v>0.66436033365919056</v>
      </c>
    </row>
    <row r="9294" spans="25:26" x14ac:dyDescent="0.25">
      <c r="Y9294" s="63">
        <v>51827</v>
      </c>
      <c r="Z9294" s="61">
        <f>_xll.qlYieldTSDiscount($U$35,Y9294,,Trigger)</f>
        <v>0.66431577193838331</v>
      </c>
    </row>
    <row r="9295" spans="25:26" x14ac:dyDescent="0.25">
      <c r="Y9295" s="63">
        <v>51828</v>
      </c>
      <c r="Z9295" s="61">
        <f>_xll.qlYieldTSDiscount($U$35,Y9295,,Trigger)</f>
        <v>0.66427120997000866</v>
      </c>
    </row>
    <row r="9296" spans="25:26" x14ac:dyDescent="0.25">
      <c r="Y9296" s="63">
        <v>51829</v>
      </c>
      <c r="Z9296" s="61">
        <f>_xll.qlYieldTSDiscount($U$35,Y9296,,Trigger)</f>
        <v>0.66422664775658002</v>
      </c>
    </row>
    <row r="9297" spans="25:26" x14ac:dyDescent="0.25">
      <c r="Y9297" s="63">
        <v>51830</v>
      </c>
      <c r="Z9297" s="61">
        <f>_xll.qlYieldTSDiscount($U$35,Y9297,,Trigger)</f>
        <v>0.66418208530061107</v>
      </c>
    </row>
    <row r="9298" spans="25:26" x14ac:dyDescent="0.25">
      <c r="Y9298" s="63">
        <v>51831</v>
      </c>
      <c r="Z9298" s="61">
        <f>_xll.qlYieldTSDiscount($U$35,Y9298,,Trigger)</f>
        <v>0.66413752260461523</v>
      </c>
    </row>
    <row r="9299" spans="25:26" x14ac:dyDescent="0.25">
      <c r="Y9299" s="63">
        <v>51832</v>
      </c>
      <c r="Z9299" s="61">
        <f>_xll.qlYieldTSDiscount($U$35,Y9299,,Trigger)</f>
        <v>0.66409295967110626</v>
      </c>
    </row>
    <row r="9300" spans="25:26" x14ac:dyDescent="0.25">
      <c r="Y9300" s="63">
        <v>51833</v>
      </c>
      <c r="Z9300" s="61">
        <f>_xll.qlYieldTSDiscount($U$35,Y9300,,Trigger)</f>
        <v>0.66404839650259762</v>
      </c>
    </row>
    <row r="9301" spans="25:26" x14ac:dyDescent="0.25">
      <c r="Y9301" s="63">
        <v>51834</v>
      </c>
      <c r="Z9301" s="61">
        <f>_xll.qlYieldTSDiscount($U$35,Y9301,,Trigger)</f>
        <v>0.66400383310160271</v>
      </c>
    </row>
    <row r="9302" spans="25:26" x14ac:dyDescent="0.25">
      <c r="Y9302" s="63">
        <v>51835</v>
      </c>
      <c r="Z9302" s="61">
        <f>_xll.qlYieldTSDiscount($U$35,Y9302,,Trigger)</f>
        <v>0.66395926947063522</v>
      </c>
    </row>
    <row r="9303" spans="25:26" x14ac:dyDescent="0.25">
      <c r="Y9303" s="63">
        <v>51836</v>
      </c>
      <c r="Z9303" s="61">
        <f>_xll.qlYieldTSDiscount($U$35,Y9303,,Trigger)</f>
        <v>0.66391470561220867</v>
      </c>
    </row>
    <row r="9304" spans="25:26" x14ac:dyDescent="0.25">
      <c r="Y9304" s="63">
        <v>51837</v>
      </c>
      <c r="Z9304" s="61">
        <f>_xll.qlYieldTSDiscount($U$35,Y9304,,Trigger)</f>
        <v>0.66387014152883672</v>
      </c>
    </row>
    <row r="9305" spans="25:26" x14ac:dyDescent="0.25">
      <c r="Y9305" s="63">
        <v>51838</v>
      </c>
      <c r="Z9305" s="61">
        <f>_xll.qlYieldTSDiscount($U$35,Y9305,,Trigger)</f>
        <v>0.66382557722303281</v>
      </c>
    </row>
    <row r="9306" spans="25:26" x14ac:dyDescent="0.25">
      <c r="Y9306" s="63">
        <v>51839</v>
      </c>
      <c r="Z9306" s="61">
        <f>_xll.qlYieldTSDiscount($U$35,Y9306,,Trigger)</f>
        <v>0.66378101269731049</v>
      </c>
    </row>
    <row r="9307" spans="25:26" x14ac:dyDescent="0.25">
      <c r="Y9307" s="63">
        <v>51840</v>
      </c>
      <c r="Z9307" s="61">
        <f>_xll.qlYieldTSDiscount($U$35,Y9307,,Trigger)</f>
        <v>0.6637364479541833</v>
      </c>
    </row>
    <row r="9308" spans="25:26" x14ac:dyDescent="0.25">
      <c r="Y9308" s="63">
        <v>51841</v>
      </c>
      <c r="Z9308" s="61">
        <f>_xll.qlYieldTSDiscount($U$35,Y9308,,Trigger)</f>
        <v>0.66369188299616488</v>
      </c>
    </row>
    <row r="9309" spans="25:26" x14ac:dyDescent="0.25">
      <c r="Y9309" s="63">
        <v>51842</v>
      </c>
      <c r="Z9309" s="61">
        <f>_xll.qlYieldTSDiscount($U$35,Y9309,,Trigger)</f>
        <v>0.66364731782576869</v>
      </c>
    </row>
    <row r="9310" spans="25:26" x14ac:dyDescent="0.25">
      <c r="Y9310" s="63">
        <v>51843</v>
      </c>
      <c r="Z9310" s="61">
        <f>_xll.qlYieldTSDiscount($U$35,Y9310,,Trigger)</f>
        <v>0.66360275244550826</v>
      </c>
    </row>
    <row r="9311" spans="25:26" x14ac:dyDescent="0.25">
      <c r="Y9311" s="63">
        <v>51844</v>
      </c>
      <c r="Z9311" s="61">
        <f>_xll.qlYieldTSDiscount($U$35,Y9311,,Trigger)</f>
        <v>0.66355818685789725</v>
      </c>
    </row>
    <row r="9312" spans="25:26" x14ac:dyDescent="0.25">
      <c r="Y9312" s="63">
        <v>51845</v>
      </c>
      <c r="Z9312" s="61">
        <f>_xll.qlYieldTSDiscount($U$35,Y9312,,Trigger)</f>
        <v>0.6635136210654492</v>
      </c>
    </row>
    <row r="9313" spans="25:26" x14ac:dyDescent="0.25">
      <c r="Y9313" s="63">
        <v>51846</v>
      </c>
      <c r="Z9313" s="61">
        <f>_xll.qlYieldTSDiscount($U$35,Y9313,,Trigger)</f>
        <v>0.66346905507067755</v>
      </c>
    </row>
    <row r="9314" spans="25:26" x14ac:dyDescent="0.25">
      <c r="Y9314" s="63">
        <v>51847</v>
      </c>
      <c r="Z9314" s="61">
        <f>_xll.qlYieldTSDiscount($U$35,Y9314,,Trigger)</f>
        <v>0.66342448887609584</v>
      </c>
    </row>
    <row r="9315" spans="25:26" x14ac:dyDescent="0.25">
      <c r="Y9315" s="63">
        <v>51848</v>
      </c>
      <c r="Z9315" s="61">
        <f>_xll.qlYieldTSDiscount($U$35,Y9315,,Trigger)</f>
        <v>0.66337992248421784</v>
      </c>
    </row>
    <row r="9316" spans="25:26" x14ac:dyDescent="0.25">
      <c r="Y9316" s="63">
        <v>51849</v>
      </c>
      <c r="Z9316" s="61">
        <f>_xll.qlYieldTSDiscount($U$35,Y9316,,Trigger)</f>
        <v>0.66333535589755699</v>
      </c>
    </row>
    <row r="9317" spans="25:26" x14ac:dyDescent="0.25">
      <c r="Y9317" s="63">
        <v>51850</v>
      </c>
      <c r="Z9317" s="61">
        <f>_xll.qlYieldTSDiscount($U$35,Y9317,,Trigger)</f>
        <v>0.66329078911862671</v>
      </c>
    </row>
    <row r="9318" spans="25:26" x14ac:dyDescent="0.25">
      <c r="Y9318" s="63">
        <v>51851</v>
      </c>
      <c r="Z9318" s="61">
        <f>_xll.qlYieldTSDiscount($U$35,Y9318,,Trigger)</f>
        <v>0.66324622214994067</v>
      </c>
    </row>
    <row r="9319" spans="25:26" x14ac:dyDescent="0.25">
      <c r="Y9319" s="63">
        <v>51852</v>
      </c>
      <c r="Z9319" s="61">
        <f>_xll.qlYieldTSDiscount($U$35,Y9319,,Trigger)</f>
        <v>0.6632016549940124</v>
      </c>
    </row>
    <row r="9320" spans="25:26" x14ac:dyDescent="0.25">
      <c r="Y9320" s="63">
        <v>51853</v>
      </c>
      <c r="Z9320" s="61">
        <f>_xll.qlYieldTSDiscount($U$35,Y9320,,Trigger)</f>
        <v>0.66315708765335546</v>
      </c>
    </row>
    <row r="9321" spans="25:26" x14ac:dyDescent="0.25">
      <c r="Y9321" s="63">
        <v>51854</v>
      </c>
      <c r="Z9321" s="61">
        <f>_xll.qlYieldTSDiscount($U$35,Y9321,,Trigger)</f>
        <v>0.6631125201304835</v>
      </c>
    </row>
    <row r="9322" spans="25:26" x14ac:dyDescent="0.25">
      <c r="Y9322" s="63">
        <v>51855</v>
      </c>
      <c r="Z9322" s="61">
        <f>_xll.qlYieldTSDiscount($U$35,Y9322,,Trigger)</f>
        <v>0.66306795242790983</v>
      </c>
    </row>
    <row r="9323" spans="25:26" x14ac:dyDescent="0.25">
      <c r="Y9323" s="63">
        <v>51856</v>
      </c>
      <c r="Z9323" s="61">
        <f>_xll.qlYieldTSDiscount($U$35,Y9323,,Trigger)</f>
        <v>0.66302338454814824</v>
      </c>
    </row>
    <row r="9324" spans="25:26" x14ac:dyDescent="0.25">
      <c r="Y9324" s="63">
        <v>51857</v>
      </c>
      <c r="Z9324" s="61">
        <f>_xll.qlYieldTSDiscount($U$35,Y9324,,Trigger)</f>
        <v>0.66297881649371215</v>
      </c>
    </row>
    <row r="9325" spans="25:26" x14ac:dyDescent="0.25">
      <c r="Y9325" s="63">
        <v>51858</v>
      </c>
      <c r="Z9325" s="61">
        <f>_xll.qlYieldTSDiscount($U$35,Y9325,,Trigger)</f>
        <v>0.66293424826711511</v>
      </c>
    </row>
    <row r="9326" spans="25:26" x14ac:dyDescent="0.25">
      <c r="Y9326" s="63">
        <v>51859</v>
      </c>
      <c r="Z9326" s="61">
        <f>_xll.qlYieldTSDiscount($U$35,Y9326,,Trigger)</f>
        <v>0.66288967987087077</v>
      </c>
    </row>
    <row r="9327" spans="25:26" x14ac:dyDescent="0.25">
      <c r="Y9327" s="63">
        <v>51860</v>
      </c>
      <c r="Z9327" s="61">
        <f>_xll.qlYieldTSDiscount($U$35,Y9327,,Trigger)</f>
        <v>0.66284511130749246</v>
      </c>
    </row>
    <row r="9328" spans="25:26" x14ac:dyDescent="0.25">
      <c r="Y9328" s="63">
        <v>51861</v>
      </c>
      <c r="Z9328" s="61">
        <f>_xll.qlYieldTSDiscount($U$35,Y9328,,Trigger)</f>
        <v>0.66280054257949406</v>
      </c>
    </row>
    <row r="9329" spans="25:26" x14ac:dyDescent="0.25">
      <c r="Y9329" s="63">
        <v>51862</v>
      </c>
      <c r="Z9329" s="61">
        <f>_xll.qlYieldTSDiscount($U$35,Y9329,,Trigger)</f>
        <v>0.66275597368938888</v>
      </c>
    </row>
    <row r="9330" spans="25:26" x14ac:dyDescent="0.25">
      <c r="Y9330" s="63">
        <v>51863</v>
      </c>
      <c r="Z9330" s="61">
        <f>_xll.qlYieldTSDiscount($U$35,Y9330,,Trigger)</f>
        <v>0.66271140463969047</v>
      </c>
    </row>
    <row r="9331" spans="25:26" x14ac:dyDescent="0.25">
      <c r="Y9331" s="63">
        <v>51864</v>
      </c>
      <c r="Z9331" s="61">
        <f>_xll.qlYieldTSDiscount($U$35,Y9331,,Trigger)</f>
        <v>0.6626668354329126</v>
      </c>
    </row>
    <row r="9332" spans="25:26" x14ac:dyDescent="0.25">
      <c r="Y9332" s="63">
        <v>51865</v>
      </c>
      <c r="Z9332" s="61">
        <f>_xll.qlYieldTSDiscount($U$35,Y9332,,Trigger)</f>
        <v>0.6626222660715686</v>
      </c>
    </row>
    <row r="9333" spans="25:26" x14ac:dyDescent="0.25">
      <c r="Y9333" s="63">
        <v>51866</v>
      </c>
      <c r="Z9333" s="61">
        <f>_xll.qlYieldTSDiscount($U$35,Y9333,,Trigger)</f>
        <v>0.662577696558172</v>
      </c>
    </row>
    <row r="9334" spans="25:26" x14ac:dyDescent="0.25">
      <c r="Y9334" s="63">
        <v>51867</v>
      </c>
      <c r="Z9334" s="61">
        <f>_xll.qlYieldTSDiscount($U$35,Y9334,,Trigger)</f>
        <v>0.66253312689523658</v>
      </c>
    </row>
    <row r="9335" spans="25:26" x14ac:dyDescent="0.25">
      <c r="Y9335" s="63">
        <v>51868</v>
      </c>
      <c r="Z9335" s="61">
        <f>_xll.qlYieldTSDiscount($U$35,Y9335,,Trigger)</f>
        <v>0.66248855708527565</v>
      </c>
    </row>
    <row r="9336" spans="25:26" x14ac:dyDescent="0.25">
      <c r="Y9336" s="63">
        <v>51869</v>
      </c>
      <c r="Z9336" s="61">
        <f>_xll.qlYieldTSDiscount($U$35,Y9336,,Trigger)</f>
        <v>0.66244398713080299</v>
      </c>
    </row>
    <row r="9337" spans="25:26" x14ac:dyDescent="0.25">
      <c r="Y9337" s="63">
        <v>51870</v>
      </c>
      <c r="Z9337" s="61">
        <f>_xll.qlYieldTSDiscount($U$35,Y9337,,Trigger)</f>
        <v>0.66239941703433203</v>
      </c>
    </row>
    <row r="9338" spans="25:26" x14ac:dyDescent="0.25">
      <c r="Y9338" s="63">
        <v>51871</v>
      </c>
      <c r="Z9338" s="61">
        <f>_xll.qlYieldTSDiscount($U$35,Y9338,,Trigger)</f>
        <v>0.6623548467983762</v>
      </c>
    </row>
    <row r="9339" spans="25:26" x14ac:dyDescent="0.25">
      <c r="Y9339" s="63">
        <v>51872</v>
      </c>
      <c r="Z9339" s="61">
        <f>_xll.qlYieldTSDiscount($U$35,Y9339,,Trigger)</f>
        <v>0.66231027642544926</v>
      </c>
    </row>
    <row r="9340" spans="25:26" x14ac:dyDescent="0.25">
      <c r="Y9340" s="63">
        <v>51873</v>
      </c>
      <c r="Z9340" s="61">
        <f>_xll.qlYieldTSDiscount($U$35,Y9340,,Trigger)</f>
        <v>0.66226570591806466</v>
      </c>
    </row>
    <row r="9341" spans="25:26" x14ac:dyDescent="0.25">
      <c r="Y9341" s="63">
        <v>51874</v>
      </c>
      <c r="Z9341" s="61">
        <f>_xll.qlYieldTSDiscount($U$35,Y9341,,Trigger)</f>
        <v>0.66222113527873594</v>
      </c>
    </row>
    <row r="9342" spans="25:26" x14ac:dyDescent="0.25">
      <c r="Y9342" s="63">
        <v>51875</v>
      </c>
      <c r="Z9342" s="61">
        <f>_xll.qlYieldTSDiscount($U$35,Y9342,,Trigger)</f>
        <v>0.66217656450997664</v>
      </c>
    </row>
    <row r="9343" spans="25:26" x14ac:dyDescent="0.25">
      <c r="Y9343" s="63">
        <v>51876</v>
      </c>
      <c r="Z9343" s="61">
        <f>_xll.qlYieldTSDiscount($U$35,Y9343,,Trigger)</f>
        <v>0.66213199361430042</v>
      </c>
    </row>
    <row r="9344" spans="25:26" x14ac:dyDescent="0.25">
      <c r="Y9344" s="63">
        <v>51877</v>
      </c>
      <c r="Z9344" s="61">
        <f>_xll.qlYieldTSDiscount($U$35,Y9344,,Trigger)</f>
        <v>0.66208742259422071</v>
      </c>
    </row>
    <row r="9345" spans="25:26" x14ac:dyDescent="0.25">
      <c r="Y9345" s="63">
        <v>51878</v>
      </c>
      <c r="Z9345" s="61">
        <f>_xll.qlYieldTSDiscount($U$35,Y9345,,Trigger)</f>
        <v>0.66204285145225117</v>
      </c>
    </row>
    <row r="9346" spans="25:26" x14ac:dyDescent="0.25">
      <c r="Y9346" s="63">
        <v>51879</v>
      </c>
      <c r="Z9346" s="61">
        <f>_xll.qlYieldTSDiscount($U$35,Y9346,,Trigger)</f>
        <v>0.66199828019090512</v>
      </c>
    </row>
    <row r="9347" spans="25:26" x14ac:dyDescent="0.25">
      <c r="Y9347" s="63">
        <v>51880</v>
      </c>
      <c r="Z9347" s="61">
        <f>_xll.qlYieldTSDiscount($U$35,Y9347,,Trigger)</f>
        <v>0.66195370881269644</v>
      </c>
    </row>
    <row r="9348" spans="25:26" x14ac:dyDescent="0.25">
      <c r="Y9348" s="63">
        <v>51881</v>
      </c>
      <c r="Z9348" s="61">
        <f>_xll.qlYieldTSDiscount($U$35,Y9348,,Trigger)</f>
        <v>0.66190913732013845</v>
      </c>
    </row>
    <row r="9349" spans="25:26" x14ac:dyDescent="0.25">
      <c r="Y9349" s="63">
        <v>51882</v>
      </c>
      <c r="Z9349" s="61">
        <f>_xll.qlYieldTSDiscount($U$35,Y9349,,Trigger)</f>
        <v>0.66186456571574481</v>
      </c>
    </row>
    <row r="9350" spans="25:26" x14ac:dyDescent="0.25">
      <c r="Y9350" s="63">
        <v>51883</v>
      </c>
      <c r="Z9350" s="61">
        <f>_xll.qlYieldTSDiscount($U$35,Y9350,,Trigger)</f>
        <v>0.66181999400202907</v>
      </c>
    </row>
    <row r="9351" spans="25:26" x14ac:dyDescent="0.25">
      <c r="Y9351" s="63">
        <v>51884</v>
      </c>
      <c r="Z9351" s="61">
        <f>_xll.qlYieldTSDiscount($U$35,Y9351,,Trigger)</f>
        <v>0.66177542218150465</v>
      </c>
    </row>
    <row r="9352" spans="25:26" x14ac:dyDescent="0.25">
      <c r="Y9352" s="63">
        <v>51885</v>
      </c>
      <c r="Z9352" s="61">
        <f>_xll.qlYieldTSDiscount($U$35,Y9352,,Trigger)</f>
        <v>0.66173085025668532</v>
      </c>
    </row>
    <row r="9353" spans="25:26" x14ac:dyDescent="0.25">
      <c r="Y9353" s="63">
        <v>51886</v>
      </c>
      <c r="Z9353" s="61">
        <f>_xll.qlYieldTSDiscount($U$35,Y9353,,Trigger)</f>
        <v>0.66168627823008441</v>
      </c>
    </row>
    <row r="9354" spans="25:26" x14ac:dyDescent="0.25">
      <c r="Y9354" s="63">
        <v>51887</v>
      </c>
      <c r="Z9354" s="61">
        <f>_xll.qlYieldTSDiscount($U$35,Y9354,,Trigger)</f>
        <v>0.66164170610421558</v>
      </c>
    </row>
    <row r="9355" spans="25:26" x14ac:dyDescent="0.25">
      <c r="Y9355" s="63">
        <v>51888</v>
      </c>
      <c r="Z9355" s="61">
        <f>_xll.qlYieldTSDiscount($U$35,Y9355,,Trigger)</f>
        <v>0.66159713388159247</v>
      </c>
    </row>
    <row r="9356" spans="25:26" x14ac:dyDescent="0.25">
      <c r="Y9356" s="63">
        <v>51889</v>
      </c>
      <c r="Z9356" s="61">
        <f>_xll.qlYieldTSDiscount($U$35,Y9356,,Trigger)</f>
        <v>0.66155256156472841</v>
      </c>
    </row>
    <row r="9357" spans="25:26" x14ac:dyDescent="0.25">
      <c r="Y9357" s="63">
        <v>51890</v>
      </c>
      <c r="Z9357" s="61">
        <f>_xll.qlYieldTSDiscount($U$35,Y9357,,Trigger)</f>
        <v>0.66150798915613707</v>
      </c>
    </row>
    <row r="9358" spans="25:26" x14ac:dyDescent="0.25">
      <c r="Y9358" s="63">
        <v>51891</v>
      </c>
      <c r="Z9358" s="61">
        <f>_xll.qlYieldTSDiscount($U$35,Y9358,,Trigger)</f>
        <v>0.66146341665833208</v>
      </c>
    </row>
    <row r="9359" spans="25:26" x14ac:dyDescent="0.25">
      <c r="Y9359" s="63">
        <v>51892</v>
      </c>
      <c r="Z9359" s="61">
        <f>_xll.qlYieldTSDiscount($U$35,Y9359,,Trigger)</f>
        <v>0.66141884407382689</v>
      </c>
    </row>
    <row r="9360" spans="25:26" x14ac:dyDescent="0.25">
      <c r="Y9360" s="63">
        <v>51893</v>
      </c>
      <c r="Z9360" s="61">
        <f>_xll.qlYieldTSDiscount($U$35,Y9360,,Trigger)</f>
        <v>0.66137427140513516</v>
      </c>
    </row>
    <row r="9361" spans="25:26" x14ac:dyDescent="0.25">
      <c r="Y9361" s="63">
        <v>51894</v>
      </c>
      <c r="Z9361" s="61">
        <f>_xll.qlYieldTSDiscount($U$35,Y9361,,Trigger)</f>
        <v>0.6613296986547702</v>
      </c>
    </row>
    <row r="9362" spans="25:26" x14ac:dyDescent="0.25">
      <c r="Y9362" s="63">
        <v>51895</v>
      </c>
      <c r="Z9362" s="61">
        <f>_xll.qlYieldTSDiscount($U$35,Y9362,,Trigger)</f>
        <v>0.66128512582524579</v>
      </c>
    </row>
    <row r="9363" spans="25:26" x14ac:dyDescent="0.25">
      <c r="Y9363" s="63">
        <v>51896</v>
      </c>
      <c r="Z9363" s="61">
        <f>_xll.qlYieldTSDiscount($U$35,Y9363,,Trigger)</f>
        <v>0.66124055291907546</v>
      </c>
    </row>
    <row r="9364" spans="25:26" x14ac:dyDescent="0.25">
      <c r="Y9364" s="63">
        <v>51897</v>
      </c>
      <c r="Z9364" s="61">
        <f>_xll.qlYieldTSDiscount($U$35,Y9364,,Trigger)</f>
        <v>0.66119597993877266</v>
      </c>
    </row>
    <row r="9365" spans="25:26" x14ac:dyDescent="0.25">
      <c r="Y9365" s="63">
        <v>51898</v>
      </c>
      <c r="Z9365" s="61">
        <f>_xll.qlYieldTSDiscount($U$35,Y9365,,Trigger)</f>
        <v>0.66115140688685103</v>
      </c>
    </row>
    <row r="9366" spans="25:26" x14ac:dyDescent="0.25">
      <c r="Y9366" s="63">
        <v>51899</v>
      </c>
      <c r="Z9366" s="61">
        <f>_xll.qlYieldTSDiscount($U$35,Y9366,,Trigger)</f>
        <v>0.66110683376582402</v>
      </c>
    </row>
    <row r="9367" spans="25:26" x14ac:dyDescent="0.25">
      <c r="Y9367" s="63">
        <v>51900</v>
      </c>
      <c r="Z9367" s="61">
        <f>_xll.qlYieldTSDiscount($U$35,Y9367,,Trigger)</f>
        <v>0.66106226057820527</v>
      </c>
    </row>
    <row r="9368" spans="25:26" x14ac:dyDescent="0.25">
      <c r="Y9368" s="63">
        <v>51901</v>
      </c>
      <c r="Z9368" s="61">
        <f>_xll.qlYieldTSDiscount($U$35,Y9368,,Trigger)</f>
        <v>0.66101768732650834</v>
      </c>
    </row>
    <row r="9369" spans="25:26" x14ac:dyDescent="0.25">
      <c r="Y9369" s="63">
        <v>51902</v>
      </c>
      <c r="Z9369" s="61">
        <f>_xll.qlYieldTSDiscount($U$35,Y9369,,Trigger)</f>
        <v>0.66097311401324677</v>
      </c>
    </row>
    <row r="9370" spans="25:26" x14ac:dyDescent="0.25">
      <c r="Y9370" s="63">
        <v>51903</v>
      </c>
      <c r="Z9370" s="61">
        <f>_xll.qlYieldTSDiscount($U$35,Y9370,,Trigger)</f>
        <v>0.66092854064093409</v>
      </c>
    </row>
    <row r="9371" spans="25:26" x14ac:dyDescent="0.25">
      <c r="Y9371" s="63">
        <v>51904</v>
      </c>
      <c r="Z9371" s="61">
        <f>_xll.qlYieldTSDiscount($U$35,Y9371,,Trigger)</f>
        <v>0.66088396721208376</v>
      </c>
    </row>
    <row r="9372" spans="25:26" x14ac:dyDescent="0.25">
      <c r="Y9372" s="63">
        <v>51905</v>
      </c>
      <c r="Z9372" s="61">
        <f>_xll.qlYieldTSDiscount($U$35,Y9372,,Trigger)</f>
        <v>0.66083939372920952</v>
      </c>
    </row>
    <row r="9373" spans="25:26" x14ac:dyDescent="0.25">
      <c r="Y9373" s="63">
        <v>51906</v>
      </c>
      <c r="Z9373" s="61">
        <f>_xll.qlYieldTSDiscount($U$35,Y9373,,Trigger)</f>
        <v>0.66079482019482483</v>
      </c>
    </row>
    <row r="9374" spans="25:26" x14ac:dyDescent="0.25">
      <c r="Y9374" s="63">
        <v>51907</v>
      </c>
      <c r="Z9374" s="61">
        <f>_xll.qlYieldTSDiscount($U$35,Y9374,,Trigger)</f>
        <v>0.66075024661144321</v>
      </c>
    </row>
    <row r="9375" spans="25:26" x14ac:dyDescent="0.25">
      <c r="Y9375" s="63">
        <v>51908</v>
      </c>
      <c r="Z9375" s="61">
        <f>_xll.qlYieldTSDiscount($U$35,Y9375,,Trigger)</f>
        <v>0.66070567298157812</v>
      </c>
    </row>
    <row r="9376" spans="25:26" x14ac:dyDescent="0.25">
      <c r="Y9376" s="63">
        <v>51909</v>
      </c>
      <c r="Z9376" s="61">
        <f>_xll.qlYieldTSDiscount($U$35,Y9376,,Trigger)</f>
        <v>0.6606610993077433</v>
      </c>
    </row>
    <row r="9377" spans="25:26" x14ac:dyDescent="0.25">
      <c r="Y9377" s="63">
        <v>51910</v>
      </c>
      <c r="Z9377" s="61">
        <f>_xll.qlYieldTSDiscount($U$35,Y9377,,Trigger)</f>
        <v>0.66061652559245232</v>
      </c>
    </row>
    <row r="9378" spans="25:26" x14ac:dyDescent="0.25">
      <c r="Y9378" s="63">
        <v>51911</v>
      </c>
      <c r="Z9378" s="61">
        <f>_xll.qlYieldTSDiscount($U$35,Y9378,,Trigger)</f>
        <v>0.6605719518382186</v>
      </c>
    </row>
    <row r="9379" spans="25:26" x14ac:dyDescent="0.25">
      <c r="Y9379" s="63">
        <v>51912</v>
      </c>
      <c r="Z9379" s="61">
        <f>_xll.qlYieldTSDiscount($U$35,Y9379,,Trigger)</f>
        <v>0.66052737804755568</v>
      </c>
    </row>
    <row r="9380" spans="25:26" x14ac:dyDescent="0.25">
      <c r="Y9380" s="63">
        <v>51913</v>
      </c>
      <c r="Z9380" s="61">
        <f>_xll.qlYieldTSDiscount($U$35,Y9380,,Trigger)</f>
        <v>0.66048280422297712</v>
      </c>
    </row>
    <row r="9381" spans="25:26" x14ac:dyDescent="0.25">
      <c r="Y9381" s="63">
        <v>51914</v>
      </c>
      <c r="Z9381" s="61">
        <f>_xll.qlYieldTSDiscount($U$35,Y9381,,Trigger)</f>
        <v>0.66043823036699667</v>
      </c>
    </row>
    <row r="9382" spans="25:26" x14ac:dyDescent="0.25">
      <c r="Y9382" s="63">
        <v>51915</v>
      </c>
      <c r="Z9382" s="61">
        <f>_xll.qlYieldTSDiscount($U$35,Y9382,,Trigger)</f>
        <v>0.66039365648212767</v>
      </c>
    </row>
    <row r="9383" spans="25:26" x14ac:dyDescent="0.25">
      <c r="Y9383" s="63">
        <v>51916</v>
      </c>
      <c r="Z9383" s="61">
        <f>_xll.qlYieldTSDiscount($U$35,Y9383,,Trigger)</f>
        <v>0.66034908257088365</v>
      </c>
    </row>
    <row r="9384" spans="25:26" x14ac:dyDescent="0.25">
      <c r="Y9384" s="63">
        <v>51917</v>
      </c>
      <c r="Z9384" s="61">
        <f>_xll.qlYieldTSDiscount($U$35,Y9384,,Trigger)</f>
        <v>0.66030450863577828</v>
      </c>
    </row>
    <row r="9385" spans="25:26" x14ac:dyDescent="0.25">
      <c r="Y9385" s="63">
        <v>51918</v>
      </c>
      <c r="Z9385" s="61">
        <f>_xll.qlYieldTSDiscount($U$35,Y9385,,Trigger)</f>
        <v>0.66025993467932509</v>
      </c>
    </row>
    <row r="9386" spans="25:26" x14ac:dyDescent="0.25">
      <c r="Y9386" s="63">
        <v>51919</v>
      </c>
      <c r="Z9386" s="61">
        <f>_xll.qlYieldTSDiscount($U$35,Y9386,,Trigger)</f>
        <v>0.66021536070403763</v>
      </c>
    </row>
    <row r="9387" spans="25:26" x14ac:dyDescent="0.25">
      <c r="Y9387" s="63">
        <v>51920</v>
      </c>
      <c r="Z9387" s="61">
        <f>_xll.qlYieldTSDiscount($U$35,Y9387,,Trigger)</f>
        <v>0.66017078671242935</v>
      </c>
    </row>
    <row r="9388" spans="25:26" x14ac:dyDescent="0.25">
      <c r="Y9388" s="63">
        <v>51921</v>
      </c>
      <c r="Z9388" s="61">
        <f>_xll.qlYieldTSDiscount($U$35,Y9388,,Trigger)</f>
        <v>0.66012621270701388</v>
      </c>
    </row>
    <row r="9389" spans="25:26" x14ac:dyDescent="0.25">
      <c r="Y9389" s="63">
        <v>51922</v>
      </c>
      <c r="Z9389" s="61">
        <f>_xll.qlYieldTSDiscount($U$35,Y9389,,Trigger)</f>
        <v>0.66008163869030489</v>
      </c>
    </row>
    <row r="9390" spans="25:26" x14ac:dyDescent="0.25">
      <c r="Y9390" s="63">
        <v>51923</v>
      </c>
      <c r="Z9390" s="61">
        <f>_xll.qlYieldTSDiscount($U$35,Y9390,,Trigger)</f>
        <v>0.66003706466481582</v>
      </c>
    </row>
    <row r="9391" spans="25:26" x14ac:dyDescent="0.25">
      <c r="Y9391" s="63">
        <v>51924</v>
      </c>
      <c r="Z9391" s="61">
        <f>_xll.qlYieldTSDiscount($U$35,Y9391,,Trigger)</f>
        <v>0.65999249063306009</v>
      </c>
    </row>
    <row r="9392" spans="25:26" x14ac:dyDescent="0.25">
      <c r="Y9392" s="63">
        <v>51925</v>
      </c>
      <c r="Z9392" s="61">
        <f>_xll.qlYieldTSDiscount($U$35,Y9392,,Trigger)</f>
        <v>0.65994791659755148</v>
      </c>
    </row>
    <row r="9393" spans="25:26" x14ac:dyDescent="0.25">
      <c r="Y9393" s="63">
        <v>51926</v>
      </c>
      <c r="Z9393" s="61">
        <f>_xll.qlYieldTSDiscount($U$35,Y9393,,Trigger)</f>
        <v>0.6599033425608033</v>
      </c>
    </row>
    <row r="9394" spans="25:26" x14ac:dyDescent="0.25">
      <c r="Y9394" s="63">
        <v>51927</v>
      </c>
      <c r="Z9394" s="61">
        <f>_xll.qlYieldTSDiscount($U$35,Y9394,,Trigger)</f>
        <v>0.65985876852532943</v>
      </c>
    </row>
    <row r="9395" spans="25:26" x14ac:dyDescent="0.25">
      <c r="Y9395" s="63">
        <v>51928</v>
      </c>
      <c r="Z9395" s="61">
        <f>_xll.qlYieldTSDiscount($U$35,Y9395,,Trigger)</f>
        <v>0.65981419449364309</v>
      </c>
    </row>
    <row r="9396" spans="25:26" x14ac:dyDescent="0.25">
      <c r="Y9396" s="63">
        <v>51929</v>
      </c>
      <c r="Z9396" s="61">
        <f>_xll.qlYieldTSDiscount($U$35,Y9396,,Trigger)</f>
        <v>0.65976962046825804</v>
      </c>
    </row>
    <row r="9397" spans="25:26" x14ac:dyDescent="0.25">
      <c r="Y9397" s="63">
        <v>51930</v>
      </c>
      <c r="Z9397" s="61">
        <f>_xll.qlYieldTSDiscount($U$35,Y9397,,Trigger)</f>
        <v>0.65972504645168772</v>
      </c>
    </row>
    <row r="9398" spans="25:26" x14ac:dyDescent="0.25">
      <c r="Y9398" s="63">
        <v>51931</v>
      </c>
      <c r="Z9398" s="61">
        <f>_xll.qlYieldTSDiscount($U$35,Y9398,,Trigger)</f>
        <v>0.65968047244644579</v>
      </c>
    </row>
    <row r="9399" spans="25:26" x14ac:dyDescent="0.25">
      <c r="Y9399" s="63">
        <v>51932</v>
      </c>
      <c r="Z9399" s="61">
        <f>_xll.qlYieldTSDiscount($U$35,Y9399,,Trigger)</f>
        <v>0.65963589845504567</v>
      </c>
    </row>
    <row r="9400" spans="25:26" x14ac:dyDescent="0.25">
      <c r="Y9400" s="63">
        <v>51933</v>
      </c>
      <c r="Z9400" s="61">
        <f>_xll.qlYieldTSDiscount($U$35,Y9400,,Trigger)</f>
        <v>0.65959132448000113</v>
      </c>
    </row>
    <row r="9401" spans="25:26" x14ac:dyDescent="0.25">
      <c r="Y9401" s="63">
        <v>51934</v>
      </c>
      <c r="Z9401" s="61">
        <f>_xll.qlYieldTSDiscount($U$35,Y9401,,Trigger)</f>
        <v>0.65954675052382539</v>
      </c>
    </row>
    <row r="9402" spans="25:26" x14ac:dyDescent="0.25">
      <c r="Y9402" s="63">
        <v>51935</v>
      </c>
      <c r="Z9402" s="61">
        <f>_xll.qlYieldTSDiscount($U$35,Y9402,,Trigger)</f>
        <v>0.65950217658903221</v>
      </c>
    </row>
    <row r="9403" spans="25:26" x14ac:dyDescent="0.25">
      <c r="Y9403" s="63">
        <v>51936</v>
      </c>
      <c r="Z9403" s="61">
        <f>_xll.qlYieldTSDiscount($U$35,Y9403,,Trigger)</f>
        <v>0.65945760267813525</v>
      </c>
    </row>
    <row r="9404" spans="25:26" x14ac:dyDescent="0.25">
      <c r="Y9404" s="63">
        <v>51937</v>
      </c>
      <c r="Z9404" s="61">
        <f>_xll.qlYieldTSDiscount($U$35,Y9404,,Trigger)</f>
        <v>0.65941302879364772</v>
      </c>
    </row>
    <row r="9405" spans="25:26" x14ac:dyDescent="0.25">
      <c r="Y9405" s="63">
        <v>51938</v>
      </c>
      <c r="Z9405" s="61">
        <f>_xll.qlYieldTSDiscount($U$35,Y9405,,Trigger)</f>
        <v>0.65936845493808349</v>
      </c>
    </row>
    <row r="9406" spans="25:26" x14ac:dyDescent="0.25">
      <c r="Y9406" s="63">
        <v>51939</v>
      </c>
      <c r="Z9406" s="61">
        <f>_xll.qlYieldTSDiscount($U$35,Y9406,,Trigger)</f>
        <v>0.65932388111395601</v>
      </c>
    </row>
    <row r="9407" spans="25:26" x14ac:dyDescent="0.25">
      <c r="Y9407" s="63">
        <v>51940</v>
      </c>
      <c r="Z9407" s="61">
        <f>_xll.qlYieldTSDiscount($U$35,Y9407,,Trigger)</f>
        <v>0.65927930732377882</v>
      </c>
    </row>
    <row r="9408" spans="25:26" x14ac:dyDescent="0.25">
      <c r="Y9408" s="63">
        <v>51941</v>
      </c>
      <c r="Z9408" s="61">
        <f>_xll.qlYieldTSDiscount($U$35,Y9408,,Trigger)</f>
        <v>0.65923473357006546</v>
      </c>
    </row>
    <row r="9409" spans="25:26" x14ac:dyDescent="0.25">
      <c r="Y9409" s="63">
        <v>51942</v>
      </c>
      <c r="Z9409" s="61">
        <f>_xll.qlYieldTSDiscount($U$35,Y9409,,Trigger)</f>
        <v>0.65919015985532936</v>
      </c>
    </row>
    <row r="9410" spans="25:26" x14ac:dyDescent="0.25">
      <c r="Y9410" s="63">
        <v>51943</v>
      </c>
      <c r="Z9410" s="61">
        <f>_xll.qlYieldTSDiscount($U$35,Y9410,,Trigger)</f>
        <v>0.65914558618208441</v>
      </c>
    </row>
    <row r="9411" spans="25:26" x14ac:dyDescent="0.25">
      <c r="Y9411" s="63">
        <v>51944</v>
      </c>
      <c r="Z9411" s="61">
        <f>_xll.qlYieldTSDiscount($U$35,Y9411,,Trigger)</f>
        <v>0.65910101255284381</v>
      </c>
    </row>
    <row r="9412" spans="25:26" x14ac:dyDescent="0.25">
      <c r="Y9412" s="63">
        <v>51945</v>
      </c>
      <c r="Z9412" s="61">
        <f>_xll.qlYieldTSDiscount($U$35,Y9412,,Trigger)</f>
        <v>0.65905643897012134</v>
      </c>
    </row>
    <row r="9413" spans="25:26" x14ac:dyDescent="0.25">
      <c r="Y9413" s="63">
        <v>51946</v>
      </c>
      <c r="Z9413" s="61">
        <f>_xll.qlYieldTSDiscount($U$35,Y9413,,Trigger)</f>
        <v>0.65901186543643042</v>
      </c>
    </row>
    <row r="9414" spans="25:26" x14ac:dyDescent="0.25">
      <c r="Y9414" s="63">
        <v>51947</v>
      </c>
      <c r="Z9414" s="61">
        <f>_xll.qlYieldTSDiscount($U$35,Y9414,,Trigger)</f>
        <v>0.65896729195428472</v>
      </c>
    </row>
    <row r="9415" spans="25:26" x14ac:dyDescent="0.25">
      <c r="Y9415" s="63">
        <v>51948</v>
      </c>
      <c r="Z9415" s="61">
        <f>_xll.qlYieldTSDiscount($U$35,Y9415,,Trigger)</f>
        <v>0.65892271852619755</v>
      </c>
    </row>
    <row r="9416" spans="25:26" x14ac:dyDescent="0.25">
      <c r="Y9416" s="63">
        <v>51949</v>
      </c>
      <c r="Z9416" s="61">
        <f>_xll.qlYieldTSDiscount($U$35,Y9416,,Trigger)</f>
        <v>0.65887814515468279</v>
      </c>
    </row>
    <row r="9417" spans="25:26" x14ac:dyDescent="0.25">
      <c r="Y9417" s="63">
        <v>51950</v>
      </c>
      <c r="Z9417" s="61">
        <f>_xll.qlYieldTSDiscount($U$35,Y9417,,Trigger)</f>
        <v>0.65883357184225377</v>
      </c>
    </row>
    <row r="9418" spans="25:26" x14ac:dyDescent="0.25">
      <c r="Y9418" s="63">
        <v>51951</v>
      </c>
      <c r="Z9418" s="61">
        <f>_xll.qlYieldTSDiscount($U$35,Y9418,,Trigger)</f>
        <v>0.65878899859142404</v>
      </c>
    </row>
    <row r="9419" spans="25:26" x14ac:dyDescent="0.25">
      <c r="Y9419" s="63">
        <v>51952</v>
      </c>
      <c r="Z9419" s="61">
        <f>_xll.qlYieldTSDiscount($U$35,Y9419,,Trigger)</f>
        <v>0.65874442540470735</v>
      </c>
    </row>
    <row r="9420" spans="25:26" x14ac:dyDescent="0.25">
      <c r="Y9420" s="63">
        <v>51953</v>
      </c>
      <c r="Z9420" s="61">
        <f>_xll.qlYieldTSDiscount($U$35,Y9420,,Trigger)</f>
        <v>0.65869985228461703</v>
      </c>
    </row>
    <row r="9421" spans="25:26" x14ac:dyDescent="0.25">
      <c r="Y9421" s="63">
        <v>51954</v>
      </c>
      <c r="Z9421" s="61">
        <f>_xll.qlYieldTSDiscount($U$35,Y9421,,Trigger)</f>
        <v>0.65865527923366674</v>
      </c>
    </row>
    <row r="9422" spans="25:26" x14ac:dyDescent="0.25">
      <c r="Y9422" s="63">
        <v>51955</v>
      </c>
      <c r="Z9422" s="61">
        <f>_xll.qlYieldTSDiscount($U$35,Y9422,,Trigger)</f>
        <v>0.65861070625437002</v>
      </c>
    </row>
    <row r="9423" spans="25:26" x14ac:dyDescent="0.25">
      <c r="Y9423" s="63">
        <v>51956</v>
      </c>
      <c r="Z9423" s="61">
        <f>_xll.qlYieldTSDiscount($U$35,Y9423,,Trigger)</f>
        <v>0.6585661333492403</v>
      </c>
    </row>
    <row r="9424" spans="25:26" x14ac:dyDescent="0.25">
      <c r="Y9424" s="63">
        <v>51957</v>
      </c>
      <c r="Z9424" s="61">
        <f>_xll.qlYieldTSDiscount($U$35,Y9424,,Trigger)</f>
        <v>0.65852156052079136</v>
      </c>
    </row>
    <row r="9425" spans="25:26" x14ac:dyDescent="0.25">
      <c r="Y9425" s="63">
        <v>51958</v>
      </c>
      <c r="Z9425" s="61">
        <f>_xll.qlYieldTSDiscount($U$35,Y9425,,Trigger)</f>
        <v>0.65847698777153651</v>
      </c>
    </row>
    <row r="9426" spans="25:26" x14ac:dyDescent="0.25">
      <c r="Y9426" s="63">
        <v>51959</v>
      </c>
      <c r="Z9426" s="61">
        <f>_xll.qlYieldTSDiscount($U$35,Y9426,,Trigger)</f>
        <v>0.65843241510398953</v>
      </c>
    </row>
    <row r="9427" spans="25:26" x14ac:dyDescent="0.25">
      <c r="Y9427" s="63">
        <v>51960</v>
      </c>
      <c r="Z9427" s="61">
        <f>_xll.qlYieldTSDiscount($U$35,Y9427,,Trigger)</f>
        <v>0.65838784252066385</v>
      </c>
    </row>
    <row r="9428" spans="25:26" x14ac:dyDescent="0.25">
      <c r="Y9428" s="63">
        <v>51961</v>
      </c>
      <c r="Z9428" s="61">
        <f>_xll.qlYieldTSDiscount($U$35,Y9428,,Trigger)</f>
        <v>0.658343270024073</v>
      </c>
    </row>
    <row r="9429" spans="25:26" x14ac:dyDescent="0.25">
      <c r="Y9429" s="63">
        <v>51962</v>
      </c>
      <c r="Z9429" s="61">
        <f>_xll.qlYieldTSDiscount($U$35,Y9429,,Trigger)</f>
        <v>0.65829869761673065</v>
      </c>
    </row>
    <row r="9430" spans="25:26" x14ac:dyDescent="0.25">
      <c r="Y9430" s="63">
        <v>51963</v>
      </c>
      <c r="Z9430" s="61">
        <f>_xll.qlYieldTSDiscount($U$35,Y9430,,Trigger)</f>
        <v>0.65825412530115024</v>
      </c>
    </row>
    <row r="9431" spans="25:26" x14ac:dyDescent="0.25">
      <c r="Y9431" s="63">
        <v>51964</v>
      </c>
      <c r="Z9431" s="61">
        <f>_xll.qlYieldTSDiscount($U$35,Y9431,,Trigger)</f>
        <v>0.65820955307984519</v>
      </c>
    </row>
    <row r="9432" spans="25:26" x14ac:dyDescent="0.25">
      <c r="Y9432" s="63">
        <v>51965</v>
      </c>
      <c r="Z9432" s="61">
        <f>_xll.qlYieldTSDiscount($U$35,Y9432,,Trigger)</f>
        <v>0.65816498095532938</v>
      </c>
    </row>
    <row r="9433" spans="25:26" x14ac:dyDescent="0.25">
      <c r="Y9433" s="63">
        <v>51966</v>
      </c>
      <c r="Z9433" s="61">
        <f>_xll.qlYieldTSDiscount($U$35,Y9433,,Trigger)</f>
        <v>0.65812040893011614</v>
      </c>
    </row>
    <row r="9434" spans="25:26" x14ac:dyDescent="0.25">
      <c r="Y9434" s="63">
        <v>51967</v>
      </c>
      <c r="Z9434" s="61">
        <f>_xll.qlYieldTSDiscount($U$35,Y9434,,Trigger)</f>
        <v>0.65807583700671901</v>
      </c>
    </row>
    <row r="9435" spans="25:26" x14ac:dyDescent="0.25">
      <c r="Y9435" s="63">
        <v>51968</v>
      </c>
      <c r="Z9435" s="61">
        <f>_xll.qlYieldTSDiscount($U$35,Y9435,,Trigger)</f>
        <v>0.65803126518765176</v>
      </c>
    </row>
    <row r="9436" spans="25:26" x14ac:dyDescent="0.25">
      <c r="Y9436" s="63">
        <v>51969</v>
      </c>
      <c r="Z9436" s="61">
        <f>_xll.qlYieldTSDiscount($U$35,Y9436,,Trigger)</f>
        <v>0.6579866934754276</v>
      </c>
    </row>
    <row r="9437" spans="25:26" x14ac:dyDescent="0.25">
      <c r="Y9437" s="63">
        <v>51970</v>
      </c>
      <c r="Z9437" s="61">
        <f>_xll.qlYieldTSDiscount($U$35,Y9437,,Trigger)</f>
        <v>0.6579421218725604</v>
      </c>
    </row>
    <row r="9438" spans="25:26" x14ac:dyDescent="0.25">
      <c r="Y9438" s="63">
        <v>51971</v>
      </c>
      <c r="Z9438" s="61">
        <f>_xll.qlYieldTSDiscount($U$35,Y9438,,Trigger)</f>
        <v>0.6578975503815635</v>
      </c>
    </row>
    <row r="9439" spans="25:26" x14ac:dyDescent="0.25">
      <c r="Y9439" s="63">
        <v>51972</v>
      </c>
      <c r="Z9439" s="61">
        <f>_xll.qlYieldTSDiscount($U$35,Y9439,,Trigger)</f>
        <v>0.65785297900495054</v>
      </c>
    </row>
    <row r="9440" spans="25:26" x14ac:dyDescent="0.25">
      <c r="Y9440" s="63">
        <v>51973</v>
      </c>
      <c r="Z9440" s="61">
        <f>_xll.qlYieldTSDiscount($U$35,Y9440,,Trigger)</f>
        <v>0.65780840774523519</v>
      </c>
    </row>
    <row r="9441" spans="25:26" x14ac:dyDescent="0.25">
      <c r="Y9441" s="63">
        <v>51974</v>
      </c>
      <c r="Z9441" s="61">
        <f>_xll.qlYieldTSDiscount($U$35,Y9441,,Trigger)</f>
        <v>0.65776383660493076</v>
      </c>
    </row>
    <row r="9442" spans="25:26" x14ac:dyDescent="0.25">
      <c r="Y9442" s="63">
        <v>51975</v>
      </c>
      <c r="Z9442" s="61">
        <f>_xll.qlYieldTSDiscount($U$35,Y9442,,Trigger)</f>
        <v>0.65771926558655092</v>
      </c>
    </row>
    <row r="9443" spans="25:26" x14ac:dyDescent="0.25">
      <c r="Y9443" s="63">
        <v>51976</v>
      </c>
      <c r="Z9443" s="61">
        <f>_xll.qlYieldTSDiscount($U$35,Y9443,,Trigger)</f>
        <v>0.6576746946926092</v>
      </c>
    </row>
    <row r="9444" spans="25:26" x14ac:dyDescent="0.25">
      <c r="Y9444" s="63">
        <v>51977</v>
      </c>
      <c r="Z9444" s="61">
        <f>_xll.qlYieldTSDiscount($U$35,Y9444,,Trigger)</f>
        <v>0.65763012392561915</v>
      </c>
    </row>
    <row r="9445" spans="25:26" x14ac:dyDescent="0.25">
      <c r="Y9445" s="63">
        <v>51978</v>
      </c>
      <c r="Z9445" s="61">
        <f>_xll.qlYieldTSDiscount($U$35,Y9445,,Trigger)</f>
        <v>0.65758555328809432</v>
      </c>
    </row>
    <row r="9446" spans="25:26" x14ac:dyDescent="0.25">
      <c r="Y9446" s="63">
        <v>51979</v>
      </c>
      <c r="Z9446" s="61">
        <f>_xll.qlYieldTSDiscount($U$35,Y9446,,Trigger)</f>
        <v>0.65754098278254836</v>
      </c>
    </row>
    <row r="9447" spans="25:26" x14ac:dyDescent="0.25">
      <c r="Y9447" s="63">
        <v>51980</v>
      </c>
      <c r="Z9447" s="61">
        <f>_xll.qlYieldTSDiscount($U$35,Y9447,,Trigger)</f>
        <v>0.6574964124114947</v>
      </c>
    </row>
    <row r="9448" spans="25:26" x14ac:dyDescent="0.25">
      <c r="Y9448" s="63">
        <v>51981</v>
      </c>
      <c r="Z9448" s="61">
        <f>_xll.qlYieldTSDiscount($U$35,Y9448,,Trigger)</f>
        <v>0.6574518421774469</v>
      </c>
    </row>
    <row r="9449" spans="25:26" x14ac:dyDescent="0.25">
      <c r="Y9449" s="63">
        <v>51982</v>
      </c>
      <c r="Z9449" s="61">
        <f>_xll.qlYieldTSDiscount($U$35,Y9449,,Trigger)</f>
        <v>0.6574072720829186</v>
      </c>
    </row>
    <row r="9450" spans="25:26" x14ac:dyDescent="0.25">
      <c r="Y9450" s="63">
        <v>51983</v>
      </c>
      <c r="Z9450" s="61">
        <f>_xll.qlYieldTSDiscount($U$35,Y9450,,Trigger)</f>
        <v>0.65736270213042325</v>
      </c>
    </row>
    <row r="9451" spans="25:26" x14ac:dyDescent="0.25">
      <c r="Y9451" s="63">
        <v>51984</v>
      </c>
      <c r="Z9451" s="61">
        <f>_xll.qlYieldTSDiscount($U$35,Y9451,,Trigger)</f>
        <v>0.65731813232247449</v>
      </c>
    </row>
    <row r="9452" spans="25:26" x14ac:dyDescent="0.25">
      <c r="Y9452" s="63">
        <v>51985</v>
      </c>
      <c r="Z9452" s="61">
        <f>_xll.qlYieldTSDiscount($U$35,Y9452,,Trigger)</f>
        <v>0.65727356266158576</v>
      </c>
    </row>
    <row r="9453" spans="25:26" x14ac:dyDescent="0.25">
      <c r="Y9453" s="63">
        <v>51986</v>
      </c>
      <c r="Z9453" s="61">
        <f>_xll.qlYieldTSDiscount($U$35,Y9453,,Trigger)</f>
        <v>0.65722899315027072</v>
      </c>
    </row>
    <row r="9454" spans="25:26" x14ac:dyDescent="0.25">
      <c r="Y9454" s="63">
        <v>51987</v>
      </c>
      <c r="Z9454" s="61">
        <f>_xll.qlYieldTSDiscount($U$35,Y9454,,Trigger)</f>
        <v>0.6571844237910428</v>
      </c>
    </row>
    <row r="9455" spans="25:26" x14ac:dyDescent="0.25">
      <c r="Y9455" s="63">
        <v>51988</v>
      </c>
      <c r="Z9455" s="61">
        <f>_xll.qlYieldTSDiscount($U$35,Y9455,,Trigger)</f>
        <v>0.65713985458641577</v>
      </c>
    </row>
    <row r="9456" spans="25:26" x14ac:dyDescent="0.25">
      <c r="Y9456" s="63">
        <v>51989</v>
      </c>
      <c r="Z9456" s="61">
        <f>_xll.qlYieldTSDiscount($U$35,Y9456,,Trigger)</f>
        <v>0.65709528553890295</v>
      </c>
    </row>
    <row r="9457" spans="25:26" x14ac:dyDescent="0.25">
      <c r="Y9457" s="63">
        <v>51990</v>
      </c>
      <c r="Z9457" s="61">
        <f>_xll.qlYieldTSDiscount($U$35,Y9457,,Trigger)</f>
        <v>0.657050716651018</v>
      </c>
    </row>
    <row r="9458" spans="25:26" x14ac:dyDescent="0.25">
      <c r="Y9458" s="63">
        <v>51991</v>
      </c>
      <c r="Z9458" s="61">
        <f>_xll.qlYieldTSDiscount($U$35,Y9458,,Trigger)</f>
        <v>0.65700614792527445</v>
      </c>
    </row>
    <row r="9459" spans="25:26" x14ac:dyDescent="0.25">
      <c r="Y9459" s="63">
        <v>51992</v>
      </c>
      <c r="Z9459" s="61">
        <f>_xll.qlYieldTSDiscount($U$35,Y9459,,Trigger)</f>
        <v>0.65696157936418587</v>
      </c>
    </row>
    <row r="9460" spans="25:26" x14ac:dyDescent="0.25">
      <c r="Y9460" s="63">
        <v>51993</v>
      </c>
      <c r="Z9460" s="61">
        <f>_xll.qlYieldTSDiscount($U$35,Y9460,,Trigger)</f>
        <v>0.65691701097026578</v>
      </c>
    </row>
    <row r="9461" spans="25:26" x14ac:dyDescent="0.25">
      <c r="Y9461" s="63">
        <v>51994</v>
      </c>
      <c r="Z9461" s="61">
        <f>_xll.qlYieldTSDiscount($U$35,Y9461,,Trigger)</f>
        <v>0.65687244274602774</v>
      </c>
    </row>
    <row r="9462" spans="25:26" x14ac:dyDescent="0.25">
      <c r="Y9462" s="63">
        <v>51995</v>
      </c>
      <c r="Z9462" s="61">
        <f>_xll.qlYieldTSDiscount($U$35,Y9462,,Trigger)</f>
        <v>0.65682787469398529</v>
      </c>
    </row>
    <row r="9463" spans="25:26" x14ac:dyDescent="0.25">
      <c r="Y9463" s="63">
        <v>51996</v>
      </c>
      <c r="Z9463" s="61">
        <f>_xll.qlYieldTSDiscount($U$35,Y9463,,Trigger)</f>
        <v>0.65678330681665198</v>
      </c>
    </row>
    <row r="9464" spans="25:26" x14ac:dyDescent="0.25">
      <c r="Y9464" s="63">
        <v>51997</v>
      </c>
      <c r="Z9464" s="61">
        <f>_xll.qlYieldTSDiscount($U$35,Y9464,,Trigger)</f>
        <v>0.65673873911654146</v>
      </c>
    </row>
    <row r="9465" spans="25:26" x14ac:dyDescent="0.25">
      <c r="Y9465" s="63">
        <v>51998</v>
      </c>
      <c r="Z9465" s="61">
        <f>_xll.qlYieldTSDiscount($U$35,Y9465,,Trigger)</f>
        <v>0.65669417159616716</v>
      </c>
    </row>
    <row r="9466" spans="25:26" x14ac:dyDescent="0.25">
      <c r="Y9466" s="63">
        <v>51999</v>
      </c>
      <c r="Z9466" s="61">
        <f>_xll.qlYieldTSDiscount($U$35,Y9466,,Trigger)</f>
        <v>0.65664960425804275</v>
      </c>
    </row>
    <row r="9467" spans="25:26" x14ac:dyDescent="0.25">
      <c r="Y9467" s="63">
        <v>52000</v>
      </c>
      <c r="Z9467" s="61">
        <f>_xll.qlYieldTSDiscount($U$35,Y9467,,Trigger)</f>
        <v>0.65660503710468165</v>
      </c>
    </row>
    <row r="9468" spans="25:26" x14ac:dyDescent="0.25">
      <c r="Y9468" s="63">
        <v>52001</v>
      </c>
      <c r="Z9468" s="61">
        <f>_xll.qlYieldTSDiscount($U$35,Y9468,,Trigger)</f>
        <v>0.65656047013859742</v>
      </c>
    </row>
    <row r="9469" spans="25:26" x14ac:dyDescent="0.25">
      <c r="Y9469" s="63">
        <v>52002</v>
      </c>
      <c r="Z9469" s="61">
        <f>_xll.qlYieldTSDiscount($U$35,Y9469,,Trigger)</f>
        <v>0.6565159033623037</v>
      </c>
    </row>
    <row r="9470" spans="25:26" x14ac:dyDescent="0.25">
      <c r="Y9470" s="63">
        <v>52003</v>
      </c>
      <c r="Z9470" s="61">
        <f>_xll.qlYieldTSDiscount($U$35,Y9470,,Trigger)</f>
        <v>0.65647133677831393</v>
      </c>
    </row>
    <row r="9471" spans="25:26" x14ac:dyDescent="0.25">
      <c r="Y9471" s="63">
        <v>52004</v>
      </c>
      <c r="Z9471" s="61">
        <f>_xll.qlYieldTSDiscount($U$35,Y9471,,Trigger)</f>
        <v>0.65642677038914177</v>
      </c>
    </row>
    <row r="9472" spans="25:26" x14ac:dyDescent="0.25">
      <c r="Y9472" s="63">
        <v>52005</v>
      </c>
      <c r="Z9472" s="61">
        <f>_xll.qlYieldTSDiscount($U$35,Y9472,,Trigger)</f>
        <v>0.65638220419730076</v>
      </c>
    </row>
    <row r="9473" spans="25:26" x14ac:dyDescent="0.25">
      <c r="Y9473" s="63">
        <v>52006</v>
      </c>
      <c r="Z9473" s="61">
        <f>_xll.qlYieldTSDiscount($U$35,Y9473,,Trigger)</f>
        <v>0.65633763820530444</v>
      </c>
    </row>
    <row r="9474" spans="25:26" x14ac:dyDescent="0.25">
      <c r="Y9474" s="63">
        <v>52007</v>
      </c>
      <c r="Z9474" s="61">
        <f>_xll.qlYieldTSDiscount($U$35,Y9474,,Trigger)</f>
        <v>0.65629307241566626</v>
      </c>
    </row>
    <row r="9475" spans="25:26" x14ac:dyDescent="0.25">
      <c r="Y9475" s="63">
        <v>52008</v>
      </c>
      <c r="Z9475" s="61">
        <f>_xll.qlYieldTSDiscount($U$35,Y9475,,Trigger)</f>
        <v>0.65624850683089997</v>
      </c>
    </row>
    <row r="9476" spans="25:26" x14ac:dyDescent="0.25">
      <c r="Y9476" s="63">
        <v>52009</v>
      </c>
      <c r="Z9476" s="61">
        <f>_xll.qlYieldTSDiscount($U$35,Y9476,,Trigger)</f>
        <v>0.6562039414535189</v>
      </c>
    </row>
    <row r="9477" spans="25:26" x14ac:dyDescent="0.25">
      <c r="Y9477" s="63">
        <v>52010</v>
      </c>
      <c r="Z9477" s="61">
        <f>_xll.qlYieldTSDiscount($U$35,Y9477,,Trigger)</f>
        <v>0.65615937628603671</v>
      </c>
    </row>
    <row r="9478" spans="25:26" x14ac:dyDescent="0.25">
      <c r="Y9478" s="63">
        <v>52011</v>
      </c>
      <c r="Z9478" s="61">
        <f>_xll.qlYieldTSDiscount($U$35,Y9478,,Trigger)</f>
        <v>0.65611481133096694</v>
      </c>
    </row>
    <row r="9479" spans="25:26" x14ac:dyDescent="0.25">
      <c r="Y9479" s="63">
        <v>52012</v>
      </c>
      <c r="Z9479" s="61">
        <f>_xll.qlYieldTSDiscount($U$35,Y9479,,Trigger)</f>
        <v>0.65607024659082325</v>
      </c>
    </row>
    <row r="9480" spans="25:26" x14ac:dyDescent="0.25">
      <c r="Y9480" s="63">
        <v>52013</v>
      </c>
      <c r="Z9480" s="61">
        <f>_xll.qlYieldTSDiscount($U$35,Y9480,,Trigger)</f>
        <v>0.65602568206811906</v>
      </c>
    </row>
    <row r="9481" spans="25:26" x14ac:dyDescent="0.25">
      <c r="Y9481" s="63">
        <v>52014</v>
      </c>
      <c r="Z9481" s="61">
        <f>_xll.qlYieldTSDiscount($U$35,Y9481,,Trigger)</f>
        <v>0.65598111776536794</v>
      </c>
    </row>
    <row r="9482" spans="25:26" x14ac:dyDescent="0.25">
      <c r="Y9482" s="63">
        <v>52015</v>
      </c>
      <c r="Z9482" s="61">
        <f>_xll.qlYieldTSDiscount($U$35,Y9482,,Trigger)</f>
        <v>0.65593655368508341</v>
      </c>
    </row>
    <row r="9483" spans="25:26" x14ac:dyDescent="0.25">
      <c r="Y9483" s="63">
        <v>52016</v>
      </c>
      <c r="Z9483" s="61">
        <f>_xll.qlYieldTSDiscount($U$35,Y9483,,Trigger)</f>
        <v>0.65589198982977903</v>
      </c>
    </row>
    <row r="9484" spans="25:26" x14ac:dyDescent="0.25">
      <c r="Y9484" s="63">
        <v>52017</v>
      </c>
      <c r="Z9484" s="61">
        <f>_xll.qlYieldTSDiscount($U$35,Y9484,,Trigger)</f>
        <v>0.65584742620196856</v>
      </c>
    </row>
    <row r="9485" spans="25:26" x14ac:dyDescent="0.25">
      <c r="Y9485" s="63">
        <v>52018</v>
      </c>
      <c r="Z9485" s="61">
        <f>_xll.qlYieldTSDiscount($U$35,Y9485,,Trigger)</f>
        <v>0.65580286280416522</v>
      </c>
    </row>
    <row r="9486" spans="25:26" x14ac:dyDescent="0.25">
      <c r="Y9486" s="63">
        <v>52019</v>
      </c>
      <c r="Z9486" s="61">
        <f>_xll.qlYieldTSDiscount($U$35,Y9486,,Trigger)</f>
        <v>0.65575829963888277</v>
      </c>
    </row>
    <row r="9487" spans="25:26" x14ac:dyDescent="0.25">
      <c r="Y9487" s="63">
        <v>52020</v>
      </c>
      <c r="Z9487" s="61">
        <f>_xll.qlYieldTSDiscount($U$35,Y9487,,Trigger)</f>
        <v>0.65571373670863475</v>
      </c>
    </row>
    <row r="9488" spans="25:26" x14ac:dyDescent="0.25">
      <c r="Y9488" s="63">
        <v>52021</v>
      </c>
      <c r="Z9488" s="61">
        <f>_xll.qlYieldTSDiscount($U$35,Y9488,,Trigger)</f>
        <v>0.65566917401593461</v>
      </c>
    </row>
    <row r="9489" spans="25:26" x14ac:dyDescent="0.25">
      <c r="Y9489" s="63">
        <v>52022</v>
      </c>
      <c r="Z9489" s="61">
        <f>_xll.qlYieldTSDiscount($U$35,Y9489,,Trigger)</f>
        <v>0.65562461156329599</v>
      </c>
    </row>
    <row r="9490" spans="25:26" x14ac:dyDescent="0.25">
      <c r="Y9490" s="63">
        <v>52023</v>
      </c>
      <c r="Z9490" s="61">
        <f>_xll.qlYieldTSDiscount($U$35,Y9490,,Trigger)</f>
        <v>0.65558004935323244</v>
      </c>
    </row>
    <row r="9491" spans="25:26" x14ac:dyDescent="0.25">
      <c r="Y9491" s="63">
        <v>52024</v>
      </c>
      <c r="Z9491" s="61">
        <f>_xll.qlYieldTSDiscount($U$35,Y9491,,Trigger)</f>
        <v>0.6555354873882574</v>
      </c>
    </row>
    <row r="9492" spans="25:26" x14ac:dyDescent="0.25">
      <c r="Y9492" s="63">
        <v>52025</v>
      </c>
      <c r="Z9492" s="61">
        <f>_xll.qlYieldTSDiscount($U$35,Y9492,,Trigger)</f>
        <v>0.65549092567088452</v>
      </c>
    </row>
    <row r="9493" spans="25:26" x14ac:dyDescent="0.25">
      <c r="Y9493" s="63">
        <v>52026</v>
      </c>
      <c r="Z9493" s="61">
        <f>_xll.qlYieldTSDiscount($U$35,Y9493,,Trigger)</f>
        <v>0.65544636420362745</v>
      </c>
    </row>
    <row r="9494" spans="25:26" x14ac:dyDescent="0.25">
      <c r="Y9494" s="63">
        <v>52027</v>
      </c>
      <c r="Z9494" s="61">
        <f>_xll.qlYieldTSDiscount($U$35,Y9494,,Trigger)</f>
        <v>0.65540180298899953</v>
      </c>
    </row>
    <row r="9495" spans="25:26" x14ac:dyDescent="0.25">
      <c r="Y9495" s="63">
        <v>52028</v>
      </c>
      <c r="Z9495" s="61">
        <f>_xll.qlYieldTSDiscount($U$35,Y9495,,Trigger)</f>
        <v>0.6553572420295144</v>
      </c>
    </row>
    <row r="9496" spans="25:26" x14ac:dyDescent="0.25">
      <c r="Y9496" s="63">
        <v>52029</v>
      </c>
      <c r="Z9496" s="61">
        <f>_xll.qlYieldTSDiscount($U$35,Y9496,,Trigger)</f>
        <v>0.65531268132768572</v>
      </c>
    </row>
    <row r="9497" spans="25:26" x14ac:dyDescent="0.25">
      <c r="Y9497" s="63">
        <v>52030</v>
      </c>
      <c r="Z9497" s="61">
        <f>_xll.qlYieldTSDiscount($U$35,Y9497,,Trigger)</f>
        <v>0.65526812088602682</v>
      </c>
    </row>
    <row r="9498" spans="25:26" x14ac:dyDescent="0.25">
      <c r="Y9498" s="63">
        <v>52031</v>
      </c>
      <c r="Z9498" s="61">
        <f>_xll.qlYieldTSDiscount($U$35,Y9498,,Trigger)</f>
        <v>0.65522356070705146</v>
      </c>
    </row>
    <row r="9499" spans="25:26" x14ac:dyDescent="0.25">
      <c r="Y9499" s="63">
        <v>52032</v>
      </c>
      <c r="Z9499" s="61">
        <f>_xll.qlYieldTSDiscount($U$35,Y9499,,Trigger)</f>
        <v>0.65517900079327307</v>
      </c>
    </row>
    <row r="9500" spans="25:26" x14ac:dyDescent="0.25">
      <c r="Y9500" s="63">
        <v>52033</v>
      </c>
      <c r="Z9500" s="61">
        <f>_xll.qlYieldTSDiscount($U$35,Y9500,,Trigger)</f>
        <v>0.65513444114720532</v>
      </c>
    </row>
    <row r="9501" spans="25:26" x14ac:dyDescent="0.25">
      <c r="Y9501" s="63">
        <v>52034</v>
      </c>
      <c r="Z9501" s="61">
        <f>_xll.qlYieldTSDiscount($U$35,Y9501,,Trigger)</f>
        <v>0.65508988177136152</v>
      </c>
    </row>
    <row r="9502" spans="25:26" x14ac:dyDescent="0.25">
      <c r="Y9502" s="63">
        <v>52035</v>
      </c>
      <c r="Z9502" s="61">
        <f>_xll.qlYieldTSDiscount($U$35,Y9502,,Trigger)</f>
        <v>0.65504532266825544</v>
      </c>
    </row>
    <row r="9503" spans="25:26" x14ac:dyDescent="0.25">
      <c r="Y9503" s="63">
        <v>52036</v>
      </c>
      <c r="Z9503" s="61">
        <f>_xll.qlYieldTSDiscount($U$35,Y9503,,Trigger)</f>
        <v>0.65500076384040062</v>
      </c>
    </row>
    <row r="9504" spans="25:26" x14ac:dyDescent="0.25">
      <c r="Y9504" s="63">
        <v>52037</v>
      </c>
      <c r="Z9504" s="61">
        <f>_xll.qlYieldTSDiscount($U$35,Y9504,,Trigger)</f>
        <v>0.65495620529031062</v>
      </c>
    </row>
    <row r="9505" spans="25:26" x14ac:dyDescent="0.25">
      <c r="Y9505" s="63">
        <v>52038</v>
      </c>
      <c r="Z9505" s="61">
        <f>_xll.qlYieldTSDiscount($U$35,Y9505,,Trigger)</f>
        <v>0.65491164702049876</v>
      </c>
    </row>
    <row r="9506" spans="25:26" x14ac:dyDescent="0.25">
      <c r="Y9506" s="63">
        <v>52039</v>
      </c>
      <c r="Z9506" s="61">
        <f>_xll.qlYieldTSDiscount($U$35,Y9506,,Trigger)</f>
        <v>0.6548670890334789</v>
      </c>
    </row>
    <row r="9507" spans="25:26" x14ac:dyDescent="0.25">
      <c r="Y9507" s="63">
        <v>52040</v>
      </c>
      <c r="Z9507" s="61">
        <f>_xll.qlYieldTSDiscount($U$35,Y9507,,Trigger)</f>
        <v>0.65482253133176438</v>
      </c>
    </row>
    <row r="9508" spans="25:26" x14ac:dyDescent="0.25">
      <c r="Y9508" s="63">
        <v>52041</v>
      </c>
      <c r="Z9508" s="61">
        <f>_xll.qlYieldTSDiscount($U$35,Y9508,,Trigger)</f>
        <v>0.65477797391786885</v>
      </c>
    </row>
    <row r="9509" spans="25:26" x14ac:dyDescent="0.25">
      <c r="Y9509" s="63">
        <v>52042</v>
      </c>
      <c r="Z9509" s="61">
        <f>_xll.qlYieldTSDiscount($U$35,Y9509,,Trigger)</f>
        <v>0.65473341679430586</v>
      </c>
    </row>
    <row r="9510" spans="25:26" x14ac:dyDescent="0.25">
      <c r="Y9510" s="63">
        <v>52043</v>
      </c>
      <c r="Z9510" s="61">
        <f>_xll.qlYieldTSDiscount($U$35,Y9510,,Trigger)</f>
        <v>0.65468885996358883</v>
      </c>
    </row>
    <row r="9511" spans="25:26" x14ac:dyDescent="0.25">
      <c r="Y9511" s="63">
        <v>52044</v>
      </c>
      <c r="Z9511" s="61">
        <f>_xll.qlYieldTSDiscount($U$35,Y9511,,Trigger)</f>
        <v>0.65464430342823154</v>
      </c>
    </row>
    <row r="9512" spans="25:26" x14ac:dyDescent="0.25">
      <c r="Y9512" s="63">
        <v>52045</v>
      </c>
      <c r="Z9512" s="61">
        <f>_xll.qlYieldTSDiscount($U$35,Y9512,,Trigger)</f>
        <v>0.65459974719074743</v>
      </c>
    </row>
    <row r="9513" spans="25:26" x14ac:dyDescent="0.25">
      <c r="Y9513" s="63">
        <v>52046</v>
      </c>
      <c r="Z9513" s="61">
        <f>_xll.qlYieldTSDiscount($U$35,Y9513,,Trigger)</f>
        <v>0.65455519125365003</v>
      </c>
    </row>
    <row r="9514" spans="25:26" x14ac:dyDescent="0.25">
      <c r="Y9514" s="63">
        <v>52047</v>
      </c>
      <c r="Z9514" s="61">
        <f>_xll.qlYieldTSDiscount($U$35,Y9514,,Trigger)</f>
        <v>0.65451063561945289</v>
      </c>
    </row>
    <row r="9515" spans="25:26" x14ac:dyDescent="0.25">
      <c r="Y9515" s="63">
        <v>52048</v>
      </c>
      <c r="Z9515" s="61">
        <f>_xll.qlYieldTSDiscount($U$35,Y9515,,Trigger)</f>
        <v>0.65446608029066944</v>
      </c>
    </row>
    <row r="9516" spans="25:26" x14ac:dyDescent="0.25">
      <c r="Y9516" s="63">
        <v>52049</v>
      </c>
      <c r="Z9516" s="61">
        <f>_xll.qlYieldTSDiscount($U$35,Y9516,,Trigger)</f>
        <v>0.65442152526981356</v>
      </c>
    </row>
    <row r="9517" spans="25:26" x14ac:dyDescent="0.25">
      <c r="Y9517" s="63">
        <v>52050</v>
      </c>
      <c r="Z9517" s="61">
        <f>_xll.qlYieldTSDiscount($U$35,Y9517,,Trigger)</f>
        <v>0.65437697055939859</v>
      </c>
    </row>
    <row r="9518" spans="25:26" x14ac:dyDescent="0.25">
      <c r="Y9518" s="63">
        <v>52051</v>
      </c>
      <c r="Z9518" s="61">
        <f>_xll.qlYieldTSDiscount($U$35,Y9518,,Trigger)</f>
        <v>0.65433241616193794</v>
      </c>
    </row>
    <row r="9519" spans="25:26" x14ac:dyDescent="0.25">
      <c r="Y9519" s="63">
        <v>52052</v>
      </c>
      <c r="Z9519" s="61">
        <f>_xll.qlYieldTSDiscount($U$35,Y9519,,Trigger)</f>
        <v>0.65428786207994549</v>
      </c>
    </row>
    <row r="9520" spans="25:26" x14ac:dyDescent="0.25">
      <c r="Y9520" s="63">
        <v>52053</v>
      </c>
      <c r="Z9520" s="61">
        <f>_xll.qlYieldTSDiscount($U$35,Y9520,,Trigger)</f>
        <v>0.65424330831593458</v>
      </c>
    </row>
    <row r="9521" spans="25:26" x14ac:dyDescent="0.25">
      <c r="Y9521" s="63">
        <v>52054</v>
      </c>
      <c r="Z9521" s="61">
        <f>_xll.qlYieldTSDiscount($U$35,Y9521,,Trigger)</f>
        <v>0.65419875487241874</v>
      </c>
    </row>
    <row r="9522" spans="25:26" x14ac:dyDescent="0.25">
      <c r="Y9522" s="63">
        <v>52055</v>
      </c>
      <c r="Z9522" s="61">
        <f>_xll.qlYieldTSDiscount($U$35,Y9522,,Trigger)</f>
        <v>0.65415420175191163</v>
      </c>
    </row>
    <row r="9523" spans="25:26" x14ac:dyDescent="0.25">
      <c r="Y9523" s="63">
        <v>52056</v>
      </c>
      <c r="Z9523" s="61">
        <f>_xll.qlYieldTSDiscount($U$35,Y9523,,Trigger)</f>
        <v>0.6541096489569268</v>
      </c>
    </row>
    <row r="9524" spans="25:26" x14ac:dyDescent="0.25">
      <c r="Y9524" s="63">
        <v>52057</v>
      </c>
      <c r="Z9524" s="61">
        <f>_xll.qlYieldTSDiscount($U$35,Y9524,,Trigger)</f>
        <v>0.65406509648997768</v>
      </c>
    </row>
    <row r="9525" spans="25:26" x14ac:dyDescent="0.25">
      <c r="Y9525" s="63">
        <v>52058</v>
      </c>
      <c r="Z9525" s="61">
        <f>_xll.qlYieldTSDiscount($U$35,Y9525,,Trigger)</f>
        <v>0.65402054435357793</v>
      </c>
    </row>
    <row r="9526" spans="25:26" x14ac:dyDescent="0.25">
      <c r="Y9526" s="63">
        <v>52059</v>
      </c>
      <c r="Z9526" s="61">
        <f>_xll.qlYieldTSDiscount($U$35,Y9526,,Trigger)</f>
        <v>0.65397599255024108</v>
      </c>
    </row>
    <row r="9527" spans="25:26" x14ac:dyDescent="0.25">
      <c r="Y9527" s="63">
        <v>52060</v>
      </c>
      <c r="Z9527" s="61">
        <f>_xll.qlYieldTSDiscount($U$35,Y9527,,Trigger)</f>
        <v>0.65393144108248069</v>
      </c>
    </row>
    <row r="9528" spans="25:26" x14ac:dyDescent="0.25">
      <c r="Y9528" s="63">
        <v>52061</v>
      </c>
      <c r="Z9528" s="61">
        <f>_xll.qlYieldTSDiscount($U$35,Y9528,,Trigger)</f>
        <v>0.65388688995281019</v>
      </c>
    </row>
    <row r="9529" spans="25:26" x14ac:dyDescent="0.25">
      <c r="Y9529" s="63">
        <v>52062</v>
      </c>
      <c r="Z9529" s="61">
        <f>_xll.qlYieldTSDiscount($U$35,Y9529,,Trigger)</f>
        <v>0.65384233916374335</v>
      </c>
    </row>
    <row r="9530" spans="25:26" x14ac:dyDescent="0.25">
      <c r="Y9530" s="63">
        <v>52063</v>
      </c>
      <c r="Z9530" s="61">
        <f>_xll.qlYieldTSDiscount($U$35,Y9530,,Trigger)</f>
        <v>0.65379778871779359</v>
      </c>
    </row>
    <row r="9531" spans="25:26" x14ac:dyDescent="0.25">
      <c r="Y9531" s="63">
        <v>52064</v>
      </c>
      <c r="Z9531" s="61">
        <f>_xll.qlYieldTSDiscount($U$35,Y9531,,Trigger)</f>
        <v>0.65375323861747436</v>
      </c>
    </row>
    <row r="9532" spans="25:26" x14ac:dyDescent="0.25">
      <c r="Y9532" s="63">
        <v>52065</v>
      </c>
      <c r="Z9532" s="61">
        <f>_xll.qlYieldTSDiscount($U$35,Y9532,,Trigger)</f>
        <v>0.65370868886529943</v>
      </c>
    </row>
    <row r="9533" spans="25:26" x14ac:dyDescent="0.25">
      <c r="Y9533" s="63">
        <v>52066</v>
      </c>
      <c r="Z9533" s="61">
        <f>_xll.qlYieldTSDiscount($U$35,Y9533,,Trigger)</f>
        <v>0.65366413946378232</v>
      </c>
    </row>
    <row r="9534" spans="25:26" x14ac:dyDescent="0.25">
      <c r="Y9534" s="63">
        <v>52067</v>
      </c>
      <c r="Z9534" s="61">
        <f>_xll.qlYieldTSDiscount($U$35,Y9534,,Trigger)</f>
        <v>0.65361959041543638</v>
      </c>
    </row>
    <row r="9535" spans="25:26" x14ac:dyDescent="0.25">
      <c r="Y9535" s="63">
        <v>52068</v>
      </c>
      <c r="Z9535" s="61">
        <f>_xll.qlYieldTSDiscount($U$35,Y9535,,Trigger)</f>
        <v>0.65357504172277536</v>
      </c>
    </row>
    <row r="9536" spans="25:26" x14ac:dyDescent="0.25">
      <c r="Y9536" s="63">
        <v>52069</v>
      </c>
      <c r="Z9536" s="61">
        <f>_xll.qlYieldTSDiscount($U$35,Y9536,,Trigger)</f>
        <v>0.65353049338831271</v>
      </c>
    </row>
    <row r="9537" spans="25:26" x14ac:dyDescent="0.25">
      <c r="Y9537" s="63">
        <v>52070</v>
      </c>
      <c r="Z9537" s="61">
        <f>_xll.qlYieldTSDiscount($U$35,Y9537,,Trigger)</f>
        <v>0.65348594541456206</v>
      </c>
    </row>
    <row r="9538" spans="25:26" x14ac:dyDescent="0.25">
      <c r="Y9538" s="63">
        <v>52071</v>
      </c>
      <c r="Z9538" s="61">
        <f>_xll.qlYieldTSDiscount($U$35,Y9538,,Trigger)</f>
        <v>0.65344139780403687</v>
      </c>
    </row>
    <row r="9539" spans="25:26" x14ac:dyDescent="0.25">
      <c r="Y9539" s="63">
        <v>52072</v>
      </c>
      <c r="Z9539" s="61">
        <f>_xll.qlYieldTSDiscount($U$35,Y9539,,Trigger)</f>
        <v>0.65339685055925067</v>
      </c>
    </row>
    <row r="9540" spans="25:26" x14ac:dyDescent="0.25">
      <c r="Y9540" s="63">
        <v>52073</v>
      </c>
      <c r="Z9540" s="61">
        <f>_xll.qlYieldTSDiscount($U$35,Y9540,,Trigger)</f>
        <v>0.65335230368271713</v>
      </c>
    </row>
    <row r="9541" spans="25:26" x14ac:dyDescent="0.25">
      <c r="Y9541" s="63">
        <v>52074</v>
      </c>
      <c r="Z9541" s="61">
        <f>_xll.qlYieldTSDiscount($U$35,Y9541,,Trigger)</f>
        <v>0.65330775717694989</v>
      </c>
    </row>
    <row r="9542" spans="25:26" x14ac:dyDescent="0.25">
      <c r="Y9542" s="63">
        <v>52075</v>
      </c>
      <c r="Z9542" s="61">
        <f>_xll.qlYieldTSDiscount($U$35,Y9542,,Trigger)</f>
        <v>0.65326321104446217</v>
      </c>
    </row>
    <row r="9543" spans="25:26" x14ac:dyDescent="0.25">
      <c r="Y9543" s="63">
        <v>52076</v>
      </c>
      <c r="Z9543" s="61">
        <f>_xll.qlYieldTSDiscount($U$35,Y9543,,Trigger)</f>
        <v>0.65321866528776784</v>
      </c>
    </row>
    <row r="9544" spans="25:26" x14ac:dyDescent="0.25">
      <c r="Y9544" s="63">
        <v>52077</v>
      </c>
      <c r="Z9544" s="61">
        <f>_xll.qlYieldTSDiscount($U$35,Y9544,,Trigger)</f>
        <v>0.65317411990938024</v>
      </c>
    </row>
    <row r="9545" spans="25:26" x14ac:dyDescent="0.25">
      <c r="Y9545" s="63">
        <v>52078</v>
      </c>
      <c r="Z9545" s="61">
        <f>_xll.qlYieldTSDiscount($U$35,Y9545,,Trigger)</f>
        <v>0.653129574911813</v>
      </c>
    </row>
    <row r="9546" spans="25:26" x14ac:dyDescent="0.25">
      <c r="Y9546" s="63">
        <v>52079</v>
      </c>
      <c r="Z9546" s="61">
        <f>_xll.qlYieldTSDiscount($U$35,Y9546,,Trigger)</f>
        <v>0.65308503029757969</v>
      </c>
    </row>
    <row r="9547" spans="25:26" x14ac:dyDescent="0.25">
      <c r="Y9547" s="63">
        <v>52080</v>
      </c>
      <c r="Z9547" s="61">
        <f>_xll.qlYieldTSDiscount($U$35,Y9547,,Trigger)</f>
        <v>0.65304048606919385</v>
      </c>
    </row>
    <row r="9548" spans="25:26" x14ac:dyDescent="0.25">
      <c r="Y9548" s="63">
        <v>52081</v>
      </c>
      <c r="Z9548" s="61">
        <f>_xll.qlYieldTSDiscount($U$35,Y9548,,Trigger)</f>
        <v>0.65299594222916912</v>
      </c>
    </row>
    <row r="9549" spans="25:26" x14ac:dyDescent="0.25">
      <c r="Y9549" s="63">
        <v>52082</v>
      </c>
      <c r="Z9549" s="61">
        <f>_xll.qlYieldTSDiscount($U$35,Y9549,,Trigger)</f>
        <v>0.65295139878001884</v>
      </c>
    </row>
    <row r="9550" spans="25:26" x14ac:dyDescent="0.25">
      <c r="Y9550" s="63">
        <v>52083</v>
      </c>
      <c r="Z9550" s="61">
        <f>_xll.qlYieldTSDiscount($U$35,Y9550,,Trigger)</f>
        <v>0.65290685572425666</v>
      </c>
    </row>
    <row r="9551" spans="25:26" x14ac:dyDescent="0.25">
      <c r="Y9551" s="63">
        <v>52084</v>
      </c>
      <c r="Z9551" s="61">
        <f>_xll.qlYieldTSDiscount($U$35,Y9551,,Trigger)</f>
        <v>0.65286231306439624</v>
      </c>
    </row>
    <row r="9552" spans="25:26" x14ac:dyDescent="0.25">
      <c r="Y9552" s="63">
        <v>52085</v>
      </c>
      <c r="Z9552" s="61">
        <f>_xll.qlYieldTSDiscount($U$35,Y9552,,Trigger)</f>
        <v>0.652817770802951</v>
      </c>
    </row>
    <row r="9553" spans="25:26" x14ac:dyDescent="0.25">
      <c r="Y9553" s="63">
        <v>52086</v>
      </c>
      <c r="Z9553" s="61">
        <f>_xll.qlYieldTSDiscount($U$35,Y9553,,Trigger)</f>
        <v>0.65277322894243461</v>
      </c>
    </row>
    <row r="9554" spans="25:26" x14ac:dyDescent="0.25">
      <c r="Y9554" s="63">
        <v>52087</v>
      </c>
      <c r="Z9554" s="61">
        <f>_xll.qlYieldTSDiscount($U$35,Y9554,,Trigger)</f>
        <v>0.65272868748536039</v>
      </c>
    </row>
    <row r="9555" spans="25:26" x14ac:dyDescent="0.25">
      <c r="Y9555" s="63">
        <v>52088</v>
      </c>
      <c r="Z9555" s="61">
        <f>_xll.qlYieldTSDiscount($U$35,Y9555,,Trigger)</f>
        <v>0.65268414643424211</v>
      </c>
    </row>
    <row r="9556" spans="25:26" x14ac:dyDescent="0.25">
      <c r="Y9556" s="63">
        <v>52089</v>
      </c>
      <c r="Z9556" s="61">
        <f>_xll.qlYieldTSDiscount($U$35,Y9556,,Trigger)</f>
        <v>0.6526396057915933</v>
      </c>
    </row>
    <row r="9557" spans="25:26" x14ac:dyDescent="0.25">
      <c r="Y9557" s="63">
        <v>52090</v>
      </c>
      <c r="Z9557" s="61">
        <f>_xll.qlYieldTSDiscount($U$35,Y9557,,Trigger)</f>
        <v>0.65259506555992752</v>
      </c>
    </row>
    <row r="9558" spans="25:26" x14ac:dyDescent="0.25">
      <c r="Y9558" s="63">
        <v>52091</v>
      </c>
      <c r="Z9558" s="61">
        <f>_xll.qlYieldTSDiscount($U$35,Y9558,,Trigger)</f>
        <v>0.6525505257417582</v>
      </c>
    </row>
    <row r="9559" spans="25:26" x14ac:dyDescent="0.25">
      <c r="Y9559" s="63">
        <v>52092</v>
      </c>
      <c r="Z9559" s="61">
        <f>_xll.qlYieldTSDiscount($U$35,Y9559,,Trigger)</f>
        <v>0.652505986339599</v>
      </c>
    </row>
    <row r="9560" spans="25:26" x14ac:dyDescent="0.25">
      <c r="Y9560" s="63">
        <v>52093</v>
      </c>
      <c r="Z9560" s="61">
        <f>_xll.qlYieldTSDiscount($U$35,Y9560,,Trigger)</f>
        <v>0.65246144735596334</v>
      </c>
    </row>
    <row r="9561" spans="25:26" x14ac:dyDescent="0.25">
      <c r="Y9561" s="63">
        <v>52094</v>
      </c>
      <c r="Z9561" s="61">
        <f>_xll.qlYieldTSDiscount($U$35,Y9561,,Trigger)</f>
        <v>0.65241690879336489</v>
      </c>
    </row>
    <row r="9562" spans="25:26" x14ac:dyDescent="0.25">
      <c r="Y9562" s="63">
        <v>52095</v>
      </c>
      <c r="Z9562" s="61">
        <f>_xll.qlYieldTSDiscount($U$35,Y9562,,Trigger)</f>
        <v>0.6523723706543173</v>
      </c>
    </row>
    <row r="9563" spans="25:26" x14ac:dyDescent="0.25">
      <c r="Y9563" s="63">
        <v>52096</v>
      </c>
      <c r="Z9563" s="61">
        <f>_xll.qlYieldTSDiscount($U$35,Y9563,,Trigger)</f>
        <v>0.6523278329413339</v>
      </c>
    </row>
    <row r="9564" spans="25:26" x14ac:dyDescent="0.25">
      <c r="Y9564" s="63">
        <v>52097</v>
      </c>
      <c r="Z9564" s="61">
        <f>_xll.qlYieldTSDiscount($U$35,Y9564,,Trigger)</f>
        <v>0.65228329565692833</v>
      </c>
    </row>
    <row r="9565" spans="25:26" x14ac:dyDescent="0.25">
      <c r="Y9565" s="63">
        <v>52098</v>
      </c>
      <c r="Z9565" s="61">
        <f>_xll.qlYieldTSDiscount($U$35,Y9565,,Trigger)</f>
        <v>0.65223875880361415</v>
      </c>
    </row>
    <row r="9566" spans="25:26" x14ac:dyDescent="0.25">
      <c r="Y9566" s="63">
        <v>52099</v>
      </c>
      <c r="Z9566" s="61">
        <f>_xll.qlYieldTSDiscount($U$35,Y9566,,Trigger)</f>
        <v>0.6521942223839049</v>
      </c>
    </row>
    <row r="9567" spans="25:26" x14ac:dyDescent="0.25">
      <c r="Y9567" s="63">
        <v>52100</v>
      </c>
      <c r="Z9567" s="61">
        <f>_xll.qlYieldTSDiscount($U$35,Y9567,,Trigger)</f>
        <v>0.65214968640031423</v>
      </c>
    </row>
    <row r="9568" spans="25:26" x14ac:dyDescent="0.25">
      <c r="Y9568" s="63">
        <v>52101</v>
      </c>
      <c r="Z9568" s="61">
        <f>_xll.qlYieldTSDiscount($U$35,Y9568,,Trigger)</f>
        <v>0.65210515085535548</v>
      </c>
    </row>
    <row r="9569" spans="25:26" x14ac:dyDescent="0.25">
      <c r="Y9569" s="63">
        <v>52102</v>
      </c>
      <c r="Z9569" s="61">
        <f>_xll.qlYieldTSDiscount($U$35,Y9569,,Trigger)</f>
        <v>0.65206061575154239</v>
      </c>
    </row>
    <row r="9570" spans="25:26" x14ac:dyDescent="0.25">
      <c r="Y9570" s="63">
        <v>52103</v>
      </c>
      <c r="Z9570" s="61">
        <f>_xll.qlYieldTSDiscount($U$35,Y9570,,Trigger)</f>
        <v>0.65201608109138853</v>
      </c>
    </row>
    <row r="9571" spans="25:26" x14ac:dyDescent="0.25">
      <c r="Y9571" s="63">
        <v>52104</v>
      </c>
      <c r="Z9571" s="61">
        <f>_xll.qlYieldTSDiscount($U$35,Y9571,,Trigger)</f>
        <v>0.65197154687740722</v>
      </c>
    </row>
    <row r="9572" spans="25:26" x14ac:dyDescent="0.25">
      <c r="Y9572" s="63">
        <v>52105</v>
      </c>
      <c r="Z9572" s="61">
        <f>_xll.qlYieldTSDiscount($U$35,Y9572,,Trigger)</f>
        <v>0.65192701311211221</v>
      </c>
    </row>
    <row r="9573" spans="25:26" x14ac:dyDescent="0.25">
      <c r="Y9573" s="63">
        <v>52106</v>
      </c>
      <c r="Z9573" s="61">
        <f>_xll.qlYieldTSDiscount($U$35,Y9573,,Trigger)</f>
        <v>0.65188247979801694</v>
      </c>
    </row>
    <row r="9574" spans="25:26" x14ac:dyDescent="0.25">
      <c r="Y9574" s="63">
        <v>52107</v>
      </c>
      <c r="Z9574" s="61">
        <f>_xll.qlYieldTSDiscount($U$35,Y9574,,Trigger)</f>
        <v>0.65183794693763519</v>
      </c>
    </row>
    <row r="9575" spans="25:26" x14ac:dyDescent="0.25">
      <c r="Y9575" s="63">
        <v>52108</v>
      </c>
      <c r="Z9575" s="61">
        <f>_xll.qlYieldTSDiscount($U$35,Y9575,,Trigger)</f>
        <v>0.65179341453348028</v>
      </c>
    </row>
    <row r="9576" spans="25:26" x14ac:dyDescent="0.25">
      <c r="Y9576" s="63">
        <v>52109</v>
      </c>
      <c r="Z9576" s="61">
        <f>_xll.qlYieldTSDiscount($U$35,Y9576,,Trigger)</f>
        <v>0.65174888258806574</v>
      </c>
    </row>
    <row r="9577" spans="25:26" x14ac:dyDescent="0.25">
      <c r="Y9577" s="63">
        <v>52110</v>
      </c>
      <c r="Z9577" s="61">
        <f>_xll.qlYieldTSDiscount($U$35,Y9577,,Trigger)</f>
        <v>0.65170435110390523</v>
      </c>
    </row>
    <row r="9578" spans="25:26" x14ac:dyDescent="0.25">
      <c r="Y9578" s="63">
        <v>52111</v>
      </c>
      <c r="Z9578" s="61">
        <f>_xll.qlYieldTSDiscount($U$35,Y9578,,Trigger)</f>
        <v>0.65165982008351231</v>
      </c>
    </row>
    <row r="9579" spans="25:26" x14ac:dyDescent="0.25">
      <c r="Y9579" s="63">
        <v>52112</v>
      </c>
      <c r="Z9579" s="61">
        <f>_xll.qlYieldTSDiscount($U$35,Y9579,,Trigger)</f>
        <v>0.65161528952940051</v>
      </c>
    </row>
    <row r="9580" spans="25:26" x14ac:dyDescent="0.25">
      <c r="Y9580" s="63">
        <v>52113</v>
      </c>
      <c r="Z9580" s="61">
        <f>_xll.qlYieldTSDiscount($U$35,Y9580,,Trigger)</f>
        <v>0.65157075944408327</v>
      </c>
    </row>
    <row r="9581" spans="25:26" x14ac:dyDescent="0.25">
      <c r="Y9581" s="63">
        <v>52114</v>
      </c>
      <c r="Z9581" s="61">
        <f>_xll.qlYieldTSDiscount($U$35,Y9581,,Trigger)</f>
        <v>0.65152622983007435</v>
      </c>
    </row>
    <row r="9582" spans="25:26" x14ac:dyDescent="0.25">
      <c r="Y9582" s="63">
        <v>52115</v>
      </c>
      <c r="Z9582" s="61">
        <f>_xll.qlYieldTSDiscount($U$35,Y9582,,Trigger)</f>
        <v>0.6514817006898872</v>
      </c>
    </row>
    <row r="9583" spans="25:26" x14ac:dyDescent="0.25">
      <c r="Y9583" s="63">
        <v>52116</v>
      </c>
      <c r="Z9583" s="61">
        <f>_xll.qlYieldTSDiscount($U$35,Y9583,,Trigger)</f>
        <v>0.65143717202603524</v>
      </c>
    </row>
    <row r="9584" spans="25:26" x14ac:dyDescent="0.25">
      <c r="Y9584" s="63">
        <v>52117</v>
      </c>
      <c r="Z9584" s="61">
        <f>_xll.qlYieldTSDiscount($U$35,Y9584,,Trigger)</f>
        <v>0.65139264384103224</v>
      </c>
    </row>
    <row r="9585" spans="25:26" x14ac:dyDescent="0.25">
      <c r="Y9585" s="63">
        <v>52118</v>
      </c>
      <c r="Z9585" s="61">
        <f>_xll.qlYieldTSDiscount($U$35,Y9585,,Trigger)</f>
        <v>0.65134811613739163</v>
      </c>
    </row>
    <row r="9586" spans="25:26" x14ac:dyDescent="0.25">
      <c r="Y9586" s="63">
        <v>52119</v>
      </c>
      <c r="Z9586" s="61">
        <f>_xll.qlYieldTSDiscount($U$35,Y9586,,Trigger)</f>
        <v>0.65130358891762707</v>
      </c>
    </row>
    <row r="9587" spans="25:26" x14ac:dyDescent="0.25">
      <c r="Y9587" s="63">
        <v>52120</v>
      </c>
      <c r="Z9587" s="61">
        <f>_xll.qlYieldTSDiscount($U$35,Y9587,,Trigger)</f>
        <v>0.65125906218425189</v>
      </c>
    </row>
    <row r="9588" spans="25:26" x14ac:dyDescent="0.25">
      <c r="Y9588" s="63">
        <v>52121</v>
      </c>
      <c r="Z9588" s="61">
        <f>_xll.qlYieldTSDiscount($U$35,Y9588,,Trigger)</f>
        <v>0.65121453593977985</v>
      </c>
    </row>
    <row r="9589" spans="25:26" x14ac:dyDescent="0.25">
      <c r="Y9589" s="63">
        <v>52122</v>
      </c>
      <c r="Z9589" s="61">
        <f>_xll.qlYieldTSDiscount($U$35,Y9589,,Trigger)</f>
        <v>0.65117001018672438</v>
      </c>
    </row>
    <row r="9590" spans="25:26" x14ac:dyDescent="0.25">
      <c r="Y9590" s="63">
        <v>52123</v>
      </c>
      <c r="Z9590" s="61">
        <f>_xll.qlYieldTSDiscount($U$35,Y9590,,Trigger)</f>
        <v>0.65112548492759914</v>
      </c>
    </row>
    <row r="9591" spans="25:26" x14ac:dyDescent="0.25">
      <c r="Y9591" s="63">
        <v>52124</v>
      </c>
      <c r="Z9591" s="61">
        <f>_xll.qlYieldTSDiscount($U$35,Y9591,,Trigger)</f>
        <v>0.65108096016491757</v>
      </c>
    </row>
    <row r="9592" spans="25:26" x14ac:dyDescent="0.25">
      <c r="Y9592" s="63">
        <v>52125</v>
      </c>
      <c r="Z9592" s="61">
        <f>_xll.qlYieldTSDiscount($U$35,Y9592,,Trigger)</f>
        <v>0.65103643590119331</v>
      </c>
    </row>
    <row r="9593" spans="25:26" x14ac:dyDescent="0.25">
      <c r="Y9593" s="63">
        <v>52126</v>
      </c>
      <c r="Z9593" s="61">
        <f>_xll.qlYieldTSDiscount($U$35,Y9593,,Trigger)</f>
        <v>0.65099191213893992</v>
      </c>
    </row>
    <row r="9594" spans="25:26" x14ac:dyDescent="0.25">
      <c r="Y9594" s="63">
        <v>52127</v>
      </c>
      <c r="Z9594" s="61">
        <f>_xll.qlYieldTSDiscount($U$35,Y9594,,Trigger)</f>
        <v>0.65094738888067083</v>
      </c>
    </row>
    <row r="9595" spans="25:26" x14ac:dyDescent="0.25">
      <c r="Y9595" s="63">
        <v>52128</v>
      </c>
      <c r="Z9595" s="61">
        <f>_xll.qlYieldTSDiscount($U$35,Y9595,,Trigger)</f>
        <v>0.65090286612889969</v>
      </c>
    </row>
    <row r="9596" spans="25:26" x14ac:dyDescent="0.25">
      <c r="Y9596" s="63">
        <v>52129</v>
      </c>
      <c r="Z9596" s="61">
        <f>_xll.qlYieldTSDiscount($U$35,Y9596,,Trigger)</f>
        <v>0.65085834388614006</v>
      </c>
    </row>
    <row r="9597" spans="25:26" x14ac:dyDescent="0.25">
      <c r="Y9597" s="63">
        <v>52130</v>
      </c>
      <c r="Z9597" s="61">
        <f>_xll.qlYieldTSDiscount($U$35,Y9597,,Trigger)</f>
        <v>0.65081382215490535</v>
      </c>
    </row>
    <row r="9598" spans="25:26" x14ac:dyDescent="0.25">
      <c r="Y9598" s="63">
        <v>52131</v>
      </c>
      <c r="Z9598" s="61">
        <f>_xll.qlYieldTSDiscount($U$35,Y9598,,Trigger)</f>
        <v>0.65076930093770935</v>
      </c>
    </row>
    <row r="9599" spans="25:26" x14ac:dyDescent="0.25">
      <c r="Y9599" s="63">
        <v>52132</v>
      </c>
      <c r="Z9599" s="61">
        <f>_xll.qlYieldTSDiscount($U$35,Y9599,,Trigger)</f>
        <v>0.65072478023706548</v>
      </c>
    </row>
    <row r="9600" spans="25:26" x14ac:dyDescent="0.25">
      <c r="Y9600" s="63">
        <v>52133</v>
      </c>
      <c r="Z9600" s="61">
        <f>_xll.qlYieldTSDiscount($U$35,Y9600,,Trigger)</f>
        <v>0.65068026005548718</v>
      </c>
    </row>
    <row r="9601" spans="25:26" x14ac:dyDescent="0.25">
      <c r="Y9601" s="63">
        <v>52134</v>
      </c>
      <c r="Z9601" s="61">
        <f>_xll.qlYieldTSDiscount($U$35,Y9601,,Trigger)</f>
        <v>0.65063574039548822</v>
      </c>
    </row>
    <row r="9602" spans="25:26" x14ac:dyDescent="0.25">
      <c r="Y9602" s="63">
        <v>52135</v>
      </c>
      <c r="Z9602" s="61">
        <f>_xll.qlYieldTSDiscount($U$35,Y9602,,Trigger)</f>
        <v>0.65059122125958202</v>
      </c>
    </row>
    <row r="9603" spans="25:26" x14ac:dyDescent="0.25">
      <c r="Y9603" s="63">
        <v>52136</v>
      </c>
      <c r="Z9603" s="61">
        <f>_xll.qlYieldTSDiscount($U$35,Y9603,,Trigger)</f>
        <v>0.65054670265028214</v>
      </c>
    </row>
    <row r="9604" spans="25:26" x14ac:dyDescent="0.25">
      <c r="Y9604" s="63">
        <v>52137</v>
      </c>
      <c r="Z9604" s="61">
        <f>_xll.qlYieldTSDiscount($U$35,Y9604,,Trigger)</f>
        <v>0.65050218457010223</v>
      </c>
    </row>
    <row r="9605" spans="25:26" x14ac:dyDescent="0.25">
      <c r="Y9605" s="63">
        <v>52138</v>
      </c>
      <c r="Z9605" s="61">
        <f>_xll.qlYieldTSDiscount($U$35,Y9605,,Trigger)</f>
        <v>0.65045766702155561</v>
      </c>
    </row>
    <row r="9606" spans="25:26" x14ac:dyDescent="0.25">
      <c r="Y9606" s="63">
        <v>52139</v>
      </c>
      <c r="Z9606" s="61">
        <f>_xll.qlYieldTSDiscount($U$35,Y9606,,Trigger)</f>
        <v>0.65041315000715605</v>
      </c>
    </row>
    <row r="9607" spans="25:26" x14ac:dyDescent="0.25">
      <c r="Y9607" s="63">
        <v>52140</v>
      </c>
      <c r="Z9607" s="61">
        <f>_xll.qlYieldTSDiscount($U$35,Y9607,,Trigger)</f>
        <v>0.6503686335294171</v>
      </c>
    </row>
    <row r="9608" spans="25:26" x14ac:dyDescent="0.25">
      <c r="Y9608" s="63">
        <v>52141</v>
      </c>
      <c r="Z9608" s="61">
        <f>_xll.qlYieldTSDiscount($U$35,Y9608,,Trigger)</f>
        <v>0.65032411759085218</v>
      </c>
    </row>
    <row r="9609" spans="25:26" x14ac:dyDescent="0.25">
      <c r="Y9609" s="63">
        <v>52142</v>
      </c>
      <c r="Z9609" s="61">
        <f>_xll.qlYieldTSDiscount($U$35,Y9609,,Trigger)</f>
        <v>0.65027960219397496</v>
      </c>
    </row>
    <row r="9610" spans="25:26" x14ac:dyDescent="0.25">
      <c r="Y9610" s="63">
        <v>52143</v>
      </c>
      <c r="Z9610" s="61">
        <f>_xll.qlYieldTSDiscount($U$35,Y9610,,Trigger)</f>
        <v>0.65023508734129887</v>
      </c>
    </row>
    <row r="9611" spans="25:26" x14ac:dyDescent="0.25">
      <c r="Y9611" s="63">
        <v>52144</v>
      </c>
      <c r="Z9611" s="61">
        <f>_xll.qlYieldTSDiscount($U$35,Y9611,,Trigger)</f>
        <v>0.65019057303533756</v>
      </c>
    </row>
    <row r="9612" spans="25:26" x14ac:dyDescent="0.25">
      <c r="Y9612" s="63">
        <v>52145</v>
      </c>
      <c r="Z9612" s="61">
        <f>_xll.qlYieldTSDiscount($U$35,Y9612,,Trigger)</f>
        <v>0.65014605927860458</v>
      </c>
    </row>
    <row r="9613" spans="25:26" x14ac:dyDescent="0.25">
      <c r="Y9613" s="63">
        <v>52146</v>
      </c>
      <c r="Z9613" s="61">
        <f>_xll.qlYieldTSDiscount($U$35,Y9613,,Trigger)</f>
        <v>0.65010154607361337</v>
      </c>
    </row>
    <row r="9614" spans="25:26" x14ac:dyDescent="0.25">
      <c r="Y9614" s="63">
        <v>52147</v>
      </c>
      <c r="Z9614" s="61">
        <f>_xll.qlYieldTSDiscount($U$35,Y9614,,Trigger)</f>
        <v>0.65005703342287757</v>
      </c>
    </row>
    <row r="9615" spans="25:26" x14ac:dyDescent="0.25">
      <c r="Y9615" s="63">
        <v>52148</v>
      </c>
      <c r="Z9615" s="61">
        <f>_xll.qlYieldTSDiscount($U$35,Y9615,,Trigger)</f>
        <v>0.65001252132891085</v>
      </c>
    </row>
    <row r="9616" spans="25:26" x14ac:dyDescent="0.25">
      <c r="Y9616" s="63">
        <v>52149</v>
      </c>
      <c r="Z9616" s="61">
        <f>_xll.qlYieldTSDiscount($U$35,Y9616,,Trigger)</f>
        <v>0.64996800979422642</v>
      </c>
    </row>
    <row r="9617" spans="25:26" x14ac:dyDescent="0.25">
      <c r="Y9617" s="63">
        <v>52150</v>
      </c>
      <c r="Z9617" s="61">
        <f>_xll.qlYieldTSDiscount($U$35,Y9617,,Trigger)</f>
        <v>0.64992349882133826</v>
      </c>
    </row>
    <row r="9618" spans="25:26" x14ac:dyDescent="0.25">
      <c r="Y9618" s="63">
        <v>52151</v>
      </c>
      <c r="Z9618" s="61">
        <f>_xll.qlYieldTSDiscount($U$35,Y9618,,Trigger)</f>
        <v>0.6498789884127596</v>
      </c>
    </row>
    <row r="9619" spans="25:26" x14ac:dyDescent="0.25">
      <c r="Y9619" s="63">
        <v>52152</v>
      </c>
      <c r="Z9619" s="61">
        <f>_xll.qlYieldTSDiscount($U$35,Y9619,,Trigger)</f>
        <v>0.64983447857100407</v>
      </c>
    </row>
    <row r="9620" spans="25:26" x14ac:dyDescent="0.25">
      <c r="Y9620" s="63">
        <v>52153</v>
      </c>
      <c r="Z9620" s="61">
        <f>_xll.qlYieldTSDiscount($U$35,Y9620,,Trigger)</f>
        <v>0.64978996929858535</v>
      </c>
    </row>
    <row r="9621" spans="25:26" x14ac:dyDescent="0.25">
      <c r="Y9621" s="63">
        <v>52154</v>
      </c>
      <c r="Z9621" s="61">
        <f>_xll.qlYieldTSDiscount($U$35,Y9621,,Trigger)</f>
        <v>0.64974546059801686</v>
      </c>
    </row>
    <row r="9622" spans="25:26" x14ac:dyDescent="0.25">
      <c r="Y9622" s="63">
        <v>52155</v>
      </c>
      <c r="Z9622" s="61">
        <f>_xll.qlYieldTSDiscount($U$35,Y9622,,Trigger)</f>
        <v>0.64970095247181214</v>
      </c>
    </row>
    <row r="9623" spans="25:26" x14ac:dyDescent="0.25">
      <c r="Y9623" s="63">
        <v>52156</v>
      </c>
      <c r="Z9623" s="61">
        <f>_xll.qlYieldTSDiscount($U$35,Y9623,,Trigger)</f>
        <v>0.64965644492248487</v>
      </c>
    </row>
    <row r="9624" spans="25:26" x14ac:dyDescent="0.25">
      <c r="Y9624" s="63">
        <v>52157</v>
      </c>
      <c r="Z9624" s="61">
        <f>_xll.qlYieldTSDiscount($U$35,Y9624,,Trigger)</f>
        <v>0.64961193795254835</v>
      </c>
    </row>
    <row r="9625" spans="25:26" x14ac:dyDescent="0.25">
      <c r="Y9625" s="63">
        <v>52158</v>
      </c>
      <c r="Z9625" s="61">
        <f>_xll.qlYieldTSDiscount($U$35,Y9625,,Trigger)</f>
        <v>0.64956743156451635</v>
      </c>
    </row>
    <row r="9626" spans="25:26" x14ac:dyDescent="0.25">
      <c r="Y9626" s="63">
        <v>52159</v>
      </c>
      <c r="Z9626" s="61">
        <f>_xll.qlYieldTSDiscount($U$35,Y9626,,Trigger)</f>
        <v>0.64952292576090243</v>
      </c>
    </row>
    <row r="9627" spans="25:26" x14ac:dyDescent="0.25">
      <c r="Y9627" s="63">
        <v>52160</v>
      </c>
      <c r="Z9627" s="61">
        <f>_xll.qlYieldTSDiscount($U$35,Y9627,,Trigger)</f>
        <v>0.64947842054422011</v>
      </c>
    </row>
    <row r="9628" spans="25:26" x14ac:dyDescent="0.25">
      <c r="Y9628" s="63">
        <v>52161</v>
      </c>
      <c r="Z9628" s="61">
        <f>_xll.qlYieldTSDiscount($U$35,Y9628,,Trigger)</f>
        <v>0.64943391591698285</v>
      </c>
    </row>
    <row r="9629" spans="25:26" x14ac:dyDescent="0.25">
      <c r="Y9629" s="63">
        <v>52162</v>
      </c>
      <c r="Z9629" s="61">
        <f>_xll.qlYieldTSDiscount($U$35,Y9629,,Trigger)</f>
        <v>0.64938941188170429</v>
      </c>
    </row>
    <row r="9630" spans="25:26" x14ac:dyDescent="0.25">
      <c r="Y9630" s="63">
        <v>52163</v>
      </c>
      <c r="Z9630" s="61">
        <f>_xll.qlYieldTSDiscount($U$35,Y9630,,Trigger)</f>
        <v>0.64934490844089787</v>
      </c>
    </row>
    <row r="9631" spans="25:26" x14ac:dyDescent="0.25">
      <c r="Y9631" s="63">
        <v>52164</v>
      </c>
      <c r="Z9631" s="61">
        <f>_xll.qlYieldTSDiscount($U$35,Y9631,,Trigger)</f>
        <v>0.64930040559707736</v>
      </c>
    </row>
    <row r="9632" spans="25:26" x14ac:dyDescent="0.25">
      <c r="Y9632" s="63">
        <v>52165</v>
      </c>
      <c r="Z9632" s="61">
        <f>_xll.qlYieldTSDiscount($U$35,Y9632,,Trigger)</f>
        <v>0.64925590335275607</v>
      </c>
    </row>
    <row r="9633" spans="25:26" x14ac:dyDescent="0.25">
      <c r="Y9633" s="63">
        <v>52166</v>
      </c>
      <c r="Z9633" s="61">
        <f>_xll.qlYieldTSDiscount($U$35,Y9633,,Trigger)</f>
        <v>0.64921140171044767</v>
      </c>
    </row>
    <row r="9634" spans="25:26" x14ac:dyDescent="0.25">
      <c r="Y9634" s="63">
        <v>52167</v>
      </c>
      <c r="Z9634" s="61">
        <f>_xll.qlYieldTSDiscount($U$35,Y9634,,Trigger)</f>
        <v>0.64916690067266569</v>
      </c>
    </row>
    <row r="9635" spans="25:26" x14ac:dyDescent="0.25">
      <c r="Y9635" s="63">
        <v>52168</v>
      </c>
      <c r="Z9635" s="61">
        <f>_xll.qlYieldTSDiscount($U$35,Y9635,,Trigger)</f>
        <v>0.6491224002419238</v>
      </c>
    </row>
    <row r="9636" spans="25:26" x14ac:dyDescent="0.25">
      <c r="Y9636" s="63">
        <v>52169</v>
      </c>
      <c r="Z9636" s="61">
        <f>_xll.qlYieldTSDiscount($U$35,Y9636,,Trigger)</f>
        <v>0.64907790042073532</v>
      </c>
    </row>
    <row r="9637" spans="25:26" x14ac:dyDescent="0.25">
      <c r="Y9637" s="63">
        <v>52170</v>
      </c>
      <c r="Z9637" s="61">
        <f>_xll.qlYieldTSDiscount($U$35,Y9637,,Trigger)</f>
        <v>0.6490334012116139</v>
      </c>
    </row>
    <row r="9638" spans="25:26" x14ac:dyDescent="0.25">
      <c r="Y9638" s="63">
        <v>52171</v>
      </c>
      <c r="Z9638" s="61">
        <f>_xll.qlYieldTSDiscount($U$35,Y9638,,Trigger)</f>
        <v>0.6489889026170732</v>
      </c>
    </row>
    <row r="9639" spans="25:26" x14ac:dyDescent="0.25">
      <c r="Y9639" s="63">
        <v>52172</v>
      </c>
      <c r="Z9639" s="61">
        <f>_xll.qlYieldTSDiscount($U$35,Y9639,,Trigger)</f>
        <v>0.64894440463962666</v>
      </c>
    </row>
    <row r="9640" spans="25:26" x14ac:dyDescent="0.25">
      <c r="Y9640" s="63">
        <v>52173</v>
      </c>
      <c r="Z9640" s="61">
        <f>_xll.qlYieldTSDiscount($U$35,Y9640,,Trigger)</f>
        <v>0.64889990728178781</v>
      </c>
    </row>
    <row r="9641" spans="25:26" x14ac:dyDescent="0.25">
      <c r="Y9641" s="63">
        <v>52174</v>
      </c>
      <c r="Z9641" s="61">
        <f>_xll.qlYieldTSDiscount($U$35,Y9641,,Trigger)</f>
        <v>0.64885541054607032</v>
      </c>
    </row>
    <row r="9642" spans="25:26" x14ac:dyDescent="0.25">
      <c r="Y9642" s="63">
        <v>52175</v>
      </c>
      <c r="Z9642" s="61">
        <f>_xll.qlYieldTSDiscount($U$35,Y9642,,Trigger)</f>
        <v>0.64881091443498762</v>
      </c>
    </row>
    <row r="9643" spans="25:26" x14ac:dyDescent="0.25">
      <c r="Y9643" s="63">
        <v>52176</v>
      </c>
      <c r="Z9643" s="61">
        <f>_xll.qlYieldTSDiscount($U$35,Y9643,,Trigger)</f>
        <v>0.64876641895105336</v>
      </c>
    </row>
    <row r="9644" spans="25:26" x14ac:dyDescent="0.25">
      <c r="Y9644" s="63">
        <v>52177</v>
      </c>
      <c r="Z9644" s="61">
        <f>_xll.qlYieldTSDiscount($U$35,Y9644,,Trigger)</f>
        <v>0.64872192409678098</v>
      </c>
    </row>
    <row r="9645" spans="25:26" x14ac:dyDescent="0.25">
      <c r="Y9645" s="63">
        <v>52178</v>
      </c>
      <c r="Z9645" s="61">
        <f>_xll.qlYieldTSDiscount($U$35,Y9645,,Trigger)</f>
        <v>0.64867742987468413</v>
      </c>
    </row>
    <row r="9646" spans="25:26" x14ac:dyDescent="0.25">
      <c r="Y9646" s="63">
        <v>52179</v>
      </c>
      <c r="Z9646" s="61">
        <f>_xll.qlYieldTSDiscount($U$35,Y9646,,Trigger)</f>
        <v>0.64863293628727636</v>
      </c>
    </row>
    <row r="9647" spans="25:26" x14ac:dyDescent="0.25">
      <c r="Y9647" s="63">
        <v>52180</v>
      </c>
      <c r="Z9647" s="61">
        <f>_xll.qlYieldTSDiscount($U$35,Y9647,,Trigger)</f>
        <v>0.64858844333707111</v>
      </c>
    </row>
    <row r="9648" spans="25:26" x14ac:dyDescent="0.25">
      <c r="Y9648" s="63">
        <v>52181</v>
      </c>
      <c r="Z9648" s="61">
        <f>_xll.qlYieldTSDiscount($U$35,Y9648,,Trigger)</f>
        <v>0.64854395102658202</v>
      </c>
    </row>
    <row r="9649" spans="25:26" x14ac:dyDescent="0.25">
      <c r="Y9649" s="63">
        <v>52182</v>
      </c>
      <c r="Z9649" s="61">
        <f>_xll.qlYieldTSDiscount($U$35,Y9649,,Trigger)</f>
        <v>0.64849945935832265</v>
      </c>
    </row>
    <row r="9650" spans="25:26" x14ac:dyDescent="0.25">
      <c r="Y9650" s="63">
        <v>52183</v>
      </c>
      <c r="Z9650" s="61">
        <f>_xll.qlYieldTSDiscount($U$35,Y9650,,Trigger)</f>
        <v>0.64845496833480643</v>
      </c>
    </row>
    <row r="9651" spans="25:26" x14ac:dyDescent="0.25">
      <c r="Y9651" s="63">
        <v>52184</v>
      </c>
      <c r="Z9651" s="61">
        <f>_xll.qlYieldTSDiscount($U$35,Y9651,,Trigger)</f>
        <v>0.64841047795854712</v>
      </c>
    </row>
    <row r="9652" spans="25:26" x14ac:dyDescent="0.25">
      <c r="Y9652" s="63">
        <v>52185</v>
      </c>
      <c r="Z9652" s="61">
        <f>_xll.qlYieldTSDiscount($U$35,Y9652,,Trigger)</f>
        <v>0.64836598823205815</v>
      </c>
    </row>
    <row r="9653" spans="25:26" x14ac:dyDescent="0.25">
      <c r="Y9653" s="63">
        <v>52186</v>
      </c>
      <c r="Z9653" s="61">
        <f>_xll.qlYieldTSDiscount($U$35,Y9653,,Trigger)</f>
        <v>0.64832149915785309</v>
      </c>
    </row>
    <row r="9654" spans="25:26" x14ac:dyDescent="0.25">
      <c r="Y9654" s="63">
        <v>52187</v>
      </c>
      <c r="Z9654" s="61">
        <f>_xll.qlYieldTSDiscount($U$35,Y9654,,Trigger)</f>
        <v>0.64827701073844546</v>
      </c>
    </row>
    <row r="9655" spans="25:26" x14ac:dyDescent="0.25">
      <c r="Y9655" s="63">
        <v>52188</v>
      </c>
      <c r="Z9655" s="61">
        <f>_xll.qlYieldTSDiscount($U$35,Y9655,,Trigger)</f>
        <v>0.64823252297634881</v>
      </c>
    </row>
    <row r="9656" spans="25:26" x14ac:dyDescent="0.25">
      <c r="Y9656" s="63">
        <v>52189</v>
      </c>
      <c r="Z9656" s="61">
        <f>_xll.qlYieldTSDiscount($U$35,Y9656,,Trigger)</f>
        <v>0.6481880358740767</v>
      </c>
    </row>
    <row r="9657" spans="25:26" x14ac:dyDescent="0.25">
      <c r="Y9657" s="63">
        <v>52190</v>
      </c>
      <c r="Z9657" s="61">
        <f>_xll.qlYieldTSDiscount($U$35,Y9657,,Trigger)</f>
        <v>0.64814354943414276</v>
      </c>
    </row>
    <row r="9658" spans="25:26" x14ac:dyDescent="0.25">
      <c r="Y9658" s="63">
        <v>52191</v>
      </c>
      <c r="Z9658" s="61">
        <f>_xll.qlYieldTSDiscount($U$35,Y9658,,Trigger)</f>
        <v>0.64809906365906045</v>
      </c>
    </row>
    <row r="9659" spans="25:26" x14ac:dyDescent="0.25">
      <c r="Y9659" s="63">
        <v>52192</v>
      </c>
      <c r="Z9659" s="61">
        <f>_xll.qlYieldTSDiscount($U$35,Y9659,,Trigger)</f>
        <v>0.64805457855134341</v>
      </c>
    </row>
    <row r="9660" spans="25:26" x14ac:dyDescent="0.25">
      <c r="Y9660" s="63">
        <v>52193</v>
      </c>
      <c r="Z9660" s="61">
        <f>_xll.qlYieldTSDiscount($U$35,Y9660,,Trigger)</f>
        <v>0.64801009411350508</v>
      </c>
    </row>
    <row r="9661" spans="25:26" x14ac:dyDescent="0.25">
      <c r="Y9661" s="63">
        <v>52194</v>
      </c>
      <c r="Z9661" s="61">
        <f>_xll.qlYieldTSDiscount($U$35,Y9661,,Trigger)</f>
        <v>0.647965610348059</v>
      </c>
    </row>
    <row r="9662" spans="25:26" x14ac:dyDescent="0.25">
      <c r="Y9662" s="63">
        <v>52195</v>
      </c>
      <c r="Z9662" s="61">
        <f>_xll.qlYieldTSDiscount($U$35,Y9662,,Trigger)</f>
        <v>0.64792112725751883</v>
      </c>
    </row>
    <row r="9663" spans="25:26" x14ac:dyDescent="0.25">
      <c r="Y9663" s="63">
        <v>52196</v>
      </c>
      <c r="Z9663" s="61">
        <f>_xll.qlYieldTSDiscount($U$35,Y9663,,Trigger)</f>
        <v>0.64787664484439811</v>
      </c>
    </row>
    <row r="9664" spans="25:26" x14ac:dyDescent="0.25">
      <c r="Y9664" s="63">
        <v>52197</v>
      </c>
      <c r="Z9664" s="61">
        <f>_xll.qlYieldTSDiscount($U$35,Y9664,,Trigger)</f>
        <v>0.64783216311121028</v>
      </c>
    </row>
    <row r="9665" spans="25:26" x14ac:dyDescent="0.25">
      <c r="Y9665" s="63">
        <v>52198</v>
      </c>
      <c r="Z9665" s="61">
        <f>_xll.qlYieldTSDiscount($U$35,Y9665,,Trigger)</f>
        <v>0.64778768206046911</v>
      </c>
    </row>
    <row r="9666" spans="25:26" x14ac:dyDescent="0.25">
      <c r="Y9666" s="63">
        <v>52199</v>
      </c>
      <c r="Z9666" s="61">
        <f>_xll.qlYieldTSDiscount($U$35,Y9666,,Trigger)</f>
        <v>0.6477432016946878</v>
      </c>
    </row>
    <row r="9667" spans="25:26" x14ac:dyDescent="0.25">
      <c r="Y9667" s="63">
        <v>52200</v>
      </c>
      <c r="Z9667" s="61">
        <f>_xll.qlYieldTSDiscount($U$35,Y9667,,Trigger)</f>
        <v>0.64769872201638024</v>
      </c>
    </row>
    <row r="9668" spans="25:26" x14ac:dyDescent="0.25">
      <c r="Y9668" s="63">
        <v>52201</v>
      </c>
      <c r="Z9668" s="61">
        <f>_xll.qlYieldTSDiscount($U$35,Y9668,,Trigger)</f>
        <v>0.64765424302805985</v>
      </c>
    </row>
    <row r="9669" spans="25:26" x14ac:dyDescent="0.25">
      <c r="Y9669" s="63">
        <v>52202</v>
      </c>
      <c r="Z9669" s="61">
        <f>_xll.qlYieldTSDiscount($U$35,Y9669,,Trigger)</f>
        <v>0.64760976473224019</v>
      </c>
    </row>
    <row r="9670" spans="25:26" x14ac:dyDescent="0.25">
      <c r="Y9670" s="63">
        <v>52203</v>
      </c>
      <c r="Z9670" s="61">
        <f>_xll.qlYieldTSDiscount($U$35,Y9670,,Trigger)</f>
        <v>0.6475652871314348</v>
      </c>
    </row>
    <row r="9671" spans="25:26" x14ac:dyDescent="0.25">
      <c r="Y9671" s="63">
        <v>52204</v>
      </c>
      <c r="Z9671" s="61">
        <f>_xll.qlYieldTSDiscount($U$35,Y9671,,Trigger)</f>
        <v>0.64752081022815722</v>
      </c>
    </row>
    <row r="9672" spans="25:26" x14ac:dyDescent="0.25">
      <c r="Y9672" s="63">
        <v>52205</v>
      </c>
      <c r="Z9672" s="61">
        <f>_xll.qlYieldTSDiscount($U$35,Y9672,,Trigger)</f>
        <v>0.647476334024921</v>
      </c>
    </row>
    <row r="9673" spans="25:26" x14ac:dyDescent="0.25">
      <c r="Y9673" s="63">
        <v>52206</v>
      </c>
      <c r="Z9673" s="61">
        <f>_xll.qlYieldTSDiscount($U$35,Y9673,,Trigger)</f>
        <v>0.64743185852423979</v>
      </c>
    </row>
    <row r="9674" spans="25:26" x14ac:dyDescent="0.25">
      <c r="Y9674" s="63">
        <v>52207</v>
      </c>
      <c r="Z9674" s="61">
        <f>_xll.qlYieldTSDiscount($U$35,Y9674,,Trigger)</f>
        <v>0.64738738372862692</v>
      </c>
    </row>
    <row r="9675" spans="25:26" x14ac:dyDescent="0.25">
      <c r="Y9675" s="63">
        <v>52208</v>
      </c>
      <c r="Z9675" s="61">
        <f>_xll.qlYieldTSDiscount($U$35,Y9675,,Trigger)</f>
        <v>0.64734290964059615</v>
      </c>
    </row>
    <row r="9676" spans="25:26" x14ac:dyDescent="0.25">
      <c r="Y9676" s="63">
        <v>52209</v>
      </c>
      <c r="Z9676" s="61">
        <f>_xll.qlYieldTSDiscount($U$35,Y9676,,Trigger)</f>
        <v>0.64729843626266093</v>
      </c>
    </row>
    <row r="9677" spans="25:26" x14ac:dyDescent="0.25">
      <c r="Y9677" s="63">
        <v>52210</v>
      </c>
      <c r="Z9677" s="61">
        <f>_xll.qlYieldTSDiscount($U$35,Y9677,,Trigger)</f>
        <v>0.64725396359733489</v>
      </c>
    </row>
    <row r="9678" spans="25:26" x14ac:dyDescent="0.25">
      <c r="Y9678" s="63">
        <v>52211</v>
      </c>
      <c r="Z9678" s="61">
        <f>_xll.qlYieldTSDiscount($U$35,Y9678,,Trigger)</f>
        <v>0.64720949164713149</v>
      </c>
    </row>
    <row r="9679" spans="25:26" x14ac:dyDescent="0.25">
      <c r="Y9679" s="63">
        <v>52212</v>
      </c>
      <c r="Z9679" s="61">
        <f>_xll.qlYieldTSDiscount($U$35,Y9679,,Trigger)</f>
        <v>0.64716502041456436</v>
      </c>
    </row>
    <row r="9680" spans="25:26" x14ac:dyDescent="0.25">
      <c r="Y9680" s="63">
        <v>52213</v>
      </c>
      <c r="Z9680" s="61">
        <f>_xll.qlYieldTSDiscount($U$35,Y9680,,Trigger)</f>
        <v>0.64712054990214707</v>
      </c>
    </row>
    <row r="9681" spans="25:26" x14ac:dyDescent="0.25">
      <c r="Y9681" s="63">
        <v>52214</v>
      </c>
      <c r="Z9681" s="61">
        <f>_xll.qlYieldTSDiscount($U$35,Y9681,,Trigger)</f>
        <v>0.64707608011239304</v>
      </c>
    </row>
    <row r="9682" spans="25:26" x14ac:dyDescent="0.25">
      <c r="Y9682" s="63">
        <v>52215</v>
      </c>
      <c r="Z9682" s="61">
        <f>_xll.qlYieldTSDiscount($U$35,Y9682,,Trigger)</f>
        <v>0.64703161104781581</v>
      </c>
    </row>
    <row r="9683" spans="25:26" x14ac:dyDescent="0.25">
      <c r="Y9683" s="63">
        <v>52216</v>
      </c>
      <c r="Z9683" s="61">
        <f>_xll.qlYieldTSDiscount($U$35,Y9683,,Trigger)</f>
        <v>0.64698714271092927</v>
      </c>
    </row>
    <row r="9684" spans="25:26" x14ac:dyDescent="0.25">
      <c r="Y9684" s="63">
        <v>52217</v>
      </c>
      <c r="Z9684" s="61">
        <f>_xll.qlYieldTSDiscount($U$35,Y9684,,Trigger)</f>
        <v>0.64694267510424652</v>
      </c>
    </row>
    <row r="9685" spans="25:26" x14ac:dyDescent="0.25">
      <c r="Y9685" s="63">
        <v>52218</v>
      </c>
      <c r="Z9685" s="61">
        <f>_xll.qlYieldTSDiscount($U$35,Y9685,,Trigger)</f>
        <v>0.64689820823028132</v>
      </c>
    </row>
    <row r="9686" spans="25:26" x14ac:dyDescent="0.25">
      <c r="Y9686" s="63">
        <v>52219</v>
      </c>
      <c r="Z9686" s="61">
        <f>_xll.qlYieldTSDiscount($U$35,Y9686,,Trigger)</f>
        <v>0.64685374209154733</v>
      </c>
    </row>
    <row r="9687" spans="25:26" x14ac:dyDescent="0.25">
      <c r="Y9687" s="63">
        <v>52220</v>
      </c>
      <c r="Z9687" s="61">
        <f>_xll.qlYieldTSDiscount($U$35,Y9687,,Trigger)</f>
        <v>0.64680927669055788</v>
      </c>
    </row>
    <row r="9688" spans="25:26" x14ac:dyDescent="0.25">
      <c r="Y9688" s="63">
        <v>52221</v>
      </c>
      <c r="Z9688" s="61">
        <f>_xll.qlYieldTSDiscount($U$35,Y9688,,Trigger)</f>
        <v>0.64676481202982672</v>
      </c>
    </row>
    <row r="9689" spans="25:26" x14ac:dyDescent="0.25">
      <c r="Y9689" s="63">
        <v>52222</v>
      </c>
      <c r="Z9689" s="61">
        <f>_xll.qlYieldTSDiscount($U$35,Y9689,,Trigger)</f>
        <v>0.64672034811186718</v>
      </c>
    </row>
    <row r="9690" spans="25:26" x14ac:dyDescent="0.25">
      <c r="Y9690" s="63">
        <v>52223</v>
      </c>
      <c r="Z9690" s="61">
        <f>_xll.qlYieldTSDiscount($U$35,Y9690,,Trigger)</f>
        <v>0.64667588493919304</v>
      </c>
    </row>
    <row r="9691" spans="25:26" x14ac:dyDescent="0.25">
      <c r="Y9691" s="63">
        <v>52224</v>
      </c>
      <c r="Z9691" s="61">
        <f>_xll.qlYieldTSDiscount($U$35,Y9691,,Trigger)</f>
        <v>0.64663142251431771</v>
      </c>
    </row>
    <row r="9692" spans="25:26" x14ac:dyDescent="0.25">
      <c r="Y9692" s="63">
        <v>52225</v>
      </c>
      <c r="Z9692" s="61">
        <f>_xll.qlYieldTSDiscount($U$35,Y9692,,Trigger)</f>
        <v>0.64658696083975487</v>
      </c>
    </row>
    <row r="9693" spans="25:26" x14ac:dyDescent="0.25">
      <c r="Y9693" s="63">
        <v>52226</v>
      </c>
      <c r="Z9693" s="61">
        <f>_xll.qlYieldTSDiscount($U$35,Y9693,,Trigger)</f>
        <v>0.64654249991801782</v>
      </c>
    </row>
    <row r="9694" spans="25:26" x14ac:dyDescent="0.25">
      <c r="Y9694" s="63">
        <v>52227</v>
      </c>
      <c r="Z9694" s="61">
        <f>_xll.qlYieldTSDiscount($U$35,Y9694,,Trigger)</f>
        <v>0.64649803975162046</v>
      </c>
    </row>
    <row r="9695" spans="25:26" x14ac:dyDescent="0.25">
      <c r="Y9695" s="63">
        <v>52228</v>
      </c>
      <c r="Z9695" s="61">
        <f>_xll.qlYieldTSDiscount($U$35,Y9695,,Trigger)</f>
        <v>0.64645358034307598</v>
      </c>
    </row>
    <row r="9696" spans="25:26" x14ac:dyDescent="0.25">
      <c r="Y9696" s="63">
        <v>52229</v>
      </c>
      <c r="Z9696" s="61">
        <f>_xll.qlYieldTSDiscount($U$35,Y9696,,Trigger)</f>
        <v>0.64640912169489817</v>
      </c>
    </row>
    <row r="9697" spans="25:26" x14ac:dyDescent="0.25">
      <c r="Y9697" s="63">
        <v>52230</v>
      </c>
      <c r="Z9697" s="61">
        <f>_xll.qlYieldTSDiscount($U$35,Y9697,,Trigger)</f>
        <v>0.64636466380960056</v>
      </c>
    </row>
    <row r="9698" spans="25:26" x14ac:dyDescent="0.25">
      <c r="Y9698" s="63">
        <v>52231</v>
      </c>
      <c r="Z9698" s="61">
        <f>_xll.qlYieldTSDiscount($U$35,Y9698,,Trigger)</f>
        <v>0.64632020668969659</v>
      </c>
    </row>
    <row r="9699" spans="25:26" x14ac:dyDescent="0.25">
      <c r="Y9699" s="63">
        <v>52232</v>
      </c>
      <c r="Z9699" s="61">
        <f>_xll.qlYieldTSDiscount($U$35,Y9699,,Trigger)</f>
        <v>0.64627575033770002</v>
      </c>
    </row>
    <row r="9700" spans="25:26" x14ac:dyDescent="0.25">
      <c r="Y9700" s="63">
        <v>52233</v>
      </c>
      <c r="Z9700" s="61">
        <f>_xll.qlYieldTSDiscount($U$35,Y9700,,Trigger)</f>
        <v>0.64623129475612417</v>
      </c>
    </row>
    <row r="9701" spans="25:26" x14ac:dyDescent="0.25">
      <c r="Y9701" s="63">
        <v>52234</v>
      </c>
      <c r="Z9701" s="61">
        <f>_xll.qlYieldTSDiscount($U$35,Y9701,,Trigger)</f>
        <v>0.64618683994748261</v>
      </c>
    </row>
    <row r="9702" spans="25:26" x14ac:dyDescent="0.25">
      <c r="Y9702" s="63">
        <v>52235</v>
      </c>
      <c r="Z9702" s="61">
        <f>_xll.qlYieldTSDiscount($U$35,Y9702,,Trigger)</f>
        <v>0.64614238591428907</v>
      </c>
    </row>
    <row r="9703" spans="25:26" x14ac:dyDescent="0.25">
      <c r="Y9703" s="63">
        <v>52236</v>
      </c>
      <c r="Z9703" s="61">
        <f>_xll.qlYieldTSDiscount($U$35,Y9703,,Trigger)</f>
        <v>0.64609793265905691</v>
      </c>
    </row>
    <row r="9704" spans="25:26" x14ac:dyDescent="0.25">
      <c r="Y9704" s="63">
        <v>52237</v>
      </c>
      <c r="Z9704" s="61">
        <f>_xll.qlYieldTSDiscount($U$35,Y9704,,Trigger)</f>
        <v>0.64605348018429987</v>
      </c>
    </row>
    <row r="9705" spans="25:26" x14ac:dyDescent="0.25">
      <c r="Y9705" s="63">
        <v>52238</v>
      </c>
      <c r="Z9705" s="61">
        <f>_xll.qlYieldTSDiscount($U$35,Y9705,,Trigger)</f>
        <v>0.64600902849253128</v>
      </c>
    </row>
    <row r="9706" spans="25:26" x14ac:dyDescent="0.25">
      <c r="Y9706" s="63">
        <v>52239</v>
      </c>
      <c r="Z9706" s="61">
        <f>_xll.qlYieldTSDiscount($U$35,Y9706,,Trigger)</f>
        <v>0.64596457758626491</v>
      </c>
    </row>
    <row r="9707" spans="25:26" x14ac:dyDescent="0.25">
      <c r="Y9707" s="63">
        <v>52240</v>
      </c>
      <c r="Z9707" s="61">
        <f>_xll.qlYieldTSDiscount($U$35,Y9707,,Trigger)</f>
        <v>0.64592012746801419</v>
      </c>
    </row>
    <row r="9708" spans="25:26" x14ac:dyDescent="0.25">
      <c r="Y9708" s="63">
        <v>52241</v>
      </c>
      <c r="Z9708" s="61">
        <f>_xll.qlYieldTSDiscount($U$35,Y9708,,Trigger)</f>
        <v>0.64587567814029256</v>
      </c>
    </row>
    <row r="9709" spans="25:26" x14ac:dyDescent="0.25">
      <c r="Y9709" s="63">
        <v>52242</v>
      </c>
      <c r="Z9709" s="61">
        <f>_xll.qlYieldTSDiscount($U$35,Y9709,,Trigger)</f>
        <v>0.6458312296056139</v>
      </c>
    </row>
    <row r="9710" spans="25:26" x14ac:dyDescent="0.25">
      <c r="Y9710" s="63">
        <v>52243</v>
      </c>
      <c r="Z9710" s="61">
        <f>_xll.qlYieldTSDiscount($U$35,Y9710,,Trigger)</f>
        <v>0.64578678186649152</v>
      </c>
    </row>
    <row r="9711" spans="25:26" x14ac:dyDescent="0.25">
      <c r="Y9711" s="63">
        <v>52244</v>
      </c>
      <c r="Z9711" s="61">
        <f>_xll.qlYieldTSDiscount($U$35,Y9711,,Trigger)</f>
        <v>0.64574233492543898</v>
      </c>
    </row>
    <row r="9712" spans="25:26" x14ac:dyDescent="0.25">
      <c r="Y9712" s="63">
        <v>52245</v>
      </c>
      <c r="Z9712" s="61">
        <f>_xll.qlYieldTSDiscount($U$35,Y9712,,Trigger)</f>
        <v>0.64569788878496981</v>
      </c>
    </row>
    <row r="9713" spans="25:26" x14ac:dyDescent="0.25">
      <c r="Y9713" s="63">
        <v>52246</v>
      </c>
      <c r="Z9713" s="61">
        <f>_xll.qlYieldTSDiscount($U$35,Y9713,,Trigger)</f>
        <v>0.64565344344759767</v>
      </c>
    </row>
    <row r="9714" spans="25:26" x14ac:dyDescent="0.25">
      <c r="Y9714" s="63">
        <v>52247</v>
      </c>
      <c r="Z9714" s="61">
        <f>_xll.qlYieldTSDiscount($U$35,Y9714,,Trigger)</f>
        <v>0.64560899891583612</v>
      </c>
    </row>
    <row r="9715" spans="25:26" x14ac:dyDescent="0.25">
      <c r="Y9715" s="63">
        <v>52248</v>
      </c>
      <c r="Z9715" s="61">
        <f>_xll.qlYieldTSDiscount($U$35,Y9715,,Trigger)</f>
        <v>0.64556455519219857</v>
      </c>
    </row>
    <row r="9716" spans="25:26" x14ac:dyDescent="0.25">
      <c r="Y9716" s="63">
        <v>52249</v>
      </c>
      <c r="Z9716" s="61">
        <f>_xll.qlYieldTSDiscount($U$35,Y9716,,Trigger)</f>
        <v>0.6455201122791987</v>
      </c>
    </row>
    <row r="9717" spans="25:26" x14ac:dyDescent="0.25">
      <c r="Y9717" s="63">
        <v>52250</v>
      </c>
      <c r="Z9717" s="61">
        <f>_xll.qlYieldTSDiscount($U$35,Y9717,,Trigger)</f>
        <v>0.64547567017934993</v>
      </c>
    </row>
    <row r="9718" spans="25:26" x14ac:dyDescent="0.25">
      <c r="Y9718" s="63">
        <v>52251</v>
      </c>
      <c r="Z9718" s="61">
        <f>_xll.qlYieldTSDiscount($U$35,Y9718,,Trigger)</f>
        <v>0.64543122889516602</v>
      </c>
    </row>
    <row r="9719" spans="25:26" x14ac:dyDescent="0.25">
      <c r="Y9719" s="63">
        <v>52252</v>
      </c>
      <c r="Z9719" s="61">
        <f>_xll.qlYieldTSDiscount($U$35,Y9719,,Trigger)</f>
        <v>0.64538678842916031</v>
      </c>
    </row>
    <row r="9720" spans="25:26" x14ac:dyDescent="0.25">
      <c r="Y9720" s="63">
        <v>52253</v>
      </c>
      <c r="Z9720" s="61">
        <f>_xll.qlYieldTSDiscount($U$35,Y9720,,Trigger)</f>
        <v>0.64534234878384644</v>
      </c>
    </row>
    <row r="9721" spans="25:26" x14ac:dyDescent="0.25">
      <c r="Y9721" s="63">
        <v>52254</v>
      </c>
      <c r="Z9721" s="61">
        <f>_xll.qlYieldTSDiscount($U$35,Y9721,,Trigger)</f>
        <v>0.64529790996173797</v>
      </c>
    </row>
    <row r="9722" spans="25:26" x14ac:dyDescent="0.25">
      <c r="Y9722" s="63">
        <v>52255</v>
      </c>
      <c r="Z9722" s="61">
        <f>_xll.qlYieldTSDiscount($U$35,Y9722,,Trigger)</f>
        <v>0.64525347196534844</v>
      </c>
    </row>
    <row r="9723" spans="25:26" x14ac:dyDescent="0.25">
      <c r="Y9723" s="63">
        <v>52256</v>
      </c>
      <c r="Z9723" s="61">
        <f>_xll.qlYieldTSDiscount($U$35,Y9723,,Trigger)</f>
        <v>0.64520903479719149</v>
      </c>
    </row>
    <row r="9724" spans="25:26" x14ac:dyDescent="0.25">
      <c r="Y9724" s="63">
        <v>52257</v>
      </c>
      <c r="Z9724" s="61">
        <f>_xll.qlYieldTSDiscount($U$35,Y9724,,Trigger)</f>
        <v>0.64516459845978047</v>
      </c>
    </row>
    <row r="9725" spans="25:26" x14ac:dyDescent="0.25">
      <c r="Y9725" s="63">
        <v>52258</v>
      </c>
      <c r="Z9725" s="61">
        <f>_xll.qlYieldTSDiscount($U$35,Y9725,,Trigger)</f>
        <v>0.64512016295562913</v>
      </c>
    </row>
    <row r="9726" spans="25:26" x14ac:dyDescent="0.25">
      <c r="Y9726" s="63">
        <v>52259</v>
      </c>
      <c r="Z9726" s="61">
        <f>_xll.qlYieldTSDiscount($U$35,Y9726,,Trigger)</f>
        <v>0.64507572828725079</v>
      </c>
    </row>
    <row r="9727" spans="25:26" x14ac:dyDescent="0.25">
      <c r="Y9727" s="63">
        <v>52260</v>
      </c>
      <c r="Z9727" s="61">
        <f>_xll.qlYieldTSDiscount($U$35,Y9727,,Trigger)</f>
        <v>0.64503129445715923</v>
      </c>
    </row>
    <row r="9728" spans="25:26" x14ac:dyDescent="0.25">
      <c r="Y9728" s="63">
        <v>52261</v>
      </c>
      <c r="Z9728" s="61">
        <f>_xll.qlYieldTSDiscount($U$35,Y9728,,Trigger)</f>
        <v>0.64498686146786799</v>
      </c>
    </row>
    <row r="9729" spans="25:26" x14ac:dyDescent="0.25">
      <c r="Y9729" s="63">
        <v>52262</v>
      </c>
      <c r="Z9729" s="61">
        <f>_xll.qlYieldTSDiscount($U$35,Y9729,,Trigger)</f>
        <v>0.6449424293218905</v>
      </c>
    </row>
    <row r="9730" spans="25:26" x14ac:dyDescent="0.25">
      <c r="Y9730" s="63">
        <v>52263</v>
      </c>
      <c r="Z9730" s="61">
        <f>_xll.qlYieldTSDiscount($U$35,Y9730,,Trigger)</f>
        <v>0.6448979980217403</v>
      </c>
    </row>
    <row r="9731" spans="25:26" x14ac:dyDescent="0.25">
      <c r="Y9731" s="63">
        <v>52264</v>
      </c>
      <c r="Z9731" s="61">
        <f>_xll.qlYieldTSDiscount($U$35,Y9731,,Trigger)</f>
        <v>0.64485356756993106</v>
      </c>
    </row>
    <row r="9732" spans="25:26" x14ac:dyDescent="0.25">
      <c r="Y9732" s="63">
        <v>52265</v>
      </c>
      <c r="Z9732" s="61">
        <f>_xll.qlYieldTSDiscount($U$35,Y9732,,Trigger)</f>
        <v>0.64480913796897621</v>
      </c>
    </row>
    <row r="9733" spans="25:26" x14ac:dyDescent="0.25">
      <c r="Y9733" s="63">
        <v>52266</v>
      </c>
      <c r="Z9733" s="61">
        <f>_xll.qlYieldTSDiscount($U$35,Y9733,,Trigger)</f>
        <v>0.64476470922138951</v>
      </c>
    </row>
    <row r="9734" spans="25:26" x14ac:dyDescent="0.25">
      <c r="Y9734" s="63">
        <v>52267</v>
      </c>
      <c r="Z9734" s="61">
        <f>_xll.qlYieldTSDiscount($U$35,Y9734,,Trigger)</f>
        <v>0.64472028132968429</v>
      </c>
    </row>
    <row r="9735" spans="25:26" x14ac:dyDescent="0.25">
      <c r="Y9735" s="63">
        <v>52268</v>
      </c>
      <c r="Z9735" s="61">
        <f>_xll.qlYieldTSDiscount($U$35,Y9735,,Trigger)</f>
        <v>0.64467585429637408</v>
      </c>
    </row>
    <row r="9736" spans="25:26" x14ac:dyDescent="0.25">
      <c r="Y9736" s="63">
        <v>52269</v>
      </c>
      <c r="Z9736" s="61">
        <f>_xll.qlYieldTSDiscount($U$35,Y9736,,Trigger)</f>
        <v>0.64463142812397267</v>
      </c>
    </row>
    <row r="9737" spans="25:26" x14ac:dyDescent="0.25">
      <c r="Y9737" s="63">
        <v>52270</v>
      </c>
      <c r="Z9737" s="61">
        <f>_xll.qlYieldTSDiscount($U$35,Y9737,,Trigger)</f>
        <v>0.64458700281499337</v>
      </c>
    </row>
    <row r="9738" spans="25:26" x14ac:dyDescent="0.25">
      <c r="Y9738" s="63">
        <v>52271</v>
      </c>
      <c r="Z9738" s="61">
        <f>_xll.qlYieldTSDiscount($U$35,Y9738,,Trigger)</f>
        <v>0.64454257837194984</v>
      </c>
    </row>
    <row r="9739" spans="25:26" x14ac:dyDescent="0.25">
      <c r="Y9739" s="63">
        <v>52272</v>
      </c>
      <c r="Z9739" s="61">
        <f>_xll.qlYieldTSDiscount($U$35,Y9739,,Trigger)</f>
        <v>0.64449815479735562</v>
      </c>
    </row>
    <row r="9740" spans="25:26" x14ac:dyDescent="0.25">
      <c r="Y9740" s="63">
        <v>52273</v>
      </c>
      <c r="Z9740" s="61">
        <f>_xll.qlYieldTSDiscount($U$35,Y9740,,Trigger)</f>
        <v>0.64445373209372425</v>
      </c>
    </row>
    <row r="9741" spans="25:26" x14ac:dyDescent="0.25">
      <c r="Y9741" s="63">
        <v>52274</v>
      </c>
      <c r="Z9741" s="61">
        <f>_xll.qlYieldTSDiscount($U$35,Y9741,,Trigger)</f>
        <v>0.6444093102635694</v>
      </c>
    </row>
    <row r="9742" spans="25:26" x14ac:dyDescent="0.25">
      <c r="Y9742" s="63">
        <v>52275</v>
      </c>
      <c r="Z9742" s="61">
        <f>_xll.qlYieldTSDiscount($U$35,Y9742,,Trigger)</f>
        <v>0.6443648893094045</v>
      </c>
    </row>
    <row r="9743" spans="25:26" x14ac:dyDescent="0.25">
      <c r="Y9743" s="63">
        <v>52276</v>
      </c>
      <c r="Z9743" s="61">
        <f>_xll.qlYieldTSDiscount($U$35,Y9743,,Trigger)</f>
        <v>0.64432046923374298</v>
      </c>
    </row>
    <row r="9744" spans="25:26" x14ac:dyDescent="0.25">
      <c r="Y9744" s="63">
        <v>52277</v>
      </c>
      <c r="Z9744" s="61">
        <f>_xll.qlYieldTSDiscount($U$35,Y9744,,Trigger)</f>
        <v>0.64427605003909871</v>
      </c>
    </row>
    <row r="9745" spans="25:26" x14ac:dyDescent="0.25">
      <c r="Y9745" s="63">
        <v>52278</v>
      </c>
      <c r="Z9745" s="61">
        <f>_xll.qlYieldTSDiscount($U$35,Y9745,,Trigger)</f>
        <v>0.64423163172798492</v>
      </c>
    </row>
    <row r="9746" spans="25:26" x14ac:dyDescent="0.25">
      <c r="Y9746" s="63">
        <v>52279</v>
      </c>
      <c r="Z9746" s="61">
        <f>_xll.qlYieldTSDiscount($U$35,Y9746,,Trigger)</f>
        <v>0.64418721430291537</v>
      </c>
    </row>
    <row r="9747" spans="25:26" x14ac:dyDescent="0.25">
      <c r="Y9747" s="63">
        <v>52280</v>
      </c>
      <c r="Z9747" s="61">
        <f>_xll.qlYieldTSDiscount($U$35,Y9747,,Trigger)</f>
        <v>0.64414279776640349</v>
      </c>
    </row>
    <row r="9748" spans="25:26" x14ac:dyDescent="0.25">
      <c r="Y9748" s="63">
        <v>52281</v>
      </c>
      <c r="Z9748" s="61">
        <f>_xll.qlYieldTSDiscount($U$35,Y9748,,Trigger)</f>
        <v>0.64409838212096293</v>
      </c>
    </row>
    <row r="9749" spans="25:26" x14ac:dyDescent="0.25">
      <c r="Y9749" s="63">
        <v>52282</v>
      </c>
      <c r="Z9749" s="61">
        <f>_xll.qlYieldTSDiscount($U$35,Y9749,,Trigger)</f>
        <v>0.64405396736910714</v>
      </c>
    </row>
    <row r="9750" spans="25:26" x14ac:dyDescent="0.25">
      <c r="Y9750" s="63">
        <v>52283</v>
      </c>
      <c r="Z9750" s="61">
        <f>_xll.qlYieldTSDiscount($U$35,Y9750,,Trigger)</f>
        <v>0.64400955351334976</v>
      </c>
    </row>
    <row r="9751" spans="25:26" x14ac:dyDescent="0.25">
      <c r="Y9751" s="63">
        <v>52284</v>
      </c>
      <c r="Z9751" s="61">
        <f>_xll.qlYieldTSDiscount($U$35,Y9751,,Trigger)</f>
        <v>0.64396514055620424</v>
      </c>
    </row>
    <row r="9752" spans="25:26" x14ac:dyDescent="0.25">
      <c r="Y9752" s="63">
        <v>52285</v>
      </c>
      <c r="Z9752" s="61">
        <f>_xll.qlYieldTSDiscount($U$35,Y9752,,Trigger)</f>
        <v>0.64392072850018434</v>
      </c>
    </row>
    <row r="9753" spans="25:26" x14ac:dyDescent="0.25">
      <c r="Y9753" s="63">
        <v>52286</v>
      </c>
      <c r="Z9753" s="61">
        <f>_xll.qlYieldTSDiscount($U$35,Y9753,,Trigger)</f>
        <v>0.64387631734780337</v>
      </c>
    </row>
    <row r="9754" spans="25:26" x14ac:dyDescent="0.25">
      <c r="Y9754" s="63">
        <v>52287</v>
      </c>
      <c r="Z9754" s="61">
        <f>_xll.qlYieldTSDiscount($U$35,Y9754,,Trigger)</f>
        <v>0.64383190710157501</v>
      </c>
    </row>
    <row r="9755" spans="25:26" x14ac:dyDescent="0.25">
      <c r="Y9755" s="63">
        <v>52288</v>
      </c>
      <c r="Z9755" s="61">
        <f>_xll.qlYieldTSDiscount($U$35,Y9755,,Trigger)</f>
        <v>0.64378749776401278</v>
      </c>
    </row>
    <row r="9756" spans="25:26" x14ac:dyDescent="0.25">
      <c r="Y9756" s="63">
        <v>52289</v>
      </c>
      <c r="Z9756" s="61">
        <f>_xll.qlYieldTSDiscount($U$35,Y9756,,Trigger)</f>
        <v>0.64374308933763025</v>
      </c>
    </row>
    <row r="9757" spans="25:26" x14ac:dyDescent="0.25">
      <c r="Y9757" s="63">
        <v>52290</v>
      </c>
      <c r="Z9757" s="61">
        <f>_xll.qlYieldTSDiscount($U$35,Y9757,,Trigger)</f>
        <v>0.64369868182494094</v>
      </c>
    </row>
    <row r="9758" spans="25:26" x14ac:dyDescent="0.25">
      <c r="Y9758" s="63">
        <v>52291</v>
      </c>
      <c r="Z9758" s="61">
        <f>_xll.qlYieldTSDiscount($U$35,Y9758,,Trigger)</f>
        <v>0.64365427522845842</v>
      </c>
    </row>
    <row r="9759" spans="25:26" x14ac:dyDescent="0.25">
      <c r="Y9759" s="63">
        <v>52292</v>
      </c>
      <c r="Z9759" s="61">
        <f>_xll.qlYieldTSDiscount($U$35,Y9759,,Trigger)</f>
        <v>0.64360986955069621</v>
      </c>
    </row>
    <row r="9760" spans="25:26" x14ac:dyDescent="0.25">
      <c r="Y9760" s="63">
        <v>52293</v>
      </c>
      <c r="Z9760" s="61">
        <f>_xll.qlYieldTSDiscount($U$35,Y9760,,Trigger)</f>
        <v>0.64356546479416787</v>
      </c>
    </row>
    <row r="9761" spans="25:26" x14ac:dyDescent="0.25">
      <c r="Y9761" s="63">
        <v>52294</v>
      </c>
      <c r="Z9761" s="61">
        <f>_xll.qlYieldTSDiscount($U$35,Y9761,,Trigger)</f>
        <v>0.64352106096138706</v>
      </c>
    </row>
    <row r="9762" spans="25:26" x14ac:dyDescent="0.25">
      <c r="Y9762" s="63">
        <v>52295</v>
      </c>
      <c r="Z9762" s="61">
        <f>_xll.qlYieldTSDiscount($U$35,Y9762,,Trigger)</f>
        <v>0.6434766580548672</v>
      </c>
    </row>
    <row r="9763" spans="25:26" x14ac:dyDescent="0.25">
      <c r="Y9763" s="63">
        <v>52296</v>
      </c>
      <c r="Z9763" s="61">
        <f>_xll.qlYieldTSDiscount($U$35,Y9763,,Trigger)</f>
        <v>0.64343225607712184</v>
      </c>
    </row>
    <row r="9764" spans="25:26" x14ac:dyDescent="0.25">
      <c r="Y9764" s="63">
        <v>52297</v>
      </c>
      <c r="Z9764" s="61">
        <f>_xll.qlYieldTSDiscount($U$35,Y9764,,Trigger)</f>
        <v>0.64338785503066453</v>
      </c>
    </row>
    <row r="9765" spans="25:26" x14ac:dyDescent="0.25">
      <c r="Y9765" s="63">
        <v>52298</v>
      </c>
      <c r="Z9765" s="61">
        <f>_xll.qlYieldTSDiscount($U$35,Y9765,,Trigger)</f>
        <v>0.64334345491800904</v>
      </c>
    </row>
    <row r="9766" spans="25:26" x14ac:dyDescent="0.25">
      <c r="Y9766" s="63">
        <v>52299</v>
      </c>
      <c r="Z9766" s="61">
        <f>_xll.qlYieldTSDiscount($U$35,Y9766,,Trigger)</f>
        <v>0.64329905574166868</v>
      </c>
    </row>
    <row r="9767" spans="25:26" x14ac:dyDescent="0.25">
      <c r="Y9767" s="63">
        <v>52300</v>
      </c>
      <c r="Z9767" s="61">
        <f>_xll.qlYieldTSDiscount($U$35,Y9767,,Trigger)</f>
        <v>0.64325465750415689</v>
      </c>
    </row>
    <row r="9768" spans="25:26" x14ac:dyDescent="0.25">
      <c r="Y9768" s="63">
        <v>52301</v>
      </c>
      <c r="Z9768" s="61">
        <f>_xll.qlYieldTSDiscount($U$35,Y9768,,Trigger)</f>
        <v>0.64321026020798766</v>
      </c>
    </row>
    <row r="9769" spans="25:26" x14ac:dyDescent="0.25">
      <c r="Y9769" s="63">
        <v>52302</v>
      </c>
      <c r="Z9769" s="61">
        <f>_xll.qlYieldTSDiscount($U$35,Y9769,,Trigger)</f>
        <v>0.64316586385567409</v>
      </c>
    </row>
    <row r="9770" spans="25:26" x14ac:dyDescent="0.25">
      <c r="Y9770" s="63">
        <v>52303</v>
      </c>
      <c r="Z9770" s="61">
        <f>_xll.qlYieldTSDiscount($U$35,Y9770,,Trigger)</f>
        <v>0.64312146844972995</v>
      </c>
    </row>
    <row r="9771" spans="25:26" x14ac:dyDescent="0.25">
      <c r="Y9771" s="63">
        <v>52304</v>
      </c>
      <c r="Z9771" s="61">
        <f>_xll.qlYieldTSDiscount($U$35,Y9771,,Trigger)</f>
        <v>0.64307707399266889</v>
      </c>
    </row>
    <row r="9772" spans="25:26" x14ac:dyDescent="0.25">
      <c r="Y9772" s="63">
        <v>52305</v>
      </c>
      <c r="Z9772" s="61">
        <f>_xll.qlYieldTSDiscount($U$35,Y9772,,Trigger)</f>
        <v>0.64303268048700424</v>
      </c>
    </row>
    <row r="9773" spans="25:26" x14ac:dyDescent="0.25">
      <c r="Y9773" s="63">
        <v>52306</v>
      </c>
      <c r="Z9773" s="61">
        <f>_xll.qlYieldTSDiscount($U$35,Y9773,,Trigger)</f>
        <v>0.64298828793524965</v>
      </c>
    </row>
    <row r="9774" spans="25:26" x14ac:dyDescent="0.25">
      <c r="Y9774" s="63">
        <v>52307</v>
      </c>
      <c r="Z9774" s="61">
        <f>_xll.qlYieldTSDiscount($U$35,Y9774,,Trigger)</f>
        <v>0.64294389633991866</v>
      </c>
    </row>
    <row r="9775" spans="25:26" x14ac:dyDescent="0.25">
      <c r="Y9775" s="63">
        <v>52308</v>
      </c>
      <c r="Z9775" s="61">
        <f>_xll.qlYieldTSDiscount($U$35,Y9775,,Trigger)</f>
        <v>0.64289950570352483</v>
      </c>
    </row>
    <row r="9776" spans="25:26" x14ac:dyDescent="0.25">
      <c r="Y9776" s="63">
        <v>52309</v>
      </c>
      <c r="Z9776" s="61">
        <f>_xll.qlYieldTSDiscount($U$35,Y9776,,Trigger)</f>
        <v>0.6428551160285817</v>
      </c>
    </row>
    <row r="9777" spans="25:26" x14ac:dyDescent="0.25">
      <c r="Y9777" s="63">
        <v>52310</v>
      </c>
      <c r="Z9777" s="61">
        <f>_xll.qlYieldTSDiscount($U$35,Y9777,,Trigger)</f>
        <v>0.6428107273176028</v>
      </c>
    </row>
    <row r="9778" spans="25:26" x14ac:dyDescent="0.25">
      <c r="Y9778" s="63">
        <v>52311</v>
      </c>
      <c r="Z9778" s="61">
        <f>_xll.qlYieldTSDiscount($U$35,Y9778,,Trigger)</f>
        <v>0.64276633957310181</v>
      </c>
    </row>
    <row r="9779" spans="25:26" x14ac:dyDescent="0.25">
      <c r="Y9779" s="63">
        <v>52312</v>
      </c>
      <c r="Z9779" s="61">
        <f>_xll.qlYieldTSDiscount($U$35,Y9779,,Trigger)</f>
        <v>0.64272195279759214</v>
      </c>
    </row>
    <row r="9780" spans="25:26" x14ac:dyDescent="0.25">
      <c r="Y9780" s="63">
        <v>52313</v>
      </c>
      <c r="Z9780" s="61">
        <f>_xll.qlYieldTSDiscount($U$35,Y9780,,Trigger)</f>
        <v>0.64267756699358736</v>
      </c>
    </row>
    <row r="9781" spans="25:26" x14ac:dyDescent="0.25">
      <c r="Y9781" s="63">
        <v>52314</v>
      </c>
      <c r="Z9781" s="61">
        <f>_xll.qlYieldTSDiscount($U$35,Y9781,,Trigger)</f>
        <v>0.6426331821636011</v>
      </c>
    </row>
    <row r="9782" spans="25:26" x14ac:dyDescent="0.25">
      <c r="Y9782" s="63">
        <v>52315</v>
      </c>
      <c r="Z9782" s="61">
        <f>_xll.qlYieldTSDiscount($U$35,Y9782,,Trigger)</f>
        <v>0.64258879831014681</v>
      </c>
    </row>
    <row r="9783" spans="25:26" x14ac:dyDescent="0.25">
      <c r="Y9783" s="63">
        <v>52316</v>
      </c>
      <c r="Z9783" s="61">
        <f>_xll.qlYieldTSDiscount($U$35,Y9783,,Trigger)</f>
        <v>0.64254441543573804</v>
      </c>
    </row>
    <row r="9784" spans="25:26" x14ac:dyDescent="0.25">
      <c r="Y9784" s="63">
        <v>52317</v>
      </c>
      <c r="Z9784" s="61">
        <f>_xll.qlYieldTSDiscount($U$35,Y9784,,Trigger)</f>
        <v>0.64250003354288854</v>
      </c>
    </row>
    <row r="9785" spans="25:26" x14ac:dyDescent="0.25">
      <c r="Y9785" s="63">
        <v>52318</v>
      </c>
      <c r="Z9785" s="61">
        <f>_xll.qlYieldTSDiscount($U$35,Y9785,,Trigger)</f>
        <v>0.64245565263411153</v>
      </c>
    </row>
    <row r="9786" spans="25:26" x14ac:dyDescent="0.25">
      <c r="Y9786" s="63">
        <v>52319</v>
      </c>
      <c r="Z9786" s="61">
        <f>_xll.qlYieldTSDiscount($U$35,Y9786,,Trigger)</f>
        <v>0.64241127271192089</v>
      </c>
    </row>
    <row r="9787" spans="25:26" x14ac:dyDescent="0.25">
      <c r="Y9787" s="63">
        <v>52320</v>
      </c>
      <c r="Z9787" s="61">
        <f>_xll.qlYieldTSDiscount($U$35,Y9787,,Trigger)</f>
        <v>0.64236689377882994</v>
      </c>
    </row>
    <row r="9788" spans="25:26" x14ac:dyDescent="0.25">
      <c r="Y9788" s="63">
        <v>52321</v>
      </c>
      <c r="Z9788" s="61">
        <f>_xll.qlYieldTSDiscount($U$35,Y9788,,Trigger)</f>
        <v>0.64232251583735234</v>
      </c>
    </row>
    <row r="9789" spans="25:26" x14ac:dyDescent="0.25">
      <c r="Y9789" s="63">
        <v>52322</v>
      </c>
      <c r="Z9789" s="61">
        <f>_xll.qlYieldTSDiscount($U$35,Y9789,,Trigger)</f>
        <v>0.64227813889000163</v>
      </c>
    </row>
    <row r="9790" spans="25:26" x14ac:dyDescent="0.25">
      <c r="Y9790" s="63">
        <v>52323</v>
      </c>
      <c r="Z9790" s="61">
        <f>_xll.qlYieldTSDiscount($U$35,Y9790,,Trigger)</f>
        <v>0.64223376293929135</v>
      </c>
    </row>
    <row r="9791" spans="25:26" x14ac:dyDescent="0.25">
      <c r="Y9791" s="63">
        <v>52324</v>
      </c>
      <c r="Z9791" s="61">
        <f>_xll.qlYieldTSDiscount($U$35,Y9791,,Trigger)</f>
        <v>0.64218938798773495</v>
      </c>
    </row>
    <row r="9792" spans="25:26" x14ac:dyDescent="0.25">
      <c r="Y9792" s="63">
        <v>52325</v>
      </c>
      <c r="Z9792" s="61">
        <f>_xll.qlYieldTSDiscount($U$35,Y9792,,Trigger)</f>
        <v>0.64214501403784618</v>
      </c>
    </row>
    <row r="9793" spans="25:26" x14ac:dyDescent="0.25">
      <c r="Y9793" s="63">
        <v>52326</v>
      </c>
      <c r="Z9793" s="61">
        <f>_xll.qlYieldTSDiscount($U$35,Y9793,,Trigger)</f>
        <v>0.64210064109213849</v>
      </c>
    </row>
    <row r="9794" spans="25:26" x14ac:dyDescent="0.25">
      <c r="Y9794" s="63">
        <v>52327</v>
      </c>
      <c r="Z9794" s="61">
        <f>_xll.qlYieldTSDiscount($U$35,Y9794,,Trigger)</f>
        <v>0.64205626915312541</v>
      </c>
    </row>
    <row r="9795" spans="25:26" x14ac:dyDescent="0.25">
      <c r="Y9795" s="63">
        <v>52328</v>
      </c>
      <c r="Z9795" s="61">
        <f>_xll.qlYieldTSDiscount($U$35,Y9795,,Trigger)</f>
        <v>0.6420118982233205</v>
      </c>
    </row>
    <row r="9796" spans="25:26" x14ac:dyDescent="0.25">
      <c r="Y9796" s="63">
        <v>52329</v>
      </c>
      <c r="Z9796" s="61">
        <f>_xll.qlYieldTSDiscount($U$35,Y9796,,Trigger)</f>
        <v>0.64196752830523729</v>
      </c>
    </row>
    <row r="9797" spans="25:26" x14ac:dyDescent="0.25">
      <c r="Y9797" s="63">
        <v>52330</v>
      </c>
      <c r="Z9797" s="61">
        <f>_xll.qlYieldTSDiscount($U$35,Y9797,,Trigger)</f>
        <v>0.64192315940138944</v>
      </c>
    </row>
    <row r="9798" spans="25:26" x14ac:dyDescent="0.25">
      <c r="Y9798" s="63">
        <v>52331</v>
      </c>
      <c r="Z9798" s="61">
        <f>_xll.qlYieldTSDiscount($U$35,Y9798,,Trigger)</f>
        <v>0.64187879151429039</v>
      </c>
    </row>
    <row r="9799" spans="25:26" x14ac:dyDescent="0.25">
      <c r="Y9799" s="63">
        <v>52332</v>
      </c>
      <c r="Z9799" s="61">
        <f>_xll.qlYieldTSDiscount($U$35,Y9799,,Trigger)</f>
        <v>0.64183442464645379</v>
      </c>
    </row>
    <row r="9800" spans="25:26" x14ac:dyDescent="0.25">
      <c r="Y9800" s="63">
        <v>52333</v>
      </c>
      <c r="Z9800" s="61">
        <f>_xll.qlYieldTSDiscount($U$35,Y9800,,Trigger)</f>
        <v>0.64179005880039308</v>
      </c>
    </row>
    <row r="9801" spans="25:26" x14ac:dyDescent="0.25">
      <c r="Y9801" s="63">
        <v>52334</v>
      </c>
      <c r="Z9801" s="61">
        <f>_xll.qlYieldTSDiscount($U$35,Y9801,,Trigger)</f>
        <v>0.6417456939786218</v>
      </c>
    </row>
    <row r="9802" spans="25:26" x14ac:dyDescent="0.25">
      <c r="Y9802" s="63">
        <v>52335</v>
      </c>
      <c r="Z9802" s="61">
        <f>_xll.qlYieldTSDiscount($U$35,Y9802,,Trigger)</f>
        <v>0.64170133018365361</v>
      </c>
    </row>
    <row r="9803" spans="25:26" x14ac:dyDescent="0.25">
      <c r="Y9803" s="63">
        <v>52336</v>
      </c>
      <c r="Z9803" s="61">
        <f>_xll.qlYieldTSDiscount($U$35,Y9803,,Trigger)</f>
        <v>0.64165696741800204</v>
      </c>
    </row>
    <row r="9804" spans="25:26" x14ac:dyDescent="0.25">
      <c r="Y9804" s="63">
        <v>52337</v>
      </c>
      <c r="Z9804" s="61">
        <f>_xll.qlYieldTSDiscount($U$35,Y9804,,Trigger)</f>
        <v>0.64161260568418066</v>
      </c>
    </row>
    <row r="9805" spans="25:26" x14ac:dyDescent="0.25">
      <c r="Y9805" s="63">
        <v>52338</v>
      </c>
      <c r="Z9805" s="61">
        <f>_xll.qlYieldTSDiscount($U$35,Y9805,,Trigger)</f>
        <v>0.64156824498470288</v>
      </c>
    </row>
    <row r="9806" spans="25:26" x14ac:dyDescent="0.25">
      <c r="Y9806" s="63">
        <v>52339</v>
      </c>
      <c r="Z9806" s="61">
        <f>_xll.qlYieldTSDiscount($U$35,Y9806,,Trigger)</f>
        <v>0.64152388532208238</v>
      </c>
    </row>
    <row r="9807" spans="25:26" x14ac:dyDescent="0.25">
      <c r="Y9807" s="63">
        <v>52340</v>
      </c>
      <c r="Z9807" s="61">
        <f>_xll.qlYieldTSDiscount($U$35,Y9807,,Trigger)</f>
        <v>0.64147952669883268</v>
      </c>
    </row>
    <row r="9808" spans="25:26" x14ac:dyDescent="0.25">
      <c r="Y9808" s="63">
        <v>52341</v>
      </c>
      <c r="Z9808" s="61">
        <f>_xll.qlYieldTSDiscount($U$35,Y9808,,Trigger)</f>
        <v>0.64143516911746734</v>
      </c>
    </row>
    <row r="9809" spans="25:26" x14ac:dyDescent="0.25">
      <c r="Y9809" s="63">
        <v>52342</v>
      </c>
      <c r="Z9809" s="61">
        <f>_xll.qlYieldTSDiscount($U$35,Y9809,,Trigger)</f>
        <v>0.6413908125804999</v>
      </c>
    </row>
    <row r="9810" spans="25:26" x14ac:dyDescent="0.25">
      <c r="Y9810" s="63">
        <v>52343</v>
      </c>
      <c r="Z9810" s="61">
        <f>_xll.qlYieldTSDiscount($U$35,Y9810,,Trigger)</f>
        <v>0.64134645709044391</v>
      </c>
    </row>
    <row r="9811" spans="25:26" x14ac:dyDescent="0.25">
      <c r="Y9811" s="63">
        <v>52344</v>
      </c>
      <c r="Z9811" s="61">
        <f>_xll.qlYieldTSDiscount($U$35,Y9811,,Trigger)</f>
        <v>0.64130210264981291</v>
      </c>
    </row>
    <row r="9812" spans="25:26" x14ac:dyDescent="0.25">
      <c r="Y9812" s="63">
        <v>52345</v>
      </c>
      <c r="Z9812" s="61">
        <f>_xll.qlYieldTSDiscount($U$35,Y9812,,Trigger)</f>
        <v>0.64125774926112045</v>
      </c>
    </row>
    <row r="9813" spans="25:26" x14ac:dyDescent="0.25">
      <c r="Y9813" s="63">
        <v>52346</v>
      </c>
      <c r="Z9813" s="61">
        <f>_xll.qlYieldTSDiscount($U$35,Y9813,,Trigger)</f>
        <v>0.64121339692688017</v>
      </c>
    </row>
    <row r="9814" spans="25:26" x14ac:dyDescent="0.25">
      <c r="Y9814" s="63">
        <v>52347</v>
      </c>
      <c r="Z9814" s="61">
        <f>_xll.qlYieldTSDiscount($U$35,Y9814,,Trigger)</f>
        <v>0.64116904564960542</v>
      </c>
    </row>
    <row r="9815" spans="25:26" x14ac:dyDescent="0.25">
      <c r="Y9815" s="63">
        <v>52348</v>
      </c>
      <c r="Z9815" s="61">
        <f>_xll.qlYieldTSDiscount($U$35,Y9815,,Trigger)</f>
        <v>0.64112469543180994</v>
      </c>
    </row>
    <row r="9816" spans="25:26" x14ac:dyDescent="0.25">
      <c r="Y9816" s="63">
        <v>52349</v>
      </c>
      <c r="Z9816" s="61">
        <f>_xll.qlYieldTSDiscount($U$35,Y9816,,Trigger)</f>
        <v>0.6410803462760073</v>
      </c>
    </row>
    <row r="9817" spans="25:26" x14ac:dyDescent="0.25">
      <c r="Y9817" s="63">
        <v>52350</v>
      </c>
      <c r="Z9817" s="61">
        <f>_xll.qlYieldTSDiscount($U$35,Y9817,,Trigger)</f>
        <v>0.64103599818471091</v>
      </c>
    </row>
    <row r="9818" spans="25:26" x14ac:dyDescent="0.25">
      <c r="Y9818" s="63">
        <v>52351</v>
      </c>
      <c r="Z9818" s="61">
        <f>_xll.qlYieldTSDiscount($U$35,Y9818,,Trigger)</f>
        <v>0.64099165116043433</v>
      </c>
    </row>
    <row r="9819" spans="25:26" x14ac:dyDescent="0.25">
      <c r="Y9819" s="63">
        <v>52352</v>
      </c>
      <c r="Z9819" s="61">
        <f>_xll.qlYieldTSDiscount($U$35,Y9819,,Trigger)</f>
        <v>0.64094730520569132</v>
      </c>
    </row>
    <row r="9820" spans="25:26" x14ac:dyDescent="0.25">
      <c r="Y9820" s="63">
        <v>52353</v>
      </c>
      <c r="Z9820" s="61">
        <f>_xll.qlYieldTSDiscount($U$35,Y9820,,Trigger)</f>
        <v>0.6409029603229951</v>
      </c>
    </row>
    <row r="9821" spans="25:26" x14ac:dyDescent="0.25">
      <c r="Y9821" s="63">
        <v>52354</v>
      </c>
      <c r="Z9821" s="61">
        <f>_xll.qlYieldTSDiscount($U$35,Y9821,,Trigger)</f>
        <v>0.64085861651485942</v>
      </c>
    </row>
    <row r="9822" spans="25:26" x14ac:dyDescent="0.25">
      <c r="Y9822" s="63">
        <v>52355</v>
      </c>
      <c r="Z9822" s="61">
        <f>_xll.qlYieldTSDiscount($U$35,Y9822,,Trigger)</f>
        <v>0.64081427378379785</v>
      </c>
    </row>
    <row r="9823" spans="25:26" x14ac:dyDescent="0.25">
      <c r="Y9823" s="63">
        <v>52356</v>
      </c>
      <c r="Z9823" s="61">
        <f>_xll.qlYieldTSDiscount($U$35,Y9823,,Trigger)</f>
        <v>0.64076993213232392</v>
      </c>
    </row>
    <row r="9824" spans="25:26" x14ac:dyDescent="0.25">
      <c r="Y9824" s="63">
        <v>52357</v>
      </c>
      <c r="Z9824" s="61">
        <f>_xll.qlYieldTSDiscount($U$35,Y9824,,Trigger)</f>
        <v>0.64072559156295117</v>
      </c>
    </row>
    <row r="9825" spans="25:26" x14ac:dyDescent="0.25">
      <c r="Y9825" s="63">
        <v>52358</v>
      </c>
      <c r="Z9825" s="61">
        <f>_xll.qlYieldTSDiscount($U$35,Y9825,,Trigger)</f>
        <v>0.64068125207819304</v>
      </c>
    </row>
    <row r="9826" spans="25:26" x14ac:dyDescent="0.25">
      <c r="Y9826" s="63">
        <v>52359</v>
      </c>
      <c r="Z9826" s="61">
        <f>_xll.qlYieldTSDiscount($U$35,Y9826,,Trigger)</f>
        <v>0.6406369136805633</v>
      </c>
    </row>
    <row r="9827" spans="25:26" x14ac:dyDescent="0.25">
      <c r="Y9827" s="63">
        <v>52360</v>
      </c>
      <c r="Z9827" s="61">
        <f>_xll.qlYieldTSDiscount($U$35,Y9827,,Trigger)</f>
        <v>0.64059257637257538</v>
      </c>
    </row>
    <row r="9828" spans="25:26" x14ac:dyDescent="0.25">
      <c r="Y9828" s="63">
        <v>52361</v>
      </c>
      <c r="Z9828" s="61">
        <f>_xll.qlYieldTSDiscount($U$35,Y9828,,Trigger)</f>
        <v>0.64054824015674272</v>
      </c>
    </row>
    <row r="9829" spans="25:26" x14ac:dyDescent="0.25">
      <c r="Y9829" s="63">
        <v>52362</v>
      </c>
      <c r="Z9829" s="61">
        <f>_xll.qlYieldTSDiscount($U$35,Y9829,,Trigger)</f>
        <v>0.64050390503557908</v>
      </c>
    </row>
    <row r="9830" spans="25:26" x14ac:dyDescent="0.25">
      <c r="Y9830" s="63">
        <v>52363</v>
      </c>
      <c r="Z9830" s="61">
        <f>_xll.qlYieldTSDiscount($U$35,Y9830,,Trigger)</f>
        <v>0.64045957101159789</v>
      </c>
    </row>
    <row r="9831" spans="25:26" x14ac:dyDescent="0.25">
      <c r="Y9831" s="63">
        <v>52364</v>
      </c>
      <c r="Z9831" s="61">
        <f>_xll.qlYieldTSDiscount($U$35,Y9831,,Trigger)</f>
        <v>0.64041523808731271</v>
      </c>
    </row>
    <row r="9832" spans="25:26" x14ac:dyDescent="0.25">
      <c r="Y9832" s="63">
        <v>52365</v>
      </c>
      <c r="Z9832" s="61">
        <f>_xll.qlYieldTSDiscount($U$35,Y9832,,Trigger)</f>
        <v>0.64037090626523718</v>
      </c>
    </row>
    <row r="9833" spans="25:26" x14ac:dyDescent="0.25">
      <c r="Y9833" s="63">
        <v>52366</v>
      </c>
      <c r="Z9833" s="61">
        <f>_xll.qlYieldTSDiscount($U$35,Y9833,,Trigger)</f>
        <v>0.64032657554788475</v>
      </c>
    </row>
    <row r="9834" spans="25:26" x14ac:dyDescent="0.25">
      <c r="Y9834" s="63">
        <v>52367</v>
      </c>
      <c r="Z9834" s="61">
        <f>_xll.qlYieldTSDiscount($U$35,Y9834,,Trigger)</f>
        <v>0.64028224593776906</v>
      </c>
    </row>
    <row r="9835" spans="25:26" x14ac:dyDescent="0.25">
      <c r="Y9835" s="63">
        <v>52368</v>
      </c>
      <c r="Z9835" s="61">
        <f>_xll.qlYieldTSDiscount($U$35,Y9835,,Trigger)</f>
        <v>0.64023791743740355</v>
      </c>
    </row>
    <row r="9836" spans="25:26" x14ac:dyDescent="0.25">
      <c r="Y9836" s="63">
        <v>52369</v>
      </c>
      <c r="Z9836" s="61">
        <f>_xll.qlYieldTSDiscount($U$35,Y9836,,Trigger)</f>
        <v>0.64019359004930176</v>
      </c>
    </row>
    <row r="9837" spans="25:26" x14ac:dyDescent="0.25">
      <c r="Y9837" s="63">
        <v>52370</v>
      </c>
      <c r="Z9837" s="61">
        <f>_xll.qlYieldTSDiscount($U$35,Y9837,,Trigger)</f>
        <v>0.64014926377597736</v>
      </c>
    </row>
    <row r="9838" spans="25:26" x14ac:dyDescent="0.25">
      <c r="Y9838" s="63">
        <v>52371</v>
      </c>
      <c r="Z9838" s="61">
        <f>_xll.qlYieldTSDiscount($U$35,Y9838,,Trigger)</f>
        <v>0.64010493861994378</v>
      </c>
    </row>
    <row r="9839" spans="25:26" x14ac:dyDescent="0.25">
      <c r="Y9839" s="63">
        <v>52372</v>
      </c>
      <c r="Z9839" s="61">
        <f>_xll.qlYieldTSDiscount($U$35,Y9839,,Trigger)</f>
        <v>0.64006061458371477</v>
      </c>
    </row>
    <row r="9840" spans="25:26" x14ac:dyDescent="0.25">
      <c r="Y9840" s="63">
        <v>52373</v>
      </c>
      <c r="Z9840" s="61">
        <f>_xll.qlYieldTSDiscount($U$35,Y9840,,Trigger)</f>
        <v>0.64001629166980367</v>
      </c>
    </row>
    <row r="9841" spans="25:26" x14ac:dyDescent="0.25">
      <c r="Y9841" s="63">
        <v>52374</v>
      </c>
      <c r="Z9841" s="61">
        <f>_xll.qlYieldTSDiscount($U$35,Y9841,,Trigger)</f>
        <v>0.63997196988072413</v>
      </c>
    </row>
    <row r="9842" spans="25:26" x14ac:dyDescent="0.25">
      <c r="Y9842" s="63">
        <v>52375</v>
      </c>
      <c r="Z9842" s="61">
        <f>_xll.qlYieldTSDiscount($U$35,Y9842,,Trigger)</f>
        <v>0.6399276492189897</v>
      </c>
    </row>
    <row r="9843" spans="25:26" x14ac:dyDescent="0.25">
      <c r="Y9843" s="63">
        <v>52376</v>
      </c>
      <c r="Z9843" s="61">
        <f>_xll.qlYieldTSDiscount($U$35,Y9843,,Trigger)</f>
        <v>0.63988332968711381</v>
      </c>
    </row>
    <row r="9844" spans="25:26" x14ac:dyDescent="0.25">
      <c r="Y9844" s="63">
        <v>52377</v>
      </c>
      <c r="Z9844" s="61">
        <f>_xll.qlYieldTSDiscount($U$35,Y9844,,Trigger)</f>
        <v>0.63983901128761023</v>
      </c>
    </row>
    <row r="9845" spans="25:26" x14ac:dyDescent="0.25">
      <c r="Y9845" s="63">
        <v>52378</v>
      </c>
      <c r="Z9845" s="61">
        <f>_xll.qlYieldTSDiscount($U$35,Y9845,,Trigger)</f>
        <v>0.63979469402299249</v>
      </c>
    </row>
    <row r="9846" spans="25:26" x14ac:dyDescent="0.25">
      <c r="Y9846" s="63">
        <v>52379</v>
      </c>
      <c r="Z9846" s="61">
        <f>_xll.qlYieldTSDiscount($U$35,Y9846,,Trigger)</f>
        <v>0.63975037789577383</v>
      </c>
    </row>
    <row r="9847" spans="25:26" x14ac:dyDescent="0.25">
      <c r="Y9847" s="63">
        <v>52380</v>
      </c>
      <c r="Z9847" s="61">
        <f>_xll.qlYieldTSDiscount($U$35,Y9847,,Trigger)</f>
        <v>0.63970606290846821</v>
      </c>
    </row>
    <row r="9848" spans="25:26" x14ac:dyDescent="0.25">
      <c r="Y9848" s="63">
        <v>52381</v>
      </c>
      <c r="Z9848" s="61">
        <f>_xll.qlYieldTSDiscount($U$35,Y9848,,Trigger)</f>
        <v>0.63966174906358886</v>
      </c>
    </row>
    <row r="9849" spans="25:26" x14ac:dyDescent="0.25">
      <c r="Y9849" s="63">
        <v>52382</v>
      </c>
      <c r="Z9849" s="61">
        <f>_xll.qlYieldTSDiscount($U$35,Y9849,,Trigger)</f>
        <v>0.63961743636364954</v>
      </c>
    </row>
    <row r="9850" spans="25:26" x14ac:dyDescent="0.25">
      <c r="Y9850" s="63">
        <v>52383</v>
      </c>
      <c r="Z9850" s="61">
        <f>_xll.qlYieldTSDiscount($U$35,Y9850,,Trigger)</f>
        <v>0.63957312481116368</v>
      </c>
    </row>
    <row r="9851" spans="25:26" x14ac:dyDescent="0.25">
      <c r="Y9851" s="63">
        <v>52384</v>
      </c>
      <c r="Z9851" s="61">
        <f>_xll.qlYieldTSDiscount($U$35,Y9851,,Trigger)</f>
        <v>0.63952881440864484</v>
      </c>
    </row>
    <row r="9852" spans="25:26" x14ac:dyDescent="0.25">
      <c r="Y9852" s="63">
        <v>52385</v>
      </c>
      <c r="Z9852" s="61">
        <f>_xll.qlYieldTSDiscount($U$35,Y9852,,Trigger)</f>
        <v>0.63948450515860666</v>
      </c>
    </row>
    <row r="9853" spans="25:26" x14ac:dyDescent="0.25">
      <c r="Y9853" s="63">
        <v>52386</v>
      </c>
      <c r="Z9853" s="61">
        <f>_xll.qlYieldTSDiscount($U$35,Y9853,,Trigger)</f>
        <v>0.63944019706356259</v>
      </c>
    </row>
    <row r="9854" spans="25:26" x14ac:dyDescent="0.25">
      <c r="Y9854" s="63">
        <v>52387</v>
      </c>
      <c r="Z9854" s="61">
        <f>_xll.qlYieldTSDiscount($U$35,Y9854,,Trigger)</f>
        <v>0.63939589012602627</v>
      </c>
    </row>
    <row r="9855" spans="25:26" x14ac:dyDescent="0.25">
      <c r="Y9855" s="63">
        <v>52388</v>
      </c>
      <c r="Z9855" s="61">
        <f>_xll.qlYieldTSDiscount($U$35,Y9855,,Trigger)</f>
        <v>0.63935158434851125</v>
      </c>
    </row>
    <row r="9856" spans="25:26" x14ac:dyDescent="0.25">
      <c r="Y9856" s="63">
        <v>52389</v>
      </c>
      <c r="Z9856" s="61">
        <f>_xll.qlYieldTSDiscount($U$35,Y9856,,Trigger)</f>
        <v>0.63930727973353096</v>
      </c>
    </row>
    <row r="9857" spans="25:26" x14ac:dyDescent="0.25">
      <c r="Y9857" s="63">
        <v>52390</v>
      </c>
      <c r="Z9857" s="61">
        <f>_xll.qlYieldTSDiscount($U$35,Y9857,,Trigger)</f>
        <v>0.63926297628359907</v>
      </c>
    </row>
    <row r="9858" spans="25:26" x14ac:dyDescent="0.25">
      <c r="Y9858" s="63">
        <v>52391</v>
      </c>
      <c r="Z9858" s="61">
        <f>_xll.qlYieldTSDiscount($U$35,Y9858,,Trigger)</f>
        <v>0.63921867400122911</v>
      </c>
    </row>
    <row r="9859" spans="25:26" x14ac:dyDescent="0.25">
      <c r="Y9859" s="63">
        <v>52392</v>
      </c>
      <c r="Z9859" s="61">
        <f>_xll.qlYieldTSDiscount($U$35,Y9859,,Trigger)</f>
        <v>0.63917437288893453</v>
      </c>
    </row>
    <row r="9860" spans="25:26" x14ac:dyDescent="0.25">
      <c r="Y9860" s="63">
        <v>52393</v>
      </c>
      <c r="Z9860" s="61">
        <f>_xll.qlYieldTSDiscount($U$35,Y9860,,Trigger)</f>
        <v>0.63913007294922908</v>
      </c>
    </row>
    <row r="9861" spans="25:26" x14ac:dyDescent="0.25">
      <c r="Y9861" s="63">
        <v>52394</v>
      </c>
      <c r="Z9861" s="61">
        <f>_xll.qlYieldTSDiscount($U$35,Y9861,,Trigger)</f>
        <v>0.6390857741846262</v>
      </c>
    </row>
    <row r="9862" spans="25:26" x14ac:dyDescent="0.25">
      <c r="Y9862" s="63">
        <v>52395</v>
      </c>
      <c r="Z9862" s="61">
        <f>_xll.qlYieldTSDiscount($U$35,Y9862,,Trigger)</f>
        <v>0.63904147659763932</v>
      </c>
    </row>
    <row r="9863" spans="25:26" x14ac:dyDescent="0.25">
      <c r="Y9863" s="63">
        <v>52396</v>
      </c>
      <c r="Z9863" s="61">
        <f>_xll.qlYieldTSDiscount($U$35,Y9863,,Trigger)</f>
        <v>0.63899718019078222</v>
      </c>
    </row>
    <row r="9864" spans="25:26" x14ac:dyDescent="0.25">
      <c r="Y9864" s="63">
        <v>52397</v>
      </c>
      <c r="Z9864" s="61">
        <f>_xll.qlYieldTSDiscount($U$35,Y9864,,Trigger)</f>
        <v>0.63895288496656832</v>
      </c>
    </row>
    <row r="9865" spans="25:26" x14ac:dyDescent="0.25">
      <c r="Y9865" s="63">
        <v>52398</v>
      </c>
      <c r="Z9865" s="61">
        <f>_xll.qlYieldTSDiscount($U$35,Y9865,,Trigger)</f>
        <v>0.63890859092751118</v>
      </c>
    </row>
    <row r="9866" spans="25:26" x14ac:dyDescent="0.25">
      <c r="Y9866" s="63">
        <v>52399</v>
      </c>
      <c r="Z9866" s="61">
        <f>_xll.qlYieldTSDiscount($U$35,Y9866,,Trigger)</f>
        <v>0.63886429807612433</v>
      </c>
    </row>
    <row r="9867" spans="25:26" x14ac:dyDescent="0.25">
      <c r="Y9867" s="63">
        <v>52400</v>
      </c>
      <c r="Z9867" s="61">
        <f>_xll.qlYieldTSDiscount($U$35,Y9867,,Trigger)</f>
        <v>0.63882000641492132</v>
      </c>
    </row>
    <row r="9868" spans="25:26" x14ac:dyDescent="0.25">
      <c r="Y9868" s="63">
        <v>52401</v>
      </c>
      <c r="Z9868" s="61">
        <f>_xll.qlYieldTSDiscount($U$35,Y9868,,Trigger)</f>
        <v>0.6387757159464158</v>
      </c>
    </row>
    <row r="9869" spans="25:26" x14ac:dyDescent="0.25">
      <c r="Y9869" s="63">
        <v>52402</v>
      </c>
      <c r="Z9869" s="61">
        <f>_xll.qlYieldTSDiscount($U$35,Y9869,,Trigger)</f>
        <v>0.63873142667312133</v>
      </c>
    </row>
    <row r="9870" spans="25:26" x14ac:dyDescent="0.25">
      <c r="Y9870" s="63">
        <v>52403</v>
      </c>
      <c r="Z9870" s="61">
        <f>_xll.qlYieldTSDiscount($U$35,Y9870,,Trigger)</f>
        <v>0.63868713859755122</v>
      </c>
    </row>
    <row r="9871" spans="25:26" x14ac:dyDescent="0.25">
      <c r="Y9871" s="63">
        <v>52404</v>
      </c>
      <c r="Z9871" s="61">
        <f>_xll.qlYieldTSDiscount($U$35,Y9871,,Trigger)</f>
        <v>0.63864285172221935</v>
      </c>
    </row>
    <row r="9872" spans="25:26" x14ac:dyDescent="0.25">
      <c r="Y9872" s="63">
        <v>52405</v>
      </c>
      <c r="Z9872" s="61">
        <f>_xll.qlYieldTSDiscount($U$35,Y9872,,Trigger)</f>
        <v>0.63859856604963905</v>
      </c>
    </row>
    <row r="9873" spans="25:26" x14ac:dyDescent="0.25">
      <c r="Y9873" s="63">
        <v>52406</v>
      </c>
      <c r="Z9873" s="61">
        <f>_xll.qlYieldTSDiscount($U$35,Y9873,,Trigger)</f>
        <v>0.63855428158232397</v>
      </c>
    </row>
    <row r="9874" spans="25:26" x14ac:dyDescent="0.25">
      <c r="Y9874" s="63">
        <v>52407</v>
      </c>
      <c r="Z9874" s="61">
        <f>_xll.qlYieldTSDiscount($U$35,Y9874,,Trigger)</f>
        <v>0.63850999832278754</v>
      </c>
    </row>
    <row r="9875" spans="25:26" x14ac:dyDescent="0.25">
      <c r="Y9875" s="63">
        <v>52408</v>
      </c>
      <c r="Z9875" s="61">
        <f>_xll.qlYieldTSDiscount($U$35,Y9875,,Trigger)</f>
        <v>0.63846571627354343</v>
      </c>
    </row>
    <row r="9876" spans="25:26" x14ac:dyDescent="0.25">
      <c r="Y9876" s="63">
        <v>52409</v>
      </c>
      <c r="Z9876" s="61">
        <f>_xll.qlYieldTSDiscount($U$35,Y9876,,Trigger)</f>
        <v>0.63842143543710517</v>
      </c>
    </row>
    <row r="9877" spans="25:26" x14ac:dyDescent="0.25">
      <c r="Y9877" s="63">
        <v>52410</v>
      </c>
      <c r="Z9877" s="61">
        <f>_xll.qlYieldTSDiscount($U$35,Y9877,,Trigger)</f>
        <v>0.63837715581598631</v>
      </c>
    </row>
    <row r="9878" spans="25:26" x14ac:dyDescent="0.25">
      <c r="Y9878" s="63">
        <v>52411</v>
      </c>
      <c r="Z9878" s="61">
        <f>_xll.qlYieldTSDiscount($U$35,Y9878,,Trigger)</f>
        <v>0.63833287741270039</v>
      </c>
    </row>
    <row r="9879" spans="25:26" x14ac:dyDescent="0.25">
      <c r="Y9879" s="63">
        <v>52412</v>
      </c>
      <c r="Z9879" s="61">
        <f>_xll.qlYieldTSDiscount($U$35,Y9879,,Trigger)</f>
        <v>0.63828860022976097</v>
      </c>
    </row>
    <row r="9880" spans="25:26" x14ac:dyDescent="0.25">
      <c r="Y9880" s="63">
        <v>52413</v>
      </c>
      <c r="Z9880" s="61">
        <f>_xll.qlYieldTSDiscount($U$35,Y9880,,Trigger)</f>
        <v>0.63824432426968158</v>
      </c>
    </row>
    <row r="9881" spans="25:26" x14ac:dyDescent="0.25">
      <c r="Y9881" s="63">
        <v>52414</v>
      </c>
      <c r="Z9881" s="61">
        <f>_xll.qlYieldTSDiscount($U$35,Y9881,,Trigger)</f>
        <v>0.63820004953497578</v>
      </c>
    </row>
    <row r="9882" spans="25:26" x14ac:dyDescent="0.25">
      <c r="Y9882" s="63">
        <v>52415</v>
      </c>
      <c r="Z9882" s="61">
        <f>_xll.qlYieldTSDiscount($U$35,Y9882,,Trigger)</f>
        <v>0.6381557760281571</v>
      </c>
    </row>
    <row r="9883" spans="25:26" x14ac:dyDescent="0.25">
      <c r="Y9883" s="63">
        <v>52416</v>
      </c>
      <c r="Z9883" s="61">
        <f>_xll.qlYieldTSDiscount($U$35,Y9883,,Trigger)</f>
        <v>0.63811150375173908</v>
      </c>
    </row>
    <row r="9884" spans="25:26" x14ac:dyDescent="0.25">
      <c r="Y9884" s="63">
        <v>52417</v>
      </c>
      <c r="Z9884" s="61">
        <f>_xll.qlYieldTSDiscount($U$35,Y9884,,Trigger)</f>
        <v>0.6380672327082354</v>
      </c>
    </row>
    <row r="9885" spans="25:26" x14ac:dyDescent="0.25">
      <c r="Y9885" s="63">
        <v>52418</v>
      </c>
      <c r="Z9885" s="61">
        <f>_xll.qlYieldTSDiscount($U$35,Y9885,,Trigger)</f>
        <v>0.63802296290015947</v>
      </c>
    </row>
    <row r="9886" spans="25:26" x14ac:dyDescent="0.25">
      <c r="Y9886" s="63">
        <v>52419</v>
      </c>
      <c r="Z9886" s="61">
        <f>_xll.qlYieldTSDiscount($U$35,Y9886,,Trigger)</f>
        <v>0.63797869433002485</v>
      </c>
    </row>
    <row r="9887" spans="25:26" x14ac:dyDescent="0.25">
      <c r="Y9887" s="63">
        <v>52420</v>
      </c>
      <c r="Z9887" s="61">
        <f>_xll.qlYieldTSDiscount($U$35,Y9887,,Trigger)</f>
        <v>0.63793442700034519</v>
      </c>
    </row>
    <row r="9888" spans="25:26" x14ac:dyDescent="0.25">
      <c r="Y9888" s="63">
        <v>52421</v>
      </c>
      <c r="Z9888" s="61">
        <f>_xll.qlYieldTSDiscount($U$35,Y9888,,Trigger)</f>
        <v>0.63789016091363393</v>
      </c>
    </row>
    <row r="9889" spans="25:26" x14ac:dyDescent="0.25">
      <c r="Y9889" s="63">
        <v>52422</v>
      </c>
      <c r="Z9889" s="61">
        <f>_xll.qlYieldTSDiscount($U$35,Y9889,,Trigger)</f>
        <v>0.63784589607240472</v>
      </c>
    </row>
    <row r="9890" spans="25:26" x14ac:dyDescent="0.25">
      <c r="Y9890" s="63">
        <v>52423</v>
      </c>
      <c r="Z9890" s="61">
        <f>_xll.qlYieldTSDiscount($U$35,Y9890,,Trigger)</f>
        <v>0.6378016324791711</v>
      </c>
    </row>
    <row r="9891" spans="25:26" x14ac:dyDescent="0.25">
      <c r="Y9891" s="63">
        <v>52424</v>
      </c>
      <c r="Z9891" s="61">
        <f>_xll.qlYieldTSDiscount($U$35,Y9891,,Trigger)</f>
        <v>0.63775737013644651</v>
      </c>
    </row>
    <row r="9892" spans="25:26" x14ac:dyDescent="0.25">
      <c r="Y9892" s="63">
        <v>52425</v>
      </c>
      <c r="Z9892" s="61">
        <f>_xll.qlYieldTSDiscount($U$35,Y9892,,Trigger)</f>
        <v>0.63771310904674461</v>
      </c>
    </row>
    <row r="9893" spans="25:26" x14ac:dyDescent="0.25">
      <c r="Y9893" s="63">
        <v>52426</v>
      </c>
      <c r="Z9893" s="61">
        <f>_xll.qlYieldTSDiscount($U$35,Y9893,,Trigger)</f>
        <v>0.63766884921257894</v>
      </c>
    </row>
    <row r="9894" spans="25:26" x14ac:dyDescent="0.25">
      <c r="Y9894" s="63">
        <v>52427</v>
      </c>
      <c r="Z9894" s="61">
        <f>_xll.qlYieldTSDiscount($U$35,Y9894,,Trigger)</f>
        <v>0.63762459063646293</v>
      </c>
    </row>
    <row r="9895" spans="25:26" x14ac:dyDescent="0.25">
      <c r="Y9895" s="63">
        <v>52428</v>
      </c>
      <c r="Z9895" s="61">
        <f>_xll.qlYieldTSDiscount($U$35,Y9895,,Trigger)</f>
        <v>0.63758033332091035</v>
      </c>
    </row>
    <row r="9896" spans="25:26" x14ac:dyDescent="0.25">
      <c r="Y9896" s="63">
        <v>52429</v>
      </c>
      <c r="Z9896" s="61">
        <f>_xll.qlYieldTSDiscount($U$35,Y9896,,Trigger)</f>
        <v>0.63753607726843453</v>
      </c>
    </row>
    <row r="9897" spans="25:26" x14ac:dyDescent="0.25">
      <c r="Y9897" s="63">
        <v>52430</v>
      </c>
      <c r="Z9897" s="61">
        <f>_xll.qlYieldTSDiscount($U$35,Y9897,,Trigger)</f>
        <v>0.63749182248154923</v>
      </c>
    </row>
    <row r="9898" spans="25:26" x14ac:dyDescent="0.25">
      <c r="Y9898" s="63">
        <v>52431</v>
      </c>
      <c r="Z9898" s="61">
        <f>_xll.qlYieldTSDiscount($U$35,Y9898,,Trigger)</f>
        <v>0.63744756896276789</v>
      </c>
    </row>
    <row r="9899" spans="25:26" x14ac:dyDescent="0.25">
      <c r="Y9899" s="63">
        <v>52432</v>
      </c>
      <c r="Z9899" s="61">
        <f>_xll.qlYieldTSDiscount($U$35,Y9899,,Trigger)</f>
        <v>0.63740331671460404</v>
      </c>
    </row>
    <row r="9900" spans="25:26" x14ac:dyDescent="0.25">
      <c r="Y9900" s="63">
        <v>52433</v>
      </c>
      <c r="Z9900" s="61">
        <f>_xll.qlYieldTSDiscount($U$35,Y9900,,Trigger)</f>
        <v>0.63735906573957124</v>
      </c>
    </row>
    <row r="9901" spans="25:26" x14ac:dyDescent="0.25">
      <c r="Y9901" s="63">
        <v>52434</v>
      </c>
      <c r="Z9901" s="61">
        <f>_xll.qlYieldTSDiscount($U$35,Y9901,,Trigger)</f>
        <v>0.63731481604018303</v>
      </c>
    </row>
    <row r="9902" spans="25:26" x14ac:dyDescent="0.25">
      <c r="Y9902" s="63">
        <v>52435</v>
      </c>
      <c r="Z9902" s="61">
        <f>_xll.qlYieldTSDiscount($U$35,Y9902,,Trigger)</f>
        <v>0.63727056761895295</v>
      </c>
    </row>
    <row r="9903" spans="25:26" x14ac:dyDescent="0.25">
      <c r="Y9903" s="63">
        <v>52436</v>
      </c>
      <c r="Z9903" s="61">
        <f>_xll.qlYieldTSDiscount($U$35,Y9903,,Trigger)</f>
        <v>0.63722632047839478</v>
      </c>
    </row>
    <row r="9904" spans="25:26" x14ac:dyDescent="0.25">
      <c r="Y9904" s="63">
        <v>52437</v>
      </c>
      <c r="Z9904" s="61">
        <f>_xll.qlYieldTSDiscount($U$35,Y9904,,Trigger)</f>
        <v>0.63718207462102172</v>
      </c>
    </row>
    <row r="9905" spans="25:26" x14ac:dyDescent="0.25">
      <c r="Y9905" s="63">
        <v>52438</v>
      </c>
      <c r="Z9905" s="61">
        <f>_xll.qlYieldTSDiscount($U$35,Y9905,,Trigger)</f>
        <v>0.63713783004934754</v>
      </c>
    </row>
    <row r="9906" spans="25:26" x14ac:dyDescent="0.25">
      <c r="Y9906" s="63">
        <v>52439</v>
      </c>
      <c r="Z9906" s="61">
        <f>_xll.qlYieldTSDiscount($U$35,Y9906,,Trigger)</f>
        <v>0.63709358676588568</v>
      </c>
    </row>
    <row r="9907" spans="25:26" x14ac:dyDescent="0.25">
      <c r="Y9907" s="63">
        <v>52440</v>
      </c>
      <c r="Z9907" s="61">
        <f>_xll.qlYieldTSDiscount($U$35,Y9907,,Trigger)</f>
        <v>0.63704934477314978</v>
      </c>
    </row>
    <row r="9908" spans="25:26" x14ac:dyDescent="0.25">
      <c r="Y9908" s="63">
        <v>52441</v>
      </c>
      <c r="Z9908" s="61">
        <f>_xll.qlYieldTSDiscount($U$35,Y9908,,Trigger)</f>
        <v>0.63700510407365341</v>
      </c>
    </row>
    <row r="9909" spans="25:26" x14ac:dyDescent="0.25">
      <c r="Y9909" s="63">
        <v>52442</v>
      </c>
      <c r="Z9909" s="61">
        <f>_xll.qlYieldTSDiscount($U$35,Y9909,,Trigger)</f>
        <v>0.63696086466990998</v>
      </c>
    </row>
    <row r="9910" spans="25:26" x14ac:dyDescent="0.25">
      <c r="Y9910" s="63">
        <v>52443</v>
      </c>
      <c r="Z9910" s="61">
        <f>_xll.qlYieldTSDiscount($U$35,Y9910,,Trigger)</f>
        <v>0.63691662656443315</v>
      </c>
    </row>
    <row r="9911" spans="25:26" x14ac:dyDescent="0.25">
      <c r="Y9911" s="63">
        <v>52444</v>
      </c>
      <c r="Z9911" s="61">
        <f>_xll.qlYieldTSDiscount($U$35,Y9911,,Trigger)</f>
        <v>0.63687238975973648</v>
      </c>
    </row>
    <row r="9912" spans="25:26" x14ac:dyDescent="0.25">
      <c r="Y9912" s="63">
        <v>52445</v>
      </c>
      <c r="Z9912" s="61">
        <f>_xll.qlYieldTSDiscount($U$35,Y9912,,Trigger)</f>
        <v>0.6368281542583335</v>
      </c>
    </row>
    <row r="9913" spans="25:26" x14ac:dyDescent="0.25">
      <c r="Y9913" s="63">
        <v>52446</v>
      </c>
      <c r="Z9913" s="61">
        <f>_xll.qlYieldTSDiscount($U$35,Y9913,,Trigger)</f>
        <v>0.63678392006273776</v>
      </c>
    </row>
    <row r="9914" spans="25:26" x14ac:dyDescent="0.25">
      <c r="Y9914" s="63">
        <v>52447</v>
      </c>
      <c r="Z9914" s="61">
        <f>_xll.qlYieldTSDiscount($U$35,Y9914,,Trigger)</f>
        <v>0.63673968717546281</v>
      </c>
    </row>
    <row r="9915" spans="25:26" x14ac:dyDescent="0.25">
      <c r="Y9915" s="63">
        <v>52448</v>
      </c>
      <c r="Z9915" s="61">
        <f>_xll.qlYieldTSDiscount($U$35,Y9915,,Trigger)</f>
        <v>0.63669545559902219</v>
      </c>
    </row>
    <row r="9916" spans="25:26" x14ac:dyDescent="0.25">
      <c r="Y9916" s="63">
        <v>52449</v>
      </c>
      <c r="Z9916" s="61">
        <f>_xll.qlYieldTSDiscount($U$35,Y9916,,Trigger)</f>
        <v>0.63665122533592944</v>
      </c>
    </row>
    <row r="9917" spans="25:26" x14ac:dyDescent="0.25">
      <c r="Y9917" s="63">
        <v>52450</v>
      </c>
      <c r="Z9917" s="61">
        <f>_xll.qlYieldTSDiscount($U$35,Y9917,,Trigger)</f>
        <v>0.63660699638869811</v>
      </c>
    </row>
    <row r="9918" spans="25:26" x14ac:dyDescent="0.25">
      <c r="Y9918" s="63">
        <v>52451</v>
      </c>
      <c r="Z9918" s="61">
        <f>_xll.qlYieldTSDiscount($U$35,Y9918,,Trigger)</f>
        <v>0.63656276875984175</v>
      </c>
    </row>
    <row r="9919" spans="25:26" x14ac:dyDescent="0.25">
      <c r="Y9919" s="63">
        <v>52452</v>
      </c>
      <c r="Z9919" s="61">
        <f>_xll.qlYieldTSDiscount($U$35,Y9919,,Trigger)</f>
        <v>0.636518542451874</v>
      </c>
    </row>
    <row r="9920" spans="25:26" x14ac:dyDescent="0.25">
      <c r="Y9920" s="63">
        <v>52453</v>
      </c>
      <c r="Z9920" s="61">
        <f>_xll.qlYieldTSDiscount($U$35,Y9920,,Trigger)</f>
        <v>0.63647431746730831</v>
      </c>
    </row>
    <row r="9921" spans="25:26" x14ac:dyDescent="0.25">
      <c r="Y9921" s="63">
        <v>52454</v>
      </c>
      <c r="Z9921" s="61">
        <f>_xll.qlYieldTSDiscount($U$35,Y9921,,Trigger)</f>
        <v>0.63643009380865823</v>
      </c>
    </row>
    <row r="9922" spans="25:26" x14ac:dyDescent="0.25">
      <c r="Y9922" s="63">
        <v>52455</v>
      </c>
      <c r="Z9922" s="61">
        <f>_xll.qlYieldTSDiscount($U$35,Y9922,,Trigger)</f>
        <v>0.6363858714784375</v>
      </c>
    </row>
    <row r="9923" spans="25:26" x14ac:dyDescent="0.25">
      <c r="Y9923" s="63">
        <v>52456</v>
      </c>
      <c r="Z9923" s="61">
        <f>_xll.qlYieldTSDiscount($U$35,Y9923,,Trigger)</f>
        <v>0.63634165047915936</v>
      </c>
    </row>
    <row r="9924" spans="25:26" x14ac:dyDescent="0.25">
      <c r="Y9924" s="63">
        <v>52457</v>
      </c>
      <c r="Z9924" s="61">
        <f>_xll.qlYieldTSDiscount($U$35,Y9924,,Trigger)</f>
        <v>0.63629743081333756</v>
      </c>
    </row>
    <row r="9925" spans="25:26" x14ac:dyDescent="0.25">
      <c r="Y9925" s="63">
        <v>52458</v>
      </c>
      <c r="Z9925" s="61">
        <f>_xll.qlYieldTSDiscount($U$35,Y9925,,Trigger)</f>
        <v>0.63625321248348565</v>
      </c>
    </row>
    <row r="9926" spans="25:26" x14ac:dyDescent="0.25">
      <c r="Y9926" s="63">
        <v>52459</v>
      </c>
      <c r="Z9926" s="61">
        <f>_xll.qlYieldTSDiscount($U$35,Y9926,,Trigger)</f>
        <v>0.63620899549211707</v>
      </c>
    </row>
    <row r="9927" spans="25:26" x14ac:dyDescent="0.25">
      <c r="Y9927" s="63">
        <v>52460</v>
      </c>
      <c r="Z9927" s="61">
        <f>_xll.qlYieldTSDiscount($U$35,Y9927,,Trigger)</f>
        <v>0.63616477984174546</v>
      </c>
    </row>
    <row r="9928" spans="25:26" x14ac:dyDescent="0.25">
      <c r="Y9928" s="63">
        <v>52461</v>
      </c>
      <c r="Z9928" s="61">
        <f>_xll.qlYieldTSDiscount($U$35,Y9928,,Trigger)</f>
        <v>0.63612056553488427</v>
      </c>
    </row>
    <row r="9929" spans="25:26" x14ac:dyDescent="0.25">
      <c r="Y9929" s="63">
        <v>52462</v>
      </c>
      <c r="Z9929" s="61">
        <f>_xll.qlYieldTSDiscount($U$35,Y9929,,Trigger)</f>
        <v>0.63607635257404727</v>
      </c>
    </row>
    <row r="9930" spans="25:26" x14ac:dyDescent="0.25">
      <c r="Y9930" s="63">
        <v>52463</v>
      </c>
      <c r="Z9930" s="61">
        <f>_xll.qlYieldTSDiscount($U$35,Y9930,,Trigger)</f>
        <v>0.63603214096174787</v>
      </c>
    </row>
    <row r="9931" spans="25:26" x14ac:dyDescent="0.25">
      <c r="Y9931" s="63">
        <v>52464</v>
      </c>
      <c r="Z9931" s="61">
        <f>_xll.qlYieldTSDiscount($U$35,Y9931,,Trigger)</f>
        <v>0.63598793070049953</v>
      </c>
    </row>
    <row r="9932" spans="25:26" x14ac:dyDescent="0.25">
      <c r="Y9932" s="63">
        <v>52465</v>
      </c>
      <c r="Z9932" s="61">
        <f>_xll.qlYieldTSDiscount($U$35,Y9932,,Trigger)</f>
        <v>0.635943721792816</v>
      </c>
    </row>
    <row r="9933" spans="25:26" x14ac:dyDescent="0.25">
      <c r="Y9933" s="63">
        <v>52466</v>
      </c>
      <c r="Z9933" s="61">
        <f>_xll.qlYieldTSDiscount($U$35,Y9933,,Trigger)</f>
        <v>0.63589951424121072</v>
      </c>
    </row>
    <row r="9934" spans="25:26" x14ac:dyDescent="0.25">
      <c r="Y9934" s="63">
        <v>52467</v>
      </c>
      <c r="Z9934" s="61">
        <f>_xll.qlYieldTSDiscount($U$35,Y9934,,Trigger)</f>
        <v>0.63585530804819723</v>
      </c>
    </row>
    <row r="9935" spans="25:26" x14ac:dyDescent="0.25">
      <c r="Y9935" s="63">
        <v>52468</v>
      </c>
      <c r="Z9935" s="61">
        <f>_xll.qlYieldTSDiscount($U$35,Y9935,,Trigger)</f>
        <v>0.63581110321628909</v>
      </c>
    </row>
    <row r="9936" spans="25:26" x14ac:dyDescent="0.25">
      <c r="Y9936" s="63">
        <v>52469</v>
      </c>
      <c r="Z9936" s="61">
        <f>_xll.qlYieldTSDiscount($U$35,Y9936,,Trigger)</f>
        <v>0.63576689974799983</v>
      </c>
    </row>
    <row r="9937" spans="25:26" x14ac:dyDescent="0.25">
      <c r="Y9937" s="63">
        <v>52470</v>
      </c>
      <c r="Z9937" s="61">
        <f>_xll.qlYieldTSDiscount($U$35,Y9937,,Trigger)</f>
        <v>0.6357226976458431</v>
      </c>
    </row>
    <row r="9938" spans="25:26" x14ac:dyDescent="0.25">
      <c r="Y9938" s="63">
        <v>52471</v>
      </c>
      <c r="Z9938" s="61">
        <f>_xll.qlYieldTSDiscount($U$35,Y9938,,Trigger)</f>
        <v>0.63567849691233236</v>
      </c>
    </row>
    <row r="9939" spans="25:26" x14ac:dyDescent="0.25">
      <c r="Y9939" s="63">
        <v>52472</v>
      </c>
      <c r="Z9939" s="61">
        <f>_xll.qlYieldTSDiscount($U$35,Y9939,,Trigger)</f>
        <v>0.63563429754998113</v>
      </c>
    </row>
    <row r="9940" spans="25:26" x14ac:dyDescent="0.25">
      <c r="Y9940" s="63">
        <v>52473</v>
      </c>
      <c r="Z9940" s="61">
        <f>_xll.qlYieldTSDiscount($U$35,Y9940,,Trigger)</f>
        <v>0.63559009956130308</v>
      </c>
    </row>
    <row r="9941" spans="25:26" x14ac:dyDescent="0.25">
      <c r="Y9941" s="63">
        <v>52474</v>
      </c>
      <c r="Z9941" s="61">
        <f>_xll.qlYieldTSDiscount($U$35,Y9941,,Trigger)</f>
        <v>0.63554590294881175</v>
      </c>
    </row>
    <row r="9942" spans="25:26" x14ac:dyDescent="0.25">
      <c r="Y9942" s="63">
        <v>52475</v>
      </c>
      <c r="Z9942" s="61">
        <f>_xll.qlYieldTSDiscount($U$35,Y9942,,Trigger)</f>
        <v>0.63550170771502057</v>
      </c>
    </row>
    <row r="9943" spans="25:26" x14ac:dyDescent="0.25">
      <c r="Y9943" s="63">
        <v>52476</v>
      </c>
      <c r="Z9943" s="61">
        <f>_xll.qlYieldTSDiscount($U$35,Y9943,,Trigger)</f>
        <v>0.6354575138624432</v>
      </c>
    </row>
    <row r="9944" spans="25:26" x14ac:dyDescent="0.25">
      <c r="Y9944" s="63">
        <v>52477</v>
      </c>
      <c r="Z9944" s="61">
        <f>_xll.qlYieldTSDiscount($U$35,Y9944,,Trigger)</f>
        <v>0.63541332139359308</v>
      </c>
    </row>
    <row r="9945" spans="25:26" x14ac:dyDescent="0.25">
      <c r="Y9945" s="63">
        <v>52478</v>
      </c>
      <c r="Z9945" s="61">
        <f>_xll.qlYieldTSDiscount($U$35,Y9945,,Trigger)</f>
        <v>0.63536913031098385</v>
      </c>
    </row>
    <row r="9946" spans="25:26" x14ac:dyDescent="0.25">
      <c r="Y9946" s="63">
        <v>52479</v>
      </c>
      <c r="Z9946" s="61">
        <f>_xll.qlYieldTSDiscount($U$35,Y9946,,Trigger)</f>
        <v>0.63532494061712919</v>
      </c>
    </row>
    <row r="9947" spans="25:26" x14ac:dyDescent="0.25">
      <c r="Y9947" s="63">
        <v>52480</v>
      </c>
      <c r="Z9947" s="61">
        <f>_xll.qlYieldTSDiscount($U$35,Y9947,,Trigger)</f>
        <v>0.63528075231454229</v>
      </c>
    </row>
    <row r="9948" spans="25:26" x14ac:dyDescent="0.25">
      <c r="Y9948" s="63">
        <v>52481</v>
      </c>
      <c r="Z9948" s="61">
        <f>_xll.qlYieldTSDiscount($U$35,Y9948,,Trigger)</f>
        <v>0.63523656540573703</v>
      </c>
    </row>
    <row r="9949" spans="25:26" x14ac:dyDescent="0.25">
      <c r="Y9949" s="63">
        <v>52482</v>
      </c>
      <c r="Z9949" s="61">
        <f>_xll.qlYieldTSDiscount($U$35,Y9949,,Trigger)</f>
        <v>0.63519237989322686</v>
      </c>
    </row>
    <row r="9950" spans="25:26" x14ac:dyDescent="0.25">
      <c r="Y9950" s="63">
        <v>52483</v>
      </c>
      <c r="Z9950" s="61">
        <f>_xll.qlYieldTSDiscount($U$35,Y9950,,Trigger)</f>
        <v>0.6351481957795253</v>
      </c>
    </row>
    <row r="9951" spans="25:26" x14ac:dyDescent="0.25">
      <c r="Y9951" s="63">
        <v>52484</v>
      </c>
      <c r="Z9951" s="61">
        <f>_xll.qlYieldTSDiscount($U$35,Y9951,,Trigger)</f>
        <v>0.63510401306714592</v>
      </c>
    </row>
    <row r="9952" spans="25:26" x14ac:dyDescent="0.25">
      <c r="Y9952" s="63">
        <v>52485</v>
      </c>
      <c r="Z9952" s="61">
        <f>_xll.qlYieldTSDiscount($U$35,Y9952,,Trigger)</f>
        <v>0.63505983175860226</v>
      </c>
    </row>
    <row r="9953" spans="25:26" x14ac:dyDescent="0.25">
      <c r="Y9953" s="63">
        <v>52486</v>
      </c>
      <c r="Z9953" s="61">
        <f>_xll.qlYieldTSDiscount($U$35,Y9953,,Trigger)</f>
        <v>0.63501565185640796</v>
      </c>
    </row>
    <row r="9954" spans="25:26" x14ac:dyDescent="0.25">
      <c r="Y9954" s="63">
        <v>52487</v>
      </c>
      <c r="Z9954" s="61">
        <f>_xll.qlYieldTSDiscount($U$35,Y9954,,Trigger)</f>
        <v>0.63497147336307647</v>
      </c>
    </row>
    <row r="9955" spans="25:26" x14ac:dyDescent="0.25">
      <c r="Y9955" s="63">
        <v>52488</v>
      </c>
      <c r="Z9955" s="61">
        <f>_xll.qlYieldTSDiscount($U$35,Y9955,,Trigger)</f>
        <v>0.63492729628112132</v>
      </c>
    </row>
    <row r="9956" spans="25:26" x14ac:dyDescent="0.25">
      <c r="Y9956" s="63">
        <v>52489</v>
      </c>
      <c r="Z9956" s="61">
        <f>_xll.qlYieldTSDiscount($U$35,Y9956,,Trigger)</f>
        <v>0.63488312061305607</v>
      </c>
    </row>
    <row r="9957" spans="25:26" x14ac:dyDescent="0.25">
      <c r="Y9957" s="63">
        <v>52490</v>
      </c>
      <c r="Z9957" s="61">
        <f>_xll.qlYieldTSDiscount($U$35,Y9957,,Trigger)</f>
        <v>0.63483894636139437</v>
      </c>
    </row>
    <row r="9958" spans="25:26" x14ac:dyDescent="0.25">
      <c r="Y9958" s="63">
        <v>52491</v>
      </c>
      <c r="Z9958" s="61">
        <f>_xll.qlYieldTSDiscount($U$35,Y9958,,Trigger)</f>
        <v>0.63479477352864977</v>
      </c>
    </row>
    <row r="9959" spans="25:26" x14ac:dyDescent="0.25">
      <c r="Y9959" s="63">
        <v>52492</v>
      </c>
      <c r="Z9959" s="61">
        <f>_xll.qlYieldTSDiscount($U$35,Y9959,,Trigger)</f>
        <v>0.63475060211733569</v>
      </c>
    </row>
    <row r="9960" spans="25:26" x14ac:dyDescent="0.25">
      <c r="Y9960" s="63">
        <v>52493</v>
      </c>
      <c r="Z9960" s="61">
        <f>_xll.qlYieldTSDiscount($U$35,Y9960,,Trigger)</f>
        <v>0.6347064321299658</v>
      </c>
    </row>
    <row r="9961" spans="25:26" x14ac:dyDescent="0.25">
      <c r="Y9961" s="63">
        <v>52494</v>
      </c>
      <c r="Z9961" s="61">
        <f>_xll.qlYieldTSDiscount($U$35,Y9961,,Trigger)</f>
        <v>0.63466226356905353</v>
      </c>
    </row>
    <row r="9962" spans="25:26" x14ac:dyDescent="0.25">
      <c r="Y9962" s="63">
        <v>52495</v>
      </c>
      <c r="Z9962" s="61">
        <f>_xll.qlYieldTSDiscount($U$35,Y9962,,Trigger)</f>
        <v>0.63461809643711264</v>
      </c>
    </row>
    <row r="9963" spans="25:26" x14ac:dyDescent="0.25">
      <c r="Y9963" s="63">
        <v>52496</v>
      </c>
      <c r="Z9963" s="61">
        <f>_xll.qlYieldTSDiscount($U$35,Y9963,,Trigger)</f>
        <v>0.63457393073665636</v>
      </c>
    </row>
    <row r="9964" spans="25:26" x14ac:dyDescent="0.25">
      <c r="Y9964" s="63">
        <v>52497</v>
      </c>
      <c r="Z9964" s="61">
        <f>_xll.qlYieldTSDiscount($U$35,Y9964,,Trigger)</f>
        <v>0.63452976647019854</v>
      </c>
    </row>
    <row r="9965" spans="25:26" x14ac:dyDescent="0.25">
      <c r="Y9965" s="63">
        <v>52498</v>
      </c>
      <c r="Z9965" s="61">
        <f>_xll.qlYieldTSDiscount($U$35,Y9965,,Trigger)</f>
        <v>0.63448560364025264</v>
      </c>
    </row>
    <row r="9966" spans="25:26" x14ac:dyDescent="0.25">
      <c r="Y9966" s="63">
        <v>52499</v>
      </c>
      <c r="Z9966" s="61">
        <f>_xll.qlYieldTSDiscount($U$35,Y9966,,Trigger)</f>
        <v>0.63444144224933219</v>
      </c>
    </row>
    <row r="9967" spans="25:26" x14ac:dyDescent="0.25">
      <c r="Y9967" s="63">
        <v>52500</v>
      </c>
      <c r="Z9967" s="61">
        <f>_xll.qlYieldTSDiscount($U$35,Y9967,,Trigger)</f>
        <v>0.63439728229995074</v>
      </c>
    </row>
    <row r="9968" spans="25:26" x14ac:dyDescent="0.25">
      <c r="Y9968" s="63">
        <v>52501</v>
      </c>
      <c r="Z9968" s="61">
        <f>_xll.qlYieldTSDiscount($U$35,Y9968,,Trigger)</f>
        <v>0.63435312379462172</v>
      </c>
    </row>
    <row r="9969" spans="25:26" x14ac:dyDescent="0.25">
      <c r="Y9969" s="63">
        <v>52502</v>
      </c>
      <c r="Z9969" s="61">
        <f>_xll.qlYieldTSDiscount($U$35,Y9969,,Trigger)</f>
        <v>0.6343089667358589</v>
      </c>
    </row>
    <row r="9970" spans="25:26" x14ac:dyDescent="0.25">
      <c r="Y9970" s="63">
        <v>52503</v>
      </c>
      <c r="Z9970" s="61">
        <f>_xll.qlYieldTSDiscount($U$35,Y9970,,Trigger)</f>
        <v>0.63426481112617583</v>
      </c>
    </row>
    <row r="9971" spans="25:26" x14ac:dyDescent="0.25">
      <c r="Y9971" s="63">
        <v>52504</v>
      </c>
      <c r="Z9971" s="61">
        <f>_xll.qlYieldTSDiscount($U$35,Y9971,,Trigger)</f>
        <v>0.63422065696808583</v>
      </c>
    </row>
    <row r="9972" spans="25:26" x14ac:dyDescent="0.25">
      <c r="Y9972" s="63">
        <v>52505</v>
      </c>
      <c r="Z9972" s="61">
        <f>_xll.qlYieldTSDiscount($U$35,Y9972,,Trigger)</f>
        <v>0.63417650426410266</v>
      </c>
    </row>
    <row r="9973" spans="25:26" x14ac:dyDescent="0.25">
      <c r="Y9973" s="63">
        <v>52506</v>
      </c>
      <c r="Z9973" s="61">
        <f>_xll.qlYieldTSDiscount($U$35,Y9973,,Trigger)</f>
        <v>0.63413235301673976</v>
      </c>
    </row>
    <row r="9974" spans="25:26" x14ac:dyDescent="0.25">
      <c r="Y9974" s="63">
        <v>52507</v>
      </c>
      <c r="Z9974" s="61">
        <f>_xll.qlYieldTSDiscount($U$35,Y9974,,Trigger)</f>
        <v>0.63408820322851067</v>
      </c>
    </row>
    <row r="9975" spans="25:26" x14ac:dyDescent="0.25">
      <c r="Y9975" s="63">
        <v>52508</v>
      </c>
      <c r="Z9975" s="61">
        <f>_xll.qlYieldTSDiscount($U$35,Y9975,,Trigger)</f>
        <v>0.63404405490192917</v>
      </c>
    </row>
    <row r="9976" spans="25:26" x14ac:dyDescent="0.25">
      <c r="Y9976" s="63">
        <v>52509</v>
      </c>
      <c r="Z9976" s="61">
        <f>_xll.qlYieldTSDiscount($U$35,Y9976,,Trigger)</f>
        <v>0.63399990803950845</v>
      </c>
    </row>
    <row r="9977" spans="25:26" x14ac:dyDescent="0.25">
      <c r="Y9977" s="63">
        <v>52510</v>
      </c>
      <c r="Z9977" s="61">
        <f>_xll.qlYieldTSDiscount($U$35,Y9977,,Trigger)</f>
        <v>0.63395576264376241</v>
      </c>
    </row>
    <row r="9978" spans="25:26" x14ac:dyDescent="0.25">
      <c r="Y9978" s="63">
        <v>52511</v>
      </c>
      <c r="Z9978" s="61">
        <f>_xll.qlYieldTSDiscount($U$35,Y9978,,Trigger)</f>
        <v>0.63391161871720425</v>
      </c>
    </row>
    <row r="9979" spans="25:26" x14ac:dyDescent="0.25">
      <c r="Y9979" s="63">
        <v>52512</v>
      </c>
      <c r="Z9979" s="61">
        <f>_xll.qlYieldTSDiscount($U$35,Y9979,,Trigger)</f>
        <v>0.63386747626234785</v>
      </c>
    </row>
    <row r="9980" spans="25:26" x14ac:dyDescent="0.25">
      <c r="Y9980" s="63">
        <v>52513</v>
      </c>
      <c r="Z9980" s="61">
        <f>_xll.qlYieldTSDiscount($U$35,Y9980,,Trigger)</f>
        <v>0.63382333528170665</v>
      </c>
    </row>
    <row r="9981" spans="25:26" x14ac:dyDescent="0.25">
      <c r="Y9981" s="63">
        <v>52514</v>
      </c>
      <c r="Z9981" s="61">
        <f>_xll.qlYieldTSDiscount($U$35,Y9981,,Trigger)</f>
        <v>0.63377919577779396</v>
      </c>
    </row>
    <row r="9982" spans="25:26" x14ac:dyDescent="0.25">
      <c r="Y9982" s="63">
        <v>52515</v>
      </c>
      <c r="Z9982" s="61">
        <f>_xll.qlYieldTSDiscount($U$35,Y9982,,Trigger)</f>
        <v>0.63373505775312378</v>
      </c>
    </row>
    <row r="9983" spans="25:26" x14ac:dyDescent="0.25">
      <c r="Y9983" s="63">
        <v>52516</v>
      </c>
      <c r="Z9983" s="61">
        <f>_xll.qlYieldTSDiscount($U$35,Y9983,,Trigger)</f>
        <v>0.63369092121020931</v>
      </c>
    </row>
    <row r="9984" spans="25:26" x14ac:dyDescent="0.25">
      <c r="Y9984" s="63">
        <v>52517</v>
      </c>
      <c r="Z9984" s="61">
        <f>_xll.qlYieldTSDiscount($U$35,Y9984,,Trigger)</f>
        <v>0.63364678615156422</v>
      </c>
    </row>
    <row r="9985" spans="25:26" x14ac:dyDescent="0.25">
      <c r="Y9985" s="63">
        <v>52518</v>
      </c>
      <c r="Z9985" s="61">
        <f>_xll.qlYieldTSDiscount($U$35,Y9985,,Trigger)</f>
        <v>0.63360265257970205</v>
      </c>
    </row>
    <row r="9986" spans="25:26" x14ac:dyDescent="0.25">
      <c r="Y9986" s="63">
        <v>52519</v>
      </c>
      <c r="Z9986" s="61">
        <f>_xll.qlYieldTSDiscount($U$35,Y9986,,Trigger)</f>
        <v>0.63355852049713635</v>
      </c>
    </row>
    <row r="9987" spans="25:26" x14ac:dyDescent="0.25">
      <c r="Y9987" s="63">
        <v>52520</v>
      </c>
      <c r="Z9987" s="61">
        <f>_xll.qlYieldTSDiscount($U$35,Y9987,,Trigger)</f>
        <v>0.63351438990638065</v>
      </c>
    </row>
    <row r="9988" spans="25:26" x14ac:dyDescent="0.25">
      <c r="Y9988" s="63">
        <v>52521</v>
      </c>
      <c r="Z9988" s="61">
        <f>_xll.qlYieldTSDiscount($U$35,Y9988,,Trigger)</f>
        <v>0.63347026080994862</v>
      </c>
    </row>
    <row r="9989" spans="25:26" x14ac:dyDescent="0.25">
      <c r="Y9989" s="63">
        <v>52522</v>
      </c>
      <c r="Z9989" s="61">
        <f>_xll.qlYieldTSDiscount($U$35,Y9989,,Trigger)</f>
        <v>0.63342613321035368</v>
      </c>
    </row>
    <row r="9990" spans="25:26" x14ac:dyDescent="0.25">
      <c r="Y9990" s="63">
        <v>52523</v>
      </c>
      <c r="Z9990" s="61">
        <f>_xll.qlYieldTSDiscount($U$35,Y9990,,Trigger)</f>
        <v>0.6333820071101095</v>
      </c>
    </row>
    <row r="9991" spans="25:26" x14ac:dyDescent="0.25">
      <c r="Y9991" s="63">
        <v>52524</v>
      </c>
      <c r="Z9991" s="61">
        <f>_xll.qlYieldTSDiscount($U$35,Y9991,,Trigger)</f>
        <v>0.6333378825117294</v>
      </c>
    </row>
    <row r="9992" spans="25:26" x14ac:dyDescent="0.25">
      <c r="Y9992" s="63">
        <v>52525</v>
      </c>
      <c r="Z9992" s="61">
        <f>_xll.qlYieldTSDiscount($U$35,Y9992,,Trigger)</f>
        <v>0.63329375941772714</v>
      </c>
    </row>
    <row r="9993" spans="25:26" x14ac:dyDescent="0.25">
      <c r="Y9993" s="63">
        <v>52526</v>
      </c>
      <c r="Z9993" s="61">
        <f>_xll.qlYieldTSDiscount($U$35,Y9993,,Trigger)</f>
        <v>0.63324963783061627</v>
      </c>
    </row>
    <row r="9994" spans="25:26" x14ac:dyDescent="0.25">
      <c r="Y9994" s="63">
        <v>52527</v>
      </c>
      <c r="Z9994" s="61">
        <f>_xll.qlYieldTSDiscount($U$35,Y9994,,Trigger)</f>
        <v>0.63320551775291023</v>
      </c>
    </row>
    <row r="9995" spans="25:26" x14ac:dyDescent="0.25">
      <c r="Y9995" s="63">
        <v>52528</v>
      </c>
      <c r="Z9995" s="61">
        <f>_xll.qlYieldTSDiscount($U$35,Y9995,,Trigger)</f>
        <v>0.63316139918712266</v>
      </c>
    </row>
    <row r="9996" spans="25:26" x14ac:dyDescent="0.25">
      <c r="Y9996" s="63">
        <v>52529</v>
      </c>
      <c r="Z9996" s="61">
        <f>_xll.qlYieldTSDiscount($U$35,Y9996,,Trigger)</f>
        <v>0.63311728213576712</v>
      </c>
    </row>
    <row r="9997" spans="25:26" x14ac:dyDescent="0.25">
      <c r="Y9997" s="63">
        <v>52530</v>
      </c>
      <c r="Z9997" s="61">
        <f>_xll.qlYieldTSDiscount($U$35,Y9997,,Trigger)</f>
        <v>0.63307316660135704</v>
      </c>
    </row>
    <row r="9998" spans="25:26" x14ac:dyDescent="0.25">
      <c r="Y9998" s="63">
        <v>52531</v>
      </c>
      <c r="Z9998" s="61">
        <f>_xll.qlYieldTSDiscount($U$35,Y9998,,Trigger)</f>
        <v>0.63302905258640607</v>
      </c>
    </row>
    <row r="9999" spans="25:26" x14ac:dyDescent="0.25">
      <c r="Y9999" s="63">
        <v>52532</v>
      </c>
      <c r="Z9999" s="61">
        <f>_xll.qlYieldTSDiscount($U$35,Y9999,,Trigger)</f>
        <v>0.63298494009342776</v>
      </c>
    </row>
    <row r="10000" spans="25:26" x14ac:dyDescent="0.25">
      <c r="Y10000" s="63">
        <v>52533</v>
      </c>
      <c r="Z10000" s="61">
        <f>_xll.qlYieldTSDiscount($U$35,Y10000,,Trigger)</f>
        <v>0.63294082912493566</v>
      </c>
    </row>
    <row r="10001" spans="25:26" x14ac:dyDescent="0.25">
      <c r="Y10001" s="63">
        <v>52534</v>
      </c>
      <c r="Z10001" s="61">
        <f>_xll.qlYieldTSDiscount($U$35,Y10001,,Trigger)</f>
        <v>0.6328967196834433</v>
      </c>
    </row>
    <row r="10002" spans="25:26" x14ac:dyDescent="0.25">
      <c r="Y10002" s="63">
        <v>52535</v>
      </c>
      <c r="Z10002" s="61">
        <f>_xll.qlYieldTSDiscount($U$35,Y10002,,Trigger)</f>
        <v>0.63285261177146424</v>
      </c>
    </row>
    <row r="10003" spans="25:26" x14ac:dyDescent="0.25">
      <c r="Y10003" s="63">
        <v>52536</v>
      </c>
      <c r="Z10003" s="61">
        <f>_xll.qlYieldTSDiscount($U$35,Y10003,,Trigger)</f>
        <v>0.63280850539151201</v>
      </c>
    </row>
    <row r="10004" spans="25:26" x14ac:dyDescent="0.25">
      <c r="Y10004" s="63">
        <v>52537</v>
      </c>
      <c r="Z10004" s="61">
        <f>_xll.qlYieldTSDiscount($U$35,Y10004,,Trigger)</f>
        <v>0.63276440054610017</v>
      </c>
    </row>
    <row r="10005" spans="25:26" x14ac:dyDescent="0.25">
      <c r="Y10005" s="63">
        <v>52538</v>
      </c>
      <c r="Z10005" s="61">
        <f>_xll.qlYieldTSDiscount($U$35,Y10005,,Trigger)</f>
        <v>0.63272029723774226</v>
      </c>
    </row>
    <row r="10006" spans="25:26" x14ac:dyDescent="0.25">
      <c r="Y10006" s="63">
        <v>52539</v>
      </c>
      <c r="Z10006" s="61">
        <f>_xll.qlYieldTSDiscount($U$35,Y10006,,Trigger)</f>
        <v>0.63267619546895193</v>
      </c>
    </row>
    <row r="10007" spans="25:26" x14ac:dyDescent="0.25">
      <c r="Y10007" s="63">
        <v>52540</v>
      </c>
      <c r="Z10007" s="61">
        <f>_xll.qlYieldTSDiscount($U$35,Y10007,,Trigger)</f>
        <v>0.63263209524224262</v>
      </c>
    </row>
    <row r="10008" spans="25:26" x14ac:dyDescent="0.25">
      <c r="Y10008" s="63">
        <v>52541</v>
      </c>
      <c r="Z10008" s="61">
        <f>_xll.qlYieldTSDiscount($U$35,Y10008,,Trigger)</f>
        <v>0.63258799656012799</v>
      </c>
    </row>
    <row r="10009" spans="25:26" x14ac:dyDescent="0.25">
      <c r="Y10009" s="63">
        <v>52542</v>
      </c>
      <c r="Z10009" s="61">
        <f>_xll.qlYieldTSDiscount($U$35,Y10009,,Trigger)</f>
        <v>0.63254389942512135</v>
      </c>
    </row>
    <row r="10010" spans="25:26" x14ac:dyDescent="0.25">
      <c r="Y10010" s="63">
        <v>52543</v>
      </c>
      <c r="Z10010" s="61">
        <f>_xll.qlYieldTSDiscount($U$35,Y10010,,Trigger)</f>
        <v>0.63249980383973647</v>
      </c>
    </row>
    <row r="10011" spans="25:26" x14ac:dyDescent="0.25">
      <c r="Y10011" s="63">
        <v>52544</v>
      </c>
      <c r="Z10011" s="61">
        <f>_xll.qlYieldTSDiscount($U$35,Y10011,,Trigger)</f>
        <v>0.63245570980648691</v>
      </c>
    </row>
    <row r="10012" spans="25:26" x14ac:dyDescent="0.25">
      <c r="Y10012" s="63">
        <v>52545</v>
      </c>
      <c r="Z10012" s="61">
        <f>_xll.qlYieldTSDiscount($U$35,Y10012,,Trigger)</f>
        <v>0.6324116173278862</v>
      </c>
    </row>
    <row r="10013" spans="25:26" x14ac:dyDescent="0.25">
      <c r="Y10013" s="63">
        <v>52546</v>
      </c>
      <c r="Z10013" s="61">
        <f>_xll.qlYieldTSDiscount($U$35,Y10013,,Trigger)</f>
        <v>0.63236752640644778</v>
      </c>
    </row>
    <row r="10014" spans="25:26" x14ac:dyDescent="0.25">
      <c r="Y10014" s="63">
        <v>52547</v>
      </c>
      <c r="Z10014" s="61">
        <f>_xll.qlYieldTSDiscount($U$35,Y10014,,Trigger)</f>
        <v>0.6323234370446853</v>
      </c>
    </row>
    <row r="10015" spans="25:26" x14ac:dyDescent="0.25">
      <c r="Y10015" s="63">
        <v>52548</v>
      </c>
      <c r="Z10015" s="61">
        <f>_xll.qlYieldTSDiscount($U$35,Y10015,,Trigger)</f>
        <v>0.6322793492451122</v>
      </c>
    </row>
    <row r="10016" spans="25:26" x14ac:dyDescent="0.25">
      <c r="Y10016" s="63">
        <v>52549</v>
      </c>
      <c r="Z10016" s="61">
        <f>_xll.qlYieldTSDiscount($U$35,Y10016,,Trigger)</f>
        <v>0.63223526301024224</v>
      </c>
    </row>
    <row r="10017" spans="25:26" x14ac:dyDescent="0.25">
      <c r="Y10017" s="63">
        <v>52550</v>
      </c>
      <c r="Z10017" s="61">
        <f>_xll.qlYieldTSDiscount($U$35,Y10017,,Trigger)</f>
        <v>0.63219117834258876</v>
      </c>
    </row>
    <row r="10018" spans="25:26" x14ac:dyDescent="0.25">
      <c r="Y10018" s="63">
        <v>52551</v>
      </c>
      <c r="Z10018" s="61">
        <f>_xll.qlYieldTSDiscount($U$35,Y10018,,Trigger)</f>
        <v>0.63214709524466539</v>
      </c>
    </row>
    <row r="10019" spans="25:26" x14ac:dyDescent="0.25">
      <c r="Y10019" s="63">
        <v>52552</v>
      </c>
      <c r="Z10019" s="61">
        <f>_xll.qlYieldTSDiscount($U$35,Y10019,,Trigger)</f>
        <v>0.63210301371898581</v>
      </c>
    </row>
    <row r="10020" spans="25:26" x14ac:dyDescent="0.25">
      <c r="Y10020" s="63">
        <v>52553</v>
      </c>
      <c r="Z10020" s="61">
        <f>_xll.qlYieldTSDiscount($U$35,Y10020,,Trigger)</f>
        <v>0.63205893376806332</v>
      </c>
    </row>
    <row r="10021" spans="25:26" x14ac:dyDescent="0.25">
      <c r="Y10021" s="63">
        <v>52554</v>
      </c>
      <c r="Z10021" s="61">
        <f>_xll.qlYieldTSDiscount($U$35,Y10021,,Trigger)</f>
        <v>0.6320148553944116</v>
      </c>
    </row>
    <row r="10022" spans="25:26" x14ac:dyDescent="0.25">
      <c r="Y10022" s="63">
        <v>52555</v>
      </c>
      <c r="Z10022" s="61">
        <f>_xll.qlYieldTSDiscount($U$35,Y10022,,Trigger)</f>
        <v>0.63197077860054429</v>
      </c>
    </row>
    <row r="10023" spans="25:26" x14ac:dyDescent="0.25">
      <c r="Y10023" s="63">
        <v>52556</v>
      </c>
      <c r="Z10023" s="61">
        <f>_xll.qlYieldTSDiscount($U$35,Y10023,,Trigger)</f>
        <v>0.63192670338897483</v>
      </c>
    </row>
    <row r="10024" spans="25:26" x14ac:dyDescent="0.25">
      <c r="Y10024" s="63">
        <v>52557</v>
      </c>
      <c r="Z10024" s="61">
        <f>_xll.qlYieldTSDiscount($U$35,Y10024,,Trigger)</f>
        <v>0.63188262976221676</v>
      </c>
    </row>
    <row r="10025" spans="25:26" x14ac:dyDescent="0.25">
      <c r="Y10025" s="63">
        <v>52558</v>
      </c>
      <c r="Z10025" s="61">
        <f>_xll.qlYieldTSDiscount($U$35,Y10025,,Trigger)</f>
        <v>0.63183855772278374</v>
      </c>
    </row>
    <row r="10026" spans="25:26" x14ac:dyDescent="0.25">
      <c r="Y10026" s="63">
        <v>52559</v>
      </c>
      <c r="Z10026" s="61">
        <f>_xll.qlYieldTSDiscount($U$35,Y10026,,Trigger)</f>
        <v>0.6317944872731891</v>
      </c>
    </row>
    <row r="10027" spans="25:26" x14ac:dyDescent="0.25">
      <c r="Y10027" s="63">
        <v>52560</v>
      </c>
      <c r="Z10027" s="61">
        <f>_xll.qlYieldTSDiscount($U$35,Y10027,,Trigger)</f>
        <v>0.6317504184159467</v>
      </c>
    </row>
    <row r="10028" spans="25:26" x14ac:dyDescent="0.25">
      <c r="Y10028" s="63">
        <v>52561</v>
      </c>
      <c r="Z10028" s="61">
        <f>_xll.qlYieldTSDiscount($U$35,Y10028,,Trigger)</f>
        <v>0.63170635115356988</v>
      </c>
    </row>
    <row r="10029" spans="25:26" x14ac:dyDescent="0.25">
      <c r="Y10029" s="63">
        <v>52562</v>
      </c>
      <c r="Z10029" s="61">
        <f>_xll.qlYieldTSDiscount($U$35,Y10029,,Trigger)</f>
        <v>0.63166228548857217</v>
      </c>
    </row>
    <row r="10030" spans="25:26" x14ac:dyDescent="0.25">
      <c r="Y10030" s="63">
        <v>52563</v>
      </c>
      <c r="Z10030" s="61">
        <f>_xll.qlYieldTSDiscount($U$35,Y10030,,Trigger)</f>
        <v>0.63161822142346724</v>
      </c>
    </row>
    <row r="10031" spans="25:26" x14ac:dyDescent="0.25">
      <c r="Y10031" s="63">
        <v>52564</v>
      </c>
      <c r="Z10031" s="61">
        <f>_xll.qlYieldTSDiscount($U$35,Y10031,,Trigger)</f>
        <v>0.63157415896076863</v>
      </c>
    </row>
    <row r="10032" spans="25:26" x14ac:dyDescent="0.25">
      <c r="Y10032" s="63">
        <v>52565</v>
      </c>
      <c r="Z10032" s="61">
        <f>_xll.qlYieldTSDiscount($U$35,Y10032,,Trigger)</f>
        <v>0.63153009810298988</v>
      </c>
    </row>
    <row r="10033" spans="25:26" x14ac:dyDescent="0.25">
      <c r="Y10033" s="63">
        <v>52566</v>
      </c>
      <c r="Z10033" s="61">
        <f>_xll.qlYieldTSDiscount($U$35,Y10033,,Trigger)</f>
        <v>0.63148603885264443</v>
      </c>
    </row>
    <row r="10034" spans="25:26" x14ac:dyDescent="0.25">
      <c r="Y10034" s="63">
        <v>52567</v>
      </c>
      <c r="Z10034" s="61">
        <f>_xll.qlYieldTSDiscount($U$35,Y10034,,Trigger)</f>
        <v>0.63144198121224593</v>
      </c>
    </row>
    <row r="10035" spans="25:26" x14ac:dyDescent="0.25">
      <c r="Y10035" s="63">
        <v>52568</v>
      </c>
      <c r="Z10035" s="61">
        <f>_xll.qlYieldTSDiscount($U$35,Y10035,,Trigger)</f>
        <v>0.63139792518430804</v>
      </c>
    </row>
    <row r="10036" spans="25:26" x14ac:dyDescent="0.25">
      <c r="Y10036" s="63">
        <v>52569</v>
      </c>
      <c r="Z10036" s="61">
        <f>_xll.qlYieldTSDiscount($U$35,Y10036,,Trigger)</f>
        <v>0.63135387077134408</v>
      </c>
    </row>
    <row r="10037" spans="25:26" x14ac:dyDescent="0.25">
      <c r="Y10037" s="63">
        <v>52570</v>
      </c>
      <c r="Z10037" s="61">
        <f>_xll.qlYieldTSDiscount($U$35,Y10037,,Trigger)</f>
        <v>0.63130981797586772</v>
      </c>
    </row>
    <row r="10038" spans="25:26" x14ac:dyDescent="0.25">
      <c r="Y10038" s="63">
        <v>52571</v>
      </c>
      <c r="Z10038" s="61">
        <f>_xll.qlYieldTSDiscount($U$35,Y10038,,Trigger)</f>
        <v>0.63126576680039248</v>
      </c>
    </row>
    <row r="10039" spans="25:26" x14ac:dyDescent="0.25">
      <c r="Y10039" s="63">
        <v>52572</v>
      </c>
      <c r="Z10039" s="61">
        <f>_xll.qlYieldTSDiscount($U$35,Y10039,,Trigger)</f>
        <v>0.63122171724743192</v>
      </c>
    </row>
    <row r="10040" spans="25:26" x14ac:dyDescent="0.25">
      <c r="Y10040" s="63">
        <v>52573</v>
      </c>
      <c r="Z10040" s="61">
        <f>_xll.qlYieldTSDiscount($U$35,Y10040,,Trigger)</f>
        <v>0.6311776693194997</v>
      </c>
    </row>
    <row r="10041" spans="25:26" x14ac:dyDescent="0.25">
      <c r="Y10041" s="63">
        <v>52574</v>
      </c>
      <c r="Z10041" s="61">
        <f>_xll.qlYieldTSDiscount($U$35,Y10041,,Trigger)</f>
        <v>0.63113362301910925</v>
      </c>
    </row>
    <row r="10042" spans="25:26" x14ac:dyDescent="0.25">
      <c r="Y10042" s="63">
        <v>52575</v>
      </c>
      <c r="Z10042" s="61">
        <f>_xll.qlYieldTSDiscount($U$35,Y10042,,Trigger)</f>
        <v>0.63108957834877411</v>
      </c>
    </row>
    <row r="10043" spans="25:26" x14ac:dyDescent="0.25">
      <c r="Y10043" s="63">
        <v>52576</v>
      </c>
      <c r="Z10043" s="61">
        <f>_xll.qlYieldTSDiscount($U$35,Y10043,,Trigger)</f>
        <v>0.63104553531100793</v>
      </c>
    </row>
    <row r="10044" spans="25:26" x14ac:dyDescent="0.25">
      <c r="Y10044" s="63">
        <v>52577</v>
      </c>
      <c r="Z10044" s="61">
        <f>_xll.qlYieldTSDiscount($U$35,Y10044,,Trigger)</f>
        <v>0.63100149390832416</v>
      </c>
    </row>
    <row r="10045" spans="25:26" x14ac:dyDescent="0.25">
      <c r="Y10045" s="63">
        <v>52578</v>
      </c>
      <c r="Z10045" s="61">
        <f>_xll.qlYieldTSDiscount($U$35,Y10045,,Trigger)</f>
        <v>0.63095745414323634</v>
      </c>
    </row>
    <row r="10046" spans="25:26" x14ac:dyDescent="0.25">
      <c r="Y10046" s="63">
        <v>52579</v>
      </c>
      <c r="Z10046" s="61">
        <f>_xll.qlYieldTSDiscount($U$35,Y10046,,Trigger)</f>
        <v>0.63091341601825812</v>
      </c>
    </row>
    <row r="10047" spans="25:26" x14ac:dyDescent="0.25">
      <c r="Y10047" s="63">
        <v>52580</v>
      </c>
      <c r="Z10047" s="61">
        <f>_xll.qlYieldTSDiscount($U$35,Y10047,,Trigger)</f>
        <v>0.63086937953590305</v>
      </c>
    </row>
    <row r="10048" spans="25:26" x14ac:dyDescent="0.25">
      <c r="Y10048" s="63">
        <v>52581</v>
      </c>
      <c r="Z10048" s="61">
        <f>_xll.qlYieldTSDiscount($U$35,Y10048,,Trigger)</f>
        <v>0.63082534469868456</v>
      </c>
    </row>
    <row r="10049" spans="25:26" x14ac:dyDescent="0.25">
      <c r="Y10049" s="63">
        <v>52582</v>
      </c>
      <c r="Z10049" s="61">
        <f>_xll.qlYieldTSDiscount($U$35,Y10049,,Trigger)</f>
        <v>0.63078131150911643</v>
      </c>
    </row>
    <row r="10050" spans="25:26" x14ac:dyDescent="0.25">
      <c r="Y10050" s="63">
        <v>52583</v>
      </c>
      <c r="Z10050" s="61">
        <f>_xll.qlYieldTSDiscount($U$35,Y10050,,Trigger)</f>
        <v>0.63073727996971185</v>
      </c>
    </row>
    <row r="10051" spans="25:26" x14ac:dyDescent="0.25">
      <c r="Y10051" s="63">
        <v>52584</v>
      </c>
      <c r="Z10051" s="61">
        <f>_xll.qlYieldTSDiscount($U$35,Y10051,,Trigger)</f>
        <v>0.63069325008298471</v>
      </c>
    </row>
    <row r="10052" spans="25:26" x14ac:dyDescent="0.25">
      <c r="Y10052" s="63">
        <v>52585</v>
      </c>
      <c r="Z10052" s="61">
        <f>_xll.qlYieldTSDiscount($U$35,Y10052,,Trigger)</f>
        <v>0.63064922185144845</v>
      </c>
    </row>
    <row r="10053" spans="25:26" x14ac:dyDescent="0.25">
      <c r="Y10053" s="63">
        <v>52586</v>
      </c>
      <c r="Z10053" s="61">
        <f>_xll.qlYieldTSDiscount($U$35,Y10053,,Trigger)</f>
        <v>0.63060519527761649</v>
      </c>
    </row>
    <row r="10054" spans="25:26" x14ac:dyDescent="0.25">
      <c r="Y10054" s="63">
        <v>52587</v>
      </c>
      <c r="Z10054" s="61">
        <f>_xll.qlYieldTSDiscount($U$35,Y10054,,Trigger)</f>
        <v>0.63056117036400261</v>
      </c>
    </row>
    <row r="10055" spans="25:26" x14ac:dyDescent="0.25">
      <c r="Y10055" s="63">
        <v>52588</v>
      </c>
      <c r="Z10055" s="61">
        <f>_xll.qlYieldTSDiscount($U$35,Y10055,,Trigger)</f>
        <v>0.63051714711312012</v>
      </c>
    </row>
    <row r="10056" spans="25:26" x14ac:dyDescent="0.25">
      <c r="Y10056" s="63">
        <v>52589</v>
      </c>
      <c r="Z10056" s="61">
        <f>_xll.qlYieldTSDiscount($U$35,Y10056,,Trigger)</f>
        <v>0.6304731255274828</v>
      </c>
    </row>
    <row r="10057" spans="25:26" x14ac:dyDescent="0.25">
      <c r="Y10057" s="63">
        <v>52590</v>
      </c>
      <c r="Z10057" s="61">
        <f>_xll.qlYieldTSDiscount($U$35,Y10057,,Trigger)</f>
        <v>0.63042910560960408</v>
      </c>
    </row>
    <row r="10058" spans="25:26" x14ac:dyDescent="0.25">
      <c r="Y10058" s="63">
        <v>52591</v>
      </c>
      <c r="Z10058" s="61">
        <f>_xll.qlYieldTSDiscount($U$35,Y10058,,Trigger)</f>
        <v>0.6303850873619975</v>
      </c>
    </row>
    <row r="10059" spans="25:26" x14ac:dyDescent="0.25">
      <c r="Y10059" s="63">
        <v>52592</v>
      </c>
      <c r="Z10059" s="61">
        <f>_xll.qlYieldTSDiscount($U$35,Y10059,,Trigger)</f>
        <v>0.6303410707871766</v>
      </c>
    </row>
    <row r="10060" spans="25:26" x14ac:dyDescent="0.25">
      <c r="Y10060" s="63">
        <v>52593</v>
      </c>
      <c r="Z10060" s="61">
        <f>_xll.qlYieldTSDiscount($U$35,Y10060,,Trigger)</f>
        <v>0.63029705588765506</v>
      </c>
    </row>
    <row r="10061" spans="25:26" x14ac:dyDescent="0.25">
      <c r="Y10061" s="63">
        <v>52594</v>
      </c>
      <c r="Z10061" s="61">
        <f>_xll.qlYieldTSDiscount($U$35,Y10061,,Trigger)</f>
        <v>0.63025304266594628</v>
      </c>
    </row>
    <row r="10062" spans="25:26" x14ac:dyDescent="0.25">
      <c r="Y10062" s="63">
        <v>52595</v>
      </c>
      <c r="Z10062" s="61">
        <f>_xll.qlYieldTSDiscount($U$35,Y10062,,Trigger)</f>
        <v>0.63020903112456395</v>
      </c>
    </row>
    <row r="10063" spans="25:26" x14ac:dyDescent="0.25">
      <c r="Y10063" s="63">
        <v>52596</v>
      </c>
      <c r="Z10063" s="61">
        <f>_xll.qlYieldTSDiscount($U$35,Y10063,,Trigger)</f>
        <v>0.63016502126602147</v>
      </c>
    </row>
    <row r="10064" spans="25:26" x14ac:dyDescent="0.25">
      <c r="Y10064" s="63">
        <v>52597</v>
      </c>
      <c r="Z10064" s="61">
        <f>_xll.qlYieldTSDiscount($U$35,Y10064,,Trigger)</f>
        <v>0.63012101309283253</v>
      </c>
    </row>
    <row r="10065" spans="25:26" x14ac:dyDescent="0.25">
      <c r="Y10065" s="63">
        <v>52598</v>
      </c>
      <c r="Z10065" s="61">
        <f>_xll.qlYieldTSDiscount($U$35,Y10065,,Trigger)</f>
        <v>0.63007700660751065</v>
      </c>
    </row>
    <row r="10066" spans="25:26" x14ac:dyDescent="0.25">
      <c r="Y10066" s="63">
        <v>52599</v>
      </c>
      <c r="Z10066" s="61">
        <f>_xll.qlYieldTSDiscount($U$35,Y10066,,Trigger)</f>
        <v>0.63003300181256927</v>
      </c>
    </row>
    <row r="10067" spans="25:26" x14ac:dyDescent="0.25">
      <c r="Y10067" s="63">
        <v>52600</v>
      </c>
      <c r="Z10067" s="61">
        <f>_xll.qlYieldTSDiscount($U$35,Y10067,,Trigger)</f>
        <v>0.62998899871052205</v>
      </c>
    </row>
    <row r="10068" spans="25:26" x14ac:dyDescent="0.25">
      <c r="Y10068" s="63">
        <v>52601</v>
      </c>
      <c r="Z10068" s="61">
        <f>_xll.qlYieldTSDiscount($U$35,Y10068,,Trigger)</f>
        <v>0.62994499730388243</v>
      </c>
    </row>
    <row r="10069" spans="25:26" x14ac:dyDescent="0.25">
      <c r="Y10069" s="63">
        <v>52602</v>
      </c>
      <c r="Z10069" s="61">
        <f>_xll.qlYieldTSDiscount($U$35,Y10069,,Trigger)</f>
        <v>0.62990099759516416</v>
      </c>
    </row>
    <row r="10070" spans="25:26" x14ac:dyDescent="0.25">
      <c r="Y10070" s="63">
        <v>52603</v>
      </c>
      <c r="Z10070" s="61">
        <f>_xll.qlYieldTSDiscount($U$35,Y10070,,Trigger)</f>
        <v>0.62985699958688057</v>
      </c>
    </row>
    <row r="10071" spans="25:26" x14ac:dyDescent="0.25">
      <c r="Y10071" s="63">
        <v>52604</v>
      </c>
      <c r="Z10071" s="61">
        <f>_xll.qlYieldTSDiscount($U$35,Y10071,,Trigger)</f>
        <v>0.62981300328154532</v>
      </c>
    </row>
    <row r="10072" spans="25:26" x14ac:dyDescent="0.25">
      <c r="Y10072" s="63">
        <v>52605</v>
      </c>
      <c r="Z10072" s="61">
        <f>_xll.qlYieldTSDiscount($U$35,Y10072,,Trigger)</f>
        <v>0.62976900868167207</v>
      </c>
    </row>
    <row r="10073" spans="25:26" x14ac:dyDescent="0.25">
      <c r="Y10073" s="63">
        <v>52606</v>
      </c>
      <c r="Z10073" s="61">
        <f>_xll.qlYieldTSDiscount($U$35,Y10073,,Trigger)</f>
        <v>0.62972501578977425</v>
      </c>
    </row>
    <row r="10074" spans="25:26" x14ac:dyDescent="0.25">
      <c r="Y10074" s="63">
        <v>52607</v>
      </c>
      <c r="Z10074" s="61">
        <f>_xll.qlYieldTSDiscount($U$35,Y10074,,Trigger)</f>
        <v>0.62968102460836528</v>
      </c>
    </row>
    <row r="10075" spans="25:26" x14ac:dyDescent="0.25">
      <c r="Y10075" s="63">
        <v>52608</v>
      </c>
      <c r="Z10075" s="61">
        <f>_xll.qlYieldTSDiscount($U$35,Y10075,,Trigger)</f>
        <v>0.62963703513995894</v>
      </c>
    </row>
    <row r="10076" spans="25:26" x14ac:dyDescent="0.25">
      <c r="Y10076" s="63">
        <v>52609</v>
      </c>
      <c r="Z10076" s="61">
        <f>_xll.qlYieldTSDiscount($U$35,Y10076,,Trigger)</f>
        <v>0.62959304738706867</v>
      </c>
    </row>
    <row r="10077" spans="25:26" x14ac:dyDescent="0.25">
      <c r="Y10077" s="63">
        <v>52610</v>
      </c>
      <c r="Z10077" s="61">
        <f>_xll.qlYieldTSDiscount($U$35,Y10077,,Trigger)</f>
        <v>0.62954906135220812</v>
      </c>
    </row>
    <row r="10078" spans="25:26" x14ac:dyDescent="0.25">
      <c r="Y10078" s="63">
        <v>52611</v>
      </c>
      <c r="Z10078" s="61">
        <f>_xll.qlYieldTSDiscount($U$35,Y10078,,Trigger)</f>
        <v>0.62950507703789071</v>
      </c>
    </row>
    <row r="10079" spans="25:26" x14ac:dyDescent="0.25">
      <c r="Y10079" s="63">
        <v>52612</v>
      </c>
      <c r="Z10079" s="61">
        <f>_xll.qlYieldTSDiscount($U$35,Y10079,,Trigger)</f>
        <v>0.62946109444663001</v>
      </c>
    </row>
    <row r="10080" spans="25:26" x14ac:dyDescent="0.25">
      <c r="Y10080" s="63">
        <v>52613</v>
      </c>
      <c r="Z10080" s="61">
        <f>_xll.qlYieldTSDiscount($U$35,Y10080,,Trigger)</f>
        <v>0.62941711358093966</v>
      </c>
    </row>
    <row r="10081" spans="25:26" x14ac:dyDescent="0.25">
      <c r="Y10081" s="63">
        <v>52614</v>
      </c>
      <c r="Z10081" s="61">
        <f>_xll.qlYieldTSDiscount($U$35,Y10081,,Trigger)</f>
        <v>0.62937313444333309</v>
      </c>
    </row>
    <row r="10082" spans="25:26" x14ac:dyDescent="0.25">
      <c r="Y10082" s="63">
        <v>52615</v>
      </c>
      <c r="Z10082" s="61">
        <f>_xll.qlYieldTSDiscount($U$35,Y10082,,Trigger)</f>
        <v>0.62932915703632397</v>
      </c>
    </row>
    <row r="10083" spans="25:26" x14ac:dyDescent="0.25">
      <c r="Y10083" s="63">
        <v>52616</v>
      </c>
      <c r="Z10083" s="61">
        <f>_xll.qlYieldTSDiscount($U$35,Y10083,,Trigger)</f>
        <v>0.62928518136242584</v>
      </c>
    </row>
    <row r="10084" spans="25:26" x14ac:dyDescent="0.25">
      <c r="Y10084" s="63">
        <v>52617</v>
      </c>
      <c r="Z10084" s="61">
        <f>_xll.qlYieldTSDiscount($U$35,Y10084,,Trigger)</f>
        <v>0.62924120742415213</v>
      </c>
    </row>
    <row r="10085" spans="25:26" x14ac:dyDescent="0.25">
      <c r="Y10085" s="63">
        <v>52618</v>
      </c>
      <c r="Z10085" s="61">
        <f>_xll.qlYieldTSDiscount($U$35,Y10085,,Trigger)</f>
        <v>0.62919723522401649</v>
      </c>
    </row>
    <row r="10086" spans="25:26" x14ac:dyDescent="0.25">
      <c r="Y10086" s="63">
        <v>52619</v>
      </c>
      <c r="Z10086" s="61">
        <f>_xll.qlYieldTSDiscount($U$35,Y10086,,Trigger)</f>
        <v>0.62915326476453259</v>
      </c>
    </row>
    <row r="10087" spans="25:26" x14ac:dyDescent="0.25">
      <c r="Y10087" s="63">
        <v>52620</v>
      </c>
      <c r="Z10087" s="61">
        <f>_xll.qlYieldTSDiscount($U$35,Y10087,,Trigger)</f>
        <v>0.62910929604821364</v>
      </c>
    </row>
    <row r="10088" spans="25:26" x14ac:dyDescent="0.25">
      <c r="Y10088" s="63">
        <v>52621</v>
      </c>
      <c r="Z10088" s="61">
        <f>_xll.qlYieldTSDiscount($U$35,Y10088,,Trigger)</f>
        <v>0.62906532907757351</v>
      </c>
    </row>
    <row r="10089" spans="25:26" x14ac:dyDescent="0.25">
      <c r="Y10089" s="63">
        <v>52622</v>
      </c>
      <c r="Z10089" s="61">
        <f>_xll.qlYieldTSDiscount($U$35,Y10089,,Trigger)</f>
        <v>0.62902136385512564</v>
      </c>
    </row>
    <row r="10090" spans="25:26" x14ac:dyDescent="0.25">
      <c r="Y10090" s="63">
        <v>52623</v>
      </c>
      <c r="Z10090" s="61">
        <f>_xll.qlYieldTSDiscount($U$35,Y10090,,Trigger)</f>
        <v>0.62897740038338357</v>
      </c>
    </row>
    <row r="10091" spans="25:26" x14ac:dyDescent="0.25">
      <c r="Y10091" s="63">
        <v>52624</v>
      </c>
      <c r="Z10091" s="61">
        <f>_xll.qlYieldTSDiscount($U$35,Y10091,,Trigger)</f>
        <v>0.62893343866486084</v>
      </c>
    </row>
    <row r="10092" spans="25:26" x14ac:dyDescent="0.25">
      <c r="Y10092" s="63">
        <v>52625</v>
      </c>
      <c r="Z10092" s="61">
        <f>_xll.qlYieldTSDiscount($U$35,Y10092,,Trigger)</f>
        <v>0.62888947870207101</v>
      </c>
    </row>
    <row r="10093" spans="25:26" x14ac:dyDescent="0.25">
      <c r="Y10093" s="63">
        <v>52626</v>
      </c>
      <c r="Z10093" s="61">
        <f>_xll.qlYieldTSDiscount($U$35,Y10093,,Trigger)</f>
        <v>0.62884552049752773</v>
      </c>
    </row>
    <row r="10094" spans="25:26" x14ac:dyDescent="0.25">
      <c r="Y10094" s="63">
        <v>52627</v>
      </c>
      <c r="Z10094" s="61">
        <f>_xll.qlYieldTSDiscount($U$35,Y10094,,Trigger)</f>
        <v>0.62880156405374443</v>
      </c>
    </row>
    <row r="10095" spans="25:26" x14ac:dyDescent="0.25">
      <c r="Y10095" s="63">
        <v>52628</v>
      </c>
      <c r="Z10095" s="61">
        <f>_xll.qlYieldTSDiscount($U$35,Y10095,,Trigger)</f>
        <v>0.62875760937323455</v>
      </c>
    </row>
    <row r="10096" spans="25:26" x14ac:dyDescent="0.25">
      <c r="Y10096" s="63">
        <v>52629</v>
      </c>
      <c r="Z10096" s="61">
        <f>_xll.qlYieldTSDiscount($U$35,Y10096,,Trigger)</f>
        <v>0.62871365645851196</v>
      </c>
    </row>
    <row r="10097" spans="25:26" x14ac:dyDescent="0.25">
      <c r="Y10097" s="63">
        <v>52630</v>
      </c>
      <c r="Z10097" s="61">
        <f>_xll.qlYieldTSDiscount($U$35,Y10097,,Trigger)</f>
        <v>0.62866970531208999</v>
      </c>
    </row>
    <row r="10098" spans="25:26" x14ac:dyDescent="0.25">
      <c r="Y10098" s="63">
        <v>52631</v>
      </c>
      <c r="Z10098" s="61">
        <f>_xll.qlYieldTSDiscount($U$35,Y10098,,Trigger)</f>
        <v>0.62862575593648229</v>
      </c>
    </row>
    <row r="10099" spans="25:26" x14ac:dyDescent="0.25">
      <c r="Y10099" s="63">
        <v>52632</v>
      </c>
      <c r="Z10099" s="61">
        <f>_xll.qlYieldTSDiscount($U$35,Y10099,,Trigger)</f>
        <v>0.6285818083342023</v>
      </c>
    </row>
    <row r="10100" spans="25:26" x14ac:dyDescent="0.25">
      <c r="Y10100" s="63">
        <v>52633</v>
      </c>
      <c r="Z10100" s="61">
        <f>_xll.qlYieldTSDiscount($U$35,Y10100,,Trigger)</f>
        <v>0.62853786250776356</v>
      </c>
    </row>
    <row r="10101" spans="25:26" x14ac:dyDescent="0.25">
      <c r="Y10101" s="63">
        <v>52634</v>
      </c>
      <c r="Z10101" s="61">
        <f>_xll.qlYieldTSDiscount($U$35,Y10101,,Trigger)</f>
        <v>0.62849391845967983</v>
      </c>
    </row>
    <row r="10102" spans="25:26" x14ac:dyDescent="0.25">
      <c r="Y10102" s="63">
        <v>52635</v>
      </c>
      <c r="Z10102" s="61">
        <f>_xll.qlYieldTSDiscount($U$35,Y10102,,Trigger)</f>
        <v>0.62844997619246445</v>
      </c>
    </row>
    <row r="10103" spans="25:26" x14ac:dyDescent="0.25">
      <c r="Y10103" s="63">
        <v>52636</v>
      </c>
      <c r="Z10103" s="61">
        <f>_xll.qlYieldTSDiscount($U$35,Y10103,,Trigger)</f>
        <v>0.62840603570863107</v>
      </c>
    </row>
    <row r="10104" spans="25:26" x14ac:dyDescent="0.25">
      <c r="Y10104" s="63">
        <v>52637</v>
      </c>
      <c r="Z10104" s="61">
        <f>_xll.qlYieldTSDiscount($U$35,Y10104,,Trigger)</f>
        <v>0.62836209701069323</v>
      </c>
    </row>
    <row r="10105" spans="25:26" x14ac:dyDescent="0.25">
      <c r="Y10105" s="63">
        <v>52638</v>
      </c>
      <c r="Z10105" s="61">
        <f>_xll.qlYieldTSDiscount($U$35,Y10105,,Trigger)</f>
        <v>0.62831816010116448</v>
      </c>
    </row>
    <row r="10106" spans="25:26" x14ac:dyDescent="0.25">
      <c r="Y10106" s="63">
        <v>52639</v>
      </c>
      <c r="Z10106" s="61">
        <f>_xll.qlYieldTSDiscount($U$35,Y10106,,Trigger)</f>
        <v>0.62827422498255836</v>
      </c>
    </row>
    <row r="10107" spans="25:26" x14ac:dyDescent="0.25">
      <c r="Y10107" s="63">
        <v>52640</v>
      </c>
      <c r="Z10107" s="61">
        <f>_xll.qlYieldTSDiscount($U$35,Y10107,,Trigger)</f>
        <v>0.62823029165738831</v>
      </c>
    </row>
    <row r="10108" spans="25:26" x14ac:dyDescent="0.25">
      <c r="Y10108" s="63">
        <v>52641</v>
      </c>
      <c r="Z10108" s="61">
        <f>_xll.qlYieldTSDiscount($U$35,Y10108,,Trigger)</f>
        <v>0.62818636012816809</v>
      </c>
    </row>
    <row r="10109" spans="25:26" x14ac:dyDescent="0.25">
      <c r="Y10109" s="63">
        <v>52642</v>
      </c>
      <c r="Z10109" s="61">
        <f>_xll.qlYieldTSDiscount($U$35,Y10109,,Trigger)</f>
        <v>0.62814243039741113</v>
      </c>
    </row>
    <row r="10110" spans="25:26" x14ac:dyDescent="0.25">
      <c r="Y10110" s="63">
        <v>52643</v>
      </c>
      <c r="Z10110" s="61">
        <f>_xll.qlYieldTSDiscount($U$35,Y10110,,Trigger)</f>
        <v>0.6280985024676311</v>
      </c>
    </row>
    <row r="10111" spans="25:26" x14ac:dyDescent="0.25">
      <c r="Y10111" s="63">
        <v>52644</v>
      </c>
      <c r="Z10111" s="61">
        <f>_xll.qlYieldTSDiscount($U$35,Y10111,,Trigger)</f>
        <v>0.62805457634134132</v>
      </c>
    </row>
    <row r="10112" spans="25:26" x14ac:dyDescent="0.25">
      <c r="Y10112" s="63">
        <v>52645</v>
      </c>
      <c r="Z10112" s="61">
        <f>_xll.qlYieldTSDiscount($U$35,Y10112,,Trigger)</f>
        <v>0.62801065202105555</v>
      </c>
    </row>
    <row r="10113" spans="25:26" x14ac:dyDescent="0.25">
      <c r="Y10113" s="63">
        <v>52646</v>
      </c>
      <c r="Z10113" s="61">
        <f>_xll.qlYieldTSDiscount($U$35,Y10113,,Trigger)</f>
        <v>0.62796672950928722</v>
      </c>
    </row>
    <row r="10114" spans="25:26" x14ac:dyDescent="0.25">
      <c r="Y10114" s="63">
        <v>52647</v>
      </c>
      <c r="Z10114" s="61">
        <f>_xll.qlYieldTSDiscount($U$35,Y10114,,Trigger)</f>
        <v>0.62792280880855</v>
      </c>
    </row>
    <row r="10115" spans="25:26" x14ac:dyDescent="0.25">
      <c r="Y10115" s="63">
        <v>52648</v>
      </c>
      <c r="Z10115" s="61">
        <f>_xll.qlYieldTSDiscount($U$35,Y10115,,Trigger)</f>
        <v>0.62787888992135732</v>
      </c>
    </row>
    <row r="10116" spans="25:26" x14ac:dyDescent="0.25">
      <c r="Y10116" s="63">
        <v>52649</v>
      </c>
      <c r="Z10116" s="61">
        <f>_xll.qlYieldTSDiscount($U$35,Y10116,,Trigger)</f>
        <v>0.62783497285022283</v>
      </c>
    </row>
    <row r="10117" spans="25:26" x14ac:dyDescent="0.25">
      <c r="Y10117" s="63">
        <v>52650</v>
      </c>
      <c r="Z10117" s="61">
        <f>_xll.qlYieldTSDiscount($U$35,Y10117,,Trigger)</f>
        <v>0.62779105759765996</v>
      </c>
    </row>
    <row r="10118" spans="25:26" x14ac:dyDescent="0.25">
      <c r="Y10118" s="63">
        <v>52651</v>
      </c>
      <c r="Z10118" s="61">
        <f>_xll.qlYieldTSDiscount($U$35,Y10118,,Trigger)</f>
        <v>0.62774714416618249</v>
      </c>
    </row>
    <row r="10119" spans="25:26" x14ac:dyDescent="0.25">
      <c r="Y10119" s="63">
        <v>52652</v>
      </c>
      <c r="Z10119" s="61">
        <f>_xll.qlYieldTSDiscount($U$35,Y10119,,Trigger)</f>
        <v>0.62770323255830363</v>
      </c>
    </row>
    <row r="10120" spans="25:26" x14ac:dyDescent="0.25">
      <c r="Y10120" s="63">
        <v>52653</v>
      </c>
      <c r="Z10120" s="61">
        <f>_xll.qlYieldTSDiscount($U$35,Y10120,,Trigger)</f>
        <v>0.62765932277653724</v>
      </c>
    </row>
    <row r="10121" spans="25:26" x14ac:dyDescent="0.25">
      <c r="Y10121" s="63">
        <v>52654</v>
      </c>
      <c r="Z10121" s="61">
        <f>_xll.qlYieldTSDiscount($U$35,Y10121,,Trigger)</f>
        <v>0.62761541482339667</v>
      </c>
    </row>
    <row r="10122" spans="25:26" x14ac:dyDescent="0.25">
      <c r="Y10122" s="63">
        <v>52655</v>
      </c>
      <c r="Z10122" s="61">
        <f>_xll.qlYieldTSDiscount($U$35,Y10122,,Trigger)</f>
        <v>0.62757150870139555</v>
      </c>
    </row>
    <row r="10123" spans="25:26" x14ac:dyDescent="0.25">
      <c r="Y10123" s="63">
        <v>52656</v>
      </c>
      <c r="Z10123" s="61">
        <f>_xll.qlYieldTSDiscount($U$35,Y10123,,Trigger)</f>
        <v>0.62752760441304756</v>
      </c>
    </row>
    <row r="10124" spans="25:26" x14ac:dyDescent="0.25">
      <c r="Y10124" s="63">
        <v>52657</v>
      </c>
      <c r="Z10124" s="61">
        <f>_xll.qlYieldTSDiscount($U$35,Y10124,,Trigger)</f>
        <v>0.627483701960866</v>
      </c>
    </row>
    <row r="10125" spans="25:26" x14ac:dyDescent="0.25">
      <c r="Y10125" s="63">
        <v>52658</v>
      </c>
      <c r="Z10125" s="61">
        <f>_xll.qlYieldTSDiscount($U$35,Y10125,,Trigger)</f>
        <v>0.62743980134736455</v>
      </c>
    </row>
    <row r="10126" spans="25:26" x14ac:dyDescent="0.25">
      <c r="Y10126" s="63">
        <v>52659</v>
      </c>
      <c r="Z10126" s="61">
        <f>_xll.qlYieldTSDiscount($U$35,Y10126,,Trigger)</f>
        <v>0.62739590257505684</v>
      </c>
    </row>
    <row r="10127" spans="25:26" x14ac:dyDescent="0.25">
      <c r="Y10127" s="63">
        <v>52660</v>
      </c>
      <c r="Z10127" s="61">
        <f>_xll.qlYieldTSDiscount($U$35,Y10127,,Trigger)</f>
        <v>0.62735200564645621</v>
      </c>
    </row>
    <row r="10128" spans="25:26" x14ac:dyDescent="0.25">
      <c r="Y10128" s="63">
        <v>52661</v>
      </c>
      <c r="Z10128" s="61">
        <f>_xll.qlYieldTSDiscount($U$35,Y10128,,Trigger)</f>
        <v>0.62730811056407643</v>
      </c>
    </row>
    <row r="10129" spans="25:26" x14ac:dyDescent="0.25">
      <c r="Y10129" s="63">
        <v>52662</v>
      </c>
      <c r="Z10129" s="61">
        <f>_xll.qlYieldTSDiscount($U$35,Y10129,,Trigger)</f>
        <v>0.62726421733043092</v>
      </c>
    </row>
    <row r="10130" spans="25:26" x14ac:dyDescent="0.25">
      <c r="Y10130" s="63">
        <v>52663</v>
      </c>
      <c r="Z10130" s="61">
        <f>_xll.qlYieldTSDiscount($U$35,Y10130,,Trigger)</f>
        <v>0.62722032594803334</v>
      </c>
    </row>
    <row r="10131" spans="25:26" x14ac:dyDescent="0.25">
      <c r="Y10131" s="63">
        <v>52664</v>
      </c>
      <c r="Z10131" s="61">
        <f>_xll.qlYieldTSDiscount($U$35,Y10131,,Trigger)</f>
        <v>0.62717643641939713</v>
      </c>
    </row>
    <row r="10132" spans="25:26" x14ac:dyDescent="0.25">
      <c r="Y10132" s="63">
        <v>52665</v>
      </c>
      <c r="Z10132" s="61">
        <f>_xll.qlYieldTSDiscount($U$35,Y10132,,Trigger)</f>
        <v>0.62713254874703583</v>
      </c>
    </row>
    <row r="10133" spans="25:26" x14ac:dyDescent="0.25">
      <c r="Y10133" s="63">
        <v>52666</v>
      </c>
      <c r="Z10133" s="61">
        <f>_xll.qlYieldTSDiscount($U$35,Y10133,,Trigger)</f>
        <v>0.6270886629334631</v>
      </c>
    </row>
    <row r="10134" spans="25:26" x14ac:dyDescent="0.25">
      <c r="Y10134" s="63">
        <v>52667</v>
      </c>
      <c r="Z10134" s="61">
        <f>_xll.qlYieldTSDiscount($U$35,Y10134,,Trigger)</f>
        <v>0.62704477898119249</v>
      </c>
    </row>
    <row r="10135" spans="25:26" x14ac:dyDescent="0.25">
      <c r="Y10135" s="63">
        <v>52668</v>
      </c>
      <c r="Z10135" s="61">
        <f>_xll.qlYieldTSDiscount($U$35,Y10135,,Trigger)</f>
        <v>0.62700089689273741</v>
      </c>
    </row>
    <row r="10136" spans="25:26" x14ac:dyDescent="0.25">
      <c r="Y10136" s="63">
        <v>52669</v>
      </c>
      <c r="Z10136" s="61">
        <f>_xll.qlYieldTSDiscount($U$35,Y10136,,Trigger)</f>
        <v>0.62695701667061143</v>
      </c>
    </row>
    <row r="10137" spans="25:26" x14ac:dyDescent="0.25">
      <c r="Y10137" s="63">
        <v>52670</v>
      </c>
      <c r="Z10137" s="61">
        <f>_xll.qlYieldTSDiscount($U$35,Y10137,,Trigger)</f>
        <v>0.62691313831732831</v>
      </c>
    </row>
    <row r="10138" spans="25:26" x14ac:dyDescent="0.25">
      <c r="Y10138" s="63">
        <v>52671</v>
      </c>
      <c r="Z10138" s="61">
        <f>_xll.qlYieldTSDiscount($U$35,Y10138,,Trigger)</f>
        <v>0.62686926183540137</v>
      </c>
    </row>
    <row r="10139" spans="25:26" x14ac:dyDescent="0.25">
      <c r="Y10139" s="63">
        <v>52672</v>
      </c>
      <c r="Z10139" s="61">
        <f>_xll.qlYieldTSDiscount($U$35,Y10139,,Trigger)</f>
        <v>0.62682538722734438</v>
      </c>
    </row>
    <row r="10140" spans="25:26" x14ac:dyDescent="0.25">
      <c r="Y10140" s="63">
        <v>52673</v>
      </c>
      <c r="Z10140" s="61">
        <f>_xll.qlYieldTSDiscount($U$35,Y10140,,Trigger)</f>
        <v>0.62678151449567066</v>
      </c>
    </row>
    <row r="10141" spans="25:26" x14ac:dyDescent="0.25">
      <c r="Y10141" s="63">
        <v>52674</v>
      </c>
      <c r="Z10141" s="61">
        <f>_xll.qlYieldTSDiscount($U$35,Y10141,,Trigger)</f>
        <v>0.62673764364289386</v>
      </c>
    </row>
    <row r="10142" spans="25:26" x14ac:dyDescent="0.25">
      <c r="Y10142" s="63">
        <v>52675</v>
      </c>
      <c r="Z10142" s="61">
        <f>_xll.qlYieldTSDiscount($U$35,Y10142,,Trigger)</f>
        <v>0.62669377467152754</v>
      </c>
    </row>
    <row r="10143" spans="25:26" x14ac:dyDescent="0.25">
      <c r="Y10143" s="63">
        <v>52676</v>
      </c>
      <c r="Z10143" s="61">
        <f>_xll.qlYieldTSDiscount($U$35,Y10143,,Trigger)</f>
        <v>0.62664990758408523</v>
      </c>
    </row>
    <row r="10144" spans="25:26" x14ac:dyDescent="0.25">
      <c r="Y10144" s="63">
        <v>52677</v>
      </c>
      <c r="Z10144" s="61">
        <f>_xll.qlYieldTSDiscount($U$35,Y10144,,Trigger)</f>
        <v>0.6266060423830806</v>
      </c>
    </row>
    <row r="10145" spans="25:26" x14ac:dyDescent="0.25">
      <c r="Y10145" s="63">
        <v>52678</v>
      </c>
      <c r="Z10145" s="61">
        <f>_xll.qlYieldTSDiscount($U$35,Y10145,,Trigger)</f>
        <v>0.62656217907102696</v>
      </c>
    </row>
    <row r="10146" spans="25:26" x14ac:dyDescent="0.25">
      <c r="Y10146" s="63">
        <v>52679</v>
      </c>
      <c r="Z10146" s="61">
        <f>_xll.qlYieldTSDiscount($U$35,Y10146,,Trigger)</f>
        <v>0.62651831765043819</v>
      </c>
    </row>
    <row r="10147" spans="25:26" x14ac:dyDescent="0.25">
      <c r="Y10147" s="63">
        <v>52680</v>
      </c>
      <c r="Z10147" s="61">
        <f>_xll.qlYieldTSDiscount($U$35,Y10147,,Trigger)</f>
        <v>0.62647445812382752</v>
      </c>
    </row>
    <row r="10148" spans="25:26" x14ac:dyDescent="0.25">
      <c r="Y10148" s="63">
        <v>52681</v>
      </c>
      <c r="Z10148" s="61">
        <f>_xll.qlYieldTSDiscount($U$35,Y10148,,Trigger)</f>
        <v>0.62643060049370858</v>
      </c>
    </row>
    <row r="10149" spans="25:26" x14ac:dyDescent="0.25">
      <c r="Y10149" s="63">
        <v>52682</v>
      </c>
      <c r="Z10149" s="61">
        <f>_xll.qlYieldTSDiscount($U$35,Y10149,,Trigger)</f>
        <v>0.62638674476259515</v>
      </c>
    </row>
    <row r="10150" spans="25:26" x14ac:dyDescent="0.25">
      <c r="Y10150" s="63">
        <v>52683</v>
      </c>
      <c r="Z10150" s="61">
        <f>_xll.qlYieldTSDiscount($U$35,Y10150,,Trigger)</f>
        <v>0.62634289093300055</v>
      </c>
    </row>
    <row r="10151" spans="25:26" x14ac:dyDescent="0.25">
      <c r="Y10151" s="63">
        <v>52684</v>
      </c>
      <c r="Z10151" s="61">
        <f>_xll.qlYieldTSDiscount($U$35,Y10151,,Trigger)</f>
        <v>0.62629903900743833</v>
      </c>
    </row>
    <row r="10152" spans="25:26" x14ac:dyDescent="0.25">
      <c r="Y10152" s="63">
        <v>52685</v>
      </c>
      <c r="Z10152" s="61">
        <f>_xll.qlYieldTSDiscount($U$35,Y10152,,Trigger)</f>
        <v>0.62625518898842203</v>
      </c>
    </row>
    <row r="10153" spans="25:26" x14ac:dyDescent="0.25">
      <c r="Y10153" s="63">
        <v>52686</v>
      </c>
      <c r="Z10153" s="61">
        <f>_xll.qlYieldTSDiscount($U$35,Y10153,,Trigger)</f>
        <v>0.62621134087846542</v>
      </c>
    </row>
    <row r="10154" spans="25:26" x14ac:dyDescent="0.25">
      <c r="Y10154" s="63">
        <v>52687</v>
      </c>
      <c r="Z10154" s="61">
        <f>_xll.qlYieldTSDiscount($U$35,Y10154,,Trigger)</f>
        <v>0.62616749468008182</v>
      </c>
    </row>
    <row r="10155" spans="25:26" x14ac:dyDescent="0.25">
      <c r="Y10155" s="63">
        <v>52688</v>
      </c>
      <c r="Z10155" s="61">
        <f>_xll.qlYieldTSDiscount($U$35,Y10155,,Trigger)</f>
        <v>0.62612365039578488</v>
      </c>
    </row>
    <row r="10156" spans="25:26" x14ac:dyDescent="0.25">
      <c r="Y10156" s="63">
        <v>52689</v>
      </c>
      <c r="Z10156" s="61">
        <f>_xll.qlYieldTSDiscount($U$35,Y10156,,Trigger)</f>
        <v>0.62607980802808816</v>
      </c>
    </row>
    <row r="10157" spans="25:26" x14ac:dyDescent="0.25">
      <c r="Y10157" s="63">
        <v>52690</v>
      </c>
      <c r="Z10157" s="61">
        <f>_xll.qlYieldTSDiscount($U$35,Y10157,,Trigger)</f>
        <v>0.62603596757950519</v>
      </c>
    </row>
    <row r="10158" spans="25:26" x14ac:dyDescent="0.25">
      <c r="Y10158" s="63">
        <v>52691</v>
      </c>
      <c r="Z10158" s="61">
        <f>_xll.qlYieldTSDiscount($U$35,Y10158,,Trigger)</f>
        <v>0.62599212905254942</v>
      </c>
    </row>
    <row r="10159" spans="25:26" x14ac:dyDescent="0.25">
      <c r="Y10159" s="63">
        <v>52692</v>
      </c>
      <c r="Z10159" s="61">
        <f>_xll.qlYieldTSDiscount($U$35,Y10159,,Trigger)</f>
        <v>0.6259482924497346</v>
      </c>
    </row>
    <row r="10160" spans="25:26" x14ac:dyDescent="0.25">
      <c r="Y10160" s="63">
        <v>52693</v>
      </c>
      <c r="Z10160" s="61">
        <f>_xll.qlYieldTSDiscount($U$35,Y10160,,Trigger)</f>
        <v>0.62590445777357417</v>
      </c>
    </row>
    <row r="10161" spans="25:26" x14ac:dyDescent="0.25">
      <c r="Y10161" s="63">
        <v>52694</v>
      </c>
      <c r="Z10161" s="61">
        <f>_xll.qlYieldTSDiscount($U$35,Y10161,,Trigger)</f>
        <v>0.62586062502658157</v>
      </c>
    </row>
    <row r="10162" spans="25:26" x14ac:dyDescent="0.25">
      <c r="Y10162" s="63">
        <v>52695</v>
      </c>
      <c r="Z10162" s="61">
        <f>_xll.qlYieldTSDiscount($U$35,Y10162,,Trigger)</f>
        <v>0.62581679421127068</v>
      </c>
    </row>
    <row r="10163" spans="25:26" x14ac:dyDescent="0.25">
      <c r="Y10163" s="63">
        <v>52696</v>
      </c>
      <c r="Z10163" s="61">
        <f>_xll.qlYieldTSDiscount($U$35,Y10163,,Trigger)</f>
        <v>0.6257729653301547</v>
      </c>
    </row>
    <row r="10164" spans="25:26" x14ac:dyDescent="0.25">
      <c r="Y10164" s="63">
        <v>52697</v>
      </c>
      <c r="Z10164" s="61">
        <f>_xll.qlYieldTSDiscount($U$35,Y10164,,Trigger)</f>
        <v>0.62572913838574729</v>
      </c>
    </row>
    <row r="10165" spans="25:26" x14ac:dyDescent="0.25">
      <c r="Y10165" s="63">
        <v>52698</v>
      </c>
      <c r="Z10165" s="61">
        <f>_xll.qlYieldTSDiscount($U$35,Y10165,,Trigger)</f>
        <v>0.62568531338056221</v>
      </c>
    </row>
    <row r="10166" spans="25:26" x14ac:dyDescent="0.25">
      <c r="Y10166" s="63">
        <v>52699</v>
      </c>
      <c r="Z10166" s="61">
        <f>_xll.qlYieldTSDiscount($U$35,Y10166,,Trigger)</f>
        <v>0.62564149031711258</v>
      </c>
    </row>
    <row r="10167" spans="25:26" x14ac:dyDescent="0.25">
      <c r="Y10167" s="63">
        <v>52700</v>
      </c>
      <c r="Z10167" s="61">
        <f>_xll.qlYieldTSDiscount($U$35,Y10167,,Trigger)</f>
        <v>0.62559766919791249</v>
      </c>
    </row>
    <row r="10168" spans="25:26" x14ac:dyDescent="0.25">
      <c r="Y10168" s="63">
        <v>52701</v>
      </c>
      <c r="Z10168" s="61">
        <f>_xll.qlYieldTSDiscount($U$35,Y10168,,Trigger)</f>
        <v>0.62555385002547503</v>
      </c>
    </row>
    <row r="10169" spans="25:26" x14ac:dyDescent="0.25">
      <c r="Y10169" s="63">
        <v>52702</v>
      </c>
      <c r="Z10169" s="61">
        <f>_xll.qlYieldTSDiscount($U$35,Y10169,,Trigger)</f>
        <v>0.62551003280231399</v>
      </c>
    </row>
    <row r="10170" spans="25:26" x14ac:dyDescent="0.25">
      <c r="Y10170" s="63">
        <v>52703</v>
      </c>
      <c r="Z10170" s="61">
        <f>_xll.qlYieldTSDiscount($U$35,Y10170,,Trigger)</f>
        <v>0.62546621753094289</v>
      </c>
    </row>
    <row r="10171" spans="25:26" x14ac:dyDescent="0.25">
      <c r="Y10171" s="63">
        <v>52704</v>
      </c>
      <c r="Z10171" s="61">
        <f>_xll.qlYieldTSDiscount($U$35,Y10171,,Trigger)</f>
        <v>0.62542240421387518</v>
      </c>
    </row>
    <row r="10172" spans="25:26" x14ac:dyDescent="0.25">
      <c r="Y10172" s="63">
        <v>52705</v>
      </c>
      <c r="Z10172" s="61">
        <f>_xll.qlYieldTSDiscount($U$35,Y10172,,Trigger)</f>
        <v>0.62537859285362452</v>
      </c>
    </row>
    <row r="10173" spans="25:26" x14ac:dyDescent="0.25">
      <c r="Y10173" s="63">
        <v>52706</v>
      </c>
      <c r="Z10173" s="61">
        <f>_xll.qlYieldTSDiscount($U$35,Y10173,,Trigger)</f>
        <v>0.62533478345270443</v>
      </c>
    </row>
    <row r="10174" spans="25:26" x14ac:dyDescent="0.25">
      <c r="Y10174" s="63">
        <v>52707</v>
      </c>
      <c r="Z10174" s="61">
        <f>_xll.qlYieldTSDiscount($U$35,Y10174,,Trigger)</f>
        <v>0.62529097601362837</v>
      </c>
    </row>
    <row r="10175" spans="25:26" x14ac:dyDescent="0.25">
      <c r="Y10175" s="63">
        <v>52708</v>
      </c>
      <c r="Z10175" s="61">
        <f>_xll.qlYieldTSDiscount($U$35,Y10175,,Trigger)</f>
        <v>0.6252471705389101</v>
      </c>
    </row>
    <row r="10176" spans="25:26" x14ac:dyDescent="0.25">
      <c r="Y10176" s="63">
        <v>52709</v>
      </c>
      <c r="Z10176" s="61">
        <f>_xll.qlYieldTSDiscount($U$35,Y10176,,Trigger)</f>
        <v>0.62520336703106305</v>
      </c>
    </row>
    <row r="10177" spans="25:26" x14ac:dyDescent="0.25">
      <c r="Y10177" s="63">
        <v>52710</v>
      </c>
      <c r="Z10177" s="61">
        <f>_xll.qlYieldTSDiscount($U$35,Y10177,,Trigger)</f>
        <v>0.62515956549260066</v>
      </c>
    </row>
    <row r="10178" spans="25:26" x14ac:dyDescent="0.25">
      <c r="Y10178" s="63">
        <v>52711</v>
      </c>
      <c r="Z10178" s="61">
        <f>_xll.qlYieldTSDiscount($U$35,Y10178,,Trigger)</f>
        <v>0.62511576592603668</v>
      </c>
    </row>
    <row r="10179" spans="25:26" x14ac:dyDescent="0.25">
      <c r="Y10179" s="63">
        <v>52712</v>
      </c>
      <c r="Z10179" s="61">
        <f>_xll.qlYieldTSDiscount($U$35,Y10179,,Trigger)</f>
        <v>0.62507196833388456</v>
      </c>
    </row>
    <row r="10180" spans="25:26" x14ac:dyDescent="0.25">
      <c r="Y10180" s="63">
        <v>52713</v>
      </c>
      <c r="Z10180" s="61">
        <f>_xll.qlYieldTSDiscount($U$35,Y10180,,Trigger)</f>
        <v>0.62502817271865785</v>
      </c>
    </row>
    <row r="10181" spans="25:26" x14ac:dyDescent="0.25">
      <c r="Y10181" s="63">
        <v>52714</v>
      </c>
      <c r="Z10181" s="61">
        <f>_xll.qlYieldTSDiscount($U$35,Y10181,,Trigger)</f>
        <v>0.62498437908287019</v>
      </c>
    </row>
    <row r="10182" spans="25:26" x14ac:dyDescent="0.25">
      <c r="Y10182" s="63">
        <v>52715</v>
      </c>
      <c r="Z10182" s="61">
        <f>_xll.qlYieldTSDiscount($U$35,Y10182,,Trigger)</f>
        <v>0.62494058742903502</v>
      </c>
    </row>
    <row r="10183" spans="25:26" x14ac:dyDescent="0.25">
      <c r="Y10183" s="63">
        <v>52716</v>
      </c>
      <c r="Z10183" s="61">
        <f>_xll.qlYieldTSDiscount($U$35,Y10183,,Trigger)</f>
        <v>0.62489679775966589</v>
      </c>
    </row>
    <row r="10184" spans="25:26" x14ac:dyDescent="0.25">
      <c r="Y10184" s="63">
        <v>52717</v>
      </c>
      <c r="Z10184" s="61">
        <f>_xll.qlYieldTSDiscount($U$35,Y10184,,Trigger)</f>
        <v>0.62485301007727645</v>
      </c>
    </row>
    <row r="10185" spans="25:26" x14ac:dyDescent="0.25">
      <c r="Y10185" s="63">
        <v>52718</v>
      </c>
      <c r="Z10185" s="61">
        <f>_xll.qlYieldTSDiscount($U$35,Y10185,,Trigger)</f>
        <v>0.62480922438438002</v>
      </c>
    </row>
    <row r="10186" spans="25:26" x14ac:dyDescent="0.25">
      <c r="Y10186" s="63">
        <v>52719</v>
      </c>
      <c r="Z10186" s="61">
        <f>_xll.qlYieldTSDiscount($U$35,Y10186,,Trigger)</f>
        <v>0.62476544068349049</v>
      </c>
    </row>
    <row r="10187" spans="25:26" x14ac:dyDescent="0.25">
      <c r="Y10187" s="63">
        <v>52720</v>
      </c>
      <c r="Z10187" s="61">
        <f>_xll.qlYieldTSDiscount($U$35,Y10187,,Trigger)</f>
        <v>0.62472165897712129</v>
      </c>
    </row>
    <row r="10188" spans="25:26" x14ac:dyDescent="0.25">
      <c r="Y10188" s="63">
        <v>52721</v>
      </c>
      <c r="Z10188" s="61">
        <f>_xll.qlYieldTSDiscount($U$35,Y10188,,Trigger)</f>
        <v>0.62467787926778573</v>
      </c>
    </row>
    <row r="10189" spans="25:26" x14ac:dyDescent="0.25">
      <c r="Y10189" s="63">
        <v>52722</v>
      </c>
      <c r="Z10189" s="61">
        <f>_xll.qlYieldTSDiscount($U$35,Y10189,,Trigger)</f>
        <v>0.6246341015579977</v>
      </c>
    </row>
    <row r="10190" spans="25:26" x14ac:dyDescent="0.25">
      <c r="Y10190" s="63">
        <v>52723</v>
      </c>
      <c r="Z10190" s="61">
        <f>_xll.qlYieldTSDiscount($U$35,Y10190,,Trigger)</f>
        <v>0.62459032585027052</v>
      </c>
    </row>
    <row r="10191" spans="25:26" x14ac:dyDescent="0.25">
      <c r="Y10191" s="63">
        <v>52724</v>
      </c>
      <c r="Z10191" s="61">
        <f>_xll.qlYieldTSDiscount($U$35,Y10191,,Trigger)</f>
        <v>0.62454655214711796</v>
      </c>
    </row>
    <row r="10192" spans="25:26" x14ac:dyDescent="0.25">
      <c r="Y10192" s="63">
        <v>52725</v>
      </c>
      <c r="Z10192" s="61">
        <f>_xll.qlYieldTSDiscount($U$35,Y10192,,Trigger)</f>
        <v>0.62450278045105334</v>
      </c>
    </row>
    <row r="10193" spans="25:26" x14ac:dyDescent="0.25">
      <c r="Y10193" s="63">
        <v>52726</v>
      </c>
      <c r="Z10193" s="61">
        <f>_xll.qlYieldTSDiscount($U$35,Y10193,,Trigger)</f>
        <v>0.62445901076459032</v>
      </c>
    </row>
    <row r="10194" spans="25:26" x14ac:dyDescent="0.25">
      <c r="Y10194" s="63">
        <v>52727</v>
      </c>
      <c r="Z10194" s="61">
        <f>_xll.qlYieldTSDiscount($U$35,Y10194,,Trigger)</f>
        <v>0.62441524309024243</v>
      </c>
    </row>
    <row r="10195" spans="25:26" x14ac:dyDescent="0.25">
      <c r="Y10195" s="63">
        <v>52728</v>
      </c>
      <c r="Z10195" s="61">
        <f>_xll.qlYieldTSDiscount($U$35,Y10195,,Trigger)</f>
        <v>0.62437147743052335</v>
      </c>
    </row>
    <row r="10196" spans="25:26" x14ac:dyDescent="0.25">
      <c r="Y10196" s="63">
        <v>52729</v>
      </c>
      <c r="Z10196" s="61">
        <f>_xll.qlYieldTSDiscount($U$35,Y10196,,Trigger)</f>
        <v>0.62432771378794638</v>
      </c>
    </row>
    <row r="10197" spans="25:26" x14ac:dyDescent="0.25">
      <c r="Y10197" s="63">
        <v>52730</v>
      </c>
      <c r="Z10197" s="61">
        <f>_xll.qlYieldTSDiscount($U$35,Y10197,,Trigger)</f>
        <v>0.6242839521650253</v>
      </c>
    </row>
    <row r="10198" spans="25:26" x14ac:dyDescent="0.25">
      <c r="Y10198" s="63">
        <v>52731</v>
      </c>
      <c r="Z10198" s="61">
        <f>_xll.qlYieldTSDiscount($U$35,Y10198,,Trigger)</f>
        <v>0.62424019256427343</v>
      </c>
    </row>
    <row r="10199" spans="25:26" x14ac:dyDescent="0.25">
      <c r="Y10199" s="63">
        <v>52732</v>
      </c>
      <c r="Z10199" s="61">
        <f>_xll.qlYieldTSDiscount($U$35,Y10199,,Trigger)</f>
        <v>0.62419643498820454</v>
      </c>
    </row>
    <row r="10200" spans="25:26" x14ac:dyDescent="0.25">
      <c r="Y10200" s="63">
        <v>52733</v>
      </c>
      <c r="Z10200" s="61">
        <f>_xll.qlYieldTSDiscount($U$35,Y10200,,Trigger)</f>
        <v>0.62415267943933217</v>
      </c>
    </row>
    <row r="10201" spans="25:26" x14ac:dyDescent="0.25">
      <c r="Y10201" s="63">
        <v>52734</v>
      </c>
      <c r="Z10201" s="61">
        <f>_xll.qlYieldTSDiscount($U$35,Y10201,,Trigger)</f>
        <v>0.62410892592016975</v>
      </c>
    </row>
    <row r="10202" spans="25:26" x14ac:dyDescent="0.25">
      <c r="Y10202" s="63">
        <v>52735</v>
      </c>
      <c r="Z10202" s="61">
        <f>_xll.qlYieldTSDiscount($U$35,Y10202,,Trigger)</f>
        <v>0.62406517443323084</v>
      </c>
    </row>
    <row r="10203" spans="25:26" x14ac:dyDescent="0.25">
      <c r="Y10203" s="63">
        <v>52736</v>
      </c>
      <c r="Z10203" s="61">
        <f>_xll.qlYieldTSDiscount($U$35,Y10203,,Trigger)</f>
        <v>0.62402142498102908</v>
      </c>
    </row>
    <row r="10204" spans="25:26" x14ac:dyDescent="0.25">
      <c r="Y10204" s="63">
        <v>52737</v>
      </c>
      <c r="Z10204" s="61">
        <f>_xll.qlYieldTSDiscount($U$35,Y10204,,Trigger)</f>
        <v>0.62397767756607792</v>
      </c>
    </row>
    <row r="10205" spans="25:26" x14ac:dyDescent="0.25">
      <c r="Y10205" s="63">
        <v>52738</v>
      </c>
      <c r="Z10205" s="61">
        <f>_xll.qlYieldTSDiscount($U$35,Y10205,,Trigger)</f>
        <v>0.62393393219089111</v>
      </c>
    </row>
    <row r="10206" spans="25:26" x14ac:dyDescent="0.25">
      <c r="Y10206" s="63">
        <v>52739</v>
      </c>
      <c r="Z10206" s="61">
        <f>_xll.qlYieldTSDiscount($U$35,Y10206,,Trigger)</f>
        <v>0.62389018885798186</v>
      </c>
    </row>
    <row r="10207" spans="25:26" x14ac:dyDescent="0.25">
      <c r="Y10207" s="63">
        <v>52740</v>
      </c>
      <c r="Z10207" s="61">
        <f>_xll.qlYieldTSDiscount($U$35,Y10207,,Trigger)</f>
        <v>0.62384644756986407</v>
      </c>
    </row>
    <row r="10208" spans="25:26" x14ac:dyDescent="0.25">
      <c r="Y10208" s="63">
        <v>52741</v>
      </c>
      <c r="Z10208" s="61">
        <f>_xll.qlYieldTSDiscount($U$35,Y10208,,Trigger)</f>
        <v>0.62380270832905116</v>
      </c>
    </row>
    <row r="10209" spans="25:26" x14ac:dyDescent="0.25">
      <c r="Y10209" s="63">
        <v>52742</v>
      </c>
      <c r="Z10209" s="61">
        <f>_xll.qlYieldTSDiscount($U$35,Y10209,,Trigger)</f>
        <v>0.62375897113805645</v>
      </c>
    </row>
    <row r="10210" spans="25:26" x14ac:dyDescent="0.25">
      <c r="Y10210" s="63">
        <v>52743</v>
      </c>
      <c r="Z10210" s="61">
        <f>_xll.qlYieldTSDiscount($U$35,Y10210,,Trigger)</f>
        <v>0.62371523599939394</v>
      </c>
    </row>
    <row r="10211" spans="25:26" x14ac:dyDescent="0.25">
      <c r="Y10211" s="63">
        <v>52744</v>
      </c>
      <c r="Z10211" s="61">
        <f>_xll.qlYieldTSDiscount($U$35,Y10211,,Trigger)</f>
        <v>0.62367150291557683</v>
      </c>
    </row>
    <row r="10212" spans="25:26" x14ac:dyDescent="0.25">
      <c r="Y10212" s="63">
        <v>52745</v>
      </c>
      <c r="Z10212" s="61">
        <f>_xll.qlYieldTSDiscount($U$35,Y10212,,Trigger)</f>
        <v>0.62362777188911878</v>
      </c>
    </row>
    <row r="10213" spans="25:26" x14ac:dyDescent="0.25">
      <c r="Y10213" s="63">
        <v>52746</v>
      </c>
      <c r="Z10213" s="61">
        <f>_xll.qlYieldTSDiscount($U$35,Y10213,,Trigger)</f>
        <v>0.62358404292253344</v>
      </c>
    </row>
    <row r="10214" spans="25:26" x14ac:dyDescent="0.25">
      <c r="Y10214" s="63">
        <v>52747</v>
      </c>
      <c r="Z10214" s="61">
        <f>_xll.qlYieldTSDiscount($U$35,Y10214,,Trigger)</f>
        <v>0.62354031601833415</v>
      </c>
    </row>
    <row r="10215" spans="25:26" x14ac:dyDescent="0.25">
      <c r="Y10215" s="63">
        <v>52748</v>
      </c>
      <c r="Z10215" s="61">
        <f>_xll.qlYieldTSDiscount($U$35,Y10215,,Trigger)</f>
        <v>0.62349659117903466</v>
      </c>
    </row>
    <row r="10216" spans="25:26" x14ac:dyDescent="0.25">
      <c r="Y10216" s="63">
        <v>52749</v>
      </c>
      <c r="Z10216" s="61">
        <f>_xll.qlYieldTSDiscount($U$35,Y10216,,Trigger)</f>
        <v>0.62345286840714842</v>
      </c>
    </row>
    <row r="10217" spans="25:26" x14ac:dyDescent="0.25">
      <c r="Y10217" s="63">
        <v>52750</v>
      </c>
      <c r="Z10217" s="61">
        <f>_xll.qlYieldTSDiscount($U$35,Y10217,,Trigger)</f>
        <v>0.62340914770518896</v>
      </c>
    </row>
    <row r="10218" spans="25:26" x14ac:dyDescent="0.25">
      <c r="Y10218" s="63">
        <v>52751</v>
      </c>
      <c r="Z10218" s="61">
        <f>_xll.qlYieldTSDiscount($U$35,Y10218,,Trigger)</f>
        <v>0.62336542907566994</v>
      </c>
    </row>
    <row r="10219" spans="25:26" x14ac:dyDescent="0.25">
      <c r="Y10219" s="63">
        <v>52752</v>
      </c>
      <c r="Z10219" s="61">
        <f>_xll.qlYieldTSDiscount($U$35,Y10219,,Trigger)</f>
        <v>0.6233217125211048</v>
      </c>
    </row>
    <row r="10220" spans="25:26" x14ac:dyDescent="0.25">
      <c r="Y10220" s="63">
        <v>52753</v>
      </c>
      <c r="Z10220" s="61">
        <f>_xll.qlYieldTSDiscount($U$35,Y10220,,Trigger)</f>
        <v>0.62327799804400708</v>
      </c>
    </row>
    <row r="10221" spans="25:26" x14ac:dyDescent="0.25">
      <c r="Y10221" s="63">
        <v>52754</v>
      </c>
      <c r="Z10221" s="61">
        <f>_xll.qlYieldTSDiscount($U$35,Y10221,,Trigger)</f>
        <v>0.62323428564689054</v>
      </c>
    </row>
    <row r="10222" spans="25:26" x14ac:dyDescent="0.25">
      <c r="Y10222" s="63">
        <v>52755</v>
      </c>
      <c r="Z10222" s="61">
        <f>_xll.qlYieldTSDiscount($U$35,Y10222,,Trigger)</f>
        <v>0.6231905753322684</v>
      </c>
    </row>
    <row r="10223" spans="25:26" x14ac:dyDescent="0.25">
      <c r="Y10223" s="63">
        <v>52756</v>
      </c>
      <c r="Z10223" s="61">
        <f>_xll.qlYieldTSDiscount($U$35,Y10223,,Trigger)</f>
        <v>0.62314686710265454</v>
      </c>
    </row>
    <row r="10224" spans="25:26" x14ac:dyDescent="0.25">
      <c r="Y10224" s="63">
        <v>52757</v>
      </c>
      <c r="Z10224" s="61">
        <f>_xll.qlYieldTSDiscount($U$35,Y10224,,Trigger)</f>
        <v>0.62310316096056229</v>
      </c>
    </row>
    <row r="10225" spans="25:26" x14ac:dyDescent="0.25">
      <c r="Y10225" s="63">
        <v>52758</v>
      </c>
      <c r="Z10225" s="61">
        <f>_xll.qlYieldTSDiscount($U$35,Y10225,,Trigger)</f>
        <v>0.62305945690850528</v>
      </c>
    </row>
    <row r="10226" spans="25:26" x14ac:dyDescent="0.25">
      <c r="Y10226" s="63">
        <v>52759</v>
      </c>
      <c r="Z10226" s="61">
        <f>_xll.qlYieldTSDiscount($U$35,Y10226,,Trigger)</f>
        <v>0.62301575494899708</v>
      </c>
    </row>
    <row r="10227" spans="25:26" x14ac:dyDescent="0.25">
      <c r="Y10227" s="63">
        <v>52760</v>
      </c>
      <c r="Z10227" s="61">
        <f>_xll.qlYieldTSDiscount($U$35,Y10227,,Trigger)</f>
        <v>0.62297205508455122</v>
      </c>
    </row>
    <row r="10228" spans="25:26" x14ac:dyDescent="0.25">
      <c r="Y10228" s="63">
        <v>52761</v>
      </c>
      <c r="Z10228" s="61">
        <f>_xll.qlYieldTSDiscount($U$35,Y10228,,Trigger)</f>
        <v>0.62292835731768115</v>
      </c>
    </row>
    <row r="10229" spans="25:26" x14ac:dyDescent="0.25">
      <c r="Y10229" s="63">
        <v>52762</v>
      </c>
      <c r="Z10229" s="61">
        <f>_xll.qlYieldTSDiscount($U$35,Y10229,,Trigger)</f>
        <v>0.62288466165090073</v>
      </c>
    </row>
    <row r="10230" spans="25:26" x14ac:dyDescent="0.25">
      <c r="Y10230" s="63">
        <v>52763</v>
      </c>
      <c r="Z10230" s="61">
        <f>_xll.qlYieldTSDiscount($U$35,Y10230,,Trigger)</f>
        <v>0.62284096808672307</v>
      </c>
    </row>
    <row r="10231" spans="25:26" x14ac:dyDescent="0.25">
      <c r="Y10231" s="63">
        <v>52764</v>
      </c>
      <c r="Z10231" s="61">
        <f>_xll.qlYieldTSDiscount($U$35,Y10231,,Trigger)</f>
        <v>0.62279727662766204</v>
      </c>
    </row>
    <row r="10232" spans="25:26" x14ac:dyDescent="0.25">
      <c r="Y10232" s="63">
        <v>52765</v>
      </c>
      <c r="Z10232" s="61">
        <f>_xll.qlYieldTSDiscount($U$35,Y10232,,Trigger)</f>
        <v>0.62275358727623109</v>
      </c>
    </row>
    <row r="10233" spans="25:26" x14ac:dyDescent="0.25">
      <c r="Y10233" s="63">
        <v>52766</v>
      </c>
      <c r="Z10233" s="61">
        <f>_xll.qlYieldTSDiscount($U$35,Y10233,,Trigger)</f>
        <v>0.62270990003494386</v>
      </c>
    </row>
    <row r="10234" spans="25:26" x14ac:dyDescent="0.25">
      <c r="Y10234" s="63">
        <v>52767</v>
      </c>
      <c r="Z10234" s="61">
        <f>_xll.qlYieldTSDiscount($U$35,Y10234,,Trigger)</f>
        <v>0.62266621490631369</v>
      </c>
    </row>
    <row r="10235" spans="25:26" x14ac:dyDescent="0.25">
      <c r="Y10235" s="63">
        <v>52768</v>
      </c>
      <c r="Z10235" s="61">
        <f>_xll.qlYieldTSDiscount($U$35,Y10235,,Trigger)</f>
        <v>0.62262253189285433</v>
      </c>
    </row>
    <row r="10236" spans="25:26" x14ac:dyDescent="0.25">
      <c r="Y10236" s="63">
        <v>52769</v>
      </c>
      <c r="Z10236" s="61">
        <f>_xll.qlYieldTSDiscount($U$35,Y10236,,Trigger)</f>
        <v>0.62257885099707932</v>
      </c>
    </row>
    <row r="10237" spans="25:26" x14ac:dyDescent="0.25">
      <c r="Y10237" s="63">
        <v>52770</v>
      </c>
      <c r="Z10237" s="61">
        <f>_xll.qlYieldTSDiscount($U$35,Y10237,,Trigger)</f>
        <v>0.62253517222150212</v>
      </c>
    </row>
    <row r="10238" spans="25:26" x14ac:dyDescent="0.25">
      <c r="Y10238" s="63">
        <v>52771</v>
      </c>
      <c r="Z10238" s="61">
        <f>_xll.qlYieldTSDiscount($U$35,Y10238,,Trigger)</f>
        <v>0.62249149556863625</v>
      </c>
    </row>
    <row r="10239" spans="25:26" x14ac:dyDescent="0.25">
      <c r="Y10239" s="63">
        <v>52772</v>
      </c>
      <c r="Z10239" s="61">
        <f>_xll.qlYieldTSDiscount($U$35,Y10239,,Trigger)</f>
        <v>0.62244782104099539</v>
      </c>
    </row>
    <row r="10240" spans="25:26" x14ac:dyDescent="0.25">
      <c r="Y10240" s="63">
        <v>52773</v>
      </c>
      <c r="Z10240" s="61">
        <f>_xll.qlYieldTSDiscount($U$35,Y10240,,Trigger)</f>
        <v>0.62240414864109306</v>
      </c>
    </row>
    <row r="10241" spans="25:26" x14ac:dyDescent="0.25">
      <c r="Y10241" s="63">
        <v>52774</v>
      </c>
      <c r="Z10241" s="61">
        <f>_xll.qlYieldTSDiscount($U$35,Y10241,,Trigger)</f>
        <v>0.6223604783714427</v>
      </c>
    </row>
    <row r="10242" spans="25:26" x14ac:dyDescent="0.25">
      <c r="Y10242" s="63">
        <v>52775</v>
      </c>
      <c r="Z10242" s="61">
        <f>_xll.qlYieldTSDiscount($U$35,Y10242,,Trigger)</f>
        <v>0.62231681023455798</v>
      </c>
    </row>
    <row r="10243" spans="25:26" x14ac:dyDescent="0.25">
      <c r="Y10243" s="63">
        <v>52776</v>
      </c>
      <c r="Z10243" s="61">
        <f>_xll.qlYieldTSDiscount($U$35,Y10243,,Trigger)</f>
        <v>0.62227314423295244</v>
      </c>
    </row>
    <row r="10244" spans="25:26" x14ac:dyDescent="0.25">
      <c r="Y10244" s="63">
        <v>52777</v>
      </c>
      <c r="Z10244" s="61">
        <f>_xll.qlYieldTSDiscount($U$35,Y10244,,Trigger)</f>
        <v>0.62222948036913961</v>
      </c>
    </row>
    <row r="10245" spans="25:26" x14ac:dyDescent="0.25">
      <c r="Y10245" s="63">
        <v>52778</v>
      </c>
      <c r="Z10245" s="61">
        <f>_xll.qlYieldTSDiscount($U$35,Y10245,,Trigger)</f>
        <v>0.62218581864563305</v>
      </c>
    </row>
    <row r="10246" spans="25:26" x14ac:dyDescent="0.25">
      <c r="Y10246" s="63">
        <v>52779</v>
      </c>
      <c r="Z10246" s="61">
        <f>_xll.qlYieldTSDiscount($U$35,Y10246,,Trigger)</f>
        <v>0.6221421590649463</v>
      </c>
    </row>
    <row r="10247" spans="25:26" x14ac:dyDescent="0.25">
      <c r="Y10247" s="63">
        <v>52780</v>
      </c>
      <c r="Z10247" s="61">
        <f>_xll.qlYieldTSDiscount($U$35,Y10247,,Trigger)</f>
        <v>0.62209850162959279</v>
      </c>
    </row>
    <row r="10248" spans="25:26" x14ac:dyDescent="0.25">
      <c r="Y10248" s="63">
        <v>52781</v>
      </c>
      <c r="Z10248" s="61">
        <f>_xll.qlYieldTSDiscount($U$35,Y10248,,Trigger)</f>
        <v>0.6220548463420863</v>
      </c>
    </row>
    <row r="10249" spans="25:26" x14ac:dyDescent="0.25">
      <c r="Y10249" s="63">
        <v>52782</v>
      </c>
      <c r="Z10249" s="61">
        <f>_xll.qlYieldTSDiscount($U$35,Y10249,,Trigger)</f>
        <v>0.62201119320494025</v>
      </c>
    </row>
    <row r="10250" spans="25:26" x14ac:dyDescent="0.25">
      <c r="Y10250" s="63">
        <v>52783</v>
      </c>
      <c r="Z10250" s="61">
        <f>_xll.qlYieldTSDiscount($U$35,Y10250,,Trigger)</f>
        <v>0.6219675422206683</v>
      </c>
    </row>
    <row r="10251" spans="25:26" x14ac:dyDescent="0.25">
      <c r="Y10251" s="63">
        <v>52784</v>
      </c>
      <c r="Z10251" s="61">
        <f>_xll.qlYieldTSDiscount($U$35,Y10251,,Trigger)</f>
        <v>0.62192389339178378</v>
      </c>
    </row>
    <row r="10252" spans="25:26" x14ac:dyDescent="0.25">
      <c r="Y10252" s="63">
        <v>52785</v>
      </c>
      <c r="Z10252" s="61">
        <f>_xll.qlYieldTSDiscount($U$35,Y10252,,Trigger)</f>
        <v>0.62188024672080044</v>
      </c>
    </row>
    <row r="10253" spans="25:26" x14ac:dyDescent="0.25">
      <c r="Y10253" s="63">
        <v>52786</v>
      </c>
      <c r="Z10253" s="61">
        <f>_xll.qlYieldTSDiscount($U$35,Y10253,,Trigger)</f>
        <v>0.62183660221023185</v>
      </c>
    </row>
    <row r="10254" spans="25:26" x14ac:dyDescent="0.25">
      <c r="Y10254" s="63">
        <v>52787</v>
      </c>
      <c r="Z10254" s="61">
        <f>_xll.qlYieldTSDiscount($U$35,Y10254,,Trigger)</f>
        <v>0.62179295986259131</v>
      </c>
    </row>
    <row r="10255" spans="25:26" x14ac:dyDescent="0.25">
      <c r="Y10255" s="63">
        <v>52788</v>
      </c>
      <c r="Z10255" s="61">
        <f>_xll.qlYieldTSDiscount($U$35,Y10255,,Trigger)</f>
        <v>0.62174931968039271</v>
      </c>
    </row>
    <row r="10256" spans="25:26" x14ac:dyDescent="0.25">
      <c r="Y10256" s="63">
        <v>52789</v>
      </c>
      <c r="Z10256" s="61">
        <f>_xll.qlYieldTSDiscount($U$35,Y10256,,Trigger)</f>
        <v>0.62170568166614926</v>
      </c>
    </row>
    <row r="10257" spans="25:26" x14ac:dyDescent="0.25">
      <c r="Y10257" s="63">
        <v>52790</v>
      </c>
      <c r="Z10257" s="61">
        <f>_xll.qlYieldTSDiscount($U$35,Y10257,,Trigger)</f>
        <v>0.62166204582237472</v>
      </c>
    </row>
    <row r="10258" spans="25:26" x14ac:dyDescent="0.25">
      <c r="Y10258" s="63">
        <v>52791</v>
      </c>
      <c r="Z10258" s="61">
        <f>_xll.qlYieldTSDiscount($U$35,Y10258,,Trigger)</f>
        <v>0.62161841215158276</v>
      </c>
    </row>
    <row r="10259" spans="25:26" x14ac:dyDescent="0.25">
      <c r="Y10259" s="63">
        <v>52792</v>
      </c>
      <c r="Z10259" s="61">
        <f>_xll.qlYieldTSDiscount($U$35,Y10259,,Trigger)</f>
        <v>0.62157478065628657</v>
      </c>
    </row>
    <row r="10260" spans="25:26" x14ac:dyDescent="0.25">
      <c r="Y10260" s="63">
        <v>52793</v>
      </c>
      <c r="Z10260" s="61">
        <f>_xll.qlYieldTSDiscount($U$35,Y10260,,Trigger)</f>
        <v>0.62153115133900005</v>
      </c>
    </row>
    <row r="10261" spans="25:26" x14ac:dyDescent="0.25">
      <c r="Y10261" s="63">
        <v>52794</v>
      </c>
      <c r="Z10261" s="61">
        <f>_xll.qlYieldTSDiscount($U$35,Y10261,,Trigger)</f>
        <v>0.62148752420223663</v>
      </c>
    </row>
    <row r="10262" spans="25:26" x14ac:dyDescent="0.25">
      <c r="Y10262" s="63">
        <v>52795</v>
      </c>
      <c r="Z10262" s="61">
        <f>_xll.qlYieldTSDiscount($U$35,Y10262,,Trigger)</f>
        <v>0.62144389924850973</v>
      </c>
    </row>
    <row r="10263" spans="25:26" x14ac:dyDescent="0.25">
      <c r="Y10263" s="63">
        <v>52796</v>
      </c>
      <c r="Z10263" s="61">
        <f>_xll.qlYieldTSDiscount($U$35,Y10263,,Trigger)</f>
        <v>0.62140027648033302</v>
      </c>
    </row>
    <row r="10264" spans="25:26" x14ac:dyDescent="0.25">
      <c r="Y10264" s="63">
        <v>52797</v>
      </c>
      <c r="Z10264" s="61">
        <f>_xll.qlYieldTSDiscount($U$35,Y10264,,Trigger)</f>
        <v>0.62135665590022005</v>
      </c>
    </row>
    <row r="10265" spans="25:26" x14ac:dyDescent="0.25">
      <c r="Y10265" s="63">
        <v>52798</v>
      </c>
      <c r="Z10265" s="61">
        <f>_xll.qlYieldTSDiscount($U$35,Y10265,,Trigger)</f>
        <v>0.62131303751068445</v>
      </c>
    </row>
    <row r="10266" spans="25:26" x14ac:dyDescent="0.25">
      <c r="Y10266" s="63">
        <v>52799</v>
      </c>
      <c r="Z10266" s="61">
        <f>_xll.qlYieldTSDiscount($U$35,Y10266,,Trigger)</f>
        <v>0.62126942131423968</v>
      </c>
    </row>
    <row r="10267" spans="25:26" x14ac:dyDescent="0.25">
      <c r="Y10267" s="63">
        <v>52800</v>
      </c>
      <c r="Z10267" s="61">
        <f>_xll.qlYieldTSDiscount($U$35,Y10267,,Trigger)</f>
        <v>0.62122580731339916</v>
      </c>
    </row>
    <row r="10268" spans="25:26" x14ac:dyDescent="0.25">
      <c r="Y10268" s="63">
        <v>52801</v>
      </c>
      <c r="Z10268" s="61">
        <f>_xll.qlYieldTSDiscount($U$35,Y10268,,Trigger)</f>
        <v>0.62118219551067666</v>
      </c>
    </row>
    <row r="10269" spans="25:26" x14ac:dyDescent="0.25">
      <c r="Y10269" s="63">
        <v>52802</v>
      </c>
      <c r="Z10269" s="61">
        <f>_xll.qlYieldTSDiscount($U$35,Y10269,,Trigger)</f>
        <v>0.62113858590858573</v>
      </c>
    </row>
    <row r="10270" spans="25:26" x14ac:dyDescent="0.25">
      <c r="Y10270" s="63">
        <v>52803</v>
      </c>
      <c r="Z10270" s="61">
        <f>_xll.qlYieldTSDiscount($U$35,Y10270,,Trigger)</f>
        <v>0.62109497850963968</v>
      </c>
    </row>
    <row r="10271" spans="25:26" x14ac:dyDescent="0.25">
      <c r="Y10271" s="63">
        <v>52804</v>
      </c>
      <c r="Z10271" s="61">
        <f>_xll.qlYieldTSDiscount($U$35,Y10271,,Trigger)</f>
        <v>0.6210513733163523</v>
      </c>
    </row>
    <row r="10272" spans="25:26" x14ac:dyDescent="0.25">
      <c r="Y10272" s="63">
        <v>52805</v>
      </c>
      <c r="Z10272" s="61">
        <f>_xll.qlYieldTSDiscount($U$35,Y10272,,Trigger)</f>
        <v>0.62100777033123711</v>
      </c>
    </row>
    <row r="10273" spans="25:26" x14ac:dyDescent="0.25">
      <c r="Y10273" s="63">
        <v>52806</v>
      </c>
      <c r="Z10273" s="61">
        <f>_xll.qlYieldTSDiscount($U$35,Y10273,,Trigger)</f>
        <v>0.62096416955680755</v>
      </c>
    </row>
    <row r="10274" spans="25:26" x14ac:dyDescent="0.25">
      <c r="Y10274" s="63">
        <v>52807</v>
      </c>
      <c r="Z10274" s="61">
        <f>_xll.qlYieldTSDiscount($U$35,Y10274,,Trigger)</f>
        <v>0.62092057099557729</v>
      </c>
    </row>
    <row r="10275" spans="25:26" x14ac:dyDescent="0.25">
      <c r="Y10275" s="63">
        <v>52808</v>
      </c>
      <c r="Z10275" s="61">
        <f>_xll.qlYieldTSDiscount($U$35,Y10275,,Trigger)</f>
        <v>0.62087697465005975</v>
      </c>
    </row>
    <row r="10276" spans="25:26" x14ac:dyDescent="0.25">
      <c r="Y10276" s="63">
        <v>52809</v>
      </c>
      <c r="Z10276" s="61">
        <f>_xll.qlYieldTSDiscount($U$35,Y10276,,Trigger)</f>
        <v>0.6208333805227686</v>
      </c>
    </row>
    <row r="10277" spans="25:26" x14ac:dyDescent="0.25">
      <c r="Y10277" s="63">
        <v>52810</v>
      </c>
      <c r="Z10277" s="61">
        <f>_xll.qlYieldTSDiscount($U$35,Y10277,,Trigger)</f>
        <v>0.62078978861621736</v>
      </c>
    </row>
    <row r="10278" spans="25:26" x14ac:dyDescent="0.25">
      <c r="Y10278" s="63">
        <v>52811</v>
      </c>
      <c r="Z10278" s="61">
        <f>_xll.qlYieldTSDiscount($U$35,Y10278,,Trigger)</f>
        <v>0.62074619893291949</v>
      </c>
    </row>
    <row r="10279" spans="25:26" x14ac:dyDescent="0.25">
      <c r="Y10279" s="63">
        <v>52812</v>
      </c>
      <c r="Z10279" s="61">
        <f>_xll.qlYieldTSDiscount($U$35,Y10279,,Trigger)</f>
        <v>0.62070261147538874</v>
      </c>
    </row>
    <row r="10280" spans="25:26" x14ac:dyDescent="0.25">
      <c r="Y10280" s="63">
        <v>52813</v>
      </c>
      <c r="Z10280" s="61">
        <f>_xll.qlYieldTSDiscount($U$35,Y10280,,Trigger)</f>
        <v>0.62065902624613845</v>
      </c>
    </row>
    <row r="10281" spans="25:26" x14ac:dyDescent="0.25">
      <c r="Y10281" s="63">
        <v>52814</v>
      </c>
      <c r="Z10281" s="61">
        <f>_xll.qlYieldTSDiscount($U$35,Y10281,,Trigger)</f>
        <v>0.62061544324768225</v>
      </c>
    </row>
    <row r="10282" spans="25:26" x14ac:dyDescent="0.25">
      <c r="Y10282" s="63">
        <v>52815</v>
      </c>
      <c r="Z10282" s="61">
        <f>_xll.qlYieldTSDiscount($U$35,Y10282,,Trigger)</f>
        <v>0.62057186248253382</v>
      </c>
    </row>
    <row r="10283" spans="25:26" x14ac:dyDescent="0.25">
      <c r="Y10283" s="63">
        <v>52816</v>
      </c>
      <c r="Z10283" s="61">
        <f>_xll.qlYieldTSDiscount($U$35,Y10283,,Trigger)</f>
        <v>0.62052828395320647</v>
      </c>
    </row>
    <row r="10284" spans="25:26" x14ac:dyDescent="0.25">
      <c r="Y10284" s="63">
        <v>52817</v>
      </c>
      <c r="Z10284" s="61">
        <f>_xll.qlYieldTSDiscount($U$35,Y10284,,Trigger)</f>
        <v>0.62048470766221397</v>
      </c>
    </row>
    <row r="10285" spans="25:26" x14ac:dyDescent="0.25">
      <c r="Y10285" s="63">
        <v>52818</v>
      </c>
      <c r="Z10285" s="61">
        <f>_xll.qlYieldTSDiscount($U$35,Y10285,,Trigger)</f>
        <v>0.62044113361206987</v>
      </c>
    </row>
    <row r="10286" spans="25:26" x14ac:dyDescent="0.25">
      <c r="Y10286" s="63">
        <v>52819</v>
      </c>
      <c r="Z10286" s="61">
        <f>_xll.qlYieldTSDiscount($U$35,Y10286,,Trigger)</f>
        <v>0.62039756180528749</v>
      </c>
    </row>
    <row r="10287" spans="25:26" x14ac:dyDescent="0.25">
      <c r="Y10287" s="63">
        <v>52820</v>
      </c>
      <c r="Z10287" s="61">
        <f>_xll.qlYieldTSDiscount($U$35,Y10287,,Trigger)</f>
        <v>0.62035399224438048</v>
      </c>
    </row>
    <row r="10288" spans="25:26" x14ac:dyDescent="0.25">
      <c r="Y10288" s="63">
        <v>52821</v>
      </c>
      <c r="Z10288" s="61">
        <f>_xll.qlYieldTSDiscount($U$35,Y10288,,Trigger)</f>
        <v>0.6203104249318625</v>
      </c>
    </row>
    <row r="10289" spans="25:26" x14ac:dyDescent="0.25">
      <c r="Y10289" s="63">
        <v>52822</v>
      </c>
      <c r="Z10289" s="61">
        <f>_xll.qlYieldTSDiscount($U$35,Y10289,,Trigger)</f>
        <v>0.62026685987024699</v>
      </c>
    </row>
    <row r="10290" spans="25:26" x14ac:dyDescent="0.25">
      <c r="Y10290" s="63">
        <v>52823</v>
      </c>
      <c r="Z10290" s="61">
        <f>_xll.qlYieldTSDiscount($U$35,Y10290,,Trigger)</f>
        <v>0.6202232970620476</v>
      </c>
    </row>
    <row r="10291" spans="25:26" x14ac:dyDescent="0.25">
      <c r="Y10291" s="63">
        <v>52824</v>
      </c>
      <c r="Z10291" s="61">
        <f>_xll.qlYieldTSDiscount($U$35,Y10291,,Trigger)</f>
        <v>0.62017973650977787</v>
      </c>
    </row>
    <row r="10292" spans="25:26" x14ac:dyDescent="0.25">
      <c r="Y10292" s="63">
        <v>52825</v>
      </c>
      <c r="Z10292" s="61">
        <f>_xll.qlYieldTSDiscount($U$35,Y10292,,Trigger)</f>
        <v>0.62013617821595124</v>
      </c>
    </row>
    <row r="10293" spans="25:26" x14ac:dyDescent="0.25">
      <c r="Y10293" s="63">
        <v>52826</v>
      </c>
      <c r="Z10293" s="61">
        <f>_xll.qlYieldTSDiscount($U$35,Y10293,,Trigger)</f>
        <v>0.62009262218308125</v>
      </c>
    </row>
    <row r="10294" spans="25:26" x14ac:dyDescent="0.25">
      <c r="Y10294" s="63">
        <v>52827</v>
      </c>
      <c r="Z10294" s="61">
        <f>_xll.qlYieldTSDiscount($U$35,Y10294,,Trigger)</f>
        <v>0.62004906841368168</v>
      </c>
    </row>
    <row r="10295" spans="25:26" x14ac:dyDescent="0.25">
      <c r="Y10295" s="63">
        <v>52828</v>
      </c>
      <c r="Z10295" s="61">
        <f>_xll.qlYieldTSDiscount($U$35,Y10295,,Trigger)</f>
        <v>0.62000551691026584</v>
      </c>
    </row>
    <row r="10296" spans="25:26" x14ac:dyDescent="0.25">
      <c r="Y10296" s="63">
        <v>52829</v>
      </c>
      <c r="Z10296" s="61">
        <f>_xll.qlYieldTSDiscount($U$35,Y10296,,Trigger)</f>
        <v>0.61996196767534739</v>
      </c>
    </row>
    <row r="10297" spans="25:26" x14ac:dyDescent="0.25">
      <c r="Y10297" s="63">
        <v>52830</v>
      </c>
      <c r="Z10297" s="61">
        <f>_xll.qlYieldTSDiscount($U$35,Y10297,,Trigger)</f>
        <v>0.61991842071143988</v>
      </c>
    </row>
    <row r="10298" spans="25:26" x14ac:dyDescent="0.25">
      <c r="Y10298" s="63">
        <v>52831</v>
      </c>
      <c r="Z10298" s="61">
        <f>_xll.qlYieldTSDiscount($U$35,Y10298,,Trigger)</f>
        <v>0.61987487602105684</v>
      </c>
    </row>
    <row r="10299" spans="25:26" x14ac:dyDescent="0.25">
      <c r="Y10299" s="63">
        <v>52832</v>
      </c>
      <c r="Z10299" s="61">
        <f>_xll.qlYieldTSDiscount($U$35,Y10299,,Trigger)</f>
        <v>0.61983133360671183</v>
      </c>
    </row>
    <row r="10300" spans="25:26" x14ac:dyDescent="0.25">
      <c r="Y10300" s="63">
        <v>52833</v>
      </c>
      <c r="Z10300" s="61">
        <f>_xll.qlYieldTSDiscount($U$35,Y10300,,Trigger)</f>
        <v>0.61978779347091839</v>
      </c>
    </row>
    <row r="10301" spans="25:26" x14ac:dyDescent="0.25">
      <c r="Y10301" s="63">
        <v>52834</v>
      </c>
      <c r="Z10301" s="61">
        <f>_xll.qlYieldTSDiscount($U$35,Y10301,,Trigger)</f>
        <v>0.61974425561619007</v>
      </c>
    </row>
    <row r="10302" spans="25:26" x14ac:dyDescent="0.25">
      <c r="Y10302" s="63">
        <v>52835</v>
      </c>
      <c r="Z10302" s="61">
        <f>_xll.qlYieldTSDiscount($U$35,Y10302,,Trigger)</f>
        <v>0.61970072004504051</v>
      </c>
    </row>
    <row r="10303" spans="25:26" x14ac:dyDescent="0.25">
      <c r="Y10303" s="63">
        <v>52836</v>
      </c>
      <c r="Z10303" s="61">
        <f>_xll.qlYieldTSDiscount($U$35,Y10303,,Trigger)</f>
        <v>0.61965718675998316</v>
      </c>
    </row>
    <row r="10304" spans="25:26" x14ac:dyDescent="0.25">
      <c r="Y10304" s="63">
        <v>52837</v>
      </c>
      <c r="Z10304" s="61">
        <f>_xll.qlYieldTSDiscount($U$35,Y10304,,Trigger)</f>
        <v>0.61961365576353156</v>
      </c>
    </row>
    <row r="10305" spans="25:26" x14ac:dyDescent="0.25">
      <c r="Y10305" s="63">
        <v>52838</v>
      </c>
      <c r="Z10305" s="61">
        <f>_xll.qlYieldTSDiscount($U$35,Y10305,,Trigger)</f>
        <v>0.61957012705819925</v>
      </c>
    </row>
    <row r="10306" spans="25:26" x14ac:dyDescent="0.25">
      <c r="Y10306" s="63">
        <v>52839</v>
      </c>
      <c r="Z10306" s="61">
        <f>_xll.qlYieldTSDiscount($U$35,Y10306,,Trigger)</f>
        <v>0.61952660064649989</v>
      </c>
    </row>
    <row r="10307" spans="25:26" x14ac:dyDescent="0.25">
      <c r="Y10307" s="63">
        <v>52840</v>
      </c>
      <c r="Z10307" s="61">
        <f>_xll.qlYieldTSDiscount($U$35,Y10307,,Trigger)</f>
        <v>0.61948307653094692</v>
      </c>
    </row>
    <row r="10308" spans="25:26" x14ac:dyDescent="0.25">
      <c r="Y10308" s="63">
        <v>52841</v>
      </c>
      <c r="Z10308" s="61">
        <f>_xll.qlYieldTSDiscount($U$35,Y10308,,Trigger)</f>
        <v>0.61943955471405399</v>
      </c>
    </row>
    <row r="10309" spans="25:26" x14ac:dyDescent="0.25">
      <c r="Y10309" s="63">
        <v>52842</v>
      </c>
      <c r="Z10309" s="61">
        <f>_xll.qlYieldTSDiscount($U$35,Y10309,,Trigger)</f>
        <v>0.61939603519833453</v>
      </c>
    </row>
    <row r="10310" spans="25:26" x14ac:dyDescent="0.25">
      <c r="Y10310" s="63">
        <v>52843</v>
      </c>
      <c r="Z10310" s="61">
        <f>_xll.qlYieldTSDiscount($U$35,Y10310,,Trigger)</f>
        <v>0.6193525179863022</v>
      </c>
    </row>
    <row r="10311" spans="25:26" x14ac:dyDescent="0.25">
      <c r="Y10311" s="63">
        <v>52844</v>
      </c>
      <c r="Z10311" s="61">
        <f>_xll.qlYieldTSDiscount($U$35,Y10311,,Trigger)</f>
        <v>0.61930900308047054</v>
      </c>
    </row>
    <row r="10312" spans="25:26" x14ac:dyDescent="0.25">
      <c r="Y10312" s="63">
        <v>52845</v>
      </c>
      <c r="Z10312" s="61">
        <f>_xll.qlYieldTSDiscount($U$35,Y10312,,Trigger)</f>
        <v>0.619265490483353</v>
      </c>
    </row>
    <row r="10313" spans="25:26" x14ac:dyDescent="0.25">
      <c r="Y10313" s="63">
        <v>52846</v>
      </c>
      <c r="Z10313" s="61">
        <f>_xll.qlYieldTSDiscount($U$35,Y10313,,Trigger)</f>
        <v>0.61922198019746333</v>
      </c>
    </row>
    <row r="10314" spans="25:26" x14ac:dyDescent="0.25">
      <c r="Y10314" s="63">
        <v>52847</v>
      </c>
      <c r="Z10314" s="61">
        <f>_xll.qlYieldTSDiscount($U$35,Y10314,,Trigger)</f>
        <v>0.61917847222531486</v>
      </c>
    </row>
    <row r="10315" spans="25:26" x14ac:dyDescent="0.25">
      <c r="Y10315" s="63">
        <v>52848</v>
      </c>
      <c r="Z10315" s="61">
        <f>_xll.qlYieldTSDiscount($U$35,Y10315,,Trigger)</f>
        <v>0.61913496656942124</v>
      </c>
    </row>
    <row r="10316" spans="25:26" x14ac:dyDescent="0.25">
      <c r="Y10316" s="63">
        <v>52849</v>
      </c>
      <c r="Z10316" s="61">
        <f>_xll.qlYieldTSDiscount($U$35,Y10316,,Trigger)</f>
        <v>0.61909146323229602</v>
      </c>
    </row>
    <row r="10317" spans="25:26" x14ac:dyDescent="0.25">
      <c r="Y10317" s="63">
        <v>52850</v>
      </c>
      <c r="Z10317" s="61">
        <f>_xll.qlYieldTSDiscount($U$35,Y10317,,Trigger)</f>
        <v>0.61904796221645275</v>
      </c>
    </row>
    <row r="10318" spans="25:26" x14ac:dyDescent="0.25">
      <c r="Y10318" s="63">
        <v>52851</v>
      </c>
      <c r="Z10318" s="61">
        <f>_xll.qlYieldTSDiscount($U$35,Y10318,,Trigger)</f>
        <v>0.61900446352440497</v>
      </c>
    </row>
    <row r="10319" spans="25:26" x14ac:dyDescent="0.25">
      <c r="Y10319" s="63">
        <v>52852</v>
      </c>
      <c r="Z10319" s="61">
        <f>_xll.qlYieldTSDiscount($U$35,Y10319,,Trigger)</f>
        <v>0.61896096715866633</v>
      </c>
    </row>
    <row r="10320" spans="25:26" x14ac:dyDescent="0.25">
      <c r="Y10320" s="63">
        <v>52853</v>
      </c>
      <c r="Z10320" s="61">
        <f>_xll.qlYieldTSDiscount($U$35,Y10320,,Trigger)</f>
        <v>0.61891747312175016</v>
      </c>
    </row>
    <row r="10321" spans="25:26" x14ac:dyDescent="0.25">
      <c r="Y10321" s="63">
        <v>52854</v>
      </c>
      <c r="Z10321" s="61">
        <f>_xll.qlYieldTSDiscount($U$35,Y10321,,Trigger)</f>
        <v>0.61887398141617034</v>
      </c>
    </row>
    <row r="10322" spans="25:26" x14ac:dyDescent="0.25">
      <c r="Y10322" s="63">
        <v>52855</v>
      </c>
      <c r="Z10322" s="61">
        <f>_xll.qlYieldTSDiscount($U$35,Y10322,,Trigger)</f>
        <v>0.61883049204444007</v>
      </c>
    </row>
    <row r="10323" spans="25:26" x14ac:dyDescent="0.25">
      <c r="Y10323" s="63">
        <v>52856</v>
      </c>
      <c r="Z10323" s="61">
        <f>_xll.qlYieldTSDiscount($U$35,Y10323,,Trigger)</f>
        <v>0.61878700500907302</v>
      </c>
    </row>
    <row r="10324" spans="25:26" x14ac:dyDescent="0.25">
      <c r="Y10324" s="63">
        <v>52857</v>
      </c>
      <c r="Z10324" s="61">
        <f>_xll.qlYieldTSDiscount($U$35,Y10324,,Trigger)</f>
        <v>0.61874352031258284</v>
      </c>
    </row>
    <row r="10325" spans="25:26" x14ac:dyDescent="0.25">
      <c r="Y10325" s="63">
        <v>52858</v>
      </c>
      <c r="Z10325" s="61">
        <f>_xll.qlYieldTSDiscount($U$35,Y10325,,Trigger)</f>
        <v>0.61870003795748307</v>
      </c>
    </row>
    <row r="10326" spans="25:26" x14ac:dyDescent="0.25">
      <c r="Y10326" s="63">
        <v>52859</v>
      </c>
      <c r="Z10326" s="61">
        <f>_xll.qlYieldTSDiscount($U$35,Y10326,,Trigger)</f>
        <v>0.61865655794628716</v>
      </c>
    </row>
    <row r="10327" spans="25:26" x14ac:dyDescent="0.25">
      <c r="Y10327" s="63">
        <v>52860</v>
      </c>
      <c r="Z10327" s="61">
        <f>_xll.qlYieldTSDiscount($U$35,Y10327,,Trigger)</f>
        <v>0.61861308028150874</v>
      </c>
    </row>
    <row r="10328" spans="25:26" x14ac:dyDescent="0.25">
      <c r="Y10328" s="63">
        <v>52861</v>
      </c>
      <c r="Z10328" s="61">
        <f>_xll.qlYieldTSDiscount($U$35,Y10328,,Trigger)</f>
        <v>0.61856960496566127</v>
      </c>
    </row>
    <row r="10329" spans="25:26" x14ac:dyDescent="0.25">
      <c r="Y10329" s="63">
        <v>52862</v>
      </c>
      <c r="Z10329" s="61">
        <f>_xll.qlYieldTSDiscount($U$35,Y10329,,Trigger)</f>
        <v>0.6185261320012585</v>
      </c>
    </row>
    <row r="10330" spans="25:26" x14ac:dyDescent="0.25">
      <c r="Y10330" s="63">
        <v>52863</v>
      </c>
      <c r="Z10330" s="61">
        <f>_xll.qlYieldTSDiscount($U$35,Y10330,,Trigger)</f>
        <v>0.61848266139081376</v>
      </c>
    </row>
    <row r="10331" spans="25:26" x14ac:dyDescent="0.25">
      <c r="Y10331" s="63">
        <v>52864</v>
      </c>
      <c r="Z10331" s="61">
        <f>_xll.qlYieldTSDiscount($U$35,Y10331,,Trigger)</f>
        <v>0.6184391931368407</v>
      </c>
    </row>
    <row r="10332" spans="25:26" x14ac:dyDescent="0.25">
      <c r="Y10332" s="63">
        <v>52865</v>
      </c>
      <c r="Z10332" s="61">
        <f>_xll.qlYieldTSDiscount($U$35,Y10332,,Trigger)</f>
        <v>0.61839572724185277</v>
      </c>
    </row>
    <row r="10333" spans="25:26" x14ac:dyDescent="0.25">
      <c r="Y10333" s="63">
        <v>52866</v>
      </c>
      <c r="Z10333" s="61">
        <f>_xll.qlYieldTSDiscount($U$35,Y10333,,Trigger)</f>
        <v>0.61835226370836371</v>
      </c>
    </row>
    <row r="10334" spans="25:26" x14ac:dyDescent="0.25">
      <c r="Y10334" s="63">
        <v>52867</v>
      </c>
      <c r="Z10334" s="61">
        <f>_xll.qlYieldTSDiscount($U$35,Y10334,,Trigger)</f>
        <v>0.61830880253888698</v>
      </c>
    </row>
    <row r="10335" spans="25:26" x14ac:dyDescent="0.25">
      <c r="Y10335" s="63">
        <v>52868</v>
      </c>
      <c r="Z10335" s="61">
        <f>_xll.qlYieldTSDiscount($U$35,Y10335,,Trigger)</f>
        <v>0.61826534373593611</v>
      </c>
    </row>
    <row r="10336" spans="25:26" x14ac:dyDescent="0.25">
      <c r="Y10336" s="63">
        <v>52869</v>
      </c>
      <c r="Z10336" s="61">
        <f>_xll.qlYieldTSDiscount($U$35,Y10336,,Trigger)</f>
        <v>0.61822188730202465</v>
      </c>
    </row>
    <row r="10337" spans="25:26" x14ac:dyDescent="0.25">
      <c r="Y10337" s="63">
        <v>52870</v>
      </c>
      <c r="Z10337" s="61">
        <f>_xll.qlYieldTSDiscount($U$35,Y10337,,Trigger)</f>
        <v>0.61817843323966615</v>
      </c>
    </row>
    <row r="10338" spans="25:26" x14ac:dyDescent="0.25">
      <c r="Y10338" s="63">
        <v>52871</v>
      </c>
      <c r="Z10338" s="61">
        <f>_xll.qlYieldTSDiscount($U$35,Y10338,,Trigger)</f>
        <v>0.61813498155137414</v>
      </c>
    </row>
    <row r="10339" spans="25:26" x14ac:dyDescent="0.25">
      <c r="Y10339" s="63">
        <v>52872</v>
      </c>
      <c r="Z10339" s="61">
        <f>_xll.qlYieldTSDiscount($U$35,Y10339,,Trigger)</f>
        <v>0.61809153223966229</v>
      </c>
    </row>
    <row r="10340" spans="25:26" x14ac:dyDescent="0.25">
      <c r="Y10340" s="63">
        <v>52873</v>
      </c>
      <c r="Z10340" s="61">
        <f>_xll.qlYieldTSDiscount($U$35,Y10340,,Trigger)</f>
        <v>0.61804808530704403</v>
      </c>
    </row>
    <row r="10341" spans="25:26" x14ac:dyDescent="0.25">
      <c r="Y10341" s="63">
        <v>52874</v>
      </c>
      <c r="Z10341" s="61">
        <f>_xll.qlYieldTSDiscount($U$35,Y10341,,Trigger)</f>
        <v>0.6180046407560329</v>
      </c>
    </row>
    <row r="10342" spans="25:26" x14ac:dyDescent="0.25">
      <c r="Y10342" s="63">
        <v>52875</v>
      </c>
      <c r="Z10342" s="61">
        <f>_xll.qlYieldTSDiscount($U$35,Y10342,,Trigger)</f>
        <v>0.61796119858914256</v>
      </c>
    </row>
    <row r="10343" spans="25:26" x14ac:dyDescent="0.25">
      <c r="Y10343" s="63">
        <v>52876</v>
      </c>
      <c r="Z10343" s="61">
        <f>_xll.qlYieldTSDiscount($U$35,Y10343,,Trigger)</f>
        <v>0.61791775880888655</v>
      </c>
    </row>
    <row r="10344" spans="25:26" x14ac:dyDescent="0.25">
      <c r="Y10344" s="63">
        <v>52877</v>
      </c>
      <c r="Z10344" s="61">
        <f>_xll.qlYieldTSDiscount($U$35,Y10344,,Trigger)</f>
        <v>0.61787432141777832</v>
      </c>
    </row>
    <row r="10345" spans="25:26" x14ac:dyDescent="0.25">
      <c r="Y10345" s="63">
        <v>52878</v>
      </c>
      <c r="Z10345" s="61">
        <f>_xll.qlYieldTSDiscount($U$35,Y10345,,Trigger)</f>
        <v>0.6178308864183315</v>
      </c>
    </row>
    <row r="10346" spans="25:26" x14ac:dyDescent="0.25">
      <c r="Y10346" s="63">
        <v>52879</v>
      </c>
      <c r="Z10346" s="61">
        <f>_xll.qlYieldTSDiscount($U$35,Y10346,,Trigger)</f>
        <v>0.61778745381305955</v>
      </c>
    </row>
    <row r="10347" spans="25:26" x14ac:dyDescent="0.25">
      <c r="Y10347" s="63">
        <v>52880</v>
      </c>
      <c r="Z10347" s="61">
        <f>_xll.qlYieldTSDiscount($U$35,Y10347,,Trigger)</f>
        <v>0.61774402360447611</v>
      </c>
    </row>
    <row r="10348" spans="25:26" x14ac:dyDescent="0.25">
      <c r="Y10348" s="63">
        <v>52881</v>
      </c>
      <c r="Z10348" s="61">
        <f>_xll.qlYieldTSDiscount($U$35,Y10348,,Trigger)</f>
        <v>0.61770059579509473</v>
      </c>
    </row>
    <row r="10349" spans="25:26" x14ac:dyDescent="0.25">
      <c r="Y10349" s="63">
        <v>52882</v>
      </c>
      <c r="Z10349" s="61">
        <f>_xll.qlYieldTSDiscount($U$35,Y10349,,Trigger)</f>
        <v>0.61765717038742896</v>
      </c>
    </row>
    <row r="10350" spans="25:26" x14ac:dyDescent="0.25">
      <c r="Y10350" s="63">
        <v>52883</v>
      </c>
      <c r="Z10350" s="61">
        <f>_xll.qlYieldTSDiscount($U$35,Y10350,,Trigger)</f>
        <v>0.61761374738399233</v>
      </c>
    </row>
    <row r="10351" spans="25:26" x14ac:dyDescent="0.25">
      <c r="Y10351" s="63">
        <v>52884</v>
      </c>
      <c r="Z10351" s="61">
        <f>_xll.qlYieldTSDiscount($U$35,Y10351,,Trigger)</f>
        <v>0.6175703267872984</v>
      </c>
    </row>
    <row r="10352" spans="25:26" x14ac:dyDescent="0.25">
      <c r="Y10352" s="63">
        <v>52885</v>
      </c>
      <c r="Z10352" s="61">
        <f>_xll.qlYieldTSDiscount($U$35,Y10352,,Trigger)</f>
        <v>0.6175269085998607</v>
      </c>
    </row>
    <row r="10353" spans="25:26" x14ac:dyDescent="0.25">
      <c r="Y10353" s="63">
        <v>52886</v>
      </c>
      <c r="Z10353" s="61">
        <f>_xll.qlYieldTSDiscount($U$35,Y10353,,Trigger)</f>
        <v>0.61748349282419279</v>
      </c>
    </row>
    <row r="10354" spans="25:26" x14ac:dyDescent="0.25">
      <c r="Y10354" s="63">
        <v>52887</v>
      </c>
      <c r="Z10354" s="61">
        <f>_xll.qlYieldTSDiscount($U$35,Y10354,,Trigger)</f>
        <v>0.61744007946280821</v>
      </c>
    </row>
    <row r="10355" spans="25:26" x14ac:dyDescent="0.25">
      <c r="Y10355" s="63">
        <v>52888</v>
      </c>
      <c r="Z10355" s="61">
        <f>_xll.qlYieldTSDiscount($U$35,Y10355,,Trigger)</f>
        <v>0.61739666851822061</v>
      </c>
    </row>
    <row r="10356" spans="25:26" x14ac:dyDescent="0.25">
      <c r="Y10356" s="63">
        <v>52889</v>
      </c>
      <c r="Z10356" s="61">
        <f>_xll.qlYieldTSDiscount($U$35,Y10356,,Trigger)</f>
        <v>0.61735325999294344</v>
      </c>
    </row>
    <row r="10357" spans="25:26" x14ac:dyDescent="0.25">
      <c r="Y10357" s="63">
        <v>52890</v>
      </c>
      <c r="Z10357" s="61">
        <f>_xll.qlYieldTSDiscount($U$35,Y10357,,Trigger)</f>
        <v>0.61730985388949011</v>
      </c>
    </row>
    <row r="10358" spans="25:26" x14ac:dyDescent="0.25">
      <c r="Y10358" s="63">
        <v>52891</v>
      </c>
      <c r="Z10358" s="61">
        <f>_xll.qlYieldTSDiscount($U$35,Y10358,,Trigger)</f>
        <v>0.61726645021037452</v>
      </c>
    </row>
    <row r="10359" spans="25:26" x14ac:dyDescent="0.25">
      <c r="Y10359" s="63">
        <v>52892</v>
      </c>
      <c r="Z10359" s="61">
        <f>_xll.qlYieldTSDiscount($U$35,Y10359,,Trigger)</f>
        <v>0.61722304895810998</v>
      </c>
    </row>
    <row r="10360" spans="25:26" x14ac:dyDescent="0.25">
      <c r="Y10360" s="63">
        <v>52893</v>
      </c>
      <c r="Z10360" s="61">
        <f>_xll.qlYieldTSDiscount($U$35,Y10360,,Trigger)</f>
        <v>0.61717965013521003</v>
      </c>
    </row>
    <row r="10361" spans="25:26" x14ac:dyDescent="0.25">
      <c r="Y10361" s="63">
        <v>52894</v>
      </c>
      <c r="Z10361" s="61">
        <f>_xll.qlYieldTSDiscount($U$35,Y10361,,Trigger)</f>
        <v>0.61713625374418835</v>
      </c>
    </row>
    <row r="10362" spans="25:26" x14ac:dyDescent="0.25">
      <c r="Y10362" s="63">
        <v>52895</v>
      </c>
      <c r="Z10362" s="61">
        <f>_xll.qlYieldTSDiscount($U$35,Y10362,,Trigger)</f>
        <v>0.61709285978755835</v>
      </c>
    </row>
    <row r="10363" spans="25:26" x14ac:dyDescent="0.25">
      <c r="Y10363" s="63">
        <v>52896</v>
      </c>
      <c r="Z10363" s="61">
        <f>_xll.qlYieldTSDiscount($U$35,Y10363,,Trigger)</f>
        <v>0.6170494682678338</v>
      </c>
    </row>
    <row r="10364" spans="25:26" x14ac:dyDescent="0.25">
      <c r="Y10364" s="63">
        <v>52897</v>
      </c>
      <c r="Z10364" s="61">
        <f>_xll.qlYieldTSDiscount($U$35,Y10364,,Trigger)</f>
        <v>0.61700607918752803</v>
      </c>
    </row>
    <row r="10365" spans="25:26" x14ac:dyDescent="0.25">
      <c r="Y10365" s="63">
        <v>52898</v>
      </c>
      <c r="Z10365" s="61">
        <f>_xll.qlYieldTSDiscount($U$35,Y10365,,Trigger)</f>
        <v>0.61696269254915459</v>
      </c>
    </row>
    <row r="10366" spans="25:26" x14ac:dyDescent="0.25">
      <c r="Y10366" s="63">
        <v>52899</v>
      </c>
      <c r="Z10366" s="61">
        <f>_xll.qlYieldTSDiscount($U$35,Y10366,,Trigger)</f>
        <v>0.61691930835522724</v>
      </c>
    </row>
    <row r="10367" spans="25:26" x14ac:dyDescent="0.25">
      <c r="Y10367" s="63">
        <v>52900</v>
      </c>
      <c r="Z10367" s="61">
        <f>_xll.qlYieldTSDiscount($U$35,Y10367,,Trigger)</f>
        <v>0.61687592660825941</v>
      </c>
    </row>
    <row r="10368" spans="25:26" x14ac:dyDescent="0.25">
      <c r="Y10368" s="63">
        <v>52901</v>
      </c>
      <c r="Z10368" s="61">
        <f>_xll.qlYieldTSDiscount($U$35,Y10368,,Trigger)</f>
        <v>0.61683254731076453</v>
      </c>
    </row>
    <row r="10369" spans="25:26" x14ac:dyDescent="0.25">
      <c r="Y10369" s="63">
        <v>52902</v>
      </c>
      <c r="Z10369" s="61">
        <f>_xll.qlYieldTSDiscount($U$35,Y10369,,Trigger)</f>
        <v>0.61678917046525639</v>
      </c>
    </row>
    <row r="10370" spans="25:26" x14ac:dyDescent="0.25">
      <c r="Y10370" s="63">
        <v>52903</v>
      </c>
      <c r="Z10370" s="61">
        <f>_xll.qlYieldTSDiscount($U$35,Y10370,,Trigger)</f>
        <v>0.61674579607424829</v>
      </c>
    </row>
    <row r="10371" spans="25:26" x14ac:dyDescent="0.25">
      <c r="Y10371" s="63">
        <v>52904</v>
      </c>
      <c r="Z10371" s="61">
        <f>_xll.qlYieldTSDiscount($U$35,Y10371,,Trigger)</f>
        <v>0.616702424140254</v>
      </c>
    </row>
    <row r="10372" spans="25:26" x14ac:dyDescent="0.25">
      <c r="Y10372" s="63">
        <v>52905</v>
      </c>
      <c r="Z10372" s="61">
        <f>_xll.qlYieldTSDiscount($U$35,Y10372,,Trigger)</f>
        <v>0.61665905466578697</v>
      </c>
    </row>
    <row r="10373" spans="25:26" x14ac:dyDescent="0.25">
      <c r="Y10373" s="63">
        <v>52906</v>
      </c>
      <c r="Z10373" s="61">
        <f>_xll.qlYieldTSDiscount($U$35,Y10373,,Trigger)</f>
        <v>0.61661568765336072</v>
      </c>
    </row>
    <row r="10374" spans="25:26" x14ac:dyDescent="0.25">
      <c r="Y10374" s="63">
        <v>52907</v>
      </c>
      <c r="Z10374" s="61">
        <f>_xll.qlYieldTSDiscount($U$35,Y10374,,Trigger)</f>
        <v>0.61657232310548893</v>
      </c>
    </row>
    <row r="10375" spans="25:26" x14ac:dyDescent="0.25">
      <c r="Y10375" s="63">
        <v>52908</v>
      </c>
      <c r="Z10375" s="61">
        <f>_xll.qlYieldTSDiscount($U$35,Y10375,,Trigger)</f>
        <v>0.61652896102468502</v>
      </c>
    </row>
    <row r="10376" spans="25:26" x14ac:dyDescent="0.25">
      <c r="Y10376" s="63">
        <v>52909</v>
      </c>
      <c r="Z10376" s="61">
        <f>_xll.qlYieldTSDiscount($U$35,Y10376,,Trigger)</f>
        <v>0.61648560141346254</v>
      </c>
    </row>
    <row r="10377" spans="25:26" x14ac:dyDescent="0.25">
      <c r="Y10377" s="63">
        <v>52910</v>
      </c>
      <c r="Z10377" s="61">
        <f>_xll.qlYieldTSDiscount($U$35,Y10377,,Trigger)</f>
        <v>0.61644224427433514</v>
      </c>
    </row>
    <row r="10378" spans="25:26" x14ac:dyDescent="0.25">
      <c r="Y10378" s="63">
        <v>52911</v>
      </c>
      <c r="Z10378" s="61">
        <f>_xll.qlYieldTSDiscount($U$35,Y10378,,Trigger)</f>
        <v>0.61639888960981626</v>
      </c>
    </row>
    <row r="10379" spans="25:26" x14ac:dyDescent="0.25">
      <c r="Y10379" s="63">
        <v>52912</v>
      </c>
      <c r="Z10379" s="61">
        <f>_xll.qlYieldTSDiscount($U$35,Y10379,,Trigger)</f>
        <v>0.61635553742241955</v>
      </c>
    </row>
    <row r="10380" spans="25:26" x14ac:dyDescent="0.25">
      <c r="Y10380" s="63">
        <v>52913</v>
      </c>
      <c r="Z10380" s="61">
        <f>_xll.qlYieldTSDiscount($U$35,Y10380,,Trigger)</f>
        <v>0.61631218771465845</v>
      </c>
    </row>
    <row r="10381" spans="25:26" x14ac:dyDescent="0.25">
      <c r="Y10381" s="63">
        <v>52914</v>
      </c>
      <c r="Z10381" s="61">
        <f>_xll.qlYieldTSDiscount($U$35,Y10381,,Trigger)</f>
        <v>0.61626884048904662</v>
      </c>
    </row>
    <row r="10382" spans="25:26" x14ac:dyDescent="0.25">
      <c r="Y10382" s="63">
        <v>52915</v>
      </c>
      <c r="Z10382" s="61">
        <f>_xll.qlYieldTSDiscount($U$35,Y10382,,Trigger)</f>
        <v>0.61622549574809771</v>
      </c>
    </row>
    <row r="10383" spans="25:26" x14ac:dyDescent="0.25">
      <c r="Y10383" s="63">
        <v>52916</v>
      </c>
      <c r="Z10383" s="61">
        <f>_xll.qlYieldTSDiscount($U$35,Y10383,,Trigger)</f>
        <v>0.61618215349432492</v>
      </c>
    </row>
    <row r="10384" spans="25:26" x14ac:dyDescent="0.25">
      <c r="Y10384" s="63">
        <v>52917</v>
      </c>
      <c r="Z10384" s="61">
        <f>_xll.qlYieldTSDiscount($U$35,Y10384,,Trigger)</f>
        <v>0.61613881373024215</v>
      </c>
    </row>
    <row r="10385" spans="25:26" x14ac:dyDescent="0.25">
      <c r="Y10385" s="63">
        <v>52918</v>
      </c>
      <c r="Z10385" s="61">
        <f>_xll.qlYieldTSDiscount($U$35,Y10385,,Trigger)</f>
        <v>0.61609547645836282</v>
      </c>
    </row>
    <row r="10386" spans="25:26" x14ac:dyDescent="0.25">
      <c r="Y10386" s="63">
        <v>52919</v>
      </c>
      <c r="Z10386" s="61">
        <f>_xll.qlYieldTSDiscount($U$35,Y10386,,Trigger)</f>
        <v>0.61605214168120037</v>
      </c>
    </row>
    <row r="10387" spans="25:26" x14ac:dyDescent="0.25">
      <c r="Y10387" s="63">
        <v>52920</v>
      </c>
      <c r="Z10387" s="61">
        <f>_xll.qlYieldTSDiscount($U$35,Y10387,,Trigger)</f>
        <v>0.61600880940126856</v>
      </c>
    </row>
    <row r="10388" spans="25:26" x14ac:dyDescent="0.25">
      <c r="Y10388" s="63">
        <v>52921</v>
      </c>
      <c r="Z10388" s="61">
        <f>_xll.qlYieldTSDiscount($U$35,Y10388,,Trigger)</f>
        <v>0.61596547962108084</v>
      </c>
    </row>
    <row r="10389" spans="25:26" x14ac:dyDescent="0.25">
      <c r="Y10389" s="63">
        <v>52922</v>
      </c>
      <c r="Z10389" s="61">
        <f>_xll.qlYieldTSDiscount($U$35,Y10389,,Trigger)</f>
        <v>0.61592215234315073</v>
      </c>
    </row>
    <row r="10390" spans="25:26" x14ac:dyDescent="0.25">
      <c r="Y10390" s="63">
        <v>52923</v>
      </c>
      <c r="Z10390" s="61">
        <f>_xll.qlYieldTSDiscount($U$35,Y10390,,Trigger)</f>
        <v>0.61587882756999179</v>
      </c>
    </row>
    <row r="10391" spans="25:26" x14ac:dyDescent="0.25">
      <c r="Y10391" s="63">
        <v>52924</v>
      </c>
      <c r="Z10391" s="61">
        <f>_xll.qlYieldTSDiscount($U$35,Y10391,,Trigger)</f>
        <v>0.61583550530411757</v>
      </c>
    </row>
    <row r="10392" spans="25:26" x14ac:dyDescent="0.25">
      <c r="Y10392" s="63">
        <v>52925</v>
      </c>
      <c r="Z10392" s="61">
        <f>_xll.qlYieldTSDiscount($U$35,Y10392,,Trigger)</f>
        <v>0.61579218554804172</v>
      </c>
    </row>
    <row r="10393" spans="25:26" x14ac:dyDescent="0.25">
      <c r="Y10393" s="63">
        <v>52926</v>
      </c>
      <c r="Z10393" s="61">
        <f>_xll.qlYieldTSDiscount($U$35,Y10393,,Trigger)</f>
        <v>0.61574886830427777</v>
      </c>
    </row>
    <row r="10394" spans="25:26" x14ac:dyDescent="0.25">
      <c r="Y10394" s="63">
        <v>52927</v>
      </c>
      <c r="Z10394" s="61">
        <f>_xll.qlYieldTSDiscount($U$35,Y10394,,Trigger)</f>
        <v>0.61570555357533907</v>
      </c>
    </row>
    <row r="10395" spans="25:26" x14ac:dyDescent="0.25">
      <c r="Y10395" s="63">
        <v>52928</v>
      </c>
      <c r="Z10395" s="61">
        <f>_xll.qlYieldTSDiscount($U$35,Y10395,,Trigger)</f>
        <v>0.61566224136373948</v>
      </c>
    </row>
    <row r="10396" spans="25:26" x14ac:dyDescent="0.25">
      <c r="Y10396" s="63">
        <v>52929</v>
      </c>
      <c r="Z10396" s="61">
        <f>_xll.qlYieldTSDiscount($U$35,Y10396,,Trigger)</f>
        <v>0.61561893167199233</v>
      </c>
    </row>
    <row r="10397" spans="25:26" x14ac:dyDescent="0.25">
      <c r="Y10397" s="63">
        <v>52930</v>
      </c>
      <c r="Z10397" s="61">
        <f>_xll.qlYieldTSDiscount($U$35,Y10397,,Trigger)</f>
        <v>0.61557562450261116</v>
      </c>
    </row>
    <row r="10398" spans="25:26" x14ac:dyDescent="0.25">
      <c r="Y10398" s="63">
        <v>52931</v>
      </c>
      <c r="Z10398" s="61">
        <f>_xll.qlYieldTSDiscount($U$35,Y10398,,Trigger)</f>
        <v>0.61553231985810963</v>
      </c>
    </row>
    <row r="10399" spans="25:26" x14ac:dyDescent="0.25">
      <c r="Y10399" s="63">
        <v>52932</v>
      </c>
      <c r="Z10399" s="61">
        <f>_xll.qlYieldTSDiscount($U$35,Y10399,,Trigger)</f>
        <v>0.61548901774100129</v>
      </c>
    </row>
    <row r="10400" spans="25:26" x14ac:dyDescent="0.25">
      <c r="Y10400" s="63">
        <v>52933</v>
      </c>
      <c r="Z10400" s="61">
        <f>_xll.qlYieldTSDiscount($U$35,Y10400,,Trigger)</f>
        <v>0.61544571815379956</v>
      </c>
    </row>
    <row r="10401" spans="25:26" x14ac:dyDescent="0.25">
      <c r="Y10401" s="63">
        <v>52934</v>
      </c>
      <c r="Z10401" s="61">
        <f>_xll.qlYieldTSDiscount($U$35,Y10401,,Trigger)</f>
        <v>0.61540242109901822</v>
      </c>
    </row>
    <row r="10402" spans="25:26" x14ac:dyDescent="0.25">
      <c r="Y10402" s="63">
        <v>52935</v>
      </c>
      <c r="Z10402" s="61">
        <f>_xll.qlYieldTSDiscount($U$35,Y10402,,Trigger)</f>
        <v>0.61535912657917058</v>
      </c>
    </row>
    <row r="10403" spans="25:26" x14ac:dyDescent="0.25">
      <c r="Y10403" s="63">
        <v>52936</v>
      </c>
      <c r="Z10403" s="61">
        <f>_xll.qlYieldTSDiscount($U$35,Y10403,,Trigger)</f>
        <v>0.61531583459677042</v>
      </c>
    </row>
    <row r="10404" spans="25:26" x14ac:dyDescent="0.25">
      <c r="Y10404" s="63">
        <v>52937</v>
      </c>
      <c r="Z10404" s="61">
        <f>_xll.qlYieldTSDiscount($U$35,Y10404,,Trigger)</f>
        <v>0.61527254515433105</v>
      </c>
    </row>
    <row r="10405" spans="25:26" x14ac:dyDescent="0.25">
      <c r="Y10405" s="63">
        <v>52938</v>
      </c>
      <c r="Z10405" s="61">
        <f>_xll.qlYieldTSDiscount($U$35,Y10405,,Trigger)</f>
        <v>0.61522925825436614</v>
      </c>
    </row>
    <row r="10406" spans="25:26" x14ac:dyDescent="0.25">
      <c r="Y10406" s="63">
        <v>52939</v>
      </c>
      <c r="Z10406" s="61">
        <f>_xll.qlYieldTSDiscount($U$35,Y10406,,Trigger)</f>
        <v>0.61518597389938934</v>
      </c>
    </row>
    <row r="10407" spans="25:26" x14ac:dyDescent="0.25">
      <c r="Y10407" s="63">
        <v>52940</v>
      </c>
      <c r="Z10407" s="61">
        <f>_xll.qlYieldTSDiscount($U$35,Y10407,,Trigger)</f>
        <v>0.61514269209191408</v>
      </c>
    </row>
    <row r="10408" spans="25:26" x14ac:dyDescent="0.25">
      <c r="Y10408" s="63">
        <v>52941</v>
      </c>
      <c r="Z10408" s="61">
        <f>_xll.qlYieldTSDiscount($U$35,Y10408,,Trigger)</f>
        <v>0.61509941283445391</v>
      </c>
    </row>
    <row r="10409" spans="25:26" x14ac:dyDescent="0.25">
      <c r="Y10409" s="63">
        <v>52942</v>
      </c>
      <c r="Z10409" s="61">
        <f>_xll.qlYieldTSDiscount($U$35,Y10409,,Trigger)</f>
        <v>0.61505613612952237</v>
      </c>
    </row>
    <row r="10410" spans="25:26" x14ac:dyDescent="0.25">
      <c r="Y10410" s="63">
        <v>52943</v>
      </c>
      <c r="Z10410" s="61">
        <f>_xll.qlYieldTSDiscount($U$35,Y10410,,Trigger)</f>
        <v>0.61501286197963312</v>
      </c>
    </row>
    <row r="10411" spans="25:26" x14ac:dyDescent="0.25">
      <c r="Y10411" s="63">
        <v>52944</v>
      </c>
      <c r="Z10411" s="61">
        <f>_xll.qlYieldTSDiscount($U$35,Y10411,,Trigger)</f>
        <v>0.61496959038729959</v>
      </c>
    </row>
    <row r="10412" spans="25:26" x14ac:dyDescent="0.25">
      <c r="Y10412" s="63">
        <v>52945</v>
      </c>
      <c r="Z10412" s="61">
        <f>_xll.qlYieldTSDiscount($U$35,Y10412,,Trigger)</f>
        <v>0.61492632135503544</v>
      </c>
    </row>
    <row r="10413" spans="25:26" x14ac:dyDescent="0.25">
      <c r="Y10413" s="63">
        <v>52946</v>
      </c>
      <c r="Z10413" s="61">
        <f>_xll.qlYieldTSDiscount($U$35,Y10413,,Trigger)</f>
        <v>0.61488305488535411</v>
      </c>
    </row>
    <row r="10414" spans="25:26" x14ac:dyDescent="0.25">
      <c r="Y10414" s="63">
        <v>52947</v>
      </c>
      <c r="Z10414" s="61">
        <f>_xll.qlYieldTSDiscount($U$35,Y10414,,Trigger)</f>
        <v>0.61483979098076924</v>
      </c>
    </row>
    <row r="10415" spans="25:26" x14ac:dyDescent="0.25">
      <c r="Y10415" s="63">
        <v>52948</v>
      </c>
      <c r="Z10415" s="61">
        <f>_xll.qlYieldTSDiscount($U$35,Y10415,,Trigger)</f>
        <v>0.61479652964379428</v>
      </c>
    </row>
    <row r="10416" spans="25:26" x14ac:dyDescent="0.25">
      <c r="Y10416" s="63">
        <v>52949</v>
      </c>
      <c r="Z10416" s="61">
        <f>_xll.qlYieldTSDiscount($U$35,Y10416,,Trigger)</f>
        <v>0.61475327087694287</v>
      </c>
    </row>
    <row r="10417" spans="25:26" x14ac:dyDescent="0.25">
      <c r="Y10417" s="63">
        <v>52950</v>
      </c>
      <c r="Z10417" s="61">
        <f>_xll.qlYieldTSDiscount($U$35,Y10417,,Trigger)</f>
        <v>0.61471001468272857</v>
      </c>
    </row>
    <row r="10418" spans="25:26" x14ac:dyDescent="0.25">
      <c r="Y10418" s="63">
        <v>52951</v>
      </c>
      <c r="Z10418" s="61">
        <f>_xll.qlYieldTSDiscount($U$35,Y10418,,Trigger)</f>
        <v>0.61466676106366491</v>
      </c>
    </row>
    <row r="10419" spans="25:26" x14ac:dyDescent="0.25">
      <c r="Y10419" s="63">
        <v>52952</v>
      </c>
      <c r="Z10419" s="61">
        <f>_xll.qlYieldTSDiscount($U$35,Y10419,,Trigger)</f>
        <v>0.61462351002226545</v>
      </c>
    </row>
    <row r="10420" spans="25:26" x14ac:dyDescent="0.25">
      <c r="Y10420" s="63">
        <v>52953</v>
      </c>
      <c r="Z10420" s="61">
        <f>_xll.qlYieldTSDiscount($U$35,Y10420,,Trigger)</f>
        <v>0.61458026156104362</v>
      </c>
    </row>
    <row r="10421" spans="25:26" x14ac:dyDescent="0.25">
      <c r="Y10421" s="63">
        <v>52954</v>
      </c>
      <c r="Z10421" s="61">
        <f>_xll.qlYieldTSDiscount($U$35,Y10421,,Trigger)</f>
        <v>0.61453701568251318</v>
      </c>
    </row>
    <row r="10422" spans="25:26" x14ac:dyDescent="0.25">
      <c r="Y10422" s="63">
        <v>52955</v>
      </c>
      <c r="Z10422" s="61">
        <f>_xll.qlYieldTSDiscount($U$35,Y10422,,Trigger)</f>
        <v>0.61449377238918745</v>
      </c>
    </row>
    <row r="10423" spans="25:26" x14ac:dyDescent="0.25">
      <c r="Y10423" s="63">
        <v>52956</v>
      </c>
      <c r="Z10423" s="61">
        <f>_xll.qlYieldTSDiscount($U$35,Y10423,,Trigger)</f>
        <v>0.61445053168358021</v>
      </c>
    </row>
    <row r="10424" spans="25:26" x14ac:dyDescent="0.25">
      <c r="Y10424" s="63">
        <v>52957</v>
      </c>
      <c r="Z10424" s="61">
        <f>_xll.qlYieldTSDiscount($U$35,Y10424,,Trigger)</f>
        <v>0.61440729356820489</v>
      </c>
    </row>
    <row r="10425" spans="25:26" x14ac:dyDescent="0.25">
      <c r="Y10425" s="63">
        <v>52958</v>
      </c>
      <c r="Z10425" s="61">
        <f>_xll.qlYieldTSDiscount($U$35,Y10425,,Trigger)</f>
        <v>0.61436405804557503</v>
      </c>
    </row>
    <row r="10426" spans="25:26" x14ac:dyDescent="0.25">
      <c r="Y10426" s="63">
        <v>52959</v>
      </c>
      <c r="Z10426" s="61">
        <f>_xll.qlYieldTSDiscount($U$35,Y10426,,Trigger)</f>
        <v>0.61432082511820418</v>
      </c>
    </row>
    <row r="10427" spans="25:26" x14ac:dyDescent="0.25">
      <c r="Y10427" s="63">
        <v>52960</v>
      </c>
      <c r="Z10427" s="61">
        <f>_xll.qlYieldTSDiscount($U$35,Y10427,,Trigger)</f>
        <v>0.614277594788606</v>
      </c>
    </row>
    <row r="10428" spans="25:26" x14ac:dyDescent="0.25">
      <c r="Y10428" s="63">
        <v>52961</v>
      </c>
      <c r="Z10428" s="61">
        <f>_xll.qlYieldTSDiscount($U$35,Y10428,,Trigger)</f>
        <v>0.61423436705929391</v>
      </c>
    </row>
    <row r="10429" spans="25:26" x14ac:dyDescent="0.25">
      <c r="Y10429" s="63">
        <v>52962</v>
      </c>
      <c r="Z10429" s="61">
        <f>_xll.qlYieldTSDiscount($U$35,Y10429,,Trigger)</f>
        <v>0.61419114193278146</v>
      </c>
    </row>
    <row r="10430" spans="25:26" x14ac:dyDescent="0.25">
      <c r="Y10430" s="63">
        <v>52963</v>
      </c>
      <c r="Z10430" s="61">
        <f>_xll.qlYieldTSDiscount($U$35,Y10430,,Trigger)</f>
        <v>0.61414791941158242</v>
      </c>
    </row>
    <row r="10431" spans="25:26" x14ac:dyDescent="0.25">
      <c r="Y10431" s="63">
        <v>52964</v>
      </c>
      <c r="Z10431" s="61">
        <f>_xll.qlYieldTSDiscount($U$35,Y10431,,Trigger)</f>
        <v>0.61410469949821</v>
      </c>
    </row>
    <row r="10432" spans="25:26" x14ac:dyDescent="0.25">
      <c r="Y10432" s="63">
        <v>52965</v>
      </c>
      <c r="Z10432" s="61">
        <f>_xll.qlYieldTSDiscount($U$35,Y10432,,Trigger)</f>
        <v>0.61406148219517809</v>
      </c>
    </row>
    <row r="10433" spans="25:26" x14ac:dyDescent="0.25">
      <c r="Y10433" s="63">
        <v>52966</v>
      </c>
      <c r="Z10433" s="61">
        <f>_xll.qlYieldTSDiscount($U$35,Y10433,,Trigger)</f>
        <v>0.61401826750499999</v>
      </c>
    </row>
    <row r="10434" spans="25:26" x14ac:dyDescent="0.25">
      <c r="Y10434" s="63">
        <v>52967</v>
      </c>
      <c r="Z10434" s="61">
        <f>_xll.qlYieldTSDiscount($U$35,Y10434,,Trigger)</f>
        <v>0.61397505543018926</v>
      </c>
    </row>
    <row r="10435" spans="25:26" x14ac:dyDescent="0.25">
      <c r="Y10435" s="63">
        <v>52968</v>
      </c>
      <c r="Z10435" s="61">
        <f>_xll.qlYieldTSDiscount($U$35,Y10435,,Trigger)</f>
        <v>0.61393184597325967</v>
      </c>
    </row>
    <row r="10436" spans="25:26" x14ac:dyDescent="0.25">
      <c r="Y10436" s="63">
        <v>52969</v>
      </c>
      <c r="Z10436" s="61">
        <f>_xll.qlYieldTSDiscount($U$35,Y10436,,Trigger)</f>
        <v>0.61388863913672453</v>
      </c>
    </row>
    <row r="10437" spans="25:26" x14ac:dyDescent="0.25">
      <c r="Y10437" s="63">
        <v>52970</v>
      </c>
      <c r="Z10437" s="61">
        <f>_xll.qlYieldTSDiscount($U$35,Y10437,,Trigger)</f>
        <v>0.61384543492309751</v>
      </c>
    </row>
    <row r="10438" spans="25:26" x14ac:dyDescent="0.25">
      <c r="Y10438" s="63">
        <v>52971</v>
      </c>
      <c r="Z10438" s="61">
        <f>_xll.qlYieldTSDiscount($U$35,Y10438,,Trigger)</f>
        <v>0.61380223333489226</v>
      </c>
    </row>
    <row r="10439" spans="25:26" x14ac:dyDescent="0.25">
      <c r="Y10439" s="63">
        <v>52972</v>
      </c>
      <c r="Z10439" s="61">
        <f>_xll.qlYieldTSDiscount($U$35,Y10439,,Trigger)</f>
        <v>0.61375903437462209</v>
      </c>
    </row>
    <row r="10440" spans="25:26" x14ac:dyDescent="0.25">
      <c r="Y10440" s="63">
        <v>52973</v>
      </c>
      <c r="Z10440" s="61">
        <f>_xll.qlYieldTSDiscount($U$35,Y10440,,Trigger)</f>
        <v>0.61371583804480068</v>
      </c>
    </row>
    <row r="10441" spans="25:26" x14ac:dyDescent="0.25">
      <c r="Y10441" s="63">
        <v>52974</v>
      </c>
      <c r="Z10441" s="61">
        <f>_xll.qlYieldTSDiscount($U$35,Y10441,,Trigger)</f>
        <v>0.61367264434794166</v>
      </c>
    </row>
    <row r="10442" spans="25:26" x14ac:dyDescent="0.25">
      <c r="Y10442" s="63">
        <v>52975</v>
      </c>
      <c r="Z10442" s="61">
        <f>_xll.qlYieldTSDiscount($U$35,Y10442,,Trigger)</f>
        <v>0.61362945328655849</v>
      </c>
    </row>
    <row r="10443" spans="25:26" x14ac:dyDescent="0.25">
      <c r="Y10443" s="63">
        <v>52976</v>
      </c>
      <c r="Z10443" s="61">
        <f>_xll.qlYieldTSDiscount($U$35,Y10443,,Trigger)</f>
        <v>0.6135862648631647</v>
      </c>
    </row>
    <row r="10444" spans="25:26" x14ac:dyDescent="0.25">
      <c r="Y10444" s="63">
        <v>52977</v>
      </c>
      <c r="Z10444" s="61">
        <f>_xll.qlYieldTSDiscount($U$35,Y10444,,Trigger)</f>
        <v>0.61354307908027383</v>
      </c>
    </row>
    <row r="10445" spans="25:26" x14ac:dyDescent="0.25">
      <c r="Y10445" s="63">
        <v>52978</v>
      </c>
      <c r="Z10445" s="61">
        <f>_xll.qlYieldTSDiscount($U$35,Y10445,,Trigger)</f>
        <v>0.61349989594039944</v>
      </c>
    </row>
    <row r="10446" spans="25:26" x14ac:dyDescent="0.25">
      <c r="Y10446" s="63">
        <v>52979</v>
      </c>
      <c r="Z10446" s="61">
        <f>_xll.qlYieldTSDiscount($U$35,Y10446,,Trigger)</f>
        <v>0.61345671544605529</v>
      </c>
    </row>
    <row r="10447" spans="25:26" x14ac:dyDescent="0.25">
      <c r="Y10447" s="63">
        <v>52980</v>
      </c>
      <c r="Z10447" s="61">
        <f>_xll.qlYieldTSDiscount($U$35,Y10447,,Trigger)</f>
        <v>0.61341353759975459</v>
      </c>
    </row>
    <row r="10448" spans="25:26" x14ac:dyDescent="0.25">
      <c r="Y10448" s="63">
        <v>52981</v>
      </c>
      <c r="Z10448" s="61">
        <f>_xll.qlYieldTSDiscount($U$35,Y10448,,Trigger)</f>
        <v>0.6133703624040111</v>
      </c>
    </row>
    <row r="10449" spans="25:26" x14ac:dyDescent="0.25">
      <c r="Y10449" s="63">
        <v>52982</v>
      </c>
      <c r="Z10449" s="61">
        <f>_xll.qlYieldTSDiscount($U$35,Y10449,,Trigger)</f>
        <v>0.61332718986133838</v>
      </c>
    </row>
    <row r="10450" spans="25:26" x14ac:dyDescent="0.25">
      <c r="Y10450" s="63">
        <v>52983</v>
      </c>
      <c r="Z10450" s="61">
        <f>_xll.qlYieldTSDiscount($U$35,Y10450,,Trigger)</f>
        <v>0.61328401997424986</v>
      </c>
    </row>
    <row r="10451" spans="25:26" x14ac:dyDescent="0.25">
      <c r="Y10451" s="63">
        <v>52984</v>
      </c>
      <c r="Z10451" s="61">
        <f>_xll.qlYieldTSDiscount($U$35,Y10451,,Trigger)</f>
        <v>0.61324085274525919</v>
      </c>
    </row>
    <row r="10452" spans="25:26" x14ac:dyDescent="0.25">
      <c r="Y10452" s="63">
        <v>52985</v>
      </c>
      <c r="Z10452" s="61">
        <f>_xll.qlYieldTSDiscount($U$35,Y10452,,Trigger)</f>
        <v>0.61319768817687992</v>
      </c>
    </row>
    <row r="10453" spans="25:26" x14ac:dyDescent="0.25">
      <c r="Y10453" s="63">
        <v>52986</v>
      </c>
      <c r="Z10453" s="61">
        <f>_xll.qlYieldTSDiscount($U$35,Y10453,,Trigger)</f>
        <v>0.61315452627162559</v>
      </c>
    </row>
    <row r="10454" spans="25:26" x14ac:dyDescent="0.25">
      <c r="Y10454" s="63">
        <v>52987</v>
      </c>
      <c r="Z10454" s="61">
        <f>_xll.qlYieldTSDiscount($U$35,Y10454,,Trigger)</f>
        <v>0.61311136703200964</v>
      </c>
    </row>
    <row r="10455" spans="25:26" x14ac:dyDescent="0.25">
      <c r="Y10455" s="63">
        <v>52988</v>
      </c>
      <c r="Z10455" s="61">
        <f>_xll.qlYieldTSDiscount($U$35,Y10455,,Trigger)</f>
        <v>0.61306821046054583</v>
      </c>
    </row>
    <row r="10456" spans="25:26" x14ac:dyDescent="0.25">
      <c r="Y10456" s="63">
        <v>52989</v>
      </c>
      <c r="Z10456" s="61">
        <f>_xll.qlYieldTSDiscount($U$35,Y10456,,Trigger)</f>
        <v>0.61302505655974748</v>
      </c>
    </row>
    <row r="10457" spans="25:26" x14ac:dyDescent="0.25">
      <c r="Y10457" s="63">
        <v>52990</v>
      </c>
      <c r="Z10457" s="61">
        <f>_xll.qlYieldTSDiscount($U$35,Y10457,,Trigger)</f>
        <v>0.61298190533212837</v>
      </c>
    </row>
    <row r="10458" spans="25:26" x14ac:dyDescent="0.25">
      <c r="Y10458" s="63">
        <v>52991</v>
      </c>
      <c r="Z10458" s="61">
        <f>_xll.qlYieldTSDiscount($U$35,Y10458,,Trigger)</f>
        <v>0.61293875678020182</v>
      </c>
    </row>
    <row r="10459" spans="25:26" x14ac:dyDescent="0.25">
      <c r="Y10459" s="63">
        <v>52992</v>
      </c>
      <c r="Z10459" s="61">
        <f>_xll.qlYieldTSDiscount($U$35,Y10459,,Trigger)</f>
        <v>0.61289561090648159</v>
      </c>
    </row>
    <row r="10460" spans="25:26" x14ac:dyDescent="0.25">
      <c r="Y10460" s="63">
        <v>52993</v>
      </c>
      <c r="Z10460" s="61">
        <f>_xll.qlYieldTSDiscount($U$35,Y10460,,Trigger)</f>
        <v>0.61285246771348112</v>
      </c>
    </row>
    <row r="10461" spans="25:26" x14ac:dyDescent="0.25">
      <c r="Y10461" s="63">
        <v>52994</v>
      </c>
      <c r="Z10461" s="61">
        <f>_xll.qlYieldTSDiscount($U$35,Y10461,,Trigger)</f>
        <v>0.61280932720371406</v>
      </c>
    </row>
    <row r="10462" spans="25:26" x14ac:dyDescent="0.25">
      <c r="Y10462" s="63">
        <v>52995</v>
      </c>
      <c r="Z10462" s="61">
        <f>_xll.qlYieldTSDiscount($U$35,Y10462,,Trigger)</f>
        <v>0.61276618937969385</v>
      </c>
    </row>
    <row r="10463" spans="25:26" x14ac:dyDescent="0.25">
      <c r="Y10463" s="63">
        <v>52996</v>
      </c>
      <c r="Z10463" s="61">
        <f>_xll.qlYieldTSDiscount($U$35,Y10463,,Trigger)</f>
        <v>0.61272305424393392</v>
      </c>
    </row>
    <row r="10464" spans="25:26" x14ac:dyDescent="0.25">
      <c r="Y10464" s="63">
        <v>52997</v>
      </c>
      <c r="Z10464" s="61">
        <f>_xll.qlYieldTSDiscount($U$35,Y10464,,Trigger)</f>
        <v>0.61267992179894815</v>
      </c>
    </row>
    <row r="10465" spans="25:26" x14ac:dyDescent="0.25">
      <c r="Y10465" s="63">
        <v>52998</v>
      </c>
      <c r="Z10465" s="61">
        <f>_xll.qlYieldTSDiscount($U$35,Y10465,,Trigger)</f>
        <v>0.61263679204724986</v>
      </c>
    </row>
    <row r="10466" spans="25:26" x14ac:dyDescent="0.25">
      <c r="Y10466" s="63">
        <v>52999</v>
      </c>
      <c r="Z10466" s="61">
        <f>_xll.qlYieldTSDiscount($U$35,Y10466,,Trigger)</f>
        <v>0.61259366499135259</v>
      </c>
    </row>
    <row r="10467" spans="25:26" x14ac:dyDescent="0.25">
      <c r="Y10467" s="63">
        <v>53000</v>
      </c>
      <c r="Z10467" s="61">
        <f>_xll.qlYieldTSDiscount($U$35,Y10467,,Trigger)</f>
        <v>0.61255054063377012</v>
      </c>
    </row>
    <row r="10468" spans="25:26" x14ac:dyDescent="0.25">
      <c r="Y10468" s="63">
        <v>53001</v>
      </c>
      <c r="Z10468" s="61">
        <f>_xll.qlYieldTSDiscount($U$35,Y10468,,Trigger)</f>
        <v>0.61250741897701566</v>
      </c>
    </row>
    <row r="10469" spans="25:26" x14ac:dyDescent="0.25">
      <c r="Y10469" s="63">
        <v>53002</v>
      </c>
      <c r="Z10469" s="61">
        <f>_xll.qlYieldTSDiscount($U$35,Y10469,,Trigger)</f>
        <v>0.61246430002360308</v>
      </c>
    </row>
    <row r="10470" spans="25:26" x14ac:dyDescent="0.25">
      <c r="Y10470" s="63">
        <v>53003</v>
      </c>
      <c r="Z10470" s="61">
        <f>_xll.qlYieldTSDiscount($U$35,Y10470,,Trigger)</f>
        <v>0.61242118377604582</v>
      </c>
    </row>
    <row r="10471" spans="25:26" x14ac:dyDescent="0.25">
      <c r="Y10471" s="63">
        <v>53004</v>
      </c>
      <c r="Z10471" s="61">
        <f>_xll.qlYieldTSDiscount($U$35,Y10471,,Trigger)</f>
        <v>0.61237807023685731</v>
      </c>
    </row>
    <row r="10472" spans="25:26" x14ac:dyDescent="0.25">
      <c r="Y10472" s="63">
        <v>53005</v>
      </c>
      <c r="Z10472" s="61">
        <f>_xll.qlYieldTSDiscount($U$35,Y10472,,Trigger)</f>
        <v>0.6123349594085512</v>
      </c>
    </row>
    <row r="10473" spans="25:26" x14ac:dyDescent="0.25">
      <c r="Y10473" s="63">
        <v>53006</v>
      </c>
      <c r="Z10473" s="61">
        <f>_xll.qlYieldTSDiscount($U$35,Y10473,,Trigger)</f>
        <v>0.61229185129364105</v>
      </c>
    </row>
    <row r="10474" spans="25:26" x14ac:dyDescent="0.25">
      <c r="Y10474" s="63">
        <v>53007</v>
      </c>
      <c r="Z10474" s="61">
        <f>_xll.qlYieldTSDiscount($U$35,Y10474,,Trigger)</f>
        <v>0.61224874589464051</v>
      </c>
    </row>
    <row r="10475" spans="25:26" x14ac:dyDescent="0.25">
      <c r="Y10475" s="63">
        <v>53008</v>
      </c>
      <c r="Z10475" s="61">
        <f>_xll.qlYieldTSDiscount($U$35,Y10475,,Trigger)</f>
        <v>0.6122056432140629</v>
      </c>
    </row>
    <row r="10476" spans="25:26" x14ac:dyDescent="0.25">
      <c r="Y10476" s="63">
        <v>53009</v>
      </c>
      <c r="Z10476" s="61">
        <f>_xll.qlYieldTSDiscount($U$35,Y10476,,Trigger)</f>
        <v>0.61216254325442188</v>
      </c>
    </row>
    <row r="10477" spans="25:26" x14ac:dyDescent="0.25">
      <c r="Y10477" s="63">
        <v>53010</v>
      </c>
      <c r="Z10477" s="61">
        <f>_xll.qlYieldTSDiscount($U$35,Y10477,,Trigger)</f>
        <v>0.61211944601823109</v>
      </c>
    </row>
    <row r="10478" spans="25:26" x14ac:dyDescent="0.25">
      <c r="Y10478" s="63">
        <v>53011</v>
      </c>
      <c r="Z10478" s="61">
        <f>_xll.qlYieldTSDiscount($U$35,Y10478,,Trigger)</f>
        <v>0.61207635150800399</v>
      </c>
    </row>
    <row r="10479" spans="25:26" x14ac:dyDescent="0.25">
      <c r="Y10479" s="63">
        <v>53012</v>
      </c>
      <c r="Z10479" s="61">
        <f>_xll.qlYieldTSDiscount($U$35,Y10479,,Trigger)</f>
        <v>0.61203325972625411</v>
      </c>
    </row>
    <row r="10480" spans="25:26" x14ac:dyDescent="0.25">
      <c r="Y10480" s="63">
        <v>53013</v>
      </c>
      <c r="Z10480" s="61">
        <f>_xll.qlYieldTSDiscount($U$35,Y10480,,Trigger)</f>
        <v>0.6119901706754951</v>
      </c>
    </row>
    <row r="10481" spans="25:26" x14ac:dyDescent="0.25">
      <c r="Y10481" s="63">
        <v>53014</v>
      </c>
      <c r="Z10481" s="61">
        <f>_xll.qlYieldTSDiscount($U$35,Y10481,,Trigger)</f>
        <v>0.61194708435824041</v>
      </c>
    </row>
    <row r="10482" spans="25:26" x14ac:dyDescent="0.25">
      <c r="Y10482" s="63">
        <v>53015</v>
      </c>
      <c r="Z10482" s="61">
        <f>_xll.qlYieldTSDiscount($U$35,Y10482,,Trigger)</f>
        <v>0.61190400077700358</v>
      </c>
    </row>
    <row r="10483" spans="25:26" x14ac:dyDescent="0.25">
      <c r="Y10483" s="63">
        <v>53016</v>
      </c>
      <c r="Z10483" s="61">
        <f>_xll.qlYieldTSDiscount($U$35,Y10483,,Trigger)</f>
        <v>0.61186091993429836</v>
      </c>
    </row>
    <row r="10484" spans="25:26" x14ac:dyDescent="0.25">
      <c r="Y10484" s="63">
        <v>53017</v>
      </c>
      <c r="Z10484" s="61">
        <f>_xll.qlYieldTSDiscount($U$35,Y10484,,Trigger)</f>
        <v>0.61181784183263799</v>
      </c>
    </row>
    <row r="10485" spans="25:26" x14ac:dyDescent="0.25">
      <c r="Y10485" s="63">
        <v>53018</v>
      </c>
      <c r="Z10485" s="61">
        <f>_xll.qlYieldTSDiscount($U$35,Y10485,,Trigger)</f>
        <v>0.61177476647453632</v>
      </c>
    </row>
    <row r="10486" spans="25:26" x14ac:dyDescent="0.25">
      <c r="Y10486" s="63">
        <v>53019</v>
      </c>
      <c r="Z10486" s="61">
        <f>_xll.qlYieldTSDiscount($U$35,Y10486,,Trigger)</f>
        <v>0.6117316938625067</v>
      </c>
    </row>
    <row r="10487" spans="25:26" x14ac:dyDescent="0.25">
      <c r="Y10487" s="63">
        <v>53020</v>
      </c>
      <c r="Z10487" s="61">
        <f>_xll.qlYieldTSDiscount($U$35,Y10487,,Trigger)</f>
        <v>0.61168862399906265</v>
      </c>
    </row>
    <row r="10488" spans="25:26" x14ac:dyDescent="0.25">
      <c r="Y10488" s="63">
        <v>53021</v>
      </c>
      <c r="Z10488" s="61">
        <f>_xll.qlYieldTSDiscount($U$35,Y10488,,Trigger)</f>
        <v>0.61164555688671796</v>
      </c>
    </row>
    <row r="10489" spans="25:26" x14ac:dyDescent="0.25">
      <c r="Y10489" s="63">
        <v>53022</v>
      </c>
      <c r="Z10489" s="61">
        <f>_xll.qlYieldTSDiscount($U$35,Y10489,,Trigger)</f>
        <v>0.61160249252798593</v>
      </c>
    </row>
    <row r="10490" spans="25:26" x14ac:dyDescent="0.25">
      <c r="Y10490" s="63">
        <v>53023</v>
      </c>
      <c r="Z10490" s="61">
        <f>_xll.qlYieldTSDiscount($U$35,Y10490,,Trigger)</f>
        <v>0.61155943092538034</v>
      </c>
    </row>
    <row r="10491" spans="25:26" x14ac:dyDescent="0.25">
      <c r="Y10491" s="63">
        <v>53024</v>
      </c>
      <c r="Z10491" s="61">
        <f>_xll.qlYieldTSDiscount($U$35,Y10491,,Trigger)</f>
        <v>0.61151637208141452</v>
      </c>
    </row>
    <row r="10492" spans="25:26" x14ac:dyDescent="0.25">
      <c r="Y10492" s="63">
        <v>53025</v>
      </c>
      <c r="Z10492" s="61">
        <f>_xll.qlYieldTSDiscount($U$35,Y10492,,Trigger)</f>
        <v>0.61147331599860222</v>
      </c>
    </row>
    <row r="10493" spans="25:26" x14ac:dyDescent="0.25">
      <c r="Y10493" s="63">
        <v>53026</v>
      </c>
      <c r="Z10493" s="61">
        <f>_xll.qlYieldTSDiscount($U$35,Y10493,,Trigger)</f>
        <v>0.61143026267945677</v>
      </c>
    </row>
    <row r="10494" spans="25:26" x14ac:dyDescent="0.25">
      <c r="Y10494" s="63">
        <v>53027</v>
      </c>
      <c r="Z10494" s="61">
        <f>_xll.qlYieldTSDiscount($U$35,Y10494,,Trigger)</f>
        <v>0.61138721212649205</v>
      </c>
    </row>
    <row r="10495" spans="25:26" x14ac:dyDescent="0.25">
      <c r="Y10495" s="63">
        <v>53028</v>
      </c>
      <c r="Z10495" s="61">
        <f>_xll.qlYieldTSDiscount($U$35,Y10495,,Trigger)</f>
        <v>0.61134416434222116</v>
      </c>
    </row>
    <row r="10496" spans="25:26" x14ac:dyDescent="0.25">
      <c r="Y10496" s="63">
        <v>53029</v>
      </c>
      <c r="Z10496" s="61">
        <f>_xll.qlYieldTSDiscount($U$35,Y10496,,Trigger)</f>
        <v>0.61130111932915809</v>
      </c>
    </row>
    <row r="10497" spans="25:26" x14ac:dyDescent="0.25">
      <c r="Y10497" s="63">
        <v>53030</v>
      </c>
      <c r="Z10497" s="61">
        <f>_xll.qlYieldTSDiscount($U$35,Y10497,,Trigger)</f>
        <v>0.61125807708981605</v>
      </c>
    </row>
    <row r="10498" spans="25:26" x14ac:dyDescent="0.25">
      <c r="Y10498" s="63">
        <v>53031</v>
      </c>
      <c r="Z10498" s="61">
        <f>_xll.qlYieldTSDiscount($U$35,Y10498,,Trigger)</f>
        <v>0.61121503762670892</v>
      </c>
    </row>
    <row r="10499" spans="25:26" x14ac:dyDescent="0.25">
      <c r="Y10499" s="63">
        <v>53032</v>
      </c>
      <c r="Z10499" s="61">
        <f>_xll.qlYieldTSDiscount($U$35,Y10499,,Trigger)</f>
        <v>0.61117200094234991</v>
      </c>
    </row>
    <row r="10500" spans="25:26" x14ac:dyDescent="0.25">
      <c r="Y10500" s="63">
        <v>53033</v>
      </c>
      <c r="Z10500" s="61">
        <f>_xll.qlYieldTSDiscount($U$35,Y10500,,Trigger)</f>
        <v>0.61112896703925279</v>
      </c>
    </row>
    <row r="10501" spans="25:26" x14ac:dyDescent="0.25">
      <c r="Y10501" s="63">
        <v>53034</v>
      </c>
      <c r="Z10501" s="61">
        <f>_xll.qlYieldTSDiscount($U$35,Y10501,,Trigger)</f>
        <v>0.6110859359199311</v>
      </c>
    </row>
    <row r="10502" spans="25:26" x14ac:dyDescent="0.25">
      <c r="Y10502" s="63">
        <v>53035</v>
      </c>
      <c r="Z10502" s="61">
        <f>_xll.qlYieldTSDiscount($U$35,Y10502,,Trigger)</f>
        <v>0.61104290758689828</v>
      </c>
    </row>
    <row r="10503" spans="25:26" x14ac:dyDescent="0.25">
      <c r="Y10503" s="63">
        <v>53036</v>
      </c>
      <c r="Z10503" s="61">
        <f>_xll.qlYieldTSDiscount($U$35,Y10503,,Trigger)</f>
        <v>0.61099988204266797</v>
      </c>
    </row>
    <row r="10504" spans="25:26" x14ac:dyDescent="0.25">
      <c r="Y10504" s="63">
        <v>53037</v>
      </c>
      <c r="Z10504" s="61">
        <f>_xll.qlYieldTSDiscount($U$35,Y10504,,Trigger)</f>
        <v>0.61095685928975374</v>
      </c>
    </row>
    <row r="10505" spans="25:26" x14ac:dyDescent="0.25">
      <c r="Y10505" s="63">
        <v>53038</v>
      </c>
      <c r="Z10505" s="61">
        <f>_xll.qlYieldTSDiscount($U$35,Y10505,,Trigger)</f>
        <v>0.61091383933066901</v>
      </c>
    </row>
    <row r="10506" spans="25:26" x14ac:dyDescent="0.25">
      <c r="Y10506" s="63">
        <v>53039</v>
      </c>
      <c r="Z10506" s="61">
        <f>_xll.qlYieldTSDiscount($U$35,Y10506,,Trigger)</f>
        <v>0.61087082216792743</v>
      </c>
    </row>
    <row r="10507" spans="25:26" x14ac:dyDescent="0.25">
      <c r="Y10507" s="63">
        <v>53040</v>
      </c>
      <c r="Z10507" s="61">
        <f>_xll.qlYieldTSDiscount($U$35,Y10507,,Trigger)</f>
        <v>0.61082780780404267</v>
      </c>
    </row>
    <row r="10508" spans="25:26" x14ac:dyDescent="0.25">
      <c r="Y10508" s="63">
        <v>53041</v>
      </c>
      <c r="Z10508" s="61">
        <f>_xll.qlYieldTSDiscount($U$35,Y10508,,Trigger)</f>
        <v>0.61078479624152804</v>
      </c>
    </row>
    <row r="10509" spans="25:26" x14ac:dyDescent="0.25">
      <c r="Y10509" s="63">
        <v>53042</v>
      </c>
      <c r="Z10509" s="61">
        <f>_xll.qlYieldTSDiscount($U$35,Y10509,,Trigger)</f>
        <v>0.6107417874828972</v>
      </c>
    </row>
    <row r="10510" spans="25:26" x14ac:dyDescent="0.25">
      <c r="Y10510" s="63">
        <v>53043</v>
      </c>
      <c r="Z10510" s="61">
        <f>_xll.qlYieldTSDiscount($U$35,Y10510,,Trigger)</f>
        <v>0.61069878153066381</v>
      </c>
    </row>
    <row r="10511" spans="25:26" x14ac:dyDescent="0.25">
      <c r="Y10511" s="63">
        <v>53044</v>
      </c>
      <c r="Z10511" s="61">
        <f>_xll.qlYieldTSDiscount($U$35,Y10511,,Trigger)</f>
        <v>0.6106557783873412</v>
      </c>
    </row>
    <row r="10512" spans="25:26" x14ac:dyDescent="0.25">
      <c r="Y10512" s="63">
        <v>53045</v>
      </c>
      <c r="Z10512" s="61">
        <f>_xll.qlYieldTSDiscount($U$35,Y10512,,Trigger)</f>
        <v>0.61061277805544312</v>
      </c>
    </row>
    <row r="10513" spans="25:26" x14ac:dyDescent="0.25">
      <c r="Y10513" s="63">
        <v>53046</v>
      </c>
      <c r="Z10513" s="61">
        <f>_xll.qlYieldTSDiscount($U$35,Y10513,,Trigger)</f>
        <v>0.6105697805374829</v>
      </c>
    </row>
    <row r="10514" spans="25:26" x14ac:dyDescent="0.25">
      <c r="Y10514" s="63">
        <v>53047</v>
      </c>
      <c r="Z10514" s="61">
        <f>_xll.qlYieldTSDiscount($U$35,Y10514,,Trigger)</f>
        <v>0.61052678583597442</v>
      </c>
    </row>
    <row r="10515" spans="25:26" x14ac:dyDescent="0.25">
      <c r="Y10515" s="63">
        <v>53048</v>
      </c>
      <c r="Z10515" s="61">
        <f>_xll.qlYieldTSDiscount($U$35,Y10515,,Trigger)</f>
        <v>0.61048379395343089</v>
      </c>
    </row>
    <row r="10516" spans="25:26" x14ac:dyDescent="0.25">
      <c r="Y10516" s="63">
        <v>53049</v>
      </c>
      <c r="Z10516" s="61">
        <f>_xll.qlYieldTSDiscount($U$35,Y10516,,Trigger)</f>
        <v>0.61044080489236607</v>
      </c>
    </row>
    <row r="10517" spans="25:26" x14ac:dyDescent="0.25">
      <c r="Y10517" s="63">
        <v>53050</v>
      </c>
      <c r="Z10517" s="61">
        <f>_xll.qlYieldTSDiscount($U$35,Y10517,,Trigger)</f>
        <v>0.61039781865529352</v>
      </c>
    </row>
    <row r="10518" spans="25:26" x14ac:dyDescent="0.25">
      <c r="Y10518" s="63">
        <v>53051</v>
      </c>
      <c r="Z10518" s="61">
        <f>_xll.qlYieldTSDiscount($U$35,Y10518,,Trigger)</f>
        <v>0.61035483524472667</v>
      </c>
    </row>
    <row r="10519" spans="25:26" x14ac:dyDescent="0.25">
      <c r="Y10519" s="63">
        <v>53052</v>
      </c>
      <c r="Z10519" s="61">
        <f>_xll.qlYieldTSDiscount($U$35,Y10519,,Trigger)</f>
        <v>0.61031185466317917</v>
      </c>
    </row>
    <row r="10520" spans="25:26" x14ac:dyDescent="0.25">
      <c r="Y10520" s="63">
        <v>53053</v>
      </c>
      <c r="Z10520" s="61">
        <f>_xll.qlYieldTSDiscount($U$35,Y10520,,Trigger)</f>
        <v>0.61026887691316445</v>
      </c>
    </row>
    <row r="10521" spans="25:26" x14ac:dyDescent="0.25">
      <c r="Y10521" s="63">
        <v>53054</v>
      </c>
      <c r="Z10521" s="61">
        <f>_xll.qlYieldTSDiscount($U$35,Y10521,,Trigger)</f>
        <v>0.61022590199719617</v>
      </c>
    </row>
    <row r="10522" spans="25:26" x14ac:dyDescent="0.25">
      <c r="Y10522" s="63">
        <v>53055</v>
      </c>
      <c r="Z10522" s="61">
        <f>_xll.qlYieldTSDiscount($U$35,Y10522,,Trigger)</f>
        <v>0.61018292991778789</v>
      </c>
    </row>
    <row r="10523" spans="25:26" x14ac:dyDescent="0.25">
      <c r="Y10523" s="63">
        <v>53056</v>
      </c>
      <c r="Z10523" s="61">
        <f>_xll.qlYieldTSDiscount($U$35,Y10523,,Trigger)</f>
        <v>0.61013996067745313</v>
      </c>
    </row>
    <row r="10524" spans="25:26" x14ac:dyDescent="0.25">
      <c r="Y10524" s="63">
        <v>53057</v>
      </c>
      <c r="Z10524" s="61">
        <f>_xll.qlYieldTSDiscount($U$35,Y10524,,Trigger)</f>
        <v>0.61009699427870534</v>
      </c>
    </row>
    <row r="10525" spans="25:26" x14ac:dyDescent="0.25">
      <c r="Y10525" s="63">
        <v>53058</v>
      </c>
      <c r="Z10525" s="61">
        <f>_xll.qlYieldTSDiscount($U$35,Y10525,,Trigger)</f>
        <v>0.61005403072405828</v>
      </c>
    </row>
    <row r="10526" spans="25:26" x14ac:dyDescent="0.25">
      <c r="Y10526" s="63">
        <v>53059</v>
      </c>
      <c r="Z10526" s="61">
        <f>_xll.qlYieldTSDiscount($U$35,Y10526,,Trigger)</f>
        <v>0.61001107001602528</v>
      </c>
    </row>
    <row r="10527" spans="25:26" x14ac:dyDescent="0.25">
      <c r="Y10527" s="63">
        <v>53060</v>
      </c>
      <c r="Z10527" s="61">
        <f>_xll.qlYieldTSDiscount($U$35,Y10527,,Trigger)</f>
        <v>0.6099681121571201</v>
      </c>
    </row>
    <row r="10528" spans="25:26" x14ac:dyDescent="0.25">
      <c r="Y10528" s="63">
        <v>53061</v>
      </c>
      <c r="Z10528" s="61">
        <f>_xll.qlYieldTSDiscount($U$35,Y10528,,Trigger)</f>
        <v>0.60992515714985618</v>
      </c>
    </row>
    <row r="10529" spans="25:26" x14ac:dyDescent="0.25">
      <c r="Y10529" s="63">
        <v>53062</v>
      </c>
      <c r="Z10529" s="61">
        <f>_xll.qlYieldTSDiscount($U$35,Y10529,,Trigger)</f>
        <v>0.60988220499674695</v>
      </c>
    </row>
    <row r="10530" spans="25:26" x14ac:dyDescent="0.25">
      <c r="Y10530" s="63">
        <v>53063</v>
      </c>
      <c r="Z10530" s="61">
        <f>_xll.qlYieldTSDiscount($U$35,Y10530,,Trigger)</f>
        <v>0.60983925570030628</v>
      </c>
    </row>
    <row r="10531" spans="25:26" x14ac:dyDescent="0.25">
      <c r="Y10531" s="63">
        <v>53064</v>
      </c>
      <c r="Z10531" s="61">
        <f>_xll.qlYieldTSDiscount($U$35,Y10531,,Trigger)</f>
        <v>0.6097963092630474</v>
      </c>
    </row>
    <row r="10532" spans="25:26" x14ac:dyDescent="0.25">
      <c r="Y10532" s="63">
        <v>53065</v>
      </c>
      <c r="Z10532" s="61">
        <f>_xll.qlYieldTSDiscount($U$35,Y10532,,Trigger)</f>
        <v>0.60975336568748406</v>
      </c>
    </row>
    <row r="10533" spans="25:26" x14ac:dyDescent="0.25">
      <c r="Y10533" s="63">
        <v>53066</v>
      </c>
      <c r="Z10533" s="61">
        <f>_xll.qlYieldTSDiscount($U$35,Y10533,,Trigger)</f>
        <v>0.60971042497612971</v>
      </c>
    </row>
    <row r="10534" spans="25:26" x14ac:dyDescent="0.25">
      <c r="Y10534" s="63">
        <v>53067</v>
      </c>
      <c r="Z10534" s="61">
        <f>_xll.qlYieldTSDiscount($U$35,Y10534,,Trigger)</f>
        <v>0.60966748713149788</v>
      </c>
    </row>
    <row r="10535" spans="25:26" x14ac:dyDescent="0.25">
      <c r="Y10535" s="63">
        <v>53068</v>
      </c>
      <c r="Z10535" s="61">
        <f>_xll.qlYieldTSDiscount($U$35,Y10535,,Trigger)</f>
        <v>0.60962455215610234</v>
      </c>
    </row>
    <row r="10536" spans="25:26" x14ac:dyDescent="0.25">
      <c r="Y10536" s="63">
        <v>53069</v>
      </c>
      <c r="Z10536" s="61">
        <f>_xll.qlYieldTSDiscount($U$35,Y10536,,Trigger)</f>
        <v>0.60958162005245631</v>
      </c>
    </row>
    <row r="10537" spans="25:26" x14ac:dyDescent="0.25">
      <c r="Y10537" s="63">
        <v>53070</v>
      </c>
      <c r="Z10537" s="61">
        <f>_xll.qlYieldTSDiscount($U$35,Y10537,,Trigger)</f>
        <v>0.60953869082307355</v>
      </c>
    </row>
    <row r="10538" spans="25:26" x14ac:dyDescent="0.25">
      <c r="Y10538" s="63">
        <v>53071</v>
      </c>
      <c r="Z10538" s="61">
        <f>_xll.qlYieldTSDiscount($U$35,Y10538,,Trigger)</f>
        <v>0.60949576447046772</v>
      </c>
    </row>
    <row r="10539" spans="25:26" x14ac:dyDescent="0.25">
      <c r="Y10539" s="63">
        <v>53072</v>
      </c>
      <c r="Z10539" s="61">
        <f>_xll.qlYieldTSDiscount($U$35,Y10539,,Trigger)</f>
        <v>0.60945284099715202</v>
      </c>
    </row>
    <row r="10540" spans="25:26" x14ac:dyDescent="0.25">
      <c r="Y10540" s="63">
        <v>53073</v>
      </c>
      <c r="Z10540" s="61">
        <f>_xll.qlYieldTSDiscount($U$35,Y10540,,Trigger)</f>
        <v>0.60940992040564024</v>
      </c>
    </row>
    <row r="10541" spans="25:26" x14ac:dyDescent="0.25">
      <c r="Y10541" s="63">
        <v>53074</v>
      </c>
      <c r="Z10541" s="61">
        <f>_xll.qlYieldTSDiscount($U$35,Y10541,,Trigger)</f>
        <v>0.60936700269844601</v>
      </c>
    </row>
    <row r="10542" spans="25:26" x14ac:dyDescent="0.25">
      <c r="Y10542" s="63">
        <v>53075</v>
      </c>
      <c r="Z10542" s="61">
        <f>_xll.qlYieldTSDiscount($U$35,Y10542,,Trigger)</f>
        <v>0.60932408787808268</v>
      </c>
    </row>
    <row r="10543" spans="25:26" x14ac:dyDescent="0.25">
      <c r="Y10543" s="63">
        <v>53076</v>
      </c>
      <c r="Z10543" s="61">
        <f>_xll.qlYieldTSDiscount($U$35,Y10543,,Trigger)</f>
        <v>0.60928117594706399</v>
      </c>
    </row>
    <row r="10544" spans="25:26" x14ac:dyDescent="0.25">
      <c r="Y10544" s="63">
        <v>53077</v>
      </c>
      <c r="Z10544" s="61">
        <f>_xll.qlYieldTSDiscount($U$35,Y10544,,Trigger)</f>
        <v>0.60923826690790328</v>
      </c>
    </row>
    <row r="10545" spans="25:26" x14ac:dyDescent="0.25">
      <c r="Y10545" s="63">
        <v>53078</v>
      </c>
      <c r="Z10545" s="61">
        <f>_xll.qlYieldTSDiscount($U$35,Y10545,,Trigger)</f>
        <v>0.6091953607631142</v>
      </c>
    </row>
    <row r="10546" spans="25:26" x14ac:dyDescent="0.25">
      <c r="Y10546" s="63">
        <v>53079</v>
      </c>
      <c r="Z10546" s="61">
        <f>_xll.qlYieldTSDiscount($U$35,Y10546,,Trigger)</f>
        <v>0.60915245751521041</v>
      </c>
    </row>
    <row r="10547" spans="25:26" x14ac:dyDescent="0.25">
      <c r="Y10547" s="63">
        <v>53080</v>
      </c>
      <c r="Z10547" s="61">
        <f>_xll.qlYieldTSDiscount($U$35,Y10547,,Trigger)</f>
        <v>0.60910955716670534</v>
      </c>
    </row>
    <row r="10548" spans="25:26" x14ac:dyDescent="0.25">
      <c r="Y10548" s="63">
        <v>53081</v>
      </c>
      <c r="Z10548" s="61">
        <f>_xll.qlYieldTSDiscount($U$35,Y10548,,Trigger)</f>
        <v>0.60906665972011254</v>
      </c>
    </row>
    <row r="10549" spans="25:26" x14ac:dyDescent="0.25">
      <c r="Y10549" s="63">
        <v>53082</v>
      </c>
      <c r="Z10549" s="61">
        <f>_xll.qlYieldTSDiscount($U$35,Y10549,,Trigger)</f>
        <v>0.60902376517794554</v>
      </c>
    </row>
    <row r="10550" spans="25:26" x14ac:dyDescent="0.25">
      <c r="Y10550" s="63">
        <v>53083</v>
      </c>
      <c r="Z10550" s="61">
        <f>_xll.qlYieldTSDiscount($U$35,Y10550,,Trigger)</f>
        <v>0.60898087354271802</v>
      </c>
    </row>
    <row r="10551" spans="25:26" x14ac:dyDescent="0.25">
      <c r="Y10551" s="63">
        <v>53084</v>
      </c>
      <c r="Z10551" s="61">
        <f>_xll.qlYieldTSDiscount($U$35,Y10551,,Trigger)</f>
        <v>0.60893798481694339</v>
      </c>
    </row>
    <row r="10552" spans="25:26" x14ac:dyDescent="0.25">
      <c r="Y10552" s="63">
        <v>53085</v>
      </c>
      <c r="Z10552" s="61">
        <f>_xll.qlYieldTSDiscount($U$35,Y10552,,Trigger)</f>
        <v>0.60889509900313532</v>
      </c>
    </row>
    <row r="10553" spans="25:26" x14ac:dyDescent="0.25">
      <c r="Y10553" s="63">
        <v>53086</v>
      </c>
      <c r="Z10553" s="61">
        <f>_xll.qlYieldTSDiscount($U$35,Y10553,,Trigger)</f>
        <v>0.60885221610380724</v>
      </c>
    </row>
    <row r="10554" spans="25:26" x14ac:dyDescent="0.25">
      <c r="Y10554" s="63">
        <v>53087</v>
      </c>
      <c r="Z10554" s="61">
        <f>_xll.qlYieldTSDiscount($U$35,Y10554,,Trigger)</f>
        <v>0.60880933612147281</v>
      </c>
    </row>
    <row r="10555" spans="25:26" x14ac:dyDescent="0.25">
      <c r="Y10555" s="63">
        <v>53088</v>
      </c>
      <c r="Z10555" s="61">
        <f>_xll.qlYieldTSDiscount($U$35,Y10555,,Trigger)</f>
        <v>0.60876645905864546</v>
      </c>
    </row>
    <row r="10556" spans="25:26" x14ac:dyDescent="0.25">
      <c r="Y10556" s="63">
        <v>53089</v>
      </c>
      <c r="Z10556" s="61">
        <f>_xll.qlYieldTSDiscount($U$35,Y10556,,Trigger)</f>
        <v>0.60872358491783884</v>
      </c>
    </row>
    <row r="10557" spans="25:26" x14ac:dyDescent="0.25">
      <c r="Y10557" s="63">
        <v>53090</v>
      </c>
      <c r="Z10557" s="61">
        <f>_xll.qlYieldTSDiscount($U$35,Y10557,,Trigger)</f>
        <v>0.60868071370156651</v>
      </c>
    </row>
    <row r="10558" spans="25:26" x14ac:dyDescent="0.25">
      <c r="Y10558" s="63">
        <v>53091</v>
      </c>
      <c r="Z10558" s="61">
        <f>_xll.qlYieldTSDiscount($U$35,Y10558,,Trigger)</f>
        <v>0.608637845412342</v>
      </c>
    </row>
    <row r="10559" spans="25:26" x14ac:dyDescent="0.25">
      <c r="Y10559" s="63">
        <v>53092</v>
      </c>
      <c r="Z10559" s="61">
        <f>_xll.qlYieldTSDiscount($U$35,Y10559,,Trigger)</f>
        <v>0.60859498005267887</v>
      </c>
    </row>
    <row r="10560" spans="25:26" x14ac:dyDescent="0.25">
      <c r="Y10560" s="63">
        <v>53093</v>
      </c>
      <c r="Z10560" s="61">
        <f>_xll.qlYieldTSDiscount($U$35,Y10560,,Trigger)</f>
        <v>0.60855211762509054</v>
      </c>
    </row>
    <row r="10561" spans="25:26" x14ac:dyDescent="0.25">
      <c r="Y10561" s="63">
        <v>53094</v>
      </c>
      <c r="Z10561" s="61">
        <f>_xll.qlYieldTSDiscount($U$35,Y10561,,Trigger)</f>
        <v>0.60850925813209078</v>
      </c>
    </row>
    <row r="10562" spans="25:26" x14ac:dyDescent="0.25">
      <c r="Y10562" s="63">
        <v>53095</v>
      </c>
      <c r="Z10562" s="61">
        <f>_xll.qlYieldTSDiscount($U$35,Y10562,,Trigger)</f>
        <v>0.60846640157619292</v>
      </c>
    </row>
    <row r="10563" spans="25:26" x14ac:dyDescent="0.25">
      <c r="Y10563" s="63">
        <v>53096</v>
      </c>
      <c r="Z10563" s="61">
        <f>_xll.qlYieldTSDiscount($U$35,Y10563,,Trigger)</f>
        <v>0.60842354795991072</v>
      </c>
    </row>
    <row r="10564" spans="25:26" x14ac:dyDescent="0.25">
      <c r="Y10564" s="63">
        <v>53097</v>
      </c>
      <c r="Z10564" s="61">
        <f>_xll.qlYieldTSDiscount($U$35,Y10564,,Trigger)</f>
        <v>0.60838069728575761</v>
      </c>
    </row>
    <row r="10565" spans="25:26" x14ac:dyDescent="0.25">
      <c r="Y10565" s="63">
        <v>53098</v>
      </c>
      <c r="Z10565" s="61">
        <f>_xll.qlYieldTSDiscount($U$35,Y10565,,Trigger)</f>
        <v>0.60833784955624726</v>
      </c>
    </row>
    <row r="10566" spans="25:26" x14ac:dyDescent="0.25">
      <c r="Y10566" s="63">
        <v>53099</v>
      </c>
      <c r="Z10566" s="61">
        <f>_xll.qlYieldTSDiscount($U$35,Y10566,,Trigger)</f>
        <v>0.60829500477389298</v>
      </c>
    </row>
    <row r="10567" spans="25:26" x14ac:dyDescent="0.25">
      <c r="Y10567" s="63">
        <v>53100</v>
      </c>
      <c r="Z10567" s="61">
        <f>_xll.qlYieldTSDiscount($U$35,Y10567,,Trigger)</f>
        <v>0.60825216294120854</v>
      </c>
    </row>
    <row r="10568" spans="25:26" x14ac:dyDescent="0.25">
      <c r="Y10568" s="63">
        <v>53101</v>
      </c>
      <c r="Z10568" s="61">
        <f>_xll.qlYieldTSDiscount($U$35,Y10568,,Trigger)</f>
        <v>0.60820932406070738</v>
      </c>
    </row>
    <row r="10569" spans="25:26" x14ac:dyDescent="0.25">
      <c r="Y10569" s="63">
        <v>53102</v>
      </c>
      <c r="Z10569" s="61">
        <f>_xll.qlYieldTSDiscount($U$35,Y10569,,Trigger)</f>
        <v>0.60816648813490315</v>
      </c>
    </row>
    <row r="10570" spans="25:26" x14ac:dyDescent="0.25">
      <c r="Y10570" s="63">
        <v>53103</v>
      </c>
      <c r="Z10570" s="61">
        <f>_xll.qlYieldTSDiscount($U$35,Y10570,,Trigger)</f>
        <v>0.60812365516630928</v>
      </c>
    </row>
    <row r="10571" spans="25:26" x14ac:dyDescent="0.25">
      <c r="Y10571" s="63">
        <v>53104</v>
      </c>
      <c r="Z10571" s="61">
        <f>_xll.qlYieldTSDiscount($U$35,Y10571,,Trigger)</f>
        <v>0.60808082515743944</v>
      </c>
    </row>
    <row r="10572" spans="25:26" x14ac:dyDescent="0.25">
      <c r="Y10572" s="63">
        <v>53105</v>
      </c>
      <c r="Z10572" s="61">
        <f>_xll.qlYieldTSDiscount($U$35,Y10572,,Trigger)</f>
        <v>0.60803799811080705</v>
      </c>
    </row>
    <row r="10573" spans="25:26" x14ac:dyDescent="0.25">
      <c r="Y10573" s="63">
        <v>53106</v>
      </c>
      <c r="Z10573" s="61">
        <f>_xll.qlYieldTSDiscount($U$35,Y10573,,Trigger)</f>
        <v>0.60799517402892578</v>
      </c>
    </row>
    <row r="10574" spans="25:26" x14ac:dyDescent="0.25">
      <c r="Y10574" s="63">
        <v>53107</v>
      </c>
      <c r="Z10574" s="61">
        <f>_xll.qlYieldTSDiscount($U$35,Y10574,,Trigger)</f>
        <v>0.60795235291430916</v>
      </c>
    </row>
    <row r="10575" spans="25:26" x14ac:dyDescent="0.25">
      <c r="Y10575" s="63">
        <v>53108</v>
      </c>
      <c r="Z10575" s="61">
        <f>_xll.qlYieldTSDiscount($U$35,Y10575,,Trigger)</f>
        <v>0.60790953476947074</v>
      </c>
    </row>
    <row r="10576" spans="25:26" x14ac:dyDescent="0.25">
      <c r="Y10576" s="63">
        <v>53109</v>
      </c>
      <c r="Z10576" s="61">
        <f>_xll.qlYieldTSDiscount($U$35,Y10576,,Trigger)</f>
        <v>0.60786671959692407</v>
      </c>
    </row>
    <row r="10577" spans="25:26" x14ac:dyDescent="0.25">
      <c r="Y10577" s="63">
        <v>53110</v>
      </c>
      <c r="Z10577" s="61">
        <f>_xll.qlYieldTSDiscount($U$35,Y10577,,Trigger)</f>
        <v>0.60782390739918257</v>
      </c>
    </row>
    <row r="10578" spans="25:26" x14ac:dyDescent="0.25">
      <c r="Y10578" s="63">
        <v>53111</v>
      </c>
      <c r="Z10578" s="61">
        <f>_xll.qlYieldTSDiscount($U$35,Y10578,,Trigger)</f>
        <v>0.60778109817875992</v>
      </c>
    </row>
    <row r="10579" spans="25:26" x14ac:dyDescent="0.25">
      <c r="Y10579" s="63">
        <v>53112</v>
      </c>
      <c r="Z10579" s="61">
        <f>_xll.qlYieldTSDiscount($U$35,Y10579,,Trigger)</f>
        <v>0.60773829193816975</v>
      </c>
    </row>
    <row r="10580" spans="25:26" x14ac:dyDescent="0.25">
      <c r="Y10580" s="63">
        <v>53113</v>
      </c>
      <c r="Z10580" s="61">
        <f>_xll.qlYieldTSDiscount($U$35,Y10580,,Trigger)</f>
        <v>0.6076954886799254</v>
      </c>
    </row>
    <row r="10581" spans="25:26" x14ac:dyDescent="0.25">
      <c r="Y10581" s="63">
        <v>53114</v>
      </c>
      <c r="Z10581" s="61">
        <f>_xll.qlYieldTSDiscount($U$35,Y10581,,Trigger)</f>
        <v>0.60765268840654063</v>
      </c>
    </row>
    <row r="10582" spans="25:26" x14ac:dyDescent="0.25">
      <c r="Y10582" s="63">
        <v>53115</v>
      </c>
      <c r="Z10582" s="61">
        <f>_xll.qlYieldTSDiscount($U$35,Y10582,,Trigger)</f>
        <v>0.60760989112052888</v>
      </c>
    </row>
    <row r="10583" spans="25:26" x14ac:dyDescent="0.25">
      <c r="Y10583" s="63">
        <v>53116</v>
      </c>
      <c r="Z10583" s="61">
        <f>_xll.qlYieldTSDiscount($U$35,Y10583,,Trigger)</f>
        <v>0.60756709682440369</v>
      </c>
    </row>
    <row r="10584" spans="25:26" x14ac:dyDescent="0.25">
      <c r="Y10584" s="63">
        <v>53117</v>
      </c>
      <c r="Z10584" s="61">
        <f>_xll.qlYieldTSDiscount($U$35,Y10584,,Trigger)</f>
        <v>0.60752430552067871</v>
      </c>
    </row>
    <row r="10585" spans="25:26" x14ac:dyDescent="0.25">
      <c r="Y10585" s="63">
        <v>53118</v>
      </c>
      <c r="Z10585" s="61">
        <f>_xll.qlYieldTSDiscount($U$35,Y10585,,Trigger)</f>
        <v>0.60748151721186727</v>
      </c>
    </row>
    <row r="10586" spans="25:26" x14ac:dyDescent="0.25">
      <c r="Y10586" s="63">
        <v>53119</v>
      </c>
      <c r="Z10586" s="61">
        <f>_xll.qlYieldTSDiscount($U$35,Y10586,,Trigger)</f>
        <v>0.60743873190048325</v>
      </c>
    </row>
    <row r="10587" spans="25:26" x14ac:dyDescent="0.25">
      <c r="Y10587" s="63">
        <v>53120</v>
      </c>
      <c r="Z10587" s="61">
        <f>_xll.qlYieldTSDiscount($U$35,Y10587,,Trigger)</f>
        <v>0.60739594958903986</v>
      </c>
    </row>
    <row r="10588" spans="25:26" x14ac:dyDescent="0.25">
      <c r="Y10588" s="63">
        <v>53121</v>
      </c>
      <c r="Z10588" s="61">
        <f>_xll.qlYieldTSDiscount($U$35,Y10588,,Trigger)</f>
        <v>0.60735317028005098</v>
      </c>
    </row>
    <row r="10589" spans="25:26" x14ac:dyDescent="0.25">
      <c r="Y10589" s="63">
        <v>53122</v>
      </c>
      <c r="Z10589" s="61">
        <f>_xll.qlYieldTSDiscount($U$35,Y10589,,Trigger)</f>
        <v>0.60731039397602993</v>
      </c>
    </row>
    <row r="10590" spans="25:26" x14ac:dyDescent="0.25">
      <c r="Y10590" s="63">
        <v>53123</v>
      </c>
      <c r="Z10590" s="61">
        <f>_xll.qlYieldTSDiscount($U$35,Y10590,,Trigger)</f>
        <v>0.60726762067949025</v>
      </c>
    </row>
    <row r="10591" spans="25:26" x14ac:dyDescent="0.25">
      <c r="Y10591" s="63">
        <v>53124</v>
      </c>
      <c r="Z10591" s="61">
        <f>_xll.qlYieldTSDiscount($U$35,Y10591,,Trigger)</f>
        <v>0.60722485039294571</v>
      </c>
    </row>
    <row r="10592" spans="25:26" x14ac:dyDescent="0.25">
      <c r="Y10592" s="63">
        <v>53125</v>
      </c>
      <c r="Z10592" s="61">
        <f>_xll.qlYieldTSDiscount($U$35,Y10592,,Trigger)</f>
        <v>0.60718208311890964</v>
      </c>
    </row>
    <row r="10593" spans="25:26" x14ac:dyDescent="0.25">
      <c r="Y10593" s="63">
        <v>53126</v>
      </c>
      <c r="Z10593" s="61">
        <f>_xll.qlYieldTSDiscount($U$35,Y10593,,Trigger)</f>
        <v>0.60713931885989569</v>
      </c>
    </row>
    <row r="10594" spans="25:26" x14ac:dyDescent="0.25">
      <c r="Y10594" s="63">
        <v>53127</v>
      </c>
      <c r="Z10594" s="61">
        <f>_xll.qlYieldTSDiscount($U$35,Y10594,,Trigger)</f>
        <v>0.6070965576184173</v>
      </c>
    </row>
    <row r="10595" spans="25:26" x14ac:dyDescent="0.25">
      <c r="Y10595" s="63">
        <v>53128</v>
      </c>
      <c r="Z10595" s="61">
        <f>_xll.qlYieldTSDiscount($U$35,Y10595,,Trigger)</f>
        <v>0.60705379939698823</v>
      </c>
    </row>
    <row r="10596" spans="25:26" x14ac:dyDescent="0.25">
      <c r="Y10596" s="63">
        <v>53129</v>
      </c>
      <c r="Z10596" s="61">
        <f>_xll.qlYieldTSDiscount($U$35,Y10596,,Trigger)</f>
        <v>0.60701104419812191</v>
      </c>
    </row>
    <row r="10597" spans="25:26" x14ac:dyDescent="0.25">
      <c r="Y10597" s="63">
        <v>53130</v>
      </c>
      <c r="Z10597" s="61">
        <f>_xll.qlYieldTSDiscount($U$35,Y10597,,Trigger)</f>
        <v>0.60696829202433189</v>
      </c>
    </row>
    <row r="10598" spans="25:26" x14ac:dyDescent="0.25">
      <c r="Y10598" s="63">
        <v>53131</v>
      </c>
      <c r="Z10598" s="61">
        <f>_xll.qlYieldTSDiscount($U$35,Y10598,,Trigger)</f>
        <v>0.60692554287813172</v>
      </c>
    </row>
    <row r="10599" spans="25:26" x14ac:dyDescent="0.25">
      <c r="Y10599" s="63">
        <v>53132</v>
      </c>
      <c r="Z10599" s="61">
        <f>_xll.qlYieldTSDiscount($U$35,Y10599,,Trigger)</f>
        <v>0.60688279676203494</v>
      </c>
    </row>
    <row r="10600" spans="25:26" x14ac:dyDescent="0.25">
      <c r="Y10600" s="63">
        <v>53133</v>
      </c>
      <c r="Z10600" s="61">
        <f>_xll.qlYieldTSDiscount($U$35,Y10600,,Trigger)</f>
        <v>0.6068400536785552</v>
      </c>
    </row>
    <row r="10601" spans="25:26" x14ac:dyDescent="0.25">
      <c r="Y10601" s="63">
        <v>53134</v>
      </c>
      <c r="Z10601" s="61">
        <f>_xll.qlYieldTSDiscount($U$35,Y10601,,Trigger)</f>
        <v>0.60679731363020584</v>
      </c>
    </row>
    <row r="10602" spans="25:26" x14ac:dyDescent="0.25">
      <c r="Y10602" s="63">
        <v>53135</v>
      </c>
      <c r="Z10602" s="61">
        <f>_xll.qlYieldTSDiscount($U$35,Y10602,,Trigger)</f>
        <v>0.60675457661950061</v>
      </c>
    </row>
    <row r="10603" spans="25:26" x14ac:dyDescent="0.25">
      <c r="Y10603" s="63">
        <v>53136</v>
      </c>
      <c r="Z10603" s="61">
        <f>_xll.qlYieldTSDiscount($U$35,Y10603,,Trigger)</f>
        <v>0.60671184264895295</v>
      </c>
    </row>
    <row r="10604" spans="25:26" x14ac:dyDescent="0.25">
      <c r="Y10604" s="63">
        <v>53137</v>
      </c>
      <c r="Z10604" s="61">
        <f>_xll.qlYieldTSDiscount($U$35,Y10604,,Trigger)</f>
        <v>0.60666911172107651</v>
      </c>
    </row>
    <row r="10605" spans="25:26" x14ac:dyDescent="0.25">
      <c r="Y10605" s="63">
        <v>53138</v>
      </c>
      <c r="Z10605" s="61">
        <f>_xll.qlYieldTSDiscount($U$35,Y10605,,Trigger)</f>
        <v>0.60662638383838485</v>
      </c>
    </row>
    <row r="10606" spans="25:26" x14ac:dyDescent="0.25">
      <c r="Y10606" s="63">
        <v>53139</v>
      </c>
      <c r="Z10606" s="61">
        <f>_xll.qlYieldTSDiscount($U$35,Y10606,,Trigger)</f>
        <v>0.60658365900339128</v>
      </c>
    </row>
    <row r="10607" spans="25:26" x14ac:dyDescent="0.25">
      <c r="Y10607" s="63">
        <v>53140</v>
      </c>
      <c r="Z10607" s="61">
        <f>_xll.qlYieldTSDiscount($U$35,Y10607,,Trigger)</f>
        <v>0.60654093721860969</v>
      </c>
    </row>
    <row r="10608" spans="25:26" x14ac:dyDescent="0.25">
      <c r="Y10608" s="63">
        <v>53141</v>
      </c>
      <c r="Z10608" s="61">
        <f>_xll.qlYieldTSDiscount($U$35,Y10608,,Trigger)</f>
        <v>0.60649821848655339</v>
      </c>
    </row>
    <row r="10609" spans="25:26" x14ac:dyDescent="0.25">
      <c r="Y10609" s="63">
        <v>53142</v>
      </c>
      <c r="Z10609" s="61">
        <f>_xll.qlYieldTSDiscount($U$35,Y10609,,Trigger)</f>
        <v>0.60645550280973604</v>
      </c>
    </row>
    <row r="10610" spans="25:26" x14ac:dyDescent="0.25">
      <c r="Y10610" s="63">
        <v>53143</v>
      </c>
      <c r="Z10610" s="61">
        <f>_xll.qlYieldTSDiscount($U$35,Y10610,,Trigger)</f>
        <v>0.60641279019067129</v>
      </c>
    </row>
    <row r="10611" spans="25:26" x14ac:dyDescent="0.25">
      <c r="Y10611" s="63">
        <v>53144</v>
      </c>
      <c r="Z10611" s="61">
        <f>_xll.qlYieldTSDiscount($U$35,Y10611,,Trigger)</f>
        <v>0.60637008063187237</v>
      </c>
    </row>
    <row r="10612" spans="25:26" x14ac:dyDescent="0.25">
      <c r="Y10612" s="63">
        <v>53145</v>
      </c>
      <c r="Z10612" s="61">
        <f>_xll.qlYieldTSDiscount($U$35,Y10612,,Trigger)</f>
        <v>0.60632737413585314</v>
      </c>
    </row>
    <row r="10613" spans="25:26" x14ac:dyDescent="0.25">
      <c r="Y10613" s="63">
        <v>53146</v>
      </c>
      <c r="Z10613" s="61">
        <f>_xll.qlYieldTSDiscount($U$35,Y10613,,Trigger)</f>
        <v>0.60628467070512704</v>
      </c>
    </row>
    <row r="10614" spans="25:26" x14ac:dyDescent="0.25">
      <c r="Y10614" s="63">
        <v>53147</v>
      </c>
      <c r="Z10614" s="61">
        <f>_xll.qlYieldTSDiscount($U$35,Y10614,,Trigger)</f>
        <v>0.6062419703422075</v>
      </c>
    </row>
    <row r="10615" spans="25:26" x14ac:dyDescent="0.25">
      <c r="Y10615" s="63">
        <v>53148</v>
      </c>
      <c r="Z10615" s="61">
        <f>_xll.qlYieldTSDiscount($U$35,Y10615,,Trigger)</f>
        <v>0.6061992730496083</v>
      </c>
    </row>
    <row r="10616" spans="25:26" x14ac:dyDescent="0.25">
      <c r="Y10616" s="63">
        <v>53149</v>
      </c>
      <c r="Z10616" s="61">
        <f>_xll.qlYieldTSDiscount($U$35,Y10616,,Trigger)</f>
        <v>0.60615657882984286</v>
      </c>
    </row>
    <row r="10617" spans="25:26" x14ac:dyDescent="0.25">
      <c r="Y10617" s="63">
        <v>53150</v>
      </c>
      <c r="Z10617" s="61">
        <f>_xll.qlYieldTSDiscount($U$35,Y10617,,Trigger)</f>
        <v>0.60611388768542473</v>
      </c>
    </row>
    <row r="10618" spans="25:26" x14ac:dyDescent="0.25">
      <c r="Y10618" s="63">
        <v>53151</v>
      </c>
      <c r="Z10618" s="61">
        <f>_xll.qlYieldTSDiscount($U$35,Y10618,,Trigger)</f>
        <v>0.60607119961886746</v>
      </c>
    </row>
    <row r="10619" spans="25:26" x14ac:dyDescent="0.25">
      <c r="Y10619" s="63">
        <v>53152</v>
      </c>
      <c r="Z10619" s="61">
        <f>_xll.qlYieldTSDiscount($U$35,Y10619,,Trigger)</f>
        <v>0.6060285146326847</v>
      </c>
    </row>
    <row r="10620" spans="25:26" x14ac:dyDescent="0.25">
      <c r="Y10620" s="63">
        <v>53153</v>
      </c>
      <c r="Z10620" s="61">
        <f>_xll.qlYieldTSDiscount($U$35,Y10620,,Trigger)</f>
        <v>0.60598583272938988</v>
      </c>
    </row>
    <row r="10621" spans="25:26" x14ac:dyDescent="0.25">
      <c r="Y10621" s="63">
        <v>53154</v>
      </c>
      <c r="Z10621" s="61">
        <f>_xll.qlYieldTSDiscount($U$35,Y10621,,Trigger)</f>
        <v>0.60594315391149667</v>
      </c>
    </row>
    <row r="10622" spans="25:26" x14ac:dyDescent="0.25">
      <c r="Y10622" s="63">
        <v>53155</v>
      </c>
      <c r="Z10622" s="61">
        <f>_xll.qlYieldTSDiscount($U$35,Y10622,,Trigger)</f>
        <v>0.60590047818151838</v>
      </c>
    </row>
    <row r="10623" spans="25:26" x14ac:dyDescent="0.25">
      <c r="Y10623" s="63">
        <v>53156</v>
      </c>
      <c r="Z10623" s="61">
        <f>_xll.qlYieldTSDiscount($U$35,Y10623,,Trigger)</f>
        <v>0.60585780554196889</v>
      </c>
    </row>
    <row r="10624" spans="25:26" x14ac:dyDescent="0.25">
      <c r="Y10624" s="63">
        <v>53157</v>
      </c>
      <c r="Z10624" s="61">
        <f>_xll.qlYieldTSDiscount($U$35,Y10624,,Trigger)</f>
        <v>0.60581513599536152</v>
      </c>
    </row>
    <row r="10625" spans="25:26" x14ac:dyDescent="0.25">
      <c r="Y10625" s="63">
        <v>53158</v>
      </c>
      <c r="Z10625" s="61">
        <f>_xll.qlYieldTSDiscount($U$35,Y10625,,Trigger)</f>
        <v>0.60577246954420993</v>
      </c>
    </row>
    <row r="10626" spans="25:26" x14ac:dyDescent="0.25">
      <c r="Y10626" s="63">
        <v>53159</v>
      </c>
      <c r="Z10626" s="61">
        <f>_xll.qlYieldTSDiscount($U$35,Y10626,,Trigger)</f>
        <v>0.60572980619102768</v>
      </c>
    </row>
    <row r="10627" spans="25:26" x14ac:dyDescent="0.25">
      <c r="Y10627" s="63">
        <v>53160</v>
      </c>
      <c r="Z10627" s="61">
        <f>_xll.qlYieldTSDiscount($U$35,Y10627,,Trigger)</f>
        <v>0.60568714593832818</v>
      </c>
    </row>
    <row r="10628" spans="25:26" x14ac:dyDescent="0.25">
      <c r="Y10628" s="63">
        <v>53161</v>
      </c>
      <c r="Z10628" s="61">
        <f>_xll.qlYieldTSDiscount($U$35,Y10628,,Trigger)</f>
        <v>0.60564448878862509</v>
      </c>
    </row>
    <row r="10629" spans="25:26" x14ac:dyDescent="0.25">
      <c r="Y10629" s="63">
        <v>53162</v>
      </c>
      <c r="Z10629" s="61">
        <f>_xll.qlYieldTSDiscount($U$35,Y10629,,Trigger)</f>
        <v>0.60560183474443197</v>
      </c>
    </row>
    <row r="10630" spans="25:26" x14ac:dyDescent="0.25">
      <c r="Y10630" s="63">
        <v>53163</v>
      </c>
      <c r="Z10630" s="61">
        <f>_xll.qlYieldTSDiscount($U$35,Y10630,,Trigger)</f>
        <v>0.60555918380826235</v>
      </c>
    </row>
    <row r="10631" spans="25:26" x14ac:dyDescent="0.25">
      <c r="Y10631" s="63">
        <v>53164</v>
      </c>
      <c r="Z10631" s="61">
        <f>_xll.qlYieldTSDiscount($U$35,Y10631,,Trigger)</f>
        <v>0.60551653598262978</v>
      </c>
    </row>
    <row r="10632" spans="25:26" x14ac:dyDescent="0.25">
      <c r="Y10632" s="63">
        <v>53165</v>
      </c>
      <c r="Z10632" s="61">
        <f>_xll.qlYieldTSDiscount($U$35,Y10632,,Trigger)</f>
        <v>0.6054738912700478</v>
      </c>
    </row>
    <row r="10633" spans="25:26" x14ac:dyDescent="0.25">
      <c r="Y10633" s="63">
        <v>53166</v>
      </c>
      <c r="Z10633" s="61">
        <f>_xll.qlYieldTSDiscount($U$35,Y10633,,Trigger)</f>
        <v>0.60543124967302997</v>
      </c>
    </row>
    <row r="10634" spans="25:26" x14ac:dyDescent="0.25">
      <c r="Y10634" s="63">
        <v>53167</v>
      </c>
      <c r="Z10634" s="61">
        <f>_xll.qlYieldTSDiscount($U$35,Y10634,,Trigger)</f>
        <v>0.60538861119408993</v>
      </c>
    </row>
    <row r="10635" spans="25:26" x14ac:dyDescent="0.25">
      <c r="Y10635" s="63">
        <v>53168</v>
      </c>
      <c r="Z10635" s="61">
        <f>_xll.qlYieldTSDiscount($U$35,Y10635,,Trigger)</f>
        <v>0.60534597583574101</v>
      </c>
    </row>
    <row r="10636" spans="25:26" x14ac:dyDescent="0.25">
      <c r="Y10636" s="63">
        <v>53169</v>
      </c>
      <c r="Z10636" s="61">
        <f>_xll.qlYieldTSDiscount($U$35,Y10636,,Trigger)</f>
        <v>0.60530334360049698</v>
      </c>
    </row>
    <row r="10637" spans="25:26" x14ac:dyDescent="0.25">
      <c r="Y10637" s="63">
        <v>53170</v>
      </c>
      <c r="Z10637" s="61">
        <f>_xll.qlYieldTSDiscount($U$35,Y10637,,Trigger)</f>
        <v>0.60526071449087127</v>
      </c>
    </row>
    <row r="10638" spans="25:26" x14ac:dyDescent="0.25">
      <c r="Y10638" s="63">
        <v>53171</v>
      </c>
      <c r="Z10638" s="61">
        <f>_xll.qlYieldTSDiscount($U$35,Y10638,,Trigger)</f>
        <v>0.60521808850937753</v>
      </c>
    </row>
    <row r="10639" spans="25:26" x14ac:dyDescent="0.25">
      <c r="Y10639" s="63">
        <v>53172</v>
      </c>
      <c r="Z10639" s="61">
        <f>_xll.qlYieldTSDiscount($U$35,Y10639,,Trigger)</f>
        <v>0.6051754656585292</v>
      </c>
    </row>
    <row r="10640" spans="25:26" x14ac:dyDescent="0.25">
      <c r="Y10640" s="63">
        <v>53173</v>
      </c>
      <c r="Z10640" s="61">
        <f>_xll.qlYieldTSDiscount($U$35,Y10640,,Trigger)</f>
        <v>0.60513284594083983</v>
      </c>
    </row>
    <row r="10641" spans="25:26" x14ac:dyDescent="0.25">
      <c r="Y10641" s="63">
        <v>53174</v>
      </c>
      <c r="Z10641" s="61">
        <f>_xll.qlYieldTSDiscount($U$35,Y10641,,Trigger)</f>
        <v>0.60509022935882317</v>
      </c>
    </row>
    <row r="10642" spans="25:26" x14ac:dyDescent="0.25">
      <c r="Y10642" s="63">
        <v>53175</v>
      </c>
      <c r="Z10642" s="61">
        <f>_xll.qlYieldTSDiscount($U$35,Y10642,,Trigger)</f>
        <v>0.60504761591499256</v>
      </c>
    </row>
    <row r="10643" spans="25:26" x14ac:dyDescent="0.25">
      <c r="Y10643" s="63">
        <v>53176</v>
      </c>
      <c r="Z10643" s="61">
        <f>_xll.qlYieldTSDiscount($U$35,Y10643,,Trigger)</f>
        <v>0.60500500561186155</v>
      </c>
    </row>
    <row r="10644" spans="25:26" x14ac:dyDescent="0.25">
      <c r="Y10644" s="63">
        <v>53177</v>
      </c>
      <c r="Z10644" s="61">
        <f>_xll.qlYieldTSDiscount($U$35,Y10644,,Trigger)</f>
        <v>0.60496239845194388</v>
      </c>
    </row>
    <row r="10645" spans="25:26" x14ac:dyDescent="0.25">
      <c r="Y10645" s="63">
        <v>53178</v>
      </c>
      <c r="Z10645" s="61">
        <f>_xll.qlYieldTSDiscount($U$35,Y10645,,Trigger)</f>
        <v>0.6049197944377529</v>
      </c>
    </row>
    <row r="10646" spans="25:26" x14ac:dyDescent="0.25">
      <c r="Y10646" s="63">
        <v>53179</v>
      </c>
      <c r="Z10646" s="61">
        <f>_xll.qlYieldTSDiscount($U$35,Y10646,,Trigger)</f>
        <v>0.60487719357180225</v>
      </c>
    </row>
    <row r="10647" spans="25:26" x14ac:dyDescent="0.25">
      <c r="Y10647" s="63">
        <v>53180</v>
      </c>
      <c r="Z10647" s="61">
        <f>_xll.qlYieldTSDiscount($U$35,Y10647,,Trigger)</f>
        <v>0.60483459585660548</v>
      </c>
    </row>
    <row r="10648" spans="25:26" x14ac:dyDescent="0.25">
      <c r="Y10648" s="63">
        <v>53181</v>
      </c>
      <c r="Z10648" s="61">
        <f>_xll.qlYieldTSDiscount($U$35,Y10648,,Trigger)</f>
        <v>0.60479200129467603</v>
      </c>
    </row>
    <row r="10649" spans="25:26" x14ac:dyDescent="0.25">
      <c r="Y10649" s="63">
        <v>53182</v>
      </c>
      <c r="Z10649" s="61">
        <f>_xll.qlYieldTSDiscount($U$35,Y10649,,Trigger)</f>
        <v>0.60474940988852766</v>
      </c>
    </row>
    <row r="10650" spans="25:26" x14ac:dyDescent="0.25">
      <c r="Y10650" s="63">
        <v>53183</v>
      </c>
      <c r="Z10650" s="61">
        <f>_xll.qlYieldTSDiscount($U$35,Y10650,,Trigger)</f>
        <v>0.60470682164067391</v>
      </c>
    </row>
    <row r="10651" spans="25:26" x14ac:dyDescent="0.25">
      <c r="Y10651" s="63">
        <v>53184</v>
      </c>
      <c r="Z10651" s="61">
        <f>_xll.qlYieldTSDiscount($U$35,Y10651,,Trigger)</f>
        <v>0.604664236553628</v>
      </c>
    </row>
    <row r="10652" spans="25:26" x14ac:dyDescent="0.25">
      <c r="Y10652" s="63">
        <v>53185</v>
      </c>
      <c r="Z10652" s="61">
        <f>_xll.qlYieldTSDiscount($U$35,Y10652,,Trigger)</f>
        <v>0.60462165462990392</v>
      </c>
    </row>
    <row r="10653" spans="25:26" x14ac:dyDescent="0.25">
      <c r="Y10653" s="63">
        <v>53186</v>
      </c>
      <c r="Z10653" s="61">
        <f>_xll.qlYieldTSDiscount($U$35,Y10653,,Trigger)</f>
        <v>0.60457907587201487</v>
      </c>
    </row>
    <row r="10654" spans="25:26" x14ac:dyDescent="0.25">
      <c r="Y10654" s="63">
        <v>53187</v>
      </c>
      <c r="Z10654" s="61">
        <f>_xll.qlYieldTSDiscount($U$35,Y10654,,Trigger)</f>
        <v>0.60453650028247463</v>
      </c>
    </row>
    <row r="10655" spans="25:26" x14ac:dyDescent="0.25">
      <c r="Y10655" s="63">
        <v>53188</v>
      </c>
      <c r="Z10655" s="61">
        <f>_xll.qlYieldTSDiscount($U$35,Y10655,,Trigger)</f>
        <v>0.60449392786379674</v>
      </c>
    </row>
    <row r="10656" spans="25:26" x14ac:dyDescent="0.25">
      <c r="Y10656" s="63">
        <v>53189</v>
      </c>
      <c r="Z10656" s="61">
        <f>_xll.qlYieldTSDiscount($U$35,Y10656,,Trigger)</f>
        <v>0.60445135861849453</v>
      </c>
    </row>
    <row r="10657" spans="25:26" x14ac:dyDescent="0.25">
      <c r="Y10657" s="63">
        <v>53190</v>
      </c>
      <c r="Z10657" s="61">
        <f>_xll.qlYieldTSDiscount($U$35,Y10657,,Trigger)</f>
        <v>0.60440879254908186</v>
      </c>
    </row>
    <row r="10658" spans="25:26" x14ac:dyDescent="0.25">
      <c r="Y10658" s="63">
        <v>53191</v>
      </c>
      <c r="Z10658" s="61">
        <f>_xll.qlYieldTSDiscount($U$35,Y10658,,Trigger)</f>
        <v>0.60436622965807207</v>
      </c>
    </row>
    <row r="10659" spans="25:26" x14ac:dyDescent="0.25">
      <c r="Y10659" s="63">
        <v>53192</v>
      </c>
      <c r="Z10659" s="61">
        <f>_xll.qlYieldTSDiscount($U$35,Y10659,,Trigger)</f>
        <v>0.6043236699479787</v>
      </c>
    </row>
    <row r="10660" spans="25:26" x14ac:dyDescent="0.25">
      <c r="Y10660" s="63">
        <v>53193</v>
      </c>
      <c r="Z10660" s="61">
        <f>_xll.qlYieldTSDiscount($U$35,Y10660,,Trigger)</f>
        <v>0.60428111342131541</v>
      </c>
    </row>
    <row r="10661" spans="25:26" x14ac:dyDescent="0.25">
      <c r="Y10661" s="63">
        <v>53194</v>
      </c>
      <c r="Z10661" s="61">
        <f>_xll.qlYieldTSDiscount($U$35,Y10661,,Trigger)</f>
        <v>0.60423856008059573</v>
      </c>
    </row>
    <row r="10662" spans="25:26" x14ac:dyDescent="0.25">
      <c r="Y10662" s="63">
        <v>53195</v>
      </c>
      <c r="Z10662" s="61">
        <f>_xll.qlYieldTSDiscount($U$35,Y10662,,Trigger)</f>
        <v>0.60419600992833311</v>
      </c>
    </row>
    <row r="10663" spans="25:26" x14ac:dyDescent="0.25">
      <c r="Y10663" s="63">
        <v>53196</v>
      </c>
      <c r="Z10663" s="61">
        <f>_xll.qlYieldTSDiscount($U$35,Y10663,,Trigger)</f>
        <v>0.60415346296704131</v>
      </c>
    </row>
    <row r="10664" spans="25:26" x14ac:dyDescent="0.25">
      <c r="Y10664" s="63">
        <v>53197</v>
      </c>
      <c r="Z10664" s="61">
        <f>_xll.qlYieldTSDiscount($U$35,Y10664,,Trigger)</f>
        <v>0.60411091919923365</v>
      </c>
    </row>
    <row r="10665" spans="25:26" x14ac:dyDescent="0.25">
      <c r="Y10665" s="63">
        <v>53198</v>
      </c>
      <c r="Z10665" s="61">
        <f>_xll.qlYieldTSDiscount($U$35,Y10665,,Trigger)</f>
        <v>0.60406837862742391</v>
      </c>
    </row>
    <row r="10666" spans="25:26" x14ac:dyDescent="0.25">
      <c r="Y10666" s="63">
        <v>53199</v>
      </c>
      <c r="Z10666" s="61">
        <f>_xll.qlYieldTSDiscount($U$35,Y10666,,Trigger)</f>
        <v>0.6040258412541254</v>
      </c>
    </row>
    <row r="10667" spans="25:26" x14ac:dyDescent="0.25">
      <c r="Y10667" s="63">
        <v>53200</v>
      </c>
      <c r="Z10667" s="61">
        <f>_xll.qlYieldTSDiscount($U$35,Y10667,,Trigger)</f>
        <v>0.60398330708185177</v>
      </c>
    </row>
    <row r="10668" spans="25:26" x14ac:dyDescent="0.25">
      <c r="Y10668" s="63">
        <v>53201</v>
      </c>
      <c r="Z10668" s="61">
        <f>_xll.qlYieldTSDiscount($U$35,Y10668,,Trigger)</f>
        <v>0.60394077611311658</v>
      </c>
    </row>
    <row r="10669" spans="25:26" x14ac:dyDescent="0.25">
      <c r="Y10669" s="63">
        <v>53202</v>
      </c>
      <c r="Z10669" s="61">
        <f>_xll.qlYieldTSDiscount($U$35,Y10669,,Trigger)</f>
        <v>0.60389824835043349</v>
      </c>
    </row>
    <row r="10670" spans="25:26" x14ac:dyDescent="0.25">
      <c r="Y10670" s="63">
        <v>53203</v>
      </c>
      <c r="Z10670" s="61">
        <f>_xll.qlYieldTSDiscount($U$35,Y10670,,Trigger)</f>
        <v>0.60385572379631591</v>
      </c>
    </row>
    <row r="10671" spans="25:26" x14ac:dyDescent="0.25">
      <c r="Y10671" s="63">
        <v>53204</v>
      </c>
      <c r="Z10671" s="61">
        <f>_xll.qlYieldTSDiscount($U$35,Y10671,,Trigger)</f>
        <v>0.60381320245327741</v>
      </c>
    </row>
    <row r="10672" spans="25:26" x14ac:dyDescent="0.25">
      <c r="Y10672" s="63">
        <v>53205</v>
      </c>
      <c r="Z10672" s="61">
        <f>_xll.qlYieldTSDiscount($U$35,Y10672,,Trigger)</f>
        <v>0.60377068432383152</v>
      </c>
    </row>
    <row r="10673" spans="25:26" x14ac:dyDescent="0.25">
      <c r="Y10673" s="63">
        <v>53206</v>
      </c>
      <c r="Z10673" s="61">
        <f>_xll.qlYieldTSDiscount($U$35,Y10673,,Trigger)</f>
        <v>0.60372816941049201</v>
      </c>
    </row>
    <row r="10674" spans="25:26" x14ac:dyDescent="0.25">
      <c r="Y10674" s="63">
        <v>53207</v>
      </c>
      <c r="Z10674" s="61">
        <f>_xll.qlYieldTSDiscount($U$35,Y10674,,Trigger)</f>
        <v>0.60368565771577209</v>
      </c>
    </row>
    <row r="10675" spans="25:26" x14ac:dyDescent="0.25">
      <c r="Y10675" s="63">
        <v>53208</v>
      </c>
      <c r="Z10675" s="61">
        <f>_xll.qlYieldTSDiscount($U$35,Y10675,,Trigger)</f>
        <v>0.60364314924218554</v>
      </c>
    </row>
    <row r="10676" spans="25:26" x14ac:dyDescent="0.25">
      <c r="Y10676" s="63">
        <v>53209</v>
      </c>
      <c r="Z10676" s="61">
        <f>_xll.qlYieldTSDiscount($U$35,Y10676,,Trigger)</f>
        <v>0.60360064399224589</v>
      </c>
    </row>
    <row r="10677" spans="25:26" x14ac:dyDescent="0.25">
      <c r="Y10677" s="63">
        <v>53210</v>
      </c>
      <c r="Z10677" s="61">
        <f>_xll.qlYieldTSDiscount($U$35,Y10677,,Trigger)</f>
        <v>0.60355814196846658</v>
      </c>
    </row>
    <row r="10678" spans="25:26" x14ac:dyDescent="0.25">
      <c r="Y10678" s="63">
        <v>53211</v>
      </c>
      <c r="Z10678" s="61">
        <f>_xll.qlYieldTSDiscount($U$35,Y10678,,Trigger)</f>
        <v>0.60351564317336126</v>
      </c>
    </row>
    <row r="10679" spans="25:26" x14ac:dyDescent="0.25">
      <c r="Y10679" s="63">
        <v>53212</v>
      </c>
      <c r="Z10679" s="61">
        <f>_xll.qlYieldTSDiscount($U$35,Y10679,,Trigger)</f>
        <v>0.60347314760944337</v>
      </c>
    </row>
    <row r="10680" spans="25:26" x14ac:dyDescent="0.25">
      <c r="Y10680" s="63">
        <v>53213</v>
      </c>
      <c r="Z10680" s="61">
        <f>_xll.qlYieldTSDiscount($U$35,Y10680,,Trigger)</f>
        <v>0.60343065527922657</v>
      </c>
    </row>
    <row r="10681" spans="25:26" x14ac:dyDescent="0.25">
      <c r="Y10681" s="63">
        <v>53214</v>
      </c>
      <c r="Z10681" s="61">
        <f>_xll.qlYieldTSDiscount($U$35,Y10681,,Trigger)</f>
        <v>0.60338816618522451</v>
      </c>
    </row>
    <row r="10682" spans="25:26" x14ac:dyDescent="0.25">
      <c r="Y10682" s="63">
        <v>53215</v>
      </c>
      <c r="Z10682" s="61">
        <f>_xll.qlYieldTSDiscount($U$35,Y10682,,Trigger)</f>
        <v>0.60334568032995051</v>
      </c>
    </row>
    <row r="10683" spans="25:26" x14ac:dyDescent="0.25">
      <c r="Y10683" s="63">
        <v>53216</v>
      </c>
      <c r="Z10683" s="61">
        <f>_xll.qlYieldTSDiscount($U$35,Y10683,,Trigger)</f>
        <v>0.60330319771591823</v>
      </c>
    </row>
    <row r="10684" spans="25:26" x14ac:dyDescent="0.25">
      <c r="Y10684" s="63">
        <v>53217</v>
      </c>
      <c r="Z10684" s="61">
        <f>_xll.qlYieldTSDiscount($U$35,Y10684,,Trigger)</f>
        <v>0.60326071834564132</v>
      </c>
    </row>
    <row r="10685" spans="25:26" x14ac:dyDescent="0.25">
      <c r="Y10685" s="63">
        <v>53218</v>
      </c>
      <c r="Z10685" s="61">
        <f>_xll.qlYieldTSDiscount($U$35,Y10685,,Trigger)</f>
        <v>0.60321824222163301</v>
      </c>
    </row>
    <row r="10686" spans="25:26" x14ac:dyDescent="0.25">
      <c r="Y10686" s="63">
        <v>53219</v>
      </c>
      <c r="Z10686" s="61">
        <f>_xll.qlYieldTSDiscount($U$35,Y10686,,Trigger)</f>
        <v>0.60317576934640726</v>
      </c>
    </row>
    <row r="10687" spans="25:26" x14ac:dyDescent="0.25">
      <c r="Y10687" s="63">
        <v>53220</v>
      </c>
      <c r="Z10687" s="61">
        <f>_xll.qlYieldTSDiscount($U$35,Y10687,,Trigger)</f>
        <v>0.60313329972247742</v>
      </c>
    </row>
    <row r="10688" spans="25:26" x14ac:dyDescent="0.25">
      <c r="Y10688" s="63">
        <v>53221</v>
      </c>
      <c r="Z10688" s="61">
        <f>_xll.qlYieldTSDiscount($U$35,Y10688,,Trigger)</f>
        <v>0.60309083335235703</v>
      </c>
    </row>
    <row r="10689" spans="25:26" x14ac:dyDescent="0.25">
      <c r="Y10689" s="63">
        <v>53222</v>
      </c>
      <c r="Z10689" s="61">
        <f>_xll.qlYieldTSDiscount($U$35,Y10689,,Trigger)</f>
        <v>0.60304837023855962</v>
      </c>
    </row>
    <row r="10690" spans="25:26" x14ac:dyDescent="0.25">
      <c r="Y10690" s="63">
        <v>53223</v>
      </c>
      <c r="Z10690" s="61">
        <f>_xll.qlYieldTSDiscount($U$35,Y10690,,Trigger)</f>
        <v>0.60300591038359885</v>
      </c>
    </row>
    <row r="10691" spans="25:26" x14ac:dyDescent="0.25">
      <c r="Y10691" s="63">
        <v>53224</v>
      </c>
      <c r="Z10691" s="61">
        <f>_xll.qlYieldTSDiscount($U$35,Y10691,,Trigger)</f>
        <v>0.60296345378998817</v>
      </c>
    </row>
    <row r="10692" spans="25:26" x14ac:dyDescent="0.25">
      <c r="Y10692" s="63">
        <v>53225</v>
      </c>
      <c r="Z10692" s="61">
        <f>_xll.qlYieldTSDiscount($U$35,Y10692,,Trigger)</f>
        <v>0.60292100046024111</v>
      </c>
    </row>
    <row r="10693" spans="25:26" x14ac:dyDescent="0.25">
      <c r="Y10693" s="63">
        <v>53226</v>
      </c>
      <c r="Z10693" s="61">
        <f>_xll.qlYieldTSDiscount($U$35,Y10693,,Trigger)</f>
        <v>0.60287855039687133</v>
      </c>
    </row>
    <row r="10694" spans="25:26" x14ac:dyDescent="0.25">
      <c r="Y10694" s="63">
        <v>53227</v>
      </c>
      <c r="Z10694" s="61">
        <f>_xll.qlYieldTSDiscount($U$35,Y10694,,Trigger)</f>
        <v>0.60283610360239237</v>
      </c>
    </row>
    <row r="10695" spans="25:26" x14ac:dyDescent="0.25">
      <c r="Y10695" s="63">
        <v>53228</v>
      </c>
      <c r="Z10695" s="61">
        <f>_xll.qlYieldTSDiscount($U$35,Y10695,,Trigger)</f>
        <v>0.60279366007931778</v>
      </c>
    </row>
    <row r="10696" spans="25:26" x14ac:dyDescent="0.25">
      <c r="Y10696" s="63">
        <v>53229</v>
      </c>
      <c r="Z10696" s="61">
        <f>_xll.qlYieldTSDiscount($U$35,Y10696,,Trigger)</f>
        <v>0.602751219830161</v>
      </c>
    </row>
    <row r="10697" spans="25:26" x14ac:dyDescent="0.25">
      <c r="Y10697" s="63">
        <v>53230</v>
      </c>
      <c r="Z10697" s="61">
        <f>_xll.qlYieldTSDiscount($U$35,Y10697,,Trigger)</f>
        <v>0.60270878285743557</v>
      </c>
    </row>
    <row r="10698" spans="25:26" x14ac:dyDescent="0.25">
      <c r="Y10698" s="63">
        <v>53231</v>
      </c>
      <c r="Z10698" s="61">
        <f>_xll.qlYieldTSDiscount($U$35,Y10698,,Trigger)</f>
        <v>0.60266634916365525</v>
      </c>
    </row>
    <row r="10699" spans="25:26" x14ac:dyDescent="0.25">
      <c r="Y10699" s="63">
        <v>53232</v>
      </c>
      <c r="Z10699" s="61">
        <f>_xll.qlYieldTSDiscount($U$35,Y10699,,Trigger)</f>
        <v>0.60262391875133348</v>
      </c>
    </row>
    <row r="10700" spans="25:26" x14ac:dyDescent="0.25">
      <c r="Y10700" s="63">
        <v>53233</v>
      </c>
      <c r="Z10700" s="61">
        <f>_xll.qlYieldTSDiscount($U$35,Y10700,,Trigger)</f>
        <v>0.60258149162298369</v>
      </c>
    </row>
    <row r="10701" spans="25:26" x14ac:dyDescent="0.25">
      <c r="Y10701" s="63">
        <v>53234</v>
      </c>
      <c r="Z10701" s="61">
        <f>_xll.qlYieldTSDiscount($U$35,Y10701,,Trigger)</f>
        <v>0.60253906778111965</v>
      </c>
    </row>
    <row r="10702" spans="25:26" x14ac:dyDescent="0.25">
      <c r="Y10702" s="63">
        <v>53235</v>
      </c>
      <c r="Z10702" s="61">
        <f>_xll.qlYieldTSDiscount($U$35,Y10702,,Trigger)</f>
        <v>0.6024966472282548</v>
      </c>
    </row>
    <row r="10703" spans="25:26" x14ac:dyDescent="0.25">
      <c r="Y10703" s="63">
        <v>53236</v>
      </c>
      <c r="Z10703" s="61">
        <f>_xll.qlYieldTSDiscount($U$35,Y10703,,Trigger)</f>
        <v>0.60245422996690268</v>
      </c>
    </row>
    <row r="10704" spans="25:26" x14ac:dyDescent="0.25">
      <c r="Y10704" s="63">
        <v>53237</v>
      </c>
      <c r="Z10704" s="61">
        <f>_xll.qlYieldTSDiscount($U$35,Y10704,,Trigger)</f>
        <v>0.60241181599957683</v>
      </c>
    </row>
    <row r="10705" spans="25:26" x14ac:dyDescent="0.25">
      <c r="Y10705" s="63">
        <v>53238</v>
      </c>
      <c r="Z10705" s="61">
        <f>_xll.qlYieldTSDiscount($U$35,Y10705,,Trigger)</f>
        <v>0.6023694053287908</v>
      </c>
    </row>
    <row r="10706" spans="25:26" x14ac:dyDescent="0.25">
      <c r="Y10706" s="63">
        <v>53239</v>
      </c>
      <c r="Z10706" s="61">
        <f>_xll.qlYieldTSDiscount($U$35,Y10706,,Trigger)</f>
        <v>0.60232699795705813</v>
      </c>
    </row>
    <row r="10707" spans="25:26" x14ac:dyDescent="0.25">
      <c r="Y10707" s="63">
        <v>53240</v>
      </c>
      <c r="Z10707" s="61">
        <f>_xll.qlYieldTSDiscount($U$35,Y10707,,Trigger)</f>
        <v>0.60228459388689248</v>
      </c>
    </row>
    <row r="10708" spans="25:26" x14ac:dyDescent="0.25">
      <c r="Y10708" s="63">
        <v>53241</v>
      </c>
      <c r="Z10708" s="61">
        <f>_xll.qlYieldTSDiscount($U$35,Y10708,,Trigger)</f>
        <v>0.6022421931208074</v>
      </c>
    </row>
    <row r="10709" spans="25:26" x14ac:dyDescent="0.25">
      <c r="Y10709" s="63">
        <v>53242</v>
      </c>
      <c r="Z10709" s="61">
        <f>_xll.qlYieldTSDiscount($U$35,Y10709,,Trigger)</f>
        <v>0.60219979566131621</v>
      </c>
    </row>
    <row r="10710" spans="25:26" x14ac:dyDescent="0.25">
      <c r="Y10710" s="63">
        <v>53243</v>
      </c>
      <c r="Z10710" s="61">
        <f>_xll.qlYieldTSDiscount($U$35,Y10710,,Trigger)</f>
        <v>0.60215740151093278</v>
      </c>
    </row>
    <row r="10711" spans="25:26" x14ac:dyDescent="0.25">
      <c r="Y10711" s="63">
        <v>53244</v>
      </c>
      <c r="Z10711" s="61">
        <f>_xll.qlYieldTSDiscount($U$35,Y10711,,Trigger)</f>
        <v>0.60211501067217044</v>
      </c>
    </row>
    <row r="10712" spans="25:26" x14ac:dyDescent="0.25">
      <c r="Y10712" s="63">
        <v>53245</v>
      </c>
      <c r="Z10712" s="61">
        <f>_xll.qlYieldTSDiscount($U$35,Y10712,,Trigger)</f>
        <v>0.60207262314754273</v>
      </c>
    </row>
    <row r="10713" spans="25:26" x14ac:dyDescent="0.25">
      <c r="Y10713" s="63">
        <v>53246</v>
      </c>
      <c r="Z10713" s="61">
        <f>_xll.qlYieldTSDiscount($U$35,Y10713,,Trigger)</f>
        <v>0.60203023893956331</v>
      </c>
    </row>
    <row r="10714" spans="25:26" x14ac:dyDescent="0.25">
      <c r="Y10714" s="63">
        <v>53247</v>
      </c>
      <c r="Z10714" s="61">
        <f>_xll.qlYieldTSDiscount($U$35,Y10714,,Trigger)</f>
        <v>0.60198785805074573</v>
      </c>
    </row>
    <row r="10715" spans="25:26" x14ac:dyDescent="0.25">
      <c r="Y10715" s="63">
        <v>53248</v>
      </c>
      <c r="Z10715" s="61">
        <f>_xll.qlYieldTSDiscount($U$35,Y10715,,Trigger)</f>
        <v>0.60194548048360352</v>
      </c>
    </row>
    <row r="10716" spans="25:26" x14ac:dyDescent="0.25">
      <c r="Y10716" s="63">
        <v>53249</v>
      </c>
      <c r="Z10716" s="61">
        <f>_xll.qlYieldTSDiscount($U$35,Y10716,,Trigger)</f>
        <v>0.60190310624065013</v>
      </c>
    </row>
    <row r="10717" spans="25:26" x14ac:dyDescent="0.25">
      <c r="Y10717" s="63">
        <v>53250</v>
      </c>
      <c r="Z10717" s="61">
        <f>_xll.qlYieldTSDiscount($U$35,Y10717,,Trigger)</f>
        <v>0.60186073532439932</v>
      </c>
    </row>
    <row r="10718" spans="25:26" x14ac:dyDescent="0.25">
      <c r="Y10718" s="63">
        <v>53251</v>
      </c>
      <c r="Z10718" s="61">
        <f>_xll.qlYieldTSDiscount($U$35,Y10718,,Trigger)</f>
        <v>0.60181836773736452</v>
      </c>
    </row>
    <row r="10719" spans="25:26" x14ac:dyDescent="0.25">
      <c r="Y10719" s="63">
        <v>53252</v>
      </c>
      <c r="Z10719" s="61">
        <f>_xll.qlYieldTSDiscount($U$35,Y10719,,Trigger)</f>
        <v>0.60177600348205917</v>
      </c>
    </row>
    <row r="10720" spans="25:26" x14ac:dyDescent="0.25">
      <c r="Y10720" s="63">
        <v>53253</v>
      </c>
      <c r="Z10720" s="61">
        <f>_xll.qlYieldTSDiscount($U$35,Y10720,,Trigger)</f>
        <v>0.60173364256099704</v>
      </c>
    </row>
    <row r="10721" spans="25:26" x14ac:dyDescent="0.25">
      <c r="Y10721" s="63">
        <v>53254</v>
      </c>
      <c r="Z10721" s="61">
        <f>_xll.qlYieldTSDiscount($U$35,Y10721,,Trigger)</f>
        <v>0.60169128497669155</v>
      </c>
    </row>
    <row r="10722" spans="25:26" x14ac:dyDescent="0.25">
      <c r="Y10722" s="63">
        <v>53255</v>
      </c>
      <c r="Z10722" s="61">
        <f>_xll.qlYieldTSDiscount($U$35,Y10722,,Trigger)</f>
        <v>0.60164893073165615</v>
      </c>
    </row>
    <row r="10723" spans="25:26" x14ac:dyDescent="0.25">
      <c r="Y10723" s="63">
        <v>53256</v>
      </c>
      <c r="Z10723" s="61">
        <f>_xll.qlYieldTSDiscount($U$35,Y10723,,Trigger)</f>
        <v>0.60160657982840471</v>
      </c>
    </row>
    <row r="10724" spans="25:26" x14ac:dyDescent="0.25">
      <c r="Y10724" s="63">
        <v>53257</v>
      </c>
      <c r="Z10724" s="61">
        <f>_xll.qlYieldTSDiscount($U$35,Y10724,,Trigger)</f>
        <v>0.60156423226945055</v>
      </c>
    </row>
    <row r="10725" spans="25:26" x14ac:dyDescent="0.25">
      <c r="Y10725" s="63">
        <v>53258</v>
      </c>
      <c r="Z10725" s="61">
        <f>_xll.qlYieldTSDiscount($U$35,Y10725,,Trigger)</f>
        <v>0.60152188805730722</v>
      </c>
    </row>
    <row r="10726" spans="25:26" x14ac:dyDescent="0.25">
      <c r="Y10726" s="63">
        <v>53259</v>
      </c>
      <c r="Z10726" s="61">
        <f>_xll.qlYieldTSDiscount($U$35,Y10726,,Trigger)</f>
        <v>0.60147954719448826</v>
      </c>
    </row>
    <row r="10727" spans="25:26" x14ac:dyDescent="0.25">
      <c r="Y10727" s="63">
        <v>53260</v>
      </c>
      <c r="Z10727" s="61">
        <f>_xll.qlYieldTSDiscount($U$35,Y10727,,Trigger)</f>
        <v>0.60143720968350733</v>
      </c>
    </row>
    <row r="10728" spans="25:26" x14ac:dyDescent="0.25">
      <c r="Y10728" s="63">
        <v>53261</v>
      </c>
      <c r="Z10728" s="61">
        <f>_xll.qlYieldTSDiscount($U$35,Y10728,,Trigger)</f>
        <v>0.60139487552687787</v>
      </c>
    </row>
    <row r="10729" spans="25:26" x14ac:dyDescent="0.25">
      <c r="Y10729" s="63">
        <v>53262</v>
      </c>
      <c r="Z10729" s="61">
        <f>_xll.qlYieldTSDiscount($U$35,Y10729,,Trigger)</f>
        <v>0.60135254472711364</v>
      </c>
    </row>
    <row r="10730" spans="25:26" x14ac:dyDescent="0.25">
      <c r="Y10730" s="63">
        <v>53263</v>
      </c>
      <c r="Z10730" s="61">
        <f>_xll.qlYieldTSDiscount($U$35,Y10730,,Trigger)</f>
        <v>0.60131021728672784</v>
      </c>
    </row>
    <row r="10731" spans="25:26" x14ac:dyDescent="0.25">
      <c r="Y10731" s="63">
        <v>53264</v>
      </c>
      <c r="Z10731" s="61">
        <f>_xll.qlYieldTSDiscount($U$35,Y10731,,Trigger)</f>
        <v>0.60126789320823437</v>
      </c>
    </row>
    <row r="10732" spans="25:26" x14ac:dyDescent="0.25">
      <c r="Y10732" s="63">
        <v>53265</v>
      </c>
      <c r="Z10732" s="61">
        <f>_xll.qlYieldTSDiscount($U$35,Y10732,,Trigger)</f>
        <v>0.60122557249414654</v>
      </c>
    </row>
    <row r="10733" spans="25:26" x14ac:dyDescent="0.25">
      <c r="Y10733" s="63">
        <v>53266</v>
      </c>
      <c r="Z10733" s="61">
        <f>_xll.qlYieldTSDiscount($U$35,Y10733,,Trigger)</f>
        <v>0.60118325514697801</v>
      </c>
    </row>
    <row r="10734" spans="25:26" x14ac:dyDescent="0.25">
      <c r="Y10734" s="63">
        <v>53267</v>
      </c>
      <c r="Z10734" s="61">
        <f>_xll.qlYieldTSDiscount($U$35,Y10734,,Trigger)</f>
        <v>0.60114094116924233</v>
      </c>
    </row>
    <row r="10735" spans="25:26" x14ac:dyDescent="0.25">
      <c r="Y10735" s="63">
        <v>53268</v>
      </c>
      <c r="Z10735" s="61">
        <f>_xll.qlYieldTSDiscount($U$35,Y10735,,Trigger)</f>
        <v>0.60109863056345314</v>
      </c>
    </row>
    <row r="10736" spans="25:26" x14ac:dyDescent="0.25">
      <c r="Y10736" s="63">
        <v>53269</v>
      </c>
      <c r="Z10736" s="61">
        <f>_xll.qlYieldTSDiscount($U$35,Y10736,,Trigger)</f>
        <v>0.60105632333212367</v>
      </c>
    </row>
    <row r="10737" spans="25:26" x14ac:dyDescent="0.25">
      <c r="Y10737" s="63">
        <v>53270</v>
      </c>
      <c r="Z10737" s="61">
        <f>_xll.qlYieldTSDiscount($U$35,Y10737,,Trigger)</f>
        <v>0.60101401947776789</v>
      </c>
    </row>
    <row r="10738" spans="25:26" x14ac:dyDescent="0.25">
      <c r="Y10738" s="63">
        <v>53271</v>
      </c>
      <c r="Z10738" s="61">
        <f>_xll.qlYieldTSDiscount($U$35,Y10738,,Trigger)</f>
        <v>0.60097171900289892</v>
      </c>
    </row>
    <row r="10739" spans="25:26" x14ac:dyDescent="0.25">
      <c r="Y10739" s="63">
        <v>53272</v>
      </c>
      <c r="Z10739" s="61">
        <f>_xll.qlYieldTSDiscount($U$35,Y10739,,Trigger)</f>
        <v>0.60092942191003074</v>
      </c>
    </row>
    <row r="10740" spans="25:26" x14ac:dyDescent="0.25">
      <c r="Y10740" s="63">
        <v>53273</v>
      </c>
      <c r="Z10740" s="61">
        <f>_xll.qlYieldTSDiscount($U$35,Y10740,,Trigger)</f>
        <v>0.60088712820167667</v>
      </c>
    </row>
    <row r="10741" spans="25:26" x14ac:dyDescent="0.25">
      <c r="Y10741" s="63">
        <v>53274</v>
      </c>
      <c r="Z10741" s="61">
        <f>_xll.qlYieldTSDiscount($U$35,Y10741,,Trigger)</f>
        <v>0.60084483788035015</v>
      </c>
    </row>
    <row r="10742" spans="25:26" x14ac:dyDescent="0.25">
      <c r="Y10742" s="63">
        <v>53275</v>
      </c>
      <c r="Z10742" s="61">
        <f>_xll.qlYieldTSDiscount($U$35,Y10742,,Trigger)</f>
        <v>0.60080255094856505</v>
      </c>
    </row>
    <row r="10743" spans="25:26" x14ac:dyDescent="0.25">
      <c r="Y10743" s="63">
        <v>53276</v>
      </c>
      <c r="Z10743" s="61">
        <f>_xll.qlYieldTSDiscount($U$35,Y10743,,Trigger)</f>
        <v>0.60076026740883459</v>
      </c>
    </row>
    <row r="10744" spans="25:26" x14ac:dyDescent="0.25">
      <c r="Y10744" s="63">
        <v>53277</v>
      </c>
      <c r="Z10744" s="61">
        <f>_xll.qlYieldTSDiscount($U$35,Y10744,,Trigger)</f>
        <v>0.60071798726367265</v>
      </c>
    </row>
    <row r="10745" spans="25:26" x14ac:dyDescent="0.25">
      <c r="Y10745" s="63">
        <v>53278</v>
      </c>
      <c r="Z10745" s="61">
        <f>_xll.qlYieldTSDiscount($U$35,Y10745,,Trigger)</f>
        <v>0.60067571051559243</v>
      </c>
    </row>
    <row r="10746" spans="25:26" x14ac:dyDescent="0.25">
      <c r="Y10746" s="63">
        <v>53279</v>
      </c>
      <c r="Z10746" s="61">
        <f>_xll.qlYieldTSDiscount($U$35,Y10746,,Trigger)</f>
        <v>0.60063343716710782</v>
      </c>
    </row>
    <row r="10747" spans="25:26" x14ac:dyDescent="0.25">
      <c r="Y10747" s="63">
        <v>53280</v>
      </c>
      <c r="Z10747" s="61">
        <f>_xll.qlYieldTSDiscount($U$35,Y10747,,Trigger)</f>
        <v>0.60059116722073214</v>
      </c>
    </row>
    <row r="10748" spans="25:26" x14ac:dyDescent="0.25">
      <c r="Y10748" s="63">
        <v>53281</v>
      </c>
      <c r="Z10748" s="61">
        <f>_xll.qlYieldTSDiscount($U$35,Y10748,,Trigger)</f>
        <v>0.60054890067897893</v>
      </c>
    </row>
    <row r="10749" spans="25:26" x14ac:dyDescent="0.25">
      <c r="Y10749" s="63">
        <v>53282</v>
      </c>
      <c r="Z10749" s="61">
        <f>_xll.qlYieldTSDiscount($U$35,Y10749,,Trigger)</f>
        <v>0.60050663754436195</v>
      </c>
    </row>
    <row r="10750" spans="25:26" x14ac:dyDescent="0.25">
      <c r="Y10750" s="63">
        <v>53283</v>
      </c>
      <c r="Z10750" s="61">
        <f>_xll.qlYieldTSDiscount($U$35,Y10750,,Trigger)</f>
        <v>0.60046437781939455</v>
      </c>
    </row>
    <row r="10751" spans="25:26" x14ac:dyDescent="0.25">
      <c r="Y10751" s="63">
        <v>53284</v>
      </c>
      <c r="Z10751" s="61">
        <f>_xll.qlYieldTSDiscount($U$35,Y10751,,Trigger)</f>
        <v>0.60042212150659036</v>
      </c>
    </row>
    <row r="10752" spans="25:26" x14ac:dyDescent="0.25">
      <c r="Y10752" s="63">
        <v>53285</v>
      </c>
      <c r="Z10752" s="61">
        <f>_xll.qlYieldTSDiscount($U$35,Y10752,,Trigger)</f>
        <v>0.60037986860846293</v>
      </c>
    </row>
    <row r="10753" spans="25:26" x14ac:dyDescent="0.25">
      <c r="Y10753" s="63">
        <v>53286</v>
      </c>
      <c r="Z10753" s="61">
        <f>_xll.qlYieldTSDiscount($U$35,Y10753,,Trigger)</f>
        <v>0.60033761912752581</v>
      </c>
    </row>
    <row r="10754" spans="25:26" x14ac:dyDescent="0.25">
      <c r="Y10754" s="63">
        <v>53287</v>
      </c>
      <c r="Z10754" s="61">
        <f>_xll.qlYieldTSDiscount($U$35,Y10754,,Trigger)</f>
        <v>0.60029537306629255</v>
      </c>
    </row>
    <row r="10755" spans="25:26" x14ac:dyDescent="0.25">
      <c r="Y10755" s="63">
        <v>53288</v>
      </c>
      <c r="Z10755" s="61">
        <f>_xll.qlYieldTSDiscount($U$35,Y10755,,Trigger)</f>
        <v>0.60025313042727668</v>
      </c>
    </row>
    <row r="10756" spans="25:26" x14ac:dyDescent="0.25">
      <c r="Y10756" s="63">
        <v>53289</v>
      </c>
      <c r="Z10756" s="61">
        <f>_xll.qlYieldTSDiscount($U$35,Y10756,,Trigger)</f>
        <v>0.60021089121299176</v>
      </c>
    </row>
    <row r="10757" spans="25:26" x14ac:dyDescent="0.25">
      <c r="Y10757" s="63">
        <v>53290</v>
      </c>
      <c r="Z10757" s="61">
        <f>_xll.qlYieldTSDiscount($U$35,Y10757,,Trigger)</f>
        <v>0.60016865542595133</v>
      </c>
    </row>
    <row r="10758" spans="25:26" x14ac:dyDescent="0.25">
      <c r="Y10758" s="63">
        <v>53291</v>
      </c>
      <c r="Z10758" s="61">
        <f>_xll.qlYieldTSDiscount($U$35,Y10758,,Trigger)</f>
        <v>0.60012642306866915</v>
      </c>
    </row>
    <row r="10759" spans="25:26" x14ac:dyDescent="0.25">
      <c r="Y10759" s="63">
        <v>53292</v>
      </c>
      <c r="Z10759" s="61">
        <f>_xll.qlYieldTSDiscount($U$35,Y10759,,Trigger)</f>
        <v>0.60008419414365832</v>
      </c>
    </row>
    <row r="10760" spans="25:26" x14ac:dyDescent="0.25">
      <c r="Y10760" s="63">
        <v>53293</v>
      </c>
      <c r="Z10760" s="61">
        <f>_xll.qlYieldTSDiscount($U$35,Y10760,,Trigger)</f>
        <v>0.60004196865343284</v>
      </c>
    </row>
    <row r="10761" spans="25:26" x14ac:dyDescent="0.25">
      <c r="Y10761" s="63">
        <v>53294</v>
      </c>
      <c r="Z10761" s="61">
        <f>_xll.qlYieldTSDiscount($U$35,Y10761,,Trigger)</f>
        <v>0.59999974660050603</v>
      </c>
    </row>
    <row r="10762" spans="25:26" x14ac:dyDescent="0.25">
      <c r="Y10762" s="63">
        <v>53295</v>
      </c>
      <c r="Z10762" s="61">
        <f>_xll.qlYieldTSDiscount($U$35,Y10762,,Trigger)</f>
        <v>0.59995752798739144</v>
      </c>
    </row>
    <row r="10763" spans="25:26" x14ac:dyDescent="0.25">
      <c r="Y10763" s="63">
        <v>53296</v>
      </c>
      <c r="Z10763" s="61">
        <f>_xll.qlYieldTSDiscount($U$35,Y10763,,Trigger)</f>
        <v>0.59991531281660271</v>
      </c>
    </row>
    <row r="10764" spans="25:26" x14ac:dyDescent="0.25">
      <c r="Y10764" s="63">
        <v>53297</v>
      </c>
      <c r="Z10764" s="61">
        <f>_xll.qlYieldTSDiscount($U$35,Y10764,,Trigger)</f>
        <v>0.59987310109065339</v>
      </c>
    </row>
    <row r="10765" spans="25:26" x14ac:dyDescent="0.25">
      <c r="Y10765" s="63">
        <v>53298</v>
      </c>
      <c r="Z10765" s="61">
        <f>_xll.qlYieldTSDiscount($U$35,Y10765,,Trigger)</f>
        <v>0.59983089281205693</v>
      </c>
    </row>
    <row r="10766" spans="25:26" x14ac:dyDescent="0.25">
      <c r="Y10766" s="63">
        <v>53299</v>
      </c>
      <c r="Z10766" s="61">
        <f>_xll.qlYieldTSDiscount($U$35,Y10766,,Trigger)</f>
        <v>0.59978868798332696</v>
      </c>
    </row>
    <row r="10767" spans="25:26" x14ac:dyDescent="0.25">
      <c r="Y10767" s="63">
        <v>53300</v>
      </c>
      <c r="Z10767" s="61">
        <f>_xll.qlYieldTSDiscount($U$35,Y10767,,Trigger)</f>
        <v>0.59974648660697694</v>
      </c>
    </row>
    <row r="10768" spans="25:26" x14ac:dyDescent="0.25">
      <c r="Y10768" s="63">
        <v>53301</v>
      </c>
      <c r="Z10768" s="61">
        <f>_xll.qlYieldTSDiscount($U$35,Y10768,,Trigger)</f>
        <v>0.59970428868552061</v>
      </c>
    </row>
    <row r="10769" spans="25:26" x14ac:dyDescent="0.25">
      <c r="Y10769" s="63">
        <v>53302</v>
      </c>
      <c r="Z10769" s="61">
        <f>_xll.qlYieldTSDiscount($U$35,Y10769,,Trigger)</f>
        <v>0.59966209422147143</v>
      </c>
    </row>
    <row r="10770" spans="25:26" x14ac:dyDescent="0.25">
      <c r="Y10770" s="63">
        <v>53303</v>
      </c>
      <c r="Z10770" s="61">
        <f>_xll.qlYieldTSDiscount($U$35,Y10770,,Trigger)</f>
        <v>0.59961990321734282</v>
      </c>
    </row>
    <row r="10771" spans="25:26" x14ac:dyDescent="0.25">
      <c r="Y10771" s="63">
        <v>53304</v>
      </c>
      <c r="Z10771" s="61">
        <f>_xll.qlYieldTSDiscount($U$35,Y10771,,Trigger)</f>
        <v>0.59957771567564855</v>
      </c>
    </row>
    <row r="10772" spans="25:26" x14ac:dyDescent="0.25">
      <c r="Y10772" s="63">
        <v>53305</v>
      </c>
      <c r="Z10772" s="61">
        <f>_xll.qlYieldTSDiscount($U$35,Y10772,,Trigger)</f>
        <v>0.59953553159890194</v>
      </c>
    </row>
    <row r="10773" spans="25:26" x14ac:dyDescent="0.25">
      <c r="Y10773" s="63">
        <v>53306</v>
      </c>
      <c r="Z10773" s="61">
        <f>_xll.qlYieldTSDiscount($U$35,Y10773,,Trigger)</f>
        <v>0.59949335098961676</v>
      </c>
    </row>
    <row r="10774" spans="25:26" x14ac:dyDescent="0.25">
      <c r="Y10774" s="63">
        <v>53307</v>
      </c>
      <c r="Z10774" s="61">
        <f>_xll.qlYieldTSDiscount($U$35,Y10774,,Trigger)</f>
        <v>0.59945117385030633</v>
      </c>
    </row>
    <row r="10775" spans="25:26" x14ac:dyDescent="0.25">
      <c r="Y10775" s="63">
        <v>53308</v>
      </c>
      <c r="Z10775" s="61">
        <f>_xll.qlYieldTSDiscount($U$35,Y10775,,Trigger)</f>
        <v>0.59940900018348442</v>
      </c>
    </row>
    <row r="10776" spans="25:26" x14ac:dyDescent="0.25">
      <c r="Y10776" s="63">
        <v>53309</v>
      </c>
      <c r="Z10776" s="61">
        <f>_xll.qlYieldTSDiscount($U$35,Y10776,,Trigger)</f>
        <v>0.59936682999166457</v>
      </c>
    </row>
    <row r="10777" spans="25:26" x14ac:dyDescent="0.25">
      <c r="Y10777" s="63">
        <v>53310</v>
      </c>
      <c r="Z10777" s="61">
        <f>_xll.qlYieldTSDiscount($U$35,Y10777,,Trigger)</f>
        <v>0.59932466327736023</v>
      </c>
    </row>
    <row r="10778" spans="25:26" x14ac:dyDescent="0.25">
      <c r="Y10778" s="63">
        <v>53311</v>
      </c>
      <c r="Z10778" s="61">
        <f>_xll.qlYieldTSDiscount($U$35,Y10778,,Trigger)</f>
        <v>0.59928250004308492</v>
      </c>
    </row>
    <row r="10779" spans="25:26" x14ac:dyDescent="0.25">
      <c r="Y10779" s="63">
        <v>53312</v>
      </c>
      <c r="Z10779" s="61">
        <f>_xll.qlYieldTSDiscount($U$35,Y10779,,Trigger)</f>
        <v>0.5992403402913522</v>
      </c>
    </row>
    <row r="10780" spans="25:26" x14ac:dyDescent="0.25">
      <c r="Y10780" s="63">
        <v>53313</v>
      </c>
      <c r="Z10780" s="61">
        <f>_xll.qlYieldTSDiscount($U$35,Y10780,,Trigger)</f>
        <v>0.59919818402467584</v>
      </c>
    </row>
    <row r="10781" spans="25:26" x14ac:dyDescent="0.25">
      <c r="Y10781" s="63">
        <v>53314</v>
      </c>
      <c r="Z10781" s="61">
        <f>_xll.qlYieldTSDiscount($U$35,Y10781,,Trigger)</f>
        <v>0.59915603124556904</v>
      </c>
    </row>
    <row r="10782" spans="25:26" x14ac:dyDescent="0.25">
      <c r="Y10782" s="63">
        <v>53315</v>
      </c>
      <c r="Z10782" s="61">
        <f>_xll.qlYieldTSDiscount($U$35,Y10782,,Trigger)</f>
        <v>0.59911388195654569</v>
      </c>
    </row>
    <row r="10783" spans="25:26" x14ac:dyDescent="0.25">
      <c r="Y10783" s="63">
        <v>53316</v>
      </c>
      <c r="Z10783" s="61">
        <f>_xll.qlYieldTSDiscount($U$35,Y10783,,Trigger)</f>
        <v>0.59907173616011911</v>
      </c>
    </row>
    <row r="10784" spans="25:26" x14ac:dyDescent="0.25">
      <c r="Y10784" s="63">
        <v>53317</v>
      </c>
      <c r="Z10784" s="61">
        <f>_xll.qlYieldTSDiscount($U$35,Y10784,,Trigger)</f>
        <v>0.59902959385880294</v>
      </c>
    </row>
    <row r="10785" spans="25:26" x14ac:dyDescent="0.25">
      <c r="Y10785" s="63">
        <v>53318</v>
      </c>
      <c r="Z10785" s="61">
        <f>_xll.qlYieldTSDiscount($U$35,Y10785,,Trigger)</f>
        <v>0.59898745505511064</v>
      </c>
    </row>
    <row r="10786" spans="25:26" x14ac:dyDescent="0.25">
      <c r="Y10786" s="63">
        <v>53319</v>
      </c>
      <c r="Z10786" s="61">
        <f>_xll.qlYieldTSDiscount($U$35,Y10786,,Trigger)</f>
        <v>0.59894531975155596</v>
      </c>
    </row>
    <row r="10787" spans="25:26" x14ac:dyDescent="0.25">
      <c r="Y10787" s="63">
        <v>53320</v>
      </c>
      <c r="Z10787" s="61">
        <f>_xll.qlYieldTSDiscount($U$35,Y10787,,Trigger)</f>
        <v>0.59890318795065234</v>
      </c>
    </row>
    <row r="10788" spans="25:26" x14ac:dyDescent="0.25">
      <c r="Y10788" s="63">
        <v>53321</v>
      </c>
      <c r="Z10788" s="61">
        <f>_xll.qlYieldTSDiscount($U$35,Y10788,,Trigger)</f>
        <v>0.5988610596549131</v>
      </c>
    </row>
    <row r="10789" spans="25:26" x14ac:dyDescent="0.25">
      <c r="Y10789" s="63">
        <v>53322</v>
      </c>
      <c r="Z10789" s="61">
        <f>_xll.qlYieldTSDiscount($U$35,Y10789,,Trigger)</f>
        <v>0.59881893486685223</v>
      </c>
    </row>
    <row r="10790" spans="25:26" x14ac:dyDescent="0.25">
      <c r="Y10790" s="63">
        <v>53323</v>
      </c>
      <c r="Z10790" s="61">
        <f>_xll.qlYieldTSDiscount($U$35,Y10790,,Trigger)</f>
        <v>0.59877681358898305</v>
      </c>
    </row>
    <row r="10791" spans="25:26" x14ac:dyDescent="0.25">
      <c r="Y10791" s="63">
        <v>53324</v>
      </c>
      <c r="Z10791" s="61">
        <f>_xll.qlYieldTSDiscount($U$35,Y10791,,Trigger)</f>
        <v>0.59873469582381911</v>
      </c>
    </row>
    <row r="10792" spans="25:26" x14ac:dyDescent="0.25">
      <c r="Y10792" s="63">
        <v>53325</v>
      </c>
      <c r="Z10792" s="61">
        <f>_xll.qlYieldTSDiscount($U$35,Y10792,,Trigger)</f>
        <v>0.59869258157387395</v>
      </c>
    </row>
    <row r="10793" spans="25:26" x14ac:dyDescent="0.25">
      <c r="Y10793" s="63">
        <v>53326</v>
      </c>
      <c r="Z10793" s="61">
        <f>_xll.qlYieldTSDiscount($U$35,Y10793,,Trigger)</f>
        <v>0.59865047084166112</v>
      </c>
    </row>
    <row r="10794" spans="25:26" x14ac:dyDescent="0.25">
      <c r="Y10794" s="63">
        <v>53327</v>
      </c>
      <c r="Z10794" s="61">
        <f>_xll.qlYieldTSDiscount($U$35,Y10794,,Trigger)</f>
        <v>0.59860836362969416</v>
      </c>
    </row>
    <row r="10795" spans="25:26" x14ac:dyDescent="0.25">
      <c r="Y10795" s="63">
        <v>53328</v>
      </c>
      <c r="Z10795" s="61">
        <f>_xll.qlYieldTSDiscount($U$35,Y10795,,Trigger)</f>
        <v>0.59856625994048673</v>
      </c>
    </row>
    <row r="10796" spans="25:26" x14ac:dyDescent="0.25">
      <c r="Y10796" s="63">
        <v>53329</v>
      </c>
      <c r="Z10796" s="61">
        <f>_xll.qlYieldTSDiscount($U$35,Y10796,,Trigger)</f>
        <v>0.59852415977655227</v>
      </c>
    </row>
    <row r="10797" spans="25:26" x14ac:dyDescent="0.25">
      <c r="Y10797" s="63">
        <v>53330</v>
      </c>
      <c r="Z10797" s="61">
        <f>_xll.qlYieldTSDiscount($U$35,Y10797,,Trigger)</f>
        <v>0.59848206314040442</v>
      </c>
    </row>
    <row r="10798" spans="25:26" x14ac:dyDescent="0.25">
      <c r="Y10798" s="63">
        <v>53331</v>
      </c>
      <c r="Z10798" s="61">
        <f>_xll.qlYieldTSDiscount($U$35,Y10798,,Trigger)</f>
        <v>0.59843997003455673</v>
      </c>
    </row>
    <row r="10799" spans="25:26" x14ac:dyDescent="0.25">
      <c r="Y10799" s="63">
        <v>53332</v>
      </c>
      <c r="Z10799" s="61">
        <f>_xll.qlYieldTSDiscount($U$35,Y10799,,Trigger)</f>
        <v>0.59839788046152265</v>
      </c>
    </row>
    <row r="10800" spans="25:26" x14ac:dyDescent="0.25">
      <c r="Y10800" s="63">
        <v>53333</v>
      </c>
      <c r="Z10800" s="61">
        <f>_xll.qlYieldTSDiscount($U$35,Y10800,,Trigger)</f>
        <v>0.59835579442381581</v>
      </c>
    </row>
    <row r="10801" spans="25:26" x14ac:dyDescent="0.25">
      <c r="Y10801" s="63">
        <v>53334</v>
      </c>
      <c r="Z10801" s="61">
        <f>_xll.qlYieldTSDiscount($U$35,Y10801,,Trigger)</f>
        <v>0.59831371192394966</v>
      </c>
    </row>
    <row r="10802" spans="25:26" x14ac:dyDescent="0.25">
      <c r="Y10802" s="63">
        <v>53335</v>
      </c>
      <c r="Z10802" s="61">
        <f>_xll.qlYieldTSDiscount($U$35,Y10802,,Trigger)</f>
        <v>0.59827163296443797</v>
      </c>
    </row>
    <row r="10803" spans="25:26" x14ac:dyDescent="0.25">
      <c r="Y10803" s="63">
        <v>53336</v>
      </c>
      <c r="Z10803" s="61">
        <f>_xll.qlYieldTSDiscount($U$35,Y10803,,Trigger)</f>
        <v>0.59822955754779406</v>
      </c>
    </row>
    <row r="10804" spans="25:26" x14ac:dyDescent="0.25">
      <c r="Y10804" s="63">
        <v>53337</v>
      </c>
      <c r="Z10804" s="61">
        <f>_xll.qlYieldTSDiscount($U$35,Y10804,,Trigger)</f>
        <v>0.59818748567653146</v>
      </c>
    </row>
    <row r="10805" spans="25:26" x14ac:dyDescent="0.25">
      <c r="Y10805" s="63">
        <v>53338</v>
      </c>
      <c r="Z10805" s="61">
        <f>_xll.qlYieldTSDiscount($U$35,Y10805,,Trigger)</f>
        <v>0.59814541735316396</v>
      </c>
    </row>
    <row r="10806" spans="25:26" x14ac:dyDescent="0.25">
      <c r="Y10806" s="63">
        <v>53339</v>
      </c>
      <c r="Z10806" s="61">
        <f>_xll.qlYieldTSDiscount($U$35,Y10806,,Trigger)</f>
        <v>0.59810335258020508</v>
      </c>
    </row>
    <row r="10807" spans="25:26" x14ac:dyDescent="0.25">
      <c r="Y10807" s="63">
        <v>53340</v>
      </c>
      <c r="Z10807" s="61">
        <f>_xll.qlYieldTSDiscount($U$35,Y10807,,Trigger)</f>
        <v>0.59806129136016806</v>
      </c>
    </row>
    <row r="10808" spans="25:26" x14ac:dyDescent="0.25">
      <c r="Y10808" s="63">
        <v>53341</v>
      </c>
      <c r="Z10808" s="61">
        <f>_xll.qlYieldTSDiscount($U$35,Y10808,,Trigger)</f>
        <v>0.59801923369556687</v>
      </c>
    </row>
    <row r="10809" spans="25:26" x14ac:dyDescent="0.25">
      <c r="Y10809" s="63">
        <v>53342</v>
      </c>
      <c r="Z10809" s="61">
        <f>_xll.qlYieldTSDiscount($U$35,Y10809,,Trigger)</f>
        <v>0.59797717958891472</v>
      </c>
    </row>
    <row r="10810" spans="25:26" x14ac:dyDescent="0.25">
      <c r="Y10810" s="63">
        <v>53343</v>
      </c>
      <c r="Z10810" s="61">
        <f>_xll.qlYieldTSDiscount($U$35,Y10810,,Trigger)</f>
        <v>0.59793512904272528</v>
      </c>
    </row>
    <row r="10811" spans="25:26" x14ac:dyDescent="0.25">
      <c r="Y10811" s="63">
        <v>53344</v>
      </c>
      <c r="Z10811" s="61">
        <f>_xll.qlYieldTSDiscount($U$35,Y10811,,Trigger)</f>
        <v>0.5978930820595123</v>
      </c>
    </row>
    <row r="10812" spans="25:26" x14ac:dyDescent="0.25">
      <c r="Y10812" s="63">
        <v>53345</v>
      </c>
      <c r="Z10812" s="61">
        <f>_xll.qlYieldTSDiscount($U$35,Y10812,,Trigger)</f>
        <v>0.59785103864178901</v>
      </c>
    </row>
    <row r="10813" spans="25:26" x14ac:dyDescent="0.25">
      <c r="Y10813" s="63">
        <v>53346</v>
      </c>
      <c r="Z10813" s="61">
        <f>_xll.qlYieldTSDiscount($U$35,Y10813,,Trigger)</f>
        <v>0.59780899879206917</v>
      </c>
    </row>
    <row r="10814" spans="25:26" x14ac:dyDescent="0.25">
      <c r="Y10814" s="63">
        <v>53347</v>
      </c>
      <c r="Z10814" s="61">
        <f>_xll.qlYieldTSDiscount($U$35,Y10814,,Trigger)</f>
        <v>0.59776696251286621</v>
      </c>
    </row>
    <row r="10815" spans="25:26" x14ac:dyDescent="0.25">
      <c r="Y10815" s="63">
        <v>53348</v>
      </c>
      <c r="Z10815" s="61">
        <f>_xll.qlYieldTSDiscount($U$35,Y10815,,Trigger)</f>
        <v>0.59772492980669367</v>
      </c>
    </row>
    <row r="10816" spans="25:26" x14ac:dyDescent="0.25">
      <c r="Y10816" s="63">
        <v>53349</v>
      </c>
      <c r="Z10816" s="61">
        <f>_xll.qlYieldTSDiscount($U$35,Y10816,,Trigger)</f>
        <v>0.59768290067606533</v>
      </c>
    </row>
    <row r="10817" spans="25:26" x14ac:dyDescent="0.25">
      <c r="Y10817" s="63">
        <v>53350</v>
      </c>
      <c r="Z10817" s="61">
        <f>_xll.qlYieldTSDiscount($U$35,Y10817,,Trigger)</f>
        <v>0.59764087512349451</v>
      </c>
    </row>
    <row r="10818" spans="25:26" x14ac:dyDescent="0.25">
      <c r="Y10818" s="63">
        <v>53351</v>
      </c>
      <c r="Z10818" s="61">
        <f>_xll.qlYieldTSDiscount($U$35,Y10818,,Trigger)</f>
        <v>0.59759885315149475</v>
      </c>
    </row>
    <row r="10819" spans="25:26" x14ac:dyDescent="0.25">
      <c r="Y10819" s="63">
        <v>53352</v>
      </c>
      <c r="Z10819" s="61">
        <f>_xll.qlYieldTSDiscount($U$35,Y10819,,Trigger)</f>
        <v>0.59755683476257981</v>
      </c>
    </row>
    <row r="10820" spans="25:26" x14ac:dyDescent="0.25">
      <c r="Y10820" s="63">
        <v>53353</v>
      </c>
      <c r="Z10820" s="61">
        <f>_xll.qlYieldTSDiscount($U$35,Y10820,,Trigger)</f>
        <v>0.59751481995926303</v>
      </c>
    </row>
    <row r="10821" spans="25:26" x14ac:dyDescent="0.25">
      <c r="Y10821" s="63">
        <v>53354</v>
      </c>
      <c r="Z10821" s="61">
        <f>_xll.qlYieldTSDiscount($U$35,Y10821,,Trigger)</f>
        <v>0.59747280874405806</v>
      </c>
    </row>
    <row r="10822" spans="25:26" x14ac:dyDescent="0.25">
      <c r="Y10822" s="63">
        <v>53355</v>
      </c>
      <c r="Z10822" s="61">
        <f>_xll.qlYieldTSDiscount($U$35,Y10822,,Trigger)</f>
        <v>0.59743080111947844</v>
      </c>
    </row>
    <row r="10823" spans="25:26" x14ac:dyDescent="0.25">
      <c r="Y10823" s="63">
        <v>53356</v>
      </c>
      <c r="Z10823" s="61">
        <f>_xll.qlYieldTSDiscount($U$35,Y10823,,Trigger)</f>
        <v>0.5973887970880376</v>
      </c>
    </row>
    <row r="10824" spans="25:26" x14ac:dyDescent="0.25">
      <c r="Y10824" s="63">
        <v>53357</v>
      </c>
      <c r="Z10824" s="61">
        <f>_xll.qlYieldTSDiscount($U$35,Y10824,,Trigger)</f>
        <v>0.59734679665224943</v>
      </c>
    </row>
    <row r="10825" spans="25:26" x14ac:dyDescent="0.25">
      <c r="Y10825" s="63">
        <v>53358</v>
      </c>
      <c r="Z10825" s="61">
        <f>_xll.qlYieldTSDiscount($U$35,Y10825,,Trigger)</f>
        <v>0.59730479981462714</v>
      </c>
    </row>
    <row r="10826" spans="25:26" x14ac:dyDescent="0.25">
      <c r="Y10826" s="63">
        <v>53359</v>
      </c>
      <c r="Z10826" s="61">
        <f>_xll.qlYieldTSDiscount($U$35,Y10826,,Trigger)</f>
        <v>0.59726280657768438</v>
      </c>
    </row>
    <row r="10827" spans="25:26" x14ac:dyDescent="0.25">
      <c r="Y10827" s="63">
        <v>53360</v>
      </c>
      <c r="Z10827" s="61">
        <f>_xll.qlYieldTSDiscount($U$35,Y10827,,Trigger)</f>
        <v>0.59722081694393481</v>
      </c>
    </row>
    <row r="10828" spans="25:26" x14ac:dyDescent="0.25">
      <c r="Y10828" s="63">
        <v>53361</v>
      </c>
      <c r="Z10828" s="61">
        <f>_xll.qlYieldTSDiscount($U$35,Y10828,,Trigger)</f>
        <v>0.59717883091589175</v>
      </c>
    </row>
    <row r="10829" spans="25:26" x14ac:dyDescent="0.25">
      <c r="Y10829" s="63">
        <v>53362</v>
      </c>
      <c r="Z10829" s="61">
        <f>_xll.qlYieldTSDiscount($U$35,Y10829,,Trigger)</f>
        <v>0.59713684849606907</v>
      </c>
    </row>
    <row r="10830" spans="25:26" x14ac:dyDescent="0.25">
      <c r="Y10830" s="63">
        <v>53363</v>
      </c>
      <c r="Z10830" s="61">
        <f>_xll.qlYieldTSDiscount($U$35,Y10830,,Trigger)</f>
        <v>0.59709486968698</v>
      </c>
    </row>
    <row r="10831" spans="25:26" x14ac:dyDescent="0.25">
      <c r="Y10831" s="63">
        <v>53364</v>
      </c>
      <c r="Z10831" s="61">
        <f>_xll.qlYieldTSDiscount($U$35,Y10831,,Trigger)</f>
        <v>0.5970528944911383</v>
      </c>
    </row>
    <row r="10832" spans="25:26" x14ac:dyDescent="0.25">
      <c r="Y10832" s="63">
        <v>53365</v>
      </c>
      <c r="Z10832" s="61">
        <f>_xll.qlYieldTSDiscount($U$35,Y10832,,Trigger)</f>
        <v>0.5970109229110574</v>
      </c>
    </row>
    <row r="10833" spans="25:26" x14ac:dyDescent="0.25">
      <c r="Y10833" s="63">
        <v>53366</v>
      </c>
      <c r="Z10833" s="61">
        <f>_xll.qlYieldTSDiscount($U$35,Y10833,,Trigger)</f>
        <v>0.59696895494925095</v>
      </c>
    </row>
    <row r="10834" spans="25:26" x14ac:dyDescent="0.25">
      <c r="Y10834" s="63">
        <v>53367</v>
      </c>
      <c r="Z10834" s="61">
        <f>_xll.qlYieldTSDiscount($U$35,Y10834,,Trigger)</f>
        <v>0.59692699060823251</v>
      </c>
    </row>
    <row r="10835" spans="25:26" x14ac:dyDescent="0.25">
      <c r="Y10835" s="63">
        <v>53368</v>
      </c>
      <c r="Z10835" s="61">
        <f>_xll.qlYieldTSDiscount($U$35,Y10835,,Trigger)</f>
        <v>0.59688502989051551</v>
      </c>
    </row>
    <row r="10836" spans="25:26" x14ac:dyDescent="0.25">
      <c r="Y10836" s="63">
        <v>53369</v>
      </c>
      <c r="Z10836" s="61">
        <f>_xll.qlYieldTSDiscount($U$35,Y10836,,Trigger)</f>
        <v>0.59684307279861359</v>
      </c>
    </row>
    <row r="10837" spans="25:26" x14ac:dyDescent="0.25">
      <c r="Y10837" s="63">
        <v>53370</v>
      </c>
      <c r="Z10837" s="61">
        <f>_xll.qlYieldTSDiscount($U$35,Y10837,,Trigger)</f>
        <v>0.59680111933504032</v>
      </c>
    </row>
    <row r="10838" spans="25:26" x14ac:dyDescent="0.25">
      <c r="Y10838" s="63">
        <v>53371</v>
      </c>
      <c r="Z10838" s="61">
        <f>_xll.qlYieldTSDiscount($U$35,Y10838,,Trigger)</f>
        <v>0.59675916950230923</v>
      </c>
    </row>
    <row r="10839" spans="25:26" x14ac:dyDescent="0.25">
      <c r="Y10839" s="63">
        <v>53372</v>
      </c>
      <c r="Z10839" s="61">
        <f>_xll.qlYieldTSDiscount($U$35,Y10839,,Trigger)</f>
        <v>0.59671722330293375</v>
      </c>
    </row>
    <row r="10840" spans="25:26" x14ac:dyDescent="0.25">
      <c r="Y10840" s="63">
        <v>53373</v>
      </c>
      <c r="Z10840" s="61">
        <f>_xll.qlYieldTSDiscount($U$35,Y10840,,Trigger)</f>
        <v>0.59667528073942766</v>
      </c>
    </row>
    <row r="10841" spans="25:26" x14ac:dyDescent="0.25">
      <c r="Y10841" s="63">
        <v>53374</v>
      </c>
      <c r="Z10841" s="61">
        <f>_xll.qlYieldTSDiscount($U$35,Y10841,,Trigger)</f>
        <v>0.59663334181430427</v>
      </c>
    </row>
    <row r="10842" spans="25:26" x14ac:dyDescent="0.25">
      <c r="Y10842" s="63">
        <v>53375</v>
      </c>
      <c r="Z10842" s="61">
        <f>_xll.qlYieldTSDiscount($U$35,Y10842,,Trigger)</f>
        <v>0.59659140653007736</v>
      </c>
    </row>
    <row r="10843" spans="25:26" x14ac:dyDescent="0.25">
      <c r="Y10843" s="63">
        <v>53376</v>
      </c>
      <c r="Z10843" s="61">
        <f>_xll.qlYieldTSDiscount($U$35,Y10843,,Trigger)</f>
        <v>0.59654947488926036</v>
      </c>
    </row>
    <row r="10844" spans="25:26" x14ac:dyDescent="0.25">
      <c r="Y10844" s="63">
        <v>53377</v>
      </c>
      <c r="Z10844" s="61">
        <f>_xll.qlYieldTSDiscount($U$35,Y10844,,Trigger)</f>
        <v>0.5965075468943668</v>
      </c>
    </row>
    <row r="10845" spans="25:26" x14ac:dyDescent="0.25">
      <c r="Y10845" s="63">
        <v>53378</v>
      </c>
      <c r="Z10845" s="61">
        <f>_xll.qlYieldTSDiscount($U$35,Y10845,,Trigger)</f>
        <v>0.59646562254791025</v>
      </c>
    </row>
    <row r="10846" spans="25:26" x14ac:dyDescent="0.25">
      <c r="Y10846" s="63">
        <v>53379</v>
      </c>
      <c r="Z10846" s="61">
        <f>_xll.qlYieldTSDiscount($U$35,Y10846,,Trigger)</f>
        <v>0.59642370185240434</v>
      </c>
    </row>
    <row r="10847" spans="25:26" x14ac:dyDescent="0.25">
      <c r="Y10847" s="63">
        <v>53380</v>
      </c>
      <c r="Z10847" s="61">
        <f>_xll.qlYieldTSDiscount($U$35,Y10847,,Trigger)</f>
        <v>0.59638178481036241</v>
      </c>
    </row>
    <row r="10848" spans="25:26" x14ac:dyDescent="0.25">
      <c r="Y10848" s="63">
        <v>53381</v>
      </c>
      <c r="Z10848" s="61">
        <f>_xll.qlYieldTSDiscount($U$35,Y10848,,Trigger)</f>
        <v>0.59633987142429823</v>
      </c>
    </row>
    <row r="10849" spans="25:26" x14ac:dyDescent="0.25">
      <c r="Y10849" s="63">
        <v>53382</v>
      </c>
      <c r="Z10849" s="61">
        <f>_xll.qlYieldTSDiscount($U$35,Y10849,,Trigger)</f>
        <v>0.59629796169672533</v>
      </c>
    </row>
    <row r="10850" spans="25:26" x14ac:dyDescent="0.25">
      <c r="Y10850" s="63">
        <v>53383</v>
      </c>
      <c r="Z10850" s="61">
        <f>_xll.qlYieldTSDiscount($U$35,Y10850,,Trigger)</f>
        <v>0.59625605563015727</v>
      </c>
    </row>
    <row r="10851" spans="25:26" x14ac:dyDescent="0.25">
      <c r="Y10851" s="63">
        <v>53384</v>
      </c>
      <c r="Z10851" s="61">
        <f>_xll.qlYieldTSDiscount($U$35,Y10851,,Trigger)</f>
        <v>0.59621415322710747</v>
      </c>
    </row>
    <row r="10852" spans="25:26" x14ac:dyDescent="0.25">
      <c r="Y10852" s="63">
        <v>53385</v>
      </c>
      <c r="Z10852" s="61">
        <f>_xll.qlYieldTSDiscount($U$35,Y10852,,Trigger)</f>
        <v>0.59617225449008937</v>
      </c>
    </row>
    <row r="10853" spans="25:26" x14ac:dyDescent="0.25">
      <c r="Y10853" s="63">
        <v>53386</v>
      </c>
      <c r="Z10853" s="61">
        <f>_xll.qlYieldTSDiscount($U$35,Y10853,,Trigger)</f>
        <v>0.59613035942161696</v>
      </c>
    </row>
    <row r="10854" spans="25:26" x14ac:dyDescent="0.25">
      <c r="Y10854" s="63">
        <v>53387</v>
      </c>
      <c r="Z10854" s="61">
        <f>_xll.qlYieldTSDiscount($U$35,Y10854,,Trigger)</f>
        <v>0.59608846802420346</v>
      </c>
    </row>
    <row r="10855" spans="25:26" x14ac:dyDescent="0.25">
      <c r="Y10855" s="63">
        <v>53388</v>
      </c>
      <c r="Z10855" s="61">
        <f>_xll.qlYieldTSDiscount($U$35,Y10855,,Trigger)</f>
        <v>0.59604658030036251</v>
      </c>
    </row>
    <row r="10856" spans="25:26" x14ac:dyDescent="0.25">
      <c r="Y10856" s="63">
        <v>53389</v>
      </c>
      <c r="Z10856" s="61">
        <f>_xll.qlYieldTSDiscount($U$35,Y10856,,Trigger)</f>
        <v>0.59600469625260755</v>
      </c>
    </row>
    <row r="10857" spans="25:26" x14ac:dyDescent="0.25">
      <c r="Y10857" s="63">
        <v>53390</v>
      </c>
      <c r="Z10857" s="61">
        <f>_xll.qlYieldTSDiscount($U$35,Y10857,,Trigger)</f>
        <v>0.59596281588345235</v>
      </c>
    </row>
    <row r="10858" spans="25:26" x14ac:dyDescent="0.25">
      <c r="Y10858" s="63">
        <v>53391</v>
      </c>
      <c r="Z10858" s="61">
        <f>_xll.qlYieldTSDiscount($U$35,Y10858,,Trigger)</f>
        <v>0.59592093919541034</v>
      </c>
    </row>
    <row r="10859" spans="25:26" x14ac:dyDescent="0.25">
      <c r="Y10859" s="63">
        <v>53392</v>
      </c>
      <c r="Z10859" s="61">
        <f>_xll.qlYieldTSDiscount($U$35,Y10859,,Trigger)</f>
        <v>0.59587906619099495</v>
      </c>
    </row>
    <row r="10860" spans="25:26" x14ac:dyDescent="0.25">
      <c r="Y10860" s="63">
        <v>53393</v>
      </c>
      <c r="Z10860" s="61">
        <f>_xll.qlYieldTSDiscount($U$35,Y10860,,Trigger)</f>
        <v>0.59583719687271997</v>
      </c>
    </row>
    <row r="10861" spans="25:26" x14ac:dyDescent="0.25">
      <c r="Y10861" s="63">
        <v>53394</v>
      </c>
      <c r="Z10861" s="61">
        <f>_xll.qlYieldTSDiscount($U$35,Y10861,,Trigger)</f>
        <v>0.5957953312430988</v>
      </c>
    </row>
    <row r="10862" spans="25:26" x14ac:dyDescent="0.25">
      <c r="Y10862" s="63">
        <v>53395</v>
      </c>
      <c r="Z10862" s="61">
        <f>_xll.qlYieldTSDiscount($U$35,Y10862,,Trigger)</f>
        <v>0.59575346930464501</v>
      </c>
    </row>
    <row r="10863" spans="25:26" x14ac:dyDescent="0.25">
      <c r="Y10863" s="63">
        <v>53396</v>
      </c>
      <c r="Z10863" s="61">
        <f>_xll.qlYieldTSDiscount($U$35,Y10863,,Trigger)</f>
        <v>0.59571161105987214</v>
      </c>
    </row>
    <row r="10864" spans="25:26" x14ac:dyDescent="0.25">
      <c r="Y10864" s="63">
        <v>53397</v>
      </c>
      <c r="Z10864" s="61">
        <f>_xll.qlYieldTSDiscount($U$35,Y10864,,Trigger)</f>
        <v>0.59566975651129384</v>
      </c>
    </row>
    <row r="10865" spans="25:26" x14ac:dyDescent="0.25">
      <c r="Y10865" s="63">
        <v>53398</v>
      </c>
      <c r="Z10865" s="61">
        <f>_xll.qlYieldTSDiscount($U$35,Y10865,,Trigger)</f>
        <v>0.59562790566142354</v>
      </c>
    </row>
    <row r="10866" spans="25:26" x14ac:dyDescent="0.25">
      <c r="Y10866" s="63">
        <v>53399</v>
      </c>
      <c r="Z10866" s="61">
        <f>_xll.qlYieldTSDiscount($U$35,Y10866,,Trigger)</f>
        <v>0.5955860585127748</v>
      </c>
    </row>
    <row r="10867" spans="25:26" x14ac:dyDescent="0.25">
      <c r="Y10867" s="63">
        <v>53400</v>
      </c>
      <c r="Z10867" s="61">
        <f>_xll.qlYieldTSDiscount($U$35,Y10867,,Trigger)</f>
        <v>0.59554421506786137</v>
      </c>
    </row>
    <row r="10868" spans="25:26" x14ac:dyDescent="0.25">
      <c r="Y10868" s="63">
        <v>53401</v>
      </c>
      <c r="Z10868" s="61">
        <f>_xll.qlYieldTSDiscount($U$35,Y10868,,Trigger)</f>
        <v>0.59550237532919648</v>
      </c>
    </row>
    <row r="10869" spans="25:26" x14ac:dyDescent="0.25">
      <c r="Y10869" s="63">
        <v>53402</v>
      </c>
      <c r="Z10869" s="61">
        <f>_xll.qlYieldTSDiscount($U$35,Y10869,,Trigger)</f>
        <v>0.59546053929929399</v>
      </c>
    </row>
    <row r="10870" spans="25:26" x14ac:dyDescent="0.25">
      <c r="Y10870" s="63">
        <v>53403</v>
      </c>
      <c r="Z10870" s="61">
        <f>_xll.qlYieldTSDiscount($U$35,Y10870,,Trigger)</f>
        <v>0.59541870698066712</v>
      </c>
    </row>
    <row r="10871" spans="25:26" x14ac:dyDescent="0.25">
      <c r="Y10871" s="63">
        <v>53404</v>
      </c>
      <c r="Z10871" s="61">
        <f>_xll.qlYieldTSDiscount($U$35,Y10871,,Trigger)</f>
        <v>0.59537687837582975</v>
      </c>
    </row>
    <row r="10872" spans="25:26" x14ac:dyDescent="0.25">
      <c r="Y10872" s="63">
        <v>53405</v>
      </c>
      <c r="Z10872" s="61">
        <f>_xll.qlYieldTSDiscount($U$35,Y10872,,Trigger)</f>
        <v>0.59533505348729521</v>
      </c>
    </row>
    <row r="10873" spans="25:26" x14ac:dyDescent="0.25">
      <c r="Y10873" s="63">
        <v>53406</v>
      </c>
      <c r="Z10873" s="61">
        <f>_xll.qlYieldTSDiscount($U$35,Y10873,,Trigger)</f>
        <v>0.59529323231757725</v>
      </c>
    </row>
    <row r="10874" spans="25:26" x14ac:dyDescent="0.25">
      <c r="Y10874" s="63">
        <v>53407</v>
      </c>
      <c r="Z10874" s="61">
        <f>_xll.qlYieldTSDiscount($U$35,Y10874,,Trigger)</f>
        <v>0.5952514148691892</v>
      </c>
    </row>
    <row r="10875" spans="25:26" x14ac:dyDescent="0.25">
      <c r="Y10875" s="63">
        <v>53408</v>
      </c>
      <c r="Z10875" s="61">
        <f>_xll.qlYieldTSDiscount($U$35,Y10875,,Trigger)</f>
        <v>0.59520960114464472</v>
      </c>
    </row>
    <row r="10876" spans="25:26" x14ac:dyDescent="0.25">
      <c r="Y10876" s="63">
        <v>53409</v>
      </c>
      <c r="Z10876" s="61">
        <f>_xll.qlYieldTSDiscount($U$35,Y10876,,Trigger)</f>
        <v>0.59516779114645735</v>
      </c>
    </row>
    <row r="10877" spans="25:26" x14ac:dyDescent="0.25">
      <c r="Y10877" s="63">
        <v>53410</v>
      </c>
      <c r="Z10877" s="61">
        <f>_xll.qlYieldTSDiscount($U$35,Y10877,,Trigger)</f>
        <v>0.59512598487714063</v>
      </c>
    </row>
    <row r="10878" spans="25:26" x14ac:dyDescent="0.25">
      <c r="Y10878" s="63">
        <v>53411</v>
      </c>
      <c r="Z10878" s="61">
        <f>_xll.qlYieldTSDiscount($U$35,Y10878,,Trigger)</f>
        <v>0.59508418233920812</v>
      </c>
    </row>
    <row r="10879" spans="25:26" x14ac:dyDescent="0.25">
      <c r="Y10879" s="63">
        <v>53412</v>
      </c>
      <c r="Z10879" s="61">
        <f>_xll.qlYieldTSDiscount($U$35,Y10879,,Trigger)</f>
        <v>0.59504238353517347</v>
      </c>
    </row>
    <row r="10880" spans="25:26" x14ac:dyDescent="0.25">
      <c r="Y10880" s="63">
        <v>53413</v>
      </c>
      <c r="Z10880" s="61">
        <f>_xll.qlYieldTSDiscount($U$35,Y10880,,Trigger)</f>
        <v>0.59500058846755011</v>
      </c>
    </row>
    <row r="10881" spans="25:26" x14ac:dyDescent="0.25">
      <c r="Y10881" s="63">
        <v>53414</v>
      </c>
      <c r="Z10881" s="61">
        <f>_xll.qlYieldTSDiscount($U$35,Y10881,,Trigger)</f>
        <v>0.59495879713885158</v>
      </c>
    </row>
    <row r="10882" spans="25:26" x14ac:dyDescent="0.25">
      <c r="Y10882" s="63">
        <v>53415</v>
      </c>
      <c r="Z10882" s="61">
        <f>_xll.qlYieldTSDiscount($U$35,Y10882,,Trigger)</f>
        <v>0.59491700955159155</v>
      </c>
    </row>
    <row r="10883" spans="25:26" x14ac:dyDescent="0.25">
      <c r="Y10883" s="63">
        <v>53416</v>
      </c>
      <c r="Z10883" s="61">
        <f>_xll.qlYieldTSDiscount($U$35,Y10883,,Trigger)</f>
        <v>0.59487522570828344</v>
      </c>
    </row>
    <row r="10884" spans="25:26" x14ac:dyDescent="0.25">
      <c r="Y10884" s="63">
        <v>53417</v>
      </c>
      <c r="Z10884" s="61">
        <f>_xll.qlYieldTSDiscount($U$35,Y10884,,Trigger)</f>
        <v>0.5948334456114408</v>
      </c>
    </row>
    <row r="10885" spans="25:26" x14ac:dyDescent="0.25">
      <c r="Y10885" s="63">
        <v>53418</v>
      </c>
      <c r="Z10885" s="61">
        <f>_xll.qlYieldTSDiscount($U$35,Y10885,,Trigger)</f>
        <v>0.59479166926357729</v>
      </c>
    </row>
    <row r="10886" spans="25:26" x14ac:dyDescent="0.25">
      <c r="Y10886" s="63">
        <v>53419</v>
      </c>
      <c r="Z10886" s="61">
        <f>_xll.qlYieldTSDiscount($U$35,Y10886,,Trigger)</f>
        <v>0.59474989666720635</v>
      </c>
    </row>
    <row r="10887" spans="25:26" x14ac:dyDescent="0.25">
      <c r="Y10887" s="63">
        <v>53420</v>
      </c>
      <c r="Z10887" s="61">
        <f>_xll.qlYieldTSDiscount($U$35,Y10887,,Trigger)</f>
        <v>0.59470812782484161</v>
      </c>
    </row>
    <row r="10888" spans="25:26" x14ac:dyDescent="0.25">
      <c r="Y10888" s="63">
        <v>53421</v>
      </c>
      <c r="Z10888" s="61">
        <f>_xll.qlYieldTSDiscount($U$35,Y10888,,Trigger)</f>
        <v>0.59466636273899676</v>
      </c>
    </row>
    <row r="10889" spans="25:26" x14ac:dyDescent="0.25">
      <c r="Y10889" s="63">
        <v>53422</v>
      </c>
      <c r="Z10889" s="61">
        <f>_xll.qlYieldTSDiscount($U$35,Y10889,,Trigger)</f>
        <v>0.59462460141218498</v>
      </c>
    </row>
    <row r="10890" spans="25:26" x14ac:dyDescent="0.25">
      <c r="Y10890" s="63">
        <v>53423</v>
      </c>
      <c r="Z10890" s="61">
        <f>_xll.qlYieldTSDiscount($U$35,Y10890,,Trigger)</f>
        <v>0.59458284384692006</v>
      </c>
    </row>
    <row r="10891" spans="25:26" x14ac:dyDescent="0.25">
      <c r="Y10891" s="63">
        <v>53424</v>
      </c>
      <c r="Z10891" s="61">
        <f>_xll.qlYieldTSDiscount($U$35,Y10891,,Trigger)</f>
        <v>0.59454109004571565</v>
      </c>
    </row>
    <row r="10892" spans="25:26" x14ac:dyDescent="0.25">
      <c r="Y10892" s="63">
        <v>53425</v>
      </c>
      <c r="Z10892" s="61">
        <f>_xll.qlYieldTSDiscount($U$35,Y10892,,Trigger)</f>
        <v>0.59449934001108506</v>
      </c>
    </row>
    <row r="10893" spans="25:26" x14ac:dyDescent="0.25">
      <c r="Y10893" s="63">
        <v>53426</v>
      </c>
      <c r="Z10893" s="61">
        <f>_xll.qlYieldTSDiscount($U$35,Y10893,,Trigger)</f>
        <v>0.59445759374554197</v>
      </c>
    </row>
    <row r="10894" spans="25:26" x14ac:dyDescent="0.25">
      <c r="Y10894" s="63">
        <v>53427</v>
      </c>
      <c r="Z10894" s="61">
        <f>_xll.qlYieldTSDiscount($U$35,Y10894,,Trigger)</f>
        <v>0.5944158512515999</v>
      </c>
    </row>
    <row r="10895" spans="25:26" x14ac:dyDescent="0.25">
      <c r="Y10895" s="63">
        <v>53428</v>
      </c>
      <c r="Z10895" s="61">
        <f>_xll.qlYieldTSDiscount($U$35,Y10895,,Trigger)</f>
        <v>0.59437411253177252</v>
      </c>
    </row>
    <row r="10896" spans="25:26" x14ac:dyDescent="0.25">
      <c r="Y10896" s="63">
        <v>53429</v>
      </c>
      <c r="Z10896" s="61">
        <f>_xll.qlYieldTSDiscount($U$35,Y10896,,Trigger)</f>
        <v>0.59433237758857316</v>
      </c>
    </row>
    <row r="10897" spans="25:26" x14ac:dyDescent="0.25">
      <c r="Y10897" s="63">
        <v>53430</v>
      </c>
      <c r="Z10897" s="61">
        <f>_xll.qlYieldTSDiscount($U$35,Y10897,,Trigger)</f>
        <v>0.59429064642451557</v>
      </c>
    </row>
    <row r="10898" spans="25:26" x14ac:dyDescent="0.25">
      <c r="Y10898" s="63">
        <v>53431</v>
      </c>
      <c r="Z10898" s="61">
        <f>_xll.qlYieldTSDiscount($U$35,Y10898,,Trigger)</f>
        <v>0.59424891904211319</v>
      </c>
    </row>
    <row r="10899" spans="25:26" x14ac:dyDescent="0.25">
      <c r="Y10899" s="63">
        <v>53432</v>
      </c>
      <c r="Z10899" s="61">
        <f>_xll.qlYieldTSDiscount($U$35,Y10899,,Trigger)</f>
        <v>0.59420719544387968</v>
      </c>
    </row>
    <row r="10900" spans="25:26" x14ac:dyDescent="0.25">
      <c r="Y10900" s="63">
        <v>53433</v>
      </c>
      <c r="Z10900" s="61">
        <f>_xll.qlYieldTSDiscount($U$35,Y10900,,Trigger)</f>
        <v>0.59416547563232835</v>
      </c>
    </row>
    <row r="10901" spans="25:26" x14ac:dyDescent="0.25">
      <c r="Y10901" s="63">
        <v>53434</v>
      </c>
      <c r="Z10901" s="61">
        <f>_xll.qlYieldTSDiscount($U$35,Y10901,,Trigger)</f>
        <v>0.5941237596099731</v>
      </c>
    </row>
    <row r="10902" spans="25:26" x14ac:dyDescent="0.25">
      <c r="Y10902" s="63">
        <v>53435</v>
      </c>
      <c r="Z10902" s="61">
        <f>_xll.qlYieldTSDiscount($U$35,Y10902,,Trigger)</f>
        <v>0.59408204737932713</v>
      </c>
    </row>
    <row r="10903" spans="25:26" x14ac:dyDescent="0.25">
      <c r="Y10903" s="63">
        <v>53436</v>
      </c>
      <c r="Z10903" s="61">
        <f>_xll.qlYieldTSDiscount($U$35,Y10903,,Trigger)</f>
        <v>0.59404033894290431</v>
      </c>
    </row>
    <row r="10904" spans="25:26" x14ac:dyDescent="0.25">
      <c r="Y10904" s="63">
        <v>53437</v>
      </c>
      <c r="Z10904" s="61">
        <f>_xll.qlYieldTSDiscount($U$35,Y10904,,Trigger)</f>
        <v>0.59399863430321798</v>
      </c>
    </row>
    <row r="10905" spans="25:26" x14ac:dyDescent="0.25">
      <c r="Y10905" s="63">
        <v>53438</v>
      </c>
      <c r="Z10905" s="61">
        <f>_xll.qlYieldTSDiscount($U$35,Y10905,,Trigger)</f>
        <v>0.59395693346278167</v>
      </c>
    </row>
    <row r="10906" spans="25:26" x14ac:dyDescent="0.25">
      <c r="Y10906" s="63">
        <v>53439</v>
      </c>
      <c r="Z10906" s="61">
        <f>_xll.qlYieldTSDiscount($U$35,Y10906,,Trigger)</f>
        <v>0.59391523642410904</v>
      </c>
    </row>
    <row r="10907" spans="25:26" x14ac:dyDescent="0.25">
      <c r="Y10907" s="63">
        <v>53440</v>
      </c>
      <c r="Z10907" s="61">
        <f>_xll.qlYieldTSDiscount($U$35,Y10907,,Trigger)</f>
        <v>0.59387354318971375</v>
      </c>
    </row>
    <row r="10908" spans="25:26" x14ac:dyDescent="0.25">
      <c r="Y10908" s="63">
        <v>53441</v>
      </c>
      <c r="Z10908" s="61">
        <f>_xll.qlYieldTSDiscount($U$35,Y10908,,Trigger)</f>
        <v>0.59383185376210901</v>
      </c>
    </row>
    <row r="10909" spans="25:26" x14ac:dyDescent="0.25">
      <c r="Y10909" s="63">
        <v>53442</v>
      </c>
      <c r="Z10909" s="61">
        <f>_xll.qlYieldTSDiscount($U$35,Y10909,,Trigger)</f>
        <v>0.59379016814380869</v>
      </c>
    </row>
    <row r="10910" spans="25:26" x14ac:dyDescent="0.25">
      <c r="Y10910" s="63">
        <v>53443</v>
      </c>
      <c r="Z10910" s="61">
        <f>_xll.qlYieldTSDiscount($U$35,Y10910,,Trigger)</f>
        <v>0.59374848633732624</v>
      </c>
    </row>
    <row r="10911" spans="25:26" x14ac:dyDescent="0.25">
      <c r="Y10911" s="63">
        <v>53444</v>
      </c>
      <c r="Z10911" s="61">
        <f>_xll.qlYieldTSDiscount($U$35,Y10911,,Trigger)</f>
        <v>0.5937068083451752</v>
      </c>
    </row>
    <row r="10912" spans="25:26" x14ac:dyDescent="0.25">
      <c r="Y10912" s="63">
        <v>53445</v>
      </c>
      <c r="Z10912" s="61">
        <f>_xll.qlYieldTSDiscount($U$35,Y10912,,Trigger)</f>
        <v>0.5936651341698691</v>
      </c>
    </row>
    <row r="10913" spans="25:26" x14ac:dyDescent="0.25">
      <c r="Y10913" s="63">
        <v>53446</v>
      </c>
      <c r="Z10913" s="61">
        <f>_xll.qlYieldTSDiscount($U$35,Y10913,,Trigger)</f>
        <v>0.5936234638139215</v>
      </c>
    </row>
    <row r="10914" spans="25:26" x14ac:dyDescent="0.25">
      <c r="Y10914" s="63">
        <v>53447</v>
      </c>
      <c r="Z10914" s="61">
        <f>_xll.qlYieldTSDiscount($U$35,Y10914,,Trigger)</f>
        <v>0.59358179727984595</v>
      </c>
    </row>
    <row r="10915" spans="25:26" x14ac:dyDescent="0.25">
      <c r="Y10915" s="63">
        <v>53448</v>
      </c>
      <c r="Z10915" s="61">
        <f>_xll.qlYieldTSDiscount($U$35,Y10915,,Trigger)</f>
        <v>0.59354013457015609</v>
      </c>
    </row>
    <row r="10916" spans="25:26" x14ac:dyDescent="0.25">
      <c r="Y10916" s="63">
        <v>53449</v>
      </c>
      <c r="Z10916" s="61">
        <f>_xll.qlYieldTSDiscount($U$35,Y10916,,Trigger)</f>
        <v>0.59349847568736525</v>
      </c>
    </row>
    <row r="10917" spans="25:26" x14ac:dyDescent="0.25">
      <c r="Y10917" s="63">
        <v>53450</v>
      </c>
      <c r="Z10917" s="61">
        <f>_xll.qlYieldTSDiscount($U$35,Y10917,,Trigger)</f>
        <v>0.5934568206339873</v>
      </c>
    </row>
    <row r="10918" spans="25:26" x14ac:dyDescent="0.25">
      <c r="Y10918" s="63">
        <v>53451</v>
      </c>
      <c r="Z10918" s="61">
        <f>_xll.qlYieldTSDiscount($U$35,Y10918,,Trigger)</f>
        <v>0.59341516941253547</v>
      </c>
    </row>
    <row r="10919" spans="25:26" x14ac:dyDescent="0.25">
      <c r="Y10919" s="63">
        <v>53452</v>
      </c>
      <c r="Z10919" s="61">
        <f>_xll.qlYieldTSDiscount($U$35,Y10919,,Trigger)</f>
        <v>0.59337352202552351</v>
      </c>
    </row>
    <row r="10920" spans="25:26" x14ac:dyDescent="0.25">
      <c r="Y10920" s="63">
        <v>53453</v>
      </c>
      <c r="Z10920" s="61">
        <f>_xll.qlYieldTSDiscount($U$35,Y10920,,Trigger)</f>
        <v>0.59333187847546498</v>
      </c>
    </row>
    <row r="10921" spans="25:26" x14ac:dyDescent="0.25">
      <c r="Y10921" s="63">
        <v>53454</v>
      </c>
      <c r="Z10921" s="61">
        <f>_xll.qlYieldTSDiscount($U$35,Y10921,,Trigger)</f>
        <v>0.5932902387648733</v>
      </c>
    </row>
    <row r="10922" spans="25:26" x14ac:dyDescent="0.25">
      <c r="Y10922" s="63">
        <v>53455</v>
      </c>
      <c r="Z10922" s="61">
        <f>_xll.qlYieldTSDiscount($U$35,Y10922,,Trigger)</f>
        <v>0.59324860289626213</v>
      </c>
    </row>
    <row r="10923" spans="25:26" x14ac:dyDescent="0.25">
      <c r="Y10923" s="63">
        <v>53456</v>
      </c>
      <c r="Z10923" s="61">
        <f>_xll.qlYieldTSDiscount($U$35,Y10923,,Trigger)</f>
        <v>0.59320697087214491</v>
      </c>
    </row>
    <row r="10924" spans="25:26" x14ac:dyDescent="0.25">
      <c r="Y10924" s="63">
        <v>53457</v>
      </c>
      <c r="Z10924" s="61">
        <f>_xll.qlYieldTSDiscount($U$35,Y10924,,Trigger)</f>
        <v>0.5931653426950354</v>
      </c>
    </row>
    <row r="10925" spans="25:26" x14ac:dyDescent="0.25">
      <c r="Y10925" s="63">
        <v>53458</v>
      </c>
      <c r="Z10925" s="61">
        <f>_xll.qlYieldTSDiscount($U$35,Y10925,,Trigger)</f>
        <v>0.59312371836744693</v>
      </c>
    </row>
    <row r="10926" spans="25:26" x14ac:dyDescent="0.25">
      <c r="Y10926" s="63">
        <v>53459</v>
      </c>
      <c r="Z10926" s="61">
        <f>_xll.qlYieldTSDiscount($U$35,Y10926,,Trigger)</f>
        <v>0.59308209789189315</v>
      </c>
    </row>
    <row r="10927" spans="25:26" x14ac:dyDescent="0.25">
      <c r="Y10927" s="63">
        <v>53460</v>
      </c>
      <c r="Z10927" s="61">
        <f>_xll.qlYieldTSDiscount($U$35,Y10927,,Trigger)</f>
        <v>0.5930404812708876</v>
      </c>
    </row>
    <row r="10928" spans="25:26" x14ac:dyDescent="0.25">
      <c r="Y10928" s="63">
        <v>53461</v>
      </c>
      <c r="Z10928" s="61">
        <f>_xll.qlYieldTSDiscount($U$35,Y10928,,Trigger)</f>
        <v>0.59299886850694383</v>
      </c>
    </row>
    <row r="10929" spans="25:26" x14ac:dyDescent="0.25">
      <c r="Y10929" s="63">
        <v>53462</v>
      </c>
      <c r="Z10929" s="61">
        <f>_xll.qlYieldTSDiscount($U$35,Y10929,,Trigger)</f>
        <v>0.59295725960257539</v>
      </c>
    </row>
    <row r="10930" spans="25:26" x14ac:dyDescent="0.25">
      <c r="Y10930" s="63">
        <v>53463</v>
      </c>
      <c r="Z10930" s="61">
        <f>_xll.qlYieldTSDiscount($U$35,Y10930,,Trigger)</f>
        <v>0.59291565456029582</v>
      </c>
    </row>
    <row r="10931" spans="25:26" x14ac:dyDescent="0.25">
      <c r="Y10931" s="63">
        <v>53464</v>
      </c>
      <c r="Z10931" s="61">
        <f>_xll.qlYieldTSDiscount($U$35,Y10931,,Trigger)</f>
        <v>0.59287405338261867</v>
      </c>
    </row>
    <row r="10932" spans="25:26" x14ac:dyDescent="0.25">
      <c r="Y10932" s="63">
        <v>53465</v>
      </c>
      <c r="Z10932" s="61">
        <f>_xll.qlYieldTSDiscount($U$35,Y10932,,Trigger)</f>
        <v>0.59283245607205748</v>
      </c>
    </row>
    <row r="10933" spans="25:26" x14ac:dyDescent="0.25">
      <c r="Y10933" s="63">
        <v>53466</v>
      </c>
      <c r="Z10933" s="61">
        <f>_xll.qlYieldTSDiscount($U$35,Y10933,,Trigger)</f>
        <v>0.59279086263112601</v>
      </c>
    </row>
    <row r="10934" spans="25:26" x14ac:dyDescent="0.25">
      <c r="Y10934" s="63">
        <v>53467</v>
      </c>
      <c r="Z10934" s="61">
        <f>_xll.qlYieldTSDiscount($U$35,Y10934,,Trigger)</f>
        <v>0.59274927306233738</v>
      </c>
    </row>
    <row r="10935" spans="25:26" x14ac:dyDescent="0.25">
      <c r="Y10935" s="63">
        <v>53468</v>
      </c>
      <c r="Z10935" s="61">
        <f>_xll.qlYieldTSDiscount($U$35,Y10935,,Trigger)</f>
        <v>0.59270768736820556</v>
      </c>
    </row>
    <row r="10936" spans="25:26" x14ac:dyDescent="0.25">
      <c r="Y10936" s="63">
        <v>53469</v>
      </c>
      <c r="Z10936" s="61">
        <f>_xll.qlYieldTSDiscount($U$35,Y10936,,Trigger)</f>
        <v>0.59266610555124388</v>
      </c>
    </row>
    <row r="10937" spans="25:26" x14ac:dyDescent="0.25">
      <c r="Y10937" s="63">
        <v>53470</v>
      </c>
      <c r="Z10937" s="61">
        <f>_xll.qlYieldTSDiscount($U$35,Y10937,,Trigger)</f>
        <v>0.59262452761396589</v>
      </c>
    </row>
    <row r="10938" spans="25:26" x14ac:dyDescent="0.25">
      <c r="Y10938" s="63">
        <v>53471</v>
      </c>
      <c r="Z10938" s="61">
        <f>_xll.qlYieldTSDiscount($U$35,Y10938,,Trigger)</f>
        <v>0.59258295355888535</v>
      </c>
    </row>
    <row r="10939" spans="25:26" x14ac:dyDescent="0.25">
      <c r="Y10939" s="63">
        <v>53472</v>
      </c>
      <c r="Z10939" s="61">
        <f>_xll.qlYieldTSDiscount($U$35,Y10939,,Trigger)</f>
        <v>0.59254138338851547</v>
      </c>
    </row>
    <row r="10940" spans="25:26" x14ac:dyDescent="0.25">
      <c r="Y10940" s="63">
        <v>53473</v>
      </c>
      <c r="Z10940" s="61">
        <f>_xll.qlYieldTSDiscount($U$35,Y10940,,Trigger)</f>
        <v>0.59249981710537003</v>
      </c>
    </row>
    <row r="10941" spans="25:26" x14ac:dyDescent="0.25">
      <c r="Y10941" s="63">
        <v>53474</v>
      </c>
      <c r="Z10941" s="61">
        <f>_xll.qlYieldTSDiscount($U$35,Y10941,,Trigger)</f>
        <v>0.59245825471196256</v>
      </c>
    </row>
    <row r="10942" spans="25:26" x14ac:dyDescent="0.25">
      <c r="Y10942" s="63">
        <v>53475</v>
      </c>
      <c r="Z10942" s="61">
        <f>_xll.qlYieldTSDiscount($U$35,Y10942,,Trigger)</f>
        <v>0.59241669621080661</v>
      </c>
    </row>
    <row r="10943" spans="25:26" x14ac:dyDescent="0.25">
      <c r="Y10943" s="63">
        <v>53476</v>
      </c>
      <c r="Z10943" s="61">
        <f>_xll.qlYieldTSDiscount($U$35,Y10943,,Trigger)</f>
        <v>0.59237514160441573</v>
      </c>
    </row>
    <row r="10944" spans="25:26" x14ac:dyDescent="0.25">
      <c r="Y10944" s="63">
        <v>53477</v>
      </c>
      <c r="Z10944" s="61">
        <f>_xll.qlYieldTSDiscount($U$35,Y10944,,Trigger)</f>
        <v>0.59233359089530346</v>
      </c>
    </row>
    <row r="10945" spans="25:26" x14ac:dyDescent="0.25">
      <c r="Y10945" s="63">
        <v>53478</v>
      </c>
      <c r="Z10945" s="61">
        <f>_xll.qlYieldTSDiscount($U$35,Y10945,,Trigger)</f>
        <v>0.59229204408598324</v>
      </c>
    </row>
    <row r="10946" spans="25:26" x14ac:dyDescent="0.25">
      <c r="Y10946" s="63">
        <v>53479</v>
      </c>
      <c r="Z10946" s="61">
        <f>_xll.qlYieldTSDiscount($U$35,Y10946,,Trigger)</f>
        <v>0.59225050117896882</v>
      </c>
    </row>
    <row r="10947" spans="25:26" x14ac:dyDescent="0.25">
      <c r="Y10947" s="63">
        <v>53480</v>
      </c>
      <c r="Z10947" s="61">
        <f>_xll.qlYieldTSDiscount($U$35,Y10947,,Trigger)</f>
        <v>0.59220896217677355</v>
      </c>
    </row>
    <row r="10948" spans="25:26" x14ac:dyDescent="0.25">
      <c r="Y10948" s="63">
        <v>53481</v>
      </c>
      <c r="Z10948" s="61">
        <f>_xll.qlYieldTSDiscount($U$35,Y10948,,Trigger)</f>
        <v>0.59216742708191117</v>
      </c>
    </row>
    <row r="10949" spans="25:26" x14ac:dyDescent="0.25">
      <c r="Y10949" s="63">
        <v>53482</v>
      </c>
      <c r="Z10949" s="61">
        <f>_xll.qlYieldTSDiscount($U$35,Y10949,,Trigger)</f>
        <v>0.59212589589689513</v>
      </c>
    </row>
    <row r="10950" spans="25:26" x14ac:dyDescent="0.25">
      <c r="Y10950" s="63">
        <v>53483</v>
      </c>
      <c r="Z10950" s="61">
        <f>_xll.qlYieldTSDiscount($U$35,Y10950,,Trigger)</f>
        <v>0.59208436862423897</v>
      </c>
    </row>
    <row r="10951" spans="25:26" x14ac:dyDescent="0.25">
      <c r="Y10951" s="63">
        <v>53484</v>
      </c>
      <c r="Z10951" s="61">
        <f>_xll.qlYieldTSDiscount($U$35,Y10951,,Trigger)</f>
        <v>0.59204284526645634</v>
      </c>
    </row>
    <row r="10952" spans="25:26" x14ac:dyDescent="0.25">
      <c r="Y10952" s="63">
        <v>53485</v>
      </c>
      <c r="Z10952" s="61">
        <f>_xll.qlYieldTSDiscount($U$35,Y10952,,Trigger)</f>
        <v>0.59200132582606069</v>
      </c>
    </row>
    <row r="10953" spans="25:26" x14ac:dyDescent="0.25">
      <c r="Y10953" s="63">
        <v>53486</v>
      </c>
      <c r="Z10953" s="61">
        <f>_xll.qlYieldTSDiscount($U$35,Y10953,,Trigger)</f>
        <v>0.59195981030556555</v>
      </c>
    </row>
    <row r="10954" spans="25:26" x14ac:dyDescent="0.25">
      <c r="Y10954" s="63">
        <v>53487</v>
      </c>
      <c r="Z10954" s="61">
        <f>_xll.qlYieldTSDiscount($U$35,Y10954,,Trigger)</f>
        <v>0.59191829870748458</v>
      </c>
    </row>
    <row r="10955" spans="25:26" x14ac:dyDescent="0.25">
      <c r="Y10955" s="63">
        <v>53488</v>
      </c>
      <c r="Z10955" s="61">
        <f>_xll.qlYieldTSDiscount($U$35,Y10955,,Trigger)</f>
        <v>0.59187679103433122</v>
      </c>
    </row>
    <row r="10956" spans="25:26" x14ac:dyDescent="0.25">
      <c r="Y10956" s="63">
        <v>53489</v>
      </c>
      <c r="Z10956" s="61">
        <f>_xll.qlYieldTSDiscount($U$35,Y10956,,Trigger)</f>
        <v>0.59183528728861912</v>
      </c>
    </row>
    <row r="10957" spans="25:26" x14ac:dyDescent="0.25">
      <c r="Y10957" s="63">
        <v>53490</v>
      </c>
      <c r="Z10957" s="61">
        <f>_xll.qlYieldTSDiscount($U$35,Y10957,,Trigger)</f>
        <v>0.59179378747286182</v>
      </c>
    </row>
    <row r="10958" spans="25:26" x14ac:dyDescent="0.25">
      <c r="Y10958" s="63">
        <v>53491</v>
      </c>
      <c r="Z10958" s="61">
        <f>_xll.qlYieldTSDiscount($U$35,Y10958,,Trigger)</f>
        <v>0.59175229158957277</v>
      </c>
    </row>
    <row r="10959" spans="25:26" x14ac:dyDescent="0.25">
      <c r="Y10959" s="63">
        <v>53492</v>
      </c>
      <c r="Z10959" s="61">
        <f>_xll.qlYieldTSDiscount($U$35,Y10959,,Trigger)</f>
        <v>0.59171079964126561</v>
      </c>
    </row>
    <row r="10960" spans="25:26" x14ac:dyDescent="0.25">
      <c r="Y10960" s="63">
        <v>53493</v>
      </c>
      <c r="Z10960" s="61">
        <f>_xll.qlYieldTSDiscount($U$35,Y10960,,Trigger)</f>
        <v>0.59166931163045389</v>
      </c>
    </row>
    <row r="10961" spans="25:26" x14ac:dyDescent="0.25">
      <c r="Y10961" s="63">
        <v>53494</v>
      </c>
      <c r="Z10961" s="61">
        <f>_xll.qlYieldTSDiscount($U$35,Y10961,,Trigger)</f>
        <v>0.59162782755965115</v>
      </c>
    </row>
    <row r="10962" spans="25:26" x14ac:dyDescent="0.25">
      <c r="Y10962" s="63">
        <v>53495</v>
      </c>
      <c r="Z10962" s="61">
        <f>_xll.qlYieldTSDiscount($U$35,Y10962,,Trigger)</f>
        <v>0.59158634743137095</v>
      </c>
    </row>
    <row r="10963" spans="25:26" x14ac:dyDescent="0.25">
      <c r="Y10963" s="63">
        <v>53496</v>
      </c>
      <c r="Z10963" s="61">
        <f>_xll.qlYieldTSDiscount($U$35,Y10963,,Trigger)</f>
        <v>0.59154487124812671</v>
      </c>
    </row>
    <row r="10964" spans="25:26" x14ac:dyDescent="0.25">
      <c r="Y10964" s="63">
        <v>53497</v>
      </c>
      <c r="Z10964" s="61">
        <f>_xll.qlYieldTSDiscount($U$35,Y10964,,Trigger)</f>
        <v>0.59150339901243221</v>
      </c>
    </row>
    <row r="10965" spans="25:26" x14ac:dyDescent="0.25">
      <c r="Y10965" s="63">
        <v>53498</v>
      </c>
      <c r="Z10965" s="61">
        <f>_xll.qlYieldTSDiscount($U$35,Y10965,,Trigger)</f>
        <v>0.59146193072680087</v>
      </c>
    </row>
    <row r="10966" spans="25:26" x14ac:dyDescent="0.25">
      <c r="Y10966" s="63">
        <v>53499</v>
      </c>
      <c r="Z10966" s="61">
        <f>_xll.qlYieldTSDiscount($U$35,Y10966,,Trigger)</f>
        <v>0.59142046639374624</v>
      </c>
    </row>
    <row r="10967" spans="25:26" x14ac:dyDescent="0.25">
      <c r="Y10967" s="63">
        <v>53500</v>
      </c>
      <c r="Z10967" s="61">
        <f>_xll.qlYieldTSDiscount($U$35,Y10967,,Trigger)</f>
        <v>0.59137900601578197</v>
      </c>
    </row>
    <row r="10968" spans="25:26" x14ac:dyDescent="0.25">
      <c r="Y10968" s="63">
        <v>53501</v>
      </c>
      <c r="Z10968" s="61">
        <f>_xll.qlYieldTSDiscount($U$35,Y10968,,Trigger)</f>
        <v>0.5913375495954214</v>
      </c>
    </row>
    <row r="10969" spans="25:26" x14ac:dyDescent="0.25">
      <c r="Y10969" s="63">
        <v>53502</v>
      </c>
      <c r="Z10969" s="61">
        <f>_xll.qlYieldTSDiscount($U$35,Y10969,,Trigger)</f>
        <v>0.59129609713517828</v>
      </c>
    </row>
    <row r="10970" spans="25:26" x14ac:dyDescent="0.25">
      <c r="Y10970" s="63">
        <v>53503</v>
      </c>
      <c r="Z10970" s="61">
        <f>_xll.qlYieldTSDiscount($U$35,Y10970,,Trigger)</f>
        <v>0.59125464863756605</v>
      </c>
    </row>
    <row r="10971" spans="25:26" x14ac:dyDescent="0.25">
      <c r="Y10971" s="63">
        <v>53504</v>
      </c>
      <c r="Z10971" s="61">
        <f>_xll.qlYieldTSDiscount($U$35,Y10971,,Trigger)</f>
        <v>0.59121320410509837</v>
      </c>
    </row>
    <row r="10972" spans="25:26" x14ac:dyDescent="0.25">
      <c r="Y10972" s="63">
        <v>53505</v>
      </c>
      <c r="Z10972" s="61">
        <f>_xll.qlYieldTSDiscount($U$35,Y10972,,Trigger)</f>
        <v>0.59117176354028866</v>
      </c>
    </row>
    <row r="10973" spans="25:26" x14ac:dyDescent="0.25">
      <c r="Y10973" s="63">
        <v>53506</v>
      </c>
      <c r="Z10973" s="61">
        <f>_xll.qlYieldTSDiscount($U$35,Y10973,,Trigger)</f>
        <v>0.5911303269456506</v>
      </c>
    </row>
    <row r="10974" spans="25:26" x14ac:dyDescent="0.25">
      <c r="Y10974" s="63">
        <v>53507</v>
      </c>
      <c r="Z10974" s="61">
        <f>_xll.qlYieldTSDiscount($U$35,Y10974,,Trigger)</f>
        <v>0.5910888943236976</v>
      </c>
    </row>
    <row r="10975" spans="25:26" x14ac:dyDescent="0.25">
      <c r="Y10975" s="63">
        <v>53508</v>
      </c>
      <c r="Z10975" s="61">
        <f>_xll.qlYieldTSDiscount($U$35,Y10975,,Trigger)</f>
        <v>0.59104746567694333</v>
      </c>
    </row>
    <row r="10976" spans="25:26" x14ac:dyDescent="0.25">
      <c r="Y10976" s="63">
        <v>53509</v>
      </c>
      <c r="Z10976" s="61">
        <f>_xll.qlYieldTSDiscount($U$35,Y10976,,Trigger)</f>
        <v>0.59100604100790133</v>
      </c>
    </row>
    <row r="10977" spans="25:26" x14ac:dyDescent="0.25">
      <c r="Y10977" s="63">
        <v>53510</v>
      </c>
      <c r="Z10977" s="61">
        <f>_xll.qlYieldTSDiscount($U$35,Y10977,,Trigger)</f>
        <v>0.59096462031908514</v>
      </c>
    </row>
    <row r="10978" spans="25:26" x14ac:dyDescent="0.25">
      <c r="Y10978" s="63">
        <v>53511</v>
      </c>
      <c r="Z10978" s="61">
        <f>_xll.qlYieldTSDiscount($U$35,Y10978,,Trigger)</f>
        <v>0.59092320361300821</v>
      </c>
    </row>
    <row r="10979" spans="25:26" x14ac:dyDescent="0.25">
      <c r="Y10979" s="63">
        <v>53512</v>
      </c>
      <c r="Z10979" s="61">
        <f>_xll.qlYieldTSDiscount($U$35,Y10979,,Trigger)</f>
        <v>0.59088179089218418</v>
      </c>
    </row>
    <row r="10980" spans="25:26" x14ac:dyDescent="0.25">
      <c r="Y10980" s="63">
        <v>53513</v>
      </c>
      <c r="Z10980" s="61">
        <f>_xll.qlYieldTSDiscount($U$35,Y10980,,Trigger)</f>
        <v>0.59084038215912671</v>
      </c>
    </row>
    <row r="10981" spans="25:26" x14ac:dyDescent="0.25">
      <c r="Y10981" s="63">
        <v>53514</v>
      </c>
      <c r="Z10981" s="61">
        <f>_xll.qlYieldTSDiscount($U$35,Y10981,,Trigger)</f>
        <v>0.59079897741634912</v>
      </c>
    </row>
    <row r="10982" spans="25:26" x14ac:dyDescent="0.25">
      <c r="Y10982" s="63">
        <v>53515</v>
      </c>
      <c r="Z10982" s="61">
        <f>_xll.qlYieldTSDiscount($U$35,Y10982,,Trigger)</f>
        <v>0.59075757666636519</v>
      </c>
    </row>
    <row r="10983" spans="25:26" x14ac:dyDescent="0.25">
      <c r="Y10983" s="63">
        <v>53516</v>
      </c>
      <c r="Z10983" s="61">
        <f>_xll.qlYieldTSDiscount($U$35,Y10983,,Trigger)</f>
        <v>0.59071617991168823</v>
      </c>
    </row>
    <row r="10984" spans="25:26" x14ac:dyDescent="0.25">
      <c r="Y10984" s="63">
        <v>53517</v>
      </c>
      <c r="Z10984" s="61">
        <f>_xll.qlYieldTSDiscount($U$35,Y10984,,Trigger)</f>
        <v>0.59067478715483202</v>
      </c>
    </row>
    <row r="10985" spans="25:26" x14ac:dyDescent="0.25">
      <c r="Y10985" s="63">
        <v>53518</v>
      </c>
      <c r="Z10985" s="61">
        <f>_xll.qlYieldTSDiscount($U$35,Y10985,,Trigger)</f>
        <v>0.59063339839830997</v>
      </c>
    </row>
    <row r="10986" spans="25:26" x14ac:dyDescent="0.25">
      <c r="Y10986" s="63">
        <v>53519</v>
      </c>
      <c r="Z10986" s="61">
        <f>_xll.qlYieldTSDiscount($U$35,Y10986,,Trigger)</f>
        <v>0.59059201364463576</v>
      </c>
    </row>
    <row r="10987" spans="25:26" x14ac:dyDescent="0.25">
      <c r="Y10987" s="63">
        <v>53520</v>
      </c>
      <c r="Z10987" s="61">
        <f>_xll.qlYieldTSDiscount($U$35,Y10987,,Trigger)</f>
        <v>0.5905506328963227</v>
      </c>
    </row>
    <row r="10988" spans="25:26" x14ac:dyDescent="0.25">
      <c r="Y10988" s="63">
        <v>53521</v>
      </c>
      <c r="Z10988" s="61">
        <f>_xll.qlYieldTSDiscount($U$35,Y10988,,Trigger)</f>
        <v>0.59050925615588468</v>
      </c>
    </row>
    <row r="10989" spans="25:26" x14ac:dyDescent="0.25">
      <c r="Y10989" s="63">
        <v>53522</v>
      </c>
      <c r="Z10989" s="61">
        <f>_xll.qlYieldTSDiscount($U$35,Y10989,,Trigger)</f>
        <v>0.59046788342535506</v>
      </c>
    </row>
    <row r="10990" spans="25:26" x14ac:dyDescent="0.25">
      <c r="Y10990" s="63">
        <v>53523</v>
      </c>
      <c r="Z10990" s="61">
        <f>_xll.qlYieldTSDiscount($U$35,Y10990,,Trigger)</f>
        <v>0.59042651470484786</v>
      </c>
    </row>
    <row r="10991" spans="25:26" x14ac:dyDescent="0.25">
      <c r="Y10991" s="63">
        <v>53524</v>
      </c>
      <c r="Z10991" s="61">
        <f>_xll.qlYieldTSDiscount($U$35,Y10991,,Trigger)</f>
        <v>0.59038514999399705</v>
      </c>
    </row>
    <row r="10992" spans="25:26" x14ac:dyDescent="0.25">
      <c r="Y10992" s="63">
        <v>53525</v>
      </c>
      <c r="Z10992" s="61">
        <f>_xll.qlYieldTSDiscount($U$35,Y10992,,Trigger)</f>
        <v>0.5903437892924368</v>
      </c>
    </row>
    <row r="10993" spans="25:26" x14ac:dyDescent="0.25">
      <c r="Y10993" s="63">
        <v>53526</v>
      </c>
      <c r="Z10993" s="61">
        <f>_xll.qlYieldTSDiscount($U$35,Y10993,,Trigger)</f>
        <v>0.59030243259980097</v>
      </c>
    </row>
    <row r="10994" spans="25:26" x14ac:dyDescent="0.25">
      <c r="Y10994" s="63">
        <v>53527</v>
      </c>
      <c r="Z10994" s="61">
        <f>_xll.qlYieldTSDiscount($U$35,Y10994,,Trigger)</f>
        <v>0.59026107991572374</v>
      </c>
    </row>
    <row r="10995" spans="25:26" x14ac:dyDescent="0.25">
      <c r="Y10995" s="63">
        <v>53528</v>
      </c>
      <c r="Z10995" s="61">
        <f>_xll.qlYieldTSDiscount($U$35,Y10995,,Trigger)</f>
        <v>0.59021973123983906</v>
      </c>
    </row>
    <row r="10996" spans="25:26" x14ac:dyDescent="0.25">
      <c r="Y10996" s="63">
        <v>53529</v>
      </c>
      <c r="Z10996" s="61">
        <f>_xll.qlYieldTSDiscount($U$35,Y10996,,Trigger)</f>
        <v>0.5901783865717809</v>
      </c>
    </row>
    <row r="10997" spans="25:26" x14ac:dyDescent="0.25">
      <c r="Y10997" s="63">
        <v>53530</v>
      </c>
      <c r="Z10997" s="61">
        <f>_xll.qlYieldTSDiscount($U$35,Y10997,,Trigger)</f>
        <v>0.59013704591118332</v>
      </c>
    </row>
    <row r="10998" spans="25:26" x14ac:dyDescent="0.25">
      <c r="Y10998" s="63">
        <v>53531</v>
      </c>
      <c r="Z10998" s="61">
        <f>_xll.qlYieldTSDiscount($U$35,Y10998,,Trigger)</f>
        <v>0.59009570925768029</v>
      </c>
    </row>
    <row r="10999" spans="25:26" x14ac:dyDescent="0.25">
      <c r="Y10999" s="63">
        <v>53532</v>
      </c>
      <c r="Z10999" s="61">
        <f>_xll.qlYieldTSDiscount($U$35,Y10999,,Trigger)</f>
        <v>0.59005437661090598</v>
      </c>
    </row>
    <row r="11000" spans="25:26" x14ac:dyDescent="0.25">
      <c r="Y11000" s="63">
        <v>53533</v>
      </c>
      <c r="Z11000" s="61">
        <f>_xll.qlYieldTSDiscount($U$35,Y11000,,Trigger)</f>
        <v>0.59001304797049425</v>
      </c>
    </row>
    <row r="11001" spans="25:26" x14ac:dyDescent="0.25">
      <c r="Y11001" s="63">
        <v>53534</v>
      </c>
      <c r="Z11001" s="61">
        <f>_xll.qlYieldTSDiscount($U$35,Y11001,,Trigger)</f>
        <v>0.58997172333607928</v>
      </c>
    </row>
    <row r="11002" spans="25:26" x14ac:dyDescent="0.25">
      <c r="Y11002" s="63">
        <v>53535</v>
      </c>
      <c r="Z11002" s="61">
        <f>_xll.qlYieldTSDiscount($U$35,Y11002,,Trigger)</f>
        <v>0.58993040270729491</v>
      </c>
    </row>
    <row r="11003" spans="25:26" x14ac:dyDescent="0.25">
      <c r="Y11003" s="63">
        <v>53536</v>
      </c>
      <c r="Z11003" s="61">
        <f>_xll.qlYieldTSDiscount($U$35,Y11003,,Trigger)</f>
        <v>0.58988908608377522</v>
      </c>
    </row>
    <row r="11004" spans="25:26" x14ac:dyDescent="0.25">
      <c r="Y11004" s="63">
        <v>53537</v>
      </c>
      <c r="Z11004" s="61">
        <f>_xll.qlYieldTSDiscount($U$35,Y11004,,Trigger)</f>
        <v>0.58984777346515438</v>
      </c>
    </row>
    <row r="11005" spans="25:26" x14ac:dyDescent="0.25">
      <c r="Y11005" s="63">
        <v>53538</v>
      </c>
      <c r="Z11005" s="61">
        <f>_xll.qlYieldTSDiscount($U$35,Y11005,,Trigger)</f>
        <v>0.58980646485106625</v>
      </c>
    </row>
    <row r="11006" spans="25:26" x14ac:dyDescent="0.25">
      <c r="Y11006" s="63">
        <v>53539</v>
      </c>
      <c r="Z11006" s="61">
        <f>_xll.qlYieldTSDiscount($U$35,Y11006,,Trigger)</f>
        <v>0.58976516024114489</v>
      </c>
    </row>
    <row r="11007" spans="25:26" x14ac:dyDescent="0.25">
      <c r="Y11007" s="63">
        <v>53540</v>
      </c>
      <c r="Z11007" s="61">
        <f>_xll.qlYieldTSDiscount($U$35,Y11007,,Trigger)</f>
        <v>0.58972385963502438</v>
      </c>
    </row>
    <row r="11008" spans="25:26" x14ac:dyDescent="0.25">
      <c r="Y11008" s="63">
        <v>53541</v>
      </c>
      <c r="Z11008" s="61">
        <f>_xll.qlYieldTSDiscount($U$35,Y11008,,Trigger)</f>
        <v>0.58968256303233857</v>
      </c>
    </row>
    <row r="11009" spans="25:26" x14ac:dyDescent="0.25">
      <c r="Y11009" s="63">
        <v>53542</v>
      </c>
      <c r="Z11009" s="61">
        <f>_xll.qlYieldTSDiscount($U$35,Y11009,,Trigger)</f>
        <v>0.58964127043272174</v>
      </c>
    </row>
    <row r="11010" spans="25:26" x14ac:dyDescent="0.25">
      <c r="Y11010" s="63">
        <v>53543</v>
      </c>
      <c r="Z11010" s="61">
        <f>_xll.qlYieldTSDiscount($U$35,Y11010,,Trigger)</f>
        <v>0.58959998183580775</v>
      </c>
    </row>
    <row r="11011" spans="25:26" x14ac:dyDescent="0.25">
      <c r="Y11011" s="63">
        <v>53544</v>
      </c>
      <c r="Z11011" s="61">
        <f>_xll.qlYieldTSDiscount($U$35,Y11011,,Trigger)</f>
        <v>0.58955869724123056</v>
      </c>
    </row>
    <row r="11012" spans="25:26" x14ac:dyDescent="0.25">
      <c r="Y11012" s="63">
        <v>53545</v>
      </c>
      <c r="Z11012" s="61">
        <f>_xll.qlYieldTSDiscount($U$35,Y11012,,Trigger)</f>
        <v>0.58951741664862445</v>
      </c>
    </row>
    <row r="11013" spans="25:26" x14ac:dyDescent="0.25">
      <c r="Y11013" s="63">
        <v>53546</v>
      </c>
      <c r="Z11013" s="61">
        <f>_xll.qlYieldTSDiscount($U$35,Y11013,,Trigger)</f>
        <v>0.58947614005762305</v>
      </c>
    </row>
    <row r="11014" spans="25:26" x14ac:dyDescent="0.25">
      <c r="Y11014" s="63">
        <v>53547</v>
      </c>
      <c r="Z11014" s="61">
        <f>_xll.qlYieldTSDiscount($U$35,Y11014,,Trigger)</f>
        <v>0.58943486746786078</v>
      </c>
    </row>
    <row r="11015" spans="25:26" x14ac:dyDescent="0.25">
      <c r="Y11015" s="63">
        <v>53548</v>
      </c>
      <c r="Z11015" s="61">
        <f>_xll.qlYieldTSDiscount($U$35,Y11015,,Trigger)</f>
        <v>0.58939359887897147</v>
      </c>
    </row>
    <row r="11016" spans="25:26" x14ac:dyDescent="0.25">
      <c r="Y11016" s="63">
        <v>53549</v>
      </c>
      <c r="Z11016" s="61">
        <f>_xll.qlYieldTSDiscount($U$35,Y11016,,Trigger)</f>
        <v>0.58935233429058909</v>
      </c>
    </row>
    <row r="11017" spans="25:26" x14ac:dyDescent="0.25">
      <c r="Y11017" s="63">
        <v>53550</v>
      </c>
      <c r="Z11017" s="61">
        <f>_xll.qlYieldTSDiscount($U$35,Y11017,,Trigger)</f>
        <v>0.58931107370234781</v>
      </c>
    </row>
    <row r="11018" spans="25:26" x14ac:dyDescent="0.25">
      <c r="Y11018" s="63">
        <v>53551</v>
      </c>
      <c r="Z11018" s="61">
        <f>_xll.qlYieldTSDiscount($U$35,Y11018,,Trigger)</f>
        <v>0.58926981711388149</v>
      </c>
    </row>
    <row r="11019" spans="25:26" x14ac:dyDescent="0.25">
      <c r="Y11019" s="63">
        <v>53552</v>
      </c>
      <c r="Z11019" s="61">
        <f>_xll.qlYieldTSDiscount($U$35,Y11019,,Trigger)</f>
        <v>0.58922856452482431</v>
      </c>
    </row>
    <row r="11020" spans="25:26" x14ac:dyDescent="0.25">
      <c r="Y11020" s="63">
        <v>53553</v>
      </c>
      <c r="Z11020" s="61">
        <f>_xll.qlYieldTSDiscount($U$35,Y11020,,Trigger)</f>
        <v>0.58918731593481011</v>
      </c>
    </row>
    <row r="11021" spans="25:26" x14ac:dyDescent="0.25">
      <c r="Y11021" s="63">
        <v>53554</v>
      </c>
      <c r="Z11021" s="61">
        <f>_xll.qlYieldTSDiscount($U$35,Y11021,,Trigger)</f>
        <v>0.58914607134347308</v>
      </c>
    </row>
    <row r="11022" spans="25:26" x14ac:dyDescent="0.25">
      <c r="Y11022" s="63">
        <v>53555</v>
      </c>
      <c r="Z11022" s="61">
        <f>_xll.qlYieldTSDiscount($U$35,Y11022,,Trigger)</f>
        <v>0.58910483075044717</v>
      </c>
    </row>
    <row r="11023" spans="25:26" x14ac:dyDescent="0.25">
      <c r="Y11023" s="63">
        <v>53556</v>
      </c>
      <c r="Z11023" s="61">
        <f>_xll.qlYieldTSDiscount($U$35,Y11023,,Trigger)</f>
        <v>0.58906359415536647</v>
      </c>
    </row>
    <row r="11024" spans="25:26" x14ac:dyDescent="0.25">
      <c r="Y11024" s="63">
        <v>53557</v>
      </c>
      <c r="Z11024" s="61">
        <f>_xll.qlYieldTSDiscount($U$35,Y11024,,Trigger)</f>
        <v>0.58902236155786492</v>
      </c>
    </row>
    <row r="11025" spans="25:26" x14ac:dyDescent="0.25">
      <c r="Y11025" s="63">
        <v>53558</v>
      </c>
      <c r="Z11025" s="61">
        <f>_xll.qlYieldTSDiscount($U$35,Y11025,,Trigger)</f>
        <v>0.58898113295757648</v>
      </c>
    </row>
    <row r="11026" spans="25:26" x14ac:dyDescent="0.25">
      <c r="Y11026" s="63">
        <v>53559</v>
      </c>
      <c r="Z11026" s="61">
        <f>_xll.qlYieldTSDiscount($U$35,Y11026,,Trigger)</f>
        <v>0.58893990835413534</v>
      </c>
    </row>
    <row r="11027" spans="25:26" x14ac:dyDescent="0.25">
      <c r="Y11027" s="63">
        <v>53560</v>
      </c>
      <c r="Z11027" s="61">
        <f>_xll.qlYieldTSDiscount($U$35,Y11027,,Trigger)</f>
        <v>0.58889868774717546</v>
      </c>
    </row>
    <row r="11028" spans="25:26" x14ac:dyDescent="0.25">
      <c r="Y11028" s="63">
        <v>53561</v>
      </c>
      <c r="Z11028" s="61">
        <f>_xll.qlYieldTSDiscount($U$35,Y11028,,Trigger)</f>
        <v>0.5888574711363308</v>
      </c>
    </row>
    <row r="11029" spans="25:26" x14ac:dyDescent="0.25">
      <c r="Y11029" s="63">
        <v>53562</v>
      </c>
      <c r="Z11029" s="61">
        <f>_xll.qlYieldTSDiscount($U$35,Y11029,,Trigger)</f>
        <v>0.58881625852123542</v>
      </c>
    </row>
    <row r="11030" spans="25:26" x14ac:dyDescent="0.25">
      <c r="Y11030" s="63">
        <v>53563</v>
      </c>
      <c r="Z11030" s="61">
        <f>_xll.qlYieldTSDiscount($U$35,Y11030,,Trigger)</f>
        <v>0.5887750499015233</v>
      </c>
    </row>
    <row r="11031" spans="25:26" x14ac:dyDescent="0.25">
      <c r="Y11031" s="63">
        <v>53564</v>
      </c>
      <c r="Z11031" s="61">
        <f>_xll.qlYieldTSDiscount($U$35,Y11031,,Trigger)</f>
        <v>0.58873384527682859</v>
      </c>
    </row>
    <row r="11032" spans="25:26" x14ac:dyDescent="0.25">
      <c r="Y11032" s="63">
        <v>53565</v>
      </c>
      <c r="Z11032" s="61">
        <f>_xll.qlYieldTSDiscount($U$35,Y11032,,Trigger)</f>
        <v>0.58869264464678517</v>
      </c>
    </row>
    <row r="11033" spans="25:26" x14ac:dyDescent="0.25">
      <c r="Y11033" s="63">
        <v>53566</v>
      </c>
      <c r="Z11033" s="61">
        <f>_xll.qlYieldTSDiscount($U$35,Y11033,,Trigger)</f>
        <v>0.5886514480110272</v>
      </c>
    </row>
    <row r="11034" spans="25:26" x14ac:dyDescent="0.25">
      <c r="Y11034" s="63">
        <v>53567</v>
      </c>
      <c r="Z11034" s="61">
        <f>_xll.qlYieldTSDiscount($U$35,Y11034,,Trigger)</f>
        <v>0.58861025536918854</v>
      </c>
    </row>
    <row r="11035" spans="25:26" x14ac:dyDescent="0.25">
      <c r="Y11035" s="63">
        <v>53568</v>
      </c>
      <c r="Z11035" s="61">
        <f>_xll.qlYieldTSDiscount($U$35,Y11035,,Trigger)</f>
        <v>0.58856906672090326</v>
      </c>
    </row>
    <row r="11036" spans="25:26" x14ac:dyDescent="0.25">
      <c r="Y11036" s="63">
        <v>53569</v>
      </c>
      <c r="Z11036" s="61">
        <f>_xll.qlYieldTSDiscount($U$35,Y11036,,Trigger)</f>
        <v>0.58852788206580553</v>
      </c>
    </row>
    <row r="11037" spans="25:26" x14ac:dyDescent="0.25">
      <c r="Y11037" s="63">
        <v>53570</v>
      </c>
      <c r="Z11037" s="61">
        <f>_xll.qlYieldTSDiscount($U$35,Y11037,,Trigger)</f>
        <v>0.5884867014035291</v>
      </c>
    </row>
    <row r="11038" spans="25:26" x14ac:dyDescent="0.25">
      <c r="Y11038" s="63">
        <v>53571</v>
      </c>
      <c r="Z11038" s="61">
        <f>_xll.qlYieldTSDiscount($U$35,Y11038,,Trigger)</f>
        <v>0.58844552473370837</v>
      </c>
    </row>
    <row r="11039" spans="25:26" x14ac:dyDescent="0.25">
      <c r="Y11039" s="63">
        <v>53572</v>
      </c>
      <c r="Z11039" s="61">
        <f>_xll.qlYieldTSDiscount($U$35,Y11039,,Trigger)</f>
        <v>0.58840435205597696</v>
      </c>
    </row>
    <row r="11040" spans="25:26" x14ac:dyDescent="0.25">
      <c r="Y11040" s="63">
        <v>53573</v>
      </c>
      <c r="Z11040" s="61">
        <f>_xll.qlYieldTSDiscount($U$35,Y11040,,Trigger)</f>
        <v>0.58836318336996918</v>
      </c>
    </row>
    <row r="11041" spans="25:26" x14ac:dyDescent="0.25">
      <c r="Y11041" s="63">
        <v>53574</v>
      </c>
      <c r="Z11041" s="61">
        <f>_xll.qlYieldTSDiscount($U$35,Y11041,,Trigger)</f>
        <v>0.58832201867531886</v>
      </c>
    </row>
    <row r="11042" spans="25:26" x14ac:dyDescent="0.25">
      <c r="Y11042" s="63">
        <v>53575</v>
      </c>
      <c r="Z11042" s="61">
        <f>_xll.qlYieldTSDiscount($U$35,Y11042,,Trigger)</f>
        <v>0.58828085797166019</v>
      </c>
    </row>
    <row r="11043" spans="25:26" x14ac:dyDescent="0.25">
      <c r="Y11043" s="63">
        <v>53576</v>
      </c>
      <c r="Z11043" s="61">
        <f>_xll.qlYieldTSDiscount($U$35,Y11043,,Trigger)</f>
        <v>0.58823970125862701</v>
      </c>
    </row>
    <row r="11044" spans="25:26" x14ac:dyDescent="0.25">
      <c r="Y11044" s="63">
        <v>53577</v>
      </c>
      <c r="Z11044" s="61">
        <f>_xll.qlYieldTSDiscount($U$35,Y11044,,Trigger)</f>
        <v>0.58819854853585352</v>
      </c>
    </row>
    <row r="11045" spans="25:26" x14ac:dyDescent="0.25">
      <c r="Y11045" s="63">
        <v>53578</v>
      </c>
      <c r="Z11045" s="61">
        <f>_xll.qlYieldTSDiscount($U$35,Y11045,,Trigger)</f>
        <v>0.58815739980297366</v>
      </c>
    </row>
    <row r="11046" spans="25:26" x14ac:dyDescent="0.25">
      <c r="Y11046" s="63">
        <v>53579</v>
      </c>
      <c r="Z11046" s="61">
        <f>_xll.qlYieldTSDiscount($U$35,Y11046,,Trigger)</f>
        <v>0.5881162550596214</v>
      </c>
    </row>
    <row r="11047" spans="25:26" x14ac:dyDescent="0.25">
      <c r="Y11047" s="63">
        <v>53580</v>
      </c>
      <c r="Z11047" s="61">
        <f>_xll.qlYieldTSDiscount($U$35,Y11047,,Trigger)</f>
        <v>0.58807511430543091</v>
      </c>
    </row>
    <row r="11048" spans="25:26" x14ac:dyDescent="0.25">
      <c r="Y11048" s="63">
        <v>53581</v>
      </c>
      <c r="Z11048" s="61">
        <f>_xll.qlYieldTSDiscount($U$35,Y11048,,Trigger)</f>
        <v>0.58803397754003595</v>
      </c>
    </row>
    <row r="11049" spans="25:26" x14ac:dyDescent="0.25">
      <c r="Y11049" s="63">
        <v>53582</v>
      </c>
      <c r="Z11049" s="61">
        <f>_xll.qlYieldTSDiscount($U$35,Y11049,,Trigger)</f>
        <v>0.5879928447630709</v>
      </c>
    </row>
    <row r="11050" spans="25:26" x14ac:dyDescent="0.25">
      <c r="Y11050" s="63">
        <v>53583</v>
      </c>
      <c r="Z11050" s="61">
        <f>_xll.qlYieldTSDiscount($U$35,Y11050,,Trigger)</f>
        <v>0.58795171597416951</v>
      </c>
    </row>
    <row r="11051" spans="25:26" x14ac:dyDescent="0.25">
      <c r="Y11051" s="63">
        <v>53584</v>
      </c>
      <c r="Z11051" s="61">
        <f>_xll.qlYieldTSDiscount($U$35,Y11051,,Trigger)</f>
        <v>0.58791059117296585</v>
      </c>
    </row>
    <row r="11052" spans="25:26" x14ac:dyDescent="0.25">
      <c r="Y11052" s="63">
        <v>53585</v>
      </c>
      <c r="Z11052" s="61">
        <f>_xll.qlYieldTSDiscount($U$35,Y11052,,Trigger)</f>
        <v>0.58786947035909398</v>
      </c>
    </row>
    <row r="11053" spans="25:26" x14ac:dyDescent="0.25">
      <c r="Y11053" s="63">
        <v>53586</v>
      </c>
      <c r="Z11053" s="61">
        <f>_xll.qlYieldTSDiscount($U$35,Y11053,,Trigger)</f>
        <v>0.58782835353218799</v>
      </c>
    </row>
    <row r="11054" spans="25:26" x14ac:dyDescent="0.25">
      <c r="Y11054" s="63">
        <v>53587</v>
      </c>
      <c r="Z11054" s="61">
        <f>_xll.qlYieldTSDiscount($U$35,Y11054,,Trigger)</f>
        <v>0.58778724069188182</v>
      </c>
    </row>
    <row r="11055" spans="25:26" x14ac:dyDescent="0.25">
      <c r="Y11055" s="63">
        <v>53588</v>
      </c>
      <c r="Z11055" s="61">
        <f>_xll.qlYieldTSDiscount($U$35,Y11055,,Trigger)</f>
        <v>0.58774613183780944</v>
      </c>
    </row>
    <row r="11056" spans="25:26" x14ac:dyDescent="0.25">
      <c r="Y11056" s="63">
        <v>53589</v>
      </c>
      <c r="Z11056" s="61">
        <f>_xll.qlYieldTSDiscount($U$35,Y11056,,Trigger)</f>
        <v>0.58770502696960492</v>
      </c>
    </row>
    <row r="11057" spans="25:26" x14ac:dyDescent="0.25">
      <c r="Y11057" s="63">
        <v>53590</v>
      </c>
      <c r="Z11057" s="61">
        <f>_xll.qlYieldTSDiscount($U$35,Y11057,,Trigger)</f>
        <v>0.58766392608690232</v>
      </c>
    </row>
    <row r="11058" spans="25:26" x14ac:dyDescent="0.25">
      <c r="Y11058" s="63">
        <v>53591</v>
      </c>
      <c r="Z11058" s="61">
        <f>_xll.qlYieldTSDiscount($U$35,Y11058,,Trigger)</f>
        <v>0.58762282918933573</v>
      </c>
    </row>
    <row r="11059" spans="25:26" x14ac:dyDescent="0.25">
      <c r="Y11059" s="63">
        <v>53592</v>
      </c>
      <c r="Z11059" s="61">
        <f>_xll.qlYieldTSDiscount($U$35,Y11059,,Trigger)</f>
        <v>0.58758173627653898</v>
      </c>
    </row>
    <row r="11060" spans="25:26" x14ac:dyDescent="0.25">
      <c r="Y11060" s="63">
        <v>53593</v>
      </c>
      <c r="Z11060" s="61">
        <f>_xll.qlYieldTSDiscount($U$35,Y11060,,Trigger)</f>
        <v>0.58754064734814626</v>
      </c>
    </row>
    <row r="11061" spans="25:26" x14ac:dyDescent="0.25">
      <c r="Y11061" s="63">
        <v>53594</v>
      </c>
      <c r="Z11061" s="61">
        <f>_xll.qlYieldTSDiscount($U$35,Y11061,,Trigger)</f>
        <v>0.58749956240379142</v>
      </c>
    </row>
    <row r="11062" spans="25:26" x14ac:dyDescent="0.25">
      <c r="Y11062" s="63">
        <v>53595</v>
      </c>
      <c r="Z11062" s="61">
        <f>_xll.qlYieldTSDiscount($U$35,Y11062,,Trigger)</f>
        <v>0.58745848144310864</v>
      </c>
    </row>
    <row r="11063" spans="25:26" x14ac:dyDescent="0.25">
      <c r="Y11063" s="63">
        <v>53596</v>
      </c>
      <c r="Z11063" s="61">
        <f>_xll.qlYieldTSDiscount($U$35,Y11063,,Trigger)</f>
        <v>0.58741740446573187</v>
      </c>
    </row>
    <row r="11064" spans="25:26" x14ac:dyDescent="0.25">
      <c r="Y11064" s="63">
        <v>53597</v>
      </c>
      <c r="Z11064" s="61">
        <f>_xll.qlYieldTSDiscount($U$35,Y11064,,Trigger)</f>
        <v>0.5873763314712952</v>
      </c>
    </row>
    <row r="11065" spans="25:26" x14ac:dyDescent="0.25">
      <c r="Y11065" s="63">
        <v>53598</v>
      </c>
      <c r="Z11065" s="61">
        <f>_xll.qlYieldTSDiscount($U$35,Y11065,,Trigger)</f>
        <v>0.58733526245943257</v>
      </c>
    </row>
    <row r="11066" spans="25:26" x14ac:dyDescent="0.25">
      <c r="Y11066" s="63">
        <v>53599</v>
      </c>
      <c r="Z11066" s="61">
        <f>_xll.qlYieldTSDiscount($U$35,Y11066,,Trigger)</f>
        <v>0.58729419742977795</v>
      </c>
    </row>
    <row r="11067" spans="25:26" x14ac:dyDescent="0.25">
      <c r="Y11067" s="63">
        <v>53600</v>
      </c>
      <c r="Z11067" s="61">
        <f>_xll.qlYieldTSDiscount($U$35,Y11067,,Trigger)</f>
        <v>0.58725313638196552</v>
      </c>
    </row>
    <row r="11068" spans="25:26" x14ac:dyDescent="0.25">
      <c r="Y11068" s="63">
        <v>53601</v>
      </c>
      <c r="Z11068" s="61">
        <f>_xll.qlYieldTSDiscount($U$35,Y11068,,Trigger)</f>
        <v>0.58721207931562924</v>
      </c>
    </row>
    <row r="11069" spans="25:26" x14ac:dyDescent="0.25">
      <c r="Y11069" s="63">
        <v>53602</v>
      </c>
      <c r="Z11069" s="61">
        <f>_xll.qlYieldTSDiscount($U$35,Y11069,,Trigger)</f>
        <v>0.58717102623040307</v>
      </c>
    </row>
    <row r="11070" spans="25:26" x14ac:dyDescent="0.25">
      <c r="Y11070" s="63">
        <v>53603</v>
      </c>
      <c r="Z11070" s="61">
        <f>_xll.qlYieldTSDiscount($U$35,Y11070,,Trigger)</f>
        <v>0.58712997712592119</v>
      </c>
    </row>
    <row r="11071" spans="25:26" x14ac:dyDescent="0.25">
      <c r="Y11071" s="63">
        <v>53604</v>
      </c>
      <c r="Z11071" s="61">
        <f>_xll.qlYieldTSDiscount($U$35,Y11071,,Trigger)</f>
        <v>0.58708893200181744</v>
      </c>
    </row>
    <row r="11072" spans="25:26" x14ac:dyDescent="0.25">
      <c r="Y11072" s="63">
        <v>53605</v>
      </c>
      <c r="Z11072" s="61">
        <f>_xll.qlYieldTSDiscount($U$35,Y11072,,Trigger)</f>
        <v>0.5870478908577258</v>
      </c>
    </row>
    <row r="11073" spans="25:26" x14ac:dyDescent="0.25">
      <c r="Y11073" s="63">
        <v>53606</v>
      </c>
      <c r="Z11073" s="61">
        <f>_xll.qlYieldTSDiscount($U$35,Y11073,,Trigger)</f>
        <v>0.58700685369328054</v>
      </c>
    </row>
    <row r="11074" spans="25:26" x14ac:dyDescent="0.25">
      <c r="Y11074" s="63">
        <v>53607</v>
      </c>
      <c r="Z11074" s="61">
        <f>_xll.qlYieldTSDiscount($U$35,Y11074,,Trigger)</f>
        <v>0.58696582050811552</v>
      </c>
    </row>
    <row r="11075" spans="25:26" x14ac:dyDescent="0.25">
      <c r="Y11075" s="63">
        <v>53608</v>
      </c>
      <c r="Z11075" s="61">
        <f>_xll.qlYieldTSDiscount($U$35,Y11075,,Trigger)</f>
        <v>0.58692479130186481</v>
      </c>
    </row>
    <row r="11076" spans="25:26" x14ac:dyDescent="0.25">
      <c r="Y11076" s="63">
        <v>53609</v>
      </c>
      <c r="Z11076" s="61">
        <f>_xll.qlYieldTSDiscount($U$35,Y11076,,Trigger)</f>
        <v>0.58688376607416237</v>
      </c>
    </row>
    <row r="11077" spans="25:26" x14ac:dyDescent="0.25">
      <c r="Y11077" s="63">
        <v>53610</v>
      </c>
      <c r="Z11077" s="61">
        <f>_xll.qlYieldTSDiscount($U$35,Y11077,,Trigger)</f>
        <v>0.58684274482464227</v>
      </c>
    </row>
    <row r="11078" spans="25:26" x14ac:dyDescent="0.25">
      <c r="Y11078" s="63">
        <v>53611</v>
      </c>
      <c r="Z11078" s="61">
        <f>_xll.qlYieldTSDiscount($U$35,Y11078,,Trigger)</f>
        <v>0.58680172755293858</v>
      </c>
    </row>
    <row r="11079" spans="25:26" x14ac:dyDescent="0.25">
      <c r="Y11079" s="63">
        <v>53612</v>
      </c>
      <c r="Z11079" s="61">
        <f>_xll.qlYieldTSDiscount($U$35,Y11079,,Trigger)</f>
        <v>0.58676071425868526</v>
      </c>
    </row>
    <row r="11080" spans="25:26" x14ac:dyDescent="0.25">
      <c r="Y11080" s="63">
        <v>53613</v>
      </c>
      <c r="Z11080" s="61">
        <f>_xll.qlYieldTSDiscount($U$35,Y11080,,Trigger)</f>
        <v>0.58671970494151615</v>
      </c>
    </row>
    <row r="11081" spans="25:26" x14ac:dyDescent="0.25">
      <c r="Y11081" s="63">
        <v>53614</v>
      </c>
      <c r="Z11081" s="61">
        <f>_xll.qlYieldTSDiscount($U$35,Y11081,,Trigger)</f>
        <v>0.58667869960106567</v>
      </c>
    </row>
    <row r="11082" spans="25:26" x14ac:dyDescent="0.25">
      <c r="Y11082" s="63">
        <v>53615</v>
      </c>
      <c r="Z11082" s="61">
        <f>_xll.qlYieldTSDiscount($U$35,Y11082,,Trigger)</f>
        <v>0.58663769823696754</v>
      </c>
    </row>
    <row r="11083" spans="25:26" x14ac:dyDescent="0.25">
      <c r="Y11083" s="63">
        <v>53616</v>
      </c>
      <c r="Z11083" s="61">
        <f>_xll.qlYieldTSDiscount($U$35,Y11083,,Trigger)</f>
        <v>0.58659670084885596</v>
      </c>
    </row>
    <row r="11084" spans="25:26" x14ac:dyDescent="0.25">
      <c r="Y11084" s="63">
        <v>53617</v>
      </c>
      <c r="Z11084" s="61">
        <f>_xll.qlYieldTSDiscount($U$35,Y11084,,Trigger)</f>
        <v>0.58655570743636476</v>
      </c>
    </row>
    <row r="11085" spans="25:26" x14ac:dyDescent="0.25">
      <c r="Y11085" s="63">
        <v>53618</v>
      </c>
      <c r="Z11085" s="61">
        <f>_xll.qlYieldTSDiscount($U$35,Y11085,,Trigger)</f>
        <v>0.58651471799912813</v>
      </c>
    </row>
    <row r="11086" spans="25:26" x14ac:dyDescent="0.25">
      <c r="Y11086" s="63">
        <v>53619</v>
      </c>
      <c r="Z11086" s="61">
        <f>_xll.qlYieldTSDiscount($U$35,Y11086,,Trigger)</f>
        <v>0.58647373253678003</v>
      </c>
    </row>
    <row r="11087" spans="25:26" x14ac:dyDescent="0.25">
      <c r="Y11087" s="63">
        <v>53620</v>
      </c>
      <c r="Z11087" s="61">
        <f>_xll.qlYieldTSDiscount($U$35,Y11087,,Trigger)</f>
        <v>0.58643275104895443</v>
      </c>
    </row>
    <row r="11088" spans="25:26" x14ac:dyDescent="0.25">
      <c r="Y11088" s="63">
        <v>53621</v>
      </c>
      <c r="Z11088" s="61">
        <f>_xll.qlYieldTSDiscount($U$35,Y11088,,Trigger)</f>
        <v>0.58639177353528538</v>
      </c>
    </row>
    <row r="11089" spans="25:26" x14ac:dyDescent="0.25">
      <c r="Y11089" s="63">
        <v>53622</v>
      </c>
      <c r="Z11089" s="61">
        <f>_xll.qlYieldTSDiscount($U$35,Y11089,,Trigger)</f>
        <v>0.58635079999540707</v>
      </c>
    </row>
    <row r="11090" spans="25:26" x14ac:dyDescent="0.25">
      <c r="Y11090" s="63">
        <v>53623</v>
      </c>
      <c r="Z11090" s="61">
        <f>_xll.qlYieldTSDiscount($U$35,Y11090,,Trigger)</f>
        <v>0.58630983042895324</v>
      </c>
    </row>
    <row r="11091" spans="25:26" x14ac:dyDescent="0.25">
      <c r="Y11091" s="63">
        <v>53624</v>
      </c>
      <c r="Z11091" s="61">
        <f>_xll.qlYieldTSDiscount($U$35,Y11091,,Trigger)</f>
        <v>0.58626886483555807</v>
      </c>
    </row>
    <row r="11092" spans="25:26" x14ac:dyDescent="0.25">
      <c r="Y11092" s="63">
        <v>53625</v>
      </c>
      <c r="Z11092" s="61">
        <f>_xll.qlYieldTSDiscount($U$35,Y11092,,Trigger)</f>
        <v>0.58622790321485563</v>
      </c>
    </row>
    <row r="11093" spans="25:26" x14ac:dyDescent="0.25">
      <c r="Y11093" s="63">
        <v>53626</v>
      </c>
      <c r="Z11093" s="61">
        <f>_xll.qlYieldTSDiscount($U$35,Y11093,,Trigger)</f>
        <v>0.58618694556647977</v>
      </c>
    </row>
    <row r="11094" spans="25:26" x14ac:dyDescent="0.25">
      <c r="Y11094" s="63">
        <v>53627</v>
      </c>
      <c r="Z11094" s="61">
        <f>_xll.qlYieldTSDiscount($U$35,Y11094,,Trigger)</f>
        <v>0.58614599189006467</v>
      </c>
    </row>
    <row r="11095" spans="25:26" x14ac:dyDescent="0.25">
      <c r="Y11095" s="63">
        <v>53628</v>
      </c>
      <c r="Z11095" s="61">
        <f>_xll.qlYieldTSDiscount($U$35,Y11095,,Trigger)</f>
        <v>0.5861050421852444</v>
      </c>
    </row>
    <row r="11096" spans="25:26" x14ac:dyDescent="0.25">
      <c r="Y11096" s="63">
        <v>53629</v>
      </c>
      <c r="Z11096" s="61">
        <f>_xll.qlYieldTSDiscount($U$35,Y11096,,Trigger)</f>
        <v>0.58606409645165269</v>
      </c>
    </row>
    <row r="11097" spans="25:26" x14ac:dyDescent="0.25">
      <c r="Y11097" s="63">
        <v>53630</v>
      </c>
      <c r="Z11097" s="61">
        <f>_xll.qlYieldTSDiscount($U$35,Y11097,,Trigger)</f>
        <v>0.58602315468892385</v>
      </c>
    </row>
    <row r="11098" spans="25:26" x14ac:dyDescent="0.25">
      <c r="Y11098" s="63">
        <v>53631</v>
      </c>
      <c r="Z11098" s="61">
        <f>_xll.qlYieldTSDiscount($U$35,Y11098,,Trigger)</f>
        <v>0.58598221689669172</v>
      </c>
    </row>
    <row r="11099" spans="25:26" x14ac:dyDescent="0.25">
      <c r="Y11099" s="63">
        <v>53632</v>
      </c>
      <c r="Z11099" s="61">
        <f>_xll.qlYieldTSDiscount($U$35,Y11099,,Trigger)</f>
        <v>0.58594128307459048</v>
      </c>
    </row>
    <row r="11100" spans="25:26" x14ac:dyDescent="0.25">
      <c r="Y11100" s="63">
        <v>53633</v>
      </c>
      <c r="Z11100" s="61">
        <f>_xll.qlYieldTSDiscount($U$35,Y11100,,Trigger)</f>
        <v>0.58590035322225409</v>
      </c>
    </row>
    <row r="11101" spans="25:26" x14ac:dyDescent="0.25">
      <c r="Y11101" s="63">
        <v>53634</v>
      </c>
      <c r="Z11101" s="61">
        <f>_xll.qlYieldTSDiscount($U$35,Y11101,,Trigger)</f>
        <v>0.58585942733931651</v>
      </c>
    </row>
    <row r="11102" spans="25:26" x14ac:dyDescent="0.25">
      <c r="Y11102" s="63">
        <v>53635</v>
      </c>
      <c r="Z11102" s="61">
        <f>_xll.qlYieldTSDiscount($U$35,Y11102,,Trigger)</f>
        <v>0.58581850542541192</v>
      </c>
    </row>
    <row r="11103" spans="25:26" x14ac:dyDescent="0.25">
      <c r="Y11103" s="63">
        <v>53636</v>
      </c>
      <c r="Z11103" s="61">
        <f>_xll.qlYieldTSDiscount($U$35,Y11103,,Trigger)</f>
        <v>0.58577758748017406</v>
      </c>
    </row>
    <row r="11104" spans="25:26" x14ac:dyDescent="0.25">
      <c r="Y11104" s="63">
        <v>53637</v>
      </c>
      <c r="Z11104" s="61">
        <f>_xll.qlYieldTSDiscount($U$35,Y11104,,Trigger)</f>
        <v>0.58573667350323722</v>
      </c>
    </row>
    <row r="11105" spans="25:26" x14ac:dyDescent="0.25">
      <c r="Y11105" s="63">
        <v>53638</v>
      </c>
      <c r="Z11105" s="61">
        <f>_xll.qlYieldTSDiscount($U$35,Y11105,,Trigger)</f>
        <v>0.58569576349423536</v>
      </c>
    </row>
    <row r="11106" spans="25:26" x14ac:dyDescent="0.25">
      <c r="Y11106" s="63">
        <v>53639</v>
      </c>
      <c r="Z11106" s="61">
        <f>_xll.qlYieldTSDiscount($U$35,Y11106,,Trigger)</f>
        <v>0.58565485745280232</v>
      </c>
    </row>
    <row r="11107" spans="25:26" x14ac:dyDescent="0.25">
      <c r="Y11107" s="63">
        <v>53640</v>
      </c>
      <c r="Z11107" s="61">
        <f>_xll.qlYieldTSDiscount($U$35,Y11107,,Trigger)</f>
        <v>0.58561395537857242</v>
      </c>
    </row>
    <row r="11108" spans="25:26" x14ac:dyDescent="0.25">
      <c r="Y11108" s="63">
        <v>53641</v>
      </c>
      <c r="Z11108" s="61">
        <f>_xll.qlYieldTSDiscount($U$35,Y11108,,Trigger)</f>
        <v>0.58557305727117948</v>
      </c>
    </row>
    <row r="11109" spans="25:26" x14ac:dyDescent="0.25">
      <c r="Y11109" s="63">
        <v>53642</v>
      </c>
      <c r="Z11109" s="61">
        <f>_xll.qlYieldTSDiscount($U$35,Y11109,,Trigger)</f>
        <v>0.58553216313025758</v>
      </c>
    </row>
    <row r="11110" spans="25:26" x14ac:dyDescent="0.25">
      <c r="Y11110" s="63">
        <v>53643</v>
      </c>
      <c r="Z11110" s="61">
        <f>_xll.qlYieldTSDiscount($U$35,Y11110,,Trigger)</f>
        <v>0.58549127295544068</v>
      </c>
    </row>
    <row r="11111" spans="25:26" x14ac:dyDescent="0.25">
      <c r="Y11111" s="63">
        <v>53644</v>
      </c>
      <c r="Z11111" s="61">
        <f>_xll.qlYieldTSDiscount($U$35,Y11111,,Trigger)</f>
        <v>0.58545038674636285</v>
      </c>
    </row>
    <row r="11112" spans="25:26" x14ac:dyDescent="0.25">
      <c r="Y11112" s="63">
        <v>53645</v>
      </c>
      <c r="Z11112" s="61">
        <f>_xll.qlYieldTSDiscount($U$35,Y11112,,Trigger)</f>
        <v>0.58540950450265816</v>
      </c>
    </row>
    <row r="11113" spans="25:26" x14ac:dyDescent="0.25">
      <c r="Y11113" s="63">
        <v>53646</v>
      </c>
      <c r="Z11113" s="61">
        <f>_xll.qlYieldTSDiscount($U$35,Y11113,,Trigger)</f>
        <v>0.58536862622396069</v>
      </c>
    </row>
    <row r="11114" spans="25:26" x14ac:dyDescent="0.25">
      <c r="Y11114" s="63">
        <v>53647</v>
      </c>
      <c r="Z11114" s="61">
        <f>_xll.qlYieldTSDiscount($U$35,Y11114,,Trigger)</f>
        <v>0.58532775190990416</v>
      </c>
    </row>
    <row r="11115" spans="25:26" x14ac:dyDescent="0.25">
      <c r="Y11115" s="63">
        <v>53648</v>
      </c>
      <c r="Z11115" s="61">
        <f>_xll.qlYieldTSDiscount($U$35,Y11115,,Trigger)</f>
        <v>0.58528688156012287</v>
      </c>
    </row>
    <row r="11116" spans="25:26" x14ac:dyDescent="0.25">
      <c r="Y11116" s="63">
        <v>53649</v>
      </c>
      <c r="Z11116" s="61">
        <f>_xll.qlYieldTSDiscount($U$35,Y11116,,Trigger)</f>
        <v>0.5852460151742509</v>
      </c>
    </row>
    <row r="11117" spans="25:26" x14ac:dyDescent="0.25">
      <c r="Y11117" s="63">
        <v>53650</v>
      </c>
      <c r="Z11117" s="61">
        <f>_xll.qlYieldTSDiscount($U$35,Y11117,,Trigger)</f>
        <v>0.58520515275192198</v>
      </c>
    </row>
    <row r="11118" spans="25:26" x14ac:dyDescent="0.25">
      <c r="Y11118" s="63">
        <v>53651</v>
      </c>
      <c r="Z11118" s="61">
        <f>_xll.qlYieldTSDiscount($U$35,Y11118,,Trigger)</f>
        <v>0.58516429429277028</v>
      </c>
    </row>
    <row r="11119" spans="25:26" x14ac:dyDescent="0.25">
      <c r="Y11119" s="63">
        <v>53652</v>
      </c>
      <c r="Z11119" s="61">
        <f>_xll.qlYieldTSDiscount($U$35,Y11119,,Trigger)</f>
        <v>0.58512343979642989</v>
      </c>
    </row>
    <row r="11120" spans="25:26" x14ac:dyDescent="0.25">
      <c r="Y11120" s="63">
        <v>53653</v>
      </c>
      <c r="Z11120" s="61">
        <f>_xll.qlYieldTSDiscount($U$35,Y11120,,Trigger)</f>
        <v>0.58508258926253476</v>
      </c>
    </row>
    <row r="11121" spans="25:26" x14ac:dyDescent="0.25">
      <c r="Y11121" s="63">
        <v>53654</v>
      </c>
      <c r="Z11121" s="61">
        <f>_xll.qlYieldTSDiscount($U$35,Y11121,,Trigger)</f>
        <v>0.58504174269071896</v>
      </c>
    </row>
    <row r="11122" spans="25:26" x14ac:dyDescent="0.25">
      <c r="Y11122" s="63">
        <v>53655</v>
      </c>
      <c r="Z11122" s="61">
        <f>_xll.qlYieldTSDiscount($U$35,Y11122,,Trigger)</f>
        <v>0.58500090008061645</v>
      </c>
    </row>
    <row r="11123" spans="25:26" x14ac:dyDescent="0.25">
      <c r="Y11123" s="63">
        <v>53656</v>
      </c>
      <c r="Z11123" s="61">
        <f>_xll.qlYieldTSDiscount($U$35,Y11123,,Trigger)</f>
        <v>0.5849600614318613</v>
      </c>
    </row>
    <row r="11124" spans="25:26" x14ac:dyDescent="0.25">
      <c r="Y11124" s="63">
        <v>53657</v>
      </c>
      <c r="Z11124" s="61">
        <f>_xll.qlYieldTSDiscount($U$35,Y11124,,Trigger)</f>
        <v>0.58491922674408747</v>
      </c>
    </row>
    <row r="11125" spans="25:26" x14ac:dyDescent="0.25">
      <c r="Y11125" s="63">
        <v>53658</v>
      </c>
      <c r="Z11125" s="61">
        <f>_xll.qlYieldTSDiscount($U$35,Y11125,,Trigger)</f>
        <v>0.58487839601692904</v>
      </c>
    </row>
    <row r="11126" spans="25:26" x14ac:dyDescent="0.25">
      <c r="Y11126" s="63">
        <v>53659</v>
      </c>
      <c r="Z11126" s="61">
        <f>_xll.qlYieldTSDiscount($U$35,Y11126,,Trigger)</f>
        <v>0.58483756925002006</v>
      </c>
    </row>
    <row r="11127" spans="25:26" x14ac:dyDescent="0.25">
      <c r="Y11127" s="63">
        <v>53660</v>
      </c>
      <c r="Z11127" s="61">
        <f>_xll.qlYieldTSDiscount($U$35,Y11127,,Trigger)</f>
        <v>0.5847967464429944</v>
      </c>
    </row>
    <row r="11128" spans="25:26" x14ac:dyDescent="0.25">
      <c r="Y11128" s="63">
        <v>53661</v>
      </c>
      <c r="Z11128" s="61">
        <f>_xll.qlYieldTSDiscount($U$35,Y11128,,Trigger)</f>
        <v>0.58475592759548622</v>
      </c>
    </row>
    <row r="11129" spans="25:26" x14ac:dyDescent="0.25">
      <c r="Y11129" s="63">
        <v>53662</v>
      </c>
      <c r="Z11129" s="61">
        <f>_xll.qlYieldTSDiscount($U$35,Y11129,,Trigger)</f>
        <v>0.58471511270712961</v>
      </c>
    </row>
    <row r="11130" spans="25:26" x14ac:dyDescent="0.25">
      <c r="Y11130" s="63">
        <v>53663</v>
      </c>
      <c r="Z11130" s="61">
        <f>_xll.qlYieldTSDiscount($U$35,Y11130,,Trigger)</f>
        <v>0.5846743017775583</v>
      </c>
    </row>
    <row r="11131" spans="25:26" x14ac:dyDescent="0.25">
      <c r="Y11131" s="63">
        <v>53664</v>
      </c>
      <c r="Z11131" s="61">
        <f>_xll.qlYieldTSDiscount($U$35,Y11131,,Trigger)</f>
        <v>0.58463349480640669</v>
      </c>
    </row>
    <row r="11132" spans="25:26" x14ac:dyDescent="0.25">
      <c r="Y11132" s="63">
        <v>53665</v>
      </c>
      <c r="Z11132" s="61">
        <f>_xll.qlYieldTSDiscount($U$35,Y11132,,Trigger)</f>
        <v>0.58459269179330853</v>
      </c>
    </row>
    <row r="11133" spans="25:26" x14ac:dyDescent="0.25">
      <c r="Y11133" s="63">
        <v>53666</v>
      </c>
      <c r="Z11133" s="61">
        <f>_xll.qlYieldTSDiscount($U$35,Y11133,,Trigger)</f>
        <v>0.58455189273789787</v>
      </c>
    </row>
    <row r="11134" spans="25:26" x14ac:dyDescent="0.25">
      <c r="Y11134" s="63">
        <v>53667</v>
      </c>
      <c r="Z11134" s="61">
        <f>_xll.qlYieldTSDiscount($U$35,Y11134,,Trigger)</f>
        <v>0.58451109763980891</v>
      </c>
    </row>
    <row r="11135" spans="25:26" x14ac:dyDescent="0.25">
      <c r="Y11135" s="63">
        <v>53668</v>
      </c>
      <c r="Z11135" s="61">
        <f>_xll.qlYieldTSDiscount($U$35,Y11135,,Trigger)</f>
        <v>0.58447030649867548</v>
      </c>
    </row>
    <row r="11136" spans="25:26" x14ac:dyDescent="0.25">
      <c r="Y11136" s="63">
        <v>53669</v>
      </c>
      <c r="Z11136" s="61">
        <f>_xll.qlYieldTSDiscount($U$35,Y11136,,Trigger)</f>
        <v>0.58442951931413167</v>
      </c>
    </row>
    <row r="11137" spans="25:26" x14ac:dyDescent="0.25">
      <c r="Y11137" s="63">
        <v>53670</v>
      </c>
      <c r="Z11137" s="61">
        <f>_xll.qlYieldTSDiscount($U$35,Y11137,,Trigger)</f>
        <v>0.58438873608581154</v>
      </c>
    </row>
    <row r="11138" spans="25:26" x14ac:dyDescent="0.25">
      <c r="Y11138" s="63">
        <v>53671</v>
      </c>
      <c r="Z11138" s="61">
        <f>_xll.qlYieldTSDiscount($U$35,Y11138,,Trigger)</f>
        <v>0.58434795681334906</v>
      </c>
    </row>
    <row r="11139" spans="25:26" x14ac:dyDescent="0.25">
      <c r="Y11139" s="63">
        <v>53672</v>
      </c>
      <c r="Z11139" s="61">
        <f>_xll.qlYieldTSDiscount($U$35,Y11139,,Trigger)</f>
        <v>0.58430718149637828</v>
      </c>
    </row>
    <row r="11140" spans="25:26" x14ac:dyDescent="0.25">
      <c r="Y11140" s="63">
        <v>53673</v>
      </c>
      <c r="Z11140" s="61">
        <f>_xll.qlYieldTSDiscount($U$35,Y11140,,Trigger)</f>
        <v>0.58426641013453318</v>
      </c>
    </row>
    <row r="11141" spans="25:26" x14ac:dyDescent="0.25">
      <c r="Y11141" s="63">
        <v>53674</v>
      </c>
      <c r="Z11141" s="61">
        <f>_xll.qlYieldTSDiscount($U$35,Y11141,,Trigger)</f>
        <v>0.58422564272744781</v>
      </c>
    </row>
    <row r="11142" spans="25:26" x14ac:dyDescent="0.25">
      <c r="Y11142" s="63">
        <v>53675</v>
      </c>
      <c r="Z11142" s="61">
        <f>_xll.qlYieldTSDiscount($U$35,Y11142,,Trigger)</f>
        <v>0.58418487927475626</v>
      </c>
    </row>
    <row r="11143" spans="25:26" x14ac:dyDescent="0.25">
      <c r="Y11143" s="63">
        <v>53676</v>
      </c>
      <c r="Z11143" s="61">
        <f>_xll.qlYieldTSDiscount($U$35,Y11143,,Trigger)</f>
        <v>0.58414411977609237</v>
      </c>
    </row>
    <row r="11144" spans="25:26" x14ac:dyDescent="0.25">
      <c r="Y11144" s="63">
        <v>53677</v>
      </c>
      <c r="Z11144" s="61">
        <f>_xll.qlYieldTSDiscount($U$35,Y11144,,Trigger)</f>
        <v>0.58410336423109044</v>
      </c>
    </row>
    <row r="11145" spans="25:26" x14ac:dyDescent="0.25">
      <c r="Y11145" s="63">
        <v>53678</v>
      </c>
      <c r="Z11145" s="61">
        <f>_xll.qlYieldTSDiscount($U$35,Y11145,,Trigger)</f>
        <v>0.58406261263938419</v>
      </c>
    </row>
    <row r="11146" spans="25:26" x14ac:dyDescent="0.25">
      <c r="Y11146" s="63">
        <v>53679</v>
      </c>
      <c r="Z11146" s="61">
        <f>_xll.qlYieldTSDiscount($U$35,Y11146,,Trigger)</f>
        <v>0.58402186500060782</v>
      </c>
    </row>
    <row r="11147" spans="25:26" x14ac:dyDescent="0.25">
      <c r="Y11147" s="63">
        <v>53680</v>
      </c>
      <c r="Z11147" s="61">
        <f>_xll.qlYieldTSDiscount($U$35,Y11147,,Trigger)</f>
        <v>0.58398112131439528</v>
      </c>
    </row>
    <row r="11148" spans="25:26" x14ac:dyDescent="0.25">
      <c r="Y11148" s="63">
        <v>53681</v>
      </c>
      <c r="Z11148" s="61">
        <f>_xll.qlYieldTSDiscount($U$35,Y11148,,Trigger)</f>
        <v>0.58394038158038064</v>
      </c>
    </row>
    <row r="11149" spans="25:26" x14ac:dyDescent="0.25">
      <c r="Y11149" s="63">
        <v>53682</v>
      </c>
      <c r="Z11149" s="61">
        <f>_xll.qlYieldTSDiscount($U$35,Y11149,,Trigger)</f>
        <v>0.58389964579819797</v>
      </c>
    </row>
    <row r="11150" spans="25:26" x14ac:dyDescent="0.25">
      <c r="Y11150" s="63">
        <v>53683</v>
      </c>
      <c r="Z11150" s="61">
        <f>_xll.qlYieldTSDiscount($U$35,Y11150,,Trigger)</f>
        <v>0.58385891396748124</v>
      </c>
    </row>
    <row r="11151" spans="25:26" x14ac:dyDescent="0.25">
      <c r="Y11151" s="63">
        <v>53684</v>
      </c>
      <c r="Z11151" s="61">
        <f>_xll.qlYieldTSDiscount($U$35,Y11151,,Trigger)</f>
        <v>0.5838181860878644</v>
      </c>
    </row>
    <row r="11152" spans="25:26" x14ac:dyDescent="0.25">
      <c r="Y11152" s="63">
        <v>53685</v>
      </c>
      <c r="Z11152" s="61">
        <f>_xll.qlYieldTSDiscount($U$35,Y11152,,Trigger)</f>
        <v>0.58377746215898152</v>
      </c>
    </row>
    <row r="11153" spans="25:26" x14ac:dyDescent="0.25">
      <c r="Y11153" s="63">
        <v>53686</v>
      </c>
      <c r="Z11153" s="61">
        <f>_xll.qlYieldTSDiscount($U$35,Y11153,,Trigger)</f>
        <v>0.58373674218046667</v>
      </c>
    </row>
    <row r="11154" spans="25:26" x14ac:dyDescent="0.25">
      <c r="Y11154" s="63">
        <v>53687</v>
      </c>
      <c r="Z11154" s="61">
        <f>_xll.qlYieldTSDiscount($U$35,Y11154,,Trigger)</f>
        <v>0.58369602615195382</v>
      </c>
    </row>
    <row r="11155" spans="25:26" x14ac:dyDescent="0.25">
      <c r="Y11155" s="63">
        <v>53688</v>
      </c>
      <c r="Z11155" s="61">
        <f>_xll.qlYieldTSDiscount($U$35,Y11155,,Trigger)</f>
        <v>0.58365531407307703</v>
      </c>
    </row>
    <row r="11156" spans="25:26" x14ac:dyDescent="0.25">
      <c r="Y11156" s="63">
        <v>53689</v>
      </c>
      <c r="Z11156" s="61">
        <f>_xll.qlYieldTSDiscount($U$35,Y11156,,Trigger)</f>
        <v>0.58361460594347014</v>
      </c>
    </row>
    <row r="11157" spans="25:26" x14ac:dyDescent="0.25">
      <c r="Y11157" s="63">
        <v>53690</v>
      </c>
      <c r="Z11157" s="61">
        <f>_xll.qlYieldTSDiscount($U$35,Y11157,,Trigger)</f>
        <v>0.58357390176276758</v>
      </c>
    </row>
    <row r="11158" spans="25:26" x14ac:dyDescent="0.25">
      <c r="Y11158" s="63">
        <v>53691</v>
      </c>
      <c r="Z11158" s="61">
        <f>_xll.qlYieldTSDiscount($U$35,Y11158,,Trigger)</f>
        <v>0.58353320153060295</v>
      </c>
    </row>
    <row r="11159" spans="25:26" x14ac:dyDescent="0.25">
      <c r="Y11159" s="63">
        <v>53692</v>
      </c>
      <c r="Z11159" s="61">
        <f>_xll.qlYieldTSDiscount($U$35,Y11159,,Trigger)</f>
        <v>0.58349250524661056</v>
      </c>
    </row>
    <row r="11160" spans="25:26" x14ac:dyDescent="0.25">
      <c r="Y11160" s="63">
        <v>53693</v>
      </c>
      <c r="Z11160" s="61">
        <f>_xll.qlYieldTSDiscount($U$35,Y11160,,Trigger)</f>
        <v>0.58345181291042425</v>
      </c>
    </row>
    <row r="11161" spans="25:26" x14ac:dyDescent="0.25">
      <c r="Y11161" s="63">
        <v>53694</v>
      </c>
      <c r="Z11161" s="61">
        <f>_xll.qlYieldTSDiscount($U$35,Y11161,,Trigger)</f>
        <v>0.58341112452167809</v>
      </c>
    </row>
    <row r="11162" spans="25:26" x14ac:dyDescent="0.25">
      <c r="Y11162" s="63">
        <v>53695</v>
      </c>
      <c r="Z11162" s="61">
        <f>_xll.qlYieldTSDiscount($U$35,Y11162,,Trigger)</f>
        <v>0.58337044008000616</v>
      </c>
    </row>
    <row r="11163" spans="25:26" x14ac:dyDescent="0.25">
      <c r="Y11163" s="63">
        <v>53696</v>
      </c>
      <c r="Z11163" s="61">
        <f>_xll.qlYieldTSDiscount($U$35,Y11163,,Trigger)</f>
        <v>0.58332975958504241</v>
      </c>
    </row>
    <row r="11164" spans="25:26" x14ac:dyDescent="0.25">
      <c r="Y11164" s="63">
        <v>53697</v>
      </c>
      <c r="Z11164" s="61">
        <f>_xll.qlYieldTSDiscount($U$35,Y11164,,Trigger)</f>
        <v>0.58328908303642091</v>
      </c>
    </row>
    <row r="11165" spans="25:26" x14ac:dyDescent="0.25">
      <c r="Y11165" s="63">
        <v>53698</v>
      </c>
      <c r="Z11165" s="61">
        <f>_xll.qlYieldTSDiscount($U$35,Y11165,,Trigger)</f>
        <v>0.58324841043377573</v>
      </c>
    </row>
    <row r="11166" spans="25:26" x14ac:dyDescent="0.25">
      <c r="Y11166" s="63">
        <v>53699</v>
      </c>
      <c r="Z11166" s="61">
        <f>_xll.qlYieldTSDiscount($U$35,Y11166,,Trigger)</f>
        <v>0.58320774177674073</v>
      </c>
    </row>
    <row r="11167" spans="25:26" x14ac:dyDescent="0.25">
      <c r="Y11167" s="63">
        <v>53700</v>
      </c>
      <c r="Z11167" s="61">
        <f>_xll.qlYieldTSDiscount($U$35,Y11167,,Trigger)</f>
        <v>0.58316707706495008</v>
      </c>
    </row>
    <row r="11168" spans="25:26" x14ac:dyDescent="0.25">
      <c r="Y11168" s="63">
        <v>53701</v>
      </c>
      <c r="Z11168" s="61">
        <f>_xll.qlYieldTSDiscount($U$35,Y11168,,Trigger)</f>
        <v>0.58312641629803774</v>
      </c>
    </row>
    <row r="11169" spans="25:26" x14ac:dyDescent="0.25">
      <c r="Y11169" s="63">
        <v>53702</v>
      </c>
      <c r="Z11169" s="61">
        <f>_xll.qlYieldTSDiscount($U$35,Y11169,,Trigger)</f>
        <v>0.58308575947563779</v>
      </c>
    </row>
    <row r="11170" spans="25:26" x14ac:dyDescent="0.25">
      <c r="Y11170" s="63">
        <v>53703</v>
      </c>
      <c r="Z11170" s="61">
        <f>_xll.qlYieldTSDiscount($U$35,Y11170,,Trigger)</f>
        <v>0.58304510659738418</v>
      </c>
    </row>
    <row r="11171" spans="25:26" x14ac:dyDescent="0.25">
      <c r="Y11171" s="63">
        <v>53704</v>
      </c>
      <c r="Z11171" s="61">
        <f>_xll.qlYieldTSDiscount($U$35,Y11171,,Trigger)</f>
        <v>0.58300445766291087</v>
      </c>
    </row>
    <row r="11172" spans="25:26" x14ac:dyDescent="0.25">
      <c r="Y11172" s="63">
        <v>53705</v>
      </c>
      <c r="Z11172" s="61">
        <f>_xll.qlYieldTSDiscount($U$35,Y11172,,Trigger)</f>
        <v>0.58296381267185204</v>
      </c>
    </row>
    <row r="11173" spans="25:26" x14ac:dyDescent="0.25">
      <c r="Y11173" s="63">
        <v>53706</v>
      </c>
      <c r="Z11173" s="61">
        <f>_xll.qlYieldTSDiscount($U$35,Y11173,,Trigger)</f>
        <v>0.58292317162384166</v>
      </c>
    </row>
    <row r="11174" spans="25:26" x14ac:dyDescent="0.25">
      <c r="Y11174" s="63">
        <v>53707</v>
      </c>
      <c r="Z11174" s="61">
        <f>_xll.qlYieldTSDiscount($U$35,Y11174,,Trigger)</f>
        <v>0.5828825345185138</v>
      </c>
    </row>
    <row r="11175" spans="25:26" x14ac:dyDescent="0.25">
      <c r="Y11175" s="63">
        <v>53708</v>
      </c>
      <c r="Z11175" s="61">
        <f>_xll.qlYieldTSDiscount($U$35,Y11175,,Trigger)</f>
        <v>0.58284190135550229</v>
      </c>
    </row>
    <row r="11176" spans="25:26" x14ac:dyDescent="0.25">
      <c r="Y11176" s="63">
        <v>53709</v>
      </c>
      <c r="Z11176" s="61">
        <f>_xll.qlYieldTSDiscount($U$35,Y11176,,Trigger)</f>
        <v>0.58280127213444133</v>
      </c>
    </row>
    <row r="11177" spans="25:26" x14ac:dyDescent="0.25">
      <c r="Y11177" s="63">
        <v>53710</v>
      </c>
      <c r="Z11177" s="61">
        <f>_xll.qlYieldTSDiscount($U$35,Y11177,,Trigger)</f>
        <v>0.58276064685496487</v>
      </c>
    </row>
    <row r="11178" spans="25:26" x14ac:dyDescent="0.25">
      <c r="Y11178" s="63">
        <v>53711</v>
      </c>
      <c r="Z11178" s="61">
        <f>_xll.qlYieldTSDiscount($U$35,Y11178,,Trigger)</f>
        <v>0.58272002551670687</v>
      </c>
    </row>
    <row r="11179" spans="25:26" x14ac:dyDescent="0.25">
      <c r="Y11179" s="63">
        <v>53712</v>
      </c>
      <c r="Z11179" s="61">
        <f>_xll.qlYieldTSDiscount($U$35,Y11179,,Trigger)</f>
        <v>0.58267940811930163</v>
      </c>
    </row>
    <row r="11180" spans="25:26" x14ac:dyDescent="0.25">
      <c r="Y11180" s="63">
        <v>53713</v>
      </c>
      <c r="Z11180" s="61">
        <f>_xll.qlYieldTSDiscount($U$35,Y11180,,Trigger)</f>
        <v>0.58263879466238278</v>
      </c>
    </row>
    <row r="11181" spans="25:26" x14ac:dyDescent="0.25">
      <c r="Y11181" s="63">
        <v>53714</v>
      </c>
      <c r="Z11181" s="61">
        <f>_xll.qlYieldTSDiscount($U$35,Y11181,,Trigger)</f>
        <v>0.58259818514558459</v>
      </c>
    </row>
    <row r="11182" spans="25:26" x14ac:dyDescent="0.25">
      <c r="Y11182" s="63">
        <v>53715</v>
      </c>
      <c r="Z11182" s="61">
        <f>_xll.qlYieldTSDiscount($U$35,Y11182,,Trigger)</f>
        <v>0.58255757956854115</v>
      </c>
    </row>
    <row r="11183" spans="25:26" x14ac:dyDescent="0.25">
      <c r="Y11183" s="63">
        <v>53716</v>
      </c>
      <c r="Z11183" s="61">
        <f>_xll.qlYieldTSDiscount($U$35,Y11183,,Trigger)</f>
        <v>0.58251697793088619</v>
      </c>
    </row>
    <row r="11184" spans="25:26" x14ac:dyDescent="0.25">
      <c r="Y11184" s="63">
        <v>53717</v>
      </c>
      <c r="Z11184" s="61">
        <f>_xll.qlYieldTSDiscount($U$35,Y11184,,Trigger)</f>
        <v>0.58247638023225401</v>
      </c>
    </row>
    <row r="11185" spans="25:26" x14ac:dyDescent="0.25">
      <c r="Y11185" s="63">
        <v>53718</v>
      </c>
      <c r="Z11185" s="61">
        <f>_xll.qlYieldTSDiscount($U$35,Y11185,,Trigger)</f>
        <v>0.58243578647227856</v>
      </c>
    </row>
    <row r="11186" spans="25:26" x14ac:dyDescent="0.25">
      <c r="Y11186" s="63">
        <v>53719</v>
      </c>
      <c r="Z11186" s="61">
        <f>_xll.qlYieldTSDiscount($U$35,Y11186,,Trigger)</f>
        <v>0.58239519665059369</v>
      </c>
    </row>
    <row r="11187" spans="25:26" x14ac:dyDescent="0.25">
      <c r="Y11187" s="63">
        <v>53720</v>
      </c>
      <c r="Z11187" s="61">
        <f>_xll.qlYieldTSDiscount($U$35,Y11187,,Trigger)</f>
        <v>0.58235461076683359</v>
      </c>
    </row>
    <row r="11188" spans="25:26" x14ac:dyDescent="0.25">
      <c r="Y11188" s="63">
        <v>53721</v>
      </c>
      <c r="Z11188" s="61">
        <f>_xll.qlYieldTSDiscount($U$35,Y11188,,Trigger)</f>
        <v>0.58231402882063232</v>
      </c>
    </row>
    <row r="11189" spans="25:26" x14ac:dyDescent="0.25">
      <c r="Y11189" s="63">
        <v>53722</v>
      </c>
      <c r="Z11189" s="61">
        <f>_xll.qlYieldTSDiscount($U$35,Y11189,,Trigger)</f>
        <v>0.58227345081162385</v>
      </c>
    </row>
    <row r="11190" spans="25:26" x14ac:dyDescent="0.25">
      <c r="Y11190" s="63">
        <v>53723</v>
      </c>
      <c r="Z11190" s="61">
        <f>_xll.qlYieldTSDiscount($U$35,Y11190,,Trigger)</f>
        <v>0.58223287673944213</v>
      </c>
    </row>
    <row r="11191" spans="25:26" x14ac:dyDescent="0.25">
      <c r="Y11191" s="63">
        <v>53724</v>
      </c>
      <c r="Z11191" s="61">
        <f>_xll.qlYieldTSDiscount($U$35,Y11191,,Trigger)</f>
        <v>0.58219230660372112</v>
      </c>
    </row>
    <row r="11192" spans="25:26" x14ac:dyDescent="0.25">
      <c r="Y11192" s="63">
        <v>53725</v>
      </c>
      <c r="Z11192" s="61">
        <f>_xll.qlYieldTSDiscount($U$35,Y11192,,Trigger)</f>
        <v>0.58215174040409512</v>
      </c>
    </row>
    <row r="11193" spans="25:26" x14ac:dyDescent="0.25">
      <c r="Y11193" s="63">
        <v>53726</v>
      </c>
      <c r="Z11193" s="61">
        <f>_xll.qlYieldTSDiscount($U$35,Y11193,,Trigger)</f>
        <v>0.58211117814019797</v>
      </c>
    </row>
    <row r="11194" spans="25:26" x14ac:dyDescent="0.25">
      <c r="Y11194" s="63">
        <v>53727</v>
      </c>
      <c r="Z11194" s="61">
        <f>_xll.qlYieldTSDiscount($U$35,Y11194,,Trigger)</f>
        <v>0.58207061981166364</v>
      </c>
    </row>
    <row r="11195" spans="25:26" x14ac:dyDescent="0.25">
      <c r="Y11195" s="63">
        <v>53728</v>
      </c>
      <c r="Z11195" s="61">
        <f>_xll.qlYieldTSDiscount($U$35,Y11195,,Trigger)</f>
        <v>0.5820300654181263</v>
      </c>
    </row>
    <row r="11196" spans="25:26" x14ac:dyDescent="0.25">
      <c r="Y11196" s="63">
        <v>53729</v>
      </c>
      <c r="Z11196" s="61">
        <f>_xll.qlYieldTSDiscount($U$35,Y11196,,Trigger)</f>
        <v>0.5819895149592198</v>
      </c>
    </row>
    <row r="11197" spans="25:26" x14ac:dyDescent="0.25">
      <c r="Y11197" s="63">
        <v>53730</v>
      </c>
      <c r="Z11197" s="61">
        <f>_xll.qlYieldTSDiscount($U$35,Y11197,,Trigger)</f>
        <v>0.58194896843457833</v>
      </c>
    </row>
    <row r="11198" spans="25:26" x14ac:dyDescent="0.25">
      <c r="Y11198" s="63">
        <v>53731</v>
      </c>
      <c r="Z11198" s="61">
        <f>_xll.qlYieldTSDiscount($U$35,Y11198,,Trigger)</f>
        <v>0.58190842584383584</v>
      </c>
    </row>
    <row r="11199" spans="25:26" x14ac:dyDescent="0.25">
      <c r="Y11199" s="63">
        <v>53732</v>
      </c>
      <c r="Z11199" s="61">
        <f>_xll.qlYieldTSDiscount($U$35,Y11199,,Trigger)</f>
        <v>0.5818678871866263</v>
      </c>
    </row>
    <row r="11200" spans="25:26" x14ac:dyDescent="0.25">
      <c r="Y11200" s="63">
        <v>53733</v>
      </c>
      <c r="Z11200" s="61">
        <f>_xll.qlYieldTSDiscount($U$35,Y11200,,Trigger)</f>
        <v>0.58182735246258388</v>
      </c>
    </row>
    <row r="11201" spans="25:26" x14ac:dyDescent="0.25">
      <c r="Y11201" s="63">
        <v>53734</v>
      </c>
      <c r="Z11201" s="61">
        <f>_xll.qlYieldTSDiscount($U$35,Y11201,,Trigger)</f>
        <v>0.58178682167134232</v>
      </c>
    </row>
    <row r="11202" spans="25:26" x14ac:dyDescent="0.25">
      <c r="Y11202" s="63">
        <v>53735</v>
      </c>
      <c r="Z11202" s="61">
        <f>_xll.qlYieldTSDiscount($U$35,Y11202,,Trigger)</f>
        <v>0.58174629481253604</v>
      </c>
    </row>
    <row r="11203" spans="25:26" x14ac:dyDescent="0.25">
      <c r="Y11203" s="63">
        <v>53736</v>
      </c>
      <c r="Z11203" s="61">
        <f>_xll.qlYieldTSDiscount($U$35,Y11203,,Trigger)</f>
        <v>0.58170577188579875</v>
      </c>
    </row>
    <row r="11204" spans="25:26" x14ac:dyDescent="0.25">
      <c r="Y11204" s="63">
        <v>53737</v>
      </c>
      <c r="Z11204" s="61">
        <f>_xll.qlYieldTSDiscount($U$35,Y11204,,Trigger)</f>
        <v>0.58166525289076454</v>
      </c>
    </row>
    <row r="11205" spans="25:26" x14ac:dyDescent="0.25">
      <c r="Y11205" s="63">
        <v>53738</v>
      </c>
      <c r="Z11205" s="61">
        <f>_xll.qlYieldTSDiscount($U$35,Y11205,,Trigger)</f>
        <v>0.58162473782706747</v>
      </c>
    </row>
    <row r="11206" spans="25:26" x14ac:dyDescent="0.25">
      <c r="Y11206" s="63">
        <v>53739</v>
      </c>
      <c r="Z11206" s="61">
        <f>_xll.qlYieldTSDiscount($U$35,Y11206,,Trigger)</f>
        <v>0.58158422669434162</v>
      </c>
    </row>
    <row r="11207" spans="25:26" x14ac:dyDescent="0.25">
      <c r="Y11207" s="63">
        <v>53740</v>
      </c>
      <c r="Z11207" s="61">
        <f>_xll.qlYieldTSDiscount($U$35,Y11207,,Trigger)</f>
        <v>0.58154371949222083</v>
      </c>
    </row>
    <row r="11208" spans="25:26" x14ac:dyDescent="0.25">
      <c r="Y11208" s="63">
        <v>53741</v>
      </c>
      <c r="Z11208" s="61">
        <f>_xll.qlYieldTSDiscount($U$35,Y11208,,Trigger)</f>
        <v>0.58150321622033929</v>
      </c>
    </row>
    <row r="11209" spans="25:26" x14ac:dyDescent="0.25">
      <c r="Y11209" s="63">
        <v>53742</v>
      </c>
      <c r="Z11209" s="61">
        <f>_xll.qlYieldTSDiscount($U$35,Y11209,,Trigger)</f>
        <v>0.58146271687833095</v>
      </c>
    </row>
    <row r="11210" spans="25:26" x14ac:dyDescent="0.25">
      <c r="Y11210" s="63">
        <v>53743</v>
      </c>
      <c r="Z11210" s="61">
        <f>_xll.qlYieldTSDiscount($U$35,Y11210,,Trigger)</f>
        <v>0.58142222146582989</v>
      </c>
    </row>
    <row r="11211" spans="25:26" x14ac:dyDescent="0.25">
      <c r="Y11211" s="63">
        <v>53744</v>
      </c>
      <c r="Z11211" s="61">
        <f>_xll.qlYieldTSDiscount($U$35,Y11211,,Trigger)</f>
        <v>0.58138172998247017</v>
      </c>
    </row>
    <row r="11212" spans="25:26" x14ac:dyDescent="0.25">
      <c r="Y11212" s="63">
        <v>53745</v>
      </c>
      <c r="Z11212" s="61">
        <f>_xll.qlYieldTSDiscount($U$35,Y11212,,Trigger)</f>
        <v>0.58134124242788554</v>
      </c>
    </row>
    <row r="11213" spans="25:26" x14ac:dyDescent="0.25">
      <c r="Y11213" s="63">
        <v>53746</v>
      </c>
      <c r="Z11213" s="61">
        <f>_xll.qlYieldTSDiscount($U$35,Y11213,,Trigger)</f>
        <v>0.58130075880171039</v>
      </c>
    </row>
    <row r="11214" spans="25:26" x14ac:dyDescent="0.25">
      <c r="Y11214" s="63">
        <v>53747</v>
      </c>
      <c r="Z11214" s="61">
        <f>_xll.qlYieldTSDiscount($U$35,Y11214,,Trigger)</f>
        <v>0.58126027910357847</v>
      </c>
    </row>
    <row r="11215" spans="25:26" x14ac:dyDescent="0.25">
      <c r="Y11215" s="63">
        <v>53748</v>
      </c>
      <c r="Z11215" s="61">
        <f>_xll.qlYieldTSDiscount($U$35,Y11215,,Trigger)</f>
        <v>0.58121980333312395</v>
      </c>
    </row>
    <row r="11216" spans="25:26" x14ac:dyDescent="0.25">
      <c r="Y11216" s="63">
        <v>53749</v>
      </c>
      <c r="Z11216" s="61">
        <f>_xll.qlYieldTSDiscount($U$35,Y11216,,Trigger)</f>
        <v>0.5811793314899808</v>
      </c>
    </row>
    <row r="11217" spans="25:26" x14ac:dyDescent="0.25">
      <c r="Y11217" s="63">
        <v>53750</v>
      </c>
      <c r="Z11217" s="61">
        <f>_xll.qlYieldTSDiscount($U$35,Y11217,,Trigger)</f>
        <v>0.58113886357378297</v>
      </c>
    </row>
    <row r="11218" spans="25:26" x14ac:dyDescent="0.25">
      <c r="Y11218" s="63">
        <v>53751</v>
      </c>
      <c r="Z11218" s="61">
        <f>_xll.qlYieldTSDiscount($U$35,Y11218,,Trigger)</f>
        <v>0.58109839958416465</v>
      </c>
    </row>
    <row r="11219" spans="25:26" x14ac:dyDescent="0.25">
      <c r="Y11219" s="63">
        <v>53752</v>
      </c>
      <c r="Z11219" s="61">
        <f>_xll.qlYieldTSDiscount($U$35,Y11219,,Trigger)</f>
        <v>0.58105793952075979</v>
      </c>
    </row>
    <row r="11220" spans="25:26" x14ac:dyDescent="0.25">
      <c r="Y11220" s="63">
        <v>53753</v>
      </c>
      <c r="Z11220" s="61">
        <f>_xll.qlYieldTSDiscount($U$35,Y11220,,Trigger)</f>
        <v>0.58101748338320225</v>
      </c>
    </row>
    <row r="11221" spans="25:26" x14ac:dyDescent="0.25">
      <c r="Y11221" s="63">
        <v>53754</v>
      </c>
      <c r="Z11221" s="61">
        <f>_xll.qlYieldTSDiscount($U$35,Y11221,,Trigger)</f>
        <v>0.58097703117112631</v>
      </c>
    </row>
    <row r="11222" spans="25:26" x14ac:dyDescent="0.25">
      <c r="Y11222" s="63">
        <v>53755</v>
      </c>
      <c r="Z11222" s="61">
        <f>_xll.qlYieldTSDiscount($U$35,Y11222,,Trigger)</f>
        <v>0.58093658288416583</v>
      </c>
    </row>
    <row r="11223" spans="25:26" x14ac:dyDescent="0.25">
      <c r="Y11223" s="63">
        <v>53756</v>
      </c>
      <c r="Z11223" s="61">
        <f>_xll.qlYieldTSDiscount($U$35,Y11223,,Trigger)</f>
        <v>0.58089613852195476</v>
      </c>
    </row>
    <row r="11224" spans="25:26" x14ac:dyDescent="0.25">
      <c r="Y11224" s="63">
        <v>53757</v>
      </c>
      <c r="Z11224" s="61">
        <f>_xll.qlYieldTSDiscount($U$35,Y11224,,Trigger)</f>
        <v>0.5808556980841274</v>
      </c>
    </row>
    <row r="11225" spans="25:26" x14ac:dyDescent="0.25">
      <c r="Y11225" s="63">
        <v>53758</v>
      </c>
      <c r="Z11225" s="61">
        <f>_xll.qlYieldTSDiscount($U$35,Y11225,,Trigger)</f>
        <v>0.5808152615703176</v>
      </c>
    </row>
    <row r="11226" spans="25:26" x14ac:dyDescent="0.25">
      <c r="Y11226" s="63">
        <v>53759</v>
      </c>
      <c r="Z11226" s="61">
        <f>_xll.qlYieldTSDiscount($U$35,Y11226,,Trigger)</f>
        <v>0.58077482898015931</v>
      </c>
    </row>
    <row r="11227" spans="25:26" x14ac:dyDescent="0.25">
      <c r="Y11227" s="63">
        <v>53760</v>
      </c>
      <c r="Z11227" s="61">
        <f>_xll.qlYieldTSDiscount($U$35,Y11227,,Trigger)</f>
        <v>0.58073440031328671</v>
      </c>
    </row>
    <row r="11228" spans="25:26" x14ac:dyDescent="0.25">
      <c r="Y11228" s="63">
        <v>53761</v>
      </c>
      <c r="Z11228" s="61">
        <f>_xll.qlYieldTSDiscount($U$35,Y11228,,Trigger)</f>
        <v>0.58069397556933366</v>
      </c>
    </row>
    <row r="11229" spans="25:26" x14ac:dyDescent="0.25">
      <c r="Y11229" s="63">
        <v>53762</v>
      </c>
      <c r="Z11229" s="61">
        <f>_xll.qlYieldTSDiscount($U$35,Y11229,,Trigger)</f>
        <v>0.58065355474793434</v>
      </c>
    </row>
    <row r="11230" spans="25:26" x14ac:dyDescent="0.25">
      <c r="Y11230" s="63">
        <v>53763</v>
      </c>
      <c r="Z11230" s="61">
        <f>_xll.qlYieldTSDiscount($U$35,Y11230,,Trigger)</f>
        <v>0.5806131378487227</v>
      </c>
    </row>
    <row r="11231" spans="25:26" x14ac:dyDescent="0.25">
      <c r="Y11231" s="63">
        <v>53764</v>
      </c>
      <c r="Z11231" s="61">
        <f>_xll.qlYieldTSDiscount($U$35,Y11231,,Trigger)</f>
        <v>0.5805727248713326</v>
      </c>
    </row>
    <row r="11232" spans="25:26" x14ac:dyDescent="0.25">
      <c r="Y11232" s="63">
        <v>53765</v>
      </c>
      <c r="Z11232" s="61">
        <f>_xll.qlYieldTSDiscount($U$35,Y11232,,Trigger)</f>
        <v>0.58053231581539844</v>
      </c>
    </row>
    <row r="11233" spans="25:26" x14ac:dyDescent="0.25">
      <c r="Y11233" s="63">
        <v>53766</v>
      </c>
      <c r="Z11233" s="61">
        <f>_xll.qlYieldTSDiscount($U$35,Y11233,,Trigger)</f>
        <v>0.58049191068055384</v>
      </c>
    </row>
    <row r="11234" spans="25:26" x14ac:dyDescent="0.25">
      <c r="Y11234" s="63">
        <v>53767</v>
      </c>
      <c r="Z11234" s="61">
        <f>_xll.qlYieldTSDiscount($U$35,Y11234,,Trigger)</f>
        <v>0.5804515094664332</v>
      </c>
    </row>
    <row r="11235" spans="25:26" x14ac:dyDescent="0.25">
      <c r="Y11235" s="63">
        <v>53768</v>
      </c>
      <c r="Z11235" s="61">
        <f>_xll.qlYieldTSDiscount($U$35,Y11235,,Trigger)</f>
        <v>0.58041111217267016</v>
      </c>
    </row>
    <row r="11236" spans="25:26" x14ac:dyDescent="0.25">
      <c r="Y11236" s="63">
        <v>53769</v>
      </c>
      <c r="Z11236" s="61">
        <f>_xll.qlYieldTSDiscount($U$35,Y11236,,Trigger)</f>
        <v>0.58037071879889901</v>
      </c>
    </row>
    <row r="11237" spans="25:26" x14ac:dyDescent="0.25">
      <c r="Y11237" s="63">
        <v>53770</v>
      </c>
      <c r="Z11237" s="61">
        <f>_xll.qlYieldTSDiscount($U$35,Y11237,,Trigger)</f>
        <v>0.5803303293447537</v>
      </c>
    </row>
    <row r="11238" spans="25:26" x14ac:dyDescent="0.25">
      <c r="Y11238" s="63">
        <v>53771</v>
      </c>
      <c r="Z11238" s="61">
        <f>_xll.qlYieldTSDiscount($U$35,Y11238,,Trigger)</f>
        <v>0.5802899438098682</v>
      </c>
    </row>
    <row r="11239" spans="25:26" x14ac:dyDescent="0.25">
      <c r="Y11239" s="63">
        <v>53772</v>
      </c>
      <c r="Z11239" s="61">
        <f>_xll.qlYieldTSDiscount($U$35,Y11239,,Trigger)</f>
        <v>0.58024956219387669</v>
      </c>
    </row>
    <row r="11240" spans="25:26" x14ac:dyDescent="0.25">
      <c r="Y11240" s="63">
        <v>53773</v>
      </c>
      <c r="Z11240" s="61">
        <f>_xll.qlYieldTSDiscount($U$35,Y11240,,Trigger)</f>
        <v>0.58020918449641301</v>
      </c>
    </row>
    <row r="11241" spans="25:26" x14ac:dyDescent="0.25">
      <c r="Y11241" s="63">
        <v>53774</v>
      </c>
      <c r="Z11241" s="61">
        <f>_xll.qlYieldTSDiscount($U$35,Y11241,,Trigger)</f>
        <v>0.58016881071711113</v>
      </c>
    </row>
    <row r="11242" spans="25:26" x14ac:dyDescent="0.25">
      <c r="Y11242" s="63">
        <v>53775</v>
      </c>
      <c r="Z11242" s="61">
        <f>_xll.qlYieldTSDiscount($U$35,Y11242,,Trigger)</f>
        <v>0.58012844085560533</v>
      </c>
    </row>
    <row r="11243" spans="25:26" x14ac:dyDescent="0.25">
      <c r="Y11243" s="63">
        <v>53776</v>
      </c>
      <c r="Z11243" s="61">
        <f>_xll.qlYieldTSDiscount($U$35,Y11243,,Trigger)</f>
        <v>0.58008807491152947</v>
      </c>
    </row>
    <row r="11244" spans="25:26" x14ac:dyDescent="0.25">
      <c r="Y11244" s="63">
        <v>53777</v>
      </c>
      <c r="Z11244" s="61">
        <f>_xll.qlYieldTSDiscount($U$35,Y11244,,Trigger)</f>
        <v>0.58004771288451751</v>
      </c>
    </row>
    <row r="11245" spans="25:26" x14ac:dyDescent="0.25">
      <c r="Y11245" s="63">
        <v>53778</v>
      </c>
      <c r="Z11245" s="61">
        <f>_xll.qlYieldTSDiscount($U$35,Y11245,,Trigger)</f>
        <v>0.58000735477420373</v>
      </c>
    </row>
    <row r="11246" spans="25:26" x14ac:dyDescent="0.25">
      <c r="Y11246" s="63">
        <v>53779</v>
      </c>
      <c r="Z11246" s="61">
        <f>_xll.qlYieldTSDiscount($U$35,Y11246,,Trigger)</f>
        <v>0.57996700058022177</v>
      </c>
    </row>
    <row r="11247" spans="25:26" x14ac:dyDescent="0.25">
      <c r="Y11247" s="63">
        <v>53780</v>
      </c>
      <c r="Z11247" s="61">
        <f>_xll.qlYieldTSDiscount($U$35,Y11247,,Trigger)</f>
        <v>0.57992665030220603</v>
      </c>
    </row>
    <row r="11248" spans="25:26" x14ac:dyDescent="0.25">
      <c r="Y11248" s="63">
        <v>53781</v>
      </c>
      <c r="Z11248" s="61">
        <f>_xll.qlYieldTSDiscount($U$35,Y11248,,Trigger)</f>
        <v>0.57988630393979024</v>
      </c>
    </row>
    <row r="11249" spans="25:26" x14ac:dyDescent="0.25">
      <c r="Y11249" s="63">
        <v>53782</v>
      </c>
      <c r="Z11249" s="61">
        <f>_xll.qlYieldTSDiscount($U$35,Y11249,,Trigger)</f>
        <v>0.57984596149260859</v>
      </c>
    </row>
    <row r="11250" spans="25:26" x14ac:dyDescent="0.25">
      <c r="Y11250" s="63">
        <v>53783</v>
      </c>
      <c r="Z11250" s="61">
        <f>_xll.qlYieldTSDiscount($U$35,Y11250,,Trigger)</f>
        <v>0.57980562296029514</v>
      </c>
    </row>
    <row r="11251" spans="25:26" x14ac:dyDescent="0.25">
      <c r="Y11251" s="63">
        <v>53784</v>
      </c>
      <c r="Z11251" s="61">
        <f>_xll.qlYieldTSDiscount($U$35,Y11251,,Trigger)</f>
        <v>0.57976528834248375</v>
      </c>
    </row>
    <row r="11252" spans="25:26" x14ac:dyDescent="0.25">
      <c r="Y11252" s="63">
        <v>53785</v>
      </c>
      <c r="Z11252" s="61">
        <f>_xll.qlYieldTSDiscount($U$35,Y11252,,Trigger)</f>
        <v>0.57972495763880849</v>
      </c>
    </row>
    <row r="11253" spans="25:26" x14ac:dyDescent="0.25">
      <c r="Y11253" s="63">
        <v>53786</v>
      </c>
      <c r="Z11253" s="61">
        <f>_xll.qlYieldTSDiscount($U$35,Y11253,,Trigger)</f>
        <v>0.57968463084890343</v>
      </c>
    </row>
    <row r="11254" spans="25:26" x14ac:dyDescent="0.25">
      <c r="Y11254" s="63">
        <v>53787</v>
      </c>
      <c r="Z11254" s="61">
        <f>_xll.qlYieldTSDiscount($U$35,Y11254,,Trigger)</f>
        <v>0.57964430797240252</v>
      </c>
    </row>
    <row r="11255" spans="25:26" x14ac:dyDescent="0.25">
      <c r="Y11255" s="63">
        <v>53788</v>
      </c>
      <c r="Z11255" s="61">
        <f>_xll.qlYieldTSDiscount($U$35,Y11255,,Trigger)</f>
        <v>0.57960398900893995</v>
      </c>
    </row>
    <row r="11256" spans="25:26" x14ac:dyDescent="0.25">
      <c r="Y11256" s="63">
        <v>53789</v>
      </c>
      <c r="Z11256" s="61">
        <f>_xll.qlYieldTSDiscount($U$35,Y11256,,Trigger)</f>
        <v>0.57956367395814956</v>
      </c>
    </row>
    <row r="11257" spans="25:26" x14ac:dyDescent="0.25">
      <c r="Y11257" s="63">
        <v>53790</v>
      </c>
      <c r="Z11257" s="61">
        <f>_xll.qlYieldTSDiscount($U$35,Y11257,,Trigger)</f>
        <v>0.57952336281966543</v>
      </c>
    </row>
    <row r="11258" spans="25:26" x14ac:dyDescent="0.25">
      <c r="Y11258" s="63">
        <v>53791</v>
      </c>
      <c r="Z11258" s="61">
        <f>_xll.qlYieldTSDiscount($U$35,Y11258,,Trigger)</f>
        <v>0.57948305559312163</v>
      </c>
    </row>
    <row r="11259" spans="25:26" x14ac:dyDescent="0.25">
      <c r="Y11259" s="63">
        <v>53792</v>
      </c>
      <c r="Z11259" s="61">
        <f>_xll.qlYieldTSDiscount($U$35,Y11259,,Trigger)</f>
        <v>0.57944275227815212</v>
      </c>
    </row>
    <row r="11260" spans="25:26" x14ac:dyDescent="0.25">
      <c r="Y11260" s="63">
        <v>53793</v>
      </c>
      <c r="Z11260" s="61">
        <f>_xll.qlYieldTSDiscount($U$35,Y11260,,Trigger)</f>
        <v>0.57940245287439085</v>
      </c>
    </row>
    <row r="11261" spans="25:26" x14ac:dyDescent="0.25">
      <c r="Y11261" s="63">
        <v>53794</v>
      </c>
      <c r="Z11261" s="61">
        <f>_xll.qlYieldTSDiscount($U$35,Y11261,,Trigger)</f>
        <v>0.57936215738147201</v>
      </c>
    </row>
    <row r="11262" spans="25:26" x14ac:dyDescent="0.25">
      <c r="Y11262" s="63">
        <v>53795</v>
      </c>
      <c r="Z11262" s="61">
        <f>_xll.qlYieldTSDiscount($U$35,Y11262,,Trigger)</f>
        <v>0.57932186579902956</v>
      </c>
    </row>
    <row r="11263" spans="25:26" x14ac:dyDescent="0.25">
      <c r="Y11263" s="63">
        <v>53796</v>
      </c>
      <c r="Z11263" s="61">
        <f>_xll.qlYieldTSDiscount($U$35,Y11263,,Trigger)</f>
        <v>0.57928157812669756</v>
      </c>
    </row>
    <row r="11264" spans="25:26" x14ac:dyDescent="0.25">
      <c r="Y11264" s="63">
        <v>53797</v>
      </c>
      <c r="Z11264" s="61">
        <f>_xll.qlYieldTSDiscount($U$35,Y11264,,Trigger)</f>
        <v>0.57924129436410998</v>
      </c>
    </row>
    <row r="11265" spans="25:26" x14ac:dyDescent="0.25">
      <c r="Y11265" s="63">
        <v>53798</v>
      </c>
      <c r="Z11265" s="61">
        <f>_xll.qlYieldTSDiscount($U$35,Y11265,,Trigger)</f>
        <v>0.57920101451090067</v>
      </c>
    </row>
    <row r="11266" spans="25:26" x14ac:dyDescent="0.25">
      <c r="Y11266" s="63">
        <v>53799</v>
      </c>
      <c r="Z11266" s="61">
        <f>_xll.qlYieldTSDiscount($U$35,Y11266,,Trigger)</f>
        <v>0.57916073856670403</v>
      </c>
    </row>
    <row r="11267" spans="25:26" x14ac:dyDescent="0.25">
      <c r="Y11267" s="63">
        <v>53800</v>
      </c>
      <c r="Z11267" s="61">
        <f>_xll.qlYieldTSDiscount($U$35,Y11267,,Trigger)</f>
        <v>0.57912046653115379</v>
      </c>
    </row>
    <row r="11268" spans="25:26" x14ac:dyDescent="0.25">
      <c r="Y11268" s="63">
        <v>53801</v>
      </c>
      <c r="Z11268" s="61">
        <f>_xll.qlYieldTSDiscount($U$35,Y11268,,Trigger)</f>
        <v>0.57908019840388403</v>
      </c>
    </row>
    <row r="11269" spans="25:26" x14ac:dyDescent="0.25">
      <c r="Y11269" s="63">
        <v>53802</v>
      </c>
      <c r="Z11269" s="61">
        <f>_xll.qlYieldTSDiscount($U$35,Y11269,,Trigger)</f>
        <v>0.57903993418452882</v>
      </c>
    </row>
    <row r="11270" spans="25:26" x14ac:dyDescent="0.25">
      <c r="Y11270" s="63">
        <v>53803</v>
      </c>
      <c r="Z11270" s="61">
        <f>_xll.qlYieldTSDiscount($U$35,Y11270,,Trigger)</f>
        <v>0.57899967387272222</v>
      </c>
    </row>
    <row r="11271" spans="25:26" x14ac:dyDescent="0.25">
      <c r="Y11271" s="63">
        <v>53804</v>
      </c>
      <c r="Z11271" s="61">
        <f>_xll.qlYieldTSDiscount($U$35,Y11271,,Trigger)</f>
        <v>0.57895941746809809</v>
      </c>
    </row>
    <row r="11272" spans="25:26" x14ac:dyDescent="0.25">
      <c r="Y11272" s="63">
        <v>53805</v>
      </c>
      <c r="Z11272" s="61">
        <f>_xll.qlYieldTSDiscount($U$35,Y11272,,Trigger)</f>
        <v>0.57891916497029072</v>
      </c>
    </row>
    <row r="11273" spans="25:26" x14ac:dyDescent="0.25">
      <c r="Y11273" s="63">
        <v>53806</v>
      </c>
      <c r="Z11273" s="61">
        <f>_xll.qlYieldTSDiscount($U$35,Y11273,,Trigger)</f>
        <v>0.57887891637893374</v>
      </c>
    </row>
    <row r="11274" spans="25:26" x14ac:dyDescent="0.25">
      <c r="Y11274" s="63">
        <v>53807</v>
      </c>
      <c r="Z11274" s="61">
        <f>_xll.qlYieldTSDiscount($U$35,Y11274,,Trigger)</f>
        <v>0.57883867169366154</v>
      </c>
    </row>
    <row r="11275" spans="25:26" x14ac:dyDescent="0.25">
      <c r="Y11275" s="63">
        <v>53808</v>
      </c>
      <c r="Z11275" s="61">
        <f>_xll.qlYieldTSDiscount($U$35,Y11275,,Trigger)</f>
        <v>0.5787984309141081</v>
      </c>
    </row>
    <row r="11276" spans="25:26" x14ac:dyDescent="0.25">
      <c r="Y11276" s="63">
        <v>53809</v>
      </c>
      <c r="Z11276" s="61">
        <f>_xll.qlYieldTSDiscount($U$35,Y11276,,Trigger)</f>
        <v>0.57875819403990714</v>
      </c>
    </row>
    <row r="11277" spans="25:26" x14ac:dyDescent="0.25">
      <c r="Y11277" s="63">
        <v>53810</v>
      </c>
      <c r="Z11277" s="61">
        <f>_xll.qlYieldTSDiscount($U$35,Y11277,,Trigger)</f>
        <v>0.57871796107069295</v>
      </c>
    </row>
    <row r="11278" spans="25:26" x14ac:dyDescent="0.25">
      <c r="Y11278" s="63">
        <v>53811</v>
      </c>
      <c r="Z11278" s="61">
        <f>_xll.qlYieldTSDiscount($U$35,Y11278,,Trigger)</f>
        <v>0.57867773200609951</v>
      </c>
    </row>
    <row r="11279" spans="25:26" x14ac:dyDescent="0.25">
      <c r="Y11279" s="63">
        <v>53812</v>
      </c>
      <c r="Z11279" s="61">
        <f>_xll.qlYieldTSDiscount($U$35,Y11279,,Trigger)</f>
        <v>0.57863750684576087</v>
      </c>
    </row>
    <row r="11280" spans="25:26" x14ac:dyDescent="0.25">
      <c r="Y11280" s="63">
        <v>53813</v>
      </c>
      <c r="Z11280" s="61">
        <f>_xll.qlYieldTSDiscount($U$35,Y11280,,Trigger)</f>
        <v>0.57859728558931089</v>
      </c>
    </row>
    <row r="11281" spans="25:26" x14ac:dyDescent="0.25">
      <c r="Y11281" s="63">
        <v>53814</v>
      </c>
      <c r="Z11281" s="61">
        <f>_xll.qlYieldTSDiscount($U$35,Y11281,,Trigger)</f>
        <v>0.57855706823638375</v>
      </c>
    </row>
    <row r="11282" spans="25:26" x14ac:dyDescent="0.25">
      <c r="Y11282" s="63">
        <v>53815</v>
      </c>
      <c r="Z11282" s="61">
        <f>_xll.qlYieldTSDiscount($U$35,Y11282,,Trigger)</f>
        <v>0.57851685478661352</v>
      </c>
    </row>
    <row r="11283" spans="25:26" x14ac:dyDescent="0.25">
      <c r="Y11283" s="63">
        <v>53816</v>
      </c>
      <c r="Z11283" s="61">
        <f>_xll.qlYieldTSDiscount($U$35,Y11283,,Trigger)</f>
        <v>0.57847664523963394</v>
      </c>
    </row>
    <row r="11284" spans="25:26" x14ac:dyDescent="0.25">
      <c r="Y11284" s="63">
        <v>53817</v>
      </c>
      <c r="Z11284" s="61">
        <f>_xll.qlYieldTSDiscount($U$35,Y11284,,Trigger)</f>
        <v>0.5784364395950794</v>
      </c>
    </row>
    <row r="11285" spans="25:26" x14ac:dyDescent="0.25">
      <c r="Y11285" s="63">
        <v>53818</v>
      </c>
      <c r="Z11285" s="61">
        <f>_xll.qlYieldTSDiscount($U$35,Y11285,,Trigger)</f>
        <v>0.57839623785258365</v>
      </c>
    </row>
    <row r="11286" spans="25:26" x14ac:dyDescent="0.25">
      <c r="Y11286" s="63">
        <v>53819</v>
      </c>
      <c r="Z11286" s="61">
        <f>_xll.qlYieldTSDiscount($U$35,Y11286,,Trigger)</f>
        <v>0.57835604001178076</v>
      </c>
    </row>
    <row r="11287" spans="25:26" x14ac:dyDescent="0.25">
      <c r="Y11287" s="63">
        <v>53820</v>
      </c>
      <c r="Z11287" s="61">
        <f>_xll.qlYieldTSDiscount($U$35,Y11287,,Trigger)</f>
        <v>0.57831584607230491</v>
      </c>
    </row>
    <row r="11288" spans="25:26" x14ac:dyDescent="0.25">
      <c r="Y11288" s="63">
        <v>53821</v>
      </c>
      <c r="Z11288" s="61">
        <f>_xll.qlYieldTSDiscount($U$35,Y11288,,Trigger)</f>
        <v>0.57827565603378994</v>
      </c>
    </row>
    <row r="11289" spans="25:26" x14ac:dyDescent="0.25">
      <c r="Y11289" s="63">
        <v>53822</v>
      </c>
      <c r="Z11289" s="61">
        <f>_xll.qlYieldTSDiscount($U$35,Y11289,,Trigger)</f>
        <v>0.57823546989586994</v>
      </c>
    </row>
    <row r="11290" spans="25:26" x14ac:dyDescent="0.25">
      <c r="Y11290" s="63">
        <v>53823</v>
      </c>
      <c r="Z11290" s="61">
        <f>_xll.qlYieldTSDiscount($U$35,Y11290,,Trigger)</f>
        <v>0.57819528765817896</v>
      </c>
    </row>
    <row r="11291" spans="25:26" x14ac:dyDescent="0.25">
      <c r="Y11291" s="63">
        <v>53824</v>
      </c>
      <c r="Z11291" s="61">
        <f>_xll.qlYieldTSDiscount($U$35,Y11291,,Trigger)</f>
        <v>0.57815510932035086</v>
      </c>
    </row>
    <row r="11292" spans="25:26" x14ac:dyDescent="0.25">
      <c r="Y11292" s="63">
        <v>53825</v>
      </c>
      <c r="Z11292" s="61">
        <f>_xll.qlYieldTSDiscount($U$35,Y11292,,Trigger)</f>
        <v>0.57811493488201993</v>
      </c>
    </row>
    <row r="11293" spans="25:26" x14ac:dyDescent="0.25">
      <c r="Y11293" s="63">
        <v>53826</v>
      </c>
      <c r="Z11293" s="61">
        <f>_xll.qlYieldTSDiscount($U$35,Y11293,,Trigger)</f>
        <v>0.57807476434282001</v>
      </c>
    </row>
    <row r="11294" spans="25:26" x14ac:dyDescent="0.25">
      <c r="Y11294" s="63">
        <v>53827</v>
      </c>
      <c r="Z11294" s="61">
        <f>_xll.qlYieldTSDiscount($U$35,Y11294,,Trigger)</f>
        <v>0.57803459770238519</v>
      </c>
    </row>
    <row r="11295" spans="25:26" x14ac:dyDescent="0.25">
      <c r="Y11295" s="63">
        <v>53828</v>
      </c>
      <c r="Z11295" s="61">
        <f>_xll.qlYieldTSDiscount($U$35,Y11295,,Trigger)</f>
        <v>0.57799443496034941</v>
      </c>
    </row>
    <row r="11296" spans="25:26" x14ac:dyDescent="0.25">
      <c r="Y11296" s="63">
        <v>53829</v>
      </c>
      <c r="Z11296" s="61">
        <f>_xll.qlYieldTSDiscount($U$35,Y11296,,Trigger)</f>
        <v>0.57795427611634687</v>
      </c>
    </row>
    <row r="11297" spans="25:26" x14ac:dyDescent="0.25">
      <c r="Y11297" s="63">
        <v>53830</v>
      </c>
      <c r="Z11297" s="61">
        <f>_xll.qlYieldTSDiscount($U$35,Y11297,,Trigger)</f>
        <v>0.5779141211700114</v>
      </c>
    </row>
    <row r="11298" spans="25:26" x14ac:dyDescent="0.25">
      <c r="Y11298" s="63">
        <v>53831</v>
      </c>
      <c r="Z11298" s="61">
        <f>_xll.qlYieldTSDiscount($U$35,Y11298,,Trigger)</f>
        <v>0.57787397012097708</v>
      </c>
    </row>
    <row r="11299" spans="25:26" x14ac:dyDescent="0.25">
      <c r="Y11299" s="63">
        <v>53832</v>
      </c>
      <c r="Z11299" s="61">
        <f>_xll.qlYieldTSDiscount($U$35,Y11299,,Trigger)</f>
        <v>0.57783382296887786</v>
      </c>
    </row>
    <row r="11300" spans="25:26" x14ac:dyDescent="0.25">
      <c r="Y11300" s="63">
        <v>53833</v>
      </c>
      <c r="Z11300" s="61">
        <f>_xll.qlYieldTSDiscount($U$35,Y11300,,Trigger)</f>
        <v>0.57779367971334805</v>
      </c>
    </row>
    <row r="11301" spans="25:26" x14ac:dyDescent="0.25">
      <c r="Y11301" s="63">
        <v>53834</v>
      </c>
      <c r="Z11301" s="61">
        <f>_xll.qlYieldTSDiscount($U$35,Y11301,,Trigger)</f>
        <v>0.57775354035402138</v>
      </c>
    </row>
    <row r="11302" spans="25:26" x14ac:dyDescent="0.25">
      <c r="Y11302" s="63">
        <v>53835</v>
      </c>
      <c r="Z11302" s="61">
        <f>_xll.qlYieldTSDiscount($U$35,Y11302,,Trigger)</f>
        <v>0.57771340489053191</v>
      </c>
    </row>
    <row r="11303" spans="25:26" x14ac:dyDescent="0.25">
      <c r="Y11303" s="63">
        <v>53836</v>
      </c>
      <c r="Z11303" s="61">
        <f>_xll.qlYieldTSDiscount($U$35,Y11303,,Trigger)</f>
        <v>0.57767327332251373</v>
      </c>
    </row>
    <row r="11304" spans="25:26" x14ac:dyDescent="0.25">
      <c r="Y11304" s="63">
        <v>53837</v>
      </c>
      <c r="Z11304" s="61">
        <f>_xll.qlYieldTSDiscount($U$35,Y11304,,Trigger)</f>
        <v>0.57763314564960089</v>
      </c>
    </row>
    <row r="11305" spans="25:26" x14ac:dyDescent="0.25">
      <c r="Y11305" s="63">
        <v>53838</v>
      </c>
      <c r="Z11305" s="61">
        <f>_xll.qlYieldTSDiscount($U$35,Y11305,,Trigger)</f>
        <v>0.57759302187142736</v>
      </c>
    </row>
    <row r="11306" spans="25:26" x14ac:dyDescent="0.25">
      <c r="Y11306" s="63">
        <v>53839</v>
      </c>
      <c r="Z11306" s="61">
        <f>_xll.qlYieldTSDiscount($U$35,Y11306,,Trigger)</f>
        <v>0.5775529019876271</v>
      </c>
    </row>
    <row r="11307" spans="25:26" x14ac:dyDescent="0.25">
      <c r="Y11307" s="63">
        <v>53840</v>
      </c>
      <c r="Z11307" s="61">
        <f>_xll.qlYieldTSDiscount($U$35,Y11307,,Trigger)</f>
        <v>0.57751278599783429</v>
      </c>
    </row>
    <row r="11308" spans="25:26" x14ac:dyDescent="0.25">
      <c r="Y11308" s="63">
        <v>53841</v>
      </c>
      <c r="Z11308" s="61">
        <f>_xll.qlYieldTSDiscount($U$35,Y11308,,Trigger)</f>
        <v>0.57747267390168278</v>
      </c>
    </row>
    <row r="11309" spans="25:26" x14ac:dyDescent="0.25">
      <c r="Y11309" s="63">
        <v>53842</v>
      </c>
      <c r="Z11309" s="61">
        <f>_xll.qlYieldTSDiscount($U$35,Y11309,,Trigger)</f>
        <v>0.57743256569880674</v>
      </c>
    </row>
    <row r="11310" spans="25:26" x14ac:dyDescent="0.25">
      <c r="Y11310" s="63">
        <v>53843</v>
      </c>
      <c r="Z11310" s="61">
        <f>_xll.qlYieldTSDiscount($U$35,Y11310,,Trigger)</f>
        <v>0.57739246138884015</v>
      </c>
    </row>
    <row r="11311" spans="25:26" x14ac:dyDescent="0.25">
      <c r="Y11311" s="63">
        <v>53844</v>
      </c>
      <c r="Z11311" s="61">
        <f>_xll.qlYieldTSDiscount($U$35,Y11311,,Trigger)</f>
        <v>0.57735236097141696</v>
      </c>
    </row>
    <row r="11312" spans="25:26" x14ac:dyDescent="0.25">
      <c r="Y11312" s="63">
        <v>53845</v>
      </c>
      <c r="Z11312" s="61">
        <f>_xll.qlYieldTSDiscount($U$35,Y11312,,Trigger)</f>
        <v>0.57731226444617123</v>
      </c>
    </row>
    <row r="11313" spans="25:26" x14ac:dyDescent="0.25">
      <c r="Y11313" s="63">
        <v>53846</v>
      </c>
      <c r="Z11313" s="61">
        <f>_xll.qlYieldTSDiscount($U$35,Y11313,,Trigger)</f>
        <v>0.57727217181273693</v>
      </c>
    </row>
    <row r="11314" spans="25:26" x14ac:dyDescent="0.25">
      <c r="Y11314" s="63">
        <v>53847</v>
      </c>
      <c r="Z11314" s="61">
        <f>_xll.qlYieldTSDiscount($U$35,Y11314,,Trigger)</f>
        <v>0.57723208307074825</v>
      </c>
    </row>
    <row r="11315" spans="25:26" x14ac:dyDescent="0.25">
      <c r="Y11315" s="63">
        <v>53848</v>
      </c>
      <c r="Z11315" s="61">
        <f>_xll.qlYieldTSDiscount($U$35,Y11315,,Trigger)</f>
        <v>0.57719199821983913</v>
      </c>
    </row>
    <row r="11316" spans="25:26" x14ac:dyDescent="0.25">
      <c r="Y11316" s="63">
        <v>53849</v>
      </c>
      <c r="Z11316" s="61">
        <f>_xll.qlYieldTSDiscount($U$35,Y11316,,Trigger)</f>
        <v>0.57715191725964354</v>
      </c>
    </row>
    <row r="11317" spans="25:26" x14ac:dyDescent="0.25">
      <c r="Y11317" s="63">
        <v>53850</v>
      </c>
      <c r="Z11317" s="61">
        <f>_xll.qlYieldTSDiscount($U$35,Y11317,,Trigger)</f>
        <v>0.57711184018979544</v>
      </c>
    </row>
    <row r="11318" spans="25:26" x14ac:dyDescent="0.25">
      <c r="Y11318" s="63">
        <v>53851</v>
      </c>
      <c r="Z11318" s="61">
        <f>_xll.qlYieldTSDiscount($U$35,Y11318,,Trigger)</f>
        <v>0.57707176700992902</v>
      </c>
    </row>
    <row r="11319" spans="25:26" x14ac:dyDescent="0.25">
      <c r="Y11319" s="63">
        <v>53852</v>
      </c>
      <c r="Z11319" s="61">
        <f>_xll.qlYieldTSDiscount($U$35,Y11319,,Trigger)</f>
        <v>0.57703169771967822</v>
      </c>
    </row>
    <row r="11320" spans="25:26" x14ac:dyDescent="0.25">
      <c r="Y11320" s="63">
        <v>53853</v>
      </c>
      <c r="Z11320" s="61">
        <f>_xll.qlYieldTSDiscount($U$35,Y11320,,Trigger)</f>
        <v>0.57699163231867712</v>
      </c>
    </row>
    <row r="11321" spans="25:26" x14ac:dyDescent="0.25">
      <c r="Y11321" s="63">
        <v>53854</v>
      </c>
      <c r="Z11321" s="61">
        <f>_xll.qlYieldTSDiscount($U$35,Y11321,,Trigger)</f>
        <v>0.57695157080655957</v>
      </c>
    </row>
    <row r="11322" spans="25:26" x14ac:dyDescent="0.25">
      <c r="Y11322" s="63">
        <v>53855</v>
      </c>
      <c r="Z11322" s="61">
        <f>_xll.qlYieldTSDiscount($U$35,Y11322,,Trigger)</f>
        <v>0.57691151318295975</v>
      </c>
    </row>
    <row r="11323" spans="25:26" x14ac:dyDescent="0.25">
      <c r="Y11323" s="63">
        <v>53856</v>
      </c>
      <c r="Z11323" s="61">
        <f>_xll.qlYieldTSDiscount($U$35,Y11323,,Trigger)</f>
        <v>0.57687145944751161</v>
      </c>
    </row>
    <row r="11324" spans="25:26" x14ac:dyDescent="0.25">
      <c r="Y11324" s="63">
        <v>53857</v>
      </c>
      <c r="Z11324" s="61">
        <f>_xll.qlYieldTSDiscount($U$35,Y11324,,Trigger)</f>
        <v>0.57683140959984924</v>
      </c>
    </row>
    <row r="11325" spans="25:26" x14ac:dyDescent="0.25">
      <c r="Y11325" s="63">
        <v>53858</v>
      </c>
      <c r="Z11325" s="61">
        <f>_xll.qlYieldTSDiscount($U$35,Y11325,,Trigger)</f>
        <v>0.5767913636396067</v>
      </c>
    </row>
    <row r="11326" spans="25:26" x14ac:dyDescent="0.25">
      <c r="Y11326" s="63">
        <v>53859</v>
      </c>
      <c r="Z11326" s="61">
        <f>_xll.qlYieldTSDiscount($U$35,Y11326,,Trigger)</f>
        <v>0.57675132156641784</v>
      </c>
    </row>
    <row r="11327" spans="25:26" x14ac:dyDescent="0.25">
      <c r="Y11327" s="63">
        <v>53860</v>
      </c>
      <c r="Z11327" s="61">
        <f>_xll.qlYieldTSDiscount($U$35,Y11327,,Trigger)</f>
        <v>0.57671128337991684</v>
      </c>
    </row>
    <row r="11328" spans="25:26" x14ac:dyDescent="0.25">
      <c r="Y11328" s="63">
        <v>53861</v>
      </c>
      <c r="Z11328" s="61">
        <f>_xll.qlYieldTSDiscount($U$35,Y11328,,Trigger)</f>
        <v>0.57667124907973755</v>
      </c>
    </row>
    <row r="11329" spans="25:26" x14ac:dyDescent="0.25">
      <c r="Y11329" s="63">
        <v>53862</v>
      </c>
      <c r="Z11329" s="61">
        <f>_xll.qlYieldTSDiscount($U$35,Y11329,,Trigger)</f>
        <v>0.57663121866551426</v>
      </c>
    </row>
    <row r="11330" spans="25:26" x14ac:dyDescent="0.25">
      <c r="Y11330" s="63">
        <v>53863</v>
      </c>
      <c r="Z11330" s="61">
        <f>_xll.qlYieldTSDiscount($U$35,Y11330,,Trigger)</f>
        <v>0.5765911921368807</v>
      </c>
    </row>
    <row r="11331" spans="25:26" x14ac:dyDescent="0.25">
      <c r="Y11331" s="63">
        <v>53864</v>
      </c>
      <c r="Z11331" s="61">
        <f>_xll.qlYieldTSDiscount($U$35,Y11331,,Trigger)</f>
        <v>0.57655116949347107</v>
      </c>
    </row>
    <row r="11332" spans="25:26" x14ac:dyDescent="0.25">
      <c r="Y11332" s="63">
        <v>53865</v>
      </c>
      <c r="Z11332" s="61">
        <f>_xll.qlYieldTSDiscount($U$35,Y11332,,Trigger)</f>
        <v>0.57651115073491943</v>
      </c>
    </row>
    <row r="11333" spans="25:26" x14ac:dyDescent="0.25">
      <c r="Y11333" s="63">
        <v>53866</v>
      </c>
      <c r="Z11333" s="61">
        <f>_xll.qlYieldTSDiscount($U$35,Y11333,,Trigger)</f>
        <v>0.57647113586085963</v>
      </c>
    </row>
    <row r="11334" spans="25:26" x14ac:dyDescent="0.25">
      <c r="Y11334" s="63">
        <v>53867</v>
      </c>
      <c r="Z11334" s="61">
        <f>_xll.qlYieldTSDiscount($U$35,Y11334,,Trigger)</f>
        <v>0.57643112487092574</v>
      </c>
    </row>
    <row r="11335" spans="25:26" x14ac:dyDescent="0.25">
      <c r="Y11335" s="63">
        <v>53868</v>
      </c>
      <c r="Z11335" s="61">
        <f>_xll.qlYieldTSDiscount($U$35,Y11335,,Trigger)</f>
        <v>0.57639111776475194</v>
      </c>
    </row>
    <row r="11336" spans="25:26" x14ac:dyDescent="0.25">
      <c r="Y11336" s="63">
        <v>53869</v>
      </c>
      <c r="Z11336" s="61">
        <f>_xll.qlYieldTSDiscount($U$35,Y11336,,Trigger)</f>
        <v>0.57635111454197208</v>
      </c>
    </row>
    <row r="11337" spans="25:26" x14ac:dyDescent="0.25">
      <c r="Y11337" s="63">
        <v>53870</v>
      </c>
      <c r="Z11337" s="61">
        <f>_xll.qlYieldTSDiscount($U$35,Y11337,,Trigger)</f>
        <v>0.57631111520222023</v>
      </c>
    </row>
    <row r="11338" spans="25:26" x14ac:dyDescent="0.25">
      <c r="Y11338" s="63">
        <v>53871</v>
      </c>
      <c r="Z11338" s="61">
        <f>_xll.qlYieldTSDiscount($U$35,Y11338,,Trigger)</f>
        <v>0.57627111974513046</v>
      </c>
    </row>
    <row r="11339" spans="25:26" x14ac:dyDescent="0.25">
      <c r="Y11339" s="63">
        <v>53872</v>
      </c>
      <c r="Z11339" s="61">
        <f>_xll.qlYieldTSDiscount($U$35,Y11339,,Trigger)</f>
        <v>0.57623112817033662</v>
      </c>
    </row>
    <row r="11340" spans="25:26" x14ac:dyDescent="0.25">
      <c r="Y11340" s="63">
        <v>53873</v>
      </c>
      <c r="Z11340" s="61">
        <f>_xll.qlYieldTSDiscount($U$35,Y11340,,Trigger)</f>
        <v>0.576191140477473</v>
      </c>
    </row>
    <row r="11341" spans="25:26" x14ac:dyDescent="0.25">
      <c r="Y11341" s="63">
        <v>53874</v>
      </c>
      <c r="Z11341" s="61">
        <f>_xll.qlYieldTSDiscount($U$35,Y11341,,Trigger)</f>
        <v>0.57615115666617345</v>
      </c>
    </row>
    <row r="11342" spans="25:26" x14ac:dyDescent="0.25">
      <c r="Y11342" s="63">
        <v>53875</v>
      </c>
      <c r="Z11342" s="61">
        <f>_xll.qlYieldTSDiscount($U$35,Y11342,,Trigger)</f>
        <v>0.57611117673607193</v>
      </c>
    </row>
    <row r="11343" spans="25:26" x14ac:dyDescent="0.25">
      <c r="Y11343" s="63">
        <v>53876</v>
      </c>
      <c r="Z11343" s="61">
        <f>_xll.qlYieldTSDiscount($U$35,Y11343,,Trigger)</f>
        <v>0.57607120068680273</v>
      </c>
    </row>
    <row r="11344" spans="25:26" x14ac:dyDescent="0.25">
      <c r="Y11344" s="63">
        <v>53877</v>
      </c>
      <c r="Z11344" s="61">
        <f>_xll.qlYieldTSDiscount($U$35,Y11344,,Trigger)</f>
        <v>0.57603122851799959</v>
      </c>
    </row>
    <row r="11345" spans="25:26" x14ac:dyDescent="0.25">
      <c r="Y11345" s="63">
        <v>53878</v>
      </c>
      <c r="Z11345" s="61">
        <f>_xll.qlYieldTSDiscount($U$35,Y11345,,Trigger)</f>
        <v>0.5759912602292967</v>
      </c>
    </row>
    <row r="11346" spans="25:26" x14ac:dyDescent="0.25">
      <c r="Y11346" s="63">
        <v>53879</v>
      </c>
      <c r="Z11346" s="61">
        <f>_xll.qlYieldTSDiscount($U$35,Y11346,,Trigger)</f>
        <v>0.575951295820328</v>
      </c>
    </row>
    <row r="11347" spans="25:26" x14ac:dyDescent="0.25">
      <c r="Y11347" s="63">
        <v>53880</v>
      </c>
      <c r="Z11347" s="61">
        <f>_xll.qlYieldTSDiscount($U$35,Y11347,,Trigger)</f>
        <v>0.57591133529072747</v>
      </c>
    </row>
    <row r="11348" spans="25:26" x14ac:dyDescent="0.25">
      <c r="Y11348" s="63">
        <v>53881</v>
      </c>
      <c r="Z11348" s="61">
        <f>_xll.qlYieldTSDiscount($U$35,Y11348,,Trigger)</f>
        <v>0.57587137864012927</v>
      </c>
    </row>
    <row r="11349" spans="25:26" x14ac:dyDescent="0.25">
      <c r="Y11349" s="63">
        <v>53882</v>
      </c>
      <c r="Z11349" s="61">
        <f>_xll.qlYieldTSDiscount($U$35,Y11349,,Trigger)</f>
        <v>0.57583142586816738</v>
      </c>
    </row>
    <row r="11350" spans="25:26" x14ac:dyDescent="0.25">
      <c r="Y11350" s="63">
        <v>53883</v>
      </c>
      <c r="Z11350" s="61">
        <f>_xll.qlYieldTSDiscount($U$35,Y11350,,Trigger)</f>
        <v>0.57579147697447564</v>
      </c>
    </row>
    <row r="11351" spans="25:26" x14ac:dyDescent="0.25">
      <c r="Y11351" s="63">
        <v>53884</v>
      </c>
      <c r="Z11351" s="61">
        <f>_xll.qlYieldTSDiscount($U$35,Y11351,,Trigger)</f>
        <v>0.57575153195868833</v>
      </c>
    </row>
    <row r="11352" spans="25:26" x14ac:dyDescent="0.25">
      <c r="Y11352" s="63">
        <v>53885</v>
      </c>
      <c r="Z11352" s="61">
        <f>_xll.qlYieldTSDiscount($U$35,Y11352,,Trigger)</f>
        <v>0.57571159082043943</v>
      </c>
    </row>
    <row r="11353" spans="25:26" x14ac:dyDescent="0.25">
      <c r="Y11353" s="63">
        <v>53886</v>
      </c>
      <c r="Z11353" s="61">
        <f>_xll.qlYieldTSDiscount($U$35,Y11353,,Trigger)</f>
        <v>0.57567165355936278</v>
      </c>
    </row>
    <row r="11354" spans="25:26" x14ac:dyDescent="0.25">
      <c r="Y11354" s="63">
        <v>53887</v>
      </c>
      <c r="Z11354" s="61">
        <f>_xll.qlYieldTSDiscount($U$35,Y11354,,Trigger)</f>
        <v>0.57563172017509256</v>
      </c>
    </row>
    <row r="11355" spans="25:26" x14ac:dyDescent="0.25">
      <c r="Y11355" s="63">
        <v>53888</v>
      </c>
      <c r="Z11355" s="61">
        <f>_xll.qlYieldTSDiscount($U$35,Y11355,,Trigger)</f>
        <v>0.57559179066726274</v>
      </c>
    </row>
    <row r="11356" spans="25:26" x14ac:dyDescent="0.25">
      <c r="Y11356" s="63">
        <v>53889</v>
      </c>
      <c r="Z11356" s="61">
        <f>_xll.qlYieldTSDiscount($U$35,Y11356,,Trigger)</f>
        <v>0.57555186503550737</v>
      </c>
    </row>
    <row r="11357" spans="25:26" x14ac:dyDescent="0.25">
      <c r="Y11357" s="63">
        <v>53890</v>
      </c>
      <c r="Z11357" s="61">
        <f>_xll.qlYieldTSDiscount($U$35,Y11357,,Trigger)</f>
        <v>0.57551194327946054</v>
      </c>
    </row>
    <row r="11358" spans="25:26" x14ac:dyDescent="0.25">
      <c r="Y11358" s="63">
        <v>53891</v>
      </c>
      <c r="Z11358" s="61">
        <f>_xll.qlYieldTSDiscount($U$35,Y11358,,Trigger)</f>
        <v>0.57547202539875608</v>
      </c>
    </row>
    <row r="11359" spans="25:26" x14ac:dyDescent="0.25">
      <c r="Y11359" s="63">
        <v>53892</v>
      </c>
      <c r="Z11359" s="61">
        <f>_xll.qlYieldTSDiscount($U$35,Y11359,,Trigger)</f>
        <v>0.57543211139302819</v>
      </c>
    </row>
    <row r="11360" spans="25:26" x14ac:dyDescent="0.25">
      <c r="Y11360" s="63">
        <v>53893</v>
      </c>
      <c r="Z11360" s="61">
        <f>_xll.qlYieldTSDiscount($U$35,Y11360,,Trigger)</f>
        <v>0.57539220126191071</v>
      </c>
    </row>
    <row r="11361" spans="25:26" x14ac:dyDescent="0.25">
      <c r="Y11361" s="63">
        <v>53894</v>
      </c>
      <c r="Z11361" s="61">
        <f>_xll.qlYieldTSDiscount($U$35,Y11361,,Trigger)</f>
        <v>0.57535229500503782</v>
      </c>
    </row>
    <row r="11362" spans="25:26" x14ac:dyDescent="0.25">
      <c r="Y11362" s="63">
        <v>53895</v>
      </c>
      <c r="Z11362" s="61">
        <f>_xll.qlYieldTSDiscount($U$35,Y11362,,Trigger)</f>
        <v>0.57531239262204348</v>
      </c>
    </row>
    <row r="11363" spans="25:26" x14ac:dyDescent="0.25">
      <c r="Y11363" s="63">
        <v>53896</v>
      </c>
      <c r="Z11363" s="61">
        <f>_xll.qlYieldTSDiscount($U$35,Y11363,,Trigger)</f>
        <v>0.57527249411256176</v>
      </c>
    </row>
    <row r="11364" spans="25:26" x14ac:dyDescent="0.25">
      <c r="Y11364" s="63">
        <v>53897</v>
      </c>
      <c r="Z11364" s="61">
        <f>_xll.qlYieldTSDiscount($U$35,Y11364,,Trigger)</f>
        <v>0.57523259947622662</v>
      </c>
    </row>
    <row r="11365" spans="25:26" x14ac:dyDescent="0.25">
      <c r="Y11365" s="63">
        <v>53898</v>
      </c>
      <c r="Z11365" s="61">
        <f>_xll.qlYieldTSDiscount($U$35,Y11365,,Trigger)</f>
        <v>0.57519270871267214</v>
      </c>
    </row>
    <row r="11366" spans="25:26" x14ac:dyDescent="0.25">
      <c r="Y11366" s="63">
        <v>53899</v>
      </c>
      <c r="Z11366" s="61">
        <f>_xll.qlYieldTSDiscount($U$35,Y11366,,Trigger)</f>
        <v>0.57515282182153227</v>
      </c>
    </row>
    <row r="11367" spans="25:26" x14ac:dyDescent="0.25">
      <c r="Y11367" s="63">
        <v>53900</v>
      </c>
      <c r="Z11367" s="61">
        <f>_xll.qlYieldTSDiscount($U$35,Y11367,,Trigger)</f>
        <v>0.57511293880244119</v>
      </c>
    </row>
    <row r="11368" spans="25:26" x14ac:dyDescent="0.25">
      <c r="Y11368" s="63">
        <v>53901</v>
      </c>
      <c r="Z11368" s="61">
        <f>_xll.qlYieldTSDiscount($U$35,Y11368,,Trigger)</f>
        <v>0.57507305965503264</v>
      </c>
    </row>
    <row r="11369" spans="25:26" x14ac:dyDescent="0.25">
      <c r="Y11369" s="63">
        <v>53902</v>
      </c>
      <c r="Z11369" s="61">
        <f>_xll.qlYieldTSDiscount($U$35,Y11369,,Trigger)</f>
        <v>0.57503318437894091</v>
      </c>
    </row>
    <row r="11370" spans="25:26" x14ac:dyDescent="0.25">
      <c r="Y11370" s="63">
        <v>53903</v>
      </c>
      <c r="Z11370" s="61">
        <f>_xll.qlYieldTSDiscount($U$35,Y11370,,Trigger)</f>
        <v>0.57499331297379996</v>
      </c>
    </row>
    <row r="11371" spans="25:26" x14ac:dyDescent="0.25">
      <c r="Y11371" s="63">
        <v>53904</v>
      </c>
      <c r="Z11371" s="61">
        <f>_xll.qlYieldTSDiscount($U$35,Y11371,,Trigger)</f>
        <v>0.57495344543924365</v>
      </c>
    </row>
    <row r="11372" spans="25:26" x14ac:dyDescent="0.25">
      <c r="Y11372" s="63">
        <v>53905</v>
      </c>
      <c r="Z11372" s="61">
        <f>_xll.qlYieldTSDiscount($U$35,Y11372,,Trigger)</f>
        <v>0.57491358177490615</v>
      </c>
    </row>
    <row r="11373" spans="25:26" x14ac:dyDescent="0.25">
      <c r="Y11373" s="63">
        <v>53906</v>
      </c>
      <c r="Z11373" s="61">
        <f>_xll.qlYieldTSDiscount($U$35,Y11373,,Trigger)</f>
        <v>0.57487372198042141</v>
      </c>
    </row>
    <row r="11374" spans="25:26" x14ac:dyDescent="0.25">
      <c r="Y11374" s="63">
        <v>53907</v>
      </c>
      <c r="Z11374" s="61">
        <f>_xll.qlYieldTSDiscount($U$35,Y11374,,Trigger)</f>
        <v>0.57483386605542364</v>
      </c>
    </row>
    <row r="11375" spans="25:26" x14ac:dyDescent="0.25">
      <c r="Y11375" s="63">
        <v>53908</v>
      </c>
      <c r="Z11375" s="61">
        <f>_xll.qlYieldTSDiscount($U$35,Y11375,,Trigger)</f>
        <v>0.57479401399954666</v>
      </c>
    </row>
    <row r="11376" spans="25:26" x14ac:dyDescent="0.25">
      <c r="Y11376" s="63">
        <v>53909</v>
      </c>
      <c r="Z11376" s="61">
        <f>_xll.qlYieldTSDiscount($U$35,Y11376,,Trigger)</f>
        <v>0.57475416581242444</v>
      </c>
    </row>
    <row r="11377" spans="25:26" x14ac:dyDescent="0.25">
      <c r="Y11377" s="63">
        <v>53910</v>
      </c>
      <c r="Z11377" s="61">
        <f>_xll.qlYieldTSDiscount($U$35,Y11377,,Trigger)</f>
        <v>0.57471432149369128</v>
      </c>
    </row>
    <row r="11378" spans="25:26" x14ac:dyDescent="0.25">
      <c r="Y11378" s="63">
        <v>53911</v>
      </c>
      <c r="Z11378" s="61">
        <f>_xll.qlYieldTSDiscount($U$35,Y11378,,Trigger)</f>
        <v>0.57467448104298102</v>
      </c>
    </row>
    <row r="11379" spans="25:26" x14ac:dyDescent="0.25">
      <c r="Y11379" s="63">
        <v>53912</v>
      </c>
      <c r="Z11379" s="61">
        <f>_xll.qlYieldTSDiscount($U$35,Y11379,,Trigger)</f>
        <v>0.57463464445992751</v>
      </c>
    </row>
    <row r="11380" spans="25:26" x14ac:dyDescent="0.25">
      <c r="Y11380" s="63">
        <v>53913</v>
      </c>
      <c r="Z11380" s="61">
        <f>_xll.qlYieldTSDiscount($U$35,Y11380,,Trigger)</f>
        <v>0.57459481174416516</v>
      </c>
    </row>
    <row r="11381" spans="25:26" x14ac:dyDescent="0.25">
      <c r="Y11381" s="63">
        <v>53914</v>
      </c>
      <c r="Z11381" s="61">
        <f>_xll.qlYieldTSDiscount($U$35,Y11381,,Trigger)</f>
        <v>0.57455498289532769</v>
      </c>
    </row>
    <row r="11382" spans="25:26" x14ac:dyDescent="0.25">
      <c r="Y11382" s="63">
        <v>53915</v>
      </c>
      <c r="Z11382" s="61">
        <f>_xll.qlYieldTSDiscount($U$35,Y11382,,Trigger)</f>
        <v>0.57451515791304919</v>
      </c>
    </row>
    <row r="11383" spans="25:26" x14ac:dyDescent="0.25">
      <c r="Y11383" s="63">
        <v>53916</v>
      </c>
      <c r="Z11383" s="61">
        <f>_xll.qlYieldTSDiscount($U$35,Y11383,,Trigger)</f>
        <v>0.57447533679696383</v>
      </c>
    </row>
    <row r="11384" spans="25:26" x14ac:dyDescent="0.25">
      <c r="Y11384" s="63">
        <v>53917</v>
      </c>
      <c r="Z11384" s="61">
        <f>_xll.qlYieldTSDiscount($U$35,Y11384,,Trigger)</f>
        <v>0.57443551954670535</v>
      </c>
    </row>
    <row r="11385" spans="25:26" x14ac:dyDescent="0.25">
      <c r="Y11385" s="63">
        <v>53918</v>
      </c>
      <c r="Z11385" s="61">
        <f>_xll.qlYieldTSDiscount($U$35,Y11385,,Trigger)</f>
        <v>0.57439570616190805</v>
      </c>
    </row>
    <row r="11386" spans="25:26" x14ac:dyDescent="0.25">
      <c r="Y11386" s="63">
        <v>53919</v>
      </c>
      <c r="Z11386" s="61">
        <f>_xll.qlYieldTSDiscount($U$35,Y11386,,Trigger)</f>
        <v>0.57435589664220588</v>
      </c>
    </row>
    <row r="11387" spans="25:26" x14ac:dyDescent="0.25">
      <c r="Y11387" s="63">
        <v>53920</v>
      </c>
      <c r="Z11387" s="61">
        <f>_xll.qlYieldTSDiscount($U$35,Y11387,,Trigger)</f>
        <v>0.57431609098723269</v>
      </c>
    </row>
    <row r="11388" spans="25:26" x14ac:dyDescent="0.25">
      <c r="Y11388" s="63">
        <v>53921</v>
      </c>
      <c r="Z11388" s="61">
        <f>_xll.qlYieldTSDiscount($U$35,Y11388,,Trigger)</f>
        <v>0.57427628919662277</v>
      </c>
    </row>
    <row r="11389" spans="25:26" x14ac:dyDescent="0.25">
      <c r="Y11389" s="63">
        <v>53922</v>
      </c>
      <c r="Z11389" s="61">
        <f>_xll.qlYieldTSDiscount($U$35,Y11389,,Trigger)</f>
        <v>0.57423649127000986</v>
      </c>
    </row>
    <row r="11390" spans="25:26" x14ac:dyDescent="0.25">
      <c r="Y11390" s="63">
        <v>53923</v>
      </c>
      <c r="Z11390" s="61">
        <f>_xll.qlYieldTSDiscount($U$35,Y11390,,Trigger)</f>
        <v>0.57419669720702826</v>
      </c>
    </row>
    <row r="11391" spans="25:26" x14ac:dyDescent="0.25">
      <c r="Y11391" s="63">
        <v>53924</v>
      </c>
      <c r="Z11391" s="61">
        <f>_xll.qlYieldTSDiscount($U$35,Y11391,,Trigger)</f>
        <v>0.57415690700731181</v>
      </c>
    </row>
    <row r="11392" spans="25:26" x14ac:dyDescent="0.25">
      <c r="Y11392" s="63">
        <v>53925</v>
      </c>
      <c r="Z11392" s="61">
        <f>_xll.qlYieldTSDiscount($U$35,Y11392,,Trigger)</f>
        <v>0.57411712067049459</v>
      </c>
    </row>
    <row r="11393" spans="25:26" x14ac:dyDescent="0.25">
      <c r="Y11393" s="63">
        <v>53926</v>
      </c>
      <c r="Z11393" s="61">
        <f>_xll.qlYieldTSDiscount($U$35,Y11393,,Trigger)</f>
        <v>0.57407733819621054</v>
      </c>
    </row>
    <row r="11394" spans="25:26" x14ac:dyDescent="0.25">
      <c r="Y11394" s="63">
        <v>53927</v>
      </c>
      <c r="Z11394" s="61">
        <f>_xll.qlYieldTSDiscount($U$35,Y11394,,Trigger)</f>
        <v>0.57403755958409386</v>
      </c>
    </row>
    <row r="11395" spans="25:26" x14ac:dyDescent="0.25">
      <c r="Y11395" s="63">
        <v>53928</v>
      </c>
      <c r="Z11395" s="61">
        <f>_xll.qlYieldTSDiscount($U$35,Y11395,,Trigger)</f>
        <v>0.57399778483377839</v>
      </c>
    </row>
    <row r="11396" spans="25:26" x14ac:dyDescent="0.25">
      <c r="Y11396" s="63">
        <v>53929</v>
      </c>
      <c r="Z11396" s="61">
        <f>_xll.qlYieldTSDiscount($U$35,Y11396,,Trigger)</f>
        <v>0.57395801394489832</v>
      </c>
    </row>
    <row r="11397" spans="25:26" x14ac:dyDescent="0.25">
      <c r="Y11397" s="63">
        <v>53930</v>
      </c>
      <c r="Z11397" s="61">
        <f>_xll.qlYieldTSDiscount($U$35,Y11397,,Trigger)</f>
        <v>0.57391824691708737</v>
      </c>
    </row>
    <row r="11398" spans="25:26" x14ac:dyDescent="0.25">
      <c r="Y11398" s="63">
        <v>53931</v>
      </c>
      <c r="Z11398" s="61">
        <f>_xll.qlYieldTSDiscount($U$35,Y11398,,Trigger)</f>
        <v>0.57387848374997996</v>
      </c>
    </row>
    <row r="11399" spans="25:26" x14ac:dyDescent="0.25">
      <c r="Y11399" s="63">
        <v>53932</v>
      </c>
      <c r="Z11399" s="61">
        <f>_xll.qlYieldTSDiscount($U$35,Y11399,,Trigger)</f>
        <v>0.57383872444320994</v>
      </c>
    </row>
    <row r="11400" spans="25:26" x14ac:dyDescent="0.25">
      <c r="Y11400" s="63">
        <v>53933</v>
      </c>
      <c r="Z11400" s="61">
        <f>_xll.qlYieldTSDiscount($U$35,Y11400,,Trigger)</f>
        <v>0.57379896899641114</v>
      </c>
    </row>
    <row r="11401" spans="25:26" x14ac:dyDescent="0.25">
      <c r="Y11401" s="63">
        <v>53934</v>
      </c>
      <c r="Z11401" s="61">
        <f>_xll.qlYieldTSDiscount($U$35,Y11401,,Trigger)</f>
        <v>0.57375921740921787</v>
      </c>
    </row>
    <row r="11402" spans="25:26" x14ac:dyDescent="0.25">
      <c r="Y11402" s="63">
        <v>53935</v>
      </c>
      <c r="Z11402" s="61">
        <f>_xll.qlYieldTSDiscount($U$35,Y11402,,Trigger)</f>
        <v>0.57371946968126408</v>
      </c>
    </row>
    <row r="11403" spans="25:26" x14ac:dyDescent="0.25">
      <c r="Y11403" s="63">
        <v>53936</v>
      </c>
      <c r="Z11403" s="61">
        <f>_xll.qlYieldTSDiscount($U$35,Y11403,,Trigger)</f>
        <v>0.57367972581218363</v>
      </c>
    </row>
    <row r="11404" spans="25:26" x14ac:dyDescent="0.25">
      <c r="Y11404" s="63">
        <v>53937</v>
      </c>
      <c r="Z11404" s="61">
        <f>_xll.qlYieldTSDiscount($U$35,Y11404,,Trigger)</f>
        <v>0.5736399858016108</v>
      </c>
    </row>
    <row r="11405" spans="25:26" x14ac:dyDescent="0.25">
      <c r="Y11405" s="63">
        <v>53938</v>
      </c>
      <c r="Z11405" s="61">
        <f>_xll.qlYieldTSDiscount($U$35,Y11405,,Trigger)</f>
        <v>0.57360024964917933</v>
      </c>
    </row>
    <row r="11406" spans="25:26" x14ac:dyDescent="0.25">
      <c r="Y11406" s="63">
        <v>53939</v>
      </c>
      <c r="Z11406" s="61">
        <f>_xll.qlYieldTSDiscount($U$35,Y11406,,Trigger)</f>
        <v>0.57356051735452351</v>
      </c>
    </row>
    <row r="11407" spans="25:26" x14ac:dyDescent="0.25">
      <c r="Y11407" s="63">
        <v>53940</v>
      </c>
      <c r="Z11407" s="61">
        <f>_xll.qlYieldTSDiscount($U$35,Y11407,,Trigger)</f>
        <v>0.5735207889172772</v>
      </c>
    </row>
    <row r="11408" spans="25:26" x14ac:dyDescent="0.25">
      <c r="Y11408" s="63">
        <v>53941</v>
      </c>
      <c r="Z11408" s="61">
        <f>_xll.qlYieldTSDiscount($U$35,Y11408,,Trigger)</f>
        <v>0.57348106433707446</v>
      </c>
    </row>
    <row r="11409" spans="25:26" x14ac:dyDescent="0.25">
      <c r="Y11409" s="63">
        <v>53942</v>
      </c>
      <c r="Z11409" s="61">
        <f>_xll.qlYieldTSDiscount($U$35,Y11409,,Trigger)</f>
        <v>0.57344134361354926</v>
      </c>
    </row>
    <row r="11410" spans="25:26" x14ac:dyDescent="0.25">
      <c r="Y11410" s="63">
        <v>53943</v>
      </c>
      <c r="Z11410" s="61">
        <f>_xll.qlYieldTSDiscount($U$35,Y11410,,Trigger)</f>
        <v>0.57340162674633577</v>
      </c>
    </row>
    <row r="11411" spans="25:26" x14ac:dyDescent="0.25">
      <c r="Y11411" s="63">
        <v>53944</v>
      </c>
      <c r="Z11411" s="61">
        <f>_xll.qlYieldTSDiscount($U$35,Y11411,,Trigger)</f>
        <v>0.57336191373506784</v>
      </c>
    </row>
    <row r="11412" spans="25:26" x14ac:dyDescent="0.25">
      <c r="Y11412" s="63">
        <v>53945</v>
      </c>
      <c r="Z11412" s="61">
        <f>_xll.qlYieldTSDiscount($U$35,Y11412,,Trigger)</f>
        <v>0.57332220457937955</v>
      </c>
    </row>
    <row r="11413" spans="25:26" x14ac:dyDescent="0.25">
      <c r="Y11413" s="63">
        <v>53946</v>
      </c>
      <c r="Z11413" s="61">
        <f>_xll.qlYieldTSDiscount($U$35,Y11413,,Trigger)</f>
        <v>0.57328249927890496</v>
      </c>
    </row>
    <row r="11414" spans="25:26" x14ac:dyDescent="0.25">
      <c r="Y11414" s="63">
        <v>53947</v>
      </c>
      <c r="Z11414" s="61">
        <f>_xll.qlYieldTSDiscount($U$35,Y11414,,Trigger)</f>
        <v>0.57324279783327814</v>
      </c>
    </row>
    <row r="11415" spans="25:26" x14ac:dyDescent="0.25">
      <c r="Y11415" s="63">
        <v>53948</v>
      </c>
      <c r="Z11415" s="61">
        <f>_xll.qlYieldTSDiscount($U$35,Y11415,,Trigger)</f>
        <v>0.57320310024213295</v>
      </c>
    </row>
    <row r="11416" spans="25:26" x14ac:dyDescent="0.25">
      <c r="Y11416" s="63">
        <v>53949</v>
      </c>
      <c r="Z11416" s="61">
        <f>_xll.qlYieldTSDiscount($U$35,Y11416,,Trigger)</f>
        <v>0.57316340650510356</v>
      </c>
    </row>
    <row r="11417" spans="25:26" x14ac:dyDescent="0.25">
      <c r="Y11417" s="63">
        <v>53950</v>
      </c>
      <c r="Z11417" s="61">
        <f>_xll.qlYieldTSDiscount($U$35,Y11417,,Trigger)</f>
        <v>0.57312371662182393</v>
      </c>
    </row>
    <row r="11418" spans="25:26" x14ac:dyDescent="0.25">
      <c r="Y11418" s="63">
        <v>53951</v>
      </c>
      <c r="Z11418" s="61">
        <f>_xll.qlYieldTSDiscount($U$35,Y11418,,Trigger)</f>
        <v>0.57308403059192803</v>
      </c>
    </row>
    <row r="11419" spans="25:26" x14ac:dyDescent="0.25">
      <c r="Y11419" s="63">
        <v>53952</v>
      </c>
      <c r="Z11419" s="61">
        <f>_xll.qlYieldTSDiscount($U$35,Y11419,,Trigger)</f>
        <v>0.57304434841505003</v>
      </c>
    </row>
    <row r="11420" spans="25:26" x14ac:dyDescent="0.25">
      <c r="Y11420" s="63">
        <v>53953</v>
      </c>
      <c r="Z11420" s="61">
        <f>_xll.qlYieldTSDiscount($U$35,Y11420,,Trigger)</f>
        <v>0.57300467009082379</v>
      </c>
    </row>
    <row r="11421" spans="25:26" x14ac:dyDescent="0.25">
      <c r="Y11421" s="63">
        <v>53954</v>
      </c>
      <c r="Z11421" s="61">
        <f>_xll.qlYieldTSDiscount($U$35,Y11421,,Trigger)</f>
        <v>0.57296499561888337</v>
      </c>
    </row>
    <row r="11422" spans="25:26" x14ac:dyDescent="0.25">
      <c r="Y11422" s="63">
        <v>53955</v>
      </c>
      <c r="Z11422" s="61">
        <f>_xll.qlYieldTSDiscount($U$35,Y11422,,Trigger)</f>
        <v>0.57292532499886295</v>
      </c>
    </row>
    <row r="11423" spans="25:26" x14ac:dyDescent="0.25">
      <c r="Y11423" s="63">
        <v>53956</v>
      </c>
      <c r="Z11423" s="61">
        <f>_xll.qlYieldTSDiscount($U$35,Y11423,,Trigger)</f>
        <v>0.57288565823039639</v>
      </c>
    </row>
    <row r="11424" spans="25:26" x14ac:dyDescent="0.25">
      <c r="Y11424" s="63">
        <v>53957</v>
      </c>
      <c r="Z11424" s="61">
        <f>_xll.qlYieldTSDiscount($U$35,Y11424,,Trigger)</f>
        <v>0.57284599531311764</v>
      </c>
    </row>
    <row r="11425" spans="25:26" x14ac:dyDescent="0.25">
      <c r="Y11425" s="63">
        <v>53958</v>
      </c>
      <c r="Z11425" s="61">
        <f>_xll.qlYieldTSDiscount($U$35,Y11425,,Trigger)</f>
        <v>0.572806336246661</v>
      </c>
    </row>
    <row r="11426" spans="25:26" x14ac:dyDescent="0.25">
      <c r="Y11426" s="63">
        <v>53959</v>
      </c>
      <c r="Z11426" s="61">
        <f>_xll.qlYieldTSDiscount($U$35,Y11426,,Trigger)</f>
        <v>0.5727666810306602</v>
      </c>
    </row>
    <row r="11427" spans="25:26" x14ac:dyDescent="0.25">
      <c r="Y11427" s="63">
        <v>53960</v>
      </c>
      <c r="Z11427" s="61">
        <f>_xll.qlYieldTSDiscount($U$35,Y11427,,Trigger)</f>
        <v>0.57272702966474942</v>
      </c>
    </row>
    <row r="11428" spans="25:26" x14ac:dyDescent="0.25">
      <c r="Y11428" s="63">
        <v>53961</v>
      </c>
      <c r="Z11428" s="61">
        <f>_xll.qlYieldTSDiscount($U$35,Y11428,,Trigger)</f>
        <v>0.57268738214856263</v>
      </c>
    </row>
    <row r="11429" spans="25:26" x14ac:dyDescent="0.25">
      <c r="Y11429" s="63">
        <v>53962</v>
      </c>
      <c r="Z11429" s="61">
        <f>_xll.qlYieldTSDiscount($U$35,Y11429,,Trigger)</f>
        <v>0.57264773848173389</v>
      </c>
    </row>
    <row r="11430" spans="25:26" x14ac:dyDescent="0.25">
      <c r="Y11430" s="63">
        <v>53963</v>
      </c>
      <c r="Z11430" s="61">
        <f>_xll.qlYieldTSDiscount($U$35,Y11430,,Trigger)</f>
        <v>0.57260809866389717</v>
      </c>
    </row>
    <row r="11431" spans="25:26" x14ac:dyDescent="0.25">
      <c r="Y11431" s="63">
        <v>53964</v>
      </c>
      <c r="Z11431" s="61">
        <f>_xll.qlYieldTSDiscount($U$35,Y11431,,Trigger)</f>
        <v>0.57256846269468664</v>
      </c>
    </row>
    <row r="11432" spans="25:26" x14ac:dyDescent="0.25">
      <c r="Y11432" s="63">
        <v>53965</v>
      </c>
      <c r="Z11432" s="61">
        <f>_xll.qlYieldTSDiscount($U$35,Y11432,,Trigger)</f>
        <v>0.57252883057373605</v>
      </c>
    </row>
    <row r="11433" spans="25:26" x14ac:dyDescent="0.25">
      <c r="Y11433" s="63">
        <v>53966</v>
      </c>
      <c r="Z11433" s="61">
        <f>_xll.qlYieldTSDiscount($U$35,Y11433,,Trigger)</f>
        <v>0.57248920230067968</v>
      </c>
    </row>
    <row r="11434" spans="25:26" x14ac:dyDescent="0.25">
      <c r="Y11434" s="63">
        <v>53967</v>
      </c>
      <c r="Z11434" s="61">
        <f>_xll.qlYieldTSDiscount($U$35,Y11434,,Trigger)</f>
        <v>0.57244957787515138</v>
      </c>
    </row>
    <row r="11435" spans="25:26" x14ac:dyDescent="0.25">
      <c r="Y11435" s="63">
        <v>53968</v>
      </c>
      <c r="Z11435" s="61">
        <f>_xll.qlYieldTSDiscount($U$35,Y11435,,Trigger)</f>
        <v>0.57240995729678523</v>
      </c>
    </row>
    <row r="11436" spans="25:26" x14ac:dyDescent="0.25">
      <c r="Y11436" s="63">
        <v>53969</v>
      </c>
      <c r="Z11436" s="61">
        <f>_xll.qlYieldTSDiscount($U$35,Y11436,,Trigger)</f>
        <v>0.5723703405652153</v>
      </c>
    </row>
    <row r="11437" spans="25:26" x14ac:dyDescent="0.25">
      <c r="Y11437" s="63">
        <v>53970</v>
      </c>
      <c r="Z11437" s="61">
        <f>_xll.qlYieldTSDiscount($U$35,Y11437,,Trigger)</f>
        <v>0.57233072768007553</v>
      </c>
    </row>
    <row r="11438" spans="25:26" x14ac:dyDescent="0.25">
      <c r="Y11438" s="63">
        <v>53971</v>
      </c>
      <c r="Z11438" s="61">
        <f>_xll.qlYieldTSDiscount($U$35,Y11438,,Trigger)</f>
        <v>0.57229111864100013</v>
      </c>
    </row>
    <row r="11439" spans="25:26" x14ac:dyDescent="0.25">
      <c r="Y11439" s="63">
        <v>53972</v>
      </c>
      <c r="Z11439" s="61">
        <f>_xll.qlYieldTSDiscount($U$35,Y11439,,Trigger)</f>
        <v>0.57225151344762282</v>
      </c>
    </row>
    <row r="11440" spans="25:26" x14ac:dyDescent="0.25">
      <c r="Y11440" s="63">
        <v>53973</v>
      </c>
      <c r="Z11440" s="61">
        <f>_xll.qlYieldTSDiscount($U$35,Y11440,,Trigger)</f>
        <v>0.57221191209957778</v>
      </c>
    </row>
    <row r="11441" spans="25:26" x14ac:dyDescent="0.25">
      <c r="Y11441" s="63">
        <v>53974</v>
      </c>
      <c r="Z11441" s="61">
        <f>_xll.qlYieldTSDiscount($U$35,Y11441,,Trigger)</f>
        <v>0.5721723145964992</v>
      </c>
    </row>
    <row r="11442" spans="25:26" x14ac:dyDescent="0.25">
      <c r="Y11442" s="63">
        <v>53975</v>
      </c>
      <c r="Z11442" s="61">
        <f>_xll.qlYieldTSDiscount($U$35,Y11442,,Trigger)</f>
        <v>0.5721327209380207</v>
      </c>
    </row>
    <row r="11443" spans="25:26" x14ac:dyDescent="0.25">
      <c r="Y11443" s="63">
        <v>53976</v>
      </c>
      <c r="Z11443" s="61">
        <f>_xll.qlYieldTSDiscount($U$35,Y11443,,Trigger)</f>
        <v>0.57209313112377669</v>
      </c>
    </row>
    <row r="11444" spans="25:26" x14ac:dyDescent="0.25">
      <c r="Y11444" s="63">
        <v>53977</v>
      </c>
      <c r="Z11444" s="61">
        <f>_xll.qlYieldTSDiscount($U$35,Y11444,,Trigger)</f>
        <v>0.57205354515340101</v>
      </c>
    </row>
    <row r="11445" spans="25:26" x14ac:dyDescent="0.25">
      <c r="Y11445" s="63">
        <v>53978</v>
      </c>
      <c r="Z11445" s="61">
        <f>_xll.qlYieldTSDiscount($U$35,Y11445,,Trigger)</f>
        <v>0.57201396302652774</v>
      </c>
    </row>
    <row r="11446" spans="25:26" x14ac:dyDescent="0.25">
      <c r="Y11446" s="63">
        <v>53979</v>
      </c>
      <c r="Z11446" s="61">
        <f>_xll.qlYieldTSDiscount($U$35,Y11446,,Trigger)</f>
        <v>0.57197438474279083</v>
      </c>
    </row>
    <row r="11447" spans="25:26" x14ac:dyDescent="0.25">
      <c r="Y11447" s="63">
        <v>53980</v>
      </c>
      <c r="Z11447" s="61">
        <f>_xll.qlYieldTSDiscount($U$35,Y11447,,Trigger)</f>
        <v>0.57193481030182436</v>
      </c>
    </row>
    <row r="11448" spans="25:26" x14ac:dyDescent="0.25">
      <c r="Y11448" s="63">
        <v>53981</v>
      </c>
      <c r="Z11448" s="61">
        <f>_xll.qlYieldTSDiscount($U$35,Y11448,,Trigger)</f>
        <v>0.57189523970326228</v>
      </c>
    </row>
    <row r="11449" spans="25:26" x14ac:dyDescent="0.25">
      <c r="Y11449" s="63">
        <v>53982</v>
      </c>
      <c r="Z11449" s="61">
        <f>_xll.qlYieldTSDiscount($U$35,Y11449,,Trigger)</f>
        <v>0.57185567294673867</v>
      </c>
    </row>
    <row r="11450" spans="25:26" x14ac:dyDescent="0.25">
      <c r="Y11450" s="63">
        <v>53983</v>
      </c>
      <c r="Z11450" s="61">
        <f>_xll.qlYieldTSDiscount($U$35,Y11450,,Trigger)</f>
        <v>0.57181611003188759</v>
      </c>
    </row>
    <row r="11451" spans="25:26" x14ac:dyDescent="0.25">
      <c r="Y11451" s="63">
        <v>53984</v>
      </c>
      <c r="Z11451" s="61">
        <f>_xll.qlYieldTSDiscount($U$35,Y11451,,Trigger)</f>
        <v>0.57177655095834301</v>
      </c>
    </row>
    <row r="11452" spans="25:26" x14ac:dyDescent="0.25">
      <c r="Y11452" s="63">
        <v>53985</v>
      </c>
      <c r="Z11452" s="61">
        <f>_xll.qlYieldTSDiscount($U$35,Y11452,,Trigger)</f>
        <v>0.57173699572573899</v>
      </c>
    </row>
    <row r="11453" spans="25:26" x14ac:dyDescent="0.25">
      <c r="Y11453" s="63">
        <v>53986</v>
      </c>
      <c r="Z11453" s="61">
        <f>_xll.qlYieldTSDiscount($U$35,Y11453,,Trigger)</f>
        <v>0.57169744433370939</v>
      </c>
    </row>
    <row r="11454" spans="25:26" x14ac:dyDescent="0.25">
      <c r="Y11454" s="63">
        <v>53987</v>
      </c>
      <c r="Z11454" s="61">
        <f>_xll.qlYieldTSDiscount($U$35,Y11454,,Trigger)</f>
        <v>0.5716578967818885</v>
      </c>
    </row>
    <row r="11455" spans="25:26" x14ac:dyDescent="0.25">
      <c r="Y11455" s="63">
        <v>53988</v>
      </c>
      <c r="Z11455" s="61">
        <f>_xll.qlYieldTSDiscount($U$35,Y11455,,Trigger)</f>
        <v>0.57161835306991016</v>
      </c>
    </row>
    <row r="11456" spans="25:26" x14ac:dyDescent="0.25">
      <c r="Y11456" s="63">
        <v>53989</v>
      </c>
      <c r="Z11456" s="61">
        <f>_xll.qlYieldTSDiscount($U$35,Y11456,,Trigger)</f>
        <v>0.57157881319740844</v>
      </c>
    </row>
    <row r="11457" spans="25:26" x14ac:dyDescent="0.25">
      <c r="Y11457" s="63">
        <v>53990</v>
      </c>
      <c r="Z11457" s="61">
        <f>_xll.qlYieldTSDiscount($U$35,Y11457,,Trigger)</f>
        <v>0.57153927716401742</v>
      </c>
    </row>
    <row r="11458" spans="25:26" x14ac:dyDescent="0.25">
      <c r="Y11458" s="63">
        <v>53991</v>
      </c>
      <c r="Z11458" s="61">
        <f>_xll.qlYieldTSDiscount($U$35,Y11458,,Trigger)</f>
        <v>0.57149974496937095</v>
      </c>
    </row>
    <row r="11459" spans="25:26" x14ac:dyDescent="0.25">
      <c r="Y11459" s="63">
        <v>53992</v>
      </c>
      <c r="Z11459" s="61">
        <f>_xll.qlYieldTSDiscount($U$35,Y11459,,Trigger)</f>
        <v>0.57146021661310331</v>
      </c>
    </row>
    <row r="11460" spans="25:26" x14ac:dyDescent="0.25">
      <c r="Y11460" s="63">
        <v>53993</v>
      </c>
      <c r="Z11460" s="61">
        <f>_xll.qlYieldTSDiscount($U$35,Y11460,,Trigger)</f>
        <v>0.57142069209484825</v>
      </c>
    </row>
    <row r="11461" spans="25:26" x14ac:dyDescent="0.25">
      <c r="Y11461" s="63">
        <v>53994</v>
      </c>
      <c r="Z11461" s="61">
        <f>_xll.qlYieldTSDiscount($U$35,Y11461,,Trigger)</f>
        <v>0.57138117141423994</v>
      </c>
    </row>
    <row r="11462" spans="25:26" x14ac:dyDescent="0.25">
      <c r="Y11462" s="63">
        <v>53995</v>
      </c>
      <c r="Z11462" s="61">
        <f>_xll.qlYieldTSDiscount($U$35,Y11462,,Trigger)</f>
        <v>0.57134165457091246</v>
      </c>
    </row>
    <row r="11463" spans="25:26" x14ac:dyDescent="0.25">
      <c r="Y11463" s="63">
        <v>53996</v>
      </c>
      <c r="Z11463" s="61">
        <f>_xll.qlYieldTSDiscount($U$35,Y11463,,Trigger)</f>
        <v>0.57130214156449965</v>
      </c>
    </row>
    <row r="11464" spans="25:26" x14ac:dyDescent="0.25">
      <c r="Y11464" s="63">
        <v>53997</v>
      </c>
      <c r="Z11464" s="61">
        <f>_xll.qlYieldTSDiscount($U$35,Y11464,,Trigger)</f>
        <v>0.57126263239463571</v>
      </c>
    </row>
    <row r="11465" spans="25:26" x14ac:dyDescent="0.25">
      <c r="Y11465" s="63">
        <v>53998</v>
      </c>
      <c r="Z11465" s="61">
        <f>_xll.qlYieldTSDiscount($U$35,Y11465,,Trigger)</f>
        <v>0.57122312706095457</v>
      </c>
    </row>
    <row r="11466" spans="25:26" x14ac:dyDescent="0.25">
      <c r="Y11466" s="63">
        <v>53999</v>
      </c>
      <c r="Z11466" s="61">
        <f>_xll.qlYieldTSDiscount($U$35,Y11466,,Trigger)</f>
        <v>0.57118362556309021</v>
      </c>
    </row>
    <row r="11467" spans="25:26" x14ac:dyDescent="0.25">
      <c r="Y11467" s="63">
        <v>54000</v>
      </c>
      <c r="Z11467" s="61">
        <f>_xll.qlYieldTSDiscount($U$35,Y11467,,Trigger)</f>
        <v>0.57114412790067681</v>
      </c>
    </row>
    <row r="11468" spans="25:26" x14ac:dyDescent="0.25">
      <c r="Y11468" s="63">
        <v>54001</v>
      </c>
      <c r="Z11468" s="61">
        <f>_xll.qlYieldTSDiscount($U$35,Y11468,,Trigger)</f>
        <v>0.57110463407334822</v>
      </c>
    </row>
    <row r="11469" spans="25:26" x14ac:dyDescent="0.25">
      <c r="Y11469" s="63">
        <v>54002</v>
      </c>
      <c r="Z11469" s="61">
        <f>_xll.qlYieldTSDiscount($U$35,Y11469,,Trigger)</f>
        <v>0.5710651440807385</v>
      </c>
    </row>
    <row r="11470" spans="25:26" x14ac:dyDescent="0.25">
      <c r="Y11470" s="63">
        <v>54003</v>
      </c>
      <c r="Z11470" s="61">
        <f>_xll.qlYieldTSDiscount($U$35,Y11470,,Trigger)</f>
        <v>0.57102565792248183</v>
      </c>
    </row>
    <row r="11471" spans="25:26" x14ac:dyDescent="0.25">
      <c r="Y11471" s="63">
        <v>54004</v>
      </c>
      <c r="Z11471" s="61">
        <f>_xll.qlYieldTSDiscount($U$35,Y11471,,Trigger)</f>
        <v>0.57098617559821196</v>
      </c>
    </row>
    <row r="11472" spans="25:26" x14ac:dyDescent="0.25">
      <c r="Y11472" s="63">
        <v>54005</v>
      </c>
      <c r="Z11472" s="61">
        <f>_xll.qlYieldTSDiscount($U$35,Y11472,,Trigger)</f>
        <v>0.57094669710756318</v>
      </c>
    </row>
    <row r="11473" spans="25:26" x14ac:dyDescent="0.25">
      <c r="Y11473" s="63">
        <v>54006</v>
      </c>
      <c r="Z11473" s="61">
        <f>_xll.qlYieldTSDiscount($U$35,Y11473,,Trigger)</f>
        <v>0.57090722245016934</v>
      </c>
    </row>
    <row r="11474" spans="25:26" x14ac:dyDescent="0.25">
      <c r="Y11474" s="63">
        <v>54007</v>
      </c>
      <c r="Z11474" s="61">
        <f>_xll.qlYieldTSDiscount($U$35,Y11474,,Trigger)</f>
        <v>0.5708677516256645</v>
      </c>
    </row>
    <row r="11475" spans="25:26" x14ac:dyDescent="0.25">
      <c r="Y11475" s="63">
        <v>54008</v>
      </c>
      <c r="Z11475" s="61">
        <f>_xll.qlYieldTSDiscount($U$35,Y11475,,Trigger)</f>
        <v>0.57082828463368274</v>
      </c>
    </row>
    <row r="11476" spans="25:26" x14ac:dyDescent="0.25">
      <c r="Y11476" s="63">
        <v>54009</v>
      </c>
      <c r="Z11476" s="61">
        <f>_xll.qlYieldTSDiscount($U$35,Y11476,,Trigger)</f>
        <v>0.57078882147385801</v>
      </c>
    </row>
    <row r="11477" spans="25:26" x14ac:dyDescent="0.25">
      <c r="Y11477" s="63">
        <v>54010</v>
      </c>
      <c r="Z11477" s="61">
        <f>_xll.qlYieldTSDiscount($U$35,Y11477,,Trigger)</f>
        <v>0.57074936214582428</v>
      </c>
    </row>
    <row r="11478" spans="25:26" x14ac:dyDescent="0.25">
      <c r="Y11478" s="63">
        <v>54011</v>
      </c>
      <c r="Z11478" s="61">
        <f>_xll.qlYieldTSDiscount($U$35,Y11478,,Trigger)</f>
        <v>0.57070990664921573</v>
      </c>
    </row>
    <row r="11479" spans="25:26" x14ac:dyDescent="0.25">
      <c r="Y11479" s="63">
        <v>54012</v>
      </c>
      <c r="Z11479" s="61">
        <f>_xll.qlYieldTSDiscount($U$35,Y11479,,Trigger)</f>
        <v>0.57067045498366631</v>
      </c>
    </row>
    <row r="11480" spans="25:26" x14ac:dyDescent="0.25">
      <c r="Y11480" s="63">
        <v>54013</v>
      </c>
      <c r="Z11480" s="61">
        <f>_xll.qlYieldTSDiscount($U$35,Y11480,,Trigger)</f>
        <v>0.57063100714880999</v>
      </c>
    </row>
    <row r="11481" spans="25:26" x14ac:dyDescent="0.25">
      <c r="Y11481" s="63">
        <v>54014</v>
      </c>
      <c r="Z11481" s="61">
        <f>_xll.qlYieldTSDiscount($U$35,Y11481,,Trigger)</f>
        <v>0.57059156314428083</v>
      </c>
    </row>
    <row r="11482" spans="25:26" x14ac:dyDescent="0.25">
      <c r="Y11482" s="63">
        <v>54015</v>
      </c>
      <c r="Z11482" s="61">
        <f>_xll.qlYieldTSDiscount($U$35,Y11482,,Trigger)</f>
        <v>0.57055212296971292</v>
      </c>
    </row>
    <row r="11483" spans="25:26" x14ac:dyDescent="0.25">
      <c r="Y11483" s="63">
        <v>54016</v>
      </c>
      <c r="Z11483" s="61">
        <f>_xll.qlYieldTSDiscount($U$35,Y11483,,Trigger)</f>
        <v>0.5705126866247402</v>
      </c>
    </row>
    <row r="11484" spans="25:26" x14ac:dyDescent="0.25">
      <c r="Y11484" s="63">
        <v>54017</v>
      </c>
      <c r="Z11484" s="61">
        <f>_xll.qlYieldTSDiscount($U$35,Y11484,,Trigger)</f>
        <v>0.57047325410899674</v>
      </c>
    </row>
    <row r="11485" spans="25:26" x14ac:dyDescent="0.25">
      <c r="Y11485" s="63">
        <v>54018</v>
      </c>
      <c r="Z11485" s="61">
        <f>_xll.qlYieldTSDiscount($U$35,Y11485,,Trigger)</f>
        <v>0.5704338254221164</v>
      </c>
    </row>
    <row r="11486" spans="25:26" x14ac:dyDescent="0.25">
      <c r="Y11486" s="63">
        <v>54019</v>
      </c>
      <c r="Z11486" s="61">
        <f>_xll.qlYieldTSDiscount($U$35,Y11486,,Trigger)</f>
        <v>0.57039440056373347</v>
      </c>
    </row>
    <row r="11487" spans="25:26" x14ac:dyDescent="0.25">
      <c r="Y11487" s="63">
        <v>54020</v>
      </c>
      <c r="Z11487" s="61">
        <f>_xll.qlYieldTSDiscount($U$35,Y11487,,Trigger)</f>
        <v>0.5703549795334818</v>
      </c>
    </row>
    <row r="11488" spans="25:26" x14ac:dyDescent="0.25">
      <c r="Y11488" s="63">
        <v>54021</v>
      </c>
      <c r="Z11488" s="61">
        <f>_xll.qlYieldTSDiscount($U$35,Y11488,,Trigger)</f>
        <v>0.57031556233099545</v>
      </c>
    </row>
    <row r="11489" spans="25:26" x14ac:dyDescent="0.25">
      <c r="Y11489" s="63">
        <v>54022</v>
      </c>
      <c r="Z11489" s="61">
        <f>_xll.qlYieldTSDiscount($U$35,Y11489,,Trigger)</f>
        <v>0.57027614895590839</v>
      </c>
    </row>
    <row r="11490" spans="25:26" x14ac:dyDescent="0.25">
      <c r="Y11490" s="63">
        <v>54023</v>
      </c>
      <c r="Z11490" s="61">
        <f>_xll.qlYieldTSDiscount($U$35,Y11490,,Trigger)</f>
        <v>0.57023673940785469</v>
      </c>
    </row>
    <row r="11491" spans="25:26" x14ac:dyDescent="0.25">
      <c r="Y11491" s="63">
        <v>54024</v>
      </c>
      <c r="Z11491" s="61">
        <f>_xll.qlYieldTSDiscount($U$35,Y11491,,Trigger)</f>
        <v>0.57019733368646852</v>
      </c>
    </row>
    <row r="11492" spans="25:26" x14ac:dyDescent="0.25">
      <c r="Y11492" s="63">
        <v>54025</v>
      </c>
      <c r="Z11492" s="61">
        <f>_xll.qlYieldTSDiscount($U$35,Y11492,,Trigger)</f>
        <v>0.57015793179138363</v>
      </c>
    </row>
    <row r="11493" spans="25:26" x14ac:dyDescent="0.25">
      <c r="Y11493" s="63">
        <v>54026</v>
      </c>
      <c r="Z11493" s="61">
        <f>_xll.qlYieldTSDiscount($U$35,Y11493,,Trigger)</f>
        <v>0.5701185337222342</v>
      </c>
    </row>
    <row r="11494" spans="25:26" x14ac:dyDescent="0.25">
      <c r="Y11494" s="63">
        <v>54027</v>
      </c>
      <c r="Z11494" s="61">
        <f>_xll.qlYieldTSDiscount($U$35,Y11494,,Trigger)</f>
        <v>0.57007913947865418</v>
      </c>
    </row>
    <row r="11495" spans="25:26" x14ac:dyDescent="0.25">
      <c r="Y11495" s="63">
        <v>54028</v>
      </c>
      <c r="Z11495" s="61">
        <f>_xll.qlYieldTSDiscount($U$35,Y11495,,Trigger)</f>
        <v>0.57003974906027766</v>
      </c>
    </row>
    <row r="11496" spans="25:26" x14ac:dyDescent="0.25">
      <c r="Y11496" s="63">
        <v>54029</v>
      </c>
      <c r="Z11496" s="61">
        <f>_xll.qlYieldTSDiscount($U$35,Y11496,,Trigger)</f>
        <v>0.57000036246673869</v>
      </c>
    </row>
    <row r="11497" spans="25:26" x14ac:dyDescent="0.25">
      <c r="Y11497" s="63">
        <v>54030</v>
      </c>
      <c r="Z11497" s="61">
        <f>_xll.qlYieldTSDiscount($U$35,Y11497,,Trigger)</f>
        <v>0.56996097969767112</v>
      </c>
    </row>
    <row r="11498" spans="25:26" x14ac:dyDescent="0.25">
      <c r="Y11498" s="63">
        <v>54031</v>
      </c>
      <c r="Z11498" s="61">
        <f>_xll.qlYieldTSDiscount($U$35,Y11498,,Trigger)</f>
        <v>0.56992160075270915</v>
      </c>
    </row>
    <row r="11499" spans="25:26" x14ac:dyDescent="0.25">
      <c r="Y11499" s="63">
        <v>54032</v>
      </c>
      <c r="Z11499" s="61">
        <f>_xll.qlYieldTSDiscount($U$35,Y11499,,Trigger)</f>
        <v>0.56988222563148672</v>
      </c>
    </row>
    <row r="11500" spans="25:26" x14ac:dyDescent="0.25">
      <c r="Y11500" s="63">
        <v>54033</v>
      </c>
      <c r="Z11500" s="61">
        <f>_xll.qlYieldTSDiscount($U$35,Y11500,,Trigger)</f>
        <v>0.5698428543336379</v>
      </c>
    </row>
    <row r="11501" spans="25:26" x14ac:dyDescent="0.25">
      <c r="Y11501" s="63">
        <v>54034</v>
      </c>
      <c r="Z11501" s="61">
        <f>_xll.qlYieldTSDiscount($U$35,Y11501,,Trigger)</f>
        <v>0.56980348685879667</v>
      </c>
    </row>
    <row r="11502" spans="25:26" x14ac:dyDescent="0.25">
      <c r="Y11502" s="63">
        <v>54035</v>
      </c>
      <c r="Z11502" s="61">
        <f>_xll.qlYieldTSDiscount($U$35,Y11502,,Trigger)</f>
        <v>0.56976412320659708</v>
      </c>
    </row>
    <row r="11503" spans="25:26" x14ac:dyDescent="0.25">
      <c r="Y11503" s="63">
        <v>54036</v>
      </c>
      <c r="Z11503" s="61">
        <f>_xll.qlYieldTSDiscount($U$35,Y11503,,Trigger)</f>
        <v>0.5697247633766731</v>
      </c>
    </row>
    <row r="11504" spans="25:26" x14ac:dyDescent="0.25">
      <c r="Y11504" s="63">
        <v>54037</v>
      </c>
      <c r="Z11504" s="61">
        <f>_xll.qlYieldTSDiscount($U$35,Y11504,,Trigger)</f>
        <v>0.5696854073686588</v>
      </c>
    </row>
    <row r="11505" spans="25:26" x14ac:dyDescent="0.25">
      <c r="Y11505" s="63">
        <v>54038</v>
      </c>
      <c r="Z11505" s="61">
        <f>_xll.qlYieldTSDiscount($U$35,Y11505,,Trigger)</f>
        <v>0.56964605518218825</v>
      </c>
    </row>
    <row r="11506" spans="25:26" x14ac:dyDescent="0.25">
      <c r="Y11506" s="63">
        <v>54039</v>
      </c>
      <c r="Z11506" s="61">
        <f>_xll.qlYieldTSDiscount($U$35,Y11506,,Trigger)</f>
        <v>0.5696067068168954</v>
      </c>
    </row>
    <row r="11507" spans="25:26" x14ac:dyDescent="0.25">
      <c r="Y11507" s="63">
        <v>54040</v>
      </c>
      <c r="Z11507" s="61">
        <f>_xll.qlYieldTSDiscount($U$35,Y11507,,Trigger)</f>
        <v>0.56956736227241422</v>
      </c>
    </row>
    <row r="11508" spans="25:26" x14ac:dyDescent="0.25">
      <c r="Y11508" s="63">
        <v>54041</v>
      </c>
      <c r="Z11508" s="61">
        <f>_xll.qlYieldTSDiscount($U$35,Y11508,,Trigger)</f>
        <v>0.56952802154837878</v>
      </c>
    </row>
    <row r="11509" spans="25:26" x14ac:dyDescent="0.25">
      <c r="Y11509" s="63">
        <v>54042</v>
      </c>
      <c r="Z11509" s="61">
        <f>_xll.qlYieldTSDiscount($U$35,Y11509,,Trigger)</f>
        <v>0.56948868464442315</v>
      </c>
    </row>
    <row r="11510" spans="25:26" x14ac:dyDescent="0.25">
      <c r="Y11510" s="63">
        <v>54043</v>
      </c>
      <c r="Z11510" s="61">
        <f>_xll.qlYieldTSDiscount($U$35,Y11510,,Trigger)</f>
        <v>0.56944935156018139</v>
      </c>
    </row>
    <row r="11511" spans="25:26" x14ac:dyDescent="0.25">
      <c r="Y11511" s="63">
        <v>54044</v>
      </c>
      <c r="Z11511" s="61">
        <f>_xll.qlYieldTSDiscount($U$35,Y11511,,Trigger)</f>
        <v>0.56941002229528737</v>
      </c>
    </row>
    <row r="11512" spans="25:26" x14ac:dyDescent="0.25">
      <c r="Y11512" s="63">
        <v>54045</v>
      </c>
      <c r="Z11512" s="61">
        <f>_xll.qlYieldTSDiscount($U$35,Y11512,,Trigger)</f>
        <v>0.56937069684937525</v>
      </c>
    </row>
    <row r="11513" spans="25:26" x14ac:dyDescent="0.25">
      <c r="Y11513" s="63">
        <v>54046</v>
      </c>
      <c r="Z11513" s="61">
        <f>_xll.qlYieldTSDiscount($U$35,Y11513,,Trigger)</f>
        <v>0.56933137522207899</v>
      </c>
    </row>
    <row r="11514" spans="25:26" x14ac:dyDescent="0.25">
      <c r="Y11514" s="63">
        <v>54047</v>
      </c>
      <c r="Z11514" s="61">
        <f>_xll.qlYieldTSDiscount($U$35,Y11514,,Trigger)</f>
        <v>0.56929205741303257</v>
      </c>
    </row>
    <row r="11515" spans="25:26" x14ac:dyDescent="0.25">
      <c r="Y11515" s="63">
        <v>54048</v>
      </c>
      <c r="Z11515" s="61">
        <f>_xll.qlYieldTSDiscount($U$35,Y11515,,Trigger)</f>
        <v>0.56925274342187004</v>
      </c>
    </row>
    <row r="11516" spans="25:26" x14ac:dyDescent="0.25">
      <c r="Y11516" s="63">
        <v>54049</v>
      </c>
      <c r="Z11516" s="61">
        <f>_xll.qlYieldTSDiscount($U$35,Y11516,,Trigger)</f>
        <v>0.56921343324822549</v>
      </c>
    </row>
    <row r="11517" spans="25:26" x14ac:dyDescent="0.25">
      <c r="Y11517" s="63">
        <v>54050</v>
      </c>
      <c r="Z11517" s="61">
        <f>_xll.qlYieldTSDiscount($U$35,Y11517,,Trigger)</f>
        <v>0.56917412689173286</v>
      </c>
    </row>
    <row r="11518" spans="25:26" x14ac:dyDescent="0.25">
      <c r="Y11518" s="63">
        <v>54051</v>
      </c>
      <c r="Z11518" s="61">
        <f>_xll.qlYieldTSDiscount($U$35,Y11518,,Trigger)</f>
        <v>0.56913482435202623</v>
      </c>
    </row>
    <row r="11519" spans="25:26" x14ac:dyDescent="0.25">
      <c r="Y11519" s="63">
        <v>54052</v>
      </c>
      <c r="Z11519" s="61">
        <f>_xll.qlYieldTSDiscount($U$35,Y11519,,Trigger)</f>
        <v>0.56909552562873955</v>
      </c>
    </row>
    <row r="11520" spans="25:26" x14ac:dyDescent="0.25">
      <c r="Y11520" s="63">
        <v>54053</v>
      </c>
      <c r="Z11520" s="61">
        <f>_xll.qlYieldTSDiscount($U$35,Y11520,,Trigger)</f>
        <v>0.56905623072150702</v>
      </c>
    </row>
    <row r="11521" spans="25:26" x14ac:dyDescent="0.25">
      <c r="Y11521" s="63">
        <v>54054</v>
      </c>
      <c r="Z11521" s="61">
        <f>_xll.qlYieldTSDiscount($U$35,Y11521,,Trigger)</f>
        <v>0.56901693962996247</v>
      </c>
    </row>
    <row r="11522" spans="25:26" x14ac:dyDescent="0.25">
      <c r="Y11522" s="63">
        <v>54055</v>
      </c>
      <c r="Z11522" s="61">
        <f>_xll.qlYieldTSDiscount($U$35,Y11522,,Trigger)</f>
        <v>0.56897765235373987</v>
      </c>
    </row>
    <row r="11523" spans="25:26" x14ac:dyDescent="0.25">
      <c r="Y11523" s="63">
        <v>54056</v>
      </c>
      <c r="Z11523" s="61">
        <f>_xll.qlYieldTSDiscount($U$35,Y11523,,Trigger)</f>
        <v>0.56893836889247351</v>
      </c>
    </row>
    <row r="11524" spans="25:26" x14ac:dyDescent="0.25">
      <c r="Y11524" s="63">
        <v>54057</v>
      </c>
      <c r="Z11524" s="61">
        <f>_xll.qlYieldTSDiscount($U$35,Y11524,,Trigger)</f>
        <v>0.56889908924579713</v>
      </c>
    </row>
    <row r="11525" spans="25:26" x14ac:dyDescent="0.25">
      <c r="Y11525" s="63">
        <v>54058</v>
      </c>
      <c r="Z11525" s="61">
        <f>_xll.qlYieldTSDiscount($U$35,Y11525,,Trigger)</f>
        <v>0.56885981341334491</v>
      </c>
    </row>
    <row r="11526" spans="25:26" x14ac:dyDescent="0.25">
      <c r="Y11526" s="63">
        <v>54059</v>
      </c>
      <c r="Z11526" s="61">
        <f>_xll.qlYieldTSDiscount($U$35,Y11526,,Trigger)</f>
        <v>0.56882054139475091</v>
      </c>
    </row>
    <row r="11527" spans="25:26" x14ac:dyDescent="0.25">
      <c r="Y11527" s="63">
        <v>54060</v>
      </c>
      <c r="Z11527" s="61">
        <f>_xll.qlYieldTSDiscount($U$35,Y11527,,Trigger)</f>
        <v>0.56878127318964899</v>
      </c>
    </row>
    <row r="11528" spans="25:26" x14ac:dyDescent="0.25">
      <c r="Y11528" s="63">
        <v>54061</v>
      </c>
      <c r="Z11528" s="61">
        <f>_xll.qlYieldTSDiscount($U$35,Y11528,,Trigger)</f>
        <v>0.56874200879767334</v>
      </c>
    </row>
    <row r="11529" spans="25:26" x14ac:dyDescent="0.25">
      <c r="Y11529" s="63">
        <v>54062</v>
      </c>
      <c r="Z11529" s="61">
        <f>_xll.qlYieldTSDiscount($U$35,Y11529,,Trigger)</f>
        <v>0.5687027482184579</v>
      </c>
    </row>
    <row r="11530" spans="25:26" x14ac:dyDescent="0.25">
      <c r="Y11530" s="63">
        <v>54063</v>
      </c>
      <c r="Z11530" s="61">
        <f>_xll.qlYieldTSDiscount($U$35,Y11530,,Trigger)</f>
        <v>0.56866349145163664</v>
      </c>
    </row>
    <row r="11531" spans="25:26" x14ac:dyDescent="0.25">
      <c r="Y11531" s="63">
        <v>54064</v>
      </c>
      <c r="Z11531" s="61">
        <f>_xll.qlYieldTSDiscount($U$35,Y11531,,Trigger)</f>
        <v>0.56862423849684363</v>
      </c>
    </row>
    <row r="11532" spans="25:26" x14ac:dyDescent="0.25">
      <c r="Y11532" s="63">
        <v>54065</v>
      </c>
      <c r="Z11532" s="61">
        <f>_xll.qlYieldTSDiscount($U$35,Y11532,,Trigger)</f>
        <v>0.56858498935371293</v>
      </c>
    </row>
    <row r="11533" spans="25:26" x14ac:dyDescent="0.25">
      <c r="Y11533" s="63">
        <v>54066</v>
      </c>
      <c r="Z11533" s="61">
        <f>_xll.qlYieldTSDiscount($U$35,Y11533,,Trigger)</f>
        <v>0.56854574402187852</v>
      </c>
    </row>
    <row r="11534" spans="25:26" x14ac:dyDescent="0.25">
      <c r="Y11534" s="63">
        <v>54067</v>
      </c>
      <c r="Z11534" s="61">
        <f>_xll.qlYieldTSDiscount($U$35,Y11534,,Trigger)</f>
        <v>0.56850650250097445</v>
      </c>
    </row>
    <row r="11535" spans="25:26" x14ac:dyDescent="0.25">
      <c r="Y11535" s="63">
        <v>54068</v>
      </c>
      <c r="Z11535" s="61">
        <f>_xll.qlYieldTSDiscount($U$35,Y11535,,Trigger)</f>
        <v>0.5684672647906347</v>
      </c>
    </row>
    <row r="11536" spans="25:26" x14ac:dyDescent="0.25">
      <c r="Y11536" s="63">
        <v>54069</v>
      </c>
      <c r="Z11536" s="61">
        <f>_xll.qlYieldTSDiscount($U$35,Y11536,,Trigger)</f>
        <v>0.56842803089049343</v>
      </c>
    </row>
    <row r="11537" spans="25:26" x14ac:dyDescent="0.25">
      <c r="Y11537" s="63">
        <v>54070</v>
      </c>
      <c r="Z11537" s="61">
        <f>_xll.qlYieldTSDiscount($U$35,Y11537,,Trigger)</f>
        <v>0.56838880080018439</v>
      </c>
    </row>
    <row r="11538" spans="25:26" x14ac:dyDescent="0.25">
      <c r="Y11538" s="63">
        <v>54071</v>
      </c>
      <c r="Z11538" s="61">
        <f>_xll.qlYieldTSDiscount($U$35,Y11538,,Trigger)</f>
        <v>0.56834957451934187</v>
      </c>
    </row>
    <row r="11539" spans="25:26" x14ac:dyDescent="0.25">
      <c r="Y11539" s="63">
        <v>54072</v>
      </c>
      <c r="Z11539" s="61">
        <f>_xll.qlYieldTSDiscount($U$35,Y11539,,Trigger)</f>
        <v>0.56831035204759972</v>
      </c>
    </row>
    <row r="11540" spans="25:26" x14ac:dyDescent="0.25">
      <c r="Y11540" s="63">
        <v>54073</v>
      </c>
      <c r="Z11540" s="61">
        <f>_xll.qlYieldTSDiscount($U$35,Y11540,,Trigger)</f>
        <v>0.56827113338459201</v>
      </c>
    </row>
    <row r="11541" spans="25:26" x14ac:dyDescent="0.25">
      <c r="Y11541" s="63">
        <v>54074</v>
      </c>
      <c r="Z11541" s="61">
        <f>_xll.qlYieldTSDiscount($U$35,Y11541,,Trigger)</f>
        <v>0.56823191852995292</v>
      </c>
    </row>
    <row r="11542" spans="25:26" x14ac:dyDescent="0.25">
      <c r="Y11542" s="63">
        <v>54075</v>
      </c>
      <c r="Z11542" s="61">
        <f>_xll.qlYieldTSDiscount($U$35,Y11542,,Trigger)</f>
        <v>0.56819270748331618</v>
      </c>
    </row>
    <row r="11543" spans="25:26" x14ac:dyDescent="0.25">
      <c r="Y11543" s="63">
        <v>54076</v>
      </c>
      <c r="Z11543" s="61">
        <f>_xll.qlYieldTSDiscount($U$35,Y11543,,Trigger)</f>
        <v>0.56815350024431599</v>
      </c>
    </row>
    <row r="11544" spans="25:26" x14ac:dyDescent="0.25">
      <c r="Y11544" s="63">
        <v>54077</v>
      </c>
      <c r="Z11544" s="61">
        <f>_xll.qlYieldTSDiscount($U$35,Y11544,,Trigger)</f>
        <v>0.56811429681258641</v>
      </c>
    </row>
    <row r="11545" spans="25:26" x14ac:dyDescent="0.25">
      <c r="Y11545" s="63">
        <v>54078</v>
      </c>
      <c r="Z11545" s="61">
        <f>_xll.qlYieldTSDiscount($U$35,Y11545,,Trigger)</f>
        <v>0.56807509718776139</v>
      </c>
    </row>
    <row r="11546" spans="25:26" x14ac:dyDescent="0.25">
      <c r="Y11546" s="63">
        <v>54079</v>
      </c>
      <c r="Z11546" s="61">
        <f>_xll.qlYieldTSDiscount($U$35,Y11546,,Trigger)</f>
        <v>0.5680359013694749</v>
      </c>
    </row>
    <row r="11547" spans="25:26" x14ac:dyDescent="0.25">
      <c r="Y11547" s="63">
        <v>54080</v>
      </c>
      <c r="Z11547" s="61">
        <f>_xll.qlYieldTSDiscount($U$35,Y11547,,Trigger)</f>
        <v>0.56799670935736102</v>
      </c>
    </row>
    <row r="11548" spans="25:26" x14ac:dyDescent="0.25">
      <c r="Y11548" s="63">
        <v>54081</v>
      </c>
      <c r="Z11548" s="61">
        <f>_xll.qlYieldTSDiscount($U$35,Y11548,,Trigger)</f>
        <v>0.5679575211510538</v>
      </c>
    </row>
    <row r="11549" spans="25:26" x14ac:dyDescent="0.25">
      <c r="Y11549" s="63">
        <v>54082</v>
      </c>
      <c r="Z11549" s="61">
        <f>_xll.qlYieldTSDiscount($U$35,Y11549,,Trigger)</f>
        <v>0.56791833675018721</v>
      </c>
    </row>
    <row r="11550" spans="25:26" x14ac:dyDescent="0.25">
      <c r="Y11550" s="63">
        <v>54083</v>
      </c>
      <c r="Z11550" s="61">
        <f>_xll.qlYieldTSDiscount($U$35,Y11550,,Trigger)</f>
        <v>0.56787915615439533</v>
      </c>
    </row>
    <row r="11551" spans="25:26" x14ac:dyDescent="0.25">
      <c r="Y11551" s="63">
        <v>54084</v>
      </c>
      <c r="Z11551" s="61">
        <f>_xll.qlYieldTSDiscount($U$35,Y11551,,Trigger)</f>
        <v>0.5678399793633121</v>
      </c>
    </row>
    <row r="11552" spans="25:26" x14ac:dyDescent="0.25">
      <c r="Y11552" s="63">
        <v>54085</v>
      </c>
      <c r="Z11552" s="61">
        <f>_xll.qlYieldTSDiscount($U$35,Y11552,,Trigger)</f>
        <v>0.5678008063765716</v>
      </c>
    </row>
    <row r="11553" spans="25:26" x14ac:dyDescent="0.25">
      <c r="Y11553" s="63">
        <v>54086</v>
      </c>
      <c r="Z11553" s="61">
        <f>_xll.qlYieldTSDiscount($U$35,Y11553,,Trigger)</f>
        <v>0.56776163719380779</v>
      </c>
    </row>
    <row r="11554" spans="25:26" x14ac:dyDescent="0.25">
      <c r="Y11554" s="63">
        <v>54087</v>
      </c>
      <c r="Z11554" s="61">
        <f>_xll.qlYieldTSDiscount($U$35,Y11554,,Trigger)</f>
        <v>0.56772247181465496</v>
      </c>
    </row>
    <row r="11555" spans="25:26" x14ac:dyDescent="0.25">
      <c r="Y11555" s="63">
        <v>54088</v>
      </c>
      <c r="Z11555" s="61">
        <f>_xll.qlYieldTSDiscount($U$35,Y11555,,Trigger)</f>
        <v>0.56768331023874663</v>
      </c>
    </row>
    <row r="11556" spans="25:26" x14ac:dyDescent="0.25">
      <c r="Y11556" s="63">
        <v>54089</v>
      </c>
      <c r="Z11556" s="61">
        <f>_xll.qlYieldTSDiscount($U$35,Y11556,,Trigger)</f>
        <v>0.5676441524657172</v>
      </c>
    </row>
    <row r="11557" spans="25:26" x14ac:dyDescent="0.25">
      <c r="Y11557" s="63">
        <v>54090</v>
      </c>
      <c r="Z11557" s="61">
        <f>_xll.qlYieldTSDiscount($U$35,Y11557,,Trigger)</f>
        <v>0.56760499849520063</v>
      </c>
    </row>
    <row r="11558" spans="25:26" x14ac:dyDescent="0.25">
      <c r="Y11558" s="63">
        <v>54091</v>
      </c>
      <c r="Z11558" s="61">
        <f>_xll.qlYieldTSDiscount($U$35,Y11558,,Trigger)</f>
        <v>0.56756584832683099</v>
      </c>
    </row>
    <row r="11559" spans="25:26" x14ac:dyDescent="0.25">
      <c r="Y11559" s="63">
        <v>54092</v>
      </c>
      <c r="Z11559" s="61">
        <f>_xll.qlYieldTSDiscount($U$35,Y11559,,Trigger)</f>
        <v>0.56752670196024213</v>
      </c>
    </row>
    <row r="11560" spans="25:26" x14ac:dyDescent="0.25">
      <c r="Y11560" s="63">
        <v>54093</v>
      </c>
      <c r="Z11560" s="61">
        <f>_xll.qlYieldTSDiscount($U$35,Y11560,,Trigger)</f>
        <v>0.56748755939506812</v>
      </c>
    </row>
    <row r="11561" spans="25:26" x14ac:dyDescent="0.25">
      <c r="Y11561" s="63">
        <v>54094</v>
      </c>
      <c r="Z11561" s="61">
        <f>_xll.qlYieldTSDiscount($U$35,Y11561,,Trigger)</f>
        <v>0.56744842063094314</v>
      </c>
    </row>
    <row r="11562" spans="25:26" x14ac:dyDescent="0.25">
      <c r="Y11562" s="63">
        <v>54095</v>
      </c>
      <c r="Z11562" s="61">
        <f>_xll.qlYieldTSDiscount($U$35,Y11562,,Trigger)</f>
        <v>0.56740928566750093</v>
      </c>
    </row>
    <row r="11563" spans="25:26" x14ac:dyDescent="0.25">
      <c r="Y11563" s="63">
        <v>54096</v>
      </c>
      <c r="Z11563" s="61">
        <f>_xll.qlYieldTSDiscount($U$35,Y11563,,Trigger)</f>
        <v>0.56737015450437578</v>
      </c>
    </row>
    <row r="11564" spans="25:26" x14ac:dyDescent="0.25">
      <c r="Y11564" s="63">
        <v>54097</v>
      </c>
      <c r="Z11564" s="61">
        <f>_xll.qlYieldTSDiscount($U$35,Y11564,,Trigger)</f>
        <v>0.56733102714120165</v>
      </c>
    </row>
    <row r="11565" spans="25:26" x14ac:dyDescent="0.25">
      <c r="Y11565" s="63">
        <v>54098</v>
      </c>
      <c r="Z11565" s="61">
        <f>_xll.qlYieldTSDiscount($U$35,Y11565,,Trigger)</f>
        <v>0.5672919035776125</v>
      </c>
    </row>
    <row r="11566" spans="25:26" x14ac:dyDescent="0.25">
      <c r="Y11566" s="63">
        <v>54099</v>
      </c>
      <c r="Z11566" s="61">
        <f>_xll.qlYieldTSDiscount($U$35,Y11566,,Trigger)</f>
        <v>0.56725278381324229</v>
      </c>
    </row>
    <row r="11567" spans="25:26" x14ac:dyDescent="0.25">
      <c r="Y11567" s="63">
        <v>54100</v>
      </c>
      <c r="Z11567" s="61">
        <f>_xll.qlYieldTSDiscount($U$35,Y11567,,Trigger)</f>
        <v>0.56721366784772531</v>
      </c>
    </row>
    <row r="11568" spans="25:26" x14ac:dyDescent="0.25">
      <c r="Y11568" s="63">
        <v>54101</v>
      </c>
      <c r="Z11568" s="61">
        <f>_xll.qlYieldTSDiscount($U$35,Y11568,,Trigger)</f>
        <v>0.56717455568069519</v>
      </c>
    </row>
    <row r="11569" spans="25:26" x14ac:dyDescent="0.25">
      <c r="Y11569" s="63">
        <v>54102</v>
      </c>
      <c r="Z11569" s="61">
        <f>_xll.qlYieldTSDiscount($U$35,Y11569,,Trigger)</f>
        <v>0.56713544731178622</v>
      </c>
    </row>
    <row r="11570" spans="25:26" x14ac:dyDescent="0.25">
      <c r="Y11570" s="63">
        <v>54103</v>
      </c>
      <c r="Z11570" s="61">
        <f>_xll.qlYieldTSDiscount($U$35,Y11570,,Trigger)</f>
        <v>0.56709634274063248</v>
      </c>
    </row>
    <row r="11571" spans="25:26" x14ac:dyDescent="0.25">
      <c r="Y11571" s="63">
        <v>54104</v>
      </c>
      <c r="Z11571" s="61">
        <f>_xll.qlYieldTSDiscount($U$35,Y11571,,Trigger)</f>
        <v>0.5670572419668678</v>
      </c>
    </row>
    <row r="11572" spans="25:26" x14ac:dyDescent="0.25">
      <c r="Y11572" s="63">
        <v>54105</v>
      </c>
      <c r="Z11572" s="61">
        <f>_xll.qlYieldTSDiscount($U$35,Y11572,,Trigger)</f>
        <v>0.56701814499012615</v>
      </c>
    </row>
    <row r="11573" spans="25:26" x14ac:dyDescent="0.25">
      <c r="Y11573" s="63">
        <v>54106</v>
      </c>
      <c r="Z11573" s="61">
        <f>_xll.qlYieldTSDiscount($U$35,Y11573,,Trigger)</f>
        <v>0.56697905181004182</v>
      </c>
    </row>
    <row r="11574" spans="25:26" x14ac:dyDescent="0.25">
      <c r="Y11574" s="63">
        <v>54107</v>
      </c>
      <c r="Z11574" s="61">
        <f>_xll.qlYieldTSDiscount($U$35,Y11574,,Trigger)</f>
        <v>0.56693996242624867</v>
      </c>
    </row>
    <row r="11575" spans="25:26" x14ac:dyDescent="0.25">
      <c r="Y11575" s="63">
        <v>54108</v>
      </c>
      <c r="Z11575" s="61">
        <f>_xll.qlYieldTSDiscount($U$35,Y11575,,Trigger)</f>
        <v>0.56690087683838075</v>
      </c>
    </row>
    <row r="11576" spans="25:26" x14ac:dyDescent="0.25">
      <c r="Y11576" s="63">
        <v>54109</v>
      </c>
      <c r="Z11576" s="61">
        <f>_xll.qlYieldTSDiscount($U$35,Y11576,,Trigger)</f>
        <v>0.56686179504607193</v>
      </c>
    </row>
    <row r="11577" spans="25:26" x14ac:dyDescent="0.25">
      <c r="Y11577" s="63">
        <v>54110</v>
      </c>
      <c r="Z11577" s="61">
        <f>_xll.qlYieldTSDiscount($U$35,Y11577,,Trigger)</f>
        <v>0.56682271704895659</v>
      </c>
    </row>
    <row r="11578" spans="25:26" x14ac:dyDescent="0.25">
      <c r="Y11578" s="63">
        <v>54111</v>
      </c>
      <c r="Z11578" s="61">
        <f>_xll.qlYieldTSDiscount($U$35,Y11578,,Trigger)</f>
        <v>0.56678364284666838</v>
      </c>
    </row>
    <row r="11579" spans="25:26" x14ac:dyDescent="0.25">
      <c r="Y11579" s="63">
        <v>54112</v>
      </c>
      <c r="Z11579" s="61">
        <f>_xll.qlYieldTSDiscount($U$35,Y11579,,Trigger)</f>
        <v>0.56674457243884158</v>
      </c>
    </row>
    <row r="11580" spans="25:26" x14ac:dyDescent="0.25">
      <c r="Y11580" s="63">
        <v>54113</v>
      </c>
      <c r="Z11580" s="61">
        <f>_xll.qlYieldTSDiscount($U$35,Y11580,,Trigger)</f>
        <v>0.56670550582511015</v>
      </c>
    </row>
    <row r="11581" spans="25:26" x14ac:dyDescent="0.25">
      <c r="Y11581" s="63">
        <v>54114</v>
      </c>
      <c r="Z11581" s="61">
        <f>_xll.qlYieldTSDiscount($U$35,Y11581,,Trigger)</f>
        <v>0.56666644300510793</v>
      </c>
    </row>
    <row r="11582" spans="25:26" x14ac:dyDescent="0.25">
      <c r="Y11582" s="63">
        <v>54115</v>
      </c>
      <c r="Z11582" s="61">
        <f>_xll.qlYieldTSDiscount($U$35,Y11582,,Trigger)</f>
        <v>0.56662738397846912</v>
      </c>
    </row>
    <row r="11583" spans="25:26" x14ac:dyDescent="0.25">
      <c r="Y11583" s="63">
        <v>54116</v>
      </c>
      <c r="Z11583" s="61">
        <f>_xll.qlYieldTSDiscount($U$35,Y11583,,Trigger)</f>
        <v>0.56658832874482778</v>
      </c>
    </row>
    <row r="11584" spans="25:26" x14ac:dyDescent="0.25">
      <c r="Y11584" s="63">
        <v>54117</v>
      </c>
      <c r="Z11584" s="61">
        <f>_xll.qlYieldTSDiscount($U$35,Y11584,,Trigger)</f>
        <v>0.56654927730381777</v>
      </c>
    </row>
    <row r="11585" spans="25:26" x14ac:dyDescent="0.25">
      <c r="Y11585" s="63">
        <v>54118</v>
      </c>
      <c r="Z11585" s="61">
        <f>_xll.qlYieldTSDiscount($U$35,Y11585,,Trigger)</f>
        <v>0.56651022965507314</v>
      </c>
    </row>
    <row r="11586" spans="25:26" x14ac:dyDescent="0.25">
      <c r="Y11586" s="63">
        <v>54119</v>
      </c>
      <c r="Z11586" s="61">
        <f>_xll.qlYieldTSDiscount($U$35,Y11586,,Trigger)</f>
        <v>0.56647118579822819</v>
      </c>
    </row>
    <row r="11587" spans="25:26" x14ac:dyDescent="0.25">
      <c r="Y11587" s="63">
        <v>54120</v>
      </c>
      <c r="Z11587" s="61">
        <f>_xll.qlYieldTSDiscount($U$35,Y11587,,Trigger)</f>
        <v>0.56643214573291656</v>
      </c>
    </row>
    <row r="11588" spans="25:26" x14ac:dyDescent="0.25">
      <c r="Y11588" s="63">
        <v>54121</v>
      </c>
      <c r="Z11588" s="61">
        <f>_xll.qlYieldTSDiscount($U$35,Y11588,,Trigger)</f>
        <v>0.56639310945877241</v>
      </c>
    </row>
    <row r="11589" spans="25:26" x14ac:dyDescent="0.25">
      <c r="Y11589" s="63">
        <v>54122</v>
      </c>
      <c r="Z11589" s="61">
        <f>_xll.qlYieldTSDiscount($U$35,Y11589,,Trigger)</f>
        <v>0.56635407697542983</v>
      </c>
    </row>
    <row r="11590" spans="25:26" x14ac:dyDescent="0.25">
      <c r="Y11590" s="63">
        <v>54123</v>
      </c>
      <c r="Z11590" s="61">
        <f>_xll.qlYieldTSDiscount($U$35,Y11590,,Trigger)</f>
        <v>0.56631504828252288</v>
      </c>
    </row>
    <row r="11591" spans="25:26" x14ac:dyDescent="0.25">
      <c r="Y11591" s="63">
        <v>54124</v>
      </c>
      <c r="Z11591" s="61">
        <f>_xll.qlYieldTSDiscount($U$35,Y11591,,Trigger)</f>
        <v>0.56627602337968541</v>
      </c>
    </row>
    <row r="11592" spans="25:26" x14ac:dyDescent="0.25">
      <c r="Y11592" s="63">
        <v>54125</v>
      </c>
      <c r="Z11592" s="61">
        <f>_xll.qlYieldTSDiscount($U$35,Y11592,,Trigger)</f>
        <v>0.5662370022665516</v>
      </c>
    </row>
    <row r="11593" spans="25:26" x14ac:dyDescent="0.25">
      <c r="Y11593" s="63">
        <v>54126</v>
      </c>
      <c r="Z11593" s="61">
        <f>_xll.qlYieldTSDiscount($U$35,Y11593,,Trigger)</f>
        <v>0.56619798494275542</v>
      </c>
    </row>
    <row r="11594" spans="25:26" x14ac:dyDescent="0.25">
      <c r="Y11594" s="63">
        <v>54127</v>
      </c>
      <c r="Z11594" s="61">
        <f>_xll.qlYieldTSDiscount($U$35,Y11594,,Trigger)</f>
        <v>0.56615897140793081</v>
      </c>
    </row>
    <row r="11595" spans="25:26" x14ac:dyDescent="0.25">
      <c r="Y11595" s="63">
        <v>54128</v>
      </c>
      <c r="Z11595" s="61">
        <f>_xll.qlYieldTSDiscount($U$35,Y11595,,Trigger)</f>
        <v>0.56611996166171186</v>
      </c>
    </row>
    <row r="11596" spans="25:26" x14ac:dyDescent="0.25">
      <c r="Y11596" s="63">
        <v>54129</v>
      </c>
      <c r="Z11596" s="61">
        <f>_xll.qlYieldTSDiscount($U$35,Y11596,,Trigger)</f>
        <v>0.56608095570373262</v>
      </c>
    </row>
    <row r="11597" spans="25:26" x14ac:dyDescent="0.25">
      <c r="Y11597" s="63">
        <v>54130</v>
      </c>
      <c r="Z11597" s="61">
        <f>_xll.qlYieldTSDiscount($U$35,Y11597,,Trigger)</f>
        <v>0.56604195353362707</v>
      </c>
    </row>
    <row r="11598" spans="25:26" x14ac:dyDescent="0.25">
      <c r="Y11598" s="63">
        <v>54131</v>
      </c>
      <c r="Z11598" s="61">
        <f>_xll.qlYieldTSDiscount($U$35,Y11598,,Trigger)</f>
        <v>0.56600295515102916</v>
      </c>
    </row>
    <row r="11599" spans="25:26" x14ac:dyDescent="0.25">
      <c r="Y11599" s="63">
        <v>54132</v>
      </c>
      <c r="Z11599" s="61">
        <f>_xll.qlYieldTSDiscount($U$35,Y11599,,Trigger)</f>
        <v>0.56596396055557319</v>
      </c>
    </row>
    <row r="11600" spans="25:26" x14ac:dyDescent="0.25">
      <c r="Y11600" s="63">
        <v>54133</v>
      </c>
      <c r="Z11600" s="61">
        <f>_xll.qlYieldTSDiscount($U$35,Y11600,,Trigger)</f>
        <v>0.56592496974689277</v>
      </c>
    </row>
    <row r="11601" spans="25:26" x14ac:dyDescent="0.25">
      <c r="Y11601" s="63">
        <v>54134</v>
      </c>
      <c r="Z11601" s="61">
        <f>_xll.qlYieldTSDiscount($U$35,Y11601,,Trigger)</f>
        <v>0.56588598272462221</v>
      </c>
    </row>
    <row r="11602" spans="25:26" x14ac:dyDescent="0.25">
      <c r="Y11602" s="63">
        <v>54135</v>
      </c>
      <c r="Z11602" s="61">
        <f>_xll.qlYieldTSDiscount($U$35,Y11602,,Trigger)</f>
        <v>0.56584699948839545</v>
      </c>
    </row>
    <row r="11603" spans="25:26" x14ac:dyDescent="0.25">
      <c r="Y11603" s="63">
        <v>54136</v>
      </c>
      <c r="Z11603" s="61">
        <f>_xll.qlYieldTSDiscount($U$35,Y11603,,Trigger)</f>
        <v>0.56580802003784669</v>
      </c>
    </row>
    <row r="11604" spans="25:26" x14ac:dyDescent="0.25">
      <c r="Y11604" s="63">
        <v>54137</v>
      </c>
      <c r="Z11604" s="61">
        <f>_xll.qlYieldTSDiscount($U$35,Y11604,,Trigger)</f>
        <v>0.56576904437260955</v>
      </c>
    </row>
    <row r="11605" spans="25:26" x14ac:dyDescent="0.25">
      <c r="Y11605" s="63">
        <v>54138</v>
      </c>
      <c r="Z11605" s="61">
        <f>_xll.qlYieldTSDiscount($U$35,Y11605,,Trigger)</f>
        <v>0.56573007249231844</v>
      </c>
    </row>
    <row r="11606" spans="25:26" x14ac:dyDescent="0.25">
      <c r="Y11606" s="63">
        <v>54139</v>
      </c>
      <c r="Z11606" s="61">
        <f>_xll.qlYieldTSDiscount($U$35,Y11606,,Trigger)</f>
        <v>0.56569110439660719</v>
      </c>
    </row>
    <row r="11607" spans="25:26" x14ac:dyDescent="0.25">
      <c r="Y11607" s="63">
        <v>54140</v>
      </c>
      <c r="Z11607" s="61">
        <f>_xll.qlYieldTSDiscount($U$35,Y11607,,Trigger)</f>
        <v>0.56565214008510989</v>
      </c>
    </row>
    <row r="11608" spans="25:26" x14ac:dyDescent="0.25">
      <c r="Y11608" s="63">
        <v>54141</v>
      </c>
      <c r="Z11608" s="61">
        <f>_xll.qlYieldTSDiscount($U$35,Y11608,,Trigger)</f>
        <v>0.56561317955746049</v>
      </c>
    </row>
    <row r="11609" spans="25:26" x14ac:dyDescent="0.25">
      <c r="Y11609" s="63">
        <v>54142</v>
      </c>
      <c r="Z11609" s="61">
        <f>_xll.qlYieldTSDiscount($U$35,Y11609,,Trigger)</f>
        <v>0.56557422281329306</v>
      </c>
    </row>
    <row r="11610" spans="25:26" x14ac:dyDescent="0.25">
      <c r="Y11610" s="63">
        <v>54143</v>
      </c>
      <c r="Z11610" s="61">
        <f>_xll.qlYieldTSDiscount($U$35,Y11610,,Trigger)</f>
        <v>0.56553526985224156</v>
      </c>
    </row>
    <row r="11611" spans="25:26" x14ac:dyDescent="0.25">
      <c r="Y11611" s="63">
        <v>54144</v>
      </c>
      <c r="Z11611" s="61">
        <f>_xll.qlYieldTSDiscount($U$35,Y11611,,Trigger)</f>
        <v>0.56549632067394018</v>
      </c>
    </row>
    <row r="11612" spans="25:26" x14ac:dyDescent="0.25">
      <c r="Y11612" s="63">
        <v>54145</v>
      </c>
      <c r="Z11612" s="61">
        <f>_xll.qlYieldTSDiscount($U$35,Y11612,,Trigger)</f>
        <v>0.56545737527802276</v>
      </c>
    </row>
    <row r="11613" spans="25:26" x14ac:dyDescent="0.25">
      <c r="Y11613" s="63">
        <v>54146</v>
      </c>
      <c r="Z11613" s="61">
        <f>_xll.qlYieldTSDiscount($U$35,Y11613,,Trigger)</f>
        <v>0.56541843366412337</v>
      </c>
    </row>
    <row r="11614" spans="25:26" x14ac:dyDescent="0.25">
      <c r="Y11614" s="63">
        <v>54147</v>
      </c>
      <c r="Z11614" s="61">
        <f>_xll.qlYieldTSDiscount($U$35,Y11614,,Trigger)</f>
        <v>0.56537949583187608</v>
      </c>
    </row>
    <row r="11615" spans="25:26" x14ac:dyDescent="0.25">
      <c r="Y11615" s="63">
        <v>54148</v>
      </c>
      <c r="Z11615" s="61">
        <f>_xll.qlYieldTSDiscount($U$35,Y11615,,Trigger)</f>
        <v>0.56534056178091496</v>
      </c>
    </row>
    <row r="11616" spans="25:26" x14ac:dyDescent="0.25">
      <c r="Y11616" s="63">
        <v>54149</v>
      </c>
      <c r="Z11616" s="61">
        <f>_xll.qlYieldTSDiscount($U$35,Y11616,,Trigger)</f>
        <v>0.56530163151087387</v>
      </c>
    </row>
    <row r="11617" spans="25:26" x14ac:dyDescent="0.25">
      <c r="Y11617" s="63">
        <v>54150</v>
      </c>
      <c r="Z11617" s="61">
        <f>_xll.qlYieldTSDiscount($U$35,Y11617,,Trigger)</f>
        <v>0.56526270502138698</v>
      </c>
    </row>
    <row r="11618" spans="25:26" x14ac:dyDescent="0.25">
      <c r="Y11618" s="63">
        <v>54151</v>
      </c>
      <c r="Z11618" s="61">
        <f>_xll.qlYieldTSDiscount($U$35,Y11618,,Trigger)</f>
        <v>0.56522378231208814</v>
      </c>
    </row>
    <row r="11619" spans="25:26" x14ac:dyDescent="0.25">
      <c r="Y11619" s="63">
        <v>54152</v>
      </c>
      <c r="Z11619" s="61">
        <f>_xll.qlYieldTSDiscount($U$35,Y11619,,Trigger)</f>
        <v>0.56518486338261165</v>
      </c>
    </row>
    <row r="11620" spans="25:26" x14ac:dyDescent="0.25">
      <c r="Y11620" s="63">
        <v>54153</v>
      </c>
      <c r="Z11620" s="61">
        <f>_xll.qlYieldTSDiscount($U$35,Y11620,,Trigger)</f>
        <v>0.56514594823259123</v>
      </c>
    </row>
    <row r="11621" spans="25:26" x14ac:dyDescent="0.25">
      <c r="Y11621" s="63">
        <v>54154</v>
      </c>
      <c r="Z11621" s="61">
        <f>_xll.qlYieldTSDiscount($U$35,Y11621,,Trigger)</f>
        <v>0.56510703686166097</v>
      </c>
    </row>
    <row r="11622" spans="25:26" x14ac:dyDescent="0.25">
      <c r="Y11622" s="63">
        <v>54155</v>
      </c>
      <c r="Z11622" s="61">
        <f>_xll.qlYieldTSDiscount($U$35,Y11622,,Trigger)</f>
        <v>0.56506812926945515</v>
      </c>
    </row>
    <row r="11623" spans="25:26" x14ac:dyDescent="0.25">
      <c r="Y11623" s="63">
        <v>54156</v>
      </c>
      <c r="Z11623" s="61">
        <f>_xll.qlYieldTSDiscount($U$35,Y11623,,Trigger)</f>
        <v>0.56502922545560752</v>
      </c>
    </row>
    <row r="11624" spans="25:26" x14ac:dyDescent="0.25">
      <c r="Y11624" s="63">
        <v>54157</v>
      </c>
      <c r="Z11624" s="61">
        <f>_xll.qlYieldTSDiscount($U$35,Y11624,,Trigger)</f>
        <v>0.56499032541975214</v>
      </c>
    </row>
    <row r="11625" spans="25:26" x14ac:dyDescent="0.25">
      <c r="Y11625" s="63">
        <v>54158</v>
      </c>
      <c r="Z11625" s="61">
        <f>_xll.qlYieldTSDiscount($U$35,Y11625,,Trigger)</f>
        <v>0.56495142916152319</v>
      </c>
    </row>
    <row r="11626" spans="25:26" x14ac:dyDescent="0.25">
      <c r="Y11626" s="63">
        <v>54159</v>
      </c>
      <c r="Z11626" s="61">
        <f>_xll.qlYieldTSDiscount($U$35,Y11626,,Trigger)</f>
        <v>0.56491253668055441</v>
      </c>
    </row>
    <row r="11627" spans="25:26" x14ac:dyDescent="0.25">
      <c r="Y11627" s="63">
        <v>54160</v>
      </c>
      <c r="Z11627" s="61">
        <f>_xll.qlYieldTSDiscount($U$35,Y11627,,Trigger)</f>
        <v>0.5648736479764801</v>
      </c>
    </row>
    <row r="11628" spans="25:26" x14ac:dyDescent="0.25">
      <c r="Y11628" s="63">
        <v>54161</v>
      </c>
      <c r="Z11628" s="61">
        <f>_xll.qlYieldTSDiscount($U$35,Y11628,,Trigger)</f>
        <v>0.56483476304893421</v>
      </c>
    </row>
    <row r="11629" spans="25:26" x14ac:dyDescent="0.25">
      <c r="Y11629" s="63">
        <v>54162</v>
      </c>
      <c r="Z11629" s="61">
        <f>_xll.qlYieldTSDiscount($U$35,Y11629,,Trigger)</f>
        <v>0.56479588189755059</v>
      </c>
    </row>
    <row r="11630" spans="25:26" x14ac:dyDescent="0.25">
      <c r="Y11630" s="63">
        <v>54163</v>
      </c>
      <c r="Z11630" s="61">
        <f>_xll.qlYieldTSDiscount($U$35,Y11630,,Trigger)</f>
        <v>0.56475700452196342</v>
      </c>
    </row>
    <row r="11631" spans="25:26" x14ac:dyDescent="0.25">
      <c r="Y11631" s="63">
        <v>54164</v>
      </c>
      <c r="Z11631" s="61">
        <f>_xll.qlYieldTSDiscount($U$35,Y11631,,Trigger)</f>
        <v>0.56471813092180689</v>
      </c>
    </row>
    <row r="11632" spans="25:26" x14ac:dyDescent="0.25">
      <c r="Y11632" s="63">
        <v>54165</v>
      </c>
      <c r="Z11632" s="61">
        <f>_xll.qlYieldTSDiscount($U$35,Y11632,,Trigger)</f>
        <v>0.56467926109671462</v>
      </c>
    </row>
    <row r="11633" spans="25:26" x14ac:dyDescent="0.25">
      <c r="Y11633" s="63">
        <v>54166</v>
      </c>
      <c r="Z11633" s="61">
        <f>_xll.qlYieldTSDiscount($U$35,Y11633,,Trigger)</f>
        <v>0.5646403950463208</v>
      </c>
    </row>
    <row r="11634" spans="25:26" x14ac:dyDescent="0.25">
      <c r="Y11634" s="63">
        <v>54167</v>
      </c>
      <c r="Z11634" s="61">
        <f>_xll.qlYieldTSDiscount($U$35,Y11634,,Trigger)</f>
        <v>0.5646015327702596</v>
      </c>
    </row>
    <row r="11635" spans="25:26" x14ac:dyDescent="0.25">
      <c r="Y11635" s="63">
        <v>54168</v>
      </c>
      <c r="Z11635" s="61">
        <f>_xll.qlYieldTSDiscount($U$35,Y11635,,Trigger)</f>
        <v>0.56456267426816498</v>
      </c>
    </row>
    <row r="11636" spans="25:26" x14ac:dyDescent="0.25">
      <c r="Y11636" s="63">
        <v>54169</v>
      </c>
      <c r="Z11636" s="61">
        <f>_xll.qlYieldTSDiscount($U$35,Y11636,,Trigger)</f>
        <v>0.56452381953967079</v>
      </c>
    </row>
    <row r="11637" spans="25:26" x14ac:dyDescent="0.25">
      <c r="Y11637" s="63">
        <v>54170</v>
      </c>
      <c r="Z11637" s="61">
        <f>_xll.qlYieldTSDiscount($U$35,Y11637,,Trigger)</f>
        <v>0.56448496858441122</v>
      </c>
    </row>
    <row r="11638" spans="25:26" x14ac:dyDescent="0.25">
      <c r="Y11638" s="63">
        <v>54171</v>
      </c>
      <c r="Z11638" s="61">
        <f>_xll.qlYieldTSDiscount($U$35,Y11638,,Trigger)</f>
        <v>0.56444612140202033</v>
      </c>
    </row>
    <row r="11639" spans="25:26" x14ac:dyDescent="0.25">
      <c r="Y11639" s="63">
        <v>54172</v>
      </c>
      <c r="Z11639" s="61">
        <f>_xll.qlYieldTSDiscount($U$35,Y11639,,Trigger)</f>
        <v>0.56440727799213197</v>
      </c>
    </row>
    <row r="11640" spans="25:26" x14ac:dyDescent="0.25">
      <c r="Y11640" s="63">
        <v>54173</v>
      </c>
      <c r="Z11640" s="61">
        <f>_xll.qlYieldTSDiscount($U$35,Y11640,,Trigger)</f>
        <v>0.56436843835438022</v>
      </c>
    </row>
    <row r="11641" spans="25:26" x14ac:dyDescent="0.25">
      <c r="Y11641" s="63">
        <v>54174</v>
      </c>
      <c r="Z11641" s="61">
        <f>_xll.qlYieldTSDiscount($U$35,Y11641,,Trigger)</f>
        <v>0.56432960248839925</v>
      </c>
    </row>
    <row r="11642" spans="25:26" x14ac:dyDescent="0.25">
      <c r="Y11642" s="63">
        <v>54175</v>
      </c>
      <c r="Z11642" s="61">
        <f>_xll.qlYieldTSDiscount($U$35,Y11642,,Trigger)</f>
        <v>0.56429077039382292</v>
      </c>
    </row>
    <row r="11643" spans="25:26" x14ac:dyDescent="0.25">
      <c r="Y11643" s="63">
        <v>54176</v>
      </c>
      <c r="Z11643" s="61">
        <f>_xll.qlYieldTSDiscount($U$35,Y11643,,Trigger)</f>
        <v>0.56425194207028517</v>
      </c>
    </row>
    <row r="11644" spans="25:26" x14ac:dyDescent="0.25">
      <c r="Y11644" s="63">
        <v>54177</v>
      </c>
      <c r="Z11644" s="61">
        <f>_xll.qlYieldTSDiscount($U$35,Y11644,,Trigger)</f>
        <v>0.56421311751742043</v>
      </c>
    </row>
    <row r="11645" spans="25:26" x14ac:dyDescent="0.25">
      <c r="Y11645" s="63">
        <v>54178</v>
      </c>
      <c r="Z11645" s="61">
        <f>_xll.qlYieldTSDiscount($U$35,Y11645,,Trigger)</f>
        <v>0.56417429673486219</v>
      </c>
    </row>
    <row r="11646" spans="25:26" x14ac:dyDescent="0.25">
      <c r="Y11646" s="63">
        <v>54179</v>
      </c>
      <c r="Z11646" s="61">
        <f>_xll.qlYieldTSDiscount($U$35,Y11646,,Trigger)</f>
        <v>0.56413547972224476</v>
      </c>
    </row>
    <row r="11647" spans="25:26" x14ac:dyDescent="0.25">
      <c r="Y11647" s="63">
        <v>54180</v>
      </c>
      <c r="Z11647" s="61">
        <f>_xll.qlYieldTSDiscount($U$35,Y11647,,Trigger)</f>
        <v>0.5640966664792022</v>
      </c>
    </row>
    <row r="11648" spans="25:26" x14ac:dyDescent="0.25">
      <c r="Y11648" s="63">
        <v>54181</v>
      </c>
      <c r="Z11648" s="61">
        <f>_xll.qlYieldTSDiscount($U$35,Y11648,,Trigger)</f>
        <v>0.56405785700536848</v>
      </c>
    </row>
    <row r="11649" spans="25:26" x14ac:dyDescent="0.25">
      <c r="Y11649" s="63">
        <v>54182</v>
      </c>
      <c r="Z11649" s="61">
        <f>_xll.qlYieldTSDiscount($U$35,Y11649,,Trigger)</f>
        <v>0.56401905130037755</v>
      </c>
    </row>
    <row r="11650" spans="25:26" x14ac:dyDescent="0.25">
      <c r="Y11650" s="63">
        <v>54183</v>
      </c>
      <c r="Z11650" s="61">
        <f>_xll.qlYieldTSDiscount($U$35,Y11650,,Trigger)</f>
        <v>0.56398024936386337</v>
      </c>
    </row>
    <row r="11651" spans="25:26" x14ac:dyDescent="0.25">
      <c r="Y11651" s="63">
        <v>54184</v>
      </c>
      <c r="Z11651" s="61">
        <f>_xll.qlYieldTSDiscount($U$35,Y11651,,Trigger)</f>
        <v>0.56394145119546024</v>
      </c>
    </row>
    <row r="11652" spans="25:26" x14ac:dyDescent="0.25">
      <c r="Y11652" s="63">
        <v>54185</v>
      </c>
      <c r="Z11652" s="61">
        <f>_xll.qlYieldTSDiscount($U$35,Y11652,,Trigger)</f>
        <v>0.563902656794802</v>
      </c>
    </row>
    <row r="11653" spans="25:26" x14ac:dyDescent="0.25">
      <c r="Y11653" s="63">
        <v>54186</v>
      </c>
      <c r="Z11653" s="61">
        <f>_xll.qlYieldTSDiscount($U$35,Y11653,,Trigger)</f>
        <v>0.56386386616152251</v>
      </c>
    </row>
    <row r="11654" spans="25:26" x14ac:dyDescent="0.25">
      <c r="Y11654" s="63">
        <v>54187</v>
      </c>
      <c r="Z11654" s="61">
        <f>_xll.qlYieldTSDiscount($U$35,Y11654,,Trigger)</f>
        <v>0.56382507929525627</v>
      </c>
    </row>
    <row r="11655" spans="25:26" x14ac:dyDescent="0.25">
      <c r="Y11655" s="63">
        <v>54188</v>
      </c>
      <c r="Z11655" s="61">
        <f>_xll.qlYieldTSDiscount($U$35,Y11655,,Trigger)</f>
        <v>0.56378629619563669</v>
      </c>
    </row>
    <row r="11656" spans="25:26" x14ac:dyDescent="0.25">
      <c r="Y11656" s="63">
        <v>54189</v>
      </c>
      <c r="Z11656" s="61">
        <f>_xll.qlYieldTSDiscount($U$35,Y11656,,Trigger)</f>
        <v>0.56374751686229829</v>
      </c>
    </row>
    <row r="11657" spans="25:26" x14ac:dyDescent="0.25">
      <c r="Y11657" s="63">
        <v>54190</v>
      </c>
      <c r="Z11657" s="61">
        <f>_xll.qlYieldTSDiscount($U$35,Y11657,,Trigger)</f>
        <v>0.56370874129487492</v>
      </c>
    </row>
    <row r="11658" spans="25:26" x14ac:dyDescent="0.25">
      <c r="Y11658" s="63">
        <v>54191</v>
      </c>
      <c r="Z11658" s="61">
        <f>_xll.qlYieldTSDiscount($U$35,Y11658,,Trigger)</f>
        <v>0.56366996949300052</v>
      </c>
    </row>
    <row r="11659" spans="25:26" x14ac:dyDescent="0.25">
      <c r="Y11659" s="63">
        <v>54192</v>
      </c>
      <c r="Z11659" s="61">
        <f>_xll.qlYieldTSDiscount($U$35,Y11659,,Trigger)</f>
        <v>0.56363120145630907</v>
      </c>
    </row>
    <row r="11660" spans="25:26" x14ac:dyDescent="0.25">
      <c r="Y11660" s="63">
        <v>54193</v>
      </c>
      <c r="Z11660" s="61">
        <f>_xll.qlYieldTSDiscount($U$35,Y11660,,Trigger)</f>
        <v>0.56359243718443486</v>
      </c>
    </row>
    <row r="11661" spans="25:26" x14ac:dyDescent="0.25">
      <c r="Y11661" s="63">
        <v>54194</v>
      </c>
      <c r="Z11661" s="61">
        <f>_xll.qlYieldTSDiscount($U$35,Y11661,,Trigger)</f>
        <v>0.56355367667701173</v>
      </c>
    </row>
    <row r="11662" spans="25:26" x14ac:dyDescent="0.25">
      <c r="Y11662" s="63">
        <v>54195</v>
      </c>
      <c r="Z11662" s="61">
        <f>_xll.qlYieldTSDiscount($U$35,Y11662,,Trigger)</f>
        <v>0.56351491993367364</v>
      </c>
    </row>
    <row r="11663" spans="25:26" x14ac:dyDescent="0.25">
      <c r="Y11663" s="63">
        <v>54196</v>
      </c>
      <c r="Z11663" s="61">
        <f>_xll.qlYieldTSDiscount($U$35,Y11663,,Trigger)</f>
        <v>0.56347616695405467</v>
      </c>
    </row>
    <row r="11664" spans="25:26" x14ac:dyDescent="0.25">
      <c r="Y11664" s="63">
        <v>54197</v>
      </c>
      <c r="Z11664" s="61">
        <f>_xll.qlYieldTSDiscount($U$35,Y11664,,Trigger)</f>
        <v>0.5634374177377891</v>
      </c>
    </row>
    <row r="11665" spans="25:26" x14ac:dyDescent="0.25">
      <c r="Y11665" s="63">
        <v>54198</v>
      </c>
      <c r="Z11665" s="61">
        <f>_xll.qlYieldTSDiscount($U$35,Y11665,,Trigger)</f>
        <v>0.56339867228451046</v>
      </c>
    </row>
    <row r="11666" spans="25:26" x14ac:dyDescent="0.25">
      <c r="Y11666" s="63">
        <v>54199</v>
      </c>
      <c r="Z11666" s="61">
        <f>_xll.qlYieldTSDiscount($U$35,Y11666,,Trigger)</f>
        <v>0.56335993059385314</v>
      </c>
    </row>
    <row r="11667" spans="25:26" x14ac:dyDescent="0.25">
      <c r="Y11667" s="63">
        <v>54200</v>
      </c>
      <c r="Z11667" s="61">
        <f>_xll.qlYieldTSDiscount($U$35,Y11667,,Trigger)</f>
        <v>0.56332119266545111</v>
      </c>
    </row>
    <row r="11668" spans="25:26" x14ac:dyDescent="0.25">
      <c r="Y11668" s="63">
        <v>54201</v>
      </c>
      <c r="Z11668" s="61">
        <f>_xll.qlYieldTSDiscount($U$35,Y11668,,Trigger)</f>
        <v>0.56328245849893821</v>
      </c>
    </row>
    <row r="11669" spans="25:26" x14ac:dyDescent="0.25">
      <c r="Y11669" s="63">
        <v>54202</v>
      </c>
      <c r="Z11669" s="61">
        <f>_xll.qlYieldTSDiscount($U$35,Y11669,,Trigger)</f>
        <v>0.56324372809394863</v>
      </c>
    </row>
    <row r="11670" spans="25:26" x14ac:dyDescent="0.25">
      <c r="Y11670" s="63">
        <v>54203</v>
      </c>
      <c r="Z11670" s="61">
        <f>_xll.qlYieldTSDiscount($U$35,Y11670,,Trigger)</f>
        <v>0.56320500145011643</v>
      </c>
    </row>
    <row r="11671" spans="25:26" x14ac:dyDescent="0.25">
      <c r="Y11671" s="63">
        <v>54204</v>
      </c>
      <c r="Z11671" s="61">
        <f>_xll.qlYieldTSDiscount($U$35,Y11671,,Trigger)</f>
        <v>0.56316627856707546</v>
      </c>
    </row>
    <row r="11672" spans="25:26" x14ac:dyDescent="0.25">
      <c r="Y11672" s="63">
        <v>54205</v>
      </c>
      <c r="Z11672" s="61">
        <f>_xll.qlYieldTSDiscount($U$35,Y11672,,Trigger)</f>
        <v>0.5631275594444598</v>
      </c>
    </row>
    <row r="11673" spans="25:26" x14ac:dyDescent="0.25">
      <c r="Y11673" s="63">
        <v>54206</v>
      </c>
      <c r="Z11673" s="61">
        <f>_xll.qlYieldTSDiscount($U$35,Y11673,,Trigger)</f>
        <v>0.56308884408190363</v>
      </c>
    </row>
    <row r="11674" spans="25:26" x14ac:dyDescent="0.25">
      <c r="Y11674" s="63">
        <v>54207</v>
      </c>
      <c r="Z11674" s="61">
        <f>_xll.qlYieldTSDiscount($U$35,Y11674,,Trigger)</f>
        <v>0.56305013247904079</v>
      </c>
    </row>
    <row r="11675" spans="25:26" x14ac:dyDescent="0.25">
      <c r="Y11675" s="63">
        <v>54208</v>
      </c>
      <c r="Z11675" s="61">
        <f>_xll.qlYieldTSDiscount($U$35,Y11675,,Trigger)</f>
        <v>0.56301142463550524</v>
      </c>
    </row>
    <row r="11676" spans="25:26" x14ac:dyDescent="0.25">
      <c r="Y11676" s="63">
        <v>54209</v>
      </c>
      <c r="Z11676" s="61">
        <f>_xll.qlYieldTSDiscount($U$35,Y11676,,Trigger)</f>
        <v>0.56297272055093128</v>
      </c>
    </row>
    <row r="11677" spans="25:26" x14ac:dyDescent="0.25">
      <c r="Y11677" s="63">
        <v>54210</v>
      </c>
      <c r="Z11677" s="61">
        <f>_xll.qlYieldTSDiscount($U$35,Y11677,,Trigger)</f>
        <v>0.56293402022495276</v>
      </c>
    </row>
    <row r="11678" spans="25:26" x14ac:dyDescent="0.25">
      <c r="Y11678" s="63">
        <v>54211</v>
      </c>
      <c r="Z11678" s="61">
        <f>_xll.qlYieldTSDiscount($U$35,Y11678,,Trigger)</f>
        <v>0.56289532365720363</v>
      </c>
    </row>
    <row r="11679" spans="25:26" x14ac:dyDescent="0.25">
      <c r="Y11679" s="63">
        <v>54212</v>
      </c>
      <c r="Z11679" s="61">
        <f>_xll.qlYieldTSDiscount($U$35,Y11679,,Trigger)</f>
        <v>0.56285663084731796</v>
      </c>
    </row>
    <row r="11680" spans="25:26" x14ac:dyDescent="0.25">
      <c r="Y11680" s="63">
        <v>54213</v>
      </c>
      <c r="Z11680" s="61">
        <f>_xll.qlYieldTSDiscount($U$35,Y11680,,Trigger)</f>
        <v>0.56281794179492994</v>
      </c>
    </row>
    <row r="11681" spans="25:26" x14ac:dyDescent="0.25">
      <c r="Y11681" s="63">
        <v>54214</v>
      </c>
      <c r="Z11681" s="61">
        <f>_xll.qlYieldTSDiscount($U$35,Y11681,,Trigger)</f>
        <v>0.56277925649967331</v>
      </c>
    </row>
    <row r="11682" spans="25:26" x14ac:dyDescent="0.25">
      <c r="Y11682" s="63">
        <v>54215</v>
      </c>
      <c r="Z11682" s="61">
        <f>_xll.qlYieldTSDiscount($U$35,Y11682,,Trigger)</f>
        <v>0.56274057496118235</v>
      </c>
    </row>
    <row r="11683" spans="25:26" x14ac:dyDescent="0.25">
      <c r="Y11683" s="63">
        <v>54216</v>
      </c>
      <c r="Z11683" s="61">
        <f>_xll.qlYieldTSDiscount($U$35,Y11683,,Trigger)</f>
        <v>0.56270189717909103</v>
      </c>
    </row>
    <row r="11684" spans="25:26" x14ac:dyDescent="0.25">
      <c r="Y11684" s="63">
        <v>54217</v>
      </c>
      <c r="Z11684" s="61">
        <f>_xll.qlYieldTSDiscount($U$35,Y11684,,Trigger)</f>
        <v>0.56266322315303319</v>
      </c>
    </row>
    <row r="11685" spans="25:26" x14ac:dyDescent="0.25">
      <c r="Y11685" s="63">
        <v>54218</v>
      </c>
      <c r="Z11685" s="61">
        <f>_xll.qlYieldTSDiscount($U$35,Y11685,,Trigger)</f>
        <v>0.5626245528826429</v>
      </c>
    </row>
    <row r="11686" spans="25:26" x14ac:dyDescent="0.25">
      <c r="Y11686" s="63">
        <v>54219</v>
      </c>
      <c r="Z11686" s="61">
        <f>_xll.qlYieldTSDiscount($U$35,Y11686,,Trigger)</f>
        <v>0.56258588636755447</v>
      </c>
    </row>
    <row r="11687" spans="25:26" x14ac:dyDescent="0.25">
      <c r="Y11687" s="63">
        <v>54220</v>
      </c>
      <c r="Z11687" s="61">
        <f>_xll.qlYieldTSDiscount($U$35,Y11687,,Trigger)</f>
        <v>0.56254722360740161</v>
      </c>
    </row>
    <row r="11688" spans="25:26" x14ac:dyDescent="0.25">
      <c r="Y11688" s="63">
        <v>54221</v>
      </c>
      <c r="Z11688" s="61">
        <f>_xll.qlYieldTSDiscount($U$35,Y11688,,Trigger)</f>
        <v>0.56250856460181842</v>
      </c>
    </row>
    <row r="11689" spans="25:26" x14ac:dyDescent="0.25">
      <c r="Y11689" s="63">
        <v>54222</v>
      </c>
      <c r="Z11689" s="61">
        <f>_xll.qlYieldTSDiscount($U$35,Y11689,,Trigger)</f>
        <v>0.56246990935043906</v>
      </c>
    </row>
    <row r="11690" spans="25:26" x14ac:dyDescent="0.25">
      <c r="Y11690" s="63">
        <v>54223</v>
      </c>
      <c r="Z11690" s="61">
        <f>_xll.qlYieldTSDiscount($U$35,Y11690,,Trigger)</f>
        <v>0.56243125785289727</v>
      </c>
    </row>
    <row r="11691" spans="25:26" x14ac:dyDescent="0.25">
      <c r="Y11691" s="63">
        <v>54224</v>
      </c>
      <c r="Z11691" s="61">
        <f>_xll.qlYieldTSDiscount($U$35,Y11691,,Trigger)</f>
        <v>0.56239261010882724</v>
      </c>
    </row>
    <row r="11692" spans="25:26" x14ac:dyDescent="0.25">
      <c r="Y11692" s="63">
        <v>54225</v>
      </c>
      <c r="Z11692" s="61">
        <f>_xll.qlYieldTSDiscount($U$35,Y11692,,Trigger)</f>
        <v>0.56235396611786304</v>
      </c>
    </row>
    <row r="11693" spans="25:26" x14ac:dyDescent="0.25">
      <c r="Y11693" s="63">
        <v>54226</v>
      </c>
      <c r="Z11693" s="61">
        <f>_xll.qlYieldTSDiscount($U$35,Y11693,,Trigger)</f>
        <v>0.56231532587963873</v>
      </c>
    </row>
    <row r="11694" spans="25:26" x14ac:dyDescent="0.25">
      <c r="Y11694" s="63">
        <v>54227</v>
      </c>
      <c r="Z11694" s="61">
        <f>_xll.qlYieldTSDiscount($U$35,Y11694,,Trigger)</f>
        <v>0.56227668939378816</v>
      </c>
    </row>
    <row r="11695" spans="25:26" x14ac:dyDescent="0.25">
      <c r="Y11695" s="63">
        <v>54228</v>
      </c>
      <c r="Z11695" s="61">
        <f>_xll.qlYieldTSDiscount($U$35,Y11695,,Trigger)</f>
        <v>0.56223805665994542</v>
      </c>
    </row>
    <row r="11696" spans="25:26" x14ac:dyDescent="0.25">
      <c r="Y11696" s="63">
        <v>54229</v>
      </c>
      <c r="Z11696" s="61">
        <f>_xll.qlYieldTSDiscount($U$35,Y11696,,Trigger)</f>
        <v>0.56219942767774467</v>
      </c>
    </row>
    <row r="11697" spans="25:26" x14ac:dyDescent="0.25">
      <c r="Y11697" s="63">
        <v>54230</v>
      </c>
      <c r="Z11697" s="61">
        <f>_xll.qlYieldTSDiscount($U$35,Y11697,,Trigger)</f>
        <v>0.56216080244681965</v>
      </c>
    </row>
    <row r="11698" spans="25:26" x14ac:dyDescent="0.25">
      <c r="Y11698" s="63">
        <v>54231</v>
      </c>
      <c r="Z11698" s="61">
        <f>_xll.qlYieldTSDiscount($U$35,Y11698,,Trigger)</f>
        <v>0.56212218096680455</v>
      </c>
    </row>
    <row r="11699" spans="25:26" x14ac:dyDescent="0.25">
      <c r="Y11699" s="63">
        <v>54232</v>
      </c>
      <c r="Z11699" s="61">
        <f>_xll.qlYieldTSDiscount($U$35,Y11699,,Trigger)</f>
        <v>0.56208356323733355</v>
      </c>
    </row>
    <row r="11700" spans="25:26" x14ac:dyDescent="0.25">
      <c r="Y11700" s="63">
        <v>54233</v>
      </c>
      <c r="Z11700" s="61">
        <f>_xll.qlYieldTSDiscount($U$35,Y11700,,Trigger)</f>
        <v>0.56204494925804027</v>
      </c>
    </row>
    <row r="11701" spans="25:26" x14ac:dyDescent="0.25">
      <c r="Y11701" s="63">
        <v>54234</v>
      </c>
      <c r="Z11701" s="61">
        <f>_xll.qlYieldTSDiscount($U$35,Y11701,,Trigger)</f>
        <v>0.56200633902855912</v>
      </c>
    </row>
    <row r="11702" spans="25:26" x14ac:dyDescent="0.25">
      <c r="Y11702" s="63">
        <v>54235</v>
      </c>
      <c r="Z11702" s="61">
        <f>_xll.qlYieldTSDiscount($U$35,Y11702,,Trigger)</f>
        <v>0.56196773254852395</v>
      </c>
    </row>
    <row r="11703" spans="25:26" x14ac:dyDescent="0.25">
      <c r="Y11703" s="63">
        <v>54236</v>
      </c>
      <c r="Z11703" s="61">
        <f>_xll.qlYieldTSDiscount($U$35,Y11703,,Trigger)</f>
        <v>0.56192912981756882</v>
      </c>
    </row>
    <row r="11704" spans="25:26" x14ac:dyDescent="0.25">
      <c r="Y11704" s="63">
        <v>54237</v>
      </c>
      <c r="Z11704" s="61">
        <f>_xll.qlYieldTSDiscount($U$35,Y11704,,Trigger)</f>
        <v>0.56189053083532758</v>
      </c>
    </row>
    <row r="11705" spans="25:26" x14ac:dyDescent="0.25">
      <c r="Y11705" s="63">
        <v>54238</v>
      </c>
      <c r="Z11705" s="61">
        <f>_xll.qlYieldTSDiscount($U$35,Y11705,,Trigger)</f>
        <v>0.56185193560143465</v>
      </c>
    </row>
    <row r="11706" spans="25:26" x14ac:dyDescent="0.25">
      <c r="Y11706" s="63">
        <v>54239</v>
      </c>
      <c r="Z11706" s="61">
        <f>_xll.qlYieldTSDiscount($U$35,Y11706,,Trigger)</f>
        <v>0.56181334411552364</v>
      </c>
    </row>
    <row r="11707" spans="25:26" x14ac:dyDescent="0.25">
      <c r="Y11707" s="63">
        <v>54240</v>
      </c>
      <c r="Z11707" s="61">
        <f>_xll.qlYieldTSDiscount($U$35,Y11707,,Trigger)</f>
        <v>0.56177475637722873</v>
      </c>
    </row>
    <row r="11708" spans="25:26" x14ac:dyDescent="0.25">
      <c r="Y11708" s="63">
        <v>54241</v>
      </c>
      <c r="Z11708" s="61">
        <f>_xll.qlYieldTSDiscount($U$35,Y11708,,Trigger)</f>
        <v>0.5617361723861839</v>
      </c>
    </row>
    <row r="11709" spans="25:26" x14ac:dyDescent="0.25">
      <c r="Y11709" s="63">
        <v>54242</v>
      </c>
      <c r="Z11709" s="61">
        <f>_xll.qlYieldTSDiscount($U$35,Y11709,,Trigger)</f>
        <v>0.56169759214202342</v>
      </c>
    </row>
    <row r="11710" spans="25:26" x14ac:dyDescent="0.25">
      <c r="Y11710" s="63">
        <v>54243</v>
      </c>
      <c r="Z11710" s="61">
        <f>_xll.qlYieldTSDiscount($U$35,Y11710,,Trigger)</f>
        <v>0.56165901564438092</v>
      </c>
    </row>
    <row r="11711" spans="25:26" x14ac:dyDescent="0.25">
      <c r="Y11711" s="63">
        <v>54244</v>
      </c>
      <c r="Z11711" s="61">
        <f>_xll.qlYieldTSDiscount($U$35,Y11711,,Trigger)</f>
        <v>0.5616204428928907</v>
      </c>
    </row>
    <row r="11712" spans="25:26" x14ac:dyDescent="0.25">
      <c r="Y11712" s="63">
        <v>54245</v>
      </c>
      <c r="Z11712" s="61">
        <f>_xll.qlYieldTSDiscount($U$35,Y11712,,Trigger)</f>
        <v>0.56158187388718672</v>
      </c>
    </row>
    <row r="11713" spans="25:26" x14ac:dyDescent="0.25">
      <c r="Y11713" s="63">
        <v>54246</v>
      </c>
      <c r="Z11713" s="61">
        <f>_xll.qlYieldTSDiscount($U$35,Y11713,,Trigger)</f>
        <v>0.56154330862690294</v>
      </c>
    </row>
    <row r="11714" spans="25:26" x14ac:dyDescent="0.25">
      <c r="Y11714" s="63">
        <v>54247</v>
      </c>
      <c r="Z11714" s="61">
        <f>_xll.qlYieldTSDiscount($U$35,Y11714,,Trigger)</f>
        <v>0.56150474711167342</v>
      </c>
    </row>
    <row r="11715" spans="25:26" x14ac:dyDescent="0.25">
      <c r="Y11715" s="63">
        <v>54248</v>
      </c>
      <c r="Z11715" s="61">
        <f>_xll.qlYieldTSDiscount($U$35,Y11715,,Trigger)</f>
        <v>0.56146618934113224</v>
      </c>
    </row>
    <row r="11716" spans="25:26" x14ac:dyDescent="0.25">
      <c r="Y11716" s="63">
        <v>54249</v>
      </c>
      <c r="Z11716" s="61">
        <f>_xll.qlYieldTSDiscount($U$35,Y11716,,Trigger)</f>
        <v>0.56142763531491324</v>
      </c>
    </row>
    <row r="11717" spans="25:26" x14ac:dyDescent="0.25">
      <c r="Y11717" s="63">
        <v>54250</v>
      </c>
      <c r="Z11717" s="61">
        <f>_xll.qlYieldTSDiscount($U$35,Y11717,,Trigger)</f>
        <v>0.56138908503265061</v>
      </c>
    </row>
    <row r="11718" spans="25:26" x14ac:dyDescent="0.25">
      <c r="Y11718" s="63">
        <v>54251</v>
      </c>
      <c r="Z11718" s="61">
        <f>_xll.qlYieldTSDiscount($U$35,Y11718,,Trigger)</f>
        <v>0.56135053849397842</v>
      </c>
    </row>
    <row r="11719" spans="25:26" x14ac:dyDescent="0.25">
      <c r="Y11719" s="63">
        <v>54252</v>
      </c>
      <c r="Z11719" s="61">
        <f>_xll.qlYieldTSDiscount($U$35,Y11719,,Trigger)</f>
        <v>0.56131199569853052</v>
      </c>
    </row>
    <row r="11720" spans="25:26" x14ac:dyDescent="0.25">
      <c r="Y11720" s="63">
        <v>54253</v>
      </c>
      <c r="Z11720" s="61">
        <f>_xll.qlYieldTSDiscount($U$35,Y11720,,Trigger)</f>
        <v>0.56127345664594097</v>
      </c>
    </row>
    <row r="11721" spans="25:26" x14ac:dyDescent="0.25">
      <c r="Y11721" s="63">
        <v>54254</v>
      </c>
      <c r="Z11721" s="61">
        <f>_xll.qlYieldTSDiscount($U$35,Y11721,,Trigger)</f>
        <v>0.56123492133584396</v>
      </c>
    </row>
    <row r="11722" spans="25:26" x14ac:dyDescent="0.25">
      <c r="Y11722" s="63">
        <v>54255</v>
      </c>
      <c r="Z11722" s="61">
        <f>_xll.qlYieldTSDiscount($U$35,Y11722,,Trigger)</f>
        <v>0.56119638976787334</v>
      </c>
    </row>
    <row r="11723" spans="25:26" x14ac:dyDescent="0.25">
      <c r="Y11723" s="63">
        <v>54256</v>
      </c>
      <c r="Z11723" s="61">
        <f>_xll.qlYieldTSDiscount($U$35,Y11723,,Trigger)</f>
        <v>0.56115786194166306</v>
      </c>
    </row>
    <row r="11724" spans="25:26" x14ac:dyDescent="0.25">
      <c r="Y11724" s="63">
        <v>54257</v>
      </c>
      <c r="Z11724" s="61">
        <f>_xll.qlYieldTSDiscount($U$35,Y11724,,Trigger)</f>
        <v>0.56111933785684731</v>
      </c>
    </row>
    <row r="11725" spans="25:26" x14ac:dyDescent="0.25">
      <c r="Y11725" s="63">
        <v>54258</v>
      </c>
      <c r="Z11725" s="61">
        <f>_xll.qlYieldTSDiscount($U$35,Y11725,,Trigger)</f>
        <v>0.56108081751306016</v>
      </c>
    </row>
    <row r="11726" spans="25:26" x14ac:dyDescent="0.25">
      <c r="Y11726" s="63">
        <v>54259</v>
      </c>
      <c r="Z11726" s="61">
        <f>_xll.qlYieldTSDiscount($U$35,Y11726,,Trigger)</f>
        <v>0.56104230090993545</v>
      </c>
    </row>
    <row r="11727" spans="25:26" x14ac:dyDescent="0.25">
      <c r="Y11727" s="63">
        <v>54260</v>
      </c>
      <c r="Z11727" s="61">
        <f>_xll.qlYieldTSDiscount($U$35,Y11727,,Trigger)</f>
        <v>0.56100378804710727</v>
      </c>
    </row>
    <row r="11728" spans="25:26" x14ac:dyDescent="0.25">
      <c r="Y11728" s="63">
        <v>54261</v>
      </c>
      <c r="Z11728" s="61">
        <f>_xll.qlYieldTSDiscount($U$35,Y11728,,Trigger)</f>
        <v>0.56096527892420978</v>
      </c>
    </row>
    <row r="11729" spans="25:26" x14ac:dyDescent="0.25">
      <c r="Y11729" s="63">
        <v>54262</v>
      </c>
      <c r="Z11729" s="61">
        <f>_xll.qlYieldTSDiscount($U$35,Y11729,,Trigger)</f>
        <v>0.56092677354087683</v>
      </c>
    </row>
    <row r="11730" spans="25:26" x14ac:dyDescent="0.25">
      <c r="Y11730" s="63">
        <v>54263</v>
      </c>
      <c r="Z11730" s="61">
        <f>_xll.qlYieldTSDiscount($U$35,Y11730,,Trigger)</f>
        <v>0.5608882718967424</v>
      </c>
    </row>
    <row r="11731" spans="25:26" x14ac:dyDescent="0.25">
      <c r="Y11731" s="63">
        <v>54264</v>
      </c>
      <c r="Z11731" s="61">
        <f>_xll.qlYieldTSDiscount($U$35,Y11731,,Trigger)</f>
        <v>0.56084977399144065</v>
      </c>
    </row>
    <row r="11732" spans="25:26" x14ac:dyDescent="0.25">
      <c r="Y11732" s="63">
        <v>54265</v>
      </c>
      <c r="Z11732" s="61">
        <f>_xll.qlYieldTSDiscount($U$35,Y11732,,Trigger)</f>
        <v>0.56081127982460555</v>
      </c>
    </row>
    <row r="11733" spans="25:26" x14ac:dyDescent="0.25">
      <c r="Y11733" s="63">
        <v>54266</v>
      </c>
      <c r="Z11733" s="61">
        <f>_xll.qlYieldTSDiscount($U$35,Y11733,,Trigger)</f>
        <v>0.56077278939587116</v>
      </c>
    </row>
    <row r="11734" spans="25:26" x14ac:dyDescent="0.25">
      <c r="Y11734" s="63">
        <v>54267</v>
      </c>
      <c r="Z11734" s="61">
        <f>_xll.qlYieldTSDiscount($U$35,Y11734,,Trigger)</f>
        <v>0.56073430270487146</v>
      </c>
    </row>
    <row r="11735" spans="25:26" x14ac:dyDescent="0.25">
      <c r="Y11735" s="63">
        <v>54268</v>
      </c>
      <c r="Z11735" s="61">
        <f>_xll.qlYieldTSDiscount($U$35,Y11735,,Trigger)</f>
        <v>0.56069581975124039</v>
      </c>
    </row>
    <row r="11736" spans="25:26" x14ac:dyDescent="0.25">
      <c r="Y11736" s="63">
        <v>54269</v>
      </c>
      <c r="Z11736" s="61">
        <f>_xll.qlYieldTSDiscount($U$35,Y11736,,Trigger)</f>
        <v>0.56065734053461214</v>
      </c>
    </row>
    <row r="11737" spans="25:26" x14ac:dyDescent="0.25">
      <c r="Y11737" s="63">
        <v>54270</v>
      </c>
      <c r="Z11737" s="61">
        <f>_xll.qlYieldTSDiscount($U$35,Y11737,,Trigger)</f>
        <v>0.56061886505462066</v>
      </c>
    </row>
    <row r="11738" spans="25:26" x14ac:dyDescent="0.25">
      <c r="Y11738" s="63">
        <v>54271</v>
      </c>
      <c r="Z11738" s="61">
        <f>_xll.qlYieldTSDiscount($U$35,Y11738,,Trigger)</f>
        <v>0.56058039331089993</v>
      </c>
    </row>
    <row r="11739" spans="25:26" x14ac:dyDescent="0.25">
      <c r="Y11739" s="63">
        <v>54272</v>
      </c>
      <c r="Z11739" s="61">
        <f>_xll.qlYieldTSDiscount($U$35,Y11739,,Trigger)</f>
        <v>0.560541925303084</v>
      </c>
    </row>
    <row r="11740" spans="25:26" x14ac:dyDescent="0.25">
      <c r="Y11740" s="63">
        <v>54273</v>
      </c>
      <c r="Z11740" s="61">
        <f>_xll.qlYieldTSDiscount($U$35,Y11740,,Trigger)</f>
        <v>0.56050346103080695</v>
      </c>
    </row>
    <row r="11741" spans="25:26" x14ac:dyDescent="0.25">
      <c r="Y11741" s="63">
        <v>54274</v>
      </c>
      <c r="Z11741" s="61">
        <f>_xll.qlYieldTSDiscount($U$35,Y11741,,Trigger)</f>
        <v>0.56046500049370274</v>
      </c>
    </row>
    <row r="11742" spans="25:26" x14ac:dyDescent="0.25">
      <c r="Y11742" s="63">
        <v>54275</v>
      </c>
      <c r="Z11742" s="61">
        <f>_xll.qlYieldTSDiscount($U$35,Y11742,,Trigger)</f>
        <v>0.56042654369140532</v>
      </c>
    </row>
    <row r="11743" spans="25:26" x14ac:dyDescent="0.25">
      <c r="Y11743" s="63">
        <v>54276</v>
      </c>
      <c r="Z11743" s="61">
        <f>_xll.qlYieldTSDiscount($U$35,Y11743,,Trigger)</f>
        <v>0.56038809062354888</v>
      </c>
    </row>
    <row r="11744" spans="25:26" x14ac:dyDescent="0.25">
      <c r="Y11744" s="63">
        <v>54277</v>
      </c>
      <c r="Z11744" s="61">
        <f>_xll.qlYieldTSDiscount($U$35,Y11744,,Trigger)</f>
        <v>0.56034964128976739</v>
      </c>
    </row>
    <row r="11745" spans="25:26" x14ac:dyDescent="0.25">
      <c r="Y11745" s="63">
        <v>54278</v>
      </c>
      <c r="Z11745" s="61">
        <f>_xll.qlYieldTSDiscount($U$35,Y11745,,Trigger)</f>
        <v>0.56031119568969479</v>
      </c>
    </row>
    <row r="11746" spans="25:26" x14ac:dyDescent="0.25">
      <c r="Y11746" s="63">
        <v>54279</v>
      </c>
      <c r="Z11746" s="61">
        <f>_xll.qlYieldTSDiscount($U$35,Y11746,,Trigger)</f>
        <v>0.56027275382296504</v>
      </c>
    </row>
    <row r="11747" spans="25:26" x14ac:dyDescent="0.25">
      <c r="Y11747" s="63">
        <v>54280</v>
      </c>
      <c r="Z11747" s="61">
        <f>_xll.qlYieldTSDiscount($U$35,Y11747,,Trigger)</f>
        <v>0.56023431568921245</v>
      </c>
    </row>
    <row r="11748" spans="25:26" x14ac:dyDescent="0.25">
      <c r="Y11748" s="63">
        <v>54281</v>
      </c>
      <c r="Z11748" s="61">
        <f>_xll.qlYieldTSDiscount($U$35,Y11748,,Trigger)</f>
        <v>0.56019588128807074</v>
      </c>
    </row>
    <row r="11749" spans="25:26" x14ac:dyDescent="0.25">
      <c r="Y11749" s="63">
        <v>54282</v>
      </c>
      <c r="Z11749" s="61">
        <f>_xll.qlYieldTSDiscount($U$35,Y11749,,Trigger)</f>
        <v>0.5601574506191741</v>
      </c>
    </row>
    <row r="11750" spans="25:26" x14ac:dyDescent="0.25">
      <c r="Y11750" s="63">
        <v>54283</v>
      </c>
      <c r="Z11750" s="61">
        <f>_xll.qlYieldTSDiscount($U$35,Y11750,,Trigger)</f>
        <v>0.5601190236821566</v>
      </c>
    </row>
    <row r="11751" spans="25:26" x14ac:dyDescent="0.25">
      <c r="Y11751" s="63">
        <v>54284</v>
      </c>
      <c r="Z11751" s="61">
        <f>_xll.qlYieldTSDiscount($U$35,Y11751,,Trigger)</f>
        <v>0.56008060047665198</v>
      </c>
    </row>
    <row r="11752" spans="25:26" x14ac:dyDescent="0.25">
      <c r="Y11752" s="63">
        <v>54285</v>
      </c>
      <c r="Z11752" s="61">
        <f>_xll.qlYieldTSDiscount($U$35,Y11752,,Trigger)</f>
        <v>0.56004218100229453</v>
      </c>
    </row>
    <row r="11753" spans="25:26" x14ac:dyDescent="0.25">
      <c r="Y11753" s="63">
        <v>54286</v>
      </c>
      <c r="Z11753" s="61">
        <f>_xll.qlYieldTSDiscount($U$35,Y11753,,Trigger)</f>
        <v>0.5600037652587182</v>
      </c>
    </row>
    <row r="11754" spans="25:26" x14ac:dyDescent="0.25">
      <c r="Y11754" s="63">
        <v>54287</v>
      </c>
      <c r="Z11754" s="61">
        <f>_xll.qlYieldTSDiscount($U$35,Y11754,,Trigger)</f>
        <v>0.55996535324555707</v>
      </c>
    </row>
    <row r="11755" spans="25:26" x14ac:dyDescent="0.25">
      <c r="Y11755" s="63">
        <v>54288</v>
      </c>
      <c r="Z11755" s="61">
        <f>_xll.qlYieldTSDiscount($U$35,Y11755,,Trigger)</f>
        <v>0.55992694496244499</v>
      </c>
    </row>
    <row r="11756" spans="25:26" x14ac:dyDescent="0.25">
      <c r="Y11756" s="63">
        <v>54289</v>
      </c>
      <c r="Z11756" s="61">
        <f>_xll.qlYieldTSDiscount($U$35,Y11756,,Trigger)</f>
        <v>0.55988854040901614</v>
      </c>
    </row>
    <row r="11757" spans="25:26" x14ac:dyDescent="0.25">
      <c r="Y11757" s="63">
        <v>54290</v>
      </c>
      <c r="Z11757" s="61">
        <f>_xll.qlYieldTSDiscount($U$35,Y11757,,Trigger)</f>
        <v>0.55985013958490459</v>
      </c>
    </row>
    <row r="11758" spans="25:26" x14ac:dyDescent="0.25">
      <c r="Y11758" s="63">
        <v>54291</v>
      </c>
      <c r="Z11758" s="61">
        <f>_xll.qlYieldTSDiscount($U$35,Y11758,,Trigger)</f>
        <v>0.55981174248974408</v>
      </c>
    </row>
    <row r="11759" spans="25:26" x14ac:dyDescent="0.25">
      <c r="Y11759" s="63">
        <v>54292</v>
      </c>
      <c r="Z11759" s="61">
        <f>_xll.qlYieldTSDiscount($U$35,Y11759,,Trigger)</f>
        <v>0.5597733491231689</v>
      </c>
    </row>
    <row r="11760" spans="25:26" x14ac:dyDescent="0.25">
      <c r="Y11760" s="63">
        <v>54293</v>
      </c>
      <c r="Z11760" s="61">
        <f>_xll.qlYieldTSDiscount($U$35,Y11760,,Trigger)</f>
        <v>0.559734959484813</v>
      </c>
    </row>
    <row r="11761" spans="25:26" x14ac:dyDescent="0.25">
      <c r="Y11761" s="63">
        <v>54294</v>
      </c>
      <c r="Z11761" s="61">
        <f>_xll.qlYieldTSDiscount($U$35,Y11761,,Trigger)</f>
        <v>0.55969657357431035</v>
      </c>
    </row>
    <row r="11762" spans="25:26" x14ac:dyDescent="0.25">
      <c r="Y11762" s="63">
        <v>54295</v>
      </c>
      <c r="Z11762" s="61">
        <f>_xll.qlYieldTSDiscount($U$35,Y11762,,Trigger)</f>
        <v>0.55965819139129502</v>
      </c>
    </row>
    <row r="11763" spans="25:26" x14ac:dyDescent="0.25">
      <c r="Y11763" s="63">
        <v>54296</v>
      </c>
      <c r="Z11763" s="61">
        <f>_xll.qlYieldTSDiscount($U$35,Y11763,,Trigger)</f>
        <v>0.55961981293540108</v>
      </c>
    </row>
    <row r="11764" spans="25:26" x14ac:dyDescent="0.25">
      <c r="Y11764" s="63">
        <v>54297</v>
      </c>
      <c r="Z11764" s="61">
        <f>_xll.qlYieldTSDiscount($U$35,Y11764,,Trigger)</f>
        <v>0.55958143820626238</v>
      </c>
    </row>
    <row r="11765" spans="25:26" x14ac:dyDescent="0.25">
      <c r="Y11765" s="63">
        <v>54298</v>
      </c>
      <c r="Z11765" s="61">
        <f>_xll.qlYieldTSDiscount($U$35,Y11765,,Trigger)</f>
        <v>0.5595430672035131</v>
      </c>
    </row>
    <row r="11766" spans="25:26" x14ac:dyDescent="0.25">
      <c r="Y11766" s="63">
        <v>54299</v>
      </c>
      <c r="Z11766" s="61">
        <f>_xll.qlYieldTSDiscount($U$35,Y11766,,Trigger)</f>
        <v>0.55950469992678731</v>
      </c>
    </row>
    <row r="11767" spans="25:26" x14ac:dyDescent="0.25">
      <c r="Y11767" s="63">
        <v>54300</v>
      </c>
      <c r="Z11767" s="61">
        <f>_xll.qlYieldTSDiscount($U$35,Y11767,,Trigger)</f>
        <v>0.55946633637571885</v>
      </c>
    </row>
    <row r="11768" spans="25:26" x14ac:dyDescent="0.25">
      <c r="Y11768" s="63">
        <v>54301</v>
      </c>
      <c r="Z11768" s="61">
        <f>_xll.qlYieldTSDiscount($U$35,Y11768,,Trigger)</f>
        <v>0.55942797654994181</v>
      </c>
    </row>
    <row r="11769" spans="25:26" x14ac:dyDescent="0.25">
      <c r="Y11769" s="63">
        <v>54302</v>
      </c>
      <c r="Z11769" s="61">
        <f>_xll.qlYieldTSDiscount($U$35,Y11769,,Trigger)</f>
        <v>0.55938962044909024</v>
      </c>
    </row>
    <row r="11770" spans="25:26" x14ac:dyDescent="0.25">
      <c r="Y11770" s="63">
        <v>54303</v>
      </c>
      <c r="Z11770" s="61">
        <f>_xll.qlYieldTSDiscount($U$35,Y11770,,Trigger)</f>
        <v>0.55935126807279822</v>
      </c>
    </row>
    <row r="11771" spans="25:26" x14ac:dyDescent="0.25">
      <c r="Y11771" s="63">
        <v>54304</v>
      </c>
      <c r="Z11771" s="61">
        <f>_xll.qlYieldTSDiscount($U$35,Y11771,,Trigger)</f>
        <v>0.55931291942069961</v>
      </c>
    </row>
    <row r="11772" spans="25:26" x14ac:dyDescent="0.25">
      <c r="Y11772" s="63">
        <v>54305</v>
      </c>
      <c r="Z11772" s="61">
        <f>_xll.qlYieldTSDiscount($U$35,Y11772,,Trigger)</f>
        <v>0.55927457449242857</v>
      </c>
    </row>
    <row r="11773" spans="25:26" x14ac:dyDescent="0.25">
      <c r="Y11773" s="63">
        <v>54306</v>
      </c>
      <c r="Z11773" s="61">
        <f>_xll.qlYieldTSDiscount($U$35,Y11773,,Trigger)</f>
        <v>0.55923623328761918</v>
      </c>
    </row>
    <row r="11774" spans="25:26" x14ac:dyDescent="0.25">
      <c r="Y11774" s="63">
        <v>54307</v>
      </c>
      <c r="Z11774" s="61">
        <f>_xll.qlYieldTSDiscount($U$35,Y11774,,Trigger)</f>
        <v>0.55919789580590529</v>
      </c>
    </row>
    <row r="11775" spans="25:26" x14ac:dyDescent="0.25">
      <c r="Y11775" s="63">
        <v>54308</v>
      </c>
      <c r="Z11775" s="61">
        <f>_xll.qlYieldTSDiscount($U$35,Y11775,,Trigger)</f>
        <v>0.55915956204692097</v>
      </c>
    </row>
    <row r="11776" spans="25:26" x14ac:dyDescent="0.25">
      <c r="Y11776" s="63">
        <v>54309</v>
      </c>
      <c r="Z11776" s="61">
        <f>_xll.qlYieldTSDiscount($U$35,Y11776,,Trigger)</f>
        <v>0.55912123201030028</v>
      </c>
    </row>
    <row r="11777" spans="25:26" x14ac:dyDescent="0.25">
      <c r="Y11777" s="63">
        <v>54310</v>
      </c>
      <c r="Z11777" s="61">
        <f>_xll.qlYieldTSDiscount($U$35,Y11777,,Trigger)</f>
        <v>0.5590829056956772</v>
      </c>
    </row>
    <row r="11778" spans="25:26" x14ac:dyDescent="0.25">
      <c r="Y11778" s="63">
        <v>54311</v>
      </c>
      <c r="Z11778" s="61">
        <f>_xll.qlYieldTSDiscount($U$35,Y11778,,Trigger)</f>
        <v>0.55904458310268579</v>
      </c>
    </row>
    <row r="11779" spans="25:26" x14ac:dyDescent="0.25">
      <c r="Y11779" s="63">
        <v>54312</v>
      </c>
      <c r="Z11779" s="61">
        <f>_xll.qlYieldTSDiscount($U$35,Y11779,,Trigger)</f>
        <v>0.55900626423096011</v>
      </c>
    </row>
    <row r="11780" spans="25:26" x14ac:dyDescent="0.25">
      <c r="Y11780" s="63">
        <v>54313</v>
      </c>
      <c r="Z11780" s="61">
        <f>_xll.qlYieldTSDiscount($U$35,Y11780,,Trigger)</f>
        <v>0.55896794908013403</v>
      </c>
    </row>
    <row r="11781" spans="25:26" x14ac:dyDescent="0.25">
      <c r="Y11781" s="63">
        <v>54314</v>
      </c>
      <c r="Z11781" s="61">
        <f>_xll.qlYieldTSDiscount($U$35,Y11781,,Trigger)</f>
        <v>0.55892963764984172</v>
      </c>
    </row>
    <row r="11782" spans="25:26" x14ac:dyDescent="0.25">
      <c r="Y11782" s="63">
        <v>54315</v>
      </c>
      <c r="Z11782" s="61">
        <f>_xll.qlYieldTSDiscount($U$35,Y11782,,Trigger)</f>
        <v>0.55889132993971724</v>
      </c>
    </row>
    <row r="11783" spans="25:26" x14ac:dyDescent="0.25">
      <c r="Y11783" s="63">
        <v>54316</v>
      </c>
      <c r="Z11783" s="61">
        <f>_xll.qlYieldTSDiscount($U$35,Y11783,,Trigger)</f>
        <v>0.55885302594939446</v>
      </c>
    </row>
    <row r="11784" spans="25:26" x14ac:dyDescent="0.25">
      <c r="Y11784" s="63">
        <v>54317</v>
      </c>
      <c r="Z11784" s="61">
        <f>_xll.qlYieldTSDiscount($U$35,Y11784,,Trigger)</f>
        <v>0.55881472567850743</v>
      </c>
    </row>
    <row r="11785" spans="25:26" x14ac:dyDescent="0.25">
      <c r="Y11785" s="63">
        <v>54318</v>
      </c>
      <c r="Z11785" s="61">
        <f>_xll.qlYieldTSDiscount($U$35,Y11785,,Trigger)</f>
        <v>0.55877642912669023</v>
      </c>
    </row>
    <row r="11786" spans="25:26" x14ac:dyDescent="0.25">
      <c r="Y11786" s="63">
        <v>54319</v>
      </c>
      <c r="Z11786" s="61">
        <f>_xll.qlYieldTSDiscount($U$35,Y11786,,Trigger)</f>
        <v>0.55873813629357705</v>
      </c>
    </row>
    <row r="11787" spans="25:26" x14ac:dyDescent="0.25">
      <c r="Y11787" s="63">
        <v>54320</v>
      </c>
      <c r="Z11787" s="61">
        <f>_xll.qlYieldTSDiscount($U$35,Y11787,,Trigger)</f>
        <v>0.5586998471788015</v>
      </c>
    </row>
    <row r="11788" spans="25:26" x14ac:dyDescent="0.25">
      <c r="Y11788" s="63">
        <v>54321</v>
      </c>
      <c r="Z11788" s="61">
        <f>_xll.qlYieldTSDiscount($U$35,Y11788,,Trigger)</f>
        <v>0.55866156178199788</v>
      </c>
    </row>
    <row r="11789" spans="25:26" x14ac:dyDescent="0.25">
      <c r="Y11789" s="63">
        <v>54322</v>
      </c>
      <c r="Z11789" s="61">
        <f>_xll.qlYieldTSDiscount($U$35,Y11789,,Trigger)</f>
        <v>0.55862328010280027</v>
      </c>
    </row>
    <row r="11790" spans="25:26" x14ac:dyDescent="0.25">
      <c r="Y11790" s="63">
        <v>54323</v>
      </c>
      <c r="Z11790" s="61">
        <f>_xll.qlYieldTSDiscount($U$35,Y11790,,Trigger)</f>
        <v>0.55858500214084239</v>
      </c>
    </row>
    <row r="11791" spans="25:26" x14ac:dyDescent="0.25">
      <c r="Y11791" s="63">
        <v>54324</v>
      </c>
      <c r="Z11791" s="61">
        <f>_xll.qlYieldTSDiscount($U$35,Y11791,,Trigger)</f>
        <v>0.55854672789575854</v>
      </c>
    </row>
    <row r="11792" spans="25:26" x14ac:dyDescent="0.25">
      <c r="Y11792" s="63">
        <v>54325</v>
      </c>
      <c r="Z11792" s="61">
        <f>_xll.qlYieldTSDiscount($U$35,Y11792,,Trigger)</f>
        <v>0.55850845736718269</v>
      </c>
    </row>
    <row r="11793" spans="25:26" x14ac:dyDescent="0.25">
      <c r="Y11793" s="63">
        <v>54326</v>
      </c>
      <c r="Z11793" s="61">
        <f>_xll.qlYieldTSDiscount($U$35,Y11793,,Trigger)</f>
        <v>0.55847019055474878</v>
      </c>
    </row>
    <row r="11794" spans="25:26" x14ac:dyDescent="0.25">
      <c r="Y11794" s="63">
        <v>54327</v>
      </c>
      <c r="Z11794" s="61">
        <f>_xll.qlYieldTSDiscount($U$35,Y11794,,Trigger)</f>
        <v>0.55843192745809089</v>
      </c>
    </row>
    <row r="11795" spans="25:26" x14ac:dyDescent="0.25">
      <c r="Y11795" s="63">
        <v>54328</v>
      </c>
      <c r="Z11795" s="61">
        <f>_xll.qlYieldTSDiscount($U$35,Y11795,,Trigger)</f>
        <v>0.5583936680768431</v>
      </c>
    </row>
    <row r="11796" spans="25:26" x14ac:dyDescent="0.25">
      <c r="Y11796" s="63">
        <v>54329</v>
      </c>
      <c r="Z11796" s="61">
        <f>_xll.qlYieldTSDiscount($U$35,Y11796,,Trigger)</f>
        <v>0.55835541241063935</v>
      </c>
    </row>
    <row r="11797" spans="25:26" x14ac:dyDescent="0.25">
      <c r="Y11797" s="63">
        <v>54330</v>
      </c>
      <c r="Z11797" s="61">
        <f>_xll.qlYieldTSDiscount($U$35,Y11797,,Trigger)</f>
        <v>0.55831716045911362</v>
      </c>
    </row>
    <row r="11798" spans="25:26" x14ac:dyDescent="0.25">
      <c r="Y11798" s="63">
        <v>54331</v>
      </c>
      <c r="Z11798" s="61">
        <f>_xll.qlYieldTSDiscount($U$35,Y11798,,Trigger)</f>
        <v>0.55827891222189996</v>
      </c>
    </row>
    <row r="11799" spans="25:26" x14ac:dyDescent="0.25">
      <c r="Y11799" s="63">
        <v>54332</v>
      </c>
      <c r="Z11799" s="61">
        <f>_xll.qlYieldTSDiscount($U$35,Y11799,,Trigger)</f>
        <v>0.55824066769863245</v>
      </c>
    </row>
    <row r="11800" spans="25:26" x14ac:dyDescent="0.25">
      <c r="Y11800" s="63">
        <v>54333</v>
      </c>
      <c r="Z11800" s="61">
        <f>_xll.qlYieldTSDiscount($U$35,Y11800,,Trigger)</f>
        <v>0.55820242688894506</v>
      </c>
    </row>
    <row r="11801" spans="25:26" x14ac:dyDescent="0.25">
      <c r="Y11801" s="63">
        <v>54334</v>
      </c>
      <c r="Z11801" s="61">
        <f>_xll.qlYieldTSDiscount($U$35,Y11801,,Trigger)</f>
        <v>0.55816418979247184</v>
      </c>
    </row>
    <row r="11802" spans="25:26" x14ac:dyDescent="0.25">
      <c r="Y11802" s="63">
        <v>54335</v>
      </c>
      <c r="Z11802" s="61">
        <f>_xll.qlYieldTSDiscount($U$35,Y11802,,Trigger)</f>
        <v>0.55812595640884688</v>
      </c>
    </row>
    <row r="11803" spans="25:26" x14ac:dyDescent="0.25">
      <c r="Y11803" s="63">
        <v>54336</v>
      </c>
      <c r="Z11803" s="61">
        <f>_xll.qlYieldTSDiscount($U$35,Y11803,,Trigger)</f>
        <v>0.55808772673770413</v>
      </c>
    </row>
    <row r="11804" spans="25:26" x14ac:dyDescent="0.25">
      <c r="Y11804" s="63">
        <v>54337</v>
      </c>
      <c r="Z11804" s="61">
        <f>_xll.qlYieldTSDiscount($U$35,Y11804,,Trigger)</f>
        <v>0.55804950077867743</v>
      </c>
    </row>
    <row r="11805" spans="25:26" x14ac:dyDescent="0.25">
      <c r="Y11805" s="63">
        <v>54338</v>
      </c>
      <c r="Z11805" s="61">
        <f>_xll.qlYieldTSDiscount($U$35,Y11805,,Trigger)</f>
        <v>0.5580112785314012</v>
      </c>
    </row>
    <row r="11806" spans="25:26" x14ac:dyDescent="0.25">
      <c r="Y11806" s="63">
        <v>54339</v>
      </c>
      <c r="Z11806" s="61">
        <f>_xll.qlYieldTSDiscount($U$35,Y11806,,Trigger)</f>
        <v>0.55797305999550906</v>
      </c>
    </row>
    <row r="11807" spans="25:26" x14ac:dyDescent="0.25">
      <c r="Y11807" s="63">
        <v>54340</v>
      </c>
      <c r="Z11807" s="61">
        <f>_xll.qlYieldTSDiscount($U$35,Y11807,,Trigger)</f>
        <v>0.5579348451706353</v>
      </c>
    </row>
    <row r="11808" spans="25:26" x14ac:dyDescent="0.25">
      <c r="Y11808" s="63">
        <v>54341</v>
      </c>
      <c r="Z11808" s="61">
        <f>_xll.qlYieldTSDiscount($U$35,Y11808,,Trigger)</f>
        <v>0.55789663405641388</v>
      </c>
    </row>
    <row r="11809" spans="25:26" x14ac:dyDescent="0.25">
      <c r="Y11809" s="63">
        <v>54342</v>
      </c>
      <c r="Z11809" s="61">
        <f>_xll.qlYieldTSDiscount($U$35,Y11809,,Trigger)</f>
        <v>0.55785842665247876</v>
      </c>
    </row>
    <row r="11810" spans="25:26" x14ac:dyDescent="0.25">
      <c r="Y11810" s="63">
        <v>54343</v>
      </c>
      <c r="Z11810" s="61">
        <f>_xll.qlYieldTSDiscount($U$35,Y11810,,Trigger)</f>
        <v>0.55782022295846401</v>
      </c>
    </row>
    <row r="11811" spans="25:26" x14ac:dyDescent="0.25">
      <c r="Y11811" s="63">
        <v>54344</v>
      </c>
      <c r="Z11811" s="61">
        <f>_xll.qlYieldTSDiscount($U$35,Y11811,,Trigger)</f>
        <v>0.5577820229740037</v>
      </c>
    </row>
    <row r="11812" spans="25:26" x14ac:dyDescent="0.25">
      <c r="Y11812" s="63">
        <v>54345</v>
      </c>
      <c r="Z11812" s="61">
        <f>_xll.qlYieldTSDiscount($U$35,Y11812,,Trigger)</f>
        <v>0.55774382669873168</v>
      </c>
    </row>
    <row r="11813" spans="25:26" x14ac:dyDescent="0.25">
      <c r="Y11813" s="63">
        <v>54346</v>
      </c>
      <c r="Z11813" s="61">
        <f>_xll.qlYieldTSDiscount($U$35,Y11813,,Trigger)</f>
        <v>0.55770563413228214</v>
      </c>
    </row>
    <row r="11814" spans="25:26" x14ac:dyDescent="0.25">
      <c r="Y11814" s="63">
        <v>54347</v>
      </c>
      <c r="Z11814" s="61">
        <f>_xll.qlYieldTSDiscount($U$35,Y11814,,Trigger)</f>
        <v>0.55766744527428902</v>
      </c>
    </row>
    <row r="11815" spans="25:26" x14ac:dyDescent="0.25">
      <c r="Y11815" s="63">
        <v>54348</v>
      </c>
      <c r="Z11815" s="61">
        <f>_xll.qlYieldTSDiscount($U$35,Y11815,,Trigger)</f>
        <v>0.55762926012438641</v>
      </c>
    </row>
    <row r="11816" spans="25:26" x14ac:dyDescent="0.25">
      <c r="Y11816" s="63">
        <v>54349</v>
      </c>
      <c r="Z11816" s="61">
        <f>_xll.qlYieldTSDiscount($U$35,Y11816,,Trigger)</f>
        <v>0.55759107868220825</v>
      </c>
    </row>
    <row r="11817" spans="25:26" x14ac:dyDescent="0.25">
      <c r="Y11817" s="63">
        <v>54350</v>
      </c>
      <c r="Z11817" s="61">
        <f>_xll.qlYieldTSDiscount($U$35,Y11817,,Trigger)</f>
        <v>0.55755290094738852</v>
      </c>
    </row>
    <row r="11818" spans="25:26" x14ac:dyDescent="0.25">
      <c r="Y11818" s="63">
        <v>54351</v>
      </c>
      <c r="Z11818" s="61">
        <f>_xll.qlYieldTSDiscount($U$35,Y11818,,Trigger)</f>
        <v>0.5575147269195615</v>
      </c>
    </row>
    <row r="11819" spans="25:26" x14ac:dyDescent="0.25">
      <c r="Y11819" s="63">
        <v>54352</v>
      </c>
      <c r="Z11819" s="61">
        <f>_xll.qlYieldTSDiscount($U$35,Y11819,,Trigger)</f>
        <v>0.55747655659836093</v>
      </c>
    </row>
    <row r="11820" spans="25:26" x14ac:dyDescent="0.25">
      <c r="Y11820" s="63">
        <v>54353</v>
      </c>
      <c r="Z11820" s="61">
        <f>_xll.qlYieldTSDiscount($U$35,Y11820,,Trigger)</f>
        <v>0.55743838998342099</v>
      </c>
    </row>
    <row r="11821" spans="25:26" x14ac:dyDescent="0.25">
      <c r="Y11821" s="63">
        <v>54354</v>
      </c>
      <c r="Z11821" s="61">
        <f>_xll.qlYieldTSDiscount($U$35,Y11821,,Trigger)</f>
        <v>0.55740022707437564</v>
      </c>
    </row>
    <row r="11822" spans="25:26" x14ac:dyDescent="0.25">
      <c r="Y11822" s="63">
        <v>54355</v>
      </c>
      <c r="Z11822" s="61">
        <f>_xll.qlYieldTSDiscount($U$35,Y11822,,Trigger)</f>
        <v>0.55736206787085896</v>
      </c>
    </row>
    <row r="11823" spans="25:26" x14ac:dyDescent="0.25">
      <c r="Y11823" s="63">
        <v>54356</v>
      </c>
      <c r="Z11823" s="61">
        <f>_xll.qlYieldTSDiscount($U$35,Y11823,,Trigger)</f>
        <v>0.55732391237250478</v>
      </c>
    </row>
    <row r="11824" spans="25:26" x14ac:dyDescent="0.25">
      <c r="Y11824" s="63">
        <v>54357</v>
      </c>
      <c r="Z11824" s="61">
        <f>_xll.qlYieldTSDiscount($U$35,Y11824,,Trigger)</f>
        <v>0.55728576057894741</v>
      </c>
    </row>
    <row r="11825" spans="25:26" x14ac:dyDescent="0.25">
      <c r="Y11825" s="63">
        <v>54358</v>
      </c>
      <c r="Z11825" s="61">
        <f>_xll.qlYieldTSDiscount($U$35,Y11825,,Trigger)</f>
        <v>0.55724761248982069</v>
      </c>
    </row>
    <row r="11826" spans="25:26" x14ac:dyDescent="0.25">
      <c r="Y11826" s="63">
        <v>54359</v>
      </c>
      <c r="Z11826" s="61">
        <f>_xll.qlYieldTSDiscount($U$35,Y11826,,Trigger)</f>
        <v>0.55720946810475858</v>
      </c>
    </row>
    <row r="11827" spans="25:26" x14ac:dyDescent="0.25">
      <c r="Y11827" s="63">
        <v>54360</v>
      </c>
      <c r="Z11827" s="61">
        <f>_xll.qlYieldTSDiscount($U$35,Y11827,,Trigger)</f>
        <v>0.55717132742339526</v>
      </c>
    </row>
    <row r="11828" spans="25:26" x14ac:dyDescent="0.25">
      <c r="Y11828" s="63">
        <v>54361</v>
      </c>
      <c r="Z11828" s="61">
        <f>_xll.qlYieldTSDiscount($U$35,Y11828,,Trigger)</f>
        <v>0.55713319044536469</v>
      </c>
    </row>
    <row r="11829" spans="25:26" x14ac:dyDescent="0.25">
      <c r="Y11829" s="63">
        <v>54362</v>
      </c>
      <c r="Z11829" s="61">
        <f>_xll.qlYieldTSDiscount($U$35,Y11829,,Trigger)</f>
        <v>0.55709505717030094</v>
      </c>
    </row>
    <row r="11830" spans="25:26" x14ac:dyDescent="0.25">
      <c r="Y11830" s="63">
        <v>54363</v>
      </c>
      <c r="Z11830" s="61">
        <f>_xll.qlYieldTSDiscount($U$35,Y11830,,Trigger)</f>
        <v>0.55705692759783787</v>
      </c>
    </row>
    <row r="11831" spans="25:26" x14ac:dyDescent="0.25">
      <c r="Y11831" s="63">
        <v>54364</v>
      </c>
      <c r="Z11831" s="61">
        <f>_xll.qlYieldTSDiscount($U$35,Y11831,,Trigger)</f>
        <v>0.55701880172760976</v>
      </c>
    </row>
    <row r="11832" spans="25:26" x14ac:dyDescent="0.25">
      <c r="Y11832" s="63">
        <v>54365</v>
      </c>
      <c r="Z11832" s="61">
        <f>_xll.qlYieldTSDiscount($U$35,Y11832,,Trigger)</f>
        <v>0.55698067955925046</v>
      </c>
    </row>
    <row r="11833" spans="25:26" x14ac:dyDescent="0.25">
      <c r="Y11833" s="63">
        <v>54366</v>
      </c>
      <c r="Z11833" s="61">
        <f>_xll.qlYieldTSDiscount($U$35,Y11833,,Trigger)</f>
        <v>0.55694256109239393</v>
      </c>
    </row>
    <row r="11834" spans="25:26" x14ac:dyDescent="0.25">
      <c r="Y11834" s="63">
        <v>54367</v>
      </c>
      <c r="Z11834" s="61">
        <f>_xll.qlYieldTSDiscount($U$35,Y11834,,Trigger)</f>
        <v>0.55690444632667446</v>
      </c>
    </row>
    <row r="11835" spans="25:26" x14ac:dyDescent="0.25">
      <c r="Y11835" s="63">
        <v>54368</v>
      </c>
      <c r="Z11835" s="61">
        <f>_xll.qlYieldTSDiscount($U$35,Y11835,,Trigger)</f>
        <v>0.55686633526172569</v>
      </c>
    </row>
    <row r="11836" spans="25:26" x14ac:dyDescent="0.25">
      <c r="Y11836" s="63">
        <v>54369</v>
      </c>
      <c r="Z11836" s="61">
        <f>_xll.qlYieldTSDiscount($U$35,Y11836,,Trigger)</f>
        <v>0.556828227897182</v>
      </c>
    </row>
    <row r="11837" spans="25:26" x14ac:dyDescent="0.25">
      <c r="Y11837" s="63">
        <v>54370</v>
      </c>
      <c r="Z11837" s="61">
        <f>_xll.qlYieldTSDiscount($U$35,Y11837,,Trigger)</f>
        <v>0.55679012423267726</v>
      </c>
    </row>
    <row r="11838" spans="25:26" x14ac:dyDescent="0.25">
      <c r="Y11838" s="63">
        <v>54371</v>
      </c>
      <c r="Z11838" s="61">
        <f>_xll.qlYieldTSDiscount($U$35,Y11838,,Trigger)</f>
        <v>0.55675202426784542</v>
      </c>
    </row>
    <row r="11839" spans="25:26" x14ac:dyDescent="0.25">
      <c r="Y11839" s="63">
        <v>54372</v>
      </c>
      <c r="Z11839" s="61">
        <f>_xll.qlYieldTSDiscount($U$35,Y11839,,Trigger)</f>
        <v>0.55671392800232056</v>
      </c>
    </row>
    <row r="11840" spans="25:26" x14ac:dyDescent="0.25">
      <c r="Y11840" s="63">
        <v>54373</v>
      </c>
      <c r="Z11840" s="61">
        <f>_xll.qlYieldTSDiscount($U$35,Y11840,,Trigger)</f>
        <v>0.55667583543573673</v>
      </c>
    </row>
    <row r="11841" spans="25:26" x14ac:dyDescent="0.25">
      <c r="Y11841" s="63">
        <v>54374</v>
      </c>
      <c r="Z11841" s="61">
        <f>_xll.qlYieldTSDiscount($U$35,Y11841,,Trigger)</f>
        <v>0.55663774656772791</v>
      </c>
    </row>
    <row r="11842" spans="25:26" x14ac:dyDescent="0.25">
      <c r="Y11842" s="63">
        <v>54375</v>
      </c>
      <c r="Z11842" s="61">
        <f>_xll.qlYieldTSDiscount($U$35,Y11842,,Trigger)</f>
        <v>0.55659966139792816</v>
      </c>
    </row>
    <row r="11843" spans="25:26" x14ac:dyDescent="0.25">
      <c r="Y11843" s="63">
        <v>54376</v>
      </c>
      <c r="Z11843" s="61">
        <f>_xll.qlYieldTSDiscount($U$35,Y11843,,Trigger)</f>
        <v>0.55656157992597155</v>
      </c>
    </row>
    <row r="11844" spans="25:26" x14ac:dyDescent="0.25">
      <c r="Y11844" s="63">
        <v>54377</v>
      </c>
      <c r="Z11844" s="61">
        <f>_xll.qlYieldTSDiscount($U$35,Y11844,,Trigger)</f>
        <v>0.55652350215149204</v>
      </c>
    </row>
    <row r="11845" spans="25:26" x14ac:dyDescent="0.25">
      <c r="Y11845" s="63">
        <v>54378</v>
      </c>
      <c r="Z11845" s="61">
        <f>_xll.qlYieldTSDiscount($U$35,Y11845,,Trigger)</f>
        <v>0.5564854280741236</v>
      </c>
    </row>
    <row r="11846" spans="25:26" x14ac:dyDescent="0.25">
      <c r="Y11846" s="63">
        <v>54379</v>
      </c>
      <c r="Z11846" s="61">
        <f>_xll.qlYieldTSDiscount($U$35,Y11846,,Trigger)</f>
        <v>0.55644735769350029</v>
      </c>
    </row>
    <row r="11847" spans="25:26" x14ac:dyDescent="0.25">
      <c r="Y11847" s="63">
        <v>54380</v>
      </c>
      <c r="Z11847" s="61">
        <f>_xll.qlYieldTSDiscount($U$35,Y11847,,Trigger)</f>
        <v>0.55640929100925629</v>
      </c>
    </row>
    <row r="11848" spans="25:26" x14ac:dyDescent="0.25">
      <c r="Y11848" s="63">
        <v>54381</v>
      </c>
      <c r="Z11848" s="61">
        <f>_xll.qlYieldTSDiscount($U$35,Y11848,,Trigger)</f>
        <v>0.55637122802102534</v>
      </c>
    </row>
    <row r="11849" spans="25:26" x14ac:dyDescent="0.25">
      <c r="Y11849" s="63">
        <v>54382</v>
      </c>
      <c r="Z11849" s="61">
        <f>_xll.qlYieldTSDiscount($U$35,Y11849,,Trigger)</f>
        <v>0.55633316872844152</v>
      </c>
    </row>
    <row r="11850" spans="25:26" x14ac:dyDescent="0.25">
      <c r="Y11850" s="63">
        <v>54383</v>
      </c>
      <c r="Z11850" s="61">
        <f>_xll.qlYieldTSDiscount($U$35,Y11850,,Trigger)</f>
        <v>0.55629511313113911</v>
      </c>
    </row>
    <row r="11851" spans="25:26" x14ac:dyDescent="0.25">
      <c r="Y11851" s="63">
        <v>54384</v>
      </c>
      <c r="Z11851" s="61">
        <f>_xll.qlYieldTSDiscount($U$35,Y11851,,Trigger)</f>
        <v>0.55625706122875196</v>
      </c>
    </row>
    <row r="11852" spans="25:26" x14ac:dyDescent="0.25">
      <c r="Y11852" s="63">
        <v>54385</v>
      </c>
      <c r="Z11852" s="61">
        <f>_xll.qlYieldTSDiscount($U$35,Y11852,,Trigger)</f>
        <v>0.55621901302091392</v>
      </c>
    </row>
    <row r="11853" spans="25:26" x14ac:dyDescent="0.25">
      <c r="Y11853" s="63">
        <v>54386</v>
      </c>
      <c r="Z11853" s="61">
        <f>_xll.qlYieldTSDiscount($U$35,Y11853,,Trigger)</f>
        <v>0.5561809685072594</v>
      </c>
    </row>
    <row r="11854" spans="25:26" x14ac:dyDescent="0.25">
      <c r="Y11854" s="63">
        <v>54387</v>
      </c>
      <c r="Z11854" s="61">
        <f>_xll.qlYieldTSDiscount($U$35,Y11854,,Trigger)</f>
        <v>0.55614292768742202</v>
      </c>
    </row>
    <row r="11855" spans="25:26" x14ac:dyDescent="0.25">
      <c r="Y11855" s="63">
        <v>54388</v>
      </c>
      <c r="Z11855" s="61">
        <f>_xll.qlYieldTSDiscount($U$35,Y11855,,Trigger)</f>
        <v>0.55610489056103607</v>
      </c>
    </row>
    <row r="11856" spans="25:26" x14ac:dyDescent="0.25">
      <c r="Y11856" s="63">
        <v>54389</v>
      </c>
      <c r="Z11856" s="61">
        <f>_xll.qlYieldTSDiscount($U$35,Y11856,,Trigger)</f>
        <v>0.55606685712773551</v>
      </c>
    </row>
    <row r="11857" spans="25:26" x14ac:dyDescent="0.25">
      <c r="Y11857" s="63">
        <v>54390</v>
      </c>
      <c r="Z11857" s="61">
        <f>_xll.qlYieldTSDiscount($U$35,Y11857,,Trigger)</f>
        <v>0.5560288273871542</v>
      </c>
    </row>
    <row r="11858" spans="25:26" x14ac:dyDescent="0.25">
      <c r="Y11858" s="63">
        <v>54391</v>
      </c>
      <c r="Z11858" s="61">
        <f>_xll.qlYieldTSDiscount($U$35,Y11858,,Trigger)</f>
        <v>0.55599080133892642</v>
      </c>
    </row>
    <row r="11859" spans="25:26" x14ac:dyDescent="0.25">
      <c r="Y11859" s="63">
        <v>54392</v>
      </c>
      <c r="Z11859" s="61">
        <f>_xll.qlYieldTSDiscount($U$35,Y11859,,Trigger)</f>
        <v>0.55595277898268602</v>
      </c>
    </row>
    <row r="11860" spans="25:26" x14ac:dyDescent="0.25">
      <c r="Y11860" s="63">
        <v>54393</v>
      </c>
      <c r="Z11860" s="61">
        <f>_xll.qlYieldTSDiscount($U$35,Y11860,,Trigger)</f>
        <v>0.55591476031806708</v>
      </c>
    </row>
    <row r="11861" spans="25:26" x14ac:dyDescent="0.25">
      <c r="Y11861" s="63">
        <v>54394</v>
      </c>
      <c r="Z11861" s="61">
        <f>_xll.qlYieldTSDiscount($U$35,Y11861,,Trigger)</f>
        <v>0.55587674534470366</v>
      </c>
    </row>
    <row r="11862" spans="25:26" x14ac:dyDescent="0.25">
      <c r="Y11862" s="63">
        <v>54395</v>
      </c>
      <c r="Z11862" s="61">
        <f>_xll.qlYieldTSDiscount($U$35,Y11862,,Trigger)</f>
        <v>0.55583873406222961</v>
      </c>
    </row>
    <row r="11863" spans="25:26" x14ac:dyDescent="0.25">
      <c r="Y11863" s="63">
        <v>54396</v>
      </c>
      <c r="Z11863" s="61">
        <f>_xll.qlYieldTSDiscount($U$35,Y11863,,Trigger)</f>
        <v>0.55580072647027923</v>
      </c>
    </row>
    <row r="11864" spans="25:26" x14ac:dyDescent="0.25">
      <c r="Y11864" s="63">
        <v>54397</v>
      </c>
      <c r="Z11864" s="61">
        <f>_xll.qlYieldTSDiscount($U$35,Y11864,,Trigger)</f>
        <v>0.55576272256848636</v>
      </c>
    </row>
    <row r="11865" spans="25:26" x14ac:dyDescent="0.25">
      <c r="Y11865" s="63">
        <v>54398</v>
      </c>
      <c r="Z11865" s="61">
        <f>_xll.qlYieldTSDiscount($U$35,Y11865,,Trigger)</f>
        <v>0.55572472235648496</v>
      </c>
    </row>
    <row r="11866" spans="25:26" x14ac:dyDescent="0.25">
      <c r="Y11866" s="63">
        <v>54399</v>
      </c>
      <c r="Z11866" s="61">
        <f>_xll.qlYieldTSDiscount($U$35,Y11866,,Trigger)</f>
        <v>0.55568672583390932</v>
      </c>
    </row>
    <row r="11867" spans="25:26" x14ac:dyDescent="0.25">
      <c r="Y11867" s="63">
        <v>54400</v>
      </c>
      <c r="Z11867" s="61">
        <f>_xll.qlYieldTSDiscount($U$35,Y11867,,Trigger)</f>
        <v>0.55564873300039308</v>
      </c>
    </row>
    <row r="11868" spans="25:26" x14ac:dyDescent="0.25">
      <c r="Y11868" s="63">
        <v>54401</v>
      </c>
      <c r="Z11868" s="61">
        <f>_xll.qlYieldTSDiscount($U$35,Y11868,,Trigger)</f>
        <v>0.55561074385557052</v>
      </c>
    </row>
    <row r="11869" spans="25:26" x14ac:dyDescent="0.25">
      <c r="Y11869" s="63">
        <v>54402</v>
      </c>
      <c r="Z11869" s="61">
        <f>_xll.qlYieldTSDiscount($U$35,Y11869,,Trigger)</f>
        <v>0.55557275839907572</v>
      </c>
    </row>
    <row r="11870" spans="25:26" x14ac:dyDescent="0.25">
      <c r="Y11870" s="63">
        <v>54403</v>
      </c>
      <c r="Z11870" s="61">
        <f>_xll.qlYieldTSDiscount($U$35,Y11870,,Trigger)</f>
        <v>0.55553477663054252</v>
      </c>
    </row>
    <row r="11871" spans="25:26" x14ac:dyDescent="0.25">
      <c r="Y11871" s="63">
        <v>54404</v>
      </c>
      <c r="Z11871" s="61">
        <f>_xll.qlYieldTSDiscount($U$35,Y11871,,Trigger)</f>
        <v>0.55549679854960499</v>
      </c>
    </row>
    <row r="11872" spans="25:26" x14ac:dyDescent="0.25">
      <c r="Y11872" s="63">
        <v>54405</v>
      </c>
      <c r="Z11872" s="61">
        <f>_xll.qlYieldTSDiscount($U$35,Y11872,,Trigger)</f>
        <v>0.55545882415589709</v>
      </c>
    </row>
    <row r="11873" spans="25:26" x14ac:dyDescent="0.25">
      <c r="Y11873" s="63">
        <v>54406</v>
      </c>
      <c r="Z11873" s="61">
        <f>_xll.qlYieldTSDiscount($U$35,Y11873,,Trigger)</f>
        <v>0.55542085344905312</v>
      </c>
    </row>
    <row r="11874" spans="25:26" x14ac:dyDescent="0.25">
      <c r="Y11874" s="63">
        <v>54407</v>
      </c>
      <c r="Z11874" s="61">
        <f>_xll.qlYieldTSDiscount($U$35,Y11874,,Trigger)</f>
        <v>0.55538288642870681</v>
      </c>
    </row>
    <row r="11875" spans="25:26" x14ac:dyDescent="0.25">
      <c r="Y11875" s="63">
        <v>54408</v>
      </c>
      <c r="Z11875" s="61">
        <f>_xll.qlYieldTSDiscount($U$35,Y11875,,Trigger)</f>
        <v>0.55534492309449224</v>
      </c>
    </row>
    <row r="11876" spans="25:26" x14ac:dyDescent="0.25">
      <c r="Y11876" s="63">
        <v>54409</v>
      </c>
      <c r="Z11876" s="61">
        <f>_xll.qlYieldTSDiscount($U$35,Y11876,,Trigger)</f>
        <v>0.55530696344604358</v>
      </c>
    </row>
    <row r="11877" spans="25:26" x14ac:dyDescent="0.25">
      <c r="Y11877" s="63">
        <v>54410</v>
      </c>
      <c r="Z11877" s="61">
        <f>_xll.qlYieldTSDiscount($U$35,Y11877,,Trigger)</f>
        <v>0.55526900748299468</v>
      </c>
    </row>
    <row r="11878" spans="25:26" x14ac:dyDescent="0.25">
      <c r="Y11878" s="63">
        <v>54411</v>
      </c>
      <c r="Z11878" s="61">
        <f>_xll.qlYieldTSDiscount($U$35,Y11878,,Trigger)</f>
        <v>0.55523105520497962</v>
      </c>
    </row>
    <row r="11879" spans="25:26" x14ac:dyDescent="0.25">
      <c r="Y11879" s="63">
        <v>54412</v>
      </c>
      <c r="Z11879" s="61">
        <f>_xll.qlYieldTSDiscount($U$35,Y11879,,Trigger)</f>
        <v>0.55519310661163246</v>
      </c>
    </row>
    <row r="11880" spans="25:26" x14ac:dyDescent="0.25">
      <c r="Y11880" s="63">
        <v>54413</v>
      </c>
      <c r="Z11880" s="61">
        <f>_xll.qlYieldTSDiscount($U$35,Y11880,,Trigger)</f>
        <v>0.55515516170258716</v>
      </c>
    </row>
    <row r="11881" spans="25:26" x14ac:dyDescent="0.25">
      <c r="Y11881" s="63">
        <v>54414</v>
      </c>
      <c r="Z11881" s="61">
        <f>_xll.qlYieldTSDiscount($U$35,Y11881,,Trigger)</f>
        <v>0.55511722047747769</v>
      </c>
    </row>
    <row r="11882" spans="25:26" x14ac:dyDescent="0.25">
      <c r="Y11882" s="63">
        <v>54415</v>
      </c>
      <c r="Z11882" s="61">
        <f>_xll.qlYieldTSDiscount($U$35,Y11882,,Trigger)</f>
        <v>0.55507928293593833</v>
      </c>
    </row>
    <row r="11883" spans="25:26" x14ac:dyDescent="0.25">
      <c r="Y11883" s="63">
        <v>54416</v>
      </c>
      <c r="Z11883" s="61">
        <f>_xll.qlYieldTSDiscount($U$35,Y11883,,Trigger)</f>
        <v>0.55504134907760283</v>
      </c>
    </row>
    <row r="11884" spans="25:26" x14ac:dyDescent="0.25">
      <c r="Y11884" s="63">
        <v>54417</v>
      </c>
      <c r="Z11884" s="61">
        <f>_xll.qlYieldTSDiscount($U$35,Y11884,,Trigger)</f>
        <v>0.55500341890210525</v>
      </c>
    </row>
    <row r="11885" spans="25:26" x14ac:dyDescent="0.25">
      <c r="Y11885" s="63">
        <v>54418</v>
      </c>
      <c r="Z11885" s="61">
        <f>_xll.qlYieldTSDiscount($U$35,Y11885,,Trigger)</f>
        <v>0.55496549240907977</v>
      </c>
    </row>
    <row r="11886" spans="25:26" x14ac:dyDescent="0.25">
      <c r="Y11886" s="63">
        <v>54419</v>
      </c>
      <c r="Z11886" s="61">
        <f>_xll.qlYieldTSDiscount($U$35,Y11886,,Trigger)</f>
        <v>0.55492756959816025</v>
      </c>
    </row>
    <row r="11887" spans="25:26" x14ac:dyDescent="0.25">
      <c r="Y11887" s="63">
        <v>54420</v>
      </c>
      <c r="Z11887" s="61">
        <f>_xll.qlYieldTSDiscount($U$35,Y11887,,Trigger)</f>
        <v>0.55488965046898076</v>
      </c>
    </row>
    <row r="11888" spans="25:26" x14ac:dyDescent="0.25">
      <c r="Y11888" s="63">
        <v>54421</v>
      </c>
      <c r="Z11888" s="61">
        <f>_xll.qlYieldTSDiscount($U$35,Y11888,,Trigger)</f>
        <v>0.55485173502117535</v>
      </c>
    </row>
    <row r="11889" spans="25:26" x14ac:dyDescent="0.25">
      <c r="Y11889" s="63">
        <v>54422</v>
      </c>
      <c r="Z11889" s="61">
        <f>_xll.qlYieldTSDiscount($U$35,Y11889,,Trigger)</f>
        <v>0.55481382325437811</v>
      </c>
    </row>
    <row r="11890" spans="25:26" x14ac:dyDescent="0.25">
      <c r="Y11890" s="63">
        <v>54423</v>
      </c>
      <c r="Z11890" s="61">
        <f>_xll.qlYieldTSDiscount($U$35,Y11890,,Trigger)</f>
        <v>0.55477591516822289</v>
      </c>
    </row>
    <row r="11891" spans="25:26" x14ac:dyDescent="0.25">
      <c r="Y11891" s="63">
        <v>54424</v>
      </c>
      <c r="Z11891" s="61">
        <f>_xll.qlYieldTSDiscount($U$35,Y11891,,Trigger)</f>
        <v>0.55473801076234375</v>
      </c>
    </row>
    <row r="11892" spans="25:26" x14ac:dyDescent="0.25">
      <c r="Y11892" s="63">
        <v>54425</v>
      </c>
      <c r="Z11892" s="61">
        <f>_xll.qlYieldTSDiscount($U$35,Y11892,,Trigger)</f>
        <v>0.55470011003637498</v>
      </c>
    </row>
    <row r="11893" spans="25:26" x14ac:dyDescent="0.25">
      <c r="Y11893" s="63">
        <v>54426</v>
      </c>
      <c r="Z11893" s="61">
        <f>_xll.qlYieldTSDiscount($U$35,Y11893,,Trigger)</f>
        <v>0.55466221298995022</v>
      </c>
    </row>
    <row r="11894" spans="25:26" x14ac:dyDescent="0.25">
      <c r="Y11894" s="63">
        <v>54427</v>
      </c>
      <c r="Z11894" s="61">
        <f>_xll.qlYieldTSDiscount($U$35,Y11894,,Trigger)</f>
        <v>0.55462431962270364</v>
      </c>
    </row>
    <row r="11895" spans="25:26" x14ac:dyDescent="0.25">
      <c r="Y11895" s="63">
        <v>54428</v>
      </c>
      <c r="Z11895" s="61">
        <f>_xll.qlYieldTSDiscount($U$35,Y11895,,Trigger)</f>
        <v>0.55458642993426932</v>
      </c>
    </row>
    <row r="11896" spans="25:26" x14ac:dyDescent="0.25">
      <c r="Y11896" s="63">
        <v>54429</v>
      </c>
      <c r="Z11896" s="61">
        <f>_xll.qlYieldTSDiscount($U$35,Y11896,,Trigger)</f>
        <v>0.55454854392428121</v>
      </c>
    </row>
    <row r="11897" spans="25:26" x14ac:dyDescent="0.25">
      <c r="Y11897" s="63">
        <v>54430</v>
      </c>
      <c r="Z11897" s="61">
        <f>_xll.qlYieldTSDiscount($U$35,Y11897,,Trigger)</f>
        <v>0.55451066159237339</v>
      </c>
    </row>
    <row r="11898" spans="25:26" x14ac:dyDescent="0.25">
      <c r="Y11898" s="63">
        <v>54431</v>
      </c>
      <c r="Z11898" s="61">
        <f>_xll.qlYieldTSDiscount($U$35,Y11898,,Trigger)</f>
        <v>0.55447278293817992</v>
      </c>
    </row>
    <row r="11899" spans="25:26" x14ac:dyDescent="0.25">
      <c r="Y11899" s="63">
        <v>54432</v>
      </c>
      <c r="Z11899" s="61">
        <f>_xll.qlYieldTSDiscount($U$35,Y11899,,Trigger)</f>
        <v>0.55443490796133466</v>
      </c>
    </row>
    <row r="11900" spans="25:26" x14ac:dyDescent="0.25">
      <c r="Y11900" s="63">
        <v>54433</v>
      </c>
      <c r="Z11900" s="61">
        <f>_xll.qlYieldTSDiscount($U$35,Y11900,,Trigger)</f>
        <v>0.55439703666147166</v>
      </c>
    </row>
    <row r="11901" spans="25:26" x14ac:dyDescent="0.25">
      <c r="Y11901" s="63">
        <v>54434</v>
      </c>
      <c r="Z11901" s="61">
        <f>_xll.qlYieldTSDiscount($U$35,Y11901,,Trigger)</f>
        <v>0.55435916903822513</v>
      </c>
    </row>
    <row r="11902" spans="25:26" x14ac:dyDescent="0.25">
      <c r="Y11902" s="63">
        <v>54435</v>
      </c>
      <c r="Z11902" s="61">
        <f>_xll.qlYieldTSDiscount($U$35,Y11902,,Trigger)</f>
        <v>0.5543213050912289</v>
      </c>
    </row>
    <row r="11903" spans="25:26" x14ac:dyDescent="0.25">
      <c r="Y11903" s="63">
        <v>54436</v>
      </c>
      <c r="Z11903" s="61">
        <f>_xll.qlYieldTSDiscount($U$35,Y11903,,Trigger)</f>
        <v>0.55428344482011715</v>
      </c>
    </row>
    <row r="11904" spans="25:26" x14ac:dyDescent="0.25">
      <c r="Y11904" s="63">
        <v>54437</v>
      </c>
      <c r="Z11904" s="61">
        <f>_xll.qlYieldTSDiscount($U$35,Y11904,,Trigger)</f>
        <v>0.55424558822452363</v>
      </c>
    </row>
    <row r="11905" spans="25:26" x14ac:dyDescent="0.25">
      <c r="Y11905" s="63">
        <v>54438</v>
      </c>
      <c r="Z11905" s="61">
        <f>_xll.qlYieldTSDiscount($U$35,Y11905,,Trigger)</f>
        <v>0.55420773530408285</v>
      </c>
    </row>
    <row r="11906" spans="25:26" x14ac:dyDescent="0.25">
      <c r="Y11906" s="63">
        <v>54439</v>
      </c>
      <c r="Z11906" s="61">
        <f>_xll.qlYieldTSDiscount($U$35,Y11906,,Trigger)</f>
        <v>0.55416988605842832</v>
      </c>
    </row>
    <row r="11907" spans="25:26" x14ac:dyDescent="0.25">
      <c r="Y11907" s="63">
        <v>54440</v>
      </c>
      <c r="Z11907" s="61">
        <f>_xll.qlYieldTSDiscount($U$35,Y11907,,Trigger)</f>
        <v>0.55413204048719422</v>
      </c>
    </row>
    <row r="11908" spans="25:26" x14ac:dyDescent="0.25">
      <c r="Y11908" s="63">
        <v>54441</v>
      </c>
      <c r="Z11908" s="61">
        <f>_xll.qlYieldTSDiscount($U$35,Y11908,,Trigger)</f>
        <v>0.55409419859001474</v>
      </c>
    </row>
    <row r="11909" spans="25:26" x14ac:dyDescent="0.25">
      <c r="Y11909" s="63">
        <v>54442</v>
      </c>
      <c r="Z11909" s="61">
        <f>_xll.qlYieldTSDiscount($U$35,Y11909,,Trigger)</f>
        <v>0.55405636036652373</v>
      </c>
    </row>
    <row r="11910" spans="25:26" x14ac:dyDescent="0.25">
      <c r="Y11910" s="63">
        <v>54443</v>
      </c>
      <c r="Z11910" s="61">
        <f>_xll.qlYieldTSDiscount($U$35,Y11910,,Trigger)</f>
        <v>0.55401852581635525</v>
      </c>
    </row>
    <row r="11911" spans="25:26" x14ac:dyDescent="0.25">
      <c r="Y11911" s="63">
        <v>54444</v>
      </c>
      <c r="Z11911" s="61">
        <f>_xll.qlYieldTSDiscount($U$35,Y11911,,Trigger)</f>
        <v>0.55398069493914348</v>
      </c>
    </row>
    <row r="11912" spans="25:26" x14ac:dyDescent="0.25">
      <c r="Y11912" s="63">
        <v>54445</v>
      </c>
      <c r="Z11912" s="61">
        <f>_xll.qlYieldTSDiscount($U$35,Y11912,,Trigger)</f>
        <v>0.55394286773452217</v>
      </c>
    </row>
    <row r="11913" spans="25:26" x14ac:dyDescent="0.25">
      <c r="Y11913" s="63">
        <v>54446</v>
      </c>
      <c r="Z11913" s="61">
        <f>_xll.qlYieldTSDiscount($U$35,Y11913,,Trigger)</f>
        <v>0.5539050442021255</v>
      </c>
    </row>
    <row r="11914" spans="25:26" x14ac:dyDescent="0.25">
      <c r="Y11914" s="63">
        <v>54447</v>
      </c>
      <c r="Z11914" s="61">
        <f>_xll.qlYieldTSDiscount($U$35,Y11914,,Trigger)</f>
        <v>0.55386722434158753</v>
      </c>
    </row>
    <row r="11915" spans="25:26" x14ac:dyDescent="0.25">
      <c r="Y11915" s="63">
        <v>54448</v>
      </c>
      <c r="Z11915" s="61">
        <f>_xll.qlYieldTSDiscount($U$35,Y11915,,Trigger)</f>
        <v>0.55382940815254211</v>
      </c>
    </row>
    <row r="11916" spans="25:26" x14ac:dyDescent="0.25">
      <c r="Y11916" s="63">
        <v>54449</v>
      </c>
      <c r="Z11916" s="61">
        <f>_xll.qlYieldTSDiscount($U$35,Y11916,,Trigger)</f>
        <v>0.55379159563462332</v>
      </c>
    </row>
    <row r="11917" spans="25:26" x14ac:dyDescent="0.25">
      <c r="Y11917" s="63">
        <v>54450</v>
      </c>
      <c r="Z11917" s="61">
        <f>_xll.qlYieldTSDiscount($U$35,Y11917,,Trigger)</f>
        <v>0.55375378678746523</v>
      </c>
    </row>
    <row r="11918" spans="25:26" x14ac:dyDescent="0.25">
      <c r="Y11918" s="63">
        <v>54451</v>
      </c>
      <c r="Z11918" s="61">
        <f>_xll.qlYieldTSDiscount($U$35,Y11918,,Trigger)</f>
        <v>0.55371598161070201</v>
      </c>
    </row>
    <row r="11919" spans="25:26" x14ac:dyDescent="0.25">
      <c r="Y11919" s="63">
        <v>54452</v>
      </c>
      <c r="Z11919" s="61">
        <f>_xll.qlYieldTSDiscount($U$35,Y11919,,Trigger)</f>
        <v>0.55367818010396752</v>
      </c>
    </row>
    <row r="11920" spans="25:26" x14ac:dyDescent="0.25">
      <c r="Y11920" s="63">
        <v>54453</v>
      </c>
      <c r="Z11920" s="61">
        <f>_xll.qlYieldTSDiscount($U$35,Y11920,,Trigger)</f>
        <v>0.5536403822668956</v>
      </c>
    </row>
    <row r="11921" spans="25:26" x14ac:dyDescent="0.25">
      <c r="Y11921" s="63">
        <v>54454</v>
      </c>
      <c r="Z11921" s="61">
        <f>_xll.qlYieldTSDiscount($U$35,Y11921,,Trigger)</f>
        <v>0.55360258809912066</v>
      </c>
    </row>
    <row r="11922" spans="25:26" x14ac:dyDescent="0.25">
      <c r="Y11922" s="63">
        <v>54455</v>
      </c>
      <c r="Z11922" s="61">
        <f>_xll.qlYieldTSDiscount($U$35,Y11922,,Trigger)</f>
        <v>0.55356479760027644</v>
      </c>
    </row>
    <row r="11923" spans="25:26" x14ac:dyDescent="0.25">
      <c r="Y11923" s="63">
        <v>54456</v>
      </c>
      <c r="Z11923" s="61">
        <f>_xll.qlYieldTSDiscount($U$35,Y11923,,Trigger)</f>
        <v>0.55352701076999711</v>
      </c>
    </row>
    <row r="11924" spans="25:26" x14ac:dyDescent="0.25">
      <c r="Y11924" s="63">
        <v>54457</v>
      </c>
      <c r="Z11924" s="61">
        <f>_xll.qlYieldTSDiscount($U$35,Y11924,,Trigger)</f>
        <v>0.55348922760791663</v>
      </c>
    </row>
    <row r="11925" spans="25:26" x14ac:dyDescent="0.25">
      <c r="Y11925" s="63">
        <v>54458</v>
      </c>
      <c r="Z11925" s="61">
        <f>_xll.qlYieldTSDiscount($U$35,Y11925,,Trigger)</f>
        <v>0.55345144811366898</v>
      </c>
    </row>
    <row r="11926" spans="25:26" x14ac:dyDescent="0.25">
      <c r="Y11926" s="63">
        <v>54459</v>
      </c>
      <c r="Z11926" s="61">
        <f>_xll.qlYieldTSDiscount($U$35,Y11926,,Trigger)</f>
        <v>0.5534136722868882</v>
      </c>
    </row>
    <row r="11927" spans="25:26" x14ac:dyDescent="0.25">
      <c r="Y11927" s="63">
        <v>54460</v>
      </c>
      <c r="Z11927" s="61">
        <f>_xll.qlYieldTSDiscount($U$35,Y11927,,Trigger)</f>
        <v>0.5533759001272085</v>
      </c>
    </row>
    <row r="11928" spans="25:26" x14ac:dyDescent="0.25">
      <c r="Y11928" s="63">
        <v>54461</v>
      </c>
      <c r="Z11928" s="61">
        <f>_xll.qlYieldTSDiscount($U$35,Y11928,,Trigger)</f>
        <v>0.55333813163426349</v>
      </c>
    </row>
    <row r="11929" spans="25:26" x14ac:dyDescent="0.25">
      <c r="Y11929" s="63">
        <v>54462</v>
      </c>
      <c r="Z11929" s="61">
        <f>_xll.qlYieldTSDiscount($U$35,Y11929,,Trigger)</f>
        <v>0.55330036680768757</v>
      </c>
    </row>
    <row r="11930" spans="25:26" x14ac:dyDescent="0.25">
      <c r="Y11930" s="63">
        <v>54463</v>
      </c>
      <c r="Z11930" s="61">
        <f>_xll.qlYieldTSDiscount($U$35,Y11930,,Trigger)</f>
        <v>0.55326260564711471</v>
      </c>
    </row>
    <row r="11931" spans="25:26" x14ac:dyDescent="0.25">
      <c r="Y11931" s="63">
        <v>54464</v>
      </c>
      <c r="Z11931" s="61">
        <f>_xll.qlYieldTSDiscount($U$35,Y11931,,Trigger)</f>
        <v>0.55322484815217876</v>
      </c>
    </row>
    <row r="11932" spans="25:26" x14ac:dyDescent="0.25">
      <c r="Y11932" s="63">
        <v>54465</v>
      </c>
      <c r="Z11932" s="61">
        <f>_xll.qlYieldTSDiscount($U$35,Y11932,,Trigger)</f>
        <v>0.55318709432251378</v>
      </c>
    </row>
    <row r="11933" spans="25:26" x14ac:dyDescent="0.25">
      <c r="Y11933" s="63">
        <v>54466</v>
      </c>
      <c r="Z11933" s="61">
        <f>_xll.qlYieldTSDiscount($U$35,Y11933,,Trigger)</f>
        <v>0.55314934415775385</v>
      </c>
    </row>
    <row r="11934" spans="25:26" x14ac:dyDescent="0.25">
      <c r="Y11934" s="63">
        <v>54467</v>
      </c>
      <c r="Z11934" s="61">
        <f>_xll.qlYieldTSDiscount($U$35,Y11934,,Trigger)</f>
        <v>0.55311159765753315</v>
      </c>
    </row>
    <row r="11935" spans="25:26" x14ac:dyDescent="0.25">
      <c r="Y11935" s="63">
        <v>54468</v>
      </c>
      <c r="Z11935" s="61">
        <f>_xll.qlYieldTSDiscount($U$35,Y11935,,Trigger)</f>
        <v>0.55307385482148541</v>
      </c>
    </row>
    <row r="11936" spans="25:26" x14ac:dyDescent="0.25">
      <c r="Y11936" s="63">
        <v>54469</v>
      </c>
      <c r="Z11936" s="61">
        <f>_xll.qlYieldTSDiscount($U$35,Y11936,,Trigger)</f>
        <v>0.55303611564924482</v>
      </c>
    </row>
    <row r="11937" spans="25:26" x14ac:dyDescent="0.25">
      <c r="Y11937" s="63">
        <v>54470</v>
      </c>
      <c r="Z11937" s="61">
        <f>_xll.qlYieldTSDiscount($U$35,Y11937,,Trigger)</f>
        <v>0.55299838014044544</v>
      </c>
    </row>
    <row r="11938" spans="25:26" x14ac:dyDescent="0.25">
      <c r="Y11938" s="63">
        <v>54471</v>
      </c>
      <c r="Z11938" s="61">
        <f>_xll.qlYieldTSDiscount($U$35,Y11938,,Trigger)</f>
        <v>0.55296064829472114</v>
      </c>
    </row>
    <row r="11939" spans="25:26" x14ac:dyDescent="0.25">
      <c r="Y11939" s="63">
        <v>54472</v>
      </c>
      <c r="Z11939" s="61">
        <f>_xll.qlYieldTSDiscount($U$35,Y11939,,Trigger)</f>
        <v>0.55292292011170596</v>
      </c>
    </row>
    <row r="11940" spans="25:26" x14ac:dyDescent="0.25">
      <c r="Y11940" s="63">
        <v>54473</v>
      </c>
      <c r="Z11940" s="61">
        <f>_xll.qlYieldTSDiscount($U$35,Y11940,,Trigger)</f>
        <v>0.55288519559103411</v>
      </c>
    </row>
    <row r="11941" spans="25:26" x14ac:dyDescent="0.25">
      <c r="Y11941" s="63">
        <v>54474</v>
      </c>
      <c r="Z11941" s="61">
        <f>_xll.qlYieldTSDiscount($U$35,Y11941,,Trigger)</f>
        <v>0.55284747473233942</v>
      </c>
    </row>
    <row r="11942" spans="25:26" x14ac:dyDescent="0.25">
      <c r="Y11942" s="63">
        <v>54475</v>
      </c>
      <c r="Z11942" s="61">
        <f>_xll.qlYieldTSDiscount($U$35,Y11942,,Trigger)</f>
        <v>0.55280975753525596</v>
      </c>
    </row>
    <row r="11943" spans="25:26" x14ac:dyDescent="0.25">
      <c r="Y11943" s="63">
        <v>54476</v>
      </c>
      <c r="Z11943" s="61">
        <f>_xll.qlYieldTSDiscount($U$35,Y11943,,Trigger)</f>
        <v>0.55277204399941782</v>
      </c>
    </row>
    <row r="11944" spans="25:26" x14ac:dyDescent="0.25">
      <c r="Y11944" s="63">
        <v>54477</v>
      </c>
      <c r="Z11944" s="61">
        <f>_xll.qlYieldTSDiscount($U$35,Y11944,,Trigger)</f>
        <v>0.55273433412445883</v>
      </c>
    </row>
    <row r="11945" spans="25:26" x14ac:dyDescent="0.25">
      <c r="Y11945" s="63">
        <v>54478</v>
      </c>
      <c r="Z11945" s="61">
        <f>_xll.qlYieldTSDiscount($U$35,Y11945,,Trigger)</f>
        <v>0.55269662791001328</v>
      </c>
    </row>
    <row r="11946" spans="25:26" x14ac:dyDescent="0.25">
      <c r="Y11946" s="63">
        <v>54479</v>
      </c>
      <c r="Z11946" s="61">
        <f>_xll.qlYieldTSDiscount($U$35,Y11946,,Trigger)</f>
        <v>0.55265892535571504</v>
      </c>
    </row>
    <row r="11947" spans="25:26" x14ac:dyDescent="0.25">
      <c r="Y11947" s="63">
        <v>54480</v>
      </c>
      <c r="Z11947" s="61">
        <f>_xll.qlYieldTSDiscount($U$35,Y11947,,Trigger)</f>
        <v>0.55262122646119816</v>
      </c>
    </row>
    <row r="11948" spans="25:26" x14ac:dyDescent="0.25">
      <c r="Y11948" s="63">
        <v>54481</v>
      </c>
      <c r="Z11948" s="61">
        <f>_xll.qlYieldTSDiscount($U$35,Y11948,,Trigger)</f>
        <v>0.5525835312260966</v>
      </c>
    </row>
    <row r="11949" spans="25:26" x14ac:dyDescent="0.25">
      <c r="Y11949" s="63">
        <v>54482</v>
      </c>
      <c r="Z11949" s="61">
        <f>_xll.qlYieldTSDiscount($U$35,Y11949,,Trigger)</f>
        <v>0.55254583965004445</v>
      </c>
    </row>
    <row r="11950" spans="25:26" x14ac:dyDescent="0.25">
      <c r="Y11950" s="63">
        <v>54483</v>
      </c>
      <c r="Z11950" s="61">
        <f>_xll.qlYieldTSDiscount($U$35,Y11950,,Trigger)</f>
        <v>0.55250815173267587</v>
      </c>
    </row>
    <row r="11951" spans="25:26" x14ac:dyDescent="0.25">
      <c r="Y11951" s="63">
        <v>54484</v>
      </c>
      <c r="Z11951" s="61">
        <f>_xll.qlYieldTSDiscount($U$35,Y11951,,Trigger)</f>
        <v>0.5524704674736246</v>
      </c>
    </row>
    <row r="11952" spans="25:26" x14ac:dyDescent="0.25">
      <c r="Y11952" s="63">
        <v>54485</v>
      </c>
      <c r="Z11952" s="61">
        <f>_xll.qlYieldTSDiscount($U$35,Y11952,,Trigger)</f>
        <v>0.55243278687252473</v>
      </c>
    </row>
    <row r="11953" spans="25:26" x14ac:dyDescent="0.25">
      <c r="Y11953" s="63">
        <v>54486</v>
      </c>
      <c r="Z11953" s="61">
        <f>_xll.qlYieldTSDiscount($U$35,Y11953,,Trigger)</f>
        <v>0.55239510992901053</v>
      </c>
    </row>
    <row r="11954" spans="25:26" x14ac:dyDescent="0.25">
      <c r="Y11954" s="63">
        <v>54487</v>
      </c>
      <c r="Z11954" s="61">
        <f>_xll.qlYieldTSDiscount($U$35,Y11954,,Trigger)</f>
        <v>0.55235743664271564</v>
      </c>
    </row>
    <row r="11955" spans="25:26" x14ac:dyDescent="0.25">
      <c r="Y11955" s="63">
        <v>54488</v>
      </c>
      <c r="Z11955" s="61">
        <f>_xll.qlYieldTSDiscount($U$35,Y11955,,Trigger)</f>
        <v>0.55231976701327434</v>
      </c>
    </row>
    <row r="11956" spans="25:26" x14ac:dyDescent="0.25">
      <c r="Y11956" s="63">
        <v>54489</v>
      </c>
      <c r="Z11956" s="61">
        <f>_xll.qlYieldTSDiscount($U$35,Y11956,,Trigger)</f>
        <v>0.55228210104032072</v>
      </c>
    </row>
    <row r="11957" spans="25:26" x14ac:dyDescent="0.25">
      <c r="Y11957" s="63">
        <v>54490</v>
      </c>
      <c r="Z11957" s="61">
        <f>_xll.qlYieldTSDiscount($U$35,Y11957,,Trigger)</f>
        <v>0.5522444387234885</v>
      </c>
    </row>
    <row r="11958" spans="25:26" x14ac:dyDescent="0.25">
      <c r="Y11958" s="63">
        <v>54491</v>
      </c>
      <c r="Z11958" s="61">
        <f>_xll.qlYieldTSDiscount($U$35,Y11958,,Trigger)</f>
        <v>0.55220678006241197</v>
      </c>
    </row>
    <row r="11959" spans="25:26" x14ac:dyDescent="0.25">
      <c r="Y11959" s="63">
        <v>54492</v>
      </c>
      <c r="Z11959" s="61">
        <f>_xll.qlYieldTSDiscount($U$35,Y11959,,Trigger)</f>
        <v>0.55216912505672511</v>
      </c>
    </row>
    <row r="11960" spans="25:26" x14ac:dyDescent="0.25">
      <c r="Y11960" s="63">
        <v>54493</v>
      </c>
      <c r="Z11960" s="61">
        <f>_xll.qlYieldTSDiscount($U$35,Y11960,,Trigger)</f>
        <v>0.55213147370606175</v>
      </c>
    </row>
    <row r="11961" spans="25:26" x14ac:dyDescent="0.25">
      <c r="Y11961" s="63">
        <v>54494</v>
      </c>
      <c r="Z11961" s="61">
        <f>_xll.qlYieldTSDiscount($U$35,Y11961,,Trigger)</f>
        <v>0.55209382601005608</v>
      </c>
    </row>
    <row r="11962" spans="25:26" x14ac:dyDescent="0.25">
      <c r="Y11962" s="63">
        <v>54495</v>
      </c>
      <c r="Z11962" s="61">
        <f>_xll.qlYieldTSDiscount($U$35,Y11962,,Trigger)</f>
        <v>0.55205618196834205</v>
      </c>
    </row>
    <row r="11963" spans="25:26" x14ac:dyDescent="0.25">
      <c r="Y11963" s="63">
        <v>54496</v>
      </c>
      <c r="Z11963" s="61">
        <f>_xll.qlYieldTSDiscount($U$35,Y11963,,Trigger)</f>
        <v>0.55201854158055397</v>
      </c>
    </row>
    <row r="11964" spans="25:26" x14ac:dyDescent="0.25">
      <c r="Y11964" s="63">
        <v>54497</v>
      </c>
      <c r="Z11964" s="61">
        <f>_xll.qlYieldTSDiscount($U$35,Y11964,,Trigger)</f>
        <v>0.55198090484632534</v>
      </c>
    </row>
    <row r="11965" spans="25:26" x14ac:dyDescent="0.25">
      <c r="Y11965" s="63">
        <v>54498</v>
      </c>
      <c r="Z11965" s="61">
        <f>_xll.qlYieldTSDiscount($U$35,Y11965,,Trigger)</f>
        <v>0.55194327176529057</v>
      </c>
    </row>
    <row r="11966" spans="25:26" x14ac:dyDescent="0.25">
      <c r="Y11966" s="63">
        <v>54499</v>
      </c>
      <c r="Z11966" s="61">
        <f>_xll.qlYieldTSDiscount($U$35,Y11966,,Trigger)</f>
        <v>0.55190564233708361</v>
      </c>
    </row>
    <row r="11967" spans="25:26" x14ac:dyDescent="0.25">
      <c r="Y11967" s="63">
        <v>54500</v>
      </c>
      <c r="Z11967" s="61">
        <f>_xll.qlYieldTSDiscount($U$35,Y11967,,Trigger)</f>
        <v>0.55186801656133844</v>
      </c>
    </row>
    <row r="11968" spans="25:26" x14ac:dyDescent="0.25">
      <c r="Y11968" s="63">
        <v>54501</v>
      </c>
      <c r="Z11968" s="61">
        <f>_xll.qlYieldTSDiscount($U$35,Y11968,,Trigger)</f>
        <v>0.551830394437689</v>
      </c>
    </row>
    <row r="11969" spans="25:26" x14ac:dyDescent="0.25">
      <c r="Y11969" s="63">
        <v>54502</v>
      </c>
      <c r="Z11969" s="61">
        <f>_xll.qlYieldTSDiscount($U$35,Y11969,,Trigger)</f>
        <v>0.55179277596576948</v>
      </c>
    </row>
    <row r="11970" spans="25:26" x14ac:dyDescent="0.25">
      <c r="Y11970" s="63">
        <v>54503</v>
      </c>
      <c r="Z11970" s="61">
        <f>_xll.qlYieldTSDiscount($U$35,Y11970,,Trigger)</f>
        <v>0.55175516114521372</v>
      </c>
    </row>
    <row r="11971" spans="25:26" x14ac:dyDescent="0.25">
      <c r="Y11971" s="63">
        <v>54504</v>
      </c>
      <c r="Z11971" s="61">
        <f>_xll.qlYieldTSDiscount($U$35,Y11971,,Trigger)</f>
        <v>0.55171754997565592</v>
      </c>
    </row>
    <row r="11972" spans="25:26" x14ac:dyDescent="0.25">
      <c r="Y11972" s="63">
        <v>54505</v>
      </c>
      <c r="Z11972" s="61">
        <f>_xll.qlYieldTSDiscount($U$35,Y11972,,Trigger)</f>
        <v>0.55167994245673002</v>
      </c>
    </row>
    <row r="11973" spans="25:26" x14ac:dyDescent="0.25">
      <c r="Y11973" s="63">
        <v>54506</v>
      </c>
      <c r="Z11973" s="61">
        <f>_xll.qlYieldTSDiscount($U$35,Y11973,,Trigger)</f>
        <v>0.55164233858806999</v>
      </c>
    </row>
    <row r="11974" spans="25:26" x14ac:dyDescent="0.25">
      <c r="Y11974" s="63">
        <v>54507</v>
      </c>
      <c r="Z11974" s="61">
        <f>_xll.qlYieldTSDiscount($U$35,Y11974,,Trigger)</f>
        <v>0.5516047383693099</v>
      </c>
    </row>
    <row r="11975" spans="25:26" x14ac:dyDescent="0.25">
      <c r="Y11975" s="63">
        <v>54508</v>
      </c>
      <c r="Z11975" s="61">
        <f>_xll.qlYieldTSDiscount($U$35,Y11975,,Trigger)</f>
        <v>0.55156714180008382</v>
      </c>
    </row>
    <row r="11976" spans="25:26" x14ac:dyDescent="0.25">
      <c r="Y11976" s="63">
        <v>54509</v>
      </c>
      <c r="Z11976" s="61">
        <f>_xll.qlYieldTSDiscount($U$35,Y11976,,Trigger)</f>
        <v>0.5515295488800257</v>
      </c>
    </row>
    <row r="11977" spans="25:26" x14ac:dyDescent="0.25">
      <c r="Y11977" s="63">
        <v>54510</v>
      </c>
      <c r="Z11977" s="61">
        <f>_xll.qlYieldTSDiscount($U$35,Y11977,,Trigger)</f>
        <v>0.55149195960876962</v>
      </c>
    </row>
    <row r="11978" spans="25:26" x14ac:dyDescent="0.25">
      <c r="Y11978" s="63">
        <v>54511</v>
      </c>
      <c r="Z11978" s="61">
        <f>_xll.qlYieldTSDiscount($U$35,Y11978,,Trigger)</f>
        <v>0.55145437398594954</v>
      </c>
    </row>
    <row r="11979" spans="25:26" x14ac:dyDescent="0.25">
      <c r="Y11979" s="63">
        <v>54512</v>
      </c>
      <c r="Z11979" s="61">
        <f>_xll.qlYieldTSDiscount($U$35,Y11979,,Trigger)</f>
        <v>0.55141679201119953</v>
      </c>
    </row>
    <row r="11980" spans="25:26" x14ac:dyDescent="0.25">
      <c r="Y11980" s="63">
        <v>54513</v>
      </c>
      <c r="Z11980" s="61">
        <f>_xll.qlYieldTSDiscount($U$35,Y11980,,Trigger)</f>
        <v>0.55137921368415366</v>
      </c>
    </row>
    <row r="11981" spans="25:26" x14ac:dyDescent="0.25">
      <c r="Y11981" s="63">
        <v>54514</v>
      </c>
      <c r="Z11981" s="61">
        <f>_xll.qlYieldTSDiscount($U$35,Y11981,,Trigger)</f>
        <v>0.55134163900444577</v>
      </c>
    </row>
    <row r="11982" spans="25:26" x14ac:dyDescent="0.25">
      <c r="Y11982" s="63">
        <v>54515</v>
      </c>
      <c r="Z11982" s="61">
        <f>_xll.qlYieldTSDiscount($U$35,Y11982,,Trigger)</f>
        <v>0.55130406797171005</v>
      </c>
    </row>
    <row r="11983" spans="25:26" x14ac:dyDescent="0.25">
      <c r="Y11983" s="63">
        <v>54516</v>
      </c>
      <c r="Z11983" s="61">
        <f>_xll.qlYieldTSDiscount($U$35,Y11983,,Trigger)</f>
        <v>0.55126650058558047</v>
      </c>
    </row>
    <row r="11984" spans="25:26" x14ac:dyDescent="0.25">
      <c r="Y11984" s="63">
        <v>54517</v>
      </c>
      <c r="Z11984" s="61">
        <f>_xll.qlYieldTSDiscount($U$35,Y11984,,Trigger)</f>
        <v>0.55122893684569108</v>
      </c>
    </row>
    <row r="11985" spans="25:26" x14ac:dyDescent="0.25">
      <c r="Y11985" s="63">
        <v>54518</v>
      </c>
      <c r="Z11985" s="61">
        <f>_xll.qlYieldTSDiscount($U$35,Y11985,,Trigger)</f>
        <v>0.55119137675167595</v>
      </c>
    </row>
    <row r="11986" spans="25:26" x14ac:dyDescent="0.25">
      <c r="Y11986" s="63">
        <v>54519</v>
      </c>
      <c r="Z11986" s="61">
        <f>_xll.qlYieldTSDiscount($U$35,Y11986,,Trigger)</f>
        <v>0.55115382030316884</v>
      </c>
    </row>
    <row r="11987" spans="25:26" x14ac:dyDescent="0.25">
      <c r="Y11987" s="63">
        <v>54520</v>
      </c>
      <c r="Z11987" s="61">
        <f>_xll.qlYieldTSDiscount($U$35,Y11987,,Trigger)</f>
        <v>0.55111626749980402</v>
      </c>
    </row>
    <row r="11988" spans="25:26" x14ac:dyDescent="0.25">
      <c r="Y11988" s="63">
        <v>54521</v>
      </c>
      <c r="Z11988" s="61">
        <f>_xll.qlYieldTSDiscount($U$35,Y11988,,Trigger)</f>
        <v>0.55107871834121558</v>
      </c>
    </row>
    <row r="11989" spans="25:26" x14ac:dyDescent="0.25">
      <c r="Y11989" s="63">
        <v>54522</v>
      </c>
      <c r="Z11989" s="61">
        <f>_xll.qlYieldTSDiscount($U$35,Y11989,,Trigger)</f>
        <v>0.55104117282703724</v>
      </c>
    </row>
    <row r="11990" spans="25:26" x14ac:dyDescent="0.25">
      <c r="Y11990" s="63">
        <v>54523</v>
      </c>
      <c r="Z11990" s="61">
        <f>_xll.qlYieldTSDiscount($U$35,Y11990,,Trigger)</f>
        <v>0.5510036309569033</v>
      </c>
    </row>
    <row r="11991" spans="25:26" x14ac:dyDescent="0.25">
      <c r="Y11991" s="63">
        <v>54524</v>
      </c>
      <c r="Z11991" s="61">
        <f>_xll.qlYieldTSDiscount($U$35,Y11991,,Trigger)</f>
        <v>0.55096609273044772</v>
      </c>
    </row>
    <row r="11992" spans="25:26" x14ac:dyDescent="0.25">
      <c r="Y11992" s="63">
        <v>54525</v>
      </c>
      <c r="Z11992" s="61">
        <f>_xll.qlYieldTSDiscount($U$35,Y11992,,Trigger)</f>
        <v>0.55092855814730435</v>
      </c>
    </row>
    <row r="11993" spans="25:26" x14ac:dyDescent="0.25">
      <c r="Y11993" s="63">
        <v>54526</v>
      </c>
      <c r="Z11993" s="61">
        <f>_xll.qlYieldTSDiscount($U$35,Y11993,,Trigger)</f>
        <v>0.55089102720710736</v>
      </c>
    </row>
    <row r="11994" spans="25:26" x14ac:dyDescent="0.25">
      <c r="Y11994" s="63">
        <v>54527</v>
      </c>
      <c r="Z11994" s="61">
        <f>_xll.qlYieldTSDiscount($U$35,Y11994,,Trigger)</f>
        <v>0.55085349990949073</v>
      </c>
    </row>
    <row r="11995" spans="25:26" x14ac:dyDescent="0.25">
      <c r="Y11995" s="63">
        <v>54528</v>
      </c>
      <c r="Z11995" s="61">
        <f>_xll.qlYieldTSDiscount($U$35,Y11995,,Trigger)</f>
        <v>0.55081597625408862</v>
      </c>
    </row>
    <row r="11996" spans="25:26" x14ac:dyDescent="0.25">
      <c r="Y11996" s="63">
        <v>54529</v>
      </c>
      <c r="Z11996" s="61">
        <f>_xll.qlYieldTSDiscount($U$35,Y11996,,Trigger)</f>
        <v>0.5507784562405349</v>
      </c>
    </row>
    <row r="11997" spans="25:26" x14ac:dyDescent="0.25">
      <c r="Y11997" s="63">
        <v>54530</v>
      </c>
      <c r="Z11997" s="61">
        <f>_xll.qlYieldTSDiscount($U$35,Y11997,,Trigger)</f>
        <v>0.55074093986846351</v>
      </c>
    </row>
    <row r="11998" spans="25:26" x14ac:dyDescent="0.25">
      <c r="Y11998" s="63">
        <v>54531</v>
      </c>
      <c r="Z11998" s="61">
        <f>_xll.qlYieldTSDiscount($U$35,Y11998,,Trigger)</f>
        <v>0.55070342713750886</v>
      </c>
    </row>
    <row r="11999" spans="25:26" x14ac:dyDescent="0.25">
      <c r="Y11999" s="63">
        <v>54532</v>
      </c>
      <c r="Z11999" s="61">
        <f>_xll.qlYieldTSDiscount($U$35,Y11999,,Trigger)</f>
        <v>0.55066591804730447</v>
      </c>
    </row>
    <row r="12000" spans="25:26" x14ac:dyDescent="0.25">
      <c r="Y12000" s="63">
        <v>54533</v>
      </c>
      <c r="Z12000" s="61">
        <f>_xll.qlYieldTSDiscount($U$35,Y12000,,Trigger)</f>
        <v>0.55062841259748463</v>
      </c>
    </row>
    <row r="12001" spans="25:26" x14ac:dyDescent="0.25">
      <c r="Y12001" s="63">
        <v>54534</v>
      </c>
      <c r="Z12001" s="61">
        <f>_xll.qlYieldTSDiscount($U$35,Y12001,,Trigger)</f>
        <v>0.55059091078768341</v>
      </c>
    </row>
    <row r="12002" spans="25:26" x14ac:dyDescent="0.25">
      <c r="Y12002" s="63">
        <v>54535</v>
      </c>
      <c r="Z12002" s="61">
        <f>_xll.qlYieldTSDiscount($U$35,Y12002,,Trigger)</f>
        <v>0.55055341261753465</v>
      </c>
    </row>
    <row r="12003" spans="25:26" x14ac:dyDescent="0.25">
      <c r="Y12003" s="63">
        <v>54536</v>
      </c>
      <c r="Z12003" s="61">
        <f>_xll.qlYieldTSDiscount($U$35,Y12003,,Trigger)</f>
        <v>0.55051591808667244</v>
      </c>
    </row>
    <row r="12004" spans="25:26" x14ac:dyDescent="0.25">
      <c r="Y12004" s="63">
        <v>54537</v>
      </c>
      <c r="Z12004" s="61">
        <f>_xll.qlYieldTSDiscount($U$35,Y12004,,Trigger)</f>
        <v>0.55047842719473095</v>
      </c>
    </row>
    <row r="12005" spans="25:26" x14ac:dyDescent="0.25">
      <c r="Y12005" s="63">
        <v>54538</v>
      </c>
      <c r="Z12005" s="61">
        <f>_xll.qlYieldTSDiscount($U$35,Y12005,,Trigger)</f>
        <v>0.55044093994134402</v>
      </c>
    </row>
    <row r="12006" spans="25:26" x14ac:dyDescent="0.25">
      <c r="Y12006" s="63">
        <v>54539</v>
      </c>
      <c r="Z12006" s="61">
        <f>_xll.qlYieldTSDiscount($U$35,Y12006,,Trigger)</f>
        <v>0.55040345632614573</v>
      </c>
    </row>
    <row r="12007" spans="25:26" x14ac:dyDescent="0.25">
      <c r="Y12007" s="63">
        <v>54540</v>
      </c>
      <c r="Z12007" s="61">
        <f>_xll.qlYieldTSDiscount($U$35,Y12007,,Trigger)</f>
        <v>0.55036597634877005</v>
      </c>
    </row>
    <row r="12008" spans="25:26" x14ac:dyDescent="0.25">
      <c r="Y12008" s="63">
        <v>54541</v>
      </c>
      <c r="Z12008" s="61">
        <f>_xll.qlYieldTSDiscount($U$35,Y12008,,Trigger)</f>
        <v>0.55032850000885114</v>
      </c>
    </row>
    <row r="12009" spans="25:26" x14ac:dyDescent="0.25">
      <c r="Y12009" s="63">
        <v>54542</v>
      </c>
      <c r="Z12009" s="61">
        <f>_xll.qlYieldTSDiscount($U$35,Y12009,,Trigger)</f>
        <v>0.55029102730602297</v>
      </c>
    </row>
    <row r="12010" spans="25:26" x14ac:dyDescent="0.25">
      <c r="Y12010" s="63">
        <v>54543</v>
      </c>
      <c r="Z12010" s="61">
        <f>_xll.qlYieldTSDiscount($U$35,Y12010,,Trigger)</f>
        <v>0.55025355823991939</v>
      </c>
    </row>
    <row r="12011" spans="25:26" x14ac:dyDescent="0.25">
      <c r="Y12011" s="63">
        <v>54544</v>
      </c>
      <c r="Z12011" s="61">
        <f>_xll.qlYieldTSDiscount($U$35,Y12011,,Trigger)</f>
        <v>0.5502160928101747</v>
      </c>
    </row>
    <row r="12012" spans="25:26" x14ac:dyDescent="0.25">
      <c r="Y12012" s="63">
        <v>54545</v>
      </c>
      <c r="Z12012" s="61">
        <f>_xll.qlYieldTSDiscount($U$35,Y12012,,Trigger)</f>
        <v>0.55017863101642273</v>
      </c>
    </row>
    <row r="12013" spans="25:26" x14ac:dyDescent="0.25">
      <c r="Y12013" s="63">
        <v>54546</v>
      </c>
      <c r="Z12013" s="61">
        <f>_xll.qlYieldTSDiscount($U$35,Y12013,,Trigger)</f>
        <v>0.55014117285829756</v>
      </c>
    </row>
    <row r="12014" spans="25:26" x14ac:dyDescent="0.25">
      <c r="Y12014" s="63">
        <v>54547</v>
      </c>
      <c r="Z12014" s="61">
        <f>_xll.qlYieldTSDiscount($U$35,Y12014,,Trigger)</f>
        <v>0.55010371833543326</v>
      </c>
    </row>
    <row r="12015" spans="25:26" x14ac:dyDescent="0.25">
      <c r="Y12015" s="63">
        <v>54548</v>
      </c>
      <c r="Z12015" s="61">
        <f>_xll.qlYieldTSDiscount($U$35,Y12015,,Trigger)</f>
        <v>0.55006626744746379</v>
      </c>
    </row>
    <row r="12016" spans="25:26" x14ac:dyDescent="0.25">
      <c r="Y12016" s="63">
        <v>54549</v>
      </c>
      <c r="Z12016" s="61">
        <f>_xll.qlYieldTSDiscount($U$35,Y12016,,Trigger)</f>
        <v>0.5500288201940231</v>
      </c>
    </row>
    <row r="12017" spans="25:26" x14ac:dyDescent="0.25">
      <c r="Y12017" s="63">
        <v>54550</v>
      </c>
      <c r="Z12017" s="61">
        <f>_xll.qlYieldTSDiscount($U$35,Y12017,,Trigger)</f>
        <v>0.54999137657474539</v>
      </c>
    </row>
    <row r="12018" spans="25:26" x14ac:dyDescent="0.25">
      <c r="Y12018" s="63">
        <v>54551</v>
      </c>
      <c r="Z12018" s="61">
        <f>_xll.qlYieldTSDiscount($U$35,Y12018,,Trigger)</f>
        <v>0.5499539365892645</v>
      </c>
    </row>
    <row r="12019" spans="25:26" x14ac:dyDescent="0.25">
      <c r="Y12019" s="63">
        <v>54552</v>
      </c>
      <c r="Z12019" s="61">
        <f>_xll.qlYieldTSDiscount($U$35,Y12019,,Trigger)</f>
        <v>0.54991650023721461</v>
      </c>
    </row>
    <row r="12020" spans="25:26" x14ac:dyDescent="0.25">
      <c r="Y12020" s="63">
        <v>54553</v>
      </c>
      <c r="Z12020" s="61">
        <f>_xll.qlYieldTSDiscount($U$35,Y12020,,Trigger)</f>
        <v>0.54987906751822968</v>
      </c>
    </row>
    <row r="12021" spans="25:26" x14ac:dyDescent="0.25">
      <c r="Y12021" s="63">
        <v>54554</v>
      </c>
      <c r="Z12021" s="61">
        <f>_xll.qlYieldTSDiscount($U$35,Y12021,,Trigger)</f>
        <v>0.54984163843194367</v>
      </c>
    </row>
    <row r="12022" spans="25:26" x14ac:dyDescent="0.25">
      <c r="Y12022" s="63">
        <v>54555</v>
      </c>
      <c r="Z12022" s="61">
        <f>_xll.qlYieldTSDiscount($U$35,Y12022,,Trigger)</f>
        <v>0.54980421297799065</v>
      </c>
    </row>
    <row r="12023" spans="25:26" x14ac:dyDescent="0.25">
      <c r="Y12023" s="63">
        <v>54556</v>
      </c>
      <c r="Z12023" s="61">
        <f>_xll.qlYieldTSDiscount($U$35,Y12023,,Trigger)</f>
        <v>0.54976679115600469</v>
      </c>
    </row>
    <row r="12024" spans="25:26" x14ac:dyDescent="0.25">
      <c r="Y12024" s="63">
        <v>54557</v>
      </c>
      <c r="Z12024" s="61">
        <f>_xll.qlYieldTSDiscount($U$35,Y12024,,Trigger)</f>
        <v>0.54972937296561974</v>
      </c>
    </row>
    <row r="12025" spans="25:26" x14ac:dyDescent="0.25">
      <c r="Y12025" s="63">
        <v>54558</v>
      </c>
      <c r="Z12025" s="61">
        <f>_xll.qlYieldTSDiscount($U$35,Y12025,,Trigger)</f>
        <v>0.54969195840646989</v>
      </c>
    </row>
    <row r="12026" spans="25:26" x14ac:dyDescent="0.25">
      <c r="Y12026" s="63">
        <v>54559</v>
      </c>
      <c r="Z12026" s="61">
        <f>_xll.qlYieldTSDiscount($U$35,Y12026,,Trigger)</f>
        <v>0.54965454747818898</v>
      </c>
    </row>
    <row r="12027" spans="25:26" x14ac:dyDescent="0.25">
      <c r="Y12027" s="63">
        <v>54560</v>
      </c>
      <c r="Z12027" s="61">
        <f>_xll.qlYieldTSDiscount($U$35,Y12027,,Trigger)</f>
        <v>0.54961714018041141</v>
      </c>
    </row>
    <row r="12028" spans="25:26" x14ac:dyDescent="0.25">
      <c r="Y12028" s="63">
        <v>54561</v>
      </c>
      <c r="Z12028" s="61">
        <f>_xll.qlYieldTSDiscount($U$35,Y12028,,Trigger)</f>
        <v>0.54957973651277081</v>
      </c>
    </row>
    <row r="12029" spans="25:26" x14ac:dyDescent="0.25">
      <c r="Y12029" s="63">
        <v>54562</v>
      </c>
      <c r="Z12029" s="61">
        <f>_xll.qlYieldTSDiscount($U$35,Y12029,,Trigger)</f>
        <v>0.54954233647490136</v>
      </c>
    </row>
    <row r="12030" spans="25:26" x14ac:dyDescent="0.25">
      <c r="Y12030" s="63">
        <v>54563</v>
      </c>
      <c r="Z12030" s="61">
        <f>_xll.qlYieldTSDiscount($U$35,Y12030,,Trigger)</f>
        <v>0.54950494006643713</v>
      </c>
    </row>
    <row r="12031" spans="25:26" x14ac:dyDescent="0.25">
      <c r="Y12031" s="63">
        <v>54564</v>
      </c>
      <c r="Z12031" s="61">
        <f>_xll.qlYieldTSDiscount($U$35,Y12031,,Trigger)</f>
        <v>0.54946754728701208</v>
      </c>
    </row>
    <row r="12032" spans="25:26" x14ac:dyDescent="0.25">
      <c r="Y12032" s="63">
        <v>54565</v>
      </c>
      <c r="Z12032" s="61">
        <f>_xll.qlYieldTSDiscount($U$35,Y12032,,Trigger)</f>
        <v>0.54943015813626017</v>
      </c>
    </row>
    <row r="12033" spans="25:26" x14ac:dyDescent="0.25">
      <c r="Y12033" s="63">
        <v>54566</v>
      </c>
      <c r="Z12033" s="61">
        <f>_xll.qlYieldTSDiscount($U$35,Y12033,,Trigger)</f>
        <v>0.54939277261381558</v>
      </c>
    </row>
    <row r="12034" spans="25:26" x14ac:dyDescent="0.25">
      <c r="Y12034" s="63">
        <v>54567</v>
      </c>
      <c r="Z12034" s="61">
        <f>_xll.qlYieldTSDiscount($U$35,Y12034,,Trigger)</f>
        <v>0.54935539071931216</v>
      </c>
    </row>
    <row r="12035" spans="25:26" x14ac:dyDescent="0.25">
      <c r="Y12035" s="63">
        <v>54568</v>
      </c>
      <c r="Z12035" s="61">
        <f>_xll.qlYieldTSDiscount($U$35,Y12035,,Trigger)</f>
        <v>0.5493180124523841</v>
      </c>
    </row>
    <row r="12036" spans="25:26" x14ac:dyDescent="0.25">
      <c r="Y12036" s="63">
        <v>54569</v>
      </c>
      <c r="Z12036" s="61">
        <f>_xll.qlYieldTSDiscount($U$35,Y12036,,Trigger)</f>
        <v>0.54928063781266534</v>
      </c>
    </row>
    <row r="12037" spans="25:26" x14ac:dyDescent="0.25">
      <c r="Y12037" s="63">
        <v>54570</v>
      </c>
      <c r="Z12037" s="61">
        <f>_xll.qlYieldTSDiscount($U$35,Y12037,,Trigger)</f>
        <v>0.54924326679978985</v>
      </c>
    </row>
    <row r="12038" spans="25:26" x14ac:dyDescent="0.25">
      <c r="Y12038" s="63">
        <v>54571</v>
      </c>
      <c r="Z12038" s="61">
        <f>_xll.qlYieldTSDiscount($U$35,Y12038,,Trigger)</f>
        <v>0.54920589941339171</v>
      </c>
    </row>
    <row r="12039" spans="25:26" x14ac:dyDescent="0.25">
      <c r="Y12039" s="63">
        <v>54572</v>
      </c>
      <c r="Z12039" s="61">
        <f>_xll.qlYieldTSDiscount($U$35,Y12039,,Trigger)</f>
        <v>0.54916853565310497</v>
      </c>
    </row>
    <row r="12040" spans="25:26" x14ac:dyDescent="0.25">
      <c r="Y12040" s="63">
        <v>54573</v>
      </c>
      <c r="Z12040" s="61">
        <f>_xll.qlYieldTSDiscount($U$35,Y12040,,Trigger)</f>
        <v>0.54913117551856361</v>
      </c>
    </row>
    <row r="12041" spans="25:26" x14ac:dyDescent="0.25">
      <c r="Y12041" s="63">
        <v>54574</v>
      </c>
      <c r="Z12041" s="61">
        <f>_xll.qlYieldTSDiscount($U$35,Y12041,,Trigger)</f>
        <v>0.54909381900940168</v>
      </c>
    </row>
    <row r="12042" spans="25:26" x14ac:dyDescent="0.25">
      <c r="Y12042" s="63">
        <v>54575</v>
      </c>
      <c r="Z12042" s="61">
        <f>_xll.qlYieldTSDiscount($U$35,Y12042,,Trigger)</f>
        <v>0.54905646612525316</v>
      </c>
    </row>
    <row r="12043" spans="25:26" x14ac:dyDescent="0.25">
      <c r="Y12043" s="63">
        <v>54576</v>
      </c>
      <c r="Z12043" s="61">
        <f>_xll.qlYieldTSDiscount($U$35,Y12043,,Trigger)</f>
        <v>0.54901911686575211</v>
      </c>
    </row>
    <row r="12044" spans="25:26" x14ac:dyDescent="0.25">
      <c r="Y12044" s="63">
        <v>54577</v>
      </c>
      <c r="Z12044" s="61">
        <f>_xll.qlYieldTSDiscount($U$35,Y12044,,Trigger)</f>
        <v>0.54898177123053249</v>
      </c>
    </row>
    <row r="12045" spans="25:26" x14ac:dyDescent="0.25">
      <c r="Y12045" s="63">
        <v>54578</v>
      </c>
      <c r="Z12045" s="61">
        <f>_xll.qlYieldTSDiscount($U$35,Y12045,,Trigger)</f>
        <v>0.54894442921922837</v>
      </c>
    </row>
    <row r="12046" spans="25:26" x14ac:dyDescent="0.25">
      <c r="Y12046" s="63">
        <v>54579</v>
      </c>
      <c r="Z12046" s="61">
        <f>_xll.qlYieldTSDiscount($U$35,Y12046,,Trigger)</f>
        <v>0.54890709083147382</v>
      </c>
    </row>
    <row r="12047" spans="25:26" x14ac:dyDescent="0.25">
      <c r="Y12047" s="63">
        <v>54580</v>
      </c>
      <c r="Z12047" s="61">
        <f>_xll.qlYieldTSDiscount($U$35,Y12047,,Trigger)</f>
        <v>0.5488697560669028</v>
      </c>
    </row>
    <row r="12048" spans="25:26" x14ac:dyDescent="0.25">
      <c r="Y12048" s="63">
        <v>54581</v>
      </c>
      <c r="Z12048" s="61">
        <f>_xll.qlYieldTSDiscount($U$35,Y12048,,Trigger)</f>
        <v>0.54883242492514928</v>
      </c>
    </row>
    <row r="12049" spans="25:26" x14ac:dyDescent="0.25">
      <c r="Y12049" s="63">
        <v>54582</v>
      </c>
      <c r="Z12049" s="61">
        <f>_xll.qlYieldTSDiscount($U$35,Y12049,,Trigger)</f>
        <v>0.54879509740584742</v>
      </c>
    </row>
    <row r="12050" spans="25:26" x14ac:dyDescent="0.25">
      <c r="Y12050" s="63">
        <v>54583</v>
      </c>
      <c r="Z12050" s="61">
        <f>_xll.qlYieldTSDiscount($U$35,Y12050,,Trigger)</f>
        <v>0.5487577735086312</v>
      </c>
    </row>
    <row r="12051" spans="25:26" x14ac:dyDescent="0.25">
      <c r="Y12051" s="63">
        <v>54584</v>
      </c>
      <c r="Z12051" s="61">
        <f>_xll.qlYieldTSDiscount($U$35,Y12051,,Trigger)</f>
        <v>0.54872045323313445</v>
      </c>
    </row>
    <row r="12052" spans="25:26" x14ac:dyDescent="0.25">
      <c r="Y12052" s="63">
        <v>54585</v>
      </c>
      <c r="Z12052" s="61">
        <f>_xll.qlYieldTSDiscount($U$35,Y12052,,Trigger)</f>
        <v>0.54868313657899148</v>
      </c>
    </row>
    <row r="12053" spans="25:26" x14ac:dyDescent="0.25">
      <c r="Y12053" s="63">
        <v>54586</v>
      </c>
      <c r="Z12053" s="61">
        <f>_xll.qlYieldTSDiscount($U$35,Y12053,,Trigger)</f>
        <v>0.54864582354583613</v>
      </c>
    </row>
    <row r="12054" spans="25:26" x14ac:dyDescent="0.25">
      <c r="Y12054" s="63">
        <v>54587</v>
      </c>
      <c r="Z12054" s="61">
        <f>_xll.qlYieldTSDiscount($U$35,Y12054,,Trigger)</f>
        <v>0.54860851413330247</v>
      </c>
    </row>
    <row r="12055" spans="25:26" x14ac:dyDescent="0.25">
      <c r="Y12055" s="63">
        <v>54588</v>
      </c>
      <c r="Z12055" s="61">
        <f>_xll.qlYieldTSDiscount($U$35,Y12055,,Trigger)</f>
        <v>0.54857120834102457</v>
      </c>
    </row>
    <row r="12056" spans="25:26" x14ac:dyDescent="0.25">
      <c r="Y12056" s="63">
        <v>54589</v>
      </c>
      <c r="Z12056" s="61">
        <f>_xll.qlYieldTSDiscount($U$35,Y12056,,Trigger)</f>
        <v>0.5485339061686364</v>
      </c>
    </row>
    <row r="12057" spans="25:26" x14ac:dyDescent="0.25">
      <c r="Y12057" s="63">
        <v>54590</v>
      </c>
      <c r="Z12057" s="61">
        <f>_xll.qlYieldTSDiscount($U$35,Y12057,,Trigger)</f>
        <v>0.54849660761577201</v>
      </c>
    </row>
    <row r="12058" spans="25:26" x14ac:dyDescent="0.25">
      <c r="Y12058" s="63">
        <v>54591</v>
      </c>
      <c r="Z12058" s="61">
        <f>_xll.qlYieldTSDiscount($U$35,Y12058,,Trigger)</f>
        <v>0.54845931268206527</v>
      </c>
    </row>
    <row r="12059" spans="25:26" x14ac:dyDescent="0.25">
      <c r="Y12059" s="63">
        <v>54592</v>
      </c>
      <c r="Z12059" s="61">
        <f>_xll.qlYieldTSDiscount($U$35,Y12059,,Trigger)</f>
        <v>0.54842202136715057</v>
      </c>
    </row>
    <row r="12060" spans="25:26" x14ac:dyDescent="0.25">
      <c r="Y12060" s="63">
        <v>54593</v>
      </c>
      <c r="Z12060" s="61">
        <f>_xll.qlYieldTSDiscount($U$35,Y12060,,Trigger)</f>
        <v>0.54838473367066154</v>
      </c>
    </row>
    <row r="12061" spans="25:26" x14ac:dyDescent="0.25">
      <c r="Y12061" s="63">
        <v>54594</v>
      </c>
      <c r="Z12061" s="61">
        <f>_xll.qlYieldTSDiscount($U$35,Y12061,,Trigger)</f>
        <v>0.54834744959223225</v>
      </c>
    </row>
    <row r="12062" spans="25:26" x14ac:dyDescent="0.25">
      <c r="Y12062" s="63">
        <v>54595</v>
      </c>
      <c r="Z12062" s="61">
        <f>_xll.qlYieldTSDiscount($U$35,Y12062,,Trigger)</f>
        <v>0.5483101691314971</v>
      </c>
    </row>
    <row r="12063" spans="25:26" x14ac:dyDescent="0.25">
      <c r="Y12063" s="63">
        <v>54596</v>
      </c>
      <c r="Z12063" s="61">
        <f>_xll.qlYieldTSDiscount($U$35,Y12063,,Trigger)</f>
        <v>0.54827289228808962</v>
      </c>
    </row>
    <row r="12064" spans="25:26" x14ac:dyDescent="0.25">
      <c r="Y12064" s="63">
        <v>54597</v>
      </c>
      <c r="Z12064" s="61">
        <f>_xll.qlYieldTSDiscount($U$35,Y12064,,Trigger)</f>
        <v>0.54823561906164409</v>
      </c>
    </row>
    <row r="12065" spans="25:26" x14ac:dyDescent="0.25">
      <c r="Y12065" s="63">
        <v>54598</v>
      </c>
      <c r="Z12065" s="61">
        <f>_xll.qlYieldTSDiscount($U$35,Y12065,,Trigger)</f>
        <v>0.54819834945179458</v>
      </c>
    </row>
    <row r="12066" spans="25:26" x14ac:dyDescent="0.25">
      <c r="Y12066" s="63">
        <v>54599</v>
      </c>
      <c r="Z12066" s="61">
        <f>_xll.qlYieldTSDiscount($U$35,Y12066,,Trigger)</f>
        <v>0.54816108345817494</v>
      </c>
    </row>
    <row r="12067" spans="25:26" x14ac:dyDescent="0.25">
      <c r="Y12067" s="63">
        <v>54600</v>
      </c>
      <c r="Z12067" s="61">
        <f>_xll.qlYieldTSDiscount($U$35,Y12067,,Trigger)</f>
        <v>0.54812382108041935</v>
      </c>
    </row>
    <row r="12068" spans="25:26" x14ac:dyDescent="0.25">
      <c r="Y12068" s="63">
        <v>54601</v>
      </c>
      <c r="Z12068" s="61">
        <f>_xll.qlYieldTSDiscount($U$35,Y12068,,Trigger)</f>
        <v>0.54808656231816166</v>
      </c>
    </row>
    <row r="12069" spans="25:26" x14ac:dyDescent="0.25">
      <c r="Y12069" s="63">
        <v>54602</v>
      </c>
      <c r="Z12069" s="61">
        <f>_xll.qlYieldTSDiscount($U$35,Y12069,,Trigger)</f>
        <v>0.54804930717103617</v>
      </c>
    </row>
    <row r="12070" spans="25:26" x14ac:dyDescent="0.25">
      <c r="Y12070" s="63">
        <v>54603</v>
      </c>
      <c r="Z12070" s="61">
        <f>_xll.qlYieldTSDiscount($U$35,Y12070,,Trigger)</f>
        <v>0.5480120556386765</v>
      </c>
    </row>
    <row r="12071" spans="25:26" x14ac:dyDescent="0.25">
      <c r="Y12071" s="63">
        <v>54604</v>
      </c>
      <c r="Z12071" s="61">
        <f>_xll.qlYieldTSDiscount($U$35,Y12071,,Trigger)</f>
        <v>0.54797480772071705</v>
      </c>
    </row>
    <row r="12072" spans="25:26" x14ac:dyDescent="0.25">
      <c r="Y12072" s="63">
        <v>54605</v>
      </c>
      <c r="Z12072" s="61">
        <f>_xll.qlYieldTSDiscount($U$35,Y12072,,Trigger)</f>
        <v>0.54793756341679167</v>
      </c>
    </row>
    <row r="12073" spans="25:26" x14ac:dyDescent="0.25">
      <c r="Y12073" s="63">
        <v>54606</v>
      </c>
      <c r="Z12073" s="61">
        <f>_xll.qlYieldTSDiscount($U$35,Y12073,,Trigger)</f>
        <v>0.54790032272653433</v>
      </c>
    </row>
    <row r="12074" spans="25:26" x14ac:dyDescent="0.25">
      <c r="Y12074" s="63">
        <v>54607</v>
      </c>
      <c r="Z12074" s="61">
        <f>_xll.qlYieldTSDiscount($U$35,Y12074,,Trigger)</f>
        <v>0.54786308564957908</v>
      </c>
    </row>
    <row r="12075" spans="25:26" x14ac:dyDescent="0.25">
      <c r="Y12075" s="63">
        <v>54608</v>
      </c>
      <c r="Z12075" s="61">
        <f>_xll.qlYieldTSDiscount($U$35,Y12075,,Trigger)</f>
        <v>0.54782585218556012</v>
      </c>
    </row>
    <row r="12076" spans="25:26" x14ac:dyDescent="0.25">
      <c r="Y12076" s="63">
        <v>54609</v>
      </c>
      <c r="Z12076" s="61">
        <f>_xll.qlYieldTSDiscount($U$35,Y12076,,Trigger)</f>
        <v>0.5477886223341113</v>
      </c>
    </row>
    <row r="12077" spans="25:26" x14ac:dyDescent="0.25">
      <c r="Y12077" s="63">
        <v>54610</v>
      </c>
      <c r="Z12077" s="61">
        <f>_xll.qlYieldTSDiscount($U$35,Y12077,,Trigger)</f>
        <v>0.54775139609486667</v>
      </c>
    </row>
    <row r="12078" spans="25:26" x14ac:dyDescent="0.25">
      <c r="Y12078" s="63">
        <v>54611</v>
      </c>
      <c r="Z12078" s="61">
        <f>_xll.qlYieldTSDiscount($U$35,Y12078,,Trigger)</f>
        <v>0.54771417346746032</v>
      </c>
    </row>
    <row r="12079" spans="25:26" x14ac:dyDescent="0.25">
      <c r="Y12079" s="63">
        <v>54612</v>
      </c>
      <c r="Z12079" s="61">
        <f>_xll.qlYieldTSDiscount($U$35,Y12079,,Trigger)</f>
        <v>0.54767695445152609</v>
      </c>
    </row>
    <row r="12080" spans="25:26" x14ac:dyDescent="0.25">
      <c r="Y12080" s="63">
        <v>54613</v>
      </c>
      <c r="Z12080" s="61">
        <f>_xll.qlYieldTSDiscount($U$35,Y12080,,Trigger)</f>
        <v>0.54763973904669816</v>
      </c>
    </row>
    <row r="12081" spans="25:26" x14ac:dyDescent="0.25">
      <c r="Y12081" s="63">
        <v>54614</v>
      </c>
      <c r="Z12081" s="61">
        <f>_xll.qlYieldTSDiscount($U$35,Y12081,,Trigger)</f>
        <v>0.54760252725261049</v>
      </c>
    </row>
    <row r="12082" spans="25:26" x14ac:dyDescent="0.25">
      <c r="Y12082" s="63">
        <v>54615</v>
      </c>
      <c r="Z12082" s="61">
        <f>_xll.qlYieldTSDiscount($U$35,Y12082,,Trigger)</f>
        <v>0.54756531906889716</v>
      </c>
    </row>
    <row r="12083" spans="25:26" x14ac:dyDescent="0.25">
      <c r="Y12083" s="63">
        <v>54616</v>
      </c>
      <c r="Z12083" s="61">
        <f>_xll.qlYieldTSDiscount($U$35,Y12083,,Trigger)</f>
        <v>0.54752811449519212</v>
      </c>
    </row>
    <row r="12084" spans="25:26" x14ac:dyDescent="0.25">
      <c r="Y12084" s="63">
        <v>54617</v>
      </c>
      <c r="Z12084" s="61">
        <f>_xll.qlYieldTSDiscount($U$35,Y12084,,Trigger)</f>
        <v>0.54749091353112944</v>
      </c>
    </row>
    <row r="12085" spans="25:26" x14ac:dyDescent="0.25">
      <c r="Y12085" s="63">
        <v>54618</v>
      </c>
      <c r="Z12085" s="61">
        <f>_xll.qlYieldTSDiscount($U$35,Y12085,,Trigger)</f>
        <v>0.54745371617634331</v>
      </c>
    </row>
    <row r="12086" spans="25:26" x14ac:dyDescent="0.25">
      <c r="Y12086" s="63">
        <v>54619</v>
      </c>
      <c r="Z12086" s="61">
        <f>_xll.qlYieldTSDiscount($U$35,Y12086,,Trigger)</f>
        <v>0.54741652243046734</v>
      </c>
    </row>
    <row r="12087" spans="25:26" x14ac:dyDescent="0.25">
      <c r="Y12087" s="63">
        <v>54620</v>
      </c>
      <c r="Z12087" s="61">
        <f>_xll.qlYieldTSDiscount($U$35,Y12087,,Trigger)</f>
        <v>0.54737933229313585</v>
      </c>
    </row>
    <row r="12088" spans="25:26" x14ac:dyDescent="0.25">
      <c r="Y12088" s="63">
        <v>54621</v>
      </c>
      <c r="Z12088" s="61">
        <f>_xll.qlYieldTSDiscount($U$35,Y12088,,Trigger)</f>
        <v>0.54734214576398288</v>
      </c>
    </row>
    <row r="12089" spans="25:26" x14ac:dyDescent="0.25">
      <c r="Y12089" s="63">
        <v>54622</v>
      </c>
      <c r="Z12089" s="61">
        <f>_xll.qlYieldTSDiscount($U$35,Y12089,,Trigger)</f>
        <v>0.5473049628426423</v>
      </c>
    </row>
    <row r="12090" spans="25:26" x14ac:dyDescent="0.25">
      <c r="Y12090" s="63">
        <v>54623</v>
      </c>
      <c r="Z12090" s="61">
        <f>_xll.qlYieldTSDiscount($U$35,Y12090,,Trigger)</f>
        <v>0.54726778352874816</v>
      </c>
    </row>
    <row r="12091" spans="25:26" x14ac:dyDescent="0.25">
      <c r="Y12091" s="63">
        <v>54624</v>
      </c>
      <c r="Z12091" s="61">
        <f>_xll.qlYieldTSDiscount($U$35,Y12091,,Trigger)</f>
        <v>0.54723060782193456</v>
      </c>
    </row>
    <row r="12092" spans="25:26" x14ac:dyDescent="0.25">
      <c r="Y12092" s="63">
        <v>54625</v>
      </c>
      <c r="Z12092" s="61">
        <f>_xll.qlYieldTSDiscount($U$35,Y12092,,Trigger)</f>
        <v>0.54719343572183554</v>
      </c>
    </row>
    <row r="12093" spans="25:26" x14ac:dyDescent="0.25">
      <c r="Y12093" s="63">
        <v>54626</v>
      </c>
      <c r="Z12093" s="61">
        <f>_xll.qlYieldTSDiscount($U$35,Y12093,,Trigger)</f>
        <v>0.54715626722808497</v>
      </c>
    </row>
    <row r="12094" spans="25:26" x14ac:dyDescent="0.25">
      <c r="Y12094" s="63">
        <v>54627</v>
      </c>
      <c r="Z12094" s="61">
        <f>_xll.qlYieldTSDiscount($U$35,Y12094,,Trigger)</f>
        <v>0.54711910234031702</v>
      </c>
    </row>
    <row r="12095" spans="25:26" x14ac:dyDescent="0.25">
      <c r="Y12095" s="63">
        <v>54628</v>
      </c>
      <c r="Z12095" s="61">
        <f>_xll.qlYieldTSDiscount($U$35,Y12095,,Trigger)</f>
        <v>0.54708194105816566</v>
      </c>
    </row>
    <row r="12096" spans="25:26" x14ac:dyDescent="0.25">
      <c r="Y12096" s="63">
        <v>54629</v>
      </c>
      <c r="Z12096" s="61">
        <f>_xll.qlYieldTSDiscount($U$35,Y12096,,Trigger)</f>
        <v>0.54704478338126494</v>
      </c>
    </row>
    <row r="12097" spans="25:26" x14ac:dyDescent="0.25">
      <c r="Y12097" s="63">
        <v>54630</v>
      </c>
      <c r="Z12097" s="61">
        <f>_xll.qlYieldTSDiscount($U$35,Y12097,,Trigger)</f>
        <v>0.54700762930924873</v>
      </c>
    </row>
    <row r="12098" spans="25:26" x14ac:dyDescent="0.25">
      <c r="Y12098" s="63">
        <v>54631</v>
      </c>
      <c r="Z12098" s="61">
        <f>_xll.qlYieldTSDiscount($U$35,Y12098,,Trigger)</f>
        <v>0.54697047884175132</v>
      </c>
    </row>
    <row r="12099" spans="25:26" x14ac:dyDescent="0.25">
      <c r="Y12099" s="63">
        <v>54632</v>
      </c>
      <c r="Z12099" s="61">
        <f>_xll.qlYieldTSDiscount($U$35,Y12099,,Trigger)</f>
        <v>0.54693333197840655</v>
      </c>
    </row>
    <row r="12100" spans="25:26" x14ac:dyDescent="0.25">
      <c r="Y12100" s="63">
        <v>54633</v>
      </c>
      <c r="Z12100" s="61">
        <f>_xll.qlYieldTSDiscount($U$35,Y12100,,Trigger)</f>
        <v>0.54689618871884838</v>
      </c>
    </row>
    <row r="12101" spans="25:26" x14ac:dyDescent="0.25">
      <c r="Y12101" s="63">
        <v>54634</v>
      </c>
      <c r="Z12101" s="61">
        <f>_xll.qlYieldTSDiscount($U$35,Y12101,,Trigger)</f>
        <v>0.5468590490627111</v>
      </c>
    </row>
    <row r="12102" spans="25:26" x14ac:dyDescent="0.25">
      <c r="Y12102" s="63">
        <v>54635</v>
      </c>
      <c r="Z12102" s="61">
        <f>_xll.qlYieldTSDiscount($U$35,Y12102,,Trigger)</f>
        <v>0.54682191300962846</v>
      </c>
    </row>
    <row r="12103" spans="25:26" x14ac:dyDescent="0.25">
      <c r="Y12103" s="63">
        <v>54636</v>
      </c>
      <c r="Z12103" s="61">
        <f>_xll.qlYieldTSDiscount($U$35,Y12103,,Trigger)</f>
        <v>0.54678478055923463</v>
      </c>
    </row>
    <row r="12104" spans="25:26" x14ac:dyDescent="0.25">
      <c r="Y12104" s="63">
        <v>54637</v>
      </c>
      <c r="Z12104" s="61">
        <f>_xll.qlYieldTSDiscount($U$35,Y12104,,Trigger)</f>
        <v>0.54674765171116357</v>
      </c>
    </row>
    <row r="12105" spans="25:26" x14ac:dyDescent="0.25">
      <c r="Y12105" s="63">
        <v>54638</v>
      </c>
      <c r="Z12105" s="61">
        <f>_xll.qlYieldTSDiscount($U$35,Y12105,,Trigger)</f>
        <v>0.54671052646504936</v>
      </c>
    </row>
    <row r="12106" spans="25:26" x14ac:dyDescent="0.25">
      <c r="Y12106" s="63">
        <v>54639</v>
      </c>
      <c r="Z12106" s="61">
        <f>_xll.qlYieldTSDiscount($U$35,Y12106,,Trigger)</f>
        <v>0.54667340482052584</v>
      </c>
    </row>
    <row r="12107" spans="25:26" x14ac:dyDescent="0.25">
      <c r="Y12107" s="63">
        <v>54640</v>
      </c>
      <c r="Z12107" s="61">
        <f>_xll.qlYieldTSDiscount($U$35,Y12107,,Trigger)</f>
        <v>0.54663628677722742</v>
      </c>
    </row>
    <row r="12108" spans="25:26" x14ac:dyDescent="0.25">
      <c r="Y12108" s="63">
        <v>54641</v>
      </c>
      <c r="Z12108" s="61">
        <f>_xll.qlYieldTSDiscount($U$35,Y12108,,Trigger)</f>
        <v>0.54659917233478761</v>
      </c>
    </row>
    <row r="12109" spans="25:26" x14ac:dyDescent="0.25">
      <c r="Y12109" s="63">
        <v>54642</v>
      </c>
      <c r="Z12109" s="61">
        <f>_xll.qlYieldTSDiscount($U$35,Y12109,,Trigger)</f>
        <v>0.54656206149284081</v>
      </c>
    </row>
    <row r="12110" spans="25:26" x14ac:dyDescent="0.25">
      <c r="Y12110" s="63">
        <v>54643</v>
      </c>
      <c r="Z12110" s="61">
        <f>_xll.qlYieldTSDiscount($U$35,Y12110,,Trigger)</f>
        <v>0.54652495425102099</v>
      </c>
    </row>
    <row r="12111" spans="25:26" x14ac:dyDescent="0.25">
      <c r="Y12111" s="63">
        <v>54644</v>
      </c>
      <c r="Z12111" s="61">
        <f>_xll.qlYieldTSDiscount($U$35,Y12111,,Trigger)</f>
        <v>0.54648785060896199</v>
      </c>
    </row>
    <row r="12112" spans="25:26" x14ac:dyDescent="0.25">
      <c r="Y12112" s="63">
        <v>54645</v>
      </c>
      <c r="Z12112" s="61">
        <f>_xll.qlYieldTSDiscount($U$35,Y12112,,Trigger)</f>
        <v>0.54645075056629799</v>
      </c>
    </row>
    <row r="12113" spans="25:26" x14ac:dyDescent="0.25">
      <c r="Y12113" s="63">
        <v>54646</v>
      </c>
      <c r="Z12113" s="61">
        <f>_xll.qlYieldTSDiscount($U$35,Y12113,,Trigger)</f>
        <v>0.54641365412266296</v>
      </c>
    </row>
    <row r="12114" spans="25:26" x14ac:dyDescent="0.25">
      <c r="Y12114" s="63">
        <v>54647</v>
      </c>
      <c r="Z12114" s="61">
        <f>_xll.qlYieldTSDiscount($U$35,Y12114,,Trigger)</f>
        <v>0.54637656127769108</v>
      </c>
    </row>
    <row r="12115" spans="25:26" x14ac:dyDescent="0.25">
      <c r="Y12115" s="63">
        <v>54648</v>
      </c>
      <c r="Z12115" s="61">
        <f>_xll.qlYieldTSDiscount($U$35,Y12115,,Trigger)</f>
        <v>0.54633947203101607</v>
      </c>
    </row>
    <row r="12116" spans="25:26" x14ac:dyDescent="0.25">
      <c r="Y12116" s="63">
        <v>54649</v>
      </c>
      <c r="Z12116" s="61">
        <f>_xll.qlYieldTSDiscount($U$35,Y12116,,Trigger)</f>
        <v>0.54630238638227213</v>
      </c>
    </row>
    <row r="12117" spans="25:26" x14ac:dyDescent="0.25">
      <c r="Y12117" s="63">
        <v>54650</v>
      </c>
      <c r="Z12117" s="61">
        <f>_xll.qlYieldTSDiscount($U$35,Y12117,,Trigger)</f>
        <v>0.54626530433109333</v>
      </c>
    </row>
    <row r="12118" spans="25:26" x14ac:dyDescent="0.25">
      <c r="Y12118" s="63">
        <v>54651</v>
      </c>
      <c r="Z12118" s="61">
        <f>_xll.qlYieldTSDiscount($U$35,Y12118,,Trigger)</f>
        <v>0.54622822587711362</v>
      </c>
    </row>
    <row r="12119" spans="25:26" x14ac:dyDescent="0.25">
      <c r="Y12119" s="63">
        <v>54652</v>
      </c>
      <c r="Z12119" s="61">
        <f>_xll.qlYieldTSDiscount($U$35,Y12119,,Trigger)</f>
        <v>0.54619115101996685</v>
      </c>
    </row>
    <row r="12120" spans="25:26" x14ac:dyDescent="0.25">
      <c r="Y12120" s="63">
        <v>54653</v>
      </c>
      <c r="Z12120" s="61">
        <f>_xll.qlYieldTSDiscount($U$35,Y12120,,Trigger)</f>
        <v>0.54615407975928743</v>
      </c>
    </row>
    <row r="12121" spans="25:26" x14ac:dyDescent="0.25">
      <c r="Y12121" s="63">
        <v>54654</v>
      </c>
      <c r="Z12121" s="61">
        <f>_xll.qlYieldTSDiscount($U$35,Y12121,,Trigger)</f>
        <v>0.54611701209470909</v>
      </c>
    </row>
    <row r="12122" spans="25:26" x14ac:dyDescent="0.25">
      <c r="Y12122" s="63">
        <v>54655</v>
      </c>
      <c r="Z12122" s="61">
        <f>_xll.qlYieldTSDiscount($U$35,Y12122,,Trigger)</f>
        <v>0.5460799480258659</v>
      </c>
    </row>
    <row r="12123" spans="25:26" x14ac:dyDescent="0.25">
      <c r="Y12123" s="63">
        <v>54656</v>
      </c>
      <c r="Z12123" s="61">
        <f>_xll.qlYieldTSDiscount($U$35,Y12123,,Trigger)</f>
        <v>0.54604288755239205</v>
      </c>
    </row>
    <row r="12124" spans="25:26" x14ac:dyDescent="0.25">
      <c r="Y12124" s="63">
        <v>54657</v>
      </c>
      <c r="Z12124" s="61">
        <f>_xll.qlYieldTSDiscount($U$35,Y12124,,Trigger)</f>
        <v>0.54600583067392128</v>
      </c>
    </row>
    <row r="12125" spans="25:26" x14ac:dyDescent="0.25">
      <c r="Y12125" s="63">
        <v>54658</v>
      </c>
      <c r="Z12125" s="61">
        <f>_xll.qlYieldTSDiscount($U$35,Y12125,,Trigger)</f>
        <v>0.54596877739008776</v>
      </c>
    </row>
    <row r="12126" spans="25:26" x14ac:dyDescent="0.25">
      <c r="Y12126" s="63">
        <v>54659</v>
      </c>
      <c r="Z12126" s="61">
        <f>_xll.qlYieldTSDiscount($U$35,Y12126,,Trigger)</f>
        <v>0.54593172770052556</v>
      </c>
    </row>
    <row r="12127" spans="25:26" x14ac:dyDescent="0.25">
      <c r="Y12127" s="63">
        <v>54660</v>
      </c>
      <c r="Z12127" s="61">
        <f>_xll.qlYieldTSDiscount($U$35,Y12127,,Trigger)</f>
        <v>0.54589468160486865</v>
      </c>
    </row>
    <row r="12128" spans="25:26" x14ac:dyDescent="0.25">
      <c r="Y12128" s="63">
        <v>54661</v>
      </c>
      <c r="Z12128" s="61">
        <f>_xll.qlYieldTSDiscount($U$35,Y12128,,Trigger)</f>
        <v>0.54585763910275098</v>
      </c>
    </row>
    <row r="12129" spans="25:26" x14ac:dyDescent="0.25">
      <c r="Y12129" s="63">
        <v>54662</v>
      </c>
      <c r="Z12129" s="61">
        <f>_xll.qlYieldTSDiscount($U$35,Y12129,,Trigger)</f>
        <v>0.54582060019380674</v>
      </c>
    </row>
    <row r="12130" spans="25:26" x14ac:dyDescent="0.25">
      <c r="Y12130" s="63">
        <v>54663</v>
      </c>
      <c r="Z12130" s="61">
        <f>_xll.qlYieldTSDiscount($U$35,Y12130,,Trigger)</f>
        <v>0.54578356487766988</v>
      </c>
    </row>
    <row r="12131" spans="25:26" x14ac:dyDescent="0.25">
      <c r="Y12131" s="63">
        <v>54664</v>
      </c>
      <c r="Z12131" s="61">
        <f>_xll.qlYieldTSDiscount($U$35,Y12131,,Trigger)</f>
        <v>0.54574653315397426</v>
      </c>
    </row>
    <row r="12132" spans="25:26" x14ac:dyDescent="0.25">
      <c r="Y12132" s="63">
        <v>54665</v>
      </c>
      <c r="Z12132" s="61">
        <f>_xll.qlYieldTSDiscount($U$35,Y12132,,Trigger)</f>
        <v>0.54570950502235405</v>
      </c>
    </row>
    <row r="12133" spans="25:26" x14ac:dyDescent="0.25">
      <c r="Y12133" s="63">
        <v>54666</v>
      </c>
      <c r="Z12133" s="61">
        <f>_xll.qlYieldTSDiscount($U$35,Y12133,,Trigger)</f>
        <v>0.54567248048244343</v>
      </c>
    </row>
    <row r="12134" spans="25:26" x14ac:dyDescent="0.25">
      <c r="Y12134" s="63">
        <v>54667</v>
      </c>
      <c r="Z12134" s="61">
        <f>_xll.qlYieldTSDiscount($U$35,Y12134,,Trigger)</f>
        <v>0.54563545953387615</v>
      </c>
    </row>
    <row r="12135" spans="25:26" x14ac:dyDescent="0.25">
      <c r="Y12135" s="63">
        <v>54668</v>
      </c>
      <c r="Z12135" s="61">
        <f>_xll.qlYieldTSDiscount($U$35,Y12135,,Trigger)</f>
        <v>0.54559844217628628</v>
      </c>
    </row>
    <row r="12136" spans="25:26" x14ac:dyDescent="0.25">
      <c r="Y12136" s="63">
        <v>54669</v>
      </c>
      <c r="Z12136" s="61">
        <f>_xll.qlYieldTSDiscount($U$35,Y12136,,Trigger)</f>
        <v>0.54556142840930799</v>
      </c>
    </row>
    <row r="12137" spans="25:26" x14ac:dyDescent="0.25">
      <c r="Y12137" s="63">
        <v>54670</v>
      </c>
      <c r="Z12137" s="61">
        <f>_xll.qlYieldTSDiscount($U$35,Y12137,,Trigger)</f>
        <v>0.54552441823257514</v>
      </c>
    </row>
    <row r="12138" spans="25:26" x14ac:dyDescent="0.25">
      <c r="Y12138" s="63">
        <v>54671</v>
      </c>
      <c r="Z12138" s="61">
        <f>_xll.qlYieldTSDiscount($U$35,Y12138,,Trigger)</f>
        <v>0.54548741164572179</v>
      </c>
    </row>
    <row r="12139" spans="25:26" x14ac:dyDescent="0.25">
      <c r="Y12139" s="63">
        <v>54672</v>
      </c>
      <c r="Z12139" s="61">
        <f>_xll.qlYieldTSDiscount($U$35,Y12139,,Trigger)</f>
        <v>0.54545040864838212</v>
      </c>
    </row>
    <row r="12140" spans="25:26" x14ac:dyDescent="0.25">
      <c r="Y12140" s="63">
        <v>54673</v>
      </c>
      <c r="Z12140" s="61">
        <f>_xll.qlYieldTSDiscount($U$35,Y12140,,Trigger)</f>
        <v>0.54541340924018999</v>
      </c>
    </row>
    <row r="12141" spans="25:26" x14ac:dyDescent="0.25">
      <c r="Y12141" s="63">
        <v>54674</v>
      </c>
      <c r="Z12141" s="61">
        <f>_xll.qlYieldTSDiscount($U$35,Y12141,,Trigger)</f>
        <v>0.54537641342077936</v>
      </c>
    </row>
    <row r="12142" spans="25:26" x14ac:dyDescent="0.25">
      <c r="Y12142" s="63">
        <v>54675</v>
      </c>
      <c r="Z12142" s="61">
        <f>_xll.qlYieldTSDiscount($U$35,Y12142,,Trigger)</f>
        <v>0.5453394211897844</v>
      </c>
    </row>
    <row r="12143" spans="25:26" x14ac:dyDescent="0.25">
      <c r="Y12143" s="63">
        <v>54676</v>
      </c>
      <c r="Z12143" s="61">
        <f>_xll.qlYieldTSDiscount($U$35,Y12143,,Trigger)</f>
        <v>0.54530243254683908</v>
      </c>
    </row>
    <row r="12144" spans="25:26" x14ac:dyDescent="0.25">
      <c r="Y12144" s="63">
        <v>54677</v>
      </c>
      <c r="Z12144" s="61">
        <f>_xll.qlYieldTSDiscount($U$35,Y12144,,Trigger)</f>
        <v>0.54526544749157746</v>
      </c>
    </row>
    <row r="12145" spans="25:26" x14ac:dyDescent="0.25">
      <c r="Y12145" s="63">
        <v>54678</v>
      </c>
      <c r="Z12145" s="61">
        <f>_xll.qlYieldTSDiscount($U$35,Y12145,,Trigger)</f>
        <v>0.5452284660236334</v>
      </c>
    </row>
    <row r="12146" spans="25:26" x14ac:dyDescent="0.25">
      <c r="Y12146" s="63">
        <v>54679</v>
      </c>
      <c r="Z12146" s="61">
        <f>_xll.qlYieldTSDiscount($U$35,Y12146,,Trigger)</f>
        <v>0.54519148814264129</v>
      </c>
    </row>
    <row r="12147" spans="25:26" x14ac:dyDescent="0.25">
      <c r="Y12147" s="63">
        <v>54680</v>
      </c>
      <c r="Z12147" s="61">
        <f>_xll.qlYieldTSDiscount($U$35,Y12147,,Trigger)</f>
        <v>0.54515451384823466</v>
      </c>
    </row>
    <row r="12148" spans="25:26" x14ac:dyDescent="0.25">
      <c r="Y12148" s="63">
        <v>54681</v>
      </c>
      <c r="Z12148" s="61">
        <f>_xll.qlYieldTSDiscount($U$35,Y12148,,Trigger)</f>
        <v>0.5451175431400479</v>
      </c>
    </row>
    <row r="12149" spans="25:26" x14ac:dyDescent="0.25">
      <c r="Y12149" s="63">
        <v>54682</v>
      </c>
      <c r="Z12149" s="61">
        <f>_xll.qlYieldTSDiscount($U$35,Y12149,,Trigger)</f>
        <v>0.54508057601771487</v>
      </c>
    </row>
    <row r="12150" spans="25:26" x14ac:dyDescent="0.25">
      <c r="Y12150" s="63">
        <v>54683</v>
      </c>
      <c r="Z12150" s="61">
        <f>_xll.qlYieldTSDiscount($U$35,Y12150,,Trigger)</f>
        <v>0.54504361248086963</v>
      </c>
    </row>
    <row r="12151" spans="25:26" x14ac:dyDescent="0.25">
      <c r="Y12151" s="63">
        <v>54684</v>
      </c>
      <c r="Z12151" s="61">
        <f>_xll.qlYieldTSDiscount($U$35,Y12151,,Trigger)</f>
        <v>0.54500665252914626</v>
      </c>
    </row>
    <row r="12152" spans="25:26" x14ac:dyDescent="0.25">
      <c r="Y12152" s="63">
        <v>54685</v>
      </c>
      <c r="Z12152" s="61">
        <f>_xll.qlYieldTSDiscount($U$35,Y12152,,Trigger)</f>
        <v>0.54496969616217872</v>
      </c>
    </row>
    <row r="12153" spans="25:26" x14ac:dyDescent="0.25">
      <c r="Y12153" s="63">
        <v>54686</v>
      </c>
      <c r="Z12153" s="61">
        <f>_xll.qlYieldTSDiscount($U$35,Y12153,,Trigger)</f>
        <v>0.54493274337960096</v>
      </c>
    </row>
    <row r="12154" spans="25:26" x14ac:dyDescent="0.25">
      <c r="Y12154" s="63">
        <v>54687</v>
      </c>
      <c r="Z12154" s="61">
        <f>_xll.qlYieldTSDiscount($U$35,Y12154,,Trigger)</f>
        <v>0.54489579418104717</v>
      </c>
    </row>
    <row r="12155" spans="25:26" x14ac:dyDescent="0.25">
      <c r="Y12155" s="63">
        <v>54688</v>
      </c>
      <c r="Z12155" s="61">
        <f>_xll.qlYieldTSDiscount($U$35,Y12155,,Trigger)</f>
        <v>0.5448588485661513</v>
      </c>
    </row>
    <row r="12156" spans="25:26" x14ac:dyDescent="0.25">
      <c r="Y12156" s="63">
        <v>54689</v>
      </c>
      <c r="Z12156" s="61">
        <f>_xll.qlYieldTSDiscount($U$35,Y12156,,Trigger)</f>
        <v>0.54482190653454721</v>
      </c>
    </row>
    <row r="12157" spans="25:26" x14ac:dyDescent="0.25">
      <c r="Y12157" s="63">
        <v>54690</v>
      </c>
      <c r="Z12157" s="61">
        <f>_xll.qlYieldTSDiscount($U$35,Y12157,,Trigger)</f>
        <v>0.54478496808586918</v>
      </c>
    </row>
    <row r="12158" spans="25:26" x14ac:dyDescent="0.25">
      <c r="Y12158" s="63">
        <v>54691</v>
      </c>
      <c r="Z12158" s="61">
        <f>_xll.qlYieldTSDiscount($U$35,Y12158,,Trigger)</f>
        <v>0.54474803321975107</v>
      </c>
    </row>
    <row r="12159" spans="25:26" x14ac:dyDescent="0.25">
      <c r="Y12159" s="63">
        <v>54692</v>
      </c>
      <c r="Z12159" s="61">
        <f>_xll.qlYieldTSDiscount($U$35,Y12159,,Trigger)</f>
        <v>0.54471110193582695</v>
      </c>
    </row>
    <row r="12160" spans="25:26" x14ac:dyDescent="0.25">
      <c r="Y12160" s="63">
        <v>54693</v>
      </c>
      <c r="Z12160" s="61">
        <f>_xll.qlYieldTSDiscount($U$35,Y12160,,Trigger)</f>
        <v>0.54467417423373088</v>
      </c>
    </row>
    <row r="12161" spans="25:26" x14ac:dyDescent="0.25">
      <c r="Y12161" s="63">
        <v>54694</v>
      </c>
      <c r="Z12161" s="61">
        <f>_xll.qlYieldTSDiscount($U$35,Y12161,,Trigger)</f>
        <v>0.54463725011309683</v>
      </c>
    </row>
    <row r="12162" spans="25:26" x14ac:dyDescent="0.25">
      <c r="Y12162" s="63">
        <v>54695</v>
      </c>
      <c r="Z12162" s="61">
        <f>_xll.qlYieldTSDiscount($U$35,Y12162,,Trigger)</f>
        <v>0.54460032957355886</v>
      </c>
    </row>
    <row r="12163" spans="25:26" x14ac:dyDescent="0.25">
      <c r="Y12163" s="63">
        <v>54696</v>
      </c>
      <c r="Z12163" s="61">
        <f>_xll.qlYieldTSDiscount($U$35,Y12163,,Trigger)</f>
        <v>0.54456341261475094</v>
      </c>
    </row>
    <row r="12164" spans="25:26" x14ac:dyDescent="0.25">
      <c r="Y12164" s="63">
        <v>54697</v>
      </c>
      <c r="Z12164" s="61">
        <f>_xll.qlYieldTSDiscount($U$35,Y12164,,Trigger)</f>
        <v>0.54452649923630703</v>
      </c>
    </row>
    <row r="12165" spans="25:26" x14ac:dyDescent="0.25">
      <c r="Y12165" s="63">
        <v>54698</v>
      </c>
      <c r="Z12165" s="61">
        <f>_xll.qlYieldTSDiscount($U$35,Y12165,,Trigger)</f>
        <v>0.54448958943786141</v>
      </c>
    </row>
    <row r="12166" spans="25:26" x14ac:dyDescent="0.25">
      <c r="Y12166" s="63">
        <v>54699</v>
      </c>
      <c r="Z12166" s="61">
        <f>_xll.qlYieldTSDiscount($U$35,Y12166,,Trigger)</f>
        <v>0.54445268321904783</v>
      </c>
    </row>
    <row r="12167" spans="25:26" x14ac:dyDescent="0.25">
      <c r="Y12167" s="63">
        <v>54700</v>
      </c>
      <c r="Z12167" s="61">
        <f>_xll.qlYieldTSDiscount($U$35,Y12167,,Trigger)</f>
        <v>0.54441578057950035</v>
      </c>
    </row>
    <row r="12168" spans="25:26" x14ac:dyDescent="0.25">
      <c r="Y12168" s="63">
        <v>54701</v>
      </c>
      <c r="Z12168" s="61">
        <f>_xll.qlYieldTSDiscount($U$35,Y12168,,Trigger)</f>
        <v>0.54437888151885327</v>
      </c>
    </row>
    <row r="12169" spans="25:26" x14ac:dyDescent="0.25">
      <c r="Y12169" s="63">
        <v>54702</v>
      </c>
      <c r="Z12169" s="61">
        <f>_xll.qlYieldTSDiscount($U$35,Y12169,,Trigger)</f>
        <v>0.54434198603674022</v>
      </c>
    </row>
    <row r="12170" spans="25:26" x14ac:dyDescent="0.25">
      <c r="Y12170" s="63">
        <v>54703</v>
      </c>
      <c r="Z12170" s="61">
        <f>_xll.qlYieldTSDiscount($U$35,Y12170,,Trigger)</f>
        <v>0.54430509413279538</v>
      </c>
    </row>
    <row r="12171" spans="25:26" x14ac:dyDescent="0.25">
      <c r="Y12171" s="63">
        <v>54704</v>
      </c>
      <c r="Z12171" s="61">
        <f>_xll.qlYieldTSDiscount($U$35,Y12171,,Trigger)</f>
        <v>0.54426820580665303</v>
      </c>
    </row>
    <row r="12172" spans="25:26" x14ac:dyDescent="0.25">
      <c r="Y12172" s="63">
        <v>54705</v>
      </c>
      <c r="Z12172" s="61">
        <f>_xll.qlYieldTSDiscount($U$35,Y12172,,Trigger)</f>
        <v>0.54423132105794669</v>
      </c>
    </row>
    <row r="12173" spans="25:26" x14ac:dyDescent="0.25">
      <c r="Y12173" s="63">
        <v>54706</v>
      </c>
      <c r="Z12173" s="61">
        <f>_xll.qlYieldTSDiscount($U$35,Y12173,,Trigger)</f>
        <v>0.54419443988631067</v>
      </c>
    </row>
    <row r="12174" spans="25:26" x14ac:dyDescent="0.25">
      <c r="Y12174" s="63">
        <v>54707</v>
      </c>
      <c r="Z12174" s="61">
        <f>_xll.qlYieldTSDiscount($U$35,Y12174,,Trigger)</f>
        <v>0.54415756229137902</v>
      </c>
    </row>
    <row r="12175" spans="25:26" x14ac:dyDescent="0.25">
      <c r="Y12175" s="63">
        <v>54708</v>
      </c>
      <c r="Z12175" s="61">
        <f>_xll.qlYieldTSDiscount($U$35,Y12175,,Trigger)</f>
        <v>0.54412068827278581</v>
      </c>
    </row>
    <row r="12176" spans="25:26" x14ac:dyDescent="0.25">
      <c r="Y12176" s="63">
        <v>54709</v>
      </c>
      <c r="Z12176" s="61">
        <f>_xll.qlYieldTSDiscount($U$35,Y12176,,Trigger)</f>
        <v>0.54408381783016491</v>
      </c>
    </row>
    <row r="12177" spans="25:26" x14ac:dyDescent="0.25">
      <c r="Y12177" s="63">
        <v>54710</v>
      </c>
      <c r="Z12177" s="61">
        <f>_xll.qlYieldTSDiscount($U$35,Y12177,,Trigger)</f>
        <v>0.54404695096315026</v>
      </c>
    </row>
    <row r="12178" spans="25:26" x14ac:dyDescent="0.25">
      <c r="Y12178" s="63">
        <v>54711</v>
      </c>
      <c r="Z12178" s="61">
        <f>_xll.qlYieldTSDiscount($U$35,Y12178,,Trigger)</f>
        <v>0.54401008767137626</v>
      </c>
    </row>
    <row r="12179" spans="25:26" x14ac:dyDescent="0.25">
      <c r="Y12179" s="63">
        <v>54712</v>
      </c>
      <c r="Z12179" s="61">
        <f>_xll.qlYieldTSDiscount($U$35,Y12179,,Trigger)</f>
        <v>0.54397322795447645</v>
      </c>
    </row>
    <row r="12180" spans="25:26" x14ac:dyDescent="0.25">
      <c r="Y12180" s="63">
        <v>54713</v>
      </c>
      <c r="Z12180" s="61">
        <f>_xll.qlYieldTSDiscount($U$35,Y12180,,Trigger)</f>
        <v>0.54393637181208521</v>
      </c>
    </row>
    <row r="12181" spans="25:26" x14ac:dyDescent="0.25">
      <c r="Y12181" s="63">
        <v>54714</v>
      </c>
      <c r="Z12181" s="61">
        <f>_xll.qlYieldTSDiscount($U$35,Y12181,,Trigger)</f>
        <v>0.54389951924383639</v>
      </c>
    </row>
    <row r="12182" spans="25:26" x14ac:dyDescent="0.25">
      <c r="Y12182" s="63">
        <v>54715</v>
      </c>
      <c r="Z12182" s="61">
        <f>_xll.qlYieldTSDiscount($U$35,Y12182,,Trigger)</f>
        <v>0.54386267024936408</v>
      </c>
    </row>
    <row r="12183" spans="25:26" x14ac:dyDescent="0.25">
      <c r="Y12183" s="63">
        <v>54716</v>
      </c>
      <c r="Z12183" s="61">
        <f>_xll.qlYieldTSDiscount($U$35,Y12183,,Trigger)</f>
        <v>0.54382582482830233</v>
      </c>
    </row>
    <row r="12184" spans="25:26" x14ac:dyDescent="0.25">
      <c r="Y12184" s="63">
        <v>54717</v>
      </c>
      <c r="Z12184" s="61">
        <f>_xll.qlYieldTSDiscount($U$35,Y12184,,Trigger)</f>
        <v>0.54378898298028511</v>
      </c>
    </row>
    <row r="12185" spans="25:26" x14ac:dyDescent="0.25">
      <c r="Y12185" s="63">
        <v>54718</v>
      </c>
      <c r="Z12185" s="61">
        <f>_xll.qlYieldTSDiscount($U$35,Y12185,,Trigger)</f>
        <v>0.54375214470494637</v>
      </c>
    </row>
    <row r="12186" spans="25:26" x14ac:dyDescent="0.25">
      <c r="Y12186" s="63">
        <v>54719</v>
      </c>
      <c r="Z12186" s="61">
        <f>_xll.qlYieldTSDiscount($U$35,Y12186,,Trigger)</f>
        <v>0.54371531000192019</v>
      </c>
    </row>
    <row r="12187" spans="25:26" x14ac:dyDescent="0.25">
      <c r="Y12187" s="63">
        <v>54720</v>
      </c>
      <c r="Z12187" s="61">
        <f>_xll.qlYieldTSDiscount($U$35,Y12187,,Trigger)</f>
        <v>0.54367847887084064</v>
      </c>
    </row>
    <row r="12188" spans="25:26" x14ac:dyDescent="0.25">
      <c r="Y12188" s="63">
        <v>54721</v>
      </c>
      <c r="Z12188" s="61">
        <f>_xll.qlYieldTSDiscount($U$35,Y12188,,Trigger)</f>
        <v>0.5436416513113419</v>
      </c>
    </row>
    <row r="12189" spans="25:26" x14ac:dyDescent="0.25">
      <c r="Y12189" s="63">
        <v>54722</v>
      </c>
      <c r="Z12189" s="61">
        <f>_xll.qlYieldTSDiscount($U$35,Y12189,,Trigger)</f>
        <v>0.54360482732305759</v>
      </c>
    </row>
    <row r="12190" spans="25:26" x14ac:dyDescent="0.25">
      <c r="Y12190" s="63">
        <v>54723</v>
      </c>
      <c r="Z12190" s="61">
        <f>_xll.qlYieldTSDiscount($U$35,Y12190,,Trigger)</f>
        <v>0.54356800690562201</v>
      </c>
    </row>
    <row r="12191" spans="25:26" x14ac:dyDescent="0.25">
      <c r="Y12191" s="63">
        <v>54724</v>
      </c>
      <c r="Z12191" s="61">
        <f>_xll.qlYieldTSDiscount($U$35,Y12191,,Trigger)</f>
        <v>0.54353119005866923</v>
      </c>
    </row>
    <row r="12192" spans="25:26" x14ac:dyDescent="0.25">
      <c r="Y12192" s="63">
        <v>54725</v>
      </c>
      <c r="Z12192" s="61">
        <f>_xll.qlYieldTSDiscount($U$35,Y12192,,Trigger)</f>
        <v>0.54349437678183299</v>
      </c>
    </row>
    <row r="12193" spans="25:26" x14ac:dyDescent="0.25">
      <c r="Y12193" s="63">
        <v>54726</v>
      </c>
      <c r="Z12193" s="61">
        <f>_xll.qlYieldTSDiscount($U$35,Y12193,,Trigger)</f>
        <v>0.54345756707474746</v>
      </c>
    </row>
    <row r="12194" spans="25:26" x14ac:dyDescent="0.25">
      <c r="Y12194" s="63">
        <v>54727</v>
      </c>
      <c r="Z12194" s="61">
        <f>_xll.qlYieldTSDiscount($U$35,Y12194,,Trigger)</f>
        <v>0.54342076093704683</v>
      </c>
    </row>
    <row r="12195" spans="25:26" x14ac:dyDescent="0.25">
      <c r="Y12195" s="63">
        <v>54728</v>
      </c>
      <c r="Z12195" s="61">
        <f>_xll.qlYieldTSDiscount($U$35,Y12195,,Trigger)</f>
        <v>0.54338395836836495</v>
      </c>
    </row>
    <row r="12196" spans="25:26" x14ac:dyDescent="0.25">
      <c r="Y12196" s="63">
        <v>54729</v>
      </c>
      <c r="Z12196" s="61">
        <f>_xll.qlYieldTSDiscount($U$35,Y12196,,Trigger)</f>
        <v>0.54334715936833577</v>
      </c>
    </row>
    <row r="12197" spans="25:26" x14ac:dyDescent="0.25">
      <c r="Y12197" s="63">
        <v>54730</v>
      </c>
      <c r="Z12197" s="61">
        <f>_xll.qlYieldTSDiscount($U$35,Y12197,,Trigger)</f>
        <v>0.5433103639365936</v>
      </c>
    </row>
    <row r="12198" spans="25:26" x14ac:dyDescent="0.25">
      <c r="Y12198" s="63">
        <v>54731</v>
      </c>
      <c r="Z12198" s="61">
        <f>_xll.qlYieldTSDiscount($U$35,Y12198,,Trigger)</f>
        <v>0.54327357207277205</v>
      </c>
    </row>
    <row r="12199" spans="25:26" x14ac:dyDescent="0.25">
      <c r="Y12199" s="63">
        <v>54732</v>
      </c>
      <c r="Z12199" s="61">
        <f>_xll.qlYieldTSDiscount($U$35,Y12199,,Trigger)</f>
        <v>0.54323678377650553</v>
      </c>
    </row>
    <row r="12200" spans="25:26" x14ac:dyDescent="0.25">
      <c r="Y12200" s="63">
        <v>54733</v>
      </c>
      <c r="Z12200" s="61">
        <f>_xll.qlYieldTSDiscount($U$35,Y12200,,Trigger)</f>
        <v>0.54319999904742788</v>
      </c>
    </row>
    <row r="12201" spans="25:26" x14ac:dyDescent="0.25">
      <c r="Y12201" s="63">
        <v>54734</v>
      </c>
      <c r="Z12201" s="61">
        <f>_xll.qlYieldTSDiscount($U$35,Y12201,,Trigger)</f>
        <v>0.54316321788517308</v>
      </c>
    </row>
    <row r="12202" spans="25:26" x14ac:dyDescent="0.25">
      <c r="Y12202" s="63">
        <v>54735</v>
      </c>
      <c r="Z12202" s="61">
        <f>_xll.qlYieldTSDiscount($U$35,Y12202,,Trigger)</f>
        <v>0.54312644028937518</v>
      </c>
    </row>
    <row r="12203" spans="25:26" x14ac:dyDescent="0.25">
      <c r="Y12203" s="63">
        <v>54736</v>
      </c>
      <c r="Z12203" s="61">
        <f>_xll.qlYieldTSDiscount($U$35,Y12203,,Trigger)</f>
        <v>0.54308966625966826</v>
      </c>
    </row>
    <row r="12204" spans="25:26" x14ac:dyDescent="0.25">
      <c r="Y12204" s="63">
        <v>54737</v>
      </c>
      <c r="Z12204" s="61">
        <f>_xll.qlYieldTSDiscount($U$35,Y12204,,Trigger)</f>
        <v>0.54305289579568639</v>
      </c>
    </row>
    <row r="12205" spans="25:26" x14ac:dyDescent="0.25">
      <c r="Y12205" s="63">
        <v>54738</v>
      </c>
      <c r="Z12205" s="61">
        <f>_xll.qlYieldTSDiscount($U$35,Y12205,,Trigger)</f>
        <v>0.54301612889706341</v>
      </c>
    </row>
    <row r="12206" spans="25:26" x14ac:dyDescent="0.25">
      <c r="Y12206" s="63">
        <v>54739</v>
      </c>
      <c r="Z12206" s="61">
        <f>_xll.qlYieldTSDiscount($U$35,Y12206,,Trigger)</f>
        <v>0.5429793655634334</v>
      </c>
    </row>
    <row r="12207" spans="25:26" x14ac:dyDescent="0.25">
      <c r="Y12207" s="63">
        <v>54740</v>
      </c>
      <c r="Z12207" s="61">
        <f>_xll.qlYieldTSDiscount($U$35,Y12207,,Trigger)</f>
        <v>0.54294260579443065</v>
      </c>
    </row>
    <row r="12208" spans="25:26" x14ac:dyDescent="0.25">
      <c r="Y12208" s="63">
        <v>54741</v>
      </c>
      <c r="Z12208" s="61">
        <f>_xll.qlYieldTSDiscount($U$35,Y12208,,Trigger)</f>
        <v>0.54290584958968879</v>
      </c>
    </row>
    <row r="12209" spans="25:26" x14ac:dyDescent="0.25">
      <c r="Y12209" s="63">
        <v>54742</v>
      </c>
      <c r="Z12209" s="61">
        <f>_xll.qlYieldTSDiscount($U$35,Y12209,,Trigger)</f>
        <v>0.542869096948842</v>
      </c>
    </row>
    <row r="12210" spans="25:26" x14ac:dyDescent="0.25">
      <c r="Y12210" s="63">
        <v>54743</v>
      </c>
      <c r="Z12210" s="61">
        <f>_xll.qlYieldTSDiscount($U$35,Y12210,,Trigger)</f>
        <v>0.54283234787152446</v>
      </c>
    </row>
    <row r="12211" spans="25:26" x14ac:dyDescent="0.25">
      <c r="Y12211" s="63">
        <v>54744</v>
      </c>
      <c r="Z12211" s="61">
        <f>_xll.qlYieldTSDiscount($U$35,Y12211,,Trigger)</f>
        <v>0.5427956023573699</v>
      </c>
    </row>
    <row r="12212" spans="25:26" x14ac:dyDescent="0.25">
      <c r="Y12212" s="63">
        <v>54745</v>
      </c>
      <c r="Z12212" s="61">
        <f>_xll.qlYieldTSDiscount($U$35,Y12212,,Trigger)</f>
        <v>0.54275886040601251</v>
      </c>
    </row>
    <row r="12213" spans="25:26" x14ac:dyDescent="0.25">
      <c r="Y12213" s="63">
        <v>54746</v>
      </c>
      <c r="Z12213" s="61">
        <f>_xll.qlYieldTSDiscount($U$35,Y12213,,Trigger)</f>
        <v>0.54272212201708636</v>
      </c>
    </row>
    <row r="12214" spans="25:26" x14ac:dyDescent="0.25">
      <c r="Y12214" s="63">
        <v>54747</v>
      </c>
      <c r="Z12214" s="61">
        <f>_xll.qlYieldTSDiscount($U$35,Y12214,,Trigger)</f>
        <v>0.5426853871902253</v>
      </c>
    </row>
    <row r="12215" spans="25:26" x14ac:dyDescent="0.25">
      <c r="Y12215" s="63">
        <v>54748</v>
      </c>
      <c r="Z12215" s="61">
        <f>_xll.qlYieldTSDiscount($U$35,Y12215,,Trigger)</f>
        <v>0.54264865592506351</v>
      </c>
    </row>
    <row r="12216" spans="25:26" x14ac:dyDescent="0.25">
      <c r="Y12216" s="63">
        <v>54749</v>
      </c>
      <c r="Z12216" s="61">
        <f>_xll.qlYieldTSDiscount($U$35,Y12216,,Trigger)</f>
        <v>0.54261192822123505</v>
      </c>
    </row>
    <row r="12217" spans="25:26" x14ac:dyDescent="0.25">
      <c r="Y12217" s="63">
        <v>54750</v>
      </c>
      <c r="Z12217" s="61">
        <f>_xll.qlYieldTSDiscount($U$35,Y12217,,Trigger)</f>
        <v>0.54257520407837379</v>
      </c>
    </row>
    <row r="12218" spans="25:26" x14ac:dyDescent="0.25">
      <c r="Y12218" s="63">
        <v>54751</v>
      </c>
      <c r="Z12218" s="61">
        <f>_xll.qlYieldTSDiscount($U$35,Y12218,,Trigger)</f>
        <v>0.54253848349611367</v>
      </c>
    </row>
    <row r="12219" spans="25:26" x14ac:dyDescent="0.25">
      <c r="Y12219" s="63">
        <v>54752</v>
      </c>
      <c r="Z12219" s="61">
        <f>_xll.qlYieldTSDiscount($U$35,Y12219,,Trigger)</f>
        <v>0.54250176647408899</v>
      </c>
    </row>
    <row r="12220" spans="25:26" x14ac:dyDescent="0.25">
      <c r="Y12220" s="63">
        <v>54753</v>
      </c>
      <c r="Z12220" s="61">
        <f>_xll.qlYieldTSDiscount($U$35,Y12220,,Trigger)</f>
        <v>0.5424650530119336</v>
      </c>
    </row>
    <row r="12221" spans="25:26" x14ac:dyDescent="0.25">
      <c r="Y12221" s="63">
        <v>54754</v>
      </c>
      <c r="Z12221" s="61">
        <f>_xll.qlYieldTSDiscount($U$35,Y12221,,Trigger)</f>
        <v>0.54242834310928156</v>
      </c>
    </row>
    <row r="12222" spans="25:26" x14ac:dyDescent="0.25">
      <c r="Y12222" s="63">
        <v>54755</v>
      </c>
      <c r="Z12222" s="61">
        <f>_xll.qlYieldTSDiscount($U$35,Y12222,,Trigger)</f>
        <v>0.54239163676576685</v>
      </c>
    </row>
    <row r="12223" spans="25:26" x14ac:dyDescent="0.25">
      <c r="Y12223" s="63">
        <v>54756</v>
      </c>
      <c r="Z12223" s="61">
        <f>_xll.qlYieldTSDiscount($U$35,Y12223,,Trigger)</f>
        <v>0.54235493398102363</v>
      </c>
    </row>
    <row r="12224" spans="25:26" x14ac:dyDescent="0.25">
      <c r="Y12224" s="63">
        <v>54757</v>
      </c>
      <c r="Z12224" s="61">
        <f>_xll.qlYieldTSDiscount($U$35,Y12224,,Trigger)</f>
        <v>0.54231823475468577</v>
      </c>
    </row>
    <row r="12225" spans="25:26" x14ac:dyDescent="0.25">
      <c r="Y12225" s="63">
        <v>54758</v>
      </c>
      <c r="Z12225" s="61">
        <f>_xll.qlYieldTSDiscount($U$35,Y12225,,Trigger)</f>
        <v>0.54228153908638732</v>
      </c>
    </row>
    <row r="12226" spans="25:26" x14ac:dyDescent="0.25">
      <c r="Y12226" s="63">
        <v>54759</v>
      </c>
      <c r="Z12226" s="61">
        <f>_xll.qlYieldTSDiscount($U$35,Y12226,,Trigger)</f>
        <v>0.54224484697576236</v>
      </c>
    </row>
    <row r="12227" spans="25:26" x14ac:dyDescent="0.25">
      <c r="Y12227" s="63">
        <v>54760</v>
      </c>
      <c r="Z12227" s="61">
        <f>_xll.qlYieldTSDiscount($U$35,Y12227,,Trigger)</f>
        <v>0.54220815842244485</v>
      </c>
    </row>
    <row r="12228" spans="25:26" x14ac:dyDescent="0.25">
      <c r="Y12228" s="63">
        <v>54761</v>
      </c>
      <c r="Z12228" s="61">
        <f>_xll.qlYieldTSDiscount($U$35,Y12228,,Trigger)</f>
        <v>0.54217147342606875</v>
      </c>
    </row>
    <row r="12229" spans="25:26" x14ac:dyDescent="0.25">
      <c r="Y12229" s="63">
        <v>54762</v>
      </c>
      <c r="Z12229" s="61">
        <f>_xll.qlYieldTSDiscount($U$35,Y12229,,Trigger)</f>
        <v>0.54213479198626835</v>
      </c>
    </row>
    <row r="12230" spans="25:26" x14ac:dyDescent="0.25">
      <c r="Y12230" s="63">
        <v>54763</v>
      </c>
      <c r="Z12230" s="61">
        <f>_xll.qlYieldTSDiscount($U$35,Y12230,,Trigger)</f>
        <v>0.54209811410267739</v>
      </c>
    </row>
    <row r="12231" spans="25:26" x14ac:dyDescent="0.25">
      <c r="Y12231" s="63">
        <v>54764</v>
      </c>
      <c r="Z12231" s="61">
        <f>_xll.qlYieldTSDiscount($U$35,Y12231,,Trigger)</f>
        <v>0.54206143977492993</v>
      </c>
    </row>
    <row r="12232" spans="25:26" x14ac:dyDescent="0.25">
      <c r="Y12232" s="63">
        <v>54765</v>
      </c>
      <c r="Z12232" s="61">
        <f>_xll.qlYieldTSDiscount($U$35,Y12232,,Trigger)</f>
        <v>0.54202476900266017</v>
      </c>
    </row>
    <row r="12233" spans="25:26" x14ac:dyDescent="0.25">
      <c r="Y12233" s="63">
        <v>54766</v>
      </c>
      <c r="Z12233" s="61">
        <f>_xll.qlYieldTSDiscount($U$35,Y12233,,Trigger)</f>
        <v>0.54198810178550205</v>
      </c>
    </row>
    <row r="12234" spans="25:26" x14ac:dyDescent="0.25">
      <c r="Y12234" s="63">
        <v>54767</v>
      </c>
      <c r="Z12234" s="61">
        <f>_xll.qlYieldTSDiscount($U$35,Y12234,,Trigger)</f>
        <v>0.54195143812308944</v>
      </c>
    </row>
    <row r="12235" spans="25:26" x14ac:dyDescent="0.25">
      <c r="Y12235" s="63">
        <v>54768</v>
      </c>
      <c r="Z12235" s="61">
        <f>_xll.qlYieldTSDiscount($U$35,Y12235,,Trigger)</f>
        <v>0.5419147780150565</v>
      </c>
    </row>
    <row r="12236" spans="25:26" x14ac:dyDescent="0.25">
      <c r="Y12236" s="63">
        <v>54769</v>
      </c>
      <c r="Z12236" s="61">
        <f>_xll.qlYieldTSDiscount($U$35,Y12236,,Trigger)</f>
        <v>0.54187812146103731</v>
      </c>
    </row>
    <row r="12237" spans="25:26" x14ac:dyDescent="0.25">
      <c r="Y12237" s="63">
        <v>54770</v>
      </c>
      <c r="Z12237" s="61">
        <f>_xll.qlYieldTSDiscount($U$35,Y12237,,Trigger)</f>
        <v>0.54184146846066572</v>
      </c>
    </row>
    <row r="12238" spans="25:26" x14ac:dyDescent="0.25">
      <c r="Y12238" s="63">
        <v>54771</v>
      </c>
      <c r="Z12238" s="61">
        <f>_xll.qlYieldTSDiscount($U$35,Y12238,,Trigger)</f>
        <v>0.54180481901357591</v>
      </c>
    </row>
    <row r="12239" spans="25:26" x14ac:dyDescent="0.25">
      <c r="Y12239" s="63">
        <v>54772</v>
      </c>
      <c r="Z12239" s="61">
        <f>_xll.qlYieldTSDiscount($U$35,Y12239,,Trigger)</f>
        <v>0.54176817311940184</v>
      </c>
    </row>
    <row r="12240" spans="25:26" x14ac:dyDescent="0.25">
      <c r="Y12240" s="63">
        <v>54773</v>
      </c>
      <c r="Z12240" s="61">
        <f>_xll.qlYieldTSDiscount($U$35,Y12240,,Trigger)</f>
        <v>0.54173153077777758</v>
      </c>
    </row>
    <row r="12241" spans="25:26" x14ac:dyDescent="0.25">
      <c r="Y12241" s="63">
        <v>54774</v>
      </c>
      <c r="Z12241" s="61">
        <f>_xll.qlYieldTSDiscount($U$35,Y12241,,Trigger)</f>
        <v>0.54169489198833698</v>
      </c>
    </row>
    <row r="12242" spans="25:26" x14ac:dyDescent="0.25">
      <c r="Y12242" s="63">
        <v>54775</v>
      </c>
      <c r="Z12242" s="61">
        <f>_xll.qlYieldTSDiscount($U$35,Y12242,,Trigger)</f>
        <v>0.54165825675071433</v>
      </c>
    </row>
    <row r="12243" spans="25:26" x14ac:dyDescent="0.25">
      <c r="Y12243" s="63">
        <v>54776</v>
      </c>
      <c r="Z12243" s="61">
        <f>_xll.qlYieldTSDiscount($U$35,Y12243,,Trigger)</f>
        <v>0.54162162506454337</v>
      </c>
    </row>
    <row r="12244" spans="25:26" x14ac:dyDescent="0.25">
      <c r="Y12244" s="63">
        <v>54777</v>
      </c>
      <c r="Z12244" s="61">
        <f>_xll.qlYieldTSDiscount($U$35,Y12244,,Trigger)</f>
        <v>0.54158499692945827</v>
      </c>
    </row>
    <row r="12245" spans="25:26" x14ac:dyDescent="0.25">
      <c r="Y12245" s="63">
        <v>54778</v>
      </c>
      <c r="Z12245" s="61">
        <f>_xll.qlYieldTSDiscount($U$35,Y12245,,Trigger)</f>
        <v>0.54154837234509312</v>
      </c>
    </row>
    <row r="12246" spans="25:26" x14ac:dyDescent="0.25">
      <c r="Y12246" s="63">
        <v>54779</v>
      </c>
      <c r="Z12246" s="61">
        <f>_xll.qlYieldTSDiscount($U$35,Y12246,,Trigger)</f>
        <v>0.54151175131108187</v>
      </c>
    </row>
    <row r="12247" spans="25:26" x14ac:dyDescent="0.25">
      <c r="Y12247" s="63">
        <v>54780</v>
      </c>
      <c r="Z12247" s="61">
        <f>_xll.qlYieldTSDiscount($U$35,Y12247,,Trigger)</f>
        <v>0.54147513382705836</v>
      </c>
    </row>
    <row r="12248" spans="25:26" x14ac:dyDescent="0.25">
      <c r="Y12248" s="63">
        <v>54781</v>
      </c>
      <c r="Z12248" s="61">
        <f>_xll.qlYieldTSDiscount($U$35,Y12248,,Trigger)</f>
        <v>0.5414385198926569</v>
      </c>
    </row>
    <row r="12249" spans="25:26" x14ac:dyDescent="0.25">
      <c r="Y12249" s="63">
        <v>54782</v>
      </c>
      <c r="Z12249" s="61">
        <f>_xll.qlYieldTSDiscount($U$35,Y12249,,Trigger)</f>
        <v>0.54140190950751144</v>
      </c>
    </row>
    <row r="12250" spans="25:26" x14ac:dyDescent="0.25">
      <c r="Y12250" s="63">
        <v>54783</v>
      </c>
      <c r="Z12250" s="61">
        <f>_xll.qlYieldTSDiscount($U$35,Y12250,,Trigger)</f>
        <v>0.54136530267125593</v>
      </c>
    </row>
    <row r="12251" spans="25:26" x14ac:dyDescent="0.25">
      <c r="Y12251" s="63">
        <v>54784</v>
      </c>
      <c r="Z12251" s="61">
        <f>_xll.qlYieldTSDiscount($U$35,Y12251,,Trigger)</f>
        <v>0.54132869938352446</v>
      </c>
    </row>
    <row r="12252" spans="25:26" x14ac:dyDescent="0.25">
      <c r="Y12252" s="63">
        <v>54785</v>
      </c>
      <c r="Z12252" s="61">
        <f>_xll.qlYieldTSDiscount($U$35,Y12252,,Trigger)</f>
        <v>0.54129209964395097</v>
      </c>
    </row>
    <row r="12253" spans="25:26" x14ac:dyDescent="0.25">
      <c r="Y12253" s="63">
        <v>54786</v>
      </c>
      <c r="Z12253" s="61">
        <f>_xll.qlYieldTSDiscount($U$35,Y12253,,Trigger)</f>
        <v>0.54125550345216955</v>
      </c>
    </row>
    <row r="12254" spans="25:26" x14ac:dyDescent="0.25">
      <c r="Y12254" s="63">
        <v>54787</v>
      </c>
      <c r="Z12254" s="61">
        <f>_xll.qlYieldTSDiscount($U$35,Y12254,,Trigger)</f>
        <v>0.54121891080781415</v>
      </c>
    </row>
    <row r="12255" spans="25:26" x14ac:dyDescent="0.25">
      <c r="Y12255" s="63">
        <v>54788</v>
      </c>
      <c r="Z12255" s="61">
        <f>_xll.qlYieldTSDiscount($U$35,Y12255,,Trigger)</f>
        <v>0.54118232171051883</v>
      </c>
    </row>
    <row r="12256" spans="25:26" x14ac:dyDescent="0.25">
      <c r="Y12256" s="63">
        <v>54789</v>
      </c>
      <c r="Z12256" s="61">
        <f>_xll.qlYieldTSDiscount($U$35,Y12256,,Trigger)</f>
        <v>0.54114573615991768</v>
      </c>
    </row>
    <row r="12257" spans="25:26" x14ac:dyDescent="0.25">
      <c r="Y12257" s="63">
        <v>54790</v>
      </c>
      <c r="Z12257" s="61">
        <f>_xll.qlYieldTSDiscount($U$35,Y12257,,Trigger)</f>
        <v>0.54110915415564464</v>
      </c>
    </row>
    <row r="12258" spans="25:26" x14ac:dyDescent="0.25">
      <c r="Y12258" s="63">
        <v>54791</v>
      </c>
      <c r="Z12258" s="61">
        <f>_xll.qlYieldTSDiscount($U$35,Y12258,,Trigger)</f>
        <v>0.5410725756973338</v>
      </c>
    </row>
    <row r="12259" spans="25:26" x14ac:dyDescent="0.25">
      <c r="Y12259" s="63">
        <v>54792</v>
      </c>
      <c r="Z12259" s="61">
        <f>_xll.qlYieldTSDiscount($U$35,Y12259,,Trigger)</f>
        <v>0.541036000784619</v>
      </c>
    </row>
    <row r="12260" spans="25:26" x14ac:dyDescent="0.25">
      <c r="Y12260" s="63">
        <v>54793</v>
      </c>
      <c r="Z12260" s="61">
        <f>_xll.qlYieldTSDiscount($U$35,Y12260,,Trigger)</f>
        <v>0.54099942941713453</v>
      </c>
    </row>
    <row r="12261" spans="25:26" x14ac:dyDescent="0.25">
      <c r="Y12261" s="63">
        <v>54794</v>
      </c>
      <c r="Z12261" s="61">
        <f>_xll.qlYieldTSDiscount($U$35,Y12261,,Trigger)</f>
        <v>0.54096286159451423</v>
      </c>
    </row>
    <row r="12262" spans="25:26" x14ac:dyDescent="0.25">
      <c r="Y12262" s="63">
        <v>54795</v>
      </c>
      <c r="Z12262" s="61">
        <f>_xll.qlYieldTSDiscount($U$35,Y12262,,Trigger)</f>
        <v>0.54092629731639219</v>
      </c>
    </row>
    <row r="12263" spans="25:26" x14ac:dyDescent="0.25">
      <c r="Y12263" s="63">
        <v>54796</v>
      </c>
      <c r="Z12263" s="61">
        <f>_xll.qlYieldTSDiscount($U$35,Y12263,,Trigger)</f>
        <v>0.54088973658240236</v>
      </c>
    </row>
    <row r="12264" spans="25:26" x14ac:dyDescent="0.25">
      <c r="Y12264" s="63">
        <v>54797</v>
      </c>
      <c r="Z12264" s="61">
        <f>_xll.qlYieldTSDiscount($U$35,Y12264,,Trigger)</f>
        <v>0.54085317939217881</v>
      </c>
    </row>
    <row r="12265" spans="25:26" x14ac:dyDescent="0.25">
      <c r="Y12265" s="63">
        <v>54798</v>
      </c>
      <c r="Z12265" s="61">
        <f>_xll.qlYieldTSDiscount($U$35,Y12265,,Trigger)</f>
        <v>0.54081662574535572</v>
      </c>
    </row>
    <row r="12266" spans="25:26" x14ac:dyDescent="0.25">
      <c r="Y12266" s="63">
        <v>54799</v>
      </c>
      <c r="Z12266" s="61">
        <f>_xll.qlYieldTSDiscount($U$35,Y12266,,Trigger)</f>
        <v>0.54078007564156683</v>
      </c>
    </row>
    <row r="12267" spans="25:26" x14ac:dyDescent="0.25">
      <c r="Y12267" s="63">
        <v>54800</v>
      </c>
      <c r="Z12267" s="61">
        <f>_xll.qlYieldTSDiscount($U$35,Y12267,,Trigger)</f>
        <v>0.54074352908044621</v>
      </c>
    </row>
    <row r="12268" spans="25:26" x14ac:dyDescent="0.25">
      <c r="Y12268" s="63">
        <v>54801</v>
      </c>
      <c r="Z12268" s="61">
        <f>_xll.qlYieldTSDiscount($U$35,Y12268,,Trigger)</f>
        <v>0.54070698606162815</v>
      </c>
    </row>
    <row r="12269" spans="25:26" x14ac:dyDescent="0.25">
      <c r="Y12269" s="63">
        <v>54802</v>
      </c>
      <c r="Z12269" s="61">
        <f>_xll.qlYieldTSDiscount($U$35,Y12269,,Trigger)</f>
        <v>0.54067044658474639</v>
      </c>
    </row>
    <row r="12270" spans="25:26" x14ac:dyDescent="0.25">
      <c r="Y12270" s="63">
        <v>54803</v>
      </c>
      <c r="Z12270" s="61">
        <f>_xll.qlYieldTSDiscount($U$35,Y12270,,Trigger)</f>
        <v>0.540633910649435</v>
      </c>
    </row>
    <row r="12271" spans="25:26" x14ac:dyDescent="0.25">
      <c r="Y12271" s="63">
        <v>54804</v>
      </c>
      <c r="Z12271" s="61">
        <f>_xll.qlYieldTSDiscount($U$35,Y12271,,Trigger)</f>
        <v>0.54059737825532816</v>
      </c>
    </row>
    <row r="12272" spans="25:26" x14ac:dyDescent="0.25">
      <c r="Y12272" s="63">
        <v>54805</v>
      </c>
      <c r="Z12272" s="61">
        <f>_xll.qlYieldTSDiscount($U$35,Y12272,,Trigger)</f>
        <v>0.54056084940205973</v>
      </c>
    </row>
    <row r="12273" spans="25:26" x14ac:dyDescent="0.25">
      <c r="Y12273" s="63">
        <v>54806</v>
      </c>
      <c r="Z12273" s="61">
        <f>_xll.qlYieldTSDiscount($U$35,Y12273,,Trigger)</f>
        <v>0.54052432408926376</v>
      </c>
    </row>
    <row r="12274" spans="25:26" x14ac:dyDescent="0.25">
      <c r="Y12274" s="63">
        <v>54807</v>
      </c>
      <c r="Z12274" s="61">
        <f>_xll.qlYieldTSDiscount($U$35,Y12274,,Trigger)</f>
        <v>0.54048780231657434</v>
      </c>
    </row>
    <row r="12275" spans="25:26" x14ac:dyDescent="0.25">
      <c r="Y12275" s="63">
        <v>54808</v>
      </c>
      <c r="Z12275" s="61">
        <f>_xll.qlYieldTSDiscount($U$35,Y12275,,Trigger)</f>
        <v>0.54045128408362542</v>
      </c>
    </row>
    <row r="12276" spans="25:26" x14ac:dyDescent="0.25">
      <c r="Y12276" s="63">
        <v>54809</v>
      </c>
      <c r="Z12276" s="61">
        <f>_xll.qlYieldTSDiscount($U$35,Y12276,,Trigger)</f>
        <v>0.54041476939005095</v>
      </c>
    </row>
    <row r="12277" spans="25:26" x14ac:dyDescent="0.25">
      <c r="Y12277" s="63">
        <v>54810</v>
      </c>
      <c r="Z12277" s="61">
        <f>_xll.qlYieldTSDiscount($U$35,Y12277,,Trigger)</f>
        <v>0.54037825823548513</v>
      </c>
    </row>
    <row r="12278" spans="25:26" x14ac:dyDescent="0.25">
      <c r="Y12278" s="63">
        <v>54811</v>
      </c>
      <c r="Z12278" s="61">
        <f>_xll.qlYieldTSDiscount($U$35,Y12278,,Trigger)</f>
        <v>0.54034175061956202</v>
      </c>
    </row>
    <row r="12279" spans="25:26" x14ac:dyDescent="0.25">
      <c r="Y12279" s="63">
        <v>54812</v>
      </c>
      <c r="Z12279" s="61">
        <f>_xll.qlYieldTSDiscount($U$35,Y12279,,Trigger)</f>
        <v>0.54030524654191536</v>
      </c>
    </row>
    <row r="12280" spans="25:26" x14ac:dyDescent="0.25">
      <c r="Y12280" s="63">
        <v>54813</v>
      </c>
      <c r="Z12280" s="61">
        <f>_xll.qlYieldTSDiscount($U$35,Y12280,,Trigger)</f>
        <v>0.54026874600217933</v>
      </c>
    </row>
    <row r="12281" spans="25:26" x14ac:dyDescent="0.25">
      <c r="Y12281" s="63">
        <v>54814</v>
      </c>
      <c r="Z12281" s="61">
        <f>_xll.qlYieldTSDiscount($U$35,Y12281,,Trigger)</f>
        <v>0.54023224899998812</v>
      </c>
    </row>
    <row r="12282" spans="25:26" x14ac:dyDescent="0.25">
      <c r="Y12282" s="63">
        <v>54815</v>
      </c>
      <c r="Z12282" s="61">
        <f>_xll.qlYieldTSDiscount($U$35,Y12282,,Trigger)</f>
        <v>0.54019575553497545</v>
      </c>
    </row>
    <row r="12283" spans="25:26" x14ac:dyDescent="0.25">
      <c r="Y12283" s="63">
        <v>54816</v>
      </c>
      <c r="Z12283" s="61">
        <f>_xll.qlYieldTSDiscount($U$35,Y12283,,Trigger)</f>
        <v>0.54015926560677552</v>
      </c>
    </row>
    <row r="12284" spans="25:26" x14ac:dyDescent="0.25">
      <c r="Y12284" s="63">
        <v>54817</v>
      </c>
      <c r="Z12284" s="61">
        <f>_xll.qlYieldTSDiscount($U$35,Y12284,,Trigger)</f>
        <v>0.54012277921502239</v>
      </c>
    </row>
    <row r="12285" spans="25:26" x14ac:dyDescent="0.25">
      <c r="Y12285" s="63">
        <v>54818</v>
      </c>
      <c r="Z12285" s="61">
        <f>_xll.qlYieldTSDiscount($U$35,Y12285,,Trigger)</f>
        <v>0.5400862963593499</v>
      </c>
    </row>
    <row r="12286" spans="25:26" x14ac:dyDescent="0.25">
      <c r="Y12286" s="63">
        <v>54819</v>
      </c>
      <c r="Z12286" s="61">
        <f>_xll.qlYieldTSDiscount($U$35,Y12286,,Trigger)</f>
        <v>0.54004981703939214</v>
      </c>
    </row>
    <row r="12287" spans="25:26" x14ac:dyDescent="0.25">
      <c r="Y12287" s="63">
        <v>54820</v>
      </c>
      <c r="Z12287" s="61">
        <f>_xll.qlYieldTSDiscount($U$35,Y12287,,Trigger)</f>
        <v>0.54001334125478329</v>
      </c>
    </row>
    <row r="12288" spans="25:26" x14ac:dyDescent="0.25">
      <c r="Y12288" s="63">
        <v>54821</v>
      </c>
      <c r="Z12288" s="61">
        <f>_xll.qlYieldTSDiscount($U$35,Y12288,,Trigger)</f>
        <v>0.53997686900515718</v>
      </c>
    </row>
    <row r="12289" spans="25:26" x14ac:dyDescent="0.25">
      <c r="Y12289" s="63">
        <v>54822</v>
      </c>
      <c r="Z12289" s="61">
        <f>_xll.qlYieldTSDiscount($U$35,Y12289,,Trigger)</f>
        <v>0.53994040029014789</v>
      </c>
    </row>
    <row r="12290" spans="25:26" x14ac:dyDescent="0.25">
      <c r="Y12290" s="63">
        <v>54823</v>
      </c>
      <c r="Z12290" s="61">
        <f>_xll.qlYieldTSDiscount($U$35,Y12290,,Trigger)</f>
        <v>0.5399039351093895</v>
      </c>
    </row>
    <row r="12291" spans="25:26" x14ac:dyDescent="0.25">
      <c r="Y12291" s="63">
        <v>54824</v>
      </c>
      <c r="Z12291" s="61">
        <f>_xll.qlYieldTSDiscount($U$35,Y12291,,Trigger)</f>
        <v>0.53986747346251596</v>
      </c>
    </row>
    <row r="12292" spans="25:26" x14ac:dyDescent="0.25">
      <c r="Y12292" s="63">
        <v>54825</v>
      </c>
      <c r="Z12292" s="61">
        <f>_xll.qlYieldTSDiscount($U$35,Y12292,,Trigger)</f>
        <v>0.53983101534916134</v>
      </c>
    </row>
    <row r="12293" spans="25:26" x14ac:dyDescent="0.25">
      <c r="Y12293" s="63">
        <v>54826</v>
      </c>
      <c r="Z12293" s="61">
        <f>_xll.qlYieldTSDiscount($U$35,Y12293,,Trigger)</f>
        <v>0.5397945607689596</v>
      </c>
    </row>
    <row r="12294" spans="25:26" x14ac:dyDescent="0.25">
      <c r="Y12294" s="63">
        <v>54827</v>
      </c>
      <c r="Z12294" s="61">
        <f>_xll.qlYieldTSDiscount($U$35,Y12294,,Trigger)</f>
        <v>0.53975810972154481</v>
      </c>
    </row>
    <row r="12295" spans="25:26" x14ac:dyDescent="0.25">
      <c r="Y12295" s="63">
        <v>54828</v>
      </c>
      <c r="Z12295" s="61">
        <f>_xll.qlYieldTSDiscount($U$35,Y12295,,Trigger)</f>
        <v>0.53972166220655104</v>
      </c>
    </row>
    <row r="12296" spans="25:26" x14ac:dyDescent="0.25">
      <c r="Y12296" s="63">
        <v>54829</v>
      </c>
      <c r="Z12296" s="61">
        <f>_xll.qlYieldTSDiscount($U$35,Y12296,,Trigger)</f>
        <v>0.53968521822361215</v>
      </c>
    </row>
    <row r="12297" spans="25:26" x14ac:dyDescent="0.25">
      <c r="Y12297" s="63">
        <v>54830</v>
      </c>
      <c r="Z12297" s="61">
        <f>_xll.qlYieldTSDiscount($U$35,Y12297,,Trigger)</f>
        <v>0.53964877777236242</v>
      </c>
    </row>
    <row r="12298" spans="25:26" x14ac:dyDescent="0.25">
      <c r="Y12298" s="63">
        <v>54831</v>
      </c>
      <c r="Z12298" s="61">
        <f>_xll.qlYieldTSDiscount($U$35,Y12298,,Trigger)</f>
        <v>0.53961234085243559</v>
      </c>
    </row>
    <row r="12299" spans="25:26" x14ac:dyDescent="0.25">
      <c r="Y12299" s="63">
        <v>54832</v>
      </c>
      <c r="Z12299" s="61">
        <f>_xll.qlYieldTSDiscount($U$35,Y12299,,Trigger)</f>
        <v>0.53957590746346584</v>
      </c>
    </row>
    <row r="12300" spans="25:26" x14ac:dyDescent="0.25">
      <c r="Y12300" s="63">
        <v>54833</v>
      </c>
      <c r="Z12300" s="61">
        <f>_xll.qlYieldTSDiscount($U$35,Y12300,,Trigger)</f>
        <v>0.53953947760508725</v>
      </c>
    </row>
    <row r="12301" spans="25:26" x14ac:dyDescent="0.25">
      <c r="Y12301" s="63">
        <v>54834</v>
      </c>
      <c r="Z12301" s="61">
        <f>_xll.qlYieldTSDiscount($U$35,Y12301,,Trigger)</f>
        <v>0.53950305127693365</v>
      </c>
    </row>
    <row r="12302" spans="25:26" x14ac:dyDescent="0.25">
      <c r="Y12302" s="63">
        <v>54835</v>
      </c>
      <c r="Z12302" s="61">
        <f>_xll.qlYieldTSDiscount($U$35,Y12302,,Trigger)</f>
        <v>0.53946662847863913</v>
      </c>
    </row>
    <row r="12303" spans="25:26" x14ac:dyDescent="0.25">
      <c r="Y12303" s="63">
        <v>54836</v>
      </c>
      <c r="Z12303" s="61">
        <f>_xll.qlYieldTSDiscount($U$35,Y12303,,Trigger)</f>
        <v>0.53943020920983786</v>
      </c>
    </row>
    <row r="12304" spans="25:26" x14ac:dyDescent="0.25">
      <c r="Y12304" s="63">
        <v>54837</v>
      </c>
      <c r="Z12304" s="61">
        <f>_xll.qlYieldTSDiscount($U$35,Y12304,,Trigger)</f>
        <v>0.5393937934701637</v>
      </c>
    </row>
    <row r="12305" spans="25:26" x14ac:dyDescent="0.25">
      <c r="Y12305" s="63">
        <v>54838</v>
      </c>
      <c r="Z12305" s="61">
        <f>_xll.qlYieldTSDiscount($U$35,Y12305,,Trigger)</f>
        <v>0.5393573812592507</v>
      </c>
    </row>
    <row r="12306" spans="25:26" x14ac:dyDescent="0.25">
      <c r="Y12306" s="63">
        <v>54839</v>
      </c>
      <c r="Z12306" s="61">
        <f>_xll.qlYieldTSDiscount($U$35,Y12306,,Trigger)</f>
        <v>0.53932097257673295</v>
      </c>
    </row>
    <row r="12307" spans="25:26" x14ac:dyDescent="0.25">
      <c r="Y12307" s="63">
        <v>54840</v>
      </c>
      <c r="Z12307" s="61">
        <f>_xll.qlYieldTSDiscount($U$35,Y12307,,Trigger)</f>
        <v>0.5392845674222444</v>
      </c>
    </row>
    <row r="12308" spans="25:26" x14ac:dyDescent="0.25">
      <c r="Y12308" s="63">
        <v>54841</v>
      </c>
      <c r="Z12308" s="61">
        <f>_xll.qlYieldTSDiscount($U$35,Y12308,,Trigger)</f>
        <v>0.53924816579541901</v>
      </c>
    </row>
    <row r="12309" spans="25:26" x14ac:dyDescent="0.25">
      <c r="Y12309" s="63">
        <v>54842</v>
      </c>
      <c r="Z12309" s="61">
        <f>_xll.qlYieldTSDiscount($U$35,Y12309,,Trigger)</f>
        <v>0.53921176769589096</v>
      </c>
    </row>
    <row r="12310" spans="25:26" x14ac:dyDescent="0.25">
      <c r="Y12310" s="63">
        <v>54843</v>
      </c>
      <c r="Z12310" s="61">
        <f>_xll.qlYieldTSDiscount($U$35,Y12310,,Trigger)</f>
        <v>0.53917537312329433</v>
      </c>
    </row>
    <row r="12311" spans="25:26" x14ac:dyDescent="0.25">
      <c r="Y12311" s="63">
        <v>54844</v>
      </c>
      <c r="Z12311" s="61">
        <f>_xll.qlYieldTSDiscount($U$35,Y12311,,Trigger)</f>
        <v>0.53913898207726285</v>
      </c>
    </row>
    <row r="12312" spans="25:26" x14ac:dyDescent="0.25">
      <c r="Y12312" s="63">
        <v>54845</v>
      </c>
      <c r="Z12312" s="61">
        <f>_xll.qlYieldTSDiscount($U$35,Y12312,,Trigger)</f>
        <v>0.5391025945574307</v>
      </c>
    </row>
    <row r="12313" spans="25:26" x14ac:dyDescent="0.25">
      <c r="Y12313" s="63">
        <v>54846</v>
      </c>
      <c r="Z12313" s="61">
        <f>_xll.qlYieldTSDiscount($U$35,Y12313,,Trigger)</f>
        <v>0.53906621056343207</v>
      </c>
    </row>
    <row r="12314" spans="25:26" x14ac:dyDescent="0.25">
      <c r="Y12314" s="63">
        <v>54847</v>
      </c>
      <c r="Z12314" s="61">
        <f>_xll.qlYieldTSDiscount($U$35,Y12314,,Trigger)</f>
        <v>0.53902983009490069</v>
      </c>
    </row>
    <row r="12315" spans="25:26" x14ac:dyDescent="0.25">
      <c r="Y12315" s="63">
        <v>54848</v>
      </c>
      <c r="Z12315" s="61">
        <f>_xll.qlYieldTSDiscount($U$35,Y12315,,Trigger)</f>
        <v>0.53899345315147074</v>
      </c>
    </row>
    <row r="12316" spans="25:26" x14ac:dyDescent="0.25">
      <c r="Y12316" s="63">
        <v>54849</v>
      </c>
      <c r="Z12316" s="61">
        <f>_xll.qlYieldTSDiscount($U$35,Y12316,,Trigger)</f>
        <v>0.53895707973277629</v>
      </c>
    </row>
    <row r="12317" spans="25:26" x14ac:dyDescent="0.25">
      <c r="Y12317" s="63">
        <v>54850</v>
      </c>
      <c r="Z12317" s="61">
        <f>_xll.qlYieldTSDiscount($U$35,Y12317,,Trigger)</f>
        <v>0.53892070983845108</v>
      </c>
    </row>
    <row r="12318" spans="25:26" x14ac:dyDescent="0.25">
      <c r="Y12318" s="63">
        <v>54851</v>
      </c>
      <c r="Z12318" s="61">
        <f>_xll.qlYieldTSDiscount($U$35,Y12318,,Trigger)</f>
        <v>0.53888434346812952</v>
      </c>
    </row>
    <row r="12319" spans="25:26" x14ac:dyDescent="0.25">
      <c r="Y12319" s="63">
        <v>54852</v>
      </c>
      <c r="Z12319" s="61">
        <f>_xll.qlYieldTSDiscount($U$35,Y12319,,Trigger)</f>
        <v>0.53884798062144545</v>
      </c>
    </row>
    <row r="12320" spans="25:26" x14ac:dyDescent="0.25">
      <c r="Y12320" s="63">
        <v>54853</v>
      </c>
      <c r="Z12320" s="61">
        <f>_xll.qlYieldTSDiscount($U$35,Y12320,,Trigger)</f>
        <v>0.53881162129803273</v>
      </c>
    </row>
    <row r="12321" spans="25:26" x14ac:dyDescent="0.25">
      <c r="Y12321" s="63">
        <v>54854</v>
      </c>
      <c r="Z12321" s="61">
        <f>_xll.qlYieldTSDiscount($U$35,Y12321,,Trigger)</f>
        <v>0.53877526549752564</v>
      </c>
    </row>
    <row r="12322" spans="25:26" x14ac:dyDescent="0.25">
      <c r="Y12322" s="63">
        <v>54855</v>
      </c>
      <c r="Z12322" s="61">
        <f>_xll.qlYieldTSDiscount($U$35,Y12322,,Trigger)</f>
        <v>0.53873891321955802</v>
      </c>
    </row>
    <row r="12323" spans="25:26" x14ac:dyDescent="0.25">
      <c r="Y12323" s="63">
        <v>54856</v>
      </c>
      <c r="Z12323" s="61">
        <f>_xll.qlYieldTSDiscount($U$35,Y12323,,Trigger)</f>
        <v>0.53870256446376419</v>
      </c>
    </row>
    <row r="12324" spans="25:26" x14ac:dyDescent="0.25">
      <c r="Y12324" s="63">
        <v>54857</v>
      </c>
      <c r="Z12324" s="61">
        <f>_xll.qlYieldTSDiscount($U$35,Y12324,,Trigger)</f>
        <v>0.53866621922977775</v>
      </c>
    </row>
    <row r="12325" spans="25:26" x14ac:dyDescent="0.25">
      <c r="Y12325" s="63">
        <v>54858</v>
      </c>
      <c r="Z12325" s="61">
        <f>_xll.qlYieldTSDiscount($U$35,Y12325,,Trigger)</f>
        <v>0.53862987751723301</v>
      </c>
    </row>
    <row r="12326" spans="25:26" x14ac:dyDescent="0.25">
      <c r="Y12326" s="63">
        <v>54859</v>
      </c>
      <c r="Z12326" s="61">
        <f>_xll.qlYieldTSDiscount($U$35,Y12326,,Trigger)</f>
        <v>0.53859353932576393</v>
      </c>
    </row>
    <row r="12327" spans="25:26" x14ac:dyDescent="0.25">
      <c r="Y12327" s="63">
        <v>54860</v>
      </c>
      <c r="Z12327" s="61">
        <f>_xll.qlYieldTSDiscount($U$35,Y12327,,Trigger)</f>
        <v>0.53855720465500445</v>
      </c>
    </row>
    <row r="12328" spans="25:26" x14ac:dyDescent="0.25">
      <c r="Y12328" s="63">
        <v>54861</v>
      </c>
      <c r="Z12328" s="61">
        <f>_xll.qlYieldTSDiscount($U$35,Y12328,,Trigger)</f>
        <v>0.53852087350458866</v>
      </c>
    </row>
    <row r="12329" spans="25:26" x14ac:dyDescent="0.25">
      <c r="Y12329" s="63">
        <v>54862</v>
      </c>
      <c r="Z12329" s="61">
        <f>_xll.qlYieldTSDiscount($U$35,Y12329,,Trigger)</f>
        <v>0.53848454587415073</v>
      </c>
    </row>
    <row r="12330" spans="25:26" x14ac:dyDescent="0.25">
      <c r="Y12330" s="63">
        <v>54863</v>
      </c>
      <c r="Z12330" s="61">
        <f>_xll.qlYieldTSDiscount($U$35,Y12330,,Trigger)</f>
        <v>0.53844822176332441</v>
      </c>
    </row>
    <row r="12331" spans="25:26" x14ac:dyDescent="0.25">
      <c r="Y12331" s="63">
        <v>54864</v>
      </c>
      <c r="Z12331" s="61">
        <f>_xll.qlYieldTSDiscount($U$35,Y12331,,Trigger)</f>
        <v>0.53841190117174376</v>
      </c>
    </row>
    <row r="12332" spans="25:26" x14ac:dyDescent="0.25">
      <c r="Y12332" s="63">
        <v>54865</v>
      </c>
      <c r="Z12332" s="61">
        <f>_xll.qlYieldTSDiscount($U$35,Y12332,,Trigger)</f>
        <v>0.53837558409904296</v>
      </c>
    </row>
    <row r="12333" spans="25:26" x14ac:dyDescent="0.25">
      <c r="Y12333" s="63">
        <v>54866</v>
      </c>
      <c r="Z12333" s="61">
        <f>_xll.qlYieldTSDiscount($U$35,Y12333,,Trigger)</f>
        <v>0.53833927054485597</v>
      </c>
    </row>
    <row r="12334" spans="25:26" x14ac:dyDescent="0.25">
      <c r="Y12334" s="63">
        <v>54867</v>
      </c>
      <c r="Z12334" s="61">
        <f>_xll.qlYieldTSDiscount($U$35,Y12334,,Trigger)</f>
        <v>0.53830296050881676</v>
      </c>
    </row>
    <row r="12335" spans="25:26" x14ac:dyDescent="0.25">
      <c r="Y12335" s="63">
        <v>54868</v>
      </c>
      <c r="Z12335" s="61">
        <f>_xll.qlYieldTSDiscount($U$35,Y12335,,Trigger)</f>
        <v>0.53826665399055951</v>
      </c>
    </row>
    <row r="12336" spans="25:26" x14ac:dyDescent="0.25">
      <c r="Y12336" s="63">
        <v>54869</v>
      </c>
      <c r="Z12336" s="61">
        <f>_xll.qlYieldTSDiscount($U$35,Y12336,,Trigger)</f>
        <v>0.53823035098971794</v>
      </c>
    </row>
    <row r="12337" spans="25:26" x14ac:dyDescent="0.25">
      <c r="Y12337" s="63">
        <v>54870</v>
      </c>
      <c r="Z12337" s="61">
        <f>_xll.qlYieldTSDiscount($U$35,Y12337,,Trigger)</f>
        <v>0.53819405150592625</v>
      </c>
    </row>
    <row r="12338" spans="25:26" x14ac:dyDescent="0.25">
      <c r="Y12338" s="63">
        <v>54871</v>
      </c>
      <c r="Z12338" s="61">
        <f>_xll.qlYieldTSDiscount($U$35,Y12338,,Trigger)</f>
        <v>0.53815775553881862</v>
      </c>
    </row>
    <row r="12339" spans="25:26" x14ac:dyDescent="0.25">
      <c r="Y12339" s="63">
        <v>54872</v>
      </c>
      <c r="Z12339" s="61">
        <f>_xll.qlYieldTSDiscount($U$35,Y12339,,Trigger)</f>
        <v>0.53812146308802888</v>
      </c>
    </row>
    <row r="12340" spans="25:26" x14ac:dyDescent="0.25">
      <c r="Y12340" s="63">
        <v>54873</v>
      </c>
      <c r="Z12340" s="61">
        <f>_xll.qlYieldTSDiscount($U$35,Y12340,,Trigger)</f>
        <v>0.53808517415319101</v>
      </c>
    </row>
    <row r="12341" spans="25:26" x14ac:dyDescent="0.25">
      <c r="Y12341" s="63">
        <v>54874</v>
      </c>
      <c r="Z12341" s="61">
        <f>_xll.qlYieldTSDiscount($U$35,Y12341,,Trigger)</f>
        <v>0.53804888873393908</v>
      </c>
    </row>
    <row r="12342" spans="25:26" x14ac:dyDescent="0.25">
      <c r="Y12342" s="63">
        <v>54875</v>
      </c>
      <c r="Z12342" s="61">
        <f>_xll.qlYieldTSDiscount($U$35,Y12342,,Trigger)</f>
        <v>0.53801260682990726</v>
      </c>
    </row>
    <row r="12343" spans="25:26" x14ac:dyDescent="0.25">
      <c r="Y12343" s="63">
        <v>54876</v>
      </c>
      <c r="Z12343" s="61">
        <f>_xll.qlYieldTSDiscount($U$35,Y12343,,Trigger)</f>
        <v>0.5379763284407294</v>
      </c>
    </row>
    <row r="12344" spans="25:26" x14ac:dyDescent="0.25">
      <c r="Y12344" s="63">
        <v>54877</v>
      </c>
      <c r="Z12344" s="61">
        <f>_xll.qlYieldTSDiscount($U$35,Y12344,,Trigger)</f>
        <v>0.53794005356603958</v>
      </c>
    </row>
    <row r="12345" spans="25:26" x14ac:dyDescent="0.25">
      <c r="Y12345" s="63">
        <v>54878</v>
      </c>
      <c r="Z12345" s="61">
        <f>_xll.qlYieldTSDiscount($U$35,Y12345,,Trigger)</f>
        <v>0.53790378220547186</v>
      </c>
    </row>
    <row r="12346" spans="25:26" x14ac:dyDescent="0.25">
      <c r="Y12346" s="63">
        <v>54879</v>
      </c>
      <c r="Z12346" s="61">
        <f>_xll.qlYieldTSDiscount($U$35,Y12346,,Trigger)</f>
        <v>0.53786751435866009</v>
      </c>
    </row>
    <row r="12347" spans="25:26" x14ac:dyDescent="0.25">
      <c r="Y12347" s="63">
        <v>54880</v>
      </c>
      <c r="Z12347" s="61">
        <f>_xll.qlYieldTSDiscount($U$35,Y12347,,Trigger)</f>
        <v>0.53783125002523846</v>
      </c>
    </row>
    <row r="12348" spans="25:26" x14ac:dyDescent="0.25">
      <c r="Y12348" s="63">
        <v>54881</v>
      </c>
      <c r="Z12348" s="61">
        <f>_xll.qlYieldTSDiscount($U$35,Y12348,,Trigger)</f>
        <v>0.53779498920484103</v>
      </c>
    </row>
    <row r="12349" spans="25:26" x14ac:dyDescent="0.25">
      <c r="Y12349" s="63">
        <v>54882</v>
      </c>
      <c r="Z12349" s="61">
        <f>_xll.qlYieldTSDiscount($U$35,Y12349,,Trigger)</f>
        <v>0.53775873189710177</v>
      </c>
    </row>
    <row r="12350" spans="25:26" x14ac:dyDescent="0.25">
      <c r="Y12350" s="63">
        <v>54883</v>
      </c>
      <c r="Z12350" s="61">
        <f>_xll.qlYieldTSDiscount($U$35,Y12350,,Trigger)</f>
        <v>0.53772247810165452</v>
      </c>
    </row>
    <row r="12351" spans="25:26" x14ac:dyDescent="0.25">
      <c r="Y12351" s="63">
        <v>54884</v>
      </c>
      <c r="Z12351" s="61">
        <f>_xll.qlYieldTSDiscount($U$35,Y12351,,Trigger)</f>
        <v>0.53768622781813358</v>
      </c>
    </row>
    <row r="12352" spans="25:26" x14ac:dyDescent="0.25">
      <c r="Y12352" s="63">
        <v>54885</v>
      </c>
      <c r="Z12352" s="61">
        <f>_xll.qlYieldTSDiscount($U$35,Y12352,,Trigger)</f>
        <v>0.53764998104617279</v>
      </c>
    </row>
    <row r="12353" spans="25:26" x14ac:dyDescent="0.25">
      <c r="Y12353" s="63">
        <v>54886</v>
      </c>
      <c r="Z12353" s="61">
        <f>_xll.qlYieldTSDiscount($U$35,Y12353,,Trigger)</f>
        <v>0.53761373778540622</v>
      </c>
    </row>
    <row r="12354" spans="25:26" x14ac:dyDescent="0.25">
      <c r="Y12354" s="63">
        <v>54887</v>
      </c>
      <c r="Z12354" s="61">
        <f>_xll.qlYieldTSDiscount($U$35,Y12354,,Trigger)</f>
        <v>0.53757749803546795</v>
      </c>
    </row>
    <row r="12355" spans="25:26" x14ac:dyDescent="0.25">
      <c r="Y12355" s="63">
        <v>54888</v>
      </c>
      <c r="Z12355" s="61">
        <f>_xll.qlYieldTSDiscount($U$35,Y12355,,Trigger)</f>
        <v>0.53754126179599204</v>
      </c>
    </row>
    <row r="12356" spans="25:26" x14ac:dyDescent="0.25">
      <c r="Y12356" s="63">
        <v>54889</v>
      </c>
      <c r="Z12356" s="61">
        <f>_xll.qlYieldTSDiscount($U$35,Y12356,,Trigger)</f>
        <v>0.53750502906661224</v>
      </c>
    </row>
    <row r="12357" spans="25:26" x14ac:dyDescent="0.25">
      <c r="Y12357" s="63">
        <v>54890</v>
      </c>
      <c r="Z12357" s="61">
        <f>_xll.qlYieldTSDiscount($U$35,Y12357,,Trigger)</f>
        <v>0.53746879984696283</v>
      </c>
    </row>
    <row r="12358" spans="25:26" x14ac:dyDescent="0.25">
      <c r="Y12358" s="63">
        <v>54891</v>
      </c>
      <c r="Z12358" s="61">
        <f>_xll.qlYieldTSDiscount($U$35,Y12358,,Trigger)</f>
        <v>0.53743257413667789</v>
      </c>
    </row>
    <row r="12359" spans="25:26" x14ac:dyDescent="0.25">
      <c r="Y12359" s="63">
        <v>54892</v>
      </c>
      <c r="Z12359" s="61">
        <f>_xll.qlYieldTSDiscount($U$35,Y12359,,Trigger)</f>
        <v>0.53739635193539115</v>
      </c>
    </row>
    <row r="12360" spans="25:26" x14ac:dyDescent="0.25">
      <c r="Y12360" s="63">
        <v>54893</v>
      </c>
      <c r="Z12360" s="61">
        <f>_xll.qlYieldTSDiscount($U$35,Y12360,,Trigger)</f>
        <v>0.5373601332427369</v>
      </c>
    </row>
    <row r="12361" spans="25:26" x14ac:dyDescent="0.25">
      <c r="Y12361" s="63">
        <v>54894</v>
      </c>
      <c r="Z12361" s="61">
        <f>_xll.qlYieldTSDiscount($U$35,Y12361,,Trigger)</f>
        <v>0.537323918058349</v>
      </c>
    </row>
    <row r="12362" spans="25:26" x14ac:dyDescent="0.25">
      <c r="Y12362" s="63">
        <v>54895</v>
      </c>
      <c r="Z12362" s="61">
        <f>_xll.qlYieldTSDiscount($U$35,Y12362,,Trigger)</f>
        <v>0.53728770638186152</v>
      </c>
    </row>
    <row r="12363" spans="25:26" x14ac:dyDescent="0.25">
      <c r="Y12363" s="63">
        <v>54896</v>
      </c>
      <c r="Z12363" s="61">
        <f>_xll.qlYieldTSDiscount($U$35,Y12363,,Trigger)</f>
        <v>0.53725149821290852</v>
      </c>
    </row>
    <row r="12364" spans="25:26" x14ac:dyDescent="0.25">
      <c r="Y12364" s="63">
        <v>54897</v>
      </c>
      <c r="Z12364" s="61">
        <f>_xll.qlYieldTSDiscount($U$35,Y12364,,Trigger)</f>
        <v>0.53721529355112396</v>
      </c>
    </row>
    <row r="12365" spans="25:26" x14ac:dyDescent="0.25">
      <c r="Y12365" s="63">
        <v>54898</v>
      </c>
      <c r="Z12365" s="61">
        <f>_xll.qlYieldTSDiscount($U$35,Y12365,,Trigger)</f>
        <v>0.53717909239614192</v>
      </c>
    </row>
    <row r="12366" spans="25:26" x14ac:dyDescent="0.25">
      <c r="Y12366" s="63">
        <v>54899</v>
      </c>
      <c r="Z12366" s="61">
        <f>_xll.qlYieldTSDiscount($U$35,Y12366,,Trigger)</f>
        <v>0.53714289474759636</v>
      </c>
    </row>
    <row r="12367" spans="25:26" x14ac:dyDescent="0.25">
      <c r="Y12367" s="63">
        <v>54900</v>
      </c>
      <c r="Z12367" s="61">
        <f>_xll.qlYieldTSDiscount($U$35,Y12367,,Trigger)</f>
        <v>0.53710670060512133</v>
      </c>
    </row>
    <row r="12368" spans="25:26" x14ac:dyDescent="0.25">
      <c r="Y12368" s="63">
        <v>54901</v>
      </c>
      <c r="Z12368" s="61">
        <f>_xll.qlYieldTSDiscount($U$35,Y12368,,Trigger)</f>
        <v>0.53707050996835093</v>
      </c>
    </row>
    <row r="12369" spans="25:26" x14ac:dyDescent="0.25">
      <c r="Y12369" s="63">
        <v>54902</v>
      </c>
      <c r="Z12369" s="61">
        <f>_xll.qlYieldTSDiscount($U$35,Y12369,,Trigger)</f>
        <v>0.5370343228369191</v>
      </c>
    </row>
    <row r="12370" spans="25:26" x14ac:dyDescent="0.25">
      <c r="Y12370" s="63">
        <v>54903</v>
      </c>
      <c r="Z12370" s="61">
        <f>_xll.qlYieldTSDiscount($U$35,Y12370,,Trigger)</f>
        <v>0.5369981392104598</v>
      </c>
    </row>
    <row r="12371" spans="25:26" x14ac:dyDescent="0.25">
      <c r="Y12371" s="63">
        <v>54904</v>
      </c>
      <c r="Z12371" s="61">
        <f>_xll.qlYieldTSDiscount($U$35,Y12371,,Trigger)</f>
        <v>0.53696195908860722</v>
      </c>
    </row>
    <row r="12372" spans="25:26" x14ac:dyDescent="0.25">
      <c r="Y12372" s="63">
        <v>54905</v>
      </c>
      <c r="Z12372" s="61">
        <f>_xll.qlYieldTSDiscount($U$35,Y12372,,Trigger)</f>
        <v>0.53692578247099521</v>
      </c>
    </row>
    <row r="12373" spans="25:26" x14ac:dyDescent="0.25">
      <c r="Y12373" s="63">
        <v>54906</v>
      </c>
      <c r="Z12373" s="61">
        <f>_xll.qlYieldTSDiscount($U$35,Y12373,,Trigger)</f>
        <v>0.53688960935725794</v>
      </c>
    </row>
    <row r="12374" spans="25:26" x14ac:dyDescent="0.25">
      <c r="Y12374" s="63">
        <v>54907</v>
      </c>
      <c r="Z12374" s="61">
        <f>_xll.qlYieldTSDiscount($U$35,Y12374,,Trigger)</f>
        <v>0.53685343974702937</v>
      </c>
    </row>
    <row r="12375" spans="25:26" x14ac:dyDescent="0.25">
      <c r="Y12375" s="63">
        <v>54908</v>
      </c>
      <c r="Z12375" s="61">
        <f>_xll.qlYieldTSDiscount($U$35,Y12375,,Trigger)</f>
        <v>0.53681727363994336</v>
      </c>
    </row>
    <row r="12376" spans="25:26" x14ac:dyDescent="0.25">
      <c r="Y12376" s="63">
        <v>54909</v>
      </c>
      <c r="Z12376" s="61">
        <f>_xll.qlYieldTSDiscount($U$35,Y12376,,Trigger)</f>
        <v>0.5367811110356342</v>
      </c>
    </row>
    <row r="12377" spans="25:26" x14ac:dyDescent="0.25">
      <c r="Y12377" s="63">
        <v>54910</v>
      </c>
      <c r="Z12377" s="61">
        <f>_xll.qlYieldTSDiscount($U$35,Y12377,,Trigger)</f>
        <v>0.53674495193373584</v>
      </c>
    </row>
    <row r="12378" spans="25:26" x14ac:dyDescent="0.25">
      <c r="Y12378" s="63">
        <v>54911</v>
      </c>
      <c r="Z12378" s="61">
        <f>_xll.qlYieldTSDiscount($U$35,Y12378,,Trigger)</f>
        <v>0.53670879633388213</v>
      </c>
    </row>
    <row r="12379" spans="25:26" x14ac:dyDescent="0.25">
      <c r="Y12379" s="63">
        <v>54912</v>
      </c>
      <c r="Z12379" s="61">
        <f>_xll.qlYieldTSDiscount($U$35,Y12379,,Trigger)</f>
        <v>0.53667264423570726</v>
      </c>
    </row>
    <row r="12380" spans="25:26" x14ac:dyDescent="0.25">
      <c r="Y12380" s="63">
        <v>54913</v>
      </c>
      <c r="Z12380" s="61">
        <f>_xll.qlYieldTSDiscount($U$35,Y12380,,Trigger)</f>
        <v>0.5366364956388453</v>
      </c>
    </row>
    <row r="12381" spans="25:26" x14ac:dyDescent="0.25">
      <c r="Y12381" s="63">
        <v>54914</v>
      </c>
      <c r="Z12381" s="61">
        <f>_xll.qlYieldTSDiscount($U$35,Y12381,,Trigger)</f>
        <v>0.53660035054293009</v>
      </c>
    </row>
    <row r="12382" spans="25:26" x14ac:dyDescent="0.25">
      <c r="Y12382" s="63">
        <v>54915</v>
      </c>
      <c r="Z12382" s="61">
        <f>_xll.qlYieldTSDiscount($U$35,Y12382,,Trigger)</f>
        <v>0.53656420894759582</v>
      </c>
    </row>
    <row r="12383" spans="25:26" x14ac:dyDescent="0.25">
      <c r="Y12383" s="63">
        <v>54916</v>
      </c>
      <c r="Z12383" s="61">
        <f>_xll.qlYieldTSDiscount($U$35,Y12383,,Trigger)</f>
        <v>0.53652807085247634</v>
      </c>
    </row>
    <row r="12384" spans="25:26" x14ac:dyDescent="0.25">
      <c r="Y12384" s="63">
        <v>54917</v>
      </c>
      <c r="Z12384" s="61">
        <f>_xll.qlYieldTSDiscount($U$35,Y12384,,Trigger)</f>
        <v>0.53649193625720593</v>
      </c>
    </row>
    <row r="12385" spans="25:26" x14ac:dyDescent="0.25">
      <c r="Y12385" s="63">
        <v>54918</v>
      </c>
      <c r="Z12385" s="61">
        <f>_xll.qlYieldTSDiscount($U$35,Y12385,,Trigger)</f>
        <v>0.53645580516141833</v>
      </c>
    </row>
    <row r="12386" spans="25:26" x14ac:dyDescent="0.25">
      <c r="Y12386" s="63">
        <v>54919</v>
      </c>
      <c r="Z12386" s="61">
        <f>_xll.qlYieldTSDiscount($U$35,Y12386,,Trigger)</f>
        <v>0.53641967756474762</v>
      </c>
    </row>
    <row r="12387" spans="25:26" x14ac:dyDescent="0.25">
      <c r="Y12387" s="63">
        <v>54920</v>
      </c>
      <c r="Z12387" s="61">
        <f>_xll.qlYieldTSDiscount($U$35,Y12387,,Trigger)</f>
        <v>0.53638355346682798</v>
      </c>
    </row>
    <row r="12388" spans="25:26" x14ac:dyDescent="0.25">
      <c r="Y12388" s="63">
        <v>54921</v>
      </c>
      <c r="Z12388" s="61">
        <f>_xll.qlYieldTSDiscount($U$35,Y12388,,Trigger)</f>
        <v>0.53634743286729336</v>
      </c>
    </row>
    <row r="12389" spans="25:26" x14ac:dyDescent="0.25">
      <c r="Y12389" s="63">
        <v>54922</v>
      </c>
      <c r="Z12389" s="61">
        <f>_xll.qlYieldTSDiscount($U$35,Y12389,,Trigger)</f>
        <v>0.53631131576577773</v>
      </c>
    </row>
    <row r="12390" spans="25:26" x14ac:dyDescent="0.25">
      <c r="Y12390" s="63">
        <v>54923</v>
      </c>
      <c r="Z12390" s="61">
        <f>_xll.qlYieldTSDiscount($U$35,Y12390,,Trigger)</f>
        <v>0.53627520216191515</v>
      </c>
    </row>
    <row r="12391" spans="25:26" x14ac:dyDescent="0.25">
      <c r="Y12391" s="63">
        <v>54924</v>
      </c>
      <c r="Z12391" s="61">
        <f>_xll.qlYieldTSDiscount($U$35,Y12391,,Trigger)</f>
        <v>0.53623909205533959</v>
      </c>
    </row>
    <row r="12392" spans="25:26" x14ac:dyDescent="0.25">
      <c r="Y12392" s="63">
        <v>54925</v>
      </c>
      <c r="Z12392" s="61">
        <f>_xll.qlYieldTSDiscount($U$35,Y12392,,Trigger)</f>
        <v>0.53620298544568512</v>
      </c>
    </row>
    <row r="12393" spans="25:26" x14ac:dyDescent="0.25">
      <c r="Y12393" s="63">
        <v>54926</v>
      </c>
      <c r="Z12393" s="61">
        <f>_xll.qlYieldTSDiscount($U$35,Y12393,,Trigger)</f>
        <v>0.5361668823325858</v>
      </c>
    </row>
    <row r="12394" spans="25:26" x14ac:dyDescent="0.25">
      <c r="Y12394" s="63">
        <v>54927</v>
      </c>
      <c r="Z12394" s="61">
        <f>_xll.qlYieldTSDiscount($U$35,Y12394,,Trigger)</f>
        <v>0.5361307827156756</v>
      </c>
    </row>
    <row r="12395" spans="25:26" x14ac:dyDescent="0.25">
      <c r="Y12395" s="63">
        <v>54928</v>
      </c>
      <c r="Z12395" s="61">
        <f>_xll.qlYieldTSDiscount($U$35,Y12395,,Trigger)</f>
        <v>0.53609468659458848</v>
      </c>
    </row>
    <row r="12396" spans="25:26" x14ac:dyDescent="0.25">
      <c r="Y12396" s="63">
        <v>54929</v>
      </c>
      <c r="Z12396" s="61">
        <f>_xll.qlYieldTSDiscount($U$35,Y12396,,Trigger)</f>
        <v>0.53605859396895861</v>
      </c>
    </row>
    <row r="12397" spans="25:26" x14ac:dyDescent="0.25">
      <c r="Y12397" s="63">
        <v>54930</v>
      </c>
      <c r="Z12397" s="61">
        <f>_xll.qlYieldTSDiscount($U$35,Y12397,,Trigger)</f>
        <v>0.53602250483841984</v>
      </c>
    </row>
    <row r="12398" spans="25:26" x14ac:dyDescent="0.25">
      <c r="Y12398" s="63">
        <v>54931</v>
      </c>
      <c r="Z12398" s="61">
        <f>_xll.qlYieldTSDiscount($U$35,Y12398,,Trigger)</f>
        <v>0.53598641920260637</v>
      </c>
    </row>
    <row r="12399" spans="25:26" x14ac:dyDescent="0.25">
      <c r="Y12399" s="63">
        <v>54932</v>
      </c>
      <c r="Z12399" s="61">
        <f>_xll.qlYieldTSDiscount($U$35,Y12399,,Trigger)</f>
        <v>0.53595033706115214</v>
      </c>
    </row>
    <row r="12400" spans="25:26" x14ac:dyDescent="0.25">
      <c r="Y12400" s="63">
        <v>54933</v>
      </c>
      <c r="Z12400" s="61">
        <f>_xll.qlYieldTSDiscount($U$35,Y12400,,Trigger)</f>
        <v>0.53591425841369111</v>
      </c>
    </row>
    <row r="12401" spans="25:26" x14ac:dyDescent="0.25">
      <c r="Y12401" s="63">
        <v>54934</v>
      </c>
      <c r="Z12401" s="61">
        <f>_xll.qlYieldTSDiscount($U$35,Y12401,,Trigger)</f>
        <v>0.53587818325985748</v>
      </c>
    </row>
    <row r="12402" spans="25:26" x14ac:dyDescent="0.25">
      <c r="Y12402" s="63">
        <v>54935</v>
      </c>
      <c r="Z12402" s="61">
        <f>_xll.qlYieldTSDiscount($U$35,Y12402,,Trigger)</f>
        <v>0.53584211159928496</v>
      </c>
    </row>
    <row r="12403" spans="25:26" x14ac:dyDescent="0.25">
      <c r="Y12403" s="63">
        <v>54936</v>
      </c>
      <c r="Z12403" s="61">
        <f>_xll.qlYieldTSDiscount($U$35,Y12403,,Trigger)</f>
        <v>0.53580604343160798</v>
      </c>
    </row>
    <row r="12404" spans="25:26" x14ac:dyDescent="0.25">
      <c r="Y12404" s="63">
        <v>54937</v>
      </c>
      <c r="Z12404" s="61">
        <f>_xll.qlYieldTSDiscount($U$35,Y12404,,Trigger)</f>
        <v>0.53576997875646026</v>
      </c>
    </row>
    <row r="12405" spans="25:26" x14ac:dyDescent="0.25">
      <c r="Y12405" s="63">
        <v>54938</v>
      </c>
      <c r="Z12405" s="61">
        <f>_xll.qlYieldTSDiscount($U$35,Y12405,,Trigger)</f>
        <v>0.53573391757347577</v>
      </c>
    </row>
    <row r="12406" spans="25:26" x14ac:dyDescent="0.25">
      <c r="Y12406" s="63">
        <v>54939</v>
      </c>
      <c r="Z12406" s="61">
        <f>_xll.qlYieldTSDiscount($U$35,Y12406,,Trigger)</f>
        <v>0.53569785988228891</v>
      </c>
    </row>
    <row r="12407" spans="25:26" x14ac:dyDescent="0.25">
      <c r="Y12407" s="63">
        <v>54940</v>
      </c>
      <c r="Z12407" s="61">
        <f>_xll.qlYieldTSDiscount($U$35,Y12407,,Trigger)</f>
        <v>0.5356618056825333</v>
      </c>
    </row>
    <row r="12408" spans="25:26" x14ac:dyDescent="0.25">
      <c r="Y12408" s="63">
        <v>54941</v>
      </c>
      <c r="Z12408" s="61">
        <f>_xll.qlYieldTSDiscount($U$35,Y12408,,Trigger)</f>
        <v>0.53562575497384313</v>
      </c>
    </row>
    <row r="12409" spans="25:26" x14ac:dyDescent="0.25">
      <c r="Y12409" s="63">
        <v>54942</v>
      </c>
      <c r="Z12409" s="61">
        <f>_xll.qlYieldTSDiscount($U$35,Y12409,,Trigger)</f>
        <v>0.53558970775585246</v>
      </c>
    </row>
    <row r="12410" spans="25:26" x14ac:dyDescent="0.25">
      <c r="Y12410" s="63">
        <v>54943</v>
      </c>
      <c r="Z12410" s="61">
        <f>_xll.qlYieldTSDiscount($U$35,Y12410,,Trigger)</f>
        <v>0.53555366402819526</v>
      </c>
    </row>
    <row r="12411" spans="25:26" x14ac:dyDescent="0.25">
      <c r="Y12411" s="63">
        <v>54944</v>
      </c>
      <c r="Z12411" s="61">
        <f>_xll.qlYieldTSDiscount($U$35,Y12411,,Trigger)</f>
        <v>0.5355176237905056</v>
      </c>
    </row>
    <row r="12412" spans="25:26" x14ac:dyDescent="0.25">
      <c r="Y12412" s="63">
        <v>54945</v>
      </c>
      <c r="Z12412" s="61">
        <f>_xll.qlYieldTSDiscount($U$35,Y12412,,Trigger)</f>
        <v>0.53548158704241733</v>
      </c>
    </row>
    <row r="12413" spans="25:26" x14ac:dyDescent="0.25">
      <c r="Y12413" s="63">
        <v>54946</v>
      </c>
      <c r="Z12413" s="61">
        <f>_xll.qlYieldTSDiscount($U$35,Y12413,,Trigger)</f>
        <v>0.53544555378356473</v>
      </c>
    </row>
    <row r="12414" spans="25:26" x14ac:dyDescent="0.25">
      <c r="Y12414" s="63">
        <v>54947</v>
      </c>
      <c r="Z12414" s="61">
        <f>_xll.qlYieldTSDiscount($U$35,Y12414,,Trigger)</f>
        <v>0.53540952401358166</v>
      </c>
    </row>
    <row r="12415" spans="25:26" x14ac:dyDescent="0.25">
      <c r="Y12415" s="63">
        <v>54948</v>
      </c>
      <c r="Z12415" s="61">
        <f>_xll.qlYieldTSDiscount($U$35,Y12415,,Trigger)</f>
        <v>0.53537349773210219</v>
      </c>
    </row>
    <row r="12416" spans="25:26" x14ac:dyDescent="0.25">
      <c r="Y12416" s="63">
        <v>54949</v>
      </c>
      <c r="Z12416" s="61">
        <f>_xll.qlYieldTSDiscount($U$35,Y12416,,Trigger)</f>
        <v>0.53533747493876038</v>
      </c>
    </row>
    <row r="12417" spans="25:26" x14ac:dyDescent="0.25">
      <c r="Y12417" s="63">
        <v>54950</v>
      </c>
      <c r="Z12417" s="61">
        <f>_xll.qlYieldTSDiscount($U$35,Y12417,,Trigger)</f>
        <v>0.53530145563319009</v>
      </c>
    </row>
    <row r="12418" spans="25:26" x14ac:dyDescent="0.25">
      <c r="Y12418" s="63">
        <v>54951</v>
      </c>
      <c r="Z12418" s="61">
        <f>_xll.qlYieldTSDiscount($U$35,Y12418,,Trigger)</f>
        <v>0.5352654398150255</v>
      </c>
    </row>
    <row r="12419" spans="25:26" x14ac:dyDescent="0.25">
      <c r="Y12419" s="63">
        <v>54952</v>
      </c>
      <c r="Z12419" s="61">
        <f>_xll.qlYieldTSDiscount($U$35,Y12419,,Trigger)</f>
        <v>0.53522942748390068</v>
      </c>
    </row>
    <row r="12420" spans="25:26" x14ac:dyDescent="0.25">
      <c r="Y12420" s="63">
        <v>54953</v>
      </c>
      <c r="Z12420" s="61">
        <f>_xll.qlYieldTSDiscount($U$35,Y12420,,Trigger)</f>
        <v>0.53519341863944936</v>
      </c>
    </row>
    <row r="12421" spans="25:26" x14ac:dyDescent="0.25">
      <c r="Y12421" s="63">
        <v>54954</v>
      </c>
      <c r="Z12421" s="61">
        <f>_xll.qlYieldTSDiscount($U$35,Y12421,,Trigger)</f>
        <v>0.53515741328130584</v>
      </c>
    </row>
    <row r="12422" spans="25:26" x14ac:dyDescent="0.25">
      <c r="Y12422" s="63">
        <v>54955</v>
      </c>
      <c r="Z12422" s="61">
        <f>_xll.qlYieldTSDiscount($U$35,Y12422,,Trigger)</f>
        <v>0.53512141140910419</v>
      </c>
    </row>
    <row r="12423" spans="25:26" x14ac:dyDescent="0.25">
      <c r="Y12423" s="63">
        <v>54956</v>
      </c>
      <c r="Z12423" s="61">
        <f>_xll.qlYieldTSDiscount($U$35,Y12423,,Trigger)</f>
        <v>0.53508541302247814</v>
      </c>
    </row>
    <row r="12424" spans="25:26" x14ac:dyDescent="0.25">
      <c r="Y12424" s="63">
        <v>54957</v>
      </c>
      <c r="Z12424" s="61">
        <f>_xll.qlYieldTSDiscount($U$35,Y12424,,Trigger)</f>
        <v>0.53504941812106188</v>
      </c>
    </row>
    <row r="12425" spans="25:26" x14ac:dyDescent="0.25">
      <c r="Y12425" s="63">
        <v>54958</v>
      </c>
      <c r="Z12425" s="61">
        <f>_xll.qlYieldTSDiscount($U$35,Y12425,,Trigger)</f>
        <v>0.53501342670448948</v>
      </c>
    </row>
    <row r="12426" spans="25:26" x14ac:dyDescent="0.25">
      <c r="Y12426" s="63">
        <v>54959</v>
      </c>
      <c r="Z12426" s="61">
        <f>_xll.qlYieldTSDiscount($U$35,Y12426,,Trigger)</f>
        <v>0.5349774387723949</v>
      </c>
    </row>
    <row r="12427" spans="25:26" x14ac:dyDescent="0.25">
      <c r="Y12427" s="63">
        <v>54960</v>
      </c>
      <c r="Z12427" s="61">
        <f>_xll.qlYieldTSDiscount($U$35,Y12427,,Trigger)</f>
        <v>0.5349414543244122</v>
      </c>
    </row>
    <row r="12428" spans="25:26" x14ac:dyDescent="0.25">
      <c r="Y12428" s="63">
        <v>54961</v>
      </c>
      <c r="Z12428" s="61">
        <f>_xll.qlYieldTSDiscount($U$35,Y12428,,Trigger)</f>
        <v>0.53490547336017524</v>
      </c>
    </row>
    <row r="12429" spans="25:26" x14ac:dyDescent="0.25">
      <c r="Y12429" s="63">
        <v>54962</v>
      </c>
      <c r="Z12429" s="61">
        <f>_xll.qlYieldTSDiscount($U$35,Y12429,,Trigger)</f>
        <v>0.53486949587931831</v>
      </c>
    </row>
    <row r="12430" spans="25:26" x14ac:dyDescent="0.25">
      <c r="Y12430" s="63">
        <v>54963</v>
      </c>
      <c r="Z12430" s="61">
        <f>_xll.qlYieldTSDiscount($U$35,Y12430,,Trigger)</f>
        <v>0.53483352188147526</v>
      </c>
    </row>
    <row r="12431" spans="25:26" x14ac:dyDescent="0.25">
      <c r="Y12431" s="63">
        <v>54964</v>
      </c>
      <c r="Z12431" s="61">
        <f>_xll.qlYieldTSDiscount($U$35,Y12431,,Trigger)</f>
        <v>0.53479755136628015</v>
      </c>
    </row>
    <row r="12432" spans="25:26" x14ac:dyDescent="0.25">
      <c r="Y12432" s="63">
        <v>54965</v>
      </c>
      <c r="Z12432" s="61">
        <f>_xll.qlYieldTSDiscount($U$35,Y12432,,Trigger)</f>
        <v>0.53476158433336707</v>
      </c>
    </row>
    <row r="12433" spans="25:26" x14ac:dyDescent="0.25">
      <c r="Y12433" s="63">
        <v>54966</v>
      </c>
      <c r="Z12433" s="61">
        <f>_xll.qlYieldTSDiscount($U$35,Y12433,,Trigger)</f>
        <v>0.53472562078236985</v>
      </c>
    </row>
    <row r="12434" spans="25:26" x14ac:dyDescent="0.25">
      <c r="Y12434" s="63">
        <v>54967</v>
      </c>
      <c r="Z12434" s="61">
        <f>_xll.qlYieldTSDiscount($U$35,Y12434,,Trigger)</f>
        <v>0.53468966071292268</v>
      </c>
    </row>
    <row r="12435" spans="25:26" x14ac:dyDescent="0.25">
      <c r="Y12435" s="63">
        <v>54968</v>
      </c>
      <c r="Z12435" s="61">
        <f>_xll.qlYieldTSDiscount($U$35,Y12435,,Trigger)</f>
        <v>0.53465370412465951</v>
      </c>
    </row>
    <row r="12436" spans="25:26" x14ac:dyDescent="0.25">
      <c r="Y12436" s="63">
        <v>54969</v>
      </c>
      <c r="Z12436" s="61">
        <f>_xll.qlYieldTSDiscount($U$35,Y12436,,Trigger)</f>
        <v>0.53461775101721443</v>
      </c>
    </row>
    <row r="12437" spans="25:26" x14ac:dyDescent="0.25">
      <c r="Y12437" s="63">
        <v>54970</v>
      </c>
      <c r="Z12437" s="61">
        <f>_xll.qlYieldTSDiscount($U$35,Y12437,,Trigger)</f>
        <v>0.53458180139022138</v>
      </c>
    </row>
    <row r="12438" spans="25:26" x14ac:dyDescent="0.25">
      <c r="Y12438" s="63">
        <v>54971</v>
      </c>
      <c r="Z12438" s="61">
        <f>_xll.qlYieldTSDiscount($U$35,Y12438,,Trigger)</f>
        <v>0.53454585524331444</v>
      </c>
    </row>
    <row r="12439" spans="25:26" x14ac:dyDescent="0.25">
      <c r="Y12439" s="63">
        <v>54972</v>
      </c>
      <c r="Z12439" s="61">
        <f>_xll.qlYieldTSDiscount($U$35,Y12439,,Trigger)</f>
        <v>0.53450991257612757</v>
      </c>
    </row>
    <row r="12440" spans="25:26" x14ac:dyDescent="0.25">
      <c r="Y12440" s="63">
        <v>54973</v>
      </c>
      <c r="Z12440" s="61">
        <f>_xll.qlYieldTSDiscount($U$35,Y12440,,Trigger)</f>
        <v>0.53447397338829483</v>
      </c>
    </row>
    <row r="12441" spans="25:26" x14ac:dyDescent="0.25">
      <c r="Y12441" s="63">
        <v>54974</v>
      </c>
      <c r="Z12441" s="61">
        <f>_xll.qlYieldTSDiscount($U$35,Y12441,,Trigger)</f>
        <v>0.53443803767945042</v>
      </c>
    </row>
    <row r="12442" spans="25:26" x14ac:dyDescent="0.25">
      <c r="Y12442" s="63">
        <v>54975</v>
      </c>
      <c r="Z12442" s="61">
        <f>_xll.qlYieldTSDiscount($U$35,Y12442,,Trigger)</f>
        <v>0.53440210544922795</v>
      </c>
    </row>
    <row r="12443" spans="25:26" x14ac:dyDescent="0.25">
      <c r="Y12443" s="63">
        <v>54976</v>
      </c>
      <c r="Z12443" s="61">
        <f>_xll.qlYieldTSDiscount($U$35,Y12443,,Trigger)</f>
        <v>0.53436617669726183</v>
      </c>
    </row>
    <row r="12444" spans="25:26" x14ac:dyDescent="0.25">
      <c r="Y12444" s="63">
        <v>54977</v>
      </c>
      <c r="Z12444" s="61">
        <f>_xll.qlYieldTSDiscount($U$35,Y12444,,Trigger)</f>
        <v>0.5343302514231858</v>
      </c>
    </row>
    <row r="12445" spans="25:26" x14ac:dyDescent="0.25">
      <c r="Y12445" s="63">
        <v>54978</v>
      </c>
      <c r="Z12445" s="61">
        <f>_xll.qlYieldTSDiscount($U$35,Y12445,,Trigger)</f>
        <v>0.53429432962663415</v>
      </c>
    </row>
    <row r="12446" spans="25:26" x14ac:dyDescent="0.25">
      <c r="Y12446" s="63">
        <v>54979</v>
      </c>
      <c r="Z12446" s="61">
        <f>_xll.qlYieldTSDiscount($U$35,Y12446,,Trigger)</f>
        <v>0.53425841130724072</v>
      </c>
    </row>
    <row r="12447" spans="25:26" x14ac:dyDescent="0.25">
      <c r="Y12447" s="63">
        <v>54980</v>
      </c>
      <c r="Z12447" s="61">
        <f>_xll.qlYieldTSDiscount($U$35,Y12447,,Trigger)</f>
        <v>0.53422249646463948</v>
      </c>
    </row>
    <row r="12448" spans="25:26" x14ac:dyDescent="0.25">
      <c r="Y12448" s="63">
        <v>54981</v>
      </c>
      <c r="Z12448" s="61">
        <f>_xll.qlYieldTSDiscount($U$35,Y12448,,Trigger)</f>
        <v>0.53418658509846473</v>
      </c>
    </row>
    <row r="12449" spans="25:26" x14ac:dyDescent="0.25">
      <c r="Y12449" s="63">
        <v>54982</v>
      </c>
      <c r="Z12449" s="61">
        <f>_xll.qlYieldTSDiscount($U$35,Y12449,,Trigger)</f>
        <v>0.53415067720835019</v>
      </c>
    </row>
    <row r="12450" spans="25:26" x14ac:dyDescent="0.25">
      <c r="Y12450" s="63">
        <v>54983</v>
      </c>
      <c r="Z12450" s="61">
        <f>_xll.qlYieldTSDiscount($U$35,Y12450,,Trigger)</f>
        <v>0.53411477279393005</v>
      </c>
    </row>
    <row r="12451" spans="25:26" x14ac:dyDescent="0.25">
      <c r="Y12451" s="63">
        <v>54984</v>
      </c>
      <c r="Z12451" s="61">
        <f>_xll.qlYieldTSDiscount($U$35,Y12451,,Trigger)</f>
        <v>0.53407887185483827</v>
      </c>
    </row>
    <row r="12452" spans="25:26" x14ac:dyDescent="0.25">
      <c r="Y12452" s="63">
        <v>54985</v>
      </c>
      <c r="Z12452" s="61">
        <f>_xll.qlYieldTSDiscount($U$35,Y12452,,Trigger)</f>
        <v>0.53404297439070891</v>
      </c>
    </row>
    <row r="12453" spans="25:26" x14ac:dyDescent="0.25">
      <c r="Y12453" s="63">
        <v>54986</v>
      </c>
      <c r="Z12453" s="61">
        <f>_xll.qlYieldTSDiscount($U$35,Y12453,,Trigger)</f>
        <v>0.53400708040117584</v>
      </c>
    </row>
    <row r="12454" spans="25:26" x14ac:dyDescent="0.25">
      <c r="Y12454" s="63">
        <v>54987</v>
      </c>
      <c r="Z12454" s="61">
        <f>_xll.qlYieldTSDiscount($U$35,Y12454,,Trigger)</f>
        <v>0.53397118988587333</v>
      </c>
    </row>
    <row r="12455" spans="25:26" x14ac:dyDescent="0.25">
      <c r="Y12455" s="63">
        <v>54988</v>
      </c>
      <c r="Z12455" s="61">
        <f>_xll.qlYieldTSDiscount($U$35,Y12455,,Trigger)</f>
        <v>0.53393530284443524</v>
      </c>
    </row>
    <row r="12456" spans="25:26" x14ac:dyDescent="0.25">
      <c r="Y12456" s="63">
        <v>54989</v>
      </c>
      <c r="Z12456" s="61">
        <f>_xll.qlYieldTSDiscount($U$35,Y12456,,Trigger)</f>
        <v>0.53389941927649565</v>
      </c>
    </row>
    <row r="12457" spans="25:26" x14ac:dyDescent="0.25">
      <c r="Y12457" s="63">
        <v>54990</v>
      </c>
      <c r="Z12457" s="61">
        <f>_xll.qlYieldTSDiscount($U$35,Y12457,,Trigger)</f>
        <v>0.53386353918168861</v>
      </c>
    </row>
    <row r="12458" spans="25:26" x14ac:dyDescent="0.25">
      <c r="Y12458" s="63">
        <v>54991</v>
      </c>
      <c r="Z12458" s="61">
        <f>_xll.qlYieldTSDiscount($U$35,Y12458,,Trigger)</f>
        <v>0.53382766255964809</v>
      </c>
    </row>
    <row r="12459" spans="25:26" x14ac:dyDescent="0.25">
      <c r="Y12459" s="63">
        <v>54992</v>
      </c>
      <c r="Z12459" s="61">
        <f>_xll.qlYieldTSDiscount($U$35,Y12459,,Trigger)</f>
        <v>0.53379178941000804</v>
      </c>
    </row>
    <row r="12460" spans="25:26" x14ac:dyDescent="0.25">
      <c r="Y12460" s="63">
        <v>54993</v>
      </c>
      <c r="Z12460" s="61">
        <f>_xll.qlYieldTSDiscount($U$35,Y12460,,Trigger)</f>
        <v>0.53375591973240255</v>
      </c>
    </row>
    <row r="12461" spans="25:26" x14ac:dyDescent="0.25">
      <c r="Y12461" s="63">
        <v>54994</v>
      </c>
      <c r="Z12461" s="61">
        <f>_xll.qlYieldTSDiscount($U$35,Y12461,,Trigger)</f>
        <v>0.53372005352646579</v>
      </c>
    </row>
    <row r="12462" spans="25:26" x14ac:dyDescent="0.25">
      <c r="Y12462" s="63">
        <v>54995</v>
      </c>
      <c r="Z12462" s="61">
        <f>_xll.qlYieldTSDiscount($U$35,Y12462,,Trigger)</f>
        <v>0.53368419079183149</v>
      </c>
    </row>
    <row r="12463" spans="25:26" x14ac:dyDescent="0.25">
      <c r="Y12463" s="63">
        <v>54996</v>
      </c>
      <c r="Z12463" s="61">
        <f>_xll.qlYieldTSDiscount($U$35,Y12463,,Trigger)</f>
        <v>0.53364833152813385</v>
      </c>
    </row>
    <row r="12464" spans="25:26" x14ac:dyDescent="0.25">
      <c r="Y12464" s="63">
        <v>54997</v>
      </c>
      <c r="Z12464" s="61">
        <f>_xll.qlYieldTSDiscount($U$35,Y12464,,Trigger)</f>
        <v>0.53361247573500703</v>
      </c>
    </row>
    <row r="12465" spans="25:26" x14ac:dyDescent="0.25">
      <c r="Y12465" s="63">
        <v>54998</v>
      </c>
      <c r="Z12465" s="61">
        <f>_xll.qlYieldTSDiscount($U$35,Y12465,,Trigger)</f>
        <v>0.53357662341208478</v>
      </c>
    </row>
    <row r="12466" spans="25:26" x14ac:dyDescent="0.25">
      <c r="Y12466" s="63">
        <v>54999</v>
      </c>
      <c r="Z12466" s="61">
        <f>_xll.qlYieldTSDiscount($U$35,Y12466,,Trigger)</f>
        <v>0.53354077455900117</v>
      </c>
    </row>
    <row r="12467" spans="25:26" x14ac:dyDescent="0.25">
      <c r="Y12467" s="63">
        <v>55000</v>
      </c>
      <c r="Z12467" s="61">
        <f>_xll.qlYieldTSDiscount($U$35,Y12467,,Trigger)</f>
        <v>0.53350492917539039</v>
      </c>
    </row>
    <row r="12468" spans="25:26" x14ac:dyDescent="0.25">
      <c r="Y12468" s="63">
        <v>55001</v>
      </c>
      <c r="Z12468" s="61">
        <f>_xll.qlYieldTSDiscount($U$35,Y12468,,Trigger)</f>
        <v>0.53346908726088627</v>
      </c>
    </row>
    <row r="12469" spans="25:26" x14ac:dyDescent="0.25">
      <c r="Y12469" s="63">
        <v>55002</v>
      </c>
      <c r="Z12469" s="61">
        <f>_xll.qlYieldTSDiscount($U$35,Y12469,,Trigger)</f>
        <v>0.53343324881512288</v>
      </c>
    </row>
    <row r="12470" spans="25:26" x14ac:dyDescent="0.25">
      <c r="Y12470" s="63">
        <v>55003</v>
      </c>
      <c r="Z12470" s="61">
        <f>_xll.qlYieldTSDiscount($U$35,Y12470,,Trigger)</f>
        <v>0.53339741383773442</v>
      </c>
    </row>
    <row r="12471" spans="25:26" x14ac:dyDescent="0.25">
      <c r="Y12471" s="63">
        <v>55004</v>
      </c>
      <c r="Z12471" s="61">
        <f>_xll.qlYieldTSDiscount($U$35,Y12471,,Trigger)</f>
        <v>0.53336158232835473</v>
      </c>
    </row>
    <row r="12472" spans="25:26" x14ac:dyDescent="0.25">
      <c r="Y12472" s="63">
        <v>55005</v>
      </c>
      <c r="Z12472" s="61">
        <f>_xll.qlYieldTSDiscount($U$35,Y12472,,Trigger)</f>
        <v>0.53332575428661777</v>
      </c>
    </row>
    <row r="12473" spans="25:26" x14ac:dyDescent="0.25">
      <c r="Y12473" s="63">
        <v>55006</v>
      </c>
      <c r="Z12473" s="61">
        <f>_xll.qlYieldTSDiscount($U$35,Y12473,,Trigger)</f>
        <v>0.53328992971215772</v>
      </c>
    </row>
    <row r="12474" spans="25:26" x14ac:dyDescent="0.25">
      <c r="Y12474" s="63">
        <v>55007</v>
      </c>
      <c r="Z12474" s="61">
        <f>_xll.qlYieldTSDiscount($U$35,Y12474,,Trigger)</f>
        <v>0.53325410860460865</v>
      </c>
    </row>
    <row r="12475" spans="25:26" x14ac:dyDescent="0.25">
      <c r="Y12475" s="63">
        <v>55008</v>
      </c>
      <c r="Z12475" s="61">
        <f>_xll.qlYieldTSDiscount($U$35,Y12475,,Trigger)</f>
        <v>0.5332182909636044</v>
      </c>
    </row>
    <row r="12476" spans="25:26" x14ac:dyDescent="0.25">
      <c r="Y12476" s="63">
        <v>55009</v>
      </c>
      <c r="Z12476" s="61">
        <f>_xll.qlYieldTSDiscount($U$35,Y12476,,Trigger)</f>
        <v>0.53318247678877906</v>
      </c>
    </row>
    <row r="12477" spans="25:26" x14ac:dyDescent="0.25">
      <c r="Y12477" s="63">
        <v>55010</v>
      </c>
      <c r="Z12477" s="61">
        <f>_xll.qlYieldTSDiscount($U$35,Y12477,,Trigger)</f>
        <v>0.53314666607976668</v>
      </c>
    </row>
    <row r="12478" spans="25:26" x14ac:dyDescent="0.25">
      <c r="Y12478" s="63">
        <v>55011</v>
      </c>
      <c r="Z12478" s="61">
        <f>_xll.qlYieldTSDiscount($U$35,Y12478,,Trigger)</f>
        <v>0.53311085883620124</v>
      </c>
    </row>
    <row r="12479" spans="25:26" x14ac:dyDescent="0.25">
      <c r="Y12479" s="63">
        <v>55012</v>
      </c>
      <c r="Z12479" s="61">
        <f>_xll.qlYieldTSDiscount($U$35,Y12479,,Trigger)</f>
        <v>0.5330750550577168</v>
      </c>
    </row>
    <row r="12480" spans="25:26" x14ac:dyDescent="0.25">
      <c r="Y12480" s="63">
        <v>55013</v>
      </c>
      <c r="Z12480" s="61">
        <f>_xll.qlYieldTSDiscount($U$35,Y12480,,Trigger)</f>
        <v>0.53303925474394742</v>
      </c>
    </row>
    <row r="12481" spans="25:26" x14ac:dyDescent="0.25">
      <c r="Y12481" s="63">
        <v>55014</v>
      </c>
      <c r="Z12481" s="61">
        <f>_xll.qlYieldTSDiscount($U$35,Y12481,,Trigger)</f>
        <v>0.53300345789452708</v>
      </c>
    </row>
    <row r="12482" spans="25:26" x14ac:dyDescent="0.25">
      <c r="Y12482" s="63">
        <v>55015</v>
      </c>
      <c r="Z12482" s="61">
        <f>_xll.qlYieldTSDiscount($U$35,Y12482,,Trigger)</f>
        <v>0.53296766450908961</v>
      </c>
    </row>
    <row r="12483" spans="25:26" x14ac:dyDescent="0.25">
      <c r="Y12483" s="63">
        <v>55016</v>
      </c>
      <c r="Z12483" s="61">
        <f>_xll.qlYieldTSDiscount($U$35,Y12483,,Trigger)</f>
        <v>0.53293187458726943</v>
      </c>
    </row>
    <row r="12484" spans="25:26" x14ac:dyDescent="0.25">
      <c r="Y12484" s="63">
        <v>55017</v>
      </c>
      <c r="Z12484" s="61">
        <f>_xll.qlYieldTSDiscount($U$35,Y12484,,Trigger)</f>
        <v>0.53289608812870026</v>
      </c>
    </row>
    <row r="12485" spans="25:26" x14ac:dyDescent="0.25">
      <c r="Y12485" s="63">
        <v>55018</v>
      </c>
      <c r="Z12485" s="61">
        <f>_xll.qlYieldTSDiscount($U$35,Y12485,,Trigger)</f>
        <v>0.53286030513301619</v>
      </c>
    </row>
    <row r="12486" spans="25:26" x14ac:dyDescent="0.25">
      <c r="Y12486" s="63">
        <v>55019</v>
      </c>
      <c r="Z12486" s="61">
        <f>_xll.qlYieldTSDiscount($U$35,Y12486,,Trigger)</f>
        <v>0.53282452559985127</v>
      </c>
    </row>
    <row r="12487" spans="25:26" x14ac:dyDescent="0.25">
      <c r="Y12487" s="63">
        <v>55020</v>
      </c>
      <c r="Z12487" s="61">
        <f>_xll.qlYieldTSDiscount($U$35,Y12487,,Trigger)</f>
        <v>0.53278874952883948</v>
      </c>
    </row>
    <row r="12488" spans="25:26" x14ac:dyDescent="0.25">
      <c r="Y12488" s="63">
        <v>55021</v>
      </c>
      <c r="Z12488" s="61">
        <f>_xll.qlYieldTSDiscount($U$35,Y12488,,Trigger)</f>
        <v>0.53275297691961487</v>
      </c>
    </row>
    <row r="12489" spans="25:26" x14ac:dyDescent="0.25">
      <c r="Y12489" s="63">
        <v>55022</v>
      </c>
      <c r="Z12489" s="61">
        <f>_xll.qlYieldTSDiscount($U$35,Y12489,,Trigger)</f>
        <v>0.53271720777181153</v>
      </c>
    </row>
    <row r="12490" spans="25:26" x14ac:dyDescent="0.25">
      <c r="Y12490" s="63">
        <v>55023</v>
      </c>
      <c r="Z12490" s="61">
        <f>_xll.qlYieldTSDiscount($U$35,Y12490,,Trigger)</f>
        <v>0.53268144208506341</v>
      </c>
    </row>
    <row r="12491" spans="25:26" x14ac:dyDescent="0.25">
      <c r="Y12491" s="63">
        <v>55024</v>
      </c>
      <c r="Z12491" s="61">
        <f>_xll.qlYieldTSDiscount($U$35,Y12491,,Trigger)</f>
        <v>0.53264567985900446</v>
      </c>
    </row>
    <row r="12492" spans="25:26" x14ac:dyDescent="0.25">
      <c r="Y12492" s="63">
        <v>55025</v>
      </c>
      <c r="Z12492" s="61">
        <f>_xll.qlYieldTSDiscount($U$35,Y12492,,Trigger)</f>
        <v>0.53260992109326888</v>
      </c>
    </row>
    <row r="12493" spans="25:26" x14ac:dyDescent="0.25">
      <c r="Y12493" s="63">
        <v>55026</v>
      </c>
      <c r="Z12493" s="61">
        <f>_xll.qlYieldTSDiscount($U$35,Y12493,,Trigger)</f>
        <v>0.53257416578749062</v>
      </c>
    </row>
    <row r="12494" spans="25:26" x14ac:dyDescent="0.25">
      <c r="Y12494" s="63">
        <v>55027</v>
      </c>
      <c r="Z12494" s="61">
        <f>_xll.qlYieldTSDiscount($U$35,Y12494,,Trigger)</f>
        <v>0.53253841394130352</v>
      </c>
    </row>
    <row r="12495" spans="25:26" x14ac:dyDescent="0.25">
      <c r="Y12495" s="63">
        <v>55028</v>
      </c>
      <c r="Z12495" s="61">
        <f>_xll.qlYieldTSDiscount($U$35,Y12495,,Trigger)</f>
        <v>0.53250266555434189</v>
      </c>
    </row>
    <row r="12496" spans="25:26" x14ac:dyDescent="0.25">
      <c r="Y12496" s="63">
        <v>55029</v>
      </c>
      <c r="Z12496" s="61">
        <f>_xll.qlYieldTSDiscount($U$35,Y12496,,Trigger)</f>
        <v>0.53246692062623957</v>
      </c>
    </row>
    <row r="12497" spans="25:26" x14ac:dyDescent="0.25">
      <c r="Y12497" s="63">
        <v>55030</v>
      </c>
      <c r="Z12497" s="61">
        <f>_xll.qlYieldTSDiscount($U$35,Y12497,,Trigger)</f>
        <v>0.53243117915663063</v>
      </c>
    </row>
    <row r="12498" spans="25:26" x14ac:dyDescent="0.25">
      <c r="Y12498" s="63">
        <v>55031</v>
      </c>
      <c r="Z12498" s="61">
        <f>_xll.qlYieldTSDiscount($U$35,Y12498,,Trigger)</f>
        <v>0.53239544114514903</v>
      </c>
    </row>
    <row r="12499" spans="25:26" x14ac:dyDescent="0.25">
      <c r="Y12499" s="63">
        <v>55032</v>
      </c>
      <c r="Z12499" s="61">
        <f>_xll.qlYieldTSDiscount($U$35,Y12499,,Trigger)</f>
        <v>0.53235970659142895</v>
      </c>
    </row>
    <row r="12500" spans="25:26" x14ac:dyDescent="0.25">
      <c r="Y12500" s="63">
        <v>55033</v>
      </c>
      <c r="Z12500" s="61">
        <f>_xll.qlYieldTSDiscount($U$35,Y12500,,Trigger)</f>
        <v>0.53232397549510424</v>
      </c>
    </row>
    <row r="12501" spans="25:26" x14ac:dyDescent="0.25">
      <c r="Y12501" s="63">
        <v>55034</v>
      </c>
      <c r="Z12501" s="61">
        <f>_xll.qlYieldTSDiscount($U$35,Y12501,,Trigger)</f>
        <v>0.53228824785580908</v>
      </c>
    </row>
    <row r="12502" spans="25:26" x14ac:dyDescent="0.25">
      <c r="Y12502" s="63">
        <v>55035</v>
      </c>
      <c r="Z12502" s="61">
        <f>_xll.qlYieldTSDiscount($U$35,Y12502,,Trigger)</f>
        <v>0.53225252367317732</v>
      </c>
    </row>
    <row r="12503" spans="25:26" x14ac:dyDescent="0.25">
      <c r="Y12503" s="63">
        <v>55036</v>
      </c>
      <c r="Z12503" s="61">
        <f>_xll.qlYieldTSDiscount($U$35,Y12503,,Trigger)</f>
        <v>0.53221680294684315</v>
      </c>
    </row>
    <row r="12504" spans="25:26" x14ac:dyDescent="0.25">
      <c r="Y12504" s="63">
        <v>55037</v>
      </c>
      <c r="Z12504" s="61">
        <f>_xll.qlYieldTSDiscount($U$35,Y12504,,Trigger)</f>
        <v>0.53218108567644051</v>
      </c>
    </row>
    <row r="12505" spans="25:26" x14ac:dyDescent="0.25">
      <c r="Y12505" s="63">
        <v>55038</v>
      </c>
      <c r="Z12505" s="61">
        <f>_xll.qlYieldTSDiscount($U$35,Y12505,,Trigger)</f>
        <v>0.53214537186160338</v>
      </c>
    </row>
    <row r="12506" spans="25:26" x14ac:dyDescent="0.25">
      <c r="Y12506" s="63">
        <v>55039</v>
      </c>
      <c r="Z12506" s="61">
        <f>_xll.qlYieldTSDiscount($U$35,Y12506,,Trigger)</f>
        <v>0.53210966150196581</v>
      </c>
    </row>
    <row r="12507" spans="25:26" x14ac:dyDescent="0.25">
      <c r="Y12507" s="63">
        <v>55040</v>
      </c>
      <c r="Z12507" s="61">
        <f>_xll.qlYieldTSDiscount($U$35,Y12507,,Trigger)</f>
        <v>0.53207395459716189</v>
      </c>
    </row>
    <row r="12508" spans="25:26" x14ac:dyDescent="0.25">
      <c r="Y12508" s="63">
        <v>55041</v>
      </c>
      <c r="Z12508" s="61">
        <f>_xll.qlYieldTSDiscount($U$35,Y12508,,Trigger)</f>
        <v>0.53203825114682557</v>
      </c>
    </row>
    <row r="12509" spans="25:26" x14ac:dyDescent="0.25">
      <c r="Y12509" s="63">
        <v>55042</v>
      </c>
      <c r="Z12509" s="61">
        <f>_xll.qlYieldTSDiscount($U$35,Y12509,,Trigger)</f>
        <v>0.53200255115059092</v>
      </c>
    </row>
    <row r="12510" spans="25:26" x14ac:dyDescent="0.25">
      <c r="Y12510" s="63">
        <v>55043</v>
      </c>
      <c r="Z12510" s="61">
        <f>_xll.qlYieldTSDiscount($U$35,Y12510,,Trigger)</f>
        <v>0.5319668546080919</v>
      </c>
    </row>
    <row r="12511" spans="25:26" x14ac:dyDescent="0.25">
      <c r="Y12511" s="63">
        <v>55044</v>
      </c>
      <c r="Z12511" s="61">
        <f>_xll.qlYieldTSDiscount($U$35,Y12511,,Trigger)</f>
        <v>0.53193116151896247</v>
      </c>
    </row>
    <row r="12512" spans="25:26" x14ac:dyDescent="0.25">
      <c r="Y12512" s="63">
        <v>55045</v>
      </c>
      <c r="Z12512" s="61">
        <f>_xll.qlYieldTSDiscount($U$35,Y12512,,Trigger)</f>
        <v>0.53189547188283692</v>
      </c>
    </row>
    <row r="12513" spans="25:26" x14ac:dyDescent="0.25">
      <c r="Y12513" s="63">
        <v>55046</v>
      </c>
      <c r="Z12513" s="61">
        <f>_xll.qlYieldTSDiscount($U$35,Y12513,,Trigger)</f>
        <v>0.531859785699349</v>
      </c>
    </row>
    <row r="12514" spans="25:26" x14ac:dyDescent="0.25">
      <c r="Y12514" s="63">
        <v>55047</v>
      </c>
      <c r="Z12514" s="61">
        <f>_xll.qlYieldTSDiscount($U$35,Y12514,,Trigger)</f>
        <v>0.53182410296813287</v>
      </c>
    </row>
    <row r="12515" spans="25:26" x14ac:dyDescent="0.25">
      <c r="Y12515" s="63">
        <v>55048</v>
      </c>
      <c r="Z12515" s="61">
        <f>_xll.qlYieldTSDiscount($U$35,Y12515,,Trigger)</f>
        <v>0.53178842368882262</v>
      </c>
    </row>
    <row r="12516" spans="25:26" x14ac:dyDescent="0.25">
      <c r="Y12516" s="63">
        <v>55049</v>
      </c>
      <c r="Z12516" s="61">
        <f>_xll.qlYieldTSDiscount($U$35,Y12516,,Trigger)</f>
        <v>0.53175274786105198</v>
      </c>
    </row>
    <row r="12517" spans="25:26" x14ac:dyDescent="0.25">
      <c r="Y12517" s="63">
        <v>55050</v>
      </c>
      <c r="Z12517" s="61">
        <f>_xll.qlYieldTSDiscount($U$35,Y12517,,Trigger)</f>
        <v>0.53171707548445524</v>
      </c>
    </row>
    <row r="12518" spans="25:26" x14ac:dyDescent="0.25">
      <c r="Y12518" s="63">
        <v>55051</v>
      </c>
      <c r="Z12518" s="61">
        <f>_xll.qlYieldTSDiscount($U$35,Y12518,,Trigger)</f>
        <v>0.53168140655866625</v>
      </c>
    </row>
    <row r="12519" spans="25:26" x14ac:dyDescent="0.25">
      <c r="Y12519" s="63">
        <v>55052</v>
      </c>
      <c r="Z12519" s="61">
        <f>_xll.qlYieldTSDiscount($U$35,Y12519,,Trigger)</f>
        <v>0.5316457410833193</v>
      </c>
    </row>
    <row r="12520" spans="25:26" x14ac:dyDescent="0.25">
      <c r="Y12520" s="63">
        <v>55053</v>
      </c>
      <c r="Z12520" s="61">
        <f>_xll.qlYieldTSDiscount($U$35,Y12520,,Trigger)</f>
        <v>0.53161007905804802</v>
      </c>
    </row>
    <row r="12521" spans="25:26" x14ac:dyDescent="0.25">
      <c r="Y12521" s="63">
        <v>55054</v>
      </c>
      <c r="Z12521" s="61">
        <f>_xll.qlYieldTSDiscount($U$35,Y12521,,Trigger)</f>
        <v>0.53157442048248682</v>
      </c>
    </row>
    <row r="12522" spans="25:26" x14ac:dyDescent="0.25">
      <c r="Y12522" s="63">
        <v>55055</v>
      </c>
      <c r="Z12522" s="61">
        <f>_xll.qlYieldTSDiscount($U$35,Y12522,,Trigger)</f>
        <v>0.53153876535626954</v>
      </c>
    </row>
    <row r="12523" spans="25:26" x14ac:dyDescent="0.25">
      <c r="Y12523" s="63">
        <v>55056</v>
      </c>
      <c r="Z12523" s="61">
        <f>_xll.qlYieldTSDiscount($U$35,Y12523,,Trigger)</f>
        <v>0.53150311367903003</v>
      </c>
    </row>
    <row r="12524" spans="25:26" x14ac:dyDescent="0.25">
      <c r="Y12524" s="63">
        <v>55057</v>
      </c>
      <c r="Z12524" s="61">
        <f>_xll.qlYieldTSDiscount($U$35,Y12524,,Trigger)</f>
        <v>0.53146746545040269</v>
      </c>
    </row>
    <row r="12525" spans="25:26" x14ac:dyDescent="0.25">
      <c r="Y12525" s="63">
        <v>55058</v>
      </c>
      <c r="Z12525" s="61">
        <f>_xll.qlYieldTSDiscount($U$35,Y12525,,Trigger)</f>
        <v>0.53143182067002126</v>
      </c>
    </row>
    <row r="12526" spans="25:26" x14ac:dyDescent="0.25">
      <c r="Y12526" s="63">
        <v>55059</v>
      </c>
      <c r="Z12526" s="61">
        <f>_xll.qlYieldTSDiscount($U$35,Y12526,,Trigger)</f>
        <v>0.53139617933751981</v>
      </c>
    </row>
    <row r="12527" spans="25:26" x14ac:dyDescent="0.25">
      <c r="Y12527" s="63">
        <v>55060</v>
      </c>
      <c r="Z12527" s="61">
        <f>_xll.qlYieldTSDiscount($U$35,Y12527,,Trigger)</f>
        <v>0.53136054145253242</v>
      </c>
    </row>
    <row r="12528" spans="25:26" x14ac:dyDescent="0.25">
      <c r="Y12528" s="63">
        <v>55061</v>
      </c>
      <c r="Z12528" s="61">
        <f>_xll.qlYieldTSDiscount($U$35,Y12528,,Trigger)</f>
        <v>0.53132490701469315</v>
      </c>
    </row>
    <row r="12529" spans="25:26" x14ac:dyDescent="0.25">
      <c r="Y12529" s="63">
        <v>55062</v>
      </c>
      <c r="Z12529" s="61">
        <f>_xll.qlYieldTSDiscount($U$35,Y12529,,Trigger)</f>
        <v>0.53128927602363585</v>
      </c>
    </row>
    <row r="12530" spans="25:26" x14ac:dyDescent="0.25">
      <c r="Y12530" s="63">
        <v>55063</v>
      </c>
      <c r="Z12530" s="61">
        <f>_xll.qlYieldTSDiscount($U$35,Y12530,,Trigger)</f>
        <v>0.5312536484789947</v>
      </c>
    </row>
    <row r="12531" spans="25:26" x14ac:dyDescent="0.25">
      <c r="Y12531" s="63">
        <v>55064</v>
      </c>
      <c r="Z12531" s="61">
        <f>_xll.qlYieldTSDiscount($U$35,Y12531,,Trigger)</f>
        <v>0.53121802438040377</v>
      </c>
    </row>
    <row r="12532" spans="25:26" x14ac:dyDescent="0.25">
      <c r="Y12532" s="63">
        <v>55065</v>
      </c>
      <c r="Z12532" s="61">
        <f>_xll.qlYieldTSDiscount($U$35,Y12532,,Trigger)</f>
        <v>0.53118240372749692</v>
      </c>
    </row>
    <row r="12533" spans="25:26" x14ac:dyDescent="0.25">
      <c r="Y12533" s="63">
        <v>55066</v>
      </c>
      <c r="Z12533" s="61">
        <f>_xll.qlYieldTSDiscount($U$35,Y12533,,Trigger)</f>
        <v>0.5311467865199081</v>
      </c>
    </row>
    <row r="12534" spans="25:26" x14ac:dyDescent="0.25">
      <c r="Y12534" s="63">
        <v>55067</v>
      </c>
      <c r="Z12534" s="61">
        <f>_xll.qlYieldTSDiscount($U$35,Y12534,,Trigger)</f>
        <v>0.5311111727572716</v>
      </c>
    </row>
    <row r="12535" spans="25:26" x14ac:dyDescent="0.25">
      <c r="Y12535" s="63">
        <v>55068</v>
      </c>
      <c r="Z12535" s="61">
        <f>_xll.qlYieldTSDiscount($U$35,Y12535,,Trigger)</f>
        <v>0.53107556243922138</v>
      </c>
    </row>
    <row r="12536" spans="25:26" x14ac:dyDescent="0.25">
      <c r="Y12536" s="63">
        <v>55069</v>
      </c>
      <c r="Z12536" s="61">
        <f>_xll.qlYieldTSDiscount($U$35,Y12536,,Trigger)</f>
        <v>0.5310399555653913</v>
      </c>
    </row>
    <row r="12537" spans="25:26" x14ac:dyDescent="0.25">
      <c r="Y12537" s="63">
        <v>55070</v>
      </c>
      <c r="Z12537" s="61">
        <f>_xll.qlYieldTSDiscount($U$35,Y12537,,Trigger)</f>
        <v>0.53100435213541541</v>
      </c>
    </row>
    <row r="12538" spans="25:26" x14ac:dyDescent="0.25">
      <c r="Y12538" s="63">
        <v>55071</v>
      </c>
      <c r="Z12538" s="61">
        <f>_xll.qlYieldTSDiscount($U$35,Y12538,,Trigger)</f>
        <v>0.53096875214892791</v>
      </c>
    </row>
    <row r="12539" spans="25:26" x14ac:dyDescent="0.25">
      <c r="Y12539" s="63">
        <v>55072</v>
      </c>
      <c r="Z12539" s="61">
        <f>_xll.qlYieldTSDiscount($U$35,Y12539,,Trigger)</f>
        <v>0.53093315560556265</v>
      </c>
    </row>
    <row r="12540" spans="25:26" x14ac:dyDescent="0.25">
      <c r="Y12540" s="63">
        <v>55073</v>
      </c>
      <c r="Z12540" s="61">
        <f>_xll.qlYieldTSDiscount($U$35,Y12540,,Trigger)</f>
        <v>0.53089756250495368</v>
      </c>
    </row>
    <row r="12541" spans="25:26" x14ac:dyDescent="0.25">
      <c r="Y12541" s="63">
        <v>55074</v>
      </c>
      <c r="Z12541" s="61">
        <f>_xll.qlYieldTSDiscount($U$35,Y12541,,Trigger)</f>
        <v>0.5308619728467352</v>
      </c>
    </row>
    <row r="12542" spans="25:26" x14ac:dyDescent="0.25">
      <c r="Y12542" s="63">
        <v>55075</v>
      </c>
      <c r="Z12542" s="61">
        <f>_xll.qlYieldTSDiscount($U$35,Y12542,,Trigger)</f>
        <v>0.53082638663054094</v>
      </c>
    </row>
    <row r="12543" spans="25:26" x14ac:dyDescent="0.25">
      <c r="Y12543" s="63">
        <v>55076</v>
      </c>
      <c r="Z12543" s="61">
        <f>_xll.qlYieldTSDiscount($U$35,Y12543,,Trigger)</f>
        <v>0.53079080385600508</v>
      </c>
    </row>
    <row r="12544" spans="25:26" x14ac:dyDescent="0.25">
      <c r="Y12544" s="63">
        <v>55077</v>
      </c>
      <c r="Z12544" s="61">
        <f>_xll.qlYieldTSDiscount($U$35,Y12544,,Trigger)</f>
        <v>0.53075522452276169</v>
      </c>
    </row>
    <row r="12545" spans="25:26" x14ac:dyDescent="0.25">
      <c r="Y12545" s="63">
        <v>55078</v>
      </c>
      <c r="Z12545" s="61">
        <f>_xll.qlYieldTSDiscount($U$35,Y12545,,Trigger)</f>
        <v>0.53071964863044474</v>
      </c>
    </row>
    <row r="12546" spans="25:26" x14ac:dyDescent="0.25">
      <c r="Y12546" s="63">
        <v>55079</v>
      </c>
      <c r="Z12546" s="61">
        <f>_xll.qlYieldTSDiscount($U$35,Y12546,,Trigger)</f>
        <v>0.53068407617868818</v>
      </c>
    </row>
    <row r="12547" spans="25:26" x14ac:dyDescent="0.25">
      <c r="Y12547" s="63">
        <v>55080</v>
      </c>
      <c r="Z12547" s="61">
        <f>_xll.qlYieldTSDiscount($U$35,Y12547,,Trigger)</f>
        <v>0.53064850716712608</v>
      </c>
    </row>
    <row r="12548" spans="25:26" x14ac:dyDescent="0.25">
      <c r="Y12548" s="63">
        <v>55081</v>
      </c>
      <c r="Z12548" s="61">
        <f>_xll.qlYieldTSDiscount($U$35,Y12548,,Trigger)</f>
        <v>0.53061294159539252</v>
      </c>
    </row>
    <row r="12549" spans="25:26" x14ac:dyDescent="0.25">
      <c r="Y12549" s="63">
        <v>55082</v>
      </c>
      <c r="Z12549" s="61">
        <f>_xll.qlYieldTSDiscount($U$35,Y12549,,Trigger)</f>
        <v>0.53057737946312145</v>
      </c>
    </row>
    <row r="12550" spans="25:26" x14ac:dyDescent="0.25">
      <c r="Y12550" s="63">
        <v>55083</v>
      </c>
      <c r="Z12550" s="61">
        <f>_xll.qlYieldTSDiscount($U$35,Y12550,,Trigger)</f>
        <v>0.53054182076994694</v>
      </c>
    </row>
    <row r="12551" spans="25:26" x14ac:dyDescent="0.25">
      <c r="Y12551" s="63">
        <v>55084</v>
      </c>
      <c r="Z12551" s="61">
        <f>_xll.qlYieldTSDiscount($U$35,Y12551,,Trigger)</f>
        <v>0.53050626551550306</v>
      </c>
    </row>
    <row r="12552" spans="25:26" x14ac:dyDescent="0.25">
      <c r="Y12552" s="63">
        <v>55085</v>
      </c>
      <c r="Z12552" s="61">
        <f>_xll.qlYieldTSDiscount($U$35,Y12552,,Trigger)</f>
        <v>0.53047071369942356</v>
      </c>
    </row>
    <row r="12553" spans="25:26" x14ac:dyDescent="0.25">
      <c r="Y12553" s="63">
        <v>55086</v>
      </c>
      <c r="Z12553" s="61">
        <f>_xll.qlYieldTSDiscount($U$35,Y12553,,Trigger)</f>
        <v>0.53043516532134283</v>
      </c>
    </row>
    <row r="12554" spans="25:26" x14ac:dyDescent="0.25">
      <c r="Y12554" s="63">
        <v>55087</v>
      </c>
      <c r="Z12554" s="61">
        <f>_xll.qlYieldTSDiscount($U$35,Y12554,,Trigger)</f>
        <v>0.53039962038089472</v>
      </c>
    </row>
    <row r="12555" spans="25:26" x14ac:dyDescent="0.25">
      <c r="Y12555" s="63">
        <v>55088</v>
      </c>
      <c r="Z12555" s="61">
        <f>_xll.qlYieldTSDiscount($U$35,Y12555,,Trigger)</f>
        <v>0.5303640788777132</v>
      </c>
    </row>
    <row r="12556" spans="25:26" x14ac:dyDescent="0.25">
      <c r="Y12556" s="63">
        <v>55089</v>
      </c>
      <c r="Z12556" s="61">
        <f>_xll.qlYieldTSDiscount($U$35,Y12556,,Trigger)</f>
        <v>0.53032854081143233</v>
      </c>
    </row>
    <row r="12557" spans="25:26" x14ac:dyDescent="0.25">
      <c r="Y12557" s="63">
        <v>55090</v>
      </c>
      <c r="Z12557" s="61">
        <f>_xll.qlYieldTSDiscount($U$35,Y12557,,Trigger)</f>
        <v>0.53029300618168629</v>
      </c>
    </row>
    <row r="12558" spans="25:26" x14ac:dyDescent="0.25">
      <c r="Y12558" s="63">
        <v>55091</v>
      </c>
      <c r="Z12558" s="61">
        <f>_xll.qlYieldTSDiscount($U$35,Y12558,,Trigger)</f>
        <v>0.53025747498810882</v>
      </c>
    </row>
    <row r="12559" spans="25:26" x14ac:dyDescent="0.25">
      <c r="Y12559" s="63">
        <v>55092</v>
      </c>
      <c r="Z12559" s="61">
        <f>_xll.qlYieldTSDiscount($U$35,Y12559,,Trigger)</f>
        <v>0.53022194723033411</v>
      </c>
    </row>
    <row r="12560" spans="25:26" x14ac:dyDescent="0.25">
      <c r="Y12560" s="63">
        <v>55093</v>
      </c>
      <c r="Z12560" s="61">
        <f>_xll.qlYieldTSDiscount($U$35,Y12560,,Trigger)</f>
        <v>0.53018642290799622</v>
      </c>
    </row>
    <row r="12561" spans="25:26" x14ac:dyDescent="0.25">
      <c r="Y12561" s="63">
        <v>55094</v>
      </c>
      <c r="Z12561" s="61">
        <f>_xll.qlYieldTSDiscount($U$35,Y12561,,Trigger)</f>
        <v>0.53015090202072912</v>
      </c>
    </row>
    <row r="12562" spans="25:26" x14ac:dyDescent="0.25">
      <c r="Y12562" s="63">
        <v>55095</v>
      </c>
      <c r="Z12562" s="61">
        <f>_xll.qlYieldTSDiscount($U$35,Y12562,,Trigger)</f>
        <v>0.53011538456816665</v>
      </c>
    </row>
    <row r="12563" spans="25:26" x14ac:dyDescent="0.25">
      <c r="Y12563" s="63">
        <v>55096</v>
      </c>
      <c r="Z12563" s="61">
        <f>_xll.qlYieldTSDiscount($U$35,Y12563,,Trigger)</f>
        <v>0.5300798705499431</v>
      </c>
    </row>
    <row r="12564" spans="25:26" x14ac:dyDescent="0.25">
      <c r="Y12564" s="63">
        <v>55097</v>
      </c>
      <c r="Z12564" s="61">
        <f>_xll.qlYieldTSDiscount($U$35,Y12564,,Trigger)</f>
        <v>0.53004435996569255</v>
      </c>
    </row>
    <row r="12565" spans="25:26" x14ac:dyDescent="0.25">
      <c r="Y12565" s="63">
        <v>55098</v>
      </c>
      <c r="Z12565" s="61">
        <f>_xll.qlYieldTSDiscount($U$35,Y12565,,Trigger)</f>
        <v>0.53000885281504861</v>
      </c>
    </row>
    <row r="12566" spans="25:26" x14ac:dyDescent="0.25">
      <c r="Y12566" s="63">
        <v>55099</v>
      </c>
      <c r="Z12566" s="61">
        <f>_xll.qlYieldTSDiscount($U$35,Y12566,,Trigger)</f>
        <v>0.52997334909764571</v>
      </c>
    </row>
    <row r="12567" spans="25:26" x14ac:dyDescent="0.25">
      <c r="Y12567" s="63">
        <v>55100</v>
      </c>
      <c r="Z12567" s="61">
        <f>_xll.qlYieldTSDiscount($U$35,Y12567,,Trigger)</f>
        <v>0.52993784881311778</v>
      </c>
    </row>
    <row r="12568" spans="25:26" x14ac:dyDescent="0.25">
      <c r="Y12568" s="63">
        <v>55101</v>
      </c>
      <c r="Z12568" s="61">
        <f>_xll.qlYieldTSDiscount($U$35,Y12568,,Trigger)</f>
        <v>0.52990235196109869</v>
      </c>
    </row>
    <row r="12569" spans="25:26" x14ac:dyDescent="0.25">
      <c r="Y12569" s="63">
        <v>55102</v>
      </c>
      <c r="Z12569" s="61">
        <f>_xll.qlYieldTSDiscount($U$35,Y12569,,Trigger)</f>
        <v>0.52986685854122251</v>
      </c>
    </row>
    <row r="12570" spans="25:26" x14ac:dyDescent="0.25">
      <c r="Y12570" s="63">
        <v>55103</v>
      </c>
      <c r="Z12570" s="61">
        <f>_xll.qlYieldTSDiscount($U$35,Y12570,,Trigger)</f>
        <v>0.52983136855312341</v>
      </c>
    </row>
    <row r="12571" spans="25:26" x14ac:dyDescent="0.25">
      <c r="Y12571" s="63">
        <v>55104</v>
      </c>
      <c r="Z12571" s="61">
        <f>_xll.qlYieldTSDiscount($U$35,Y12571,,Trigger)</f>
        <v>0.52979588199643524</v>
      </c>
    </row>
    <row r="12572" spans="25:26" x14ac:dyDescent="0.25">
      <c r="Y12572" s="63">
        <v>55105</v>
      </c>
      <c r="Z12572" s="61">
        <f>_xll.qlYieldTSDiscount($U$35,Y12572,,Trigger)</f>
        <v>0.52976039887079207</v>
      </c>
    </row>
    <row r="12573" spans="25:26" x14ac:dyDescent="0.25">
      <c r="Y12573" s="63">
        <v>55106</v>
      </c>
      <c r="Z12573" s="61">
        <f>_xll.qlYieldTSDiscount($U$35,Y12573,,Trigger)</f>
        <v>0.52972491917582798</v>
      </c>
    </row>
    <row r="12574" spans="25:26" x14ac:dyDescent="0.25">
      <c r="Y12574" s="63">
        <v>55107</v>
      </c>
      <c r="Z12574" s="61">
        <f>_xll.qlYieldTSDiscount($U$35,Y12574,,Trigger)</f>
        <v>0.52968944291117692</v>
      </c>
    </row>
    <row r="12575" spans="25:26" x14ac:dyDescent="0.25">
      <c r="Y12575" s="63">
        <v>55108</v>
      </c>
      <c r="Z12575" s="61">
        <f>_xll.qlYieldTSDiscount($U$35,Y12575,,Trigger)</f>
        <v>0.52965397007647297</v>
      </c>
    </row>
    <row r="12576" spans="25:26" x14ac:dyDescent="0.25">
      <c r="Y12576" s="63">
        <v>55109</v>
      </c>
      <c r="Z12576" s="61">
        <f>_xll.qlYieldTSDiscount($U$35,Y12576,,Trigger)</f>
        <v>0.52961850067135019</v>
      </c>
    </row>
    <row r="12577" spans="25:26" x14ac:dyDescent="0.25">
      <c r="Y12577" s="63">
        <v>55110</v>
      </c>
      <c r="Z12577" s="61">
        <f>_xll.qlYieldTSDiscount($U$35,Y12577,,Trigger)</f>
        <v>0.52958303469544254</v>
      </c>
    </row>
    <row r="12578" spans="25:26" x14ac:dyDescent="0.25">
      <c r="Y12578" s="63">
        <v>55111</v>
      </c>
      <c r="Z12578" s="61">
        <f>_xll.qlYieldTSDiscount($U$35,Y12578,,Trigger)</f>
        <v>0.52954757214838388</v>
      </c>
    </row>
    <row r="12579" spans="25:26" x14ac:dyDescent="0.25">
      <c r="Y12579" s="63">
        <v>55112</v>
      </c>
      <c r="Z12579" s="61">
        <f>_xll.qlYieldTSDiscount($U$35,Y12579,,Trigger)</f>
        <v>0.5295121130298085</v>
      </c>
    </row>
    <row r="12580" spans="25:26" x14ac:dyDescent="0.25">
      <c r="Y12580" s="63">
        <v>55113</v>
      </c>
      <c r="Z12580" s="61">
        <f>_xll.qlYieldTSDiscount($U$35,Y12580,,Trigger)</f>
        <v>0.52947665733935034</v>
      </c>
    </row>
    <row r="12581" spans="25:26" x14ac:dyDescent="0.25">
      <c r="Y12581" s="63">
        <v>55114</v>
      </c>
      <c r="Z12581" s="61">
        <f>_xll.qlYieldTSDiscount($U$35,Y12581,,Trigger)</f>
        <v>0.52944120507664338</v>
      </c>
    </row>
    <row r="12582" spans="25:26" x14ac:dyDescent="0.25">
      <c r="Y12582" s="63">
        <v>55115</v>
      </c>
      <c r="Z12582" s="61">
        <f>_xll.qlYieldTSDiscount($U$35,Y12582,,Trigger)</f>
        <v>0.52940575624132158</v>
      </c>
    </row>
    <row r="12583" spans="25:26" x14ac:dyDescent="0.25">
      <c r="Y12583" s="63">
        <v>55116</v>
      </c>
      <c r="Z12583" s="61">
        <f>_xll.qlYieldTSDiscount($U$35,Y12583,,Trigger)</f>
        <v>0.52937031083301922</v>
      </c>
    </row>
    <row r="12584" spans="25:26" x14ac:dyDescent="0.25">
      <c r="Y12584" s="63">
        <v>55117</v>
      </c>
      <c r="Z12584" s="61">
        <f>_xll.qlYieldTSDiscount($U$35,Y12584,,Trigger)</f>
        <v>0.52933486885136993</v>
      </c>
    </row>
    <row r="12585" spans="25:26" x14ac:dyDescent="0.25">
      <c r="Y12585" s="63">
        <v>55118</v>
      </c>
      <c r="Z12585" s="61">
        <f>_xll.qlYieldTSDiscount($U$35,Y12585,,Trigger)</f>
        <v>0.52929943029600801</v>
      </c>
    </row>
    <row r="12586" spans="25:26" x14ac:dyDescent="0.25">
      <c r="Y12586" s="63">
        <v>55119</v>
      </c>
      <c r="Z12586" s="61">
        <f>_xll.qlYieldTSDiscount($U$35,Y12586,,Trigger)</f>
        <v>0.52926399516656752</v>
      </c>
    </row>
    <row r="12587" spans="25:26" x14ac:dyDescent="0.25">
      <c r="Y12587" s="63">
        <v>55120</v>
      </c>
      <c r="Z12587" s="61">
        <f>_xll.qlYieldTSDiscount($U$35,Y12587,,Trigger)</f>
        <v>0.52922856346268232</v>
      </c>
    </row>
    <row r="12588" spans="25:26" x14ac:dyDescent="0.25">
      <c r="Y12588" s="63">
        <v>55121</v>
      </c>
      <c r="Z12588" s="61">
        <f>_xll.qlYieldTSDiscount($U$35,Y12588,,Trigger)</f>
        <v>0.52919313518398647</v>
      </c>
    </row>
    <row r="12589" spans="25:26" x14ac:dyDescent="0.25">
      <c r="Y12589" s="63">
        <v>55122</v>
      </c>
      <c r="Z12589" s="61">
        <f>_xll.qlYieldTSDiscount($U$35,Y12589,,Trigger)</f>
        <v>0.52915771033011405</v>
      </c>
    </row>
    <row r="12590" spans="25:26" x14ac:dyDescent="0.25">
      <c r="Y12590" s="63">
        <v>55123</v>
      </c>
      <c r="Z12590" s="61">
        <f>_xll.qlYieldTSDiscount($U$35,Y12590,,Trigger)</f>
        <v>0.52912228890069901</v>
      </c>
    </row>
    <row r="12591" spans="25:26" x14ac:dyDescent="0.25">
      <c r="Y12591" s="63">
        <v>55124</v>
      </c>
      <c r="Z12591" s="61">
        <f>_xll.qlYieldTSDiscount($U$35,Y12591,,Trigger)</f>
        <v>0.52908687089537532</v>
      </c>
    </row>
    <row r="12592" spans="25:26" x14ac:dyDescent="0.25">
      <c r="Y12592" s="63">
        <v>55125</v>
      </c>
      <c r="Z12592" s="61">
        <f>_xll.qlYieldTSDiscount($U$35,Y12592,,Trigger)</f>
        <v>0.52905145631377715</v>
      </c>
    </row>
    <row r="12593" spans="25:26" x14ac:dyDescent="0.25">
      <c r="Y12593" s="63">
        <v>55126</v>
      </c>
      <c r="Z12593" s="61">
        <f>_xll.qlYieldTSDiscount($U$35,Y12593,,Trigger)</f>
        <v>0.52901604515553857</v>
      </c>
    </row>
    <row r="12594" spans="25:26" x14ac:dyDescent="0.25">
      <c r="Y12594" s="63">
        <v>55127</v>
      </c>
      <c r="Z12594" s="61">
        <f>_xll.qlYieldTSDiscount($U$35,Y12594,,Trigger)</f>
        <v>0.52898063742029333</v>
      </c>
    </row>
    <row r="12595" spans="25:26" x14ac:dyDescent="0.25">
      <c r="Y12595" s="63">
        <v>55128</v>
      </c>
      <c r="Z12595" s="61">
        <f>_xll.qlYieldTSDiscount($U$35,Y12595,,Trigger)</f>
        <v>0.52894523310767572</v>
      </c>
    </row>
    <row r="12596" spans="25:26" x14ac:dyDescent="0.25">
      <c r="Y12596" s="63">
        <v>55129</v>
      </c>
      <c r="Z12596" s="61">
        <f>_xll.qlYieldTSDiscount($U$35,Y12596,,Trigger)</f>
        <v>0.52890983221731969</v>
      </c>
    </row>
    <row r="12597" spans="25:26" x14ac:dyDescent="0.25">
      <c r="Y12597" s="63">
        <v>55130</v>
      </c>
      <c r="Z12597" s="61">
        <f>_xll.qlYieldTSDiscount($U$35,Y12597,,Trigger)</f>
        <v>0.52887443474885909</v>
      </c>
    </row>
    <row r="12598" spans="25:26" x14ac:dyDescent="0.25">
      <c r="Y12598" s="63">
        <v>55131</v>
      </c>
      <c r="Z12598" s="61">
        <f>_xll.qlYieldTSDiscount($U$35,Y12598,,Trigger)</f>
        <v>0.52883904070192811</v>
      </c>
    </row>
    <row r="12599" spans="25:26" x14ac:dyDescent="0.25">
      <c r="Y12599" s="63">
        <v>55132</v>
      </c>
      <c r="Z12599" s="61">
        <f>_xll.qlYieldTSDiscount($U$35,Y12599,,Trigger)</f>
        <v>0.52880365007616081</v>
      </c>
    </row>
    <row r="12600" spans="25:26" x14ac:dyDescent="0.25">
      <c r="Y12600" s="63">
        <v>55133</v>
      </c>
      <c r="Z12600" s="61">
        <f>_xll.qlYieldTSDiscount($U$35,Y12600,,Trigger)</f>
        <v>0.52876826287119116</v>
      </c>
    </row>
    <row r="12601" spans="25:26" x14ac:dyDescent="0.25">
      <c r="Y12601" s="63">
        <v>55134</v>
      </c>
      <c r="Z12601" s="61">
        <f>_xll.qlYieldTSDiscount($U$35,Y12601,,Trigger)</f>
        <v>0.52873287908665301</v>
      </c>
    </row>
    <row r="12602" spans="25:26" x14ac:dyDescent="0.25">
      <c r="Y12602" s="63">
        <v>55135</v>
      </c>
      <c r="Z12602" s="61">
        <f>_xll.qlYieldTSDiscount($U$35,Y12602,,Trigger)</f>
        <v>0.52869749872218075</v>
      </c>
    </row>
    <row r="12603" spans="25:26" x14ac:dyDescent="0.25">
      <c r="Y12603" s="63">
        <v>55136</v>
      </c>
      <c r="Z12603" s="61">
        <f>_xll.qlYieldTSDiscount($U$35,Y12603,,Trigger)</f>
        <v>0.52866212177740801</v>
      </c>
    </row>
    <row r="12604" spans="25:26" x14ac:dyDescent="0.25">
      <c r="Y12604" s="63">
        <v>55137</v>
      </c>
      <c r="Z12604" s="61">
        <f>_xll.qlYieldTSDiscount($U$35,Y12604,,Trigger)</f>
        <v>0.52862674825196909</v>
      </c>
    </row>
    <row r="12605" spans="25:26" x14ac:dyDescent="0.25">
      <c r="Y12605" s="63">
        <v>55138</v>
      </c>
      <c r="Z12605" s="61">
        <f>_xll.qlYieldTSDiscount($U$35,Y12605,,Trigger)</f>
        <v>0.52859137814549784</v>
      </c>
    </row>
    <row r="12606" spans="25:26" x14ac:dyDescent="0.25">
      <c r="Y12606" s="63">
        <v>55139</v>
      </c>
      <c r="Z12606" s="61">
        <f>_xll.qlYieldTSDiscount($U$35,Y12606,,Trigger)</f>
        <v>0.52855601145762843</v>
      </c>
    </row>
    <row r="12607" spans="25:26" x14ac:dyDescent="0.25">
      <c r="Y12607" s="63">
        <v>55140</v>
      </c>
      <c r="Z12607" s="61">
        <f>_xll.qlYieldTSDiscount($U$35,Y12607,,Trigger)</f>
        <v>0.52852064818799471</v>
      </c>
    </row>
    <row r="12608" spans="25:26" x14ac:dyDescent="0.25">
      <c r="Y12608" s="63">
        <v>55141</v>
      </c>
      <c r="Z12608" s="61">
        <f>_xll.qlYieldTSDiscount($U$35,Y12608,,Trigger)</f>
        <v>0.52848528833623076</v>
      </c>
    </row>
    <row r="12609" spans="25:26" x14ac:dyDescent="0.25">
      <c r="Y12609" s="63">
        <v>55142</v>
      </c>
      <c r="Z12609" s="61">
        <f>_xll.qlYieldTSDiscount($U$35,Y12609,,Trigger)</f>
        <v>0.52844993190197087</v>
      </c>
    </row>
    <row r="12610" spans="25:26" x14ac:dyDescent="0.25">
      <c r="Y12610" s="63">
        <v>55143</v>
      </c>
      <c r="Z12610" s="61">
        <f>_xll.qlYieldTSDiscount($U$35,Y12610,,Trigger)</f>
        <v>0.52841457888484866</v>
      </c>
    </row>
    <row r="12611" spans="25:26" x14ac:dyDescent="0.25">
      <c r="Y12611" s="63">
        <v>55144</v>
      </c>
      <c r="Z12611" s="61">
        <f>_xll.qlYieldTSDiscount($U$35,Y12611,,Trigger)</f>
        <v>0.52837922928449832</v>
      </c>
    </row>
    <row r="12612" spans="25:26" x14ac:dyDescent="0.25">
      <c r="Y12612" s="63">
        <v>55145</v>
      </c>
      <c r="Z12612" s="61">
        <f>_xll.qlYieldTSDiscount($U$35,Y12612,,Trigger)</f>
        <v>0.52834388310055391</v>
      </c>
    </row>
    <row r="12613" spans="25:26" x14ac:dyDescent="0.25">
      <c r="Y12613" s="63">
        <v>55146</v>
      </c>
      <c r="Z12613" s="61">
        <f>_xll.qlYieldTSDiscount($U$35,Y12613,,Trigger)</f>
        <v>0.5283085403326494</v>
      </c>
    </row>
    <row r="12614" spans="25:26" x14ac:dyDescent="0.25">
      <c r="Y12614" s="63">
        <v>55147</v>
      </c>
      <c r="Z12614" s="61">
        <f>_xll.qlYieldTSDiscount($U$35,Y12614,,Trigger)</f>
        <v>0.52827320098041886</v>
      </c>
    </row>
    <row r="12615" spans="25:26" x14ac:dyDescent="0.25">
      <c r="Y12615" s="63">
        <v>55148</v>
      </c>
      <c r="Z12615" s="61">
        <f>_xll.qlYieldTSDiscount($U$35,Y12615,,Trigger)</f>
        <v>0.52823786504349624</v>
      </c>
    </row>
    <row r="12616" spans="25:26" x14ac:dyDescent="0.25">
      <c r="Y12616" s="63">
        <v>55149</v>
      </c>
      <c r="Z12616" s="61">
        <f>_xll.qlYieldTSDiscount($U$35,Y12616,,Trigger)</f>
        <v>0.52820253252151561</v>
      </c>
    </row>
    <row r="12617" spans="25:26" x14ac:dyDescent="0.25">
      <c r="Y12617" s="63">
        <v>55150</v>
      </c>
      <c r="Z12617" s="61">
        <f>_xll.qlYieldTSDiscount($U$35,Y12617,,Trigger)</f>
        <v>0.52816720341411094</v>
      </c>
    </row>
    <row r="12618" spans="25:26" x14ac:dyDescent="0.25">
      <c r="Y12618" s="63">
        <v>55151</v>
      </c>
      <c r="Z12618" s="61">
        <f>_xll.qlYieldTSDiscount($U$35,Y12618,,Trigger)</f>
        <v>0.52813187772091641</v>
      </c>
    </row>
    <row r="12619" spans="25:26" x14ac:dyDescent="0.25">
      <c r="Y12619" s="63">
        <v>55152</v>
      </c>
      <c r="Z12619" s="61">
        <f>_xll.qlYieldTSDiscount($U$35,Y12619,,Trigger)</f>
        <v>0.52809655544156586</v>
      </c>
    </row>
    <row r="12620" spans="25:26" x14ac:dyDescent="0.25">
      <c r="Y12620" s="63">
        <v>55153</v>
      </c>
      <c r="Z12620" s="61">
        <f>_xll.qlYieldTSDiscount($U$35,Y12620,,Trigger)</f>
        <v>0.52806123657569337</v>
      </c>
    </row>
    <row r="12621" spans="25:26" x14ac:dyDescent="0.25">
      <c r="Y12621" s="63">
        <v>55154</v>
      </c>
      <c r="Z12621" s="61">
        <f>_xll.qlYieldTSDiscount($U$35,Y12621,,Trigger)</f>
        <v>0.52802592112293312</v>
      </c>
    </row>
    <row r="12622" spans="25:26" x14ac:dyDescent="0.25">
      <c r="Y12622" s="63">
        <v>55155</v>
      </c>
      <c r="Z12622" s="61">
        <f>_xll.qlYieldTSDiscount($U$35,Y12622,,Trigger)</f>
        <v>0.52799060908291873</v>
      </c>
    </row>
    <row r="12623" spans="25:26" x14ac:dyDescent="0.25">
      <c r="Y12623" s="63">
        <v>55156</v>
      </c>
      <c r="Z12623" s="61">
        <f>_xll.qlYieldTSDiscount($U$35,Y12623,,Trigger)</f>
        <v>0.5279553004552846</v>
      </c>
    </row>
    <row r="12624" spans="25:26" x14ac:dyDescent="0.25">
      <c r="Y12624" s="63">
        <v>55157</v>
      </c>
      <c r="Z12624" s="61">
        <f>_xll.qlYieldTSDiscount($U$35,Y12624,,Trigger)</f>
        <v>0.5279199952396646</v>
      </c>
    </row>
    <row r="12625" spans="25:26" x14ac:dyDescent="0.25">
      <c r="Y12625" s="63">
        <v>55158</v>
      </c>
      <c r="Z12625" s="61">
        <f>_xll.qlYieldTSDiscount($U$35,Y12625,,Trigger)</f>
        <v>0.52788469343569289</v>
      </c>
    </row>
    <row r="12626" spans="25:26" x14ac:dyDescent="0.25">
      <c r="Y12626" s="63">
        <v>55159</v>
      </c>
      <c r="Z12626" s="61">
        <f>_xll.qlYieldTSDiscount($U$35,Y12626,,Trigger)</f>
        <v>0.52784939504300321</v>
      </c>
    </row>
    <row r="12627" spans="25:26" x14ac:dyDescent="0.25">
      <c r="Y12627" s="63">
        <v>55160</v>
      </c>
      <c r="Z12627" s="61">
        <f>_xll.qlYieldTSDiscount($U$35,Y12627,,Trigger)</f>
        <v>0.52781410006122986</v>
      </c>
    </row>
    <row r="12628" spans="25:26" x14ac:dyDescent="0.25">
      <c r="Y12628" s="63">
        <v>55161</v>
      </c>
      <c r="Z12628" s="61">
        <f>_xll.qlYieldTSDiscount($U$35,Y12628,,Trigger)</f>
        <v>0.5277788084900068</v>
      </c>
    </row>
    <row r="12629" spans="25:26" x14ac:dyDescent="0.25">
      <c r="Y12629" s="63">
        <v>55162</v>
      </c>
      <c r="Z12629" s="61">
        <f>_xll.qlYieldTSDiscount($U$35,Y12629,,Trigger)</f>
        <v>0.52774352032896787</v>
      </c>
    </row>
    <row r="12630" spans="25:26" x14ac:dyDescent="0.25">
      <c r="Y12630" s="63">
        <v>55163</v>
      </c>
      <c r="Z12630" s="61">
        <f>_xll.qlYieldTSDiscount($U$35,Y12630,,Trigger)</f>
        <v>0.52770823557774726</v>
      </c>
    </row>
    <row r="12631" spans="25:26" x14ac:dyDescent="0.25">
      <c r="Y12631" s="63">
        <v>55164</v>
      </c>
      <c r="Z12631" s="61">
        <f>_xll.qlYieldTSDiscount($U$35,Y12631,,Trigger)</f>
        <v>0.52767295423597904</v>
      </c>
    </row>
    <row r="12632" spans="25:26" x14ac:dyDescent="0.25">
      <c r="Y12632" s="63">
        <v>55165</v>
      </c>
      <c r="Z12632" s="61">
        <f>_xll.qlYieldTSDiscount($U$35,Y12632,,Trigger)</f>
        <v>0.52763767630329705</v>
      </c>
    </row>
    <row r="12633" spans="25:26" x14ac:dyDescent="0.25">
      <c r="Y12633" s="63">
        <v>55166</v>
      </c>
      <c r="Z12633" s="61">
        <f>_xll.qlYieldTSDiscount($U$35,Y12633,,Trigger)</f>
        <v>0.52760240177933548</v>
      </c>
    </row>
    <row r="12634" spans="25:26" x14ac:dyDescent="0.25">
      <c r="Y12634" s="63">
        <v>55167</v>
      </c>
      <c r="Z12634" s="61">
        <f>_xll.qlYieldTSDiscount($U$35,Y12634,,Trigger)</f>
        <v>0.52756713066372829</v>
      </c>
    </row>
    <row r="12635" spans="25:26" x14ac:dyDescent="0.25">
      <c r="Y12635" s="63">
        <v>55168</v>
      </c>
      <c r="Z12635" s="61">
        <f>_xll.qlYieldTSDiscount($U$35,Y12635,,Trigger)</f>
        <v>0.52753186295610943</v>
      </c>
    </row>
    <row r="12636" spans="25:26" x14ac:dyDescent="0.25">
      <c r="Y12636" s="63">
        <v>55169</v>
      </c>
      <c r="Z12636" s="61">
        <f>_xll.qlYieldTSDiscount($U$35,Y12636,,Trigger)</f>
        <v>0.52749659865611309</v>
      </c>
    </row>
    <row r="12637" spans="25:26" x14ac:dyDescent="0.25">
      <c r="Y12637" s="63">
        <v>55170</v>
      </c>
      <c r="Z12637" s="61">
        <f>_xll.qlYieldTSDiscount($U$35,Y12637,,Trigger)</f>
        <v>0.52746133776337312</v>
      </c>
    </row>
    <row r="12638" spans="25:26" x14ac:dyDescent="0.25">
      <c r="Y12638" s="63">
        <v>55171</v>
      </c>
      <c r="Z12638" s="61">
        <f>_xll.qlYieldTSDiscount($U$35,Y12638,,Trigger)</f>
        <v>0.52742608027752369</v>
      </c>
    </row>
    <row r="12639" spans="25:26" x14ac:dyDescent="0.25">
      <c r="Y12639" s="63">
        <v>55172</v>
      </c>
      <c r="Z12639" s="61">
        <f>_xll.qlYieldTSDiscount($U$35,Y12639,,Trigger)</f>
        <v>0.52739082619819866</v>
      </c>
    </row>
    <row r="12640" spans="25:26" x14ac:dyDescent="0.25">
      <c r="Y12640" s="63">
        <v>55173</v>
      </c>
      <c r="Z12640" s="61">
        <f>_xll.qlYieldTSDiscount($U$35,Y12640,,Trigger)</f>
        <v>0.52735557552503209</v>
      </c>
    </row>
    <row r="12641" spans="25:26" x14ac:dyDescent="0.25">
      <c r="Y12641" s="63">
        <v>55174</v>
      </c>
      <c r="Z12641" s="61">
        <f>_xll.qlYieldTSDiscount($U$35,Y12641,,Trigger)</f>
        <v>0.52732032825765818</v>
      </c>
    </row>
    <row r="12642" spans="25:26" x14ac:dyDescent="0.25">
      <c r="Y12642" s="63">
        <v>55175</v>
      </c>
      <c r="Z12642" s="61">
        <f>_xll.qlYieldTSDiscount($U$35,Y12642,,Trigger)</f>
        <v>0.52728508439571076</v>
      </c>
    </row>
    <row r="12643" spans="25:26" x14ac:dyDescent="0.25">
      <c r="Y12643" s="63">
        <v>55176</v>
      </c>
      <c r="Z12643" s="61">
        <f>_xll.qlYieldTSDiscount($U$35,Y12643,,Trigger)</f>
        <v>0.5272498439388239</v>
      </c>
    </row>
    <row r="12644" spans="25:26" x14ac:dyDescent="0.25">
      <c r="Y12644" s="63">
        <v>55177</v>
      </c>
      <c r="Z12644" s="61">
        <f>_xll.qlYieldTSDiscount($U$35,Y12644,,Trigger)</f>
        <v>0.52721460688663169</v>
      </c>
    </row>
    <row r="12645" spans="25:26" x14ac:dyDescent="0.25">
      <c r="Y12645" s="63">
        <v>55178</v>
      </c>
      <c r="Z12645" s="61">
        <f>_xll.qlYieldTSDiscount($U$35,Y12645,,Trigger)</f>
        <v>0.52717937323876807</v>
      </c>
    </row>
    <row r="12646" spans="25:26" x14ac:dyDescent="0.25">
      <c r="Y12646" s="63">
        <v>55179</v>
      </c>
      <c r="Z12646" s="61">
        <f>_xll.qlYieldTSDiscount($U$35,Y12646,,Trigger)</f>
        <v>0.527144142994867</v>
      </c>
    </row>
    <row r="12647" spans="25:26" x14ac:dyDescent="0.25">
      <c r="Y12647" s="63">
        <v>55180</v>
      </c>
      <c r="Z12647" s="61">
        <f>_xll.qlYieldTSDiscount($U$35,Y12647,,Trigger)</f>
        <v>0.52710891615456268</v>
      </c>
    </row>
    <row r="12648" spans="25:26" x14ac:dyDescent="0.25">
      <c r="Y12648" s="63">
        <v>55181</v>
      </c>
      <c r="Z12648" s="61">
        <f>_xll.qlYieldTSDiscount($U$35,Y12648,,Trigger)</f>
        <v>0.52707369271748905</v>
      </c>
    </row>
    <row r="12649" spans="25:26" x14ac:dyDescent="0.25">
      <c r="Y12649" s="63">
        <v>55182</v>
      </c>
      <c r="Z12649" s="61">
        <f>_xll.qlYieldTSDiscount($U$35,Y12649,,Trigger)</f>
        <v>0.52703847268328008</v>
      </c>
    </row>
    <row r="12650" spans="25:26" x14ac:dyDescent="0.25">
      <c r="Y12650" s="63">
        <v>55183</v>
      </c>
      <c r="Z12650" s="61">
        <f>_xll.qlYieldTSDiscount($U$35,Y12650,,Trigger)</f>
        <v>0.52700325605156983</v>
      </c>
    </row>
    <row r="12651" spans="25:26" x14ac:dyDescent="0.25">
      <c r="Y12651" s="63">
        <v>55184</v>
      </c>
      <c r="Z12651" s="61">
        <f>_xll.qlYieldTSDiscount($U$35,Y12651,,Trigger)</f>
        <v>0.52696804282199239</v>
      </c>
    </row>
    <row r="12652" spans="25:26" x14ac:dyDescent="0.25">
      <c r="Y12652" s="63">
        <v>55185</v>
      </c>
      <c r="Z12652" s="61">
        <f>_xll.qlYieldTSDiscount($U$35,Y12652,,Trigger)</f>
        <v>0.52693283299418159</v>
      </c>
    </row>
    <row r="12653" spans="25:26" x14ac:dyDescent="0.25">
      <c r="Y12653" s="63">
        <v>55186</v>
      </c>
      <c r="Z12653" s="61">
        <f>_xll.qlYieldTSDiscount($U$35,Y12653,,Trigger)</f>
        <v>0.52689762656777173</v>
      </c>
    </row>
    <row r="12654" spans="25:26" x14ac:dyDescent="0.25">
      <c r="Y12654" s="63">
        <v>55187</v>
      </c>
      <c r="Z12654" s="61">
        <f>_xll.qlYieldTSDiscount($U$35,Y12654,,Trigger)</f>
        <v>0.52686242354239665</v>
      </c>
    </row>
    <row r="12655" spans="25:26" x14ac:dyDescent="0.25">
      <c r="Y12655" s="63">
        <v>55188</v>
      </c>
      <c r="Z12655" s="61">
        <f>_xll.qlYieldTSDiscount($U$35,Y12655,,Trigger)</f>
        <v>0.52682722391769032</v>
      </c>
    </row>
    <row r="12656" spans="25:26" x14ac:dyDescent="0.25">
      <c r="Y12656" s="63">
        <v>55189</v>
      </c>
      <c r="Z12656" s="61">
        <f>_xll.qlYieldTSDiscount($U$35,Y12656,,Trigger)</f>
        <v>0.52679202769328692</v>
      </c>
    </row>
    <row r="12657" spans="25:26" x14ac:dyDescent="0.25">
      <c r="Y12657" s="63">
        <v>55190</v>
      </c>
      <c r="Z12657" s="61">
        <f>_xll.qlYieldTSDiscount($U$35,Y12657,,Trigger)</f>
        <v>0.52675683486882041</v>
      </c>
    </row>
    <row r="12658" spans="25:26" x14ac:dyDescent="0.25">
      <c r="Y12658" s="63">
        <v>55191</v>
      </c>
      <c r="Z12658" s="61">
        <f>_xll.qlYieldTSDiscount($U$35,Y12658,,Trigger)</f>
        <v>0.52672164544392475</v>
      </c>
    </row>
    <row r="12659" spans="25:26" x14ac:dyDescent="0.25">
      <c r="Y12659" s="63">
        <v>55192</v>
      </c>
      <c r="Z12659" s="61">
        <f>_xll.qlYieldTSDiscount($U$35,Y12659,,Trigger)</f>
        <v>0.526686459418234</v>
      </c>
    </row>
    <row r="12660" spans="25:26" x14ac:dyDescent="0.25">
      <c r="Y12660" s="63">
        <v>55193</v>
      </c>
      <c r="Z12660" s="61">
        <f>_xll.qlYieldTSDiscount($U$35,Y12660,,Trigger)</f>
        <v>0.52665127679138224</v>
      </c>
    </row>
    <row r="12661" spans="25:26" x14ac:dyDescent="0.25">
      <c r="Y12661" s="63">
        <v>55194</v>
      </c>
      <c r="Z12661" s="61">
        <f>_xll.qlYieldTSDiscount($U$35,Y12661,,Trigger)</f>
        <v>0.52661609756300343</v>
      </c>
    </row>
    <row r="12662" spans="25:26" x14ac:dyDescent="0.25">
      <c r="Y12662" s="63">
        <v>55195</v>
      </c>
      <c r="Z12662" s="61">
        <f>_xll.qlYieldTSDiscount($U$35,Y12662,,Trigger)</f>
        <v>0.52658092173273163</v>
      </c>
    </row>
    <row r="12663" spans="25:26" x14ac:dyDescent="0.25">
      <c r="Y12663" s="63">
        <v>55196</v>
      </c>
      <c r="Z12663" s="61">
        <f>_xll.qlYieldTSDiscount($U$35,Y12663,,Trigger)</f>
        <v>0.52654574930020082</v>
      </c>
    </row>
    <row r="12664" spans="25:26" x14ac:dyDescent="0.25">
      <c r="Y12664" s="63">
        <v>55197</v>
      </c>
      <c r="Z12664" s="61">
        <f>_xll.qlYieldTSDiscount($U$35,Y12664,,Trigger)</f>
        <v>0.52651058026504505</v>
      </c>
    </row>
    <row r="12665" spans="25:26" x14ac:dyDescent="0.25">
      <c r="Y12665" s="63">
        <v>55198</v>
      </c>
      <c r="Z12665" s="61">
        <f>_xll.qlYieldTSDiscount($U$35,Y12665,,Trigger)</f>
        <v>0.52647541462689829</v>
      </c>
    </row>
    <row r="12666" spans="25:26" x14ac:dyDescent="0.25">
      <c r="Y12666" s="63">
        <v>55199</v>
      </c>
      <c r="Z12666" s="61">
        <f>_xll.qlYieldTSDiscount($U$35,Y12666,,Trigger)</f>
        <v>0.52644025238539471</v>
      </c>
    </row>
    <row r="12667" spans="25:26" x14ac:dyDescent="0.25">
      <c r="Y12667" s="63">
        <v>55200</v>
      </c>
      <c r="Z12667" s="61">
        <f>_xll.qlYieldTSDiscount($U$35,Y12667,,Trigger)</f>
        <v>0.52640509354016807</v>
      </c>
    </row>
    <row r="12668" spans="25:26" x14ac:dyDescent="0.25">
      <c r="Y12668" s="63">
        <v>55201</v>
      </c>
      <c r="Z12668" s="61">
        <f>_xll.qlYieldTSDiscount($U$35,Y12668,,Trigger)</f>
        <v>0.52636993809085264</v>
      </c>
    </row>
    <row r="12669" spans="25:26" x14ac:dyDescent="0.25">
      <c r="Y12669" s="63">
        <v>55202</v>
      </c>
      <c r="Z12669" s="61">
        <f>_xll.qlYieldTSDiscount($U$35,Y12669,,Trigger)</f>
        <v>0.52633478603708228</v>
      </c>
    </row>
    <row r="12670" spans="25:26" x14ac:dyDescent="0.25">
      <c r="Y12670" s="63">
        <v>55203</v>
      </c>
      <c r="Z12670" s="61">
        <f>_xll.qlYieldTSDiscount($U$35,Y12670,,Trigger)</f>
        <v>0.52629963737849128</v>
      </c>
    </row>
    <row r="12671" spans="25:26" x14ac:dyDescent="0.25">
      <c r="Y12671" s="63">
        <v>55204</v>
      </c>
      <c r="Z12671" s="61">
        <f>_xll.qlYieldTSDiscount($U$35,Y12671,,Trigger)</f>
        <v>0.52626449211471327</v>
      </c>
    </row>
    <row r="12672" spans="25:26" x14ac:dyDescent="0.25">
      <c r="Y12672" s="63">
        <v>55205</v>
      </c>
      <c r="Z12672" s="61">
        <f>_xll.qlYieldTSDiscount($U$35,Y12672,,Trigger)</f>
        <v>0.52622935024538253</v>
      </c>
    </row>
    <row r="12673" spans="25:26" x14ac:dyDescent="0.25">
      <c r="Y12673" s="63">
        <v>55206</v>
      </c>
      <c r="Z12673" s="61">
        <f>_xll.qlYieldTSDiscount($U$35,Y12673,,Trigger)</f>
        <v>0.52619421177013304</v>
      </c>
    </row>
    <row r="12674" spans="25:26" x14ac:dyDescent="0.25">
      <c r="Y12674" s="63">
        <v>55207</v>
      </c>
      <c r="Z12674" s="61">
        <f>_xll.qlYieldTSDiscount($U$35,Y12674,,Trigger)</f>
        <v>0.52615907668859874</v>
      </c>
    </row>
    <row r="12675" spans="25:26" x14ac:dyDescent="0.25">
      <c r="Y12675" s="63">
        <v>55208</v>
      </c>
      <c r="Z12675" s="61">
        <f>_xll.qlYieldTSDiscount($U$35,Y12675,,Trigger)</f>
        <v>0.52612394500041371</v>
      </c>
    </row>
    <row r="12676" spans="25:26" x14ac:dyDescent="0.25">
      <c r="Y12676" s="63">
        <v>55209</v>
      </c>
      <c r="Z12676" s="61">
        <f>_xll.qlYieldTSDiscount($U$35,Y12676,,Trigger)</f>
        <v>0.52608881670521213</v>
      </c>
    </row>
    <row r="12677" spans="25:26" x14ac:dyDescent="0.25">
      <c r="Y12677" s="63">
        <v>55210</v>
      </c>
      <c r="Z12677" s="61">
        <f>_xll.qlYieldTSDiscount($U$35,Y12677,,Trigger)</f>
        <v>0.52605369180262773</v>
      </c>
    </row>
    <row r="12678" spans="25:26" x14ac:dyDescent="0.25">
      <c r="Y12678" s="63">
        <v>55211</v>
      </c>
      <c r="Z12678" s="61">
        <f>_xll.qlYieldTSDiscount($U$35,Y12678,,Trigger)</f>
        <v>0.5260185702922946</v>
      </c>
    </row>
    <row r="12679" spans="25:26" x14ac:dyDescent="0.25">
      <c r="Y12679" s="63">
        <v>55212</v>
      </c>
      <c r="Z12679" s="61">
        <f>_xll.qlYieldTSDiscount($U$35,Y12679,,Trigger)</f>
        <v>0.52598345217384701</v>
      </c>
    </row>
    <row r="12680" spans="25:26" x14ac:dyDescent="0.25">
      <c r="Y12680" s="63">
        <v>55213</v>
      </c>
      <c r="Z12680" s="61">
        <f>_xll.qlYieldTSDiscount($U$35,Y12680,,Trigger)</f>
        <v>0.52594833744691871</v>
      </c>
    </row>
    <row r="12681" spans="25:26" x14ac:dyDescent="0.25">
      <c r="Y12681" s="63">
        <v>55214</v>
      </c>
      <c r="Z12681" s="61">
        <f>_xll.qlYieldTSDiscount($U$35,Y12681,,Trigger)</f>
        <v>0.52591322611114366</v>
      </c>
    </row>
    <row r="12682" spans="25:26" x14ac:dyDescent="0.25">
      <c r="Y12682" s="63">
        <v>55215</v>
      </c>
      <c r="Z12682" s="61">
        <f>_xll.qlYieldTSDiscount($U$35,Y12682,,Trigger)</f>
        <v>0.52587811816615626</v>
      </c>
    </row>
    <row r="12683" spans="25:26" x14ac:dyDescent="0.25">
      <c r="Y12683" s="63">
        <v>55216</v>
      </c>
      <c r="Z12683" s="61">
        <f>_xll.qlYieldTSDiscount($U$35,Y12683,,Trigger)</f>
        <v>0.52584301361159025</v>
      </c>
    </row>
    <row r="12684" spans="25:26" x14ac:dyDescent="0.25">
      <c r="Y12684" s="63">
        <v>55217</v>
      </c>
      <c r="Z12684" s="61">
        <f>_xll.qlYieldTSDiscount($U$35,Y12684,,Trigger)</f>
        <v>0.5258079124470797</v>
      </c>
    </row>
    <row r="12685" spans="25:26" x14ac:dyDescent="0.25">
      <c r="Y12685" s="63">
        <v>55218</v>
      </c>
      <c r="Z12685" s="61">
        <f>_xll.qlYieldTSDiscount($U$35,Y12685,,Trigger)</f>
        <v>0.52577281467225856</v>
      </c>
    </row>
    <row r="12686" spans="25:26" x14ac:dyDescent="0.25">
      <c r="Y12686" s="63">
        <v>55219</v>
      </c>
      <c r="Z12686" s="61">
        <f>_xll.qlYieldTSDiscount($U$35,Y12686,,Trigger)</f>
        <v>0.52573772028676102</v>
      </c>
    </row>
    <row r="12687" spans="25:26" x14ac:dyDescent="0.25">
      <c r="Y12687" s="63">
        <v>55220</v>
      </c>
      <c r="Z12687" s="61">
        <f>_xll.qlYieldTSDiscount($U$35,Y12687,,Trigger)</f>
        <v>0.52570262929022105</v>
      </c>
    </row>
    <row r="12688" spans="25:26" x14ac:dyDescent="0.25">
      <c r="Y12688" s="63">
        <v>55221</v>
      </c>
      <c r="Z12688" s="61">
        <f>_xll.qlYieldTSDiscount($U$35,Y12688,,Trigger)</f>
        <v>0.52566754168227248</v>
      </c>
    </row>
    <row r="12689" spans="25:26" x14ac:dyDescent="0.25">
      <c r="Y12689" s="63">
        <v>55222</v>
      </c>
      <c r="Z12689" s="61">
        <f>_xll.qlYieldTSDiscount($U$35,Y12689,,Trigger)</f>
        <v>0.52563245746254972</v>
      </c>
    </row>
    <row r="12690" spans="25:26" x14ac:dyDescent="0.25">
      <c r="Y12690" s="63">
        <v>55223</v>
      </c>
      <c r="Z12690" s="61">
        <f>_xll.qlYieldTSDiscount($U$35,Y12690,,Trigger)</f>
        <v>0.5255973766306864</v>
      </c>
    </row>
    <row r="12691" spans="25:26" x14ac:dyDescent="0.25">
      <c r="Y12691" s="63">
        <v>55224</v>
      </c>
      <c r="Z12691" s="61">
        <f>_xll.qlYieldTSDiscount($U$35,Y12691,,Trigger)</f>
        <v>0.52556229918631669</v>
      </c>
    </row>
    <row r="12692" spans="25:26" x14ac:dyDescent="0.25">
      <c r="Y12692" s="63">
        <v>55225</v>
      </c>
      <c r="Z12692" s="61">
        <f>_xll.qlYieldTSDiscount($U$35,Y12692,,Trigger)</f>
        <v>0.52552722512907468</v>
      </c>
    </row>
    <row r="12693" spans="25:26" x14ac:dyDescent="0.25">
      <c r="Y12693" s="63">
        <v>55226</v>
      </c>
      <c r="Z12693" s="61">
        <f>_xll.qlYieldTSDiscount($U$35,Y12693,,Trigger)</f>
        <v>0.52549215445859432</v>
      </c>
    </row>
    <row r="12694" spans="25:26" x14ac:dyDescent="0.25">
      <c r="Y12694" s="63">
        <v>55227</v>
      </c>
      <c r="Z12694" s="61">
        <f>_xll.qlYieldTSDiscount($U$35,Y12694,,Trigger)</f>
        <v>0.52545708717450956</v>
      </c>
    </row>
    <row r="12695" spans="25:26" x14ac:dyDescent="0.25">
      <c r="Y12695" s="63">
        <v>55228</v>
      </c>
      <c r="Z12695" s="61">
        <f>_xll.qlYieldTSDiscount($U$35,Y12695,,Trigger)</f>
        <v>0.52542202327645471</v>
      </c>
    </row>
    <row r="12696" spans="25:26" x14ac:dyDescent="0.25">
      <c r="Y12696" s="63">
        <v>55229</v>
      </c>
      <c r="Z12696" s="61">
        <f>_xll.qlYieldTSDiscount($U$35,Y12696,,Trigger)</f>
        <v>0.52538696276406349</v>
      </c>
    </row>
    <row r="12697" spans="25:26" x14ac:dyDescent="0.25">
      <c r="Y12697" s="63">
        <v>55230</v>
      </c>
      <c r="Z12697" s="61">
        <f>_xll.qlYieldTSDiscount($U$35,Y12697,,Trigger)</f>
        <v>0.52535190563696987</v>
      </c>
    </row>
    <row r="12698" spans="25:26" x14ac:dyDescent="0.25">
      <c r="Y12698" s="63">
        <v>55231</v>
      </c>
      <c r="Z12698" s="61">
        <f>_xll.qlYieldTSDiscount($U$35,Y12698,,Trigger)</f>
        <v>0.52531685189480815</v>
      </c>
    </row>
    <row r="12699" spans="25:26" x14ac:dyDescent="0.25">
      <c r="Y12699" s="63">
        <v>55232</v>
      </c>
      <c r="Z12699" s="61">
        <f>_xll.qlYieldTSDiscount($U$35,Y12699,,Trigger)</f>
        <v>0.52528180153721238</v>
      </c>
    </row>
    <row r="12700" spans="25:26" x14ac:dyDescent="0.25">
      <c r="Y12700" s="63">
        <v>55233</v>
      </c>
      <c r="Z12700" s="61">
        <f>_xll.qlYieldTSDiscount($U$35,Y12700,,Trigger)</f>
        <v>0.5252467545638162</v>
      </c>
    </row>
    <row r="12701" spans="25:26" x14ac:dyDescent="0.25">
      <c r="Y12701" s="63">
        <v>55234</v>
      </c>
      <c r="Z12701" s="61">
        <f>_xll.qlYieldTSDiscount($U$35,Y12701,,Trigger)</f>
        <v>0.5252117109742539</v>
      </c>
    </row>
    <row r="12702" spans="25:26" x14ac:dyDescent="0.25">
      <c r="Y12702" s="63">
        <v>55235</v>
      </c>
      <c r="Z12702" s="61">
        <f>_xll.qlYieldTSDiscount($U$35,Y12702,,Trigger)</f>
        <v>0.52517667076815966</v>
      </c>
    </row>
    <row r="12703" spans="25:26" x14ac:dyDescent="0.25">
      <c r="Y12703" s="63">
        <v>55236</v>
      </c>
      <c r="Z12703" s="61">
        <f>_xll.qlYieldTSDiscount($U$35,Y12703,,Trigger)</f>
        <v>0.52514163394516711</v>
      </c>
    </row>
    <row r="12704" spans="25:26" x14ac:dyDescent="0.25">
      <c r="Y12704" s="63">
        <v>55237</v>
      </c>
      <c r="Z12704" s="61">
        <f>_xll.qlYieldTSDiscount($U$35,Y12704,,Trigger)</f>
        <v>0.52510660050491043</v>
      </c>
    </row>
    <row r="12705" spans="25:26" x14ac:dyDescent="0.25">
      <c r="Y12705" s="63">
        <v>55238</v>
      </c>
      <c r="Z12705" s="61">
        <f>_xll.qlYieldTSDiscount($U$35,Y12705,,Trigger)</f>
        <v>0.52507157044702379</v>
      </c>
    </row>
    <row r="12706" spans="25:26" x14ac:dyDescent="0.25">
      <c r="Y12706" s="63">
        <v>55239</v>
      </c>
      <c r="Z12706" s="61">
        <f>_xll.qlYieldTSDiscount($U$35,Y12706,,Trigger)</f>
        <v>0.52503654377114106</v>
      </c>
    </row>
    <row r="12707" spans="25:26" x14ac:dyDescent="0.25">
      <c r="Y12707" s="63">
        <v>55240</v>
      </c>
      <c r="Z12707" s="61">
        <f>_xll.qlYieldTSDiscount($U$35,Y12707,,Trigger)</f>
        <v>0.5250015204768963</v>
      </c>
    </row>
    <row r="12708" spans="25:26" x14ac:dyDescent="0.25">
      <c r="Y12708" s="63">
        <v>55241</v>
      </c>
      <c r="Z12708" s="61">
        <f>_xll.qlYieldTSDiscount($U$35,Y12708,,Trigger)</f>
        <v>0.52496650056392358</v>
      </c>
    </row>
    <row r="12709" spans="25:26" x14ac:dyDescent="0.25">
      <c r="Y12709" s="63">
        <v>55242</v>
      </c>
      <c r="Z12709" s="61">
        <f>_xll.qlYieldTSDiscount($U$35,Y12709,,Trigger)</f>
        <v>0.52493148403185685</v>
      </c>
    </row>
    <row r="12710" spans="25:26" x14ac:dyDescent="0.25">
      <c r="Y12710" s="63">
        <v>55243</v>
      </c>
      <c r="Z12710" s="61">
        <f>_xll.qlYieldTSDiscount($U$35,Y12710,,Trigger)</f>
        <v>0.52489647088033009</v>
      </c>
    </row>
    <row r="12711" spans="25:26" x14ac:dyDescent="0.25">
      <c r="Y12711" s="63">
        <v>55244</v>
      </c>
      <c r="Z12711" s="61">
        <f>_xll.qlYieldTSDiscount($U$35,Y12711,,Trigger)</f>
        <v>0.52486146110897747</v>
      </c>
    </row>
    <row r="12712" spans="25:26" x14ac:dyDescent="0.25">
      <c r="Y12712" s="63">
        <v>55245</v>
      </c>
      <c r="Z12712" s="61">
        <f>_xll.qlYieldTSDiscount($U$35,Y12712,,Trigger)</f>
        <v>0.52482645471743294</v>
      </c>
    </row>
    <row r="12713" spans="25:26" x14ac:dyDescent="0.25">
      <c r="Y12713" s="63">
        <v>55246</v>
      </c>
      <c r="Z12713" s="61">
        <f>_xll.qlYieldTSDiscount($U$35,Y12713,,Trigger)</f>
        <v>0.52479145170533048</v>
      </c>
    </row>
    <row r="12714" spans="25:26" x14ac:dyDescent="0.25">
      <c r="Y12714" s="63">
        <v>55247</v>
      </c>
      <c r="Z12714" s="61">
        <f>_xll.qlYieldTSDiscount($U$35,Y12714,,Trigger)</f>
        <v>0.52475645207230404</v>
      </c>
    </row>
    <row r="12715" spans="25:26" x14ac:dyDescent="0.25">
      <c r="Y12715" s="63">
        <v>55248</v>
      </c>
      <c r="Z12715" s="61">
        <f>_xll.qlYieldTSDiscount($U$35,Y12715,,Trigger)</f>
        <v>0.5247214558179879</v>
      </c>
    </row>
    <row r="12716" spans="25:26" x14ac:dyDescent="0.25">
      <c r="Y12716" s="63">
        <v>55249</v>
      </c>
      <c r="Z12716" s="61">
        <f>_xll.qlYieldTSDiscount($U$35,Y12716,,Trigger)</f>
        <v>0.52468646294201593</v>
      </c>
    </row>
    <row r="12717" spans="25:26" x14ac:dyDescent="0.25">
      <c r="Y12717" s="63">
        <v>55250</v>
      </c>
      <c r="Z12717" s="61">
        <f>_xll.qlYieldTSDiscount($U$35,Y12717,,Trigger)</f>
        <v>0.52465147344402208</v>
      </c>
    </row>
    <row r="12718" spans="25:26" x14ac:dyDescent="0.25">
      <c r="Y12718" s="63">
        <v>55251</v>
      </c>
      <c r="Z12718" s="61">
        <f>_xll.qlYieldTSDiscount($U$35,Y12718,,Trigger)</f>
        <v>0.52461648732364052</v>
      </c>
    </row>
    <row r="12719" spans="25:26" x14ac:dyDescent="0.25">
      <c r="Y12719" s="63">
        <v>55252</v>
      </c>
      <c r="Z12719" s="61">
        <f>_xll.qlYieldTSDiscount($U$35,Y12719,,Trigger)</f>
        <v>0.52458150458050501</v>
      </c>
    </row>
    <row r="12720" spans="25:26" x14ac:dyDescent="0.25">
      <c r="Y12720" s="63">
        <v>55253</v>
      </c>
      <c r="Z12720" s="61">
        <f>_xll.qlYieldTSDiscount($U$35,Y12720,,Trigger)</f>
        <v>0.52454652521424994</v>
      </c>
    </row>
    <row r="12721" spans="25:26" x14ac:dyDescent="0.25">
      <c r="Y12721" s="63">
        <v>55254</v>
      </c>
      <c r="Z12721" s="61">
        <f>_xll.qlYieldTSDiscount($U$35,Y12721,,Trigger)</f>
        <v>0.52451154922450915</v>
      </c>
    </row>
    <row r="12722" spans="25:26" x14ac:dyDescent="0.25">
      <c r="Y12722" s="63">
        <v>55255</v>
      </c>
      <c r="Z12722" s="61">
        <f>_xll.qlYieldTSDiscount($U$35,Y12722,,Trigger)</f>
        <v>0.52447657661091651</v>
      </c>
    </row>
    <row r="12723" spans="25:26" x14ac:dyDescent="0.25">
      <c r="Y12723" s="63">
        <v>55256</v>
      </c>
      <c r="Z12723" s="61">
        <f>_xll.qlYieldTSDiscount($U$35,Y12723,,Trigger)</f>
        <v>0.5244416073731063</v>
      </c>
    </row>
    <row r="12724" spans="25:26" x14ac:dyDescent="0.25">
      <c r="Y12724" s="63">
        <v>55257</v>
      </c>
      <c r="Z12724" s="61">
        <f>_xll.qlYieldTSDiscount($U$35,Y12724,,Trigger)</f>
        <v>0.52440664151071248</v>
      </c>
    </row>
    <row r="12725" spans="25:26" x14ac:dyDescent="0.25">
      <c r="Y12725" s="63">
        <v>55258</v>
      </c>
      <c r="Z12725" s="61">
        <f>_xll.qlYieldTSDiscount($U$35,Y12725,,Trigger)</f>
        <v>0.5243716790233689</v>
      </c>
    </row>
    <row r="12726" spans="25:26" x14ac:dyDescent="0.25">
      <c r="Y12726" s="63">
        <v>55259</v>
      </c>
      <c r="Z12726" s="61">
        <f>_xll.qlYieldTSDiscount($U$35,Y12726,,Trigger)</f>
        <v>0.52433671991070974</v>
      </c>
    </row>
    <row r="12727" spans="25:26" x14ac:dyDescent="0.25">
      <c r="Y12727" s="63">
        <v>55260</v>
      </c>
      <c r="Z12727" s="61">
        <f>_xll.qlYieldTSDiscount($U$35,Y12727,,Trigger)</f>
        <v>0.52430176417236896</v>
      </c>
    </row>
    <row r="12728" spans="25:26" x14ac:dyDescent="0.25">
      <c r="Y12728" s="63">
        <v>55261</v>
      </c>
      <c r="Z12728" s="61">
        <f>_xll.qlYieldTSDiscount($U$35,Y12728,,Trigger)</f>
        <v>0.52426681180798074</v>
      </c>
    </row>
    <row r="12729" spans="25:26" x14ac:dyDescent="0.25">
      <c r="Y12729" s="63">
        <v>55262</v>
      </c>
      <c r="Z12729" s="61">
        <f>_xll.qlYieldTSDiscount($U$35,Y12729,,Trigger)</f>
        <v>0.52423186281717882</v>
      </c>
    </row>
    <row r="12730" spans="25:26" x14ac:dyDescent="0.25">
      <c r="Y12730" s="63">
        <v>55263</v>
      </c>
      <c r="Z12730" s="61">
        <f>_xll.qlYieldTSDiscount($U$35,Y12730,,Trigger)</f>
        <v>0.52419691719959749</v>
      </c>
    </row>
    <row r="12731" spans="25:26" x14ac:dyDescent="0.25">
      <c r="Y12731" s="63">
        <v>55264</v>
      </c>
      <c r="Z12731" s="61">
        <f>_xll.qlYieldTSDiscount($U$35,Y12731,,Trigger)</f>
        <v>0.5241619749548706</v>
      </c>
    </row>
    <row r="12732" spans="25:26" x14ac:dyDescent="0.25">
      <c r="Y12732" s="63">
        <v>55265</v>
      </c>
      <c r="Z12732" s="61">
        <f>_xll.qlYieldTSDiscount($U$35,Y12732,,Trigger)</f>
        <v>0.52412703608263222</v>
      </c>
    </row>
    <row r="12733" spans="25:26" x14ac:dyDescent="0.25">
      <c r="Y12733" s="63">
        <v>55266</v>
      </c>
      <c r="Z12733" s="61">
        <f>_xll.qlYieldTSDiscount($U$35,Y12733,,Trigger)</f>
        <v>0.52409210058251643</v>
      </c>
    </row>
    <row r="12734" spans="25:26" x14ac:dyDescent="0.25">
      <c r="Y12734" s="63">
        <v>55267</v>
      </c>
      <c r="Z12734" s="61">
        <f>_xll.qlYieldTSDiscount($U$35,Y12734,,Trigger)</f>
        <v>0.52405716845415717</v>
      </c>
    </row>
    <row r="12735" spans="25:26" x14ac:dyDescent="0.25">
      <c r="Y12735" s="63">
        <v>55268</v>
      </c>
      <c r="Z12735" s="61">
        <f>_xll.qlYieldTSDiscount($U$35,Y12735,,Trigger)</f>
        <v>0.52402223969718853</v>
      </c>
    </row>
    <row r="12736" spans="25:26" x14ac:dyDescent="0.25">
      <c r="Y12736" s="63">
        <v>55269</v>
      </c>
      <c r="Z12736" s="61">
        <f>_xll.qlYieldTSDiscount($U$35,Y12736,,Trigger)</f>
        <v>0.52398731431124435</v>
      </c>
    </row>
    <row r="12737" spans="25:26" x14ac:dyDescent="0.25">
      <c r="Y12737" s="63">
        <v>55270</v>
      </c>
      <c r="Z12737" s="61">
        <f>_xll.qlYieldTSDiscount($U$35,Y12737,,Trigger)</f>
        <v>0.52395239229595902</v>
      </c>
    </row>
    <row r="12738" spans="25:26" x14ac:dyDescent="0.25">
      <c r="Y12738" s="63">
        <v>55271</v>
      </c>
      <c r="Z12738" s="61">
        <f>_xll.qlYieldTSDiscount($U$35,Y12738,,Trigger)</f>
        <v>0.52391747365096619</v>
      </c>
    </row>
    <row r="12739" spans="25:26" x14ac:dyDescent="0.25">
      <c r="Y12739" s="63">
        <v>55272</v>
      </c>
      <c r="Z12739" s="61">
        <f>_xll.qlYieldTSDiscount($U$35,Y12739,,Trigger)</f>
        <v>0.52388255837590003</v>
      </c>
    </row>
    <row r="12740" spans="25:26" x14ac:dyDescent="0.25">
      <c r="Y12740" s="63">
        <v>55273</v>
      </c>
      <c r="Z12740" s="61">
        <f>_xll.qlYieldTSDiscount($U$35,Y12740,,Trigger)</f>
        <v>0.52384764647039472</v>
      </c>
    </row>
    <row r="12741" spans="25:26" x14ac:dyDescent="0.25">
      <c r="Y12741" s="63">
        <v>55274</v>
      </c>
      <c r="Z12741" s="61">
        <f>_xll.qlYieldTSDiscount($U$35,Y12741,,Trigger)</f>
        <v>0.52381273793408401</v>
      </c>
    </row>
    <row r="12742" spans="25:26" x14ac:dyDescent="0.25">
      <c r="Y12742" s="63">
        <v>55275</v>
      </c>
      <c r="Z12742" s="61">
        <f>_xll.qlYieldTSDiscount($U$35,Y12742,,Trigger)</f>
        <v>0.52377783276660195</v>
      </c>
    </row>
    <row r="12743" spans="25:26" x14ac:dyDescent="0.25">
      <c r="Y12743" s="63">
        <v>55276</v>
      </c>
      <c r="Z12743" s="61">
        <f>_xll.qlYieldTSDiscount($U$35,Y12743,,Trigger)</f>
        <v>0.52374293096758273</v>
      </c>
    </row>
    <row r="12744" spans="25:26" x14ac:dyDescent="0.25">
      <c r="Y12744" s="63">
        <v>55277</v>
      </c>
      <c r="Z12744" s="61">
        <f>_xll.qlYieldTSDiscount($U$35,Y12744,,Trigger)</f>
        <v>0.52370803253666032</v>
      </c>
    </row>
    <row r="12745" spans="25:26" x14ac:dyDescent="0.25">
      <c r="Y12745" s="63">
        <v>55278</v>
      </c>
      <c r="Z12745" s="61">
        <f>_xll.qlYieldTSDiscount($U$35,Y12745,,Trigger)</f>
        <v>0.52367313747346866</v>
      </c>
    </row>
    <row r="12746" spans="25:26" x14ac:dyDescent="0.25">
      <c r="Y12746" s="63">
        <v>55279</v>
      </c>
      <c r="Z12746" s="61">
        <f>_xll.qlYieldTSDiscount($U$35,Y12746,,Trigger)</f>
        <v>0.52363824577764184</v>
      </c>
    </row>
    <row r="12747" spans="25:26" x14ac:dyDescent="0.25">
      <c r="Y12747" s="63">
        <v>55280</v>
      </c>
      <c r="Z12747" s="61">
        <f>_xll.qlYieldTSDiscount($U$35,Y12747,,Trigger)</f>
        <v>0.52360335744881392</v>
      </c>
    </row>
    <row r="12748" spans="25:26" x14ac:dyDescent="0.25">
      <c r="Y12748" s="63">
        <v>55281</v>
      </c>
      <c r="Z12748" s="61">
        <f>_xll.qlYieldTSDiscount($U$35,Y12748,,Trigger)</f>
        <v>0.52356847248661875</v>
      </c>
    </row>
    <row r="12749" spans="25:26" x14ac:dyDescent="0.25">
      <c r="Y12749" s="63">
        <v>55282</v>
      </c>
      <c r="Z12749" s="61">
        <f>_xll.qlYieldTSDiscount($U$35,Y12749,,Trigger)</f>
        <v>0.52353359089069063</v>
      </c>
    </row>
    <row r="12750" spans="25:26" x14ac:dyDescent="0.25">
      <c r="Y12750" s="63">
        <v>55283</v>
      </c>
      <c r="Z12750" s="61">
        <f>_xll.qlYieldTSDiscount($U$35,Y12750,,Trigger)</f>
        <v>0.52349871266066339</v>
      </c>
    </row>
    <row r="12751" spans="25:26" x14ac:dyDescent="0.25">
      <c r="Y12751" s="63">
        <v>55284</v>
      </c>
      <c r="Z12751" s="61">
        <f>_xll.qlYieldTSDiscount($U$35,Y12751,,Trigger)</f>
        <v>0.52346383779617089</v>
      </c>
    </row>
    <row r="12752" spans="25:26" x14ac:dyDescent="0.25">
      <c r="Y12752" s="63">
        <v>55285</v>
      </c>
      <c r="Z12752" s="61">
        <f>_xll.qlYieldTSDiscount($U$35,Y12752,,Trigger)</f>
        <v>0.52342896629684754</v>
      </c>
    </row>
    <row r="12753" spans="25:26" x14ac:dyDescent="0.25">
      <c r="Y12753" s="63">
        <v>55286</v>
      </c>
      <c r="Z12753" s="61">
        <f>_xll.qlYieldTSDiscount($U$35,Y12753,,Trigger)</f>
        <v>0.52339409816232718</v>
      </c>
    </row>
    <row r="12754" spans="25:26" x14ac:dyDescent="0.25">
      <c r="Y12754" s="63">
        <v>55287</v>
      </c>
      <c r="Z12754" s="61">
        <f>_xll.qlYieldTSDiscount($U$35,Y12754,,Trigger)</f>
        <v>0.52335923339224366</v>
      </c>
    </row>
    <row r="12755" spans="25:26" x14ac:dyDescent="0.25">
      <c r="Y12755" s="63">
        <v>55288</v>
      </c>
      <c r="Z12755" s="61">
        <f>_xll.qlYieldTSDiscount($U$35,Y12755,,Trigger)</f>
        <v>0.52332437198623127</v>
      </c>
    </row>
    <row r="12756" spans="25:26" x14ac:dyDescent="0.25">
      <c r="Y12756" s="63">
        <v>55289</v>
      </c>
      <c r="Z12756" s="61">
        <f>_xll.qlYieldTSDiscount($U$35,Y12756,,Trigger)</f>
        <v>0.52328951394392398</v>
      </c>
    </row>
    <row r="12757" spans="25:26" x14ac:dyDescent="0.25">
      <c r="Y12757" s="63">
        <v>55290</v>
      </c>
      <c r="Z12757" s="61">
        <f>_xll.qlYieldTSDiscount($U$35,Y12757,,Trigger)</f>
        <v>0.52325465926495562</v>
      </c>
    </row>
    <row r="12758" spans="25:26" x14ac:dyDescent="0.25">
      <c r="Y12758" s="63">
        <v>55291</v>
      </c>
      <c r="Z12758" s="61">
        <f>_xll.qlYieldTSDiscount($U$35,Y12758,,Trigger)</f>
        <v>0.52321980794896039</v>
      </c>
    </row>
    <row r="12759" spans="25:26" x14ac:dyDescent="0.25">
      <c r="Y12759" s="63">
        <v>55292</v>
      </c>
      <c r="Z12759" s="61">
        <f>_xll.qlYieldTSDiscount($U$35,Y12759,,Trigger)</f>
        <v>0.52318495999557224</v>
      </c>
    </row>
    <row r="12760" spans="25:26" x14ac:dyDescent="0.25">
      <c r="Y12760" s="63">
        <v>55293</v>
      </c>
      <c r="Z12760" s="61">
        <f>_xll.qlYieldTSDiscount($U$35,Y12760,,Trigger)</f>
        <v>0.52315011540442535</v>
      </c>
    </row>
    <row r="12761" spans="25:26" x14ac:dyDescent="0.25">
      <c r="Y12761" s="63">
        <v>55294</v>
      </c>
      <c r="Z12761" s="61">
        <f>_xll.qlYieldTSDiscount($U$35,Y12761,,Trigger)</f>
        <v>0.52311527417515347</v>
      </c>
    </row>
    <row r="12762" spans="25:26" x14ac:dyDescent="0.25">
      <c r="Y12762" s="63">
        <v>55295</v>
      </c>
      <c r="Z12762" s="61">
        <f>_xll.qlYieldTSDiscount($U$35,Y12762,,Trigger)</f>
        <v>0.52308043630739087</v>
      </c>
    </row>
    <row r="12763" spans="25:26" x14ac:dyDescent="0.25">
      <c r="Y12763" s="63">
        <v>55296</v>
      </c>
      <c r="Z12763" s="61">
        <f>_xll.qlYieldTSDiscount($U$35,Y12763,,Trigger)</f>
        <v>0.52304560180077142</v>
      </c>
    </row>
    <row r="12764" spans="25:26" x14ac:dyDescent="0.25">
      <c r="Y12764" s="63">
        <v>55297</v>
      </c>
      <c r="Z12764" s="61">
        <f>_xll.qlYieldTSDiscount($U$35,Y12764,,Trigger)</f>
        <v>0.52301077065492918</v>
      </c>
    </row>
    <row r="12765" spans="25:26" x14ac:dyDescent="0.25">
      <c r="Y12765" s="63">
        <v>55298</v>
      </c>
      <c r="Z12765" s="61">
        <f>_xll.qlYieldTSDiscount($U$35,Y12765,,Trigger)</f>
        <v>0.52297594286949811</v>
      </c>
    </row>
    <row r="12766" spans="25:26" x14ac:dyDescent="0.25">
      <c r="Y12766" s="63">
        <v>55299</v>
      </c>
      <c r="Z12766" s="61">
        <f>_xll.qlYieldTSDiscount($U$35,Y12766,,Trigger)</f>
        <v>0.52294111844411251</v>
      </c>
    </row>
    <row r="12767" spans="25:26" x14ac:dyDescent="0.25">
      <c r="Y12767" s="63">
        <v>55300</v>
      </c>
      <c r="Z12767" s="61">
        <f>_xll.qlYieldTSDiscount($U$35,Y12767,,Trigger)</f>
        <v>0.52290629737840599</v>
      </c>
    </row>
    <row r="12768" spans="25:26" x14ac:dyDescent="0.25">
      <c r="Y12768" s="63">
        <v>55301</v>
      </c>
      <c r="Z12768" s="61">
        <f>_xll.qlYieldTSDiscount($U$35,Y12768,,Trigger)</f>
        <v>0.52287147967201286</v>
      </c>
    </row>
    <row r="12769" spans="25:26" x14ac:dyDescent="0.25">
      <c r="Y12769" s="63">
        <v>55302</v>
      </c>
      <c r="Z12769" s="61">
        <f>_xll.qlYieldTSDiscount($U$35,Y12769,,Trigger)</f>
        <v>0.52283666532456707</v>
      </c>
    </row>
    <row r="12770" spans="25:26" x14ac:dyDescent="0.25">
      <c r="Y12770" s="63">
        <v>55303</v>
      </c>
      <c r="Z12770" s="61">
        <f>_xll.qlYieldTSDiscount($U$35,Y12770,,Trigger)</f>
        <v>0.52280185433570259</v>
      </c>
    </row>
    <row r="12771" spans="25:26" x14ac:dyDescent="0.25">
      <c r="Y12771" s="63">
        <v>55304</v>
      </c>
      <c r="Z12771" s="61">
        <f>_xll.qlYieldTSDiscount($U$35,Y12771,,Trigger)</f>
        <v>0.52276704670505347</v>
      </c>
    </row>
    <row r="12772" spans="25:26" x14ac:dyDescent="0.25">
      <c r="Y12772" s="63">
        <v>55305</v>
      </c>
      <c r="Z12772" s="61">
        <f>_xll.qlYieldTSDiscount($U$35,Y12772,,Trigger)</f>
        <v>0.52273224243225369</v>
      </c>
    </row>
    <row r="12773" spans="25:26" x14ac:dyDescent="0.25">
      <c r="Y12773" s="63">
        <v>55306</v>
      </c>
      <c r="Z12773" s="61">
        <f>_xll.qlYieldTSDiscount($U$35,Y12773,,Trigger)</f>
        <v>0.52269744151693742</v>
      </c>
    </row>
    <row r="12774" spans="25:26" x14ac:dyDescent="0.25">
      <c r="Y12774" s="63">
        <v>55307</v>
      </c>
      <c r="Z12774" s="61">
        <f>_xll.qlYieldTSDiscount($U$35,Y12774,,Trigger)</f>
        <v>0.52266264395873863</v>
      </c>
    </row>
    <row r="12775" spans="25:26" x14ac:dyDescent="0.25">
      <c r="Y12775" s="63">
        <v>55308</v>
      </c>
      <c r="Z12775" s="61">
        <f>_xll.qlYieldTSDiscount($U$35,Y12775,,Trigger)</f>
        <v>0.52262784975729115</v>
      </c>
    </row>
    <row r="12776" spans="25:26" x14ac:dyDescent="0.25">
      <c r="Y12776" s="63">
        <v>55309</v>
      </c>
      <c r="Z12776" s="61">
        <f>_xll.qlYieldTSDiscount($U$35,Y12776,,Trigger)</f>
        <v>0.52259305891222929</v>
      </c>
    </row>
    <row r="12777" spans="25:26" x14ac:dyDescent="0.25">
      <c r="Y12777" s="63">
        <v>55310</v>
      </c>
      <c r="Z12777" s="61">
        <f>_xll.qlYieldTSDiscount($U$35,Y12777,,Trigger)</f>
        <v>0.52255827142318689</v>
      </c>
    </row>
    <row r="12778" spans="25:26" x14ac:dyDescent="0.25">
      <c r="Y12778" s="63">
        <v>55311</v>
      </c>
      <c r="Z12778" s="61">
        <f>_xll.qlYieldTSDiscount($U$35,Y12778,,Trigger)</f>
        <v>0.52252348728979792</v>
      </c>
    </row>
    <row r="12779" spans="25:26" x14ac:dyDescent="0.25">
      <c r="Y12779" s="63">
        <v>55312</v>
      </c>
      <c r="Z12779" s="61">
        <f>_xll.qlYieldTSDiscount($U$35,Y12779,,Trigger)</f>
        <v>0.52248870651169665</v>
      </c>
    </row>
    <row r="12780" spans="25:26" x14ac:dyDescent="0.25">
      <c r="Y12780" s="63">
        <v>55313</v>
      </c>
      <c r="Z12780" s="61">
        <f>_xll.qlYieldTSDiscount($U$35,Y12780,,Trigger)</f>
        <v>0.52245392908851684</v>
      </c>
    </row>
    <row r="12781" spans="25:26" x14ac:dyDescent="0.25">
      <c r="Y12781" s="63">
        <v>55314</v>
      </c>
      <c r="Z12781" s="61">
        <f>_xll.qlYieldTSDiscount($U$35,Y12781,,Trigger)</f>
        <v>0.52241915501989267</v>
      </c>
    </row>
    <row r="12782" spans="25:26" x14ac:dyDescent="0.25">
      <c r="Y12782" s="63">
        <v>55315</v>
      </c>
      <c r="Z12782" s="61">
        <f>_xll.qlYieldTSDiscount($U$35,Y12782,,Trigger)</f>
        <v>0.52238438430545808</v>
      </c>
    </row>
    <row r="12783" spans="25:26" x14ac:dyDescent="0.25">
      <c r="Y12783" s="63">
        <v>55316</v>
      </c>
      <c r="Z12783" s="61">
        <f>_xll.qlYieldTSDiscount($U$35,Y12783,,Trigger)</f>
        <v>0.52234961694484716</v>
      </c>
    </row>
    <row r="12784" spans="25:26" x14ac:dyDescent="0.25">
      <c r="Y12784" s="63">
        <v>55317</v>
      </c>
      <c r="Z12784" s="61">
        <f>_xll.qlYieldTSDiscount($U$35,Y12784,,Trigger)</f>
        <v>0.52231485293769386</v>
      </c>
    </row>
    <row r="12785" spans="25:26" x14ac:dyDescent="0.25">
      <c r="Y12785" s="63">
        <v>55318</v>
      </c>
      <c r="Z12785" s="61">
        <f>_xll.qlYieldTSDiscount($U$35,Y12785,,Trigger)</f>
        <v>0.52228009228363226</v>
      </c>
    </row>
    <row r="12786" spans="25:26" x14ac:dyDescent="0.25">
      <c r="Y12786" s="63">
        <v>55319</v>
      </c>
      <c r="Z12786" s="61">
        <f>_xll.qlYieldTSDiscount($U$35,Y12786,,Trigger)</f>
        <v>0.52224533498229642</v>
      </c>
    </row>
    <row r="12787" spans="25:26" x14ac:dyDescent="0.25">
      <c r="Y12787" s="63">
        <v>55320</v>
      </c>
      <c r="Z12787" s="61">
        <f>_xll.qlYieldTSDiscount($U$35,Y12787,,Trigger)</f>
        <v>0.52221058103332019</v>
      </c>
    </row>
    <row r="12788" spans="25:26" x14ac:dyDescent="0.25">
      <c r="Y12788" s="63">
        <v>55321</v>
      </c>
      <c r="Z12788" s="61">
        <f>_xll.qlYieldTSDiscount($U$35,Y12788,,Trigger)</f>
        <v>0.52217583043633764</v>
      </c>
    </row>
    <row r="12789" spans="25:26" x14ac:dyDescent="0.25">
      <c r="Y12789" s="63">
        <v>55322</v>
      </c>
      <c r="Z12789" s="61">
        <f>_xll.qlYieldTSDiscount($U$35,Y12789,,Trigger)</f>
        <v>0.52214108319098307</v>
      </c>
    </row>
    <row r="12790" spans="25:26" x14ac:dyDescent="0.25">
      <c r="Y12790" s="63">
        <v>55323</v>
      </c>
      <c r="Z12790" s="61">
        <f>_xll.qlYieldTSDiscount($U$35,Y12790,,Trigger)</f>
        <v>0.5221063392968901</v>
      </c>
    </row>
    <row r="12791" spans="25:26" x14ac:dyDescent="0.25">
      <c r="Y12791" s="63">
        <v>55324</v>
      </c>
      <c r="Z12791" s="61">
        <f>_xll.qlYieldTSDiscount($U$35,Y12791,,Trigger)</f>
        <v>0.52207159875369302</v>
      </c>
    </row>
    <row r="12792" spans="25:26" x14ac:dyDescent="0.25">
      <c r="Y12792" s="63">
        <v>55325</v>
      </c>
      <c r="Z12792" s="61">
        <f>_xll.qlYieldTSDiscount($U$35,Y12792,,Trigger)</f>
        <v>0.5220368615610258</v>
      </c>
    </row>
    <row r="12793" spans="25:26" x14ac:dyDescent="0.25">
      <c r="Y12793" s="63">
        <v>55326</v>
      </c>
      <c r="Z12793" s="61">
        <f>_xll.qlYieldTSDiscount($U$35,Y12793,,Trigger)</f>
        <v>0.52200212771852239</v>
      </c>
    </row>
    <row r="12794" spans="25:26" x14ac:dyDescent="0.25">
      <c r="Y12794" s="63">
        <v>55327</v>
      </c>
      <c r="Z12794" s="61">
        <f>_xll.qlYieldTSDiscount($U$35,Y12794,,Trigger)</f>
        <v>0.52196739722581675</v>
      </c>
    </row>
    <row r="12795" spans="25:26" x14ac:dyDescent="0.25">
      <c r="Y12795" s="63">
        <v>55328</v>
      </c>
      <c r="Z12795" s="61">
        <f>_xll.qlYieldTSDiscount($U$35,Y12795,,Trigger)</f>
        <v>0.52193267008254318</v>
      </c>
    </row>
    <row r="12796" spans="25:26" x14ac:dyDescent="0.25">
      <c r="Y12796" s="63">
        <v>55329</v>
      </c>
      <c r="Z12796" s="61">
        <f>_xll.qlYieldTSDiscount($U$35,Y12796,,Trigger)</f>
        <v>0.52189794628833552</v>
      </c>
    </row>
    <row r="12797" spans="25:26" x14ac:dyDescent="0.25">
      <c r="Y12797" s="63">
        <v>55330</v>
      </c>
      <c r="Z12797" s="61">
        <f>_xll.qlYieldTSDiscount($U$35,Y12797,,Trigger)</f>
        <v>0.52186322584282763</v>
      </c>
    </row>
    <row r="12798" spans="25:26" x14ac:dyDescent="0.25">
      <c r="Y12798" s="63">
        <v>55331</v>
      </c>
      <c r="Z12798" s="61">
        <f>_xll.qlYieldTSDiscount($U$35,Y12798,,Trigger)</f>
        <v>0.5218285087456539</v>
      </c>
    </row>
    <row r="12799" spans="25:26" x14ac:dyDescent="0.25">
      <c r="Y12799" s="63">
        <v>55332</v>
      </c>
      <c r="Z12799" s="61">
        <f>_xll.qlYieldTSDiscount($U$35,Y12799,,Trigger)</f>
        <v>0.52179379499644807</v>
      </c>
    </row>
    <row r="12800" spans="25:26" x14ac:dyDescent="0.25">
      <c r="Y12800" s="63">
        <v>55333</v>
      </c>
      <c r="Z12800" s="61">
        <f>_xll.qlYieldTSDiscount($U$35,Y12800,,Trigger)</f>
        <v>0.5217590845948441</v>
      </c>
    </row>
    <row r="12801" spans="25:26" x14ac:dyDescent="0.25">
      <c r="Y12801" s="63">
        <v>55334</v>
      </c>
      <c r="Z12801" s="61">
        <f>_xll.qlYieldTSDiscount($U$35,Y12801,,Trigger)</f>
        <v>0.5217243775404764</v>
      </c>
    </row>
    <row r="12802" spans="25:26" x14ac:dyDescent="0.25">
      <c r="Y12802" s="63">
        <v>55335</v>
      </c>
      <c r="Z12802" s="61">
        <f>_xll.qlYieldTSDiscount($U$35,Y12802,,Trigger)</f>
        <v>0.5216896738329786</v>
      </c>
    </row>
    <row r="12803" spans="25:26" x14ac:dyDescent="0.25">
      <c r="Y12803" s="63">
        <v>55336</v>
      </c>
      <c r="Z12803" s="61">
        <f>_xll.qlYieldTSDiscount($U$35,Y12803,,Trigger)</f>
        <v>0.52165497347198486</v>
      </c>
    </row>
    <row r="12804" spans="25:26" x14ac:dyDescent="0.25">
      <c r="Y12804" s="63">
        <v>55337</v>
      </c>
      <c r="Z12804" s="61">
        <f>_xll.qlYieldTSDiscount($U$35,Y12804,,Trigger)</f>
        <v>0.52162027645712927</v>
      </c>
    </row>
    <row r="12805" spans="25:26" x14ac:dyDescent="0.25">
      <c r="Y12805" s="63">
        <v>55338</v>
      </c>
      <c r="Z12805" s="61">
        <f>_xll.qlYieldTSDiscount($U$35,Y12805,,Trigger)</f>
        <v>0.5215855827880459</v>
      </c>
    </row>
    <row r="12806" spans="25:26" x14ac:dyDescent="0.25">
      <c r="Y12806" s="63">
        <v>55339</v>
      </c>
      <c r="Z12806" s="61">
        <f>_xll.qlYieldTSDiscount($U$35,Y12806,,Trigger)</f>
        <v>0.52155089246436848</v>
      </c>
    </row>
    <row r="12807" spans="25:26" x14ac:dyDescent="0.25">
      <c r="Y12807" s="63">
        <v>55340</v>
      </c>
      <c r="Z12807" s="61">
        <f>_xll.qlYieldTSDiscount($U$35,Y12807,,Trigger)</f>
        <v>0.5215162054857313</v>
      </c>
    </row>
    <row r="12808" spans="25:26" x14ac:dyDescent="0.25">
      <c r="Y12808" s="63">
        <v>55341</v>
      </c>
      <c r="Z12808" s="61">
        <f>_xll.qlYieldTSDiscount($U$35,Y12808,,Trigger)</f>
        <v>0.52148152185176833</v>
      </c>
    </row>
    <row r="12809" spans="25:26" x14ac:dyDescent="0.25">
      <c r="Y12809" s="63">
        <v>55342</v>
      </c>
      <c r="Z12809" s="61">
        <f>_xll.qlYieldTSDiscount($U$35,Y12809,,Trigger)</f>
        <v>0.52144684156211352</v>
      </c>
    </row>
    <row r="12810" spans="25:26" x14ac:dyDescent="0.25">
      <c r="Y12810" s="63">
        <v>55343</v>
      </c>
      <c r="Z12810" s="61">
        <f>_xll.qlYieldTSDiscount($U$35,Y12810,,Trigger)</f>
        <v>0.52141216461640094</v>
      </c>
    </row>
    <row r="12811" spans="25:26" x14ac:dyDescent="0.25">
      <c r="Y12811" s="63">
        <v>55344</v>
      </c>
      <c r="Z12811" s="61">
        <f>_xll.qlYieldTSDiscount($U$35,Y12811,,Trigger)</f>
        <v>0.52137749101426456</v>
      </c>
    </row>
    <row r="12812" spans="25:26" x14ac:dyDescent="0.25">
      <c r="Y12812" s="63">
        <v>55345</v>
      </c>
      <c r="Z12812" s="61">
        <f>_xll.qlYieldTSDiscount($U$35,Y12812,,Trigger)</f>
        <v>0.52134282075533855</v>
      </c>
    </row>
    <row r="12813" spans="25:26" x14ac:dyDescent="0.25">
      <c r="Y12813" s="63">
        <v>55346</v>
      </c>
      <c r="Z12813" s="61">
        <f>_xll.qlYieldTSDiscount($U$35,Y12813,,Trigger)</f>
        <v>0.52130815383925666</v>
      </c>
    </row>
    <row r="12814" spans="25:26" x14ac:dyDescent="0.25">
      <c r="Y12814" s="63">
        <v>55347</v>
      </c>
      <c r="Z12814" s="61">
        <f>_xll.qlYieldTSDiscount($U$35,Y12814,,Trigger)</f>
        <v>0.52127349026565328</v>
      </c>
    </row>
    <row r="12815" spans="25:26" x14ac:dyDescent="0.25">
      <c r="Y12815" s="63">
        <v>55348</v>
      </c>
      <c r="Z12815" s="61">
        <f>_xll.qlYieldTSDiscount($U$35,Y12815,,Trigger)</f>
        <v>0.52123883003416216</v>
      </c>
    </row>
    <row r="12816" spans="25:26" x14ac:dyDescent="0.25">
      <c r="Y12816" s="63">
        <v>55349</v>
      </c>
      <c r="Z12816" s="61">
        <f>_xll.qlYieldTSDiscount($U$35,Y12816,,Trigger)</f>
        <v>0.52120417314441736</v>
      </c>
    </row>
    <row r="12817" spans="25:26" x14ac:dyDescent="0.25">
      <c r="Y12817" s="63">
        <v>55350</v>
      </c>
      <c r="Z12817" s="61">
        <f>_xll.qlYieldTSDiscount($U$35,Y12817,,Trigger)</f>
        <v>0.52116951959605284</v>
      </c>
    </row>
    <row r="12818" spans="25:26" x14ac:dyDescent="0.25">
      <c r="Y12818" s="63">
        <v>55351</v>
      </c>
      <c r="Z12818" s="61">
        <f>_xll.qlYieldTSDiscount($U$35,Y12818,,Trigger)</f>
        <v>0.5211348693887029</v>
      </c>
    </row>
    <row r="12819" spans="25:26" x14ac:dyDescent="0.25">
      <c r="Y12819" s="63">
        <v>55352</v>
      </c>
      <c r="Z12819" s="61">
        <f>_xll.qlYieldTSDiscount($U$35,Y12819,,Trigger)</f>
        <v>0.52110022252200128</v>
      </c>
    </row>
    <row r="12820" spans="25:26" x14ac:dyDescent="0.25">
      <c r="Y12820" s="63">
        <v>55353</v>
      </c>
      <c r="Z12820" s="61">
        <f>_xll.qlYieldTSDiscount($U$35,Y12820,,Trigger)</f>
        <v>0.52106557899558215</v>
      </c>
    </row>
    <row r="12821" spans="25:26" x14ac:dyDescent="0.25">
      <c r="Y12821" s="63">
        <v>55354</v>
      </c>
      <c r="Z12821" s="61">
        <f>_xll.qlYieldTSDiscount($U$35,Y12821,,Trigger)</f>
        <v>0.52103093880907947</v>
      </c>
    </row>
    <row r="12822" spans="25:26" x14ac:dyDescent="0.25">
      <c r="Y12822" s="63">
        <v>55355</v>
      </c>
      <c r="Z12822" s="61">
        <f>_xll.qlYieldTSDiscount($U$35,Y12822,,Trigger)</f>
        <v>0.52099630196212732</v>
      </c>
    </row>
    <row r="12823" spans="25:26" x14ac:dyDescent="0.25">
      <c r="Y12823" s="63">
        <v>55356</v>
      </c>
      <c r="Z12823" s="61">
        <f>_xll.qlYieldTSDiscount($U$35,Y12823,,Trigger)</f>
        <v>0.52096166845435965</v>
      </c>
    </row>
    <row r="12824" spans="25:26" x14ac:dyDescent="0.25">
      <c r="Y12824" s="63">
        <v>55357</v>
      </c>
      <c r="Z12824" s="61">
        <f>_xll.qlYieldTSDiscount($U$35,Y12824,,Trigger)</f>
        <v>0.52092703828541054</v>
      </c>
    </row>
    <row r="12825" spans="25:26" x14ac:dyDescent="0.25">
      <c r="Y12825" s="63">
        <v>55358</v>
      </c>
      <c r="Z12825" s="61">
        <f>_xll.qlYieldTSDiscount($U$35,Y12825,,Trigger)</f>
        <v>0.52089241145491383</v>
      </c>
    </row>
    <row r="12826" spans="25:26" x14ac:dyDescent="0.25">
      <c r="Y12826" s="63">
        <v>55359</v>
      </c>
      <c r="Z12826" s="61">
        <f>_xll.qlYieldTSDiscount($U$35,Y12826,,Trigger)</f>
        <v>0.52085778796250382</v>
      </c>
    </row>
    <row r="12827" spans="25:26" x14ac:dyDescent="0.25">
      <c r="Y12827" s="63">
        <v>55360</v>
      </c>
      <c r="Z12827" s="61">
        <f>_xll.qlYieldTSDiscount($U$35,Y12827,,Trigger)</f>
        <v>0.52082316780781446</v>
      </c>
    </row>
    <row r="12828" spans="25:26" x14ac:dyDescent="0.25">
      <c r="Y12828" s="63">
        <v>55361</v>
      </c>
      <c r="Z12828" s="61">
        <f>_xll.qlYieldTSDiscount($U$35,Y12828,,Trigger)</f>
        <v>0.5207885509904796</v>
      </c>
    </row>
    <row r="12829" spans="25:26" x14ac:dyDescent="0.25">
      <c r="Y12829" s="63">
        <v>55362</v>
      </c>
      <c r="Z12829" s="61">
        <f>_xll.qlYieldTSDiscount($U$35,Y12829,,Trigger)</f>
        <v>0.52075393751013332</v>
      </c>
    </row>
    <row r="12830" spans="25:26" x14ac:dyDescent="0.25">
      <c r="Y12830" s="63">
        <v>55363</v>
      </c>
      <c r="Z12830" s="61">
        <f>_xll.qlYieldTSDiscount($U$35,Y12830,,Trigger)</f>
        <v>0.52071932736640991</v>
      </c>
    </row>
    <row r="12831" spans="25:26" x14ac:dyDescent="0.25">
      <c r="Y12831" s="63">
        <v>55364</v>
      </c>
      <c r="Z12831" s="61">
        <f>_xll.qlYieldTSDiscount($U$35,Y12831,,Trigger)</f>
        <v>0.5206847205589431</v>
      </c>
    </row>
    <row r="12832" spans="25:26" x14ac:dyDescent="0.25">
      <c r="Y12832" s="63">
        <v>55365</v>
      </c>
      <c r="Z12832" s="61">
        <f>_xll.qlYieldTSDiscount($U$35,Y12832,,Trigger)</f>
        <v>0.52065011708736686</v>
      </c>
    </row>
    <row r="12833" spans="25:26" x14ac:dyDescent="0.25">
      <c r="Y12833" s="63">
        <v>55366</v>
      </c>
      <c r="Z12833" s="61">
        <f>_xll.qlYieldTSDiscount($U$35,Y12833,,Trigger)</f>
        <v>0.52061551695131547</v>
      </c>
    </row>
    <row r="12834" spans="25:26" x14ac:dyDescent="0.25">
      <c r="Y12834" s="63">
        <v>55367</v>
      </c>
      <c r="Z12834" s="61">
        <f>_xll.qlYieldTSDiscount($U$35,Y12834,,Trigger)</f>
        <v>0.52058092015042279</v>
      </c>
    </row>
    <row r="12835" spans="25:26" x14ac:dyDescent="0.25">
      <c r="Y12835" s="63">
        <v>55368</v>
      </c>
      <c r="Z12835" s="61">
        <f>_xll.qlYieldTSDiscount($U$35,Y12835,,Trigger)</f>
        <v>0.52054632668432288</v>
      </c>
    </row>
    <row r="12836" spans="25:26" x14ac:dyDescent="0.25">
      <c r="Y12836" s="63">
        <v>55369</v>
      </c>
      <c r="Z12836" s="61">
        <f>_xll.qlYieldTSDiscount($U$35,Y12836,,Trigger)</f>
        <v>0.52051173655264982</v>
      </c>
    </row>
    <row r="12837" spans="25:26" x14ac:dyDescent="0.25">
      <c r="Y12837" s="63">
        <v>55370</v>
      </c>
      <c r="Z12837" s="61">
        <f>_xll.qlYieldTSDiscount($U$35,Y12837,,Trigger)</f>
        <v>0.52047714975503756</v>
      </c>
    </row>
    <row r="12838" spans="25:26" x14ac:dyDescent="0.25">
      <c r="Y12838" s="63">
        <v>55371</v>
      </c>
      <c r="Z12838" s="61">
        <f>_xll.qlYieldTSDiscount($U$35,Y12838,,Trigger)</f>
        <v>0.52044256629112007</v>
      </c>
    </row>
    <row r="12839" spans="25:26" x14ac:dyDescent="0.25">
      <c r="Y12839" s="63">
        <v>55372</v>
      </c>
      <c r="Z12839" s="61">
        <f>_xll.qlYieldTSDiscount($U$35,Y12839,,Trigger)</f>
        <v>0.52040798616053152</v>
      </c>
    </row>
    <row r="12840" spans="25:26" x14ac:dyDescent="0.25">
      <c r="Y12840" s="63">
        <v>55373</v>
      </c>
      <c r="Z12840" s="61">
        <f>_xll.qlYieldTSDiscount($U$35,Y12840,,Trigger)</f>
        <v>0.52037340936290588</v>
      </c>
    </row>
    <row r="12841" spans="25:26" x14ac:dyDescent="0.25">
      <c r="Y12841" s="63">
        <v>55374</v>
      </c>
      <c r="Z12841" s="61">
        <f>_xll.qlYieldTSDiscount($U$35,Y12841,,Trigger)</f>
        <v>0.52033883589787699</v>
      </c>
    </row>
    <row r="12842" spans="25:26" x14ac:dyDescent="0.25">
      <c r="Y12842" s="63">
        <v>55375</v>
      </c>
      <c r="Z12842" s="61">
        <f>_xll.qlYieldTSDiscount($U$35,Y12842,,Trigger)</f>
        <v>0.52030426576507915</v>
      </c>
    </row>
    <row r="12843" spans="25:26" x14ac:dyDescent="0.25">
      <c r="Y12843" s="63">
        <v>55376</v>
      </c>
      <c r="Z12843" s="61">
        <f>_xll.qlYieldTSDiscount($U$35,Y12843,,Trigger)</f>
        <v>0.52026969896414621</v>
      </c>
    </row>
    <row r="12844" spans="25:26" x14ac:dyDescent="0.25">
      <c r="Y12844" s="63">
        <v>55377</v>
      </c>
      <c r="Z12844" s="61">
        <f>_xll.qlYieldTSDiscount($U$35,Y12844,,Trigger)</f>
        <v>0.52023513549471223</v>
      </c>
    </row>
    <row r="12845" spans="25:26" x14ac:dyDescent="0.25">
      <c r="Y12845" s="63">
        <v>55378</v>
      </c>
      <c r="Z12845" s="61">
        <f>_xll.qlYieldTSDiscount($U$35,Y12845,,Trigger)</f>
        <v>0.52020057535641118</v>
      </c>
    </row>
    <row r="12846" spans="25:26" x14ac:dyDescent="0.25">
      <c r="Y12846" s="63">
        <v>55379</v>
      </c>
      <c r="Z12846" s="61">
        <f>_xll.qlYieldTSDiscount($U$35,Y12846,,Trigger)</f>
        <v>0.52016601854887723</v>
      </c>
    </row>
    <row r="12847" spans="25:26" x14ac:dyDescent="0.25">
      <c r="Y12847" s="63">
        <v>55380</v>
      </c>
      <c r="Z12847" s="61">
        <f>_xll.qlYieldTSDiscount($U$35,Y12847,,Trigger)</f>
        <v>0.52013146507174435</v>
      </c>
    </row>
    <row r="12848" spans="25:26" x14ac:dyDescent="0.25">
      <c r="Y12848" s="63">
        <v>55381</v>
      </c>
      <c r="Z12848" s="61">
        <f>_xll.qlYieldTSDiscount($U$35,Y12848,,Trigger)</f>
        <v>0.52009691492464638</v>
      </c>
    </row>
    <row r="12849" spans="25:26" x14ac:dyDescent="0.25">
      <c r="Y12849" s="63">
        <v>55382</v>
      </c>
      <c r="Z12849" s="61">
        <f>_xll.qlYieldTSDiscount($U$35,Y12849,,Trigger)</f>
        <v>0.52006236810721762</v>
      </c>
    </row>
    <row r="12850" spans="25:26" x14ac:dyDescent="0.25">
      <c r="Y12850" s="63">
        <v>55383</v>
      </c>
      <c r="Z12850" s="61">
        <f>_xll.qlYieldTSDiscount($U$35,Y12850,,Trigger)</f>
        <v>0.52002782461909192</v>
      </c>
    </row>
    <row r="12851" spans="25:26" x14ac:dyDescent="0.25">
      <c r="Y12851" s="63">
        <v>55384</v>
      </c>
      <c r="Z12851" s="61">
        <f>_xll.qlYieldTSDiscount($U$35,Y12851,,Trigger)</f>
        <v>0.51999328445990334</v>
      </c>
    </row>
    <row r="12852" spans="25:26" x14ac:dyDescent="0.25">
      <c r="Y12852" s="63">
        <v>55385</v>
      </c>
      <c r="Z12852" s="61">
        <f>_xll.qlYieldTSDiscount($U$35,Y12852,,Trigger)</f>
        <v>0.51995874762928584</v>
      </c>
    </row>
    <row r="12853" spans="25:26" x14ac:dyDescent="0.25">
      <c r="Y12853" s="63">
        <v>55386</v>
      </c>
      <c r="Z12853" s="61">
        <f>_xll.qlYieldTSDiscount($U$35,Y12853,,Trigger)</f>
        <v>0.51992421412687362</v>
      </c>
    </row>
    <row r="12854" spans="25:26" x14ac:dyDescent="0.25">
      <c r="Y12854" s="63">
        <v>55387</v>
      </c>
      <c r="Z12854" s="61">
        <f>_xll.qlYieldTSDiscount($U$35,Y12854,,Trigger)</f>
        <v>0.5198896839523004</v>
      </c>
    </row>
    <row r="12855" spans="25:26" x14ac:dyDescent="0.25">
      <c r="Y12855" s="63">
        <v>55388</v>
      </c>
      <c r="Z12855" s="61">
        <f>_xll.qlYieldTSDiscount($U$35,Y12855,,Trigger)</f>
        <v>0.51985515710520058</v>
      </c>
    </row>
    <row r="12856" spans="25:26" x14ac:dyDescent="0.25">
      <c r="Y12856" s="63">
        <v>55389</v>
      </c>
      <c r="Z12856" s="61">
        <f>_xll.qlYieldTSDiscount($U$35,Y12856,,Trigger)</f>
        <v>0.51982063358520791</v>
      </c>
    </row>
    <row r="12857" spans="25:26" x14ac:dyDescent="0.25">
      <c r="Y12857" s="63">
        <v>55390</v>
      </c>
      <c r="Z12857" s="61">
        <f>_xll.qlYieldTSDiscount($U$35,Y12857,,Trigger)</f>
        <v>0.51978611339195646</v>
      </c>
    </row>
    <row r="12858" spans="25:26" x14ac:dyDescent="0.25">
      <c r="Y12858" s="63">
        <v>55391</v>
      </c>
      <c r="Z12858" s="61">
        <f>_xll.qlYieldTSDiscount($U$35,Y12858,,Trigger)</f>
        <v>0.51975159652508029</v>
      </c>
    </row>
    <row r="12859" spans="25:26" x14ac:dyDescent="0.25">
      <c r="Y12859" s="63">
        <v>55392</v>
      </c>
      <c r="Z12859" s="61">
        <f>_xll.qlYieldTSDiscount($U$35,Y12859,,Trigger)</f>
        <v>0.51971708298421349</v>
      </c>
    </row>
    <row r="12860" spans="25:26" x14ac:dyDescent="0.25">
      <c r="Y12860" s="63">
        <v>55393</v>
      </c>
      <c r="Z12860" s="61">
        <f>_xll.qlYieldTSDiscount($U$35,Y12860,,Trigger)</f>
        <v>0.51968257276898999</v>
      </c>
    </row>
    <row r="12861" spans="25:26" x14ac:dyDescent="0.25">
      <c r="Y12861" s="63">
        <v>55394</v>
      </c>
      <c r="Z12861" s="61">
        <f>_xll.qlYieldTSDiscount($U$35,Y12861,,Trigger)</f>
        <v>0.51964806587904377</v>
      </c>
    </row>
    <row r="12862" spans="25:26" x14ac:dyDescent="0.25">
      <c r="Y12862" s="63">
        <v>55395</v>
      </c>
      <c r="Z12862" s="61">
        <f>_xll.qlYieldTSDiscount($U$35,Y12862,,Trigger)</f>
        <v>0.5196135623140089</v>
      </c>
    </row>
    <row r="12863" spans="25:26" x14ac:dyDescent="0.25">
      <c r="Y12863" s="63">
        <v>55396</v>
      </c>
      <c r="Z12863" s="61">
        <f>_xll.qlYieldTSDiscount($U$35,Y12863,,Trigger)</f>
        <v>0.51957906207351956</v>
      </c>
    </row>
    <row r="12864" spans="25:26" x14ac:dyDescent="0.25">
      <c r="Y12864" s="63">
        <v>55397</v>
      </c>
      <c r="Z12864" s="61">
        <f>_xll.qlYieldTSDiscount($U$35,Y12864,,Trigger)</f>
        <v>0.51954456515720948</v>
      </c>
    </row>
    <row r="12865" spans="25:26" x14ac:dyDescent="0.25">
      <c r="Y12865" s="63">
        <v>55398</v>
      </c>
      <c r="Z12865" s="61">
        <f>_xll.qlYieldTSDiscount($U$35,Y12865,,Trigger)</f>
        <v>0.51951007156471274</v>
      </c>
    </row>
    <row r="12866" spans="25:26" x14ac:dyDescent="0.25">
      <c r="Y12866" s="63">
        <v>55399</v>
      </c>
      <c r="Z12866" s="61">
        <f>_xll.qlYieldTSDiscount($U$35,Y12866,,Trigger)</f>
        <v>0.51947558129566374</v>
      </c>
    </row>
    <row r="12867" spans="25:26" x14ac:dyDescent="0.25">
      <c r="Y12867" s="63">
        <v>55400</v>
      </c>
      <c r="Z12867" s="61">
        <f>_xll.qlYieldTSDiscount($U$35,Y12867,,Trigger)</f>
        <v>0.51944109434969599</v>
      </c>
    </row>
    <row r="12868" spans="25:26" x14ac:dyDescent="0.25">
      <c r="Y12868" s="63">
        <v>55401</v>
      </c>
      <c r="Z12868" s="61">
        <f>_xll.qlYieldTSDiscount($U$35,Y12868,,Trigger)</f>
        <v>0.51940661072644367</v>
      </c>
    </row>
    <row r="12869" spans="25:26" x14ac:dyDescent="0.25">
      <c r="Y12869" s="63">
        <v>55402</v>
      </c>
      <c r="Z12869" s="61">
        <f>_xll.qlYieldTSDiscount($U$35,Y12869,,Trigger)</f>
        <v>0.51937213042554109</v>
      </c>
    </row>
    <row r="12870" spans="25:26" x14ac:dyDescent="0.25">
      <c r="Y12870" s="63">
        <v>55403</v>
      </c>
      <c r="Z12870" s="61">
        <f>_xll.qlYieldTSDiscount($U$35,Y12870,,Trigger)</f>
        <v>0.51933765344662186</v>
      </c>
    </row>
    <row r="12871" spans="25:26" x14ac:dyDescent="0.25">
      <c r="Y12871" s="63">
        <v>55404</v>
      </c>
      <c r="Z12871" s="61">
        <f>_xll.qlYieldTSDiscount($U$35,Y12871,,Trigger)</f>
        <v>0.51930317978932028</v>
      </c>
    </row>
    <row r="12872" spans="25:26" x14ac:dyDescent="0.25">
      <c r="Y12872" s="63">
        <v>55405</v>
      </c>
      <c r="Z12872" s="61">
        <f>_xll.qlYieldTSDiscount($U$35,Y12872,,Trigger)</f>
        <v>0.51926870945327031</v>
      </c>
    </row>
    <row r="12873" spans="25:26" x14ac:dyDescent="0.25">
      <c r="Y12873" s="63">
        <v>55406</v>
      </c>
      <c r="Z12873" s="61">
        <f>_xll.qlYieldTSDiscount($U$35,Y12873,,Trigger)</f>
        <v>0.5192342424381059</v>
      </c>
    </row>
    <row r="12874" spans="25:26" x14ac:dyDescent="0.25">
      <c r="Y12874" s="63">
        <v>55407</v>
      </c>
      <c r="Z12874" s="61">
        <f>_xll.qlYieldTSDiscount($U$35,Y12874,,Trigger)</f>
        <v>0.51919977874346102</v>
      </c>
    </row>
    <row r="12875" spans="25:26" x14ac:dyDescent="0.25">
      <c r="Y12875" s="63">
        <v>55408</v>
      </c>
      <c r="Z12875" s="61">
        <f>_xll.qlYieldTSDiscount($U$35,Y12875,,Trigger)</f>
        <v>0.51916531836896995</v>
      </c>
    </row>
    <row r="12876" spans="25:26" x14ac:dyDescent="0.25">
      <c r="Y12876" s="63">
        <v>55409</v>
      </c>
      <c r="Z12876" s="61">
        <f>_xll.qlYieldTSDiscount($U$35,Y12876,,Trigger)</f>
        <v>0.51913086131426645</v>
      </c>
    </row>
    <row r="12877" spans="25:26" x14ac:dyDescent="0.25">
      <c r="Y12877" s="63">
        <v>55410</v>
      </c>
      <c r="Z12877" s="61">
        <f>_xll.qlYieldTSDiscount($U$35,Y12877,,Trigger)</f>
        <v>0.51909640757898456</v>
      </c>
    </row>
    <row r="12878" spans="25:26" x14ac:dyDescent="0.25">
      <c r="Y12878" s="63">
        <v>55411</v>
      </c>
      <c r="Z12878" s="61">
        <f>_xll.qlYieldTSDiscount($U$35,Y12878,,Trigger)</f>
        <v>0.51906195716275849</v>
      </c>
    </row>
    <row r="12879" spans="25:26" x14ac:dyDescent="0.25">
      <c r="Y12879" s="63">
        <v>55412</v>
      </c>
      <c r="Z12879" s="61">
        <f>_xll.qlYieldTSDiscount($U$35,Y12879,,Trigger)</f>
        <v>0.51902751006522219</v>
      </c>
    </row>
    <row r="12880" spans="25:26" x14ac:dyDescent="0.25">
      <c r="Y12880" s="63">
        <v>55413</v>
      </c>
      <c r="Z12880" s="61">
        <f>_xll.qlYieldTSDiscount($U$35,Y12880,,Trigger)</f>
        <v>0.51899306628600961</v>
      </c>
    </row>
    <row r="12881" spans="25:26" x14ac:dyDescent="0.25">
      <c r="Y12881" s="63">
        <v>55414</v>
      </c>
      <c r="Z12881" s="61">
        <f>_xll.qlYieldTSDiscount($U$35,Y12881,,Trigger)</f>
        <v>0.51895862582475472</v>
      </c>
    </row>
    <row r="12882" spans="25:26" x14ac:dyDescent="0.25">
      <c r="Y12882" s="63">
        <v>55415</v>
      </c>
      <c r="Z12882" s="61">
        <f>_xll.qlYieldTSDiscount($U$35,Y12882,,Trigger)</f>
        <v>0.51892418868109169</v>
      </c>
    </row>
    <row r="12883" spans="25:26" x14ac:dyDescent="0.25">
      <c r="Y12883" s="63">
        <v>55416</v>
      </c>
      <c r="Z12883" s="61">
        <f>_xll.qlYieldTSDiscount($U$35,Y12883,,Trigger)</f>
        <v>0.51888975485465449</v>
      </c>
    </row>
    <row r="12884" spans="25:26" x14ac:dyDescent="0.25">
      <c r="Y12884" s="63">
        <v>55417</v>
      </c>
      <c r="Z12884" s="61">
        <f>_xll.qlYieldTSDiscount($U$35,Y12884,,Trigger)</f>
        <v>0.51885532434507708</v>
      </c>
    </row>
    <row r="12885" spans="25:26" x14ac:dyDescent="0.25">
      <c r="Y12885" s="63">
        <v>55418</v>
      </c>
      <c r="Z12885" s="61">
        <f>_xll.qlYieldTSDiscount($U$35,Y12885,,Trigger)</f>
        <v>0.51882089715199364</v>
      </c>
    </row>
    <row r="12886" spans="25:26" x14ac:dyDescent="0.25">
      <c r="Y12886" s="63">
        <v>55419</v>
      </c>
      <c r="Z12886" s="61">
        <f>_xll.qlYieldTSDiscount($U$35,Y12886,,Trigger)</f>
        <v>0.51878647327503802</v>
      </c>
    </row>
    <row r="12887" spans="25:26" x14ac:dyDescent="0.25">
      <c r="Y12887" s="63">
        <v>55420</v>
      </c>
      <c r="Z12887" s="61">
        <f>_xll.qlYieldTSDiscount($U$35,Y12887,,Trigger)</f>
        <v>0.51875205271384428</v>
      </c>
    </row>
    <row r="12888" spans="25:26" x14ac:dyDescent="0.25">
      <c r="Y12888" s="63">
        <v>55421</v>
      </c>
      <c r="Z12888" s="61">
        <f>_xll.qlYieldTSDiscount($U$35,Y12888,,Trigger)</f>
        <v>0.5187176354680465</v>
      </c>
    </row>
    <row r="12889" spans="25:26" x14ac:dyDescent="0.25">
      <c r="Y12889" s="63">
        <v>55422</v>
      </c>
      <c r="Z12889" s="61">
        <f>_xll.qlYieldTSDiscount($U$35,Y12889,,Trigger)</f>
        <v>0.51868322153727864</v>
      </c>
    </row>
    <row r="12890" spans="25:26" x14ac:dyDescent="0.25">
      <c r="Y12890" s="63">
        <v>55423</v>
      </c>
      <c r="Z12890" s="61">
        <f>_xll.qlYieldTSDiscount($U$35,Y12890,,Trigger)</f>
        <v>0.51864881092117476</v>
      </c>
    </row>
    <row r="12891" spans="25:26" x14ac:dyDescent="0.25">
      <c r="Y12891" s="63">
        <v>55424</v>
      </c>
      <c r="Z12891" s="61">
        <f>_xll.qlYieldTSDiscount($U$35,Y12891,,Trigger)</f>
        <v>0.51861440361936895</v>
      </c>
    </row>
    <row r="12892" spans="25:26" x14ac:dyDescent="0.25">
      <c r="Y12892" s="63">
        <v>55425</v>
      </c>
      <c r="Z12892" s="61">
        <f>_xll.qlYieldTSDiscount($U$35,Y12892,,Trigger)</f>
        <v>0.51857999963149515</v>
      </c>
    </row>
    <row r="12893" spans="25:26" x14ac:dyDescent="0.25">
      <c r="Y12893" s="63">
        <v>55426</v>
      </c>
      <c r="Z12893" s="61">
        <f>_xll.qlYieldTSDiscount($U$35,Y12893,,Trigger)</f>
        <v>0.51854559895718721</v>
      </c>
    </row>
    <row r="12894" spans="25:26" x14ac:dyDescent="0.25">
      <c r="Y12894" s="63">
        <v>55427</v>
      </c>
      <c r="Z12894" s="61">
        <f>_xll.qlYieldTSDiscount($U$35,Y12894,,Trigger)</f>
        <v>0.51851120159607955</v>
      </c>
    </row>
    <row r="12895" spans="25:26" x14ac:dyDescent="0.25">
      <c r="Y12895" s="63">
        <v>55428</v>
      </c>
      <c r="Z12895" s="61">
        <f>_xll.qlYieldTSDiscount($U$35,Y12895,,Trigger)</f>
        <v>0.5184768075478059</v>
      </c>
    </row>
    <row r="12896" spans="25:26" x14ac:dyDescent="0.25">
      <c r="Y12896" s="63">
        <v>55429</v>
      </c>
      <c r="Z12896" s="61">
        <f>_xll.qlYieldTSDiscount($U$35,Y12896,,Trigger)</f>
        <v>0.51844241681200032</v>
      </c>
    </row>
    <row r="12897" spans="25:26" x14ac:dyDescent="0.25">
      <c r="Y12897" s="63">
        <v>55430</v>
      </c>
      <c r="Z12897" s="61">
        <f>_xll.qlYieldTSDiscount($U$35,Y12897,,Trigger)</f>
        <v>0.51840802938829689</v>
      </c>
    </row>
    <row r="12898" spans="25:26" x14ac:dyDescent="0.25">
      <c r="Y12898" s="63">
        <v>55431</v>
      </c>
      <c r="Z12898" s="61">
        <f>_xll.qlYieldTSDiscount($U$35,Y12898,,Trigger)</f>
        <v>0.51837364527632956</v>
      </c>
    </row>
    <row r="12899" spans="25:26" x14ac:dyDescent="0.25">
      <c r="Y12899" s="63">
        <v>55432</v>
      </c>
      <c r="Z12899" s="61">
        <f>_xll.qlYieldTSDiscount($U$35,Y12899,,Trigger)</f>
        <v>0.51833926447573242</v>
      </c>
    </row>
    <row r="12900" spans="25:26" x14ac:dyDescent="0.25">
      <c r="Y12900" s="63">
        <v>55433</v>
      </c>
      <c r="Z12900" s="61">
        <f>_xll.qlYieldTSDiscount($U$35,Y12900,,Trigger)</f>
        <v>0.51830488698613952</v>
      </c>
    </row>
    <row r="12901" spans="25:26" x14ac:dyDescent="0.25">
      <c r="Y12901" s="63">
        <v>55434</v>
      </c>
      <c r="Z12901" s="61">
        <f>_xll.qlYieldTSDiscount($U$35,Y12901,,Trigger)</f>
        <v>0.51827051280718484</v>
      </c>
    </row>
    <row r="12902" spans="25:26" x14ac:dyDescent="0.25">
      <c r="Y12902" s="63">
        <v>55435</v>
      </c>
      <c r="Z12902" s="61">
        <f>_xll.qlYieldTSDiscount($U$35,Y12902,,Trigger)</f>
        <v>0.51823614193850231</v>
      </c>
    </row>
    <row r="12903" spans="25:26" x14ac:dyDescent="0.25">
      <c r="Y12903" s="63">
        <v>55436</v>
      </c>
      <c r="Z12903" s="61">
        <f>_xll.qlYieldTSDiscount($U$35,Y12903,,Trigger)</f>
        <v>0.51820177437972603</v>
      </c>
    </row>
    <row r="12904" spans="25:26" x14ac:dyDescent="0.25">
      <c r="Y12904" s="63">
        <v>55437</v>
      </c>
      <c r="Z12904" s="61">
        <f>_xll.qlYieldTSDiscount($U$35,Y12904,,Trigger)</f>
        <v>0.51816741013049017</v>
      </c>
    </row>
    <row r="12905" spans="25:26" x14ac:dyDescent="0.25">
      <c r="Y12905" s="63">
        <v>55438</v>
      </c>
      <c r="Z12905" s="61">
        <f>_xll.qlYieldTSDiscount($U$35,Y12905,,Trigger)</f>
        <v>0.51813304919042846</v>
      </c>
    </row>
    <row r="12906" spans="25:26" x14ac:dyDescent="0.25">
      <c r="Y12906" s="63">
        <v>55439</v>
      </c>
      <c r="Z12906" s="61">
        <f>_xll.qlYieldTSDiscount($U$35,Y12906,,Trigger)</f>
        <v>0.51809869155917521</v>
      </c>
    </row>
    <row r="12907" spans="25:26" x14ac:dyDescent="0.25">
      <c r="Y12907" s="63">
        <v>55440</v>
      </c>
      <c r="Z12907" s="61">
        <f>_xll.qlYieldTSDiscount($U$35,Y12907,,Trigger)</f>
        <v>0.51806433723636414</v>
      </c>
    </row>
    <row r="12908" spans="25:26" x14ac:dyDescent="0.25">
      <c r="Y12908" s="63">
        <v>55441</v>
      </c>
      <c r="Z12908" s="61">
        <f>_xll.qlYieldTSDiscount($U$35,Y12908,,Trigger)</f>
        <v>0.51802998622162955</v>
      </c>
    </row>
    <row r="12909" spans="25:26" x14ac:dyDescent="0.25">
      <c r="Y12909" s="63">
        <v>55442</v>
      </c>
      <c r="Z12909" s="61">
        <f>_xll.qlYieldTSDiscount($U$35,Y12909,,Trigger)</f>
        <v>0.51799563851460539</v>
      </c>
    </row>
    <row r="12910" spans="25:26" x14ac:dyDescent="0.25">
      <c r="Y12910" s="63">
        <v>55443</v>
      </c>
      <c r="Z12910" s="61">
        <f>_xll.qlYieldTSDiscount($U$35,Y12910,,Trigger)</f>
        <v>0.51796129411492553</v>
      </c>
    </row>
    <row r="12911" spans="25:26" x14ac:dyDescent="0.25">
      <c r="Y12911" s="63">
        <v>55444</v>
      </c>
      <c r="Z12911" s="61">
        <f>_xll.qlYieldTSDiscount($U$35,Y12911,,Trigger)</f>
        <v>0.51792695302222413</v>
      </c>
    </row>
    <row r="12912" spans="25:26" x14ac:dyDescent="0.25">
      <c r="Y12912" s="63">
        <v>55445</v>
      </c>
      <c r="Z12912" s="61">
        <f>_xll.qlYieldTSDiscount($U$35,Y12912,,Trigger)</f>
        <v>0.51789261523613517</v>
      </c>
    </row>
    <row r="12913" spans="25:26" x14ac:dyDescent="0.25">
      <c r="Y12913" s="63">
        <v>55446</v>
      </c>
      <c r="Z12913" s="61">
        <f>_xll.qlYieldTSDiscount($U$35,Y12913,,Trigger)</f>
        <v>0.5178582807562927</v>
      </c>
    </row>
    <row r="12914" spans="25:26" x14ac:dyDescent="0.25">
      <c r="Y12914" s="63">
        <v>55447</v>
      </c>
      <c r="Z12914" s="61">
        <f>_xll.qlYieldTSDiscount($U$35,Y12914,,Trigger)</f>
        <v>0.51782394958233091</v>
      </c>
    </row>
    <row r="12915" spans="25:26" x14ac:dyDescent="0.25">
      <c r="Y12915" s="63">
        <v>55448</v>
      </c>
      <c r="Z12915" s="61">
        <f>_xll.qlYieldTSDiscount($U$35,Y12915,,Trigger)</f>
        <v>0.51778962171388343</v>
      </c>
    </row>
    <row r="12916" spans="25:26" x14ac:dyDescent="0.25">
      <c r="Y12916" s="63">
        <v>55449</v>
      </c>
      <c r="Z12916" s="61">
        <f>_xll.qlYieldTSDiscount($U$35,Y12916,,Trigger)</f>
        <v>0.51775529715058444</v>
      </c>
    </row>
    <row r="12917" spans="25:26" x14ac:dyDescent="0.25">
      <c r="Y12917" s="63">
        <v>55450</v>
      </c>
      <c r="Z12917" s="61">
        <f>_xll.qlYieldTSDiscount($U$35,Y12917,,Trigger)</f>
        <v>0.51772097589206822</v>
      </c>
    </row>
    <row r="12918" spans="25:26" x14ac:dyDescent="0.25">
      <c r="Y12918" s="63">
        <v>55451</v>
      </c>
      <c r="Z12918" s="61">
        <f>_xll.qlYieldTSDiscount($U$35,Y12918,,Trigger)</f>
        <v>0.51768665793796842</v>
      </c>
    </row>
    <row r="12919" spans="25:26" x14ac:dyDescent="0.25">
      <c r="Y12919" s="63">
        <v>55452</v>
      </c>
      <c r="Z12919" s="61">
        <f>_xll.qlYieldTSDiscount($U$35,Y12919,,Trigger)</f>
        <v>0.5176523432879192</v>
      </c>
    </row>
    <row r="12920" spans="25:26" x14ac:dyDescent="0.25">
      <c r="Y12920" s="63">
        <v>55453</v>
      </c>
      <c r="Z12920" s="61">
        <f>_xll.qlYieldTSDiscount($U$35,Y12920,,Trigger)</f>
        <v>0.51761803194155476</v>
      </c>
    </row>
    <row r="12921" spans="25:26" x14ac:dyDescent="0.25">
      <c r="Y12921" s="63">
        <v>55454</v>
      </c>
      <c r="Z12921" s="61">
        <f>_xll.qlYieldTSDiscount($U$35,Y12921,,Trigger)</f>
        <v>0.51758372389850893</v>
      </c>
    </row>
    <row r="12922" spans="25:26" x14ac:dyDescent="0.25">
      <c r="Y12922" s="63">
        <v>55455</v>
      </c>
      <c r="Z12922" s="61">
        <f>_xll.qlYieldTSDiscount($U$35,Y12922,,Trigger)</f>
        <v>0.51754941915841568</v>
      </c>
    </row>
    <row r="12923" spans="25:26" x14ac:dyDescent="0.25">
      <c r="Y12923" s="63">
        <v>55456</v>
      </c>
      <c r="Z12923" s="61">
        <f>_xll.qlYieldTSDiscount($U$35,Y12923,,Trigger)</f>
        <v>0.51751511772090919</v>
      </c>
    </row>
    <row r="12924" spans="25:26" x14ac:dyDescent="0.25">
      <c r="Y12924" s="63">
        <v>55457</v>
      </c>
      <c r="Z12924" s="61">
        <f>_xll.qlYieldTSDiscount($U$35,Y12924,,Trigger)</f>
        <v>0.51748081958562342</v>
      </c>
    </row>
    <row r="12925" spans="25:26" x14ac:dyDescent="0.25">
      <c r="Y12925" s="63">
        <v>55458</v>
      </c>
      <c r="Z12925" s="61">
        <f>_xll.qlYieldTSDiscount($U$35,Y12925,,Trigger)</f>
        <v>0.51744652475219244</v>
      </c>
    </row>
    <row r="12926" spans="25:26" x14ac:dyDescent="0.25">
      <c r="Y12926" s="63">
        <v>55459</v>
      </c>
      <c r="Z12926" s="61">
        <f>_xll.qlYieldTSDiscount($U$35,Y12926,,Trigger)</f>
        <v>0.5174122332202501</v>
      </c>
    </row>
    <row r="12927" spans="25:26" x14ac:dyDescent="0.25">
      <c r="Y12927" s="63">
        <v>55460</v>
      </c>
      <c r="Z12927" s="61">
        <f>_xll.qlYieldTSDiscount($U$35,Y12927,,Trigger)</f>
        <v>0.51737794498943068</v>
      </c>
    </row>
    <row r="12928" spans="25:26" x14ac:dyDescent="0.25">
      <c r="Y12928" s="63">
        <v>55461</v>
      </c>
      <c r="Z12928" s="61">
        <f>_xll.qlYieldTSDiscount($U$35,Y12928,,Trigger)</f>
        <v>0.51734366005936794</v>
      </c>
    </row>
    <row r="12929" spans="25:26" x14ac:dyDescent="0.25">
      <c r="Y12929" s="63">
        <v>55462</v>
      </c>
      <c r="Z12929" s="61">
        <f>_xll.qlYieldTSDiscount($U$35,Y12929,,Trigger)</f>
        <v>0.51730937842969604</v>
      </c>
    </row>
    <row r="12930" spans="25:26" x14ac:dyDescent="0.25">
      <c r="Y12930" s="63">
        <v>55463</v>
      </c>
      <c r="Z12930" s="61">
        <f>_xll.qlYieldTSDiscount($U$35,Y12930,,Trigger)</f>
        <v>0.51727510010004907</v>
      </c>
    </row>
    <row r="12931" spans="25:26" x14ac:dyDescent="0.25">
      <c r="Y12931" s="63">
        <v>55464</v>
      </c>
      <c r="Z12931" s="61">
        <f>_xll.qlYieldTSDiscount($U$35,Y12931,,Trigger)</f>
        <v>0.51724082507006086</v>
      </c>
    </row>
    <row r="12932" spans="25:26" x14ac:dyDescent="0.25">
      <c r="Y12932" s="63">
        <v>55465</v>
      </c>
      <c r="Z12932" s="61">
        <f>_xll.qlYieldTSDiscount($U$35,Y12932,,Trigger)</f>
        <v>0.5172065533393656</v>
      </c>
    </row>
    <row r="12933" spans="25:26" x14ac:dyDescent="0.25">
      <c r="Y12933" s="63">
        <v>55466</v>
      </c>
      <c r="Z12933" s="61">
        <f>_xll.qlYieldTSDiscount($U$35,Y12933,,Trigger)</f>
        <v>0.51717228490759726</v>
      </c>
    </row>
    <row r="12934" spans="25:26" x14ac:dyDescent="0.25">
      <c r="Y12934" s="63">
        <v>55467</v>
      </c>
      <c r="Z12934" s="61">
        <f>_xll.qlYieldTSDiscount($U$35,Y12934,,Trigger)</f>
        <v>0.51713801977438978</v>
      </c>
    </row>
    <row r="12935" spans="25:26" x14ac:dyDescent="0.25">
      <c r="Y12935" s="63">
        <v>55468</v>
      </c>
      <c r="Z12935" s="61">
        <f>_xll.qlYieldTSDiscount($U$35,Y12935,,Trigger)</f>
        <v>0.51710375793937735</v>
      </c>
    </row>
    <row r="12936" spans="25:26" x14ac:dyDescent="0.25">
      <c r="Y12936" s="63">
        <v>55469</v>
      </c>
      <c r="Z12936" s="61">
        <f>_xll.qlYieldTSDiscount($U$35,Y12936,,Trigger)</f>
        <v>0.51706949940219393</v>
      </c>
    </row>
    <row r="12937" spans="25:26" x14ac:dyDescent="0.25">
      <c r="Y12937" s="63">
        <v>55470</v>
      </c>
      <c r="Z12937" s="61">
        <f>_xll.qlYieldTSDiscount($U$35,Y12937,,Trigger)</f>
        <v>0.51703524416247348</v>
      </c>
    </row>
    <row r="12938" spans="25:26" x14ac:dyDescent="0.25">
      <c r="Y12938" s="63">
        <v>55471</v>
      </c>
      <c r="Z12938" s="61">
        <f>_xll.qlYieldTSDiscount($U$35,Y12938,,Trigger)</f>
        <v>0.51700099221984996</v>
      </c>
    </row>
    <row r="12939" spans="25:26" x14ac:dyDescent="0.25">
      <c r="Y12939" s="63">
        <v>55472</v>
      </c>
      <c r="Z12939" s="61">
        <f>_xll.qlYieldTSDiscount($U$35,Y12939,,Trigger)</f>
        <v>0.51696674357395755</v>
      </c>
    </row>
    <row r="12940" spans="25:26" x14ac:dyDescent="0.25">
      <c r="Y12940" s="63">
        <v>55473</v>
      </c>
      <c r="Z12940" s="61">
        <f>_xll.qlYieldTSDiscount($U$35,Y12940,,Trigger)</f>
        <v>0.51693249822443021</v>
      </c>
    </row>
    <row r="12941" spans="25:26" x14ac:dyDescent="0.25">
      <c r="Y12941" s="63">
        <v>55474</v>
      </c>
      <c r="Z12941" s="61">
        <f>_xll.qlYieldTSDiscount($U$35,Y12941,,Trigger)</f>
        <v>0.5168982561709019</v>
      </c>
    </row>
    <row r="12942" spans="25:26" x14ac:dyDescent="0.25">
      <c r="Y12942" s="63">
        <v>55475</v>
      </c>
      <c r="Z12942" s="61">
        <f>_xll.qlYieldTSDiscount($U$35,Y12942,,Trigger)</f>
        <v>0.5168640174130068</v>
      </c>
    </row>
    <row r="12943" spans="25:26" x14ac:dyDescent="0.25">
      <c r="Y12943" s="63">
        <v>55476</v>
      </c>
      <c r="Z12943" s="61">
        <f>_xll.qlYieldTSDiscount($U$35,Y12943,,Trigger)</f>
        <v>0.51682978195037876</v>
      </c>
    </row>
    <row r="12944" spans="25:26" x14ac:dyDescent="0.25">
      <c r="Y12944" s="63">
        <v>55477</v>
      </c>
      <c r="Z12944" s="61">
        <f>_xll.qlYieldTSDiscount($U$35,Y12944,,Trigger)</f>
        <v>0.51679554978265185</v>
      </c>
    </row>
    <row r="12945" spans="25:26" x14ac:dyDescent="0.25">
      <c r="Y12945" s="63">
        <v>55478</v>
      </c>
      <c r="Z12945" s="61">
        <f>_xll.qlYieldTSDiscount($U$35,Y12945,,Trigger)</f>
        <v>0.51676132090946014</v>
      </c>
    </row>
    <row r="12946" spans="25:26" x14ac:dyDescent="0.25">
      <c r="Y12946" s="63">
        <v>55479</v>
      </c>
      <c r="Z12946" s="61">
        <f>_xll.qlYieldTSDiscount($U$35,Y12946,,Trigger)</f>
        <v>0.5167270953304377</v>
      </c>
    </row>
    <row r="12947" spans="25:26" x14ac:dyDescent="0.25">
      <c r="Y12947" s="63">
        <v>55480</v>
      </c>
      <c r="Z12947" s="61">
        <f>_xll.qlYieldTSDiscount($U$35,Y12947,,Trigger)</f>
        <v>0.51669287304521849</v>
      </c>
    </row>
    <row r="12948" spans="25:26" x14ac:dyDescent="0.25">
      <c r="Y12948" s="63">
        <v>55481</v>
      </c>
      <c r="Z12948" s="61">
        <f>_xll.qlYieldTSDiscount($U$35,Y12948,,Trigger)</f>
        <v>0.51665865405343636</v>
      </c>
    </row>
    <row r="12949" spans="25:26" x14ac:dyDescent="0.25">
      <c r="Y12949" s="63">
        <v>55482</v>
      </c>
      <c r="Z12949" s="61">
        <f>_xll.qlYieldTSDiscount($U$35,Y12949,,Trigger)</f>
        <v>0.5166244383547256</v>
      </c>
    </row>
    <row r="12950" spans="25:26" x14ac:dyDescent="0.25">
      <c r="Y12950" s="63">
        <v>55483</v>
      </c>
      <c r="Z12950" s="61">
        <f>_xll.qlYieldTSDiscount($U$35,Y12950,,Trigger)</f>
        <v>0.51659022594872017</v>
      </c>
    </row>
    <row r="12951" spans="25:26" x14ac:dyDescent="0.25">
      <c r="Y12951" s="63">
        <v>55484</v>
      </c>
      <c r="Z12951" s="61">
        <f>_xll.qlYieldTSDiscount($U$35,Y12951,,Trigger)</f>
        <v>0.51655601683505392</v>
      </c>
    </row>
    <row r="12952" spans="25:26" x14ac:dyDescent="0.25">
      <c r="Y12952" s="63">
        <v>55485</v>
      </c>
      <c r="Z12952" s="61">
        <f>_xll.qlYieldTSDiscount($U$35,Y12952,,Trigger)</f>
        <v>0.51652181101336103</v>
      </c>
    </row>
    <row r="12953" spans="25:26" x14ac:dyDescent="0.25">
      <c r="Y12953" s="63">
        <v>55486</v>
      </c>
      <c r="Z12953" s="61">
        <f>_xll.qlYieldTSDiscount($U$35,Y12953,,Trigger)</f>
        <v>0.51648760848327568</v>
      </c>
    </row>
    <row r="12954" spans="25:26" x14ac:dyDescent="0.25">
      <c r="Y12954" s="63">
        <v>55487</v>
      </c>
      <c r="Z12954" s="61">
        <f>_xll.qlYieldTSDiscount($U$35,Y12954,,Trigger)</f>
        <v>0.5164534092444315</v>
      </c>
    </row>
    <row r="12955" spans="25:26" x14ac:dyDescent="0.25">
      <c r="Y12955" s="63">
        <v>55488</v>
      </c>
      <c r="Z12955" s="61">
        <f>_xll.qlYieldTSDiscount($U$35,Y12955,,Trigger)</f>
        <v>0.51641921329646268</v>
      </c>
    </row>
    <row r="12956" spans="25:26" x14ac:dyDescent="0.25">
      <c r="Y12956" s="63">
        <v>55489</v>
      </c>
      <c r="Z12956" s="61">
        <f>_xll.qlYieldTSDiscount($U$35,Y12956,,Trigger)</f>
        <v>0.51638502063900349</v>
      </c>
    </row>
    <row r="12957" spans="25:26" x14ac:dyDescent="0.25">
      <c r="Y12957" s="63">
        <v>55490</v>
      </c>
      <c r="Z12957" s="61">
        <f>_xll.qlYieldTSDiscount($U$35,Y12957,,Trigger)</f>
        <v>0.51635083127168757</v>
      </c>
    </row>
    <row r="12958" spans="25:26" x14ac:dyDescent="0.25">
      <c r="Y12958" s="63">
        <v>55491</v>
      </c>
      <c r="Z12958" s="61">
        <f>_xll.qlYieldTSDiscount($U$35,Y12958,,Trigger)</f>
        <v>0.5163166451941491</v>
      </c>
    </row>
    <row r="12959" spans="25:26" x14ac:dyDescent="0.25">
      <c r="Y12959" s="63">
        <v>55492</v>
      </c>
      <c r="Z12959" s="61">
        <f>_xll.qlYieldTSDiscount($U$35,Y12959,,Trigger)</f>
        <v>0.51628246240602216</v>
      </c>
    </row>
    <row r="12960" spans="25:26" x14ac:dyDescent="0.25">
      <c r="Y12960" s="63">
        <v>55493</v>
      </c>
      <c r="Z12960" s="61">
        <f>_xll.qlYieldTSDiscount($U$35,Y12960,,Trigger)</f>
        <v>0.51624828290694069</v>
      </c>
    </row>
    <row r="12961" spans="25:26" x14ac:dyDescent="0.25">
      <c r="Y12961" s="63">
        <v>55494</v>
      </c>
      <c r="Z12961" s="61">
        <f>_xll.qlYieldTSDiscount($U$35,Y12961,,Trigger)</f>
        <v>0.51621410669653878</v>
      </c>
    </row>
    <row r="12962" spans="25:26" x14ac:dyDescent="0.25">
      <c r="Y12962" s="63">
        <v>55495</v>
      </c>
      <c r="Z12962" s="61">
        <f>_xll.qlYieldTSDiscount($U$35,Y12962,,Trigger)</f>
        <v>0.51617993377445048</v>
      </c>
    </row>
    <row r="12963" spans="25:26" x14ac:dyDescent="0.25">
      <c r="Y12963" s="63">
        <v>55496</v>
      </c>
      <c r="Z12963" s="61">
        <f>_xll.qlYieldTSDiscount($U$35,Y12963,,Trigger)</f>
        <v>0.51614576414030966</v>
      </c>
    </row>
    <row r="12964" spans="25:26" x14ac:dyDescent="0.25">
      <c r="Y12964" s="63">
        <v>55497</v>
      </c>
      <c r="Z12964" s="61">
        <f>_xll.qlYieldTSDiscount($U$35,Y12964,,Trigger)</f>
        <v>0.51611159779375049</v>
      </c>
    </row>
    <row r="12965" spans="25:26" x14ac:dyDescent="0.25">
      <c r="Y12965" s="63">
        <v>55498</v>
      </c>
      <c r="Z12965" s="61">
        <f>_xll.qlYieldTSDiscount($U$35,Y12965,,Trigger)</f>
        <v>0.51607743473440693</v>
      </c>
    </row>
    <row r="12966" spans="25:26" x14ac:dyDescent="0.25">
      <c r="Y12966" s="63">
        <v>55499</v>
      </c>
      <c r="Z12966" s="61">
        <f>_xll.qlYieldTSDiscount($U$35,Y12966,,Trigger)</f>
        <v>0.51604327496191293</v>
      </c>
    </row>
    <row r="12967" spans="25:26" x14ac:dyDescent="0.25">
      <c r="Y12967" s="63">
        <v>55500</v>
      </c>
      <c r="Z12967" s="61">
        <f>_xll.qlYieldTSDiscount($U$35,Y12967,,Trigger)</f>
        <v>0.51600911847590258</v>
      </c>
    </row>
    <row r="12968" spans="25:26" x14ac:dyDescent="0.25">
      <c r="Y12968" s="63">
        <v>55501</v>
      </c>
      <c r="Z12968" s="61">
        <f>_xll.qlYieldTSDiscount($U$35,Y12968,,Trigger)</f>
        <v>0.51597496527600994</v>
      </c>
    </row>
    <row r="12969" spans="25:26" x14ac:dyDescent="0.25">
      <c r="Y12969" s="63">
        <v>55502</v>
      </c>
      <c r="Z12969" s="61">
        <f>_xll.qlYieldTSDiscount($U$35,Y12969,,Trigger)</f>
        <v>0.51594081536186909</v>
      </c>
    </row>
    <row r="12970" spans="25:26" x14ac:dyDescent="0.25">
      <c r="Y12970" s="63">
        <v>55503</v>
      </c>
      <c r="Z12970" s="61">
        <f>_xll.qlYieldTSDiscount($U$35,Y12970,,Trigger)</f>
        <v>0.51590666873311386</v>
      </c>
    </row>
    <row r="12971" spans="25:26" x14ac:dyDescent="0.25">
      <c r="Y12971" s="63">
        <v>55504</v>
      </c>
      <c r="Z12971" s="61">
        <f>_xll.qlYieldTSDiscount($U$35,Y12971,,Trigger)</f>
        <v>0.51587252538937833</v>
      </c>
    </row>
    <row r="12972" spans="25:26" x14ac:dyDescent="0.25">
      <c r="Y12972" s="63">
        <v>55505</v>
      </c>
      <c r="Z12972" s="61">
        <f>_xll.qlYieldTSDiscount($U$35,Y12972,,Trigger)</f>
        <v>0.51583838533029669</v>
      </c>
    </row>
    <row r="12973" spans="25:26" x14ac:dyDescent="0.25">
      <c r="Y12973" s="63">
        <v>55506</v>
      </c>
      <c r="Z12973" s="61">
        <f>_xll.qlYieldTSDiscount($U$35,Y12973,,Trigger)</f>
        <v>0.51580424855550278</v>
      </c>
    </row>
    <row r="12974" spans="25:26" x14ac:dyDescent="0.25">
      <c r="Y12974" s="63">
        <v>55507</v>
      </c>
      <c r="Z12974" s="61">
        <f>_xll.qlYieldTSDiscount($U$35,Y12974,,Trigger)</f>
        <v>0.51577011506463066</v>
      </c>
    </row>
    <row r="12975" spans="25:26" x14ac:dyDescent="0.25">
      <c r="Y12975" s="63">
        <v>55508</v>
      </c>
      <c r="Z12975" s="61">
        <f>_xll.qlYieldTSDiscount($U$35,Y12975,,Trigger)</f>
        <v>0.51573598485731442</v>
      </c>
    </row>
    <row r="12976" spans="25:26" x14ac:dyDescent="0.25">
      <c r="Y12976" s="63">
        <v>55509</v>
      </c>
      <c r="Z12976" s="61">
        <f>_xll.qlYieldTSDiscount($U$35,Y12976,,Trigger)</f>
        <v>0.51570185793318801</v>
      </c>
    </row>
    <row r="12977" spans="25:26" x14ac:dyDescent="0.25">
      <c r="Y12977" s="63">
        <v>55510</v>
      </c>
      <c r="Z12977" s="61">
        <f>_xll.qlYieldTSDiscount($U$35,Y12977,,Trigger)</f>
        <v>0.51566773429188539</v>
      </c>
    </row>
    <row r="12978" spans="25:26" x14ac:dyDescent="0.25">
      <c r="Y12978" s="63">
        <v>55511</v>
      </c>
      <c r="Z12978" s="61">
        <f>_xll.qlYieldTSDiscount($U$35,Y12978,,Trigger)</f>
        <v>0.51563361393304086</v>
      </c>
    </row>
    <row r="12979" spans="25:26" x14ac:dyDescent="0.25">
      <c r="Y12979" s="63">
        <v>55512</v>
      </c>
      <c r="Z12979" s="61">
        <f>_xll.qlYieldTSDiscount($U$35,Y12979,,Trigger)</f>
        <v>0.51559949685628814</v>
      </c>
    </row>
    <row r="12980" spans="25:26" x14ac:dyDescent="0.25">
      <c r="Y12980" s="63">
        <v>55513</v>
      </c>
      <c r="Z12980" s="61">
        <f>_xll.qlYieldTSDiscount($U$35,Y12980,,Trigger)</f>
        <v>0.51556538306126132</v>
      </c>
    </row>
    <row r="12981" spans="25:26" x14ac:dyDescent="0.25">
      <c r="Y12981" s="63">
        <v>55514</v>
      </c>
      <c r="Z12981" s="61">
        <f>_xll.qlYieldTSDiscount($U$35,Y12981,,Trigger)</f>
        <v>0.51553127254759457</v>
      </c>
    </row>
    <row r="12982" spans="25:26" x14ac:dyDescent="0.25">
      <c r="Y12982" s="63">
        <v>55515</v>
      </c>
      <c r="Z12982" s="61">
        <f>_xll.qlYieldTSDiscount($U$35,Y12982,,Trigger)</f>
        <v>0.51549716531492162</v>
      </c>
    </row>
    <row r="12983" spans="25:26" x14ac:dyDescent="0.25">
      <c r="Y12983" s="63">
        <v>55516</v>
      </c>
      <c r="Z12983" s="61">
        <f>_xll.qlYieldTSDiscount($U$35,Y12983,,Trigger)</f>
        <v>0.51546306136287678</v>
      </c>
    </row>
    <row r="12984" spans="25:26" x14ac:dyDescent="0.25">
      <c r="Y12984" s="63">
        <v>55517</v>
      </c>
      <c r="Z12984" s="61">
        <f>_xll.qlYieldTSDiscount($U$35,Y12984,,Trigger)</f>
        <v>0.51542896069109401</v>
      </c>
    </row>
    <row r="12985" spans="25:26" x14ac:dyDescent="0.25">
      <c r="Y12985" s="63">
        <v>55518</v>
      </c>
      <c r="Z12985" s="61">
        <f>_xll.qlYieldTSDiscount($U$35,Y12985,,Trigger)</f>
        <v>0.51539486329920725</v>
      </c>
    </row>
    <row r="12986" spans="25:26" x14ac:dyDescent="0.25">
      <c r="Y12986" s="63">
        <v>55519</v>
      </c>
      <c r="Z12986" s="61">
        <f>_xll.qlYieldTSDiscount($U$35,Y12986,,Trigger)</f>
        <v>0.51536076918685059</v>
      </c>
    </row>
    <row r="12987" spans="25:26" x14ac:dyDescent="0.25">
      <c r="Y12987" s="63">
        <v>55520</v>
      </c>
      <c r="Z12987" s="61">
        <f>_xll.qlYieldTSDiscount($U$35,Y12987,,Trigger)</f>
        <v>0.51532667835365797</v>
      </c>
    </row>
    <row r="12988" spans="25:26" x14ac:dyDescent="0.25">
      <c r="Y12988" s="63">
        <v>55521</v>
      </c>
      <c r="Z12988" s="61">
        <f>_xll.qlYieldTSDiscount($U$35,Y12988,,Trigger)</f>
        <v>0.51529259079926359</v>
      </c>
    </row>
    <row r="12989" spans="25:26" x14ac:dyDescent="0.25">
      <c r="Y12989" s="63">
        <v>55522</v>
      </c>
      <c r="Z12989" s="61">
        <f>_xll.qlYieldTSDiscount($U$35,Y12989,,Trigger)</f>
        <v>0.51525850652330119</v>
      </c>
    </row>
    <row r="12990" spans="25:26" x14ac:dyDescent="0.25">
      <c r="Y12990" s="63">
        <v>55523</v>
      </c>
      <c r="Z12990" s="61">
        <f>_xll.qlYieldTSDiscount($U$35,Y12990,,Trigger)</f>
        <v>0.51522442552540504</v>
      </c>
    </row>
    <row r="12991" spans="25:26" x14ac:dyDescent="0.25">
      <c r="Y12991" s="63">
        <v>55524</v>
      </c>
      <c r="Z12991" s="61">
        <f>_xll.qlYieldTSDiscount($U$35,Y12991,,Trigger)</f>
        <v>0.515190347805209</v>
      </c>
    </row>
    <row r="12992" spans="25:26" x14ac:dyDescent="0.25">
      <c r="Y12992" s="63">
        <v>55525</v>
      </c>
      <c r="Z12992" s="61">
        <f>_xll.qlYieldTSDiscount($U$35,Y12992,,Trigger)</f>
        <v>0.51515627336234726</v>
      </c>
    </row>
    <row r="12993" spans="25:26" x14ac:dyDescent="0.25">
      <c r="Y12993" s="63">
        <v>55526</v>
      </c>
      <c r="Z12993" s="61">
        <f>_xll.qlYieldTSDiscount($U$35,Y12993,,Trigger)</f>
        <v>0.51512220219645366</v>
      </c>
    </row>
    <row r="12994" spans="25:26" x14ac:dyDescent="0.25">
      <c r="Y12994" s="63">
        <v>55527</v>
      </c>
      <c r="Z12994" s="61">
        <f>_xll.qlYieldTSDiscount($U$35,Y12994,,Trigger)</f>
        <v>0.51508813430716238</v>
      </c>
    </row>
    <row r="12995" spans="25:26" x14ac:dyDescent="0.25">
      <c r="Y12995" s="63">
        <v>55528</v>
      </c>
      <c r="Z12995" s="61">
        <f>_xll.qlYieldTSDiscount($U$35,Y12995,,Trigger)</f>
        <v>0.51505406969410727</v>
      </c>
    </row>
    <row r="12996" spans="25:26" x14ac:dyDescent="0.25">
      <c r="Y12996" s="63">
        <v>55529</v>
      </c>
      <c r="Z12996" s="61">
        <f>_xll.qlYieldTSDiscount($U$35,Y12996,,Trigger)</f>
        <v>0.51502000835692252</v>
      </c>
    </row>
    <row r="12997" spans="25:26" x14ac:dyDescent="0.25">
      <c r="Y12997" s="63">
        <v>55530</v>
      </c>
      <c r="Z12997" s="61">
        <f>_xll.qlYieldTSDiscount($U$35,Y12997,,Trigger)</f>
        <v>0.51498595029524208</v>
      </c>
    </row>
    <row r="12998" spans="25:26" x14ac:dyDescent="0.25">
      <c r="Y12998" s="63">
        <v>55531</v>
      </c>
      <c r="Z12998" s="61">
        <f>_xll.qlYieldTSDiscount($U$35,Y12998,,Trigger)</f>
        <v>0.51495189550870002</v>
      </c>
    </row>
    <row r="12999" spans="25:26" x14ac:dyDescent="0.25">
      <c r="Y12999" s="63">
        <v>55532</v>
      </c>
      <c r="Z12999" s="61">
        <f>_xll.qlYieldTSDiscount($U$35,Y12999,,Trigger)</f>
        <v>0.51491784399693019</v>
      </c>
    </row>
    <row r="13000" spans="25:26" x14ac:dyDescent="0.25">
      <c r="Y13000" s="63">
        <v>55533</v>
      </c>
      <c r="Z13000" s="61">
        <f>_xll.qlYieldTSDiscount($U$35,Y13000,,Trigger)</f>
        <v>0.51488379575956678</v>
      </c>
    </row>
    <row r="13001" spans="25:26" x14ac:dyDescent="0.25">
      <c r="Y13001" s="63">
        <v>55534</v>
      </c>
      <c r="Z13001" s="61">
        <f>_xll.qlYieldTSDiscount($U$35,Y13001,,Trigger)</f>
        <v>0.51484975079624384</v>
      </c>
    </row>
    <row r="13002" spans="25:26" x14ac:dyDescent="0.25">
      <c r="Y13002" s="63">
        <v>55535</v>
      </c>
      <c r="Z13002" s="61">
        <f>_xll.qlYieldTSDiscount($U$35,Y13002,,Trigger)</f>
        <v>0.51481570910659524</v>
      </c>
    </row>
    <row r="13003" spans="25:26" x14ac:dyDescent="0.25">
      <c r="Y13003" s="63">
        <v>55536</v>
      </c>
      <c r="Z13003" s="61">
        <f>_xll.qlYieldTSDiscount($U$35,Y13003,,Trigger)</f>
        <v>0.51478167069025516</v>
      </c>
    </row>
    <row r="13004" spans="25:26" x14ac:dyDescent="0.25">
      <c r="Y13004" s="63">
        <v>55537</v>
      </c>
      <c r="Z13004" s="61">
        <f>_xll.qlYieldTSDiscount($U$35,Y13004,,Trigger)</f>
        <v>0.51474763554685754</v>
      </c>
    </row>
    <row r="13005" spans="25:26" x14ac:dyDescent="0.25">
      <c r="Y13005" s="63">
        <v>55538</v>
      </c>
      <c r="Z13005" s="61">
        <f>_xll.qlYieldTSDiscount($U$35,Y13005,,Trigger)</f>
        <v>0.51471360367603636</v>
      </c>
    </row>
    <row r="13006" spans="25:26" x14ac:dyDescent="0.25">
      <c r="Y13006" s="63">
        <v>55539</v>
      </c>
      <c r="Z13006" s="61">
        <f>_xll.qlYieldTSDiscount($U$35,Y13006,,Trigger)</f>
        <v>0.51467957507742568</v>
      </c>
    </row>
    <row r="13007" spans="25:26" x14ac:dyDescent="0.25">
      <c r="Y13007" s="63">
        <v>55540</v>
      </c>
      <c r="Z13007" s="61">
        <f>_xll.qlYieldTSDiscount($U$35,Y13007,,Trigger)</f>
        <v>0.51464554975065957</v>
      </c>
    </row>
    <row r="13008" spans="25:26" x14ac:dyDescent="0.25">
      <c r="Y13008" s="63">
        <v>55541</v>
      </c>
      <c r="Z13008" s="61">
        <f>_xll.qlYieldTSDiscount($U$35,Y13008,,Trigger)</f>
        <v>0.514611527695372</v>
      </c>
    </row>
    <row r="13009" spans="25:26" x14ac:dyDescent="0.25">
      <c r="Y13009" s="63">
        <v>55542</v>
      </c>
      <c r="Z13009" s="61">
        <f>_xll.qlYieldTSDiscount($U$35,Y13009,,Trigger)</f>
        <v>0.51457750891119702</v>
      </c>
    </row>
    <row r="13010" spans="25:26" x14ac:dyDescent="0.25">
      <c r="Y13010" s="63">
        <v>55543</v>
      </c>
      <c r="Z13010" s="61">
        <f>_xll.qlYieldTSDiscount($U$35,Y13010,,Trigger)</f>
        <v>0.51454349339776861</v>
      </c>
    </row>
    <row r="13011" spans="25:26" x14ac:dyDescent="0.25">
      <c r="Y13011" s="63">
        <v>55544</v>
      </c>
      <c r="Z13011" s="61">
        <f>_xll.qlYieldTSDiscount($U$35,Y13011,,Trigger)</f>
        <v>0.51450948115472084</v>
      </c>
    </row>
    <row r="13012" spans="25:26" x14ac:dyDescent="0.25">
      <c r="Y13012" s="63">
        <v>55545</v>
      </c>
      <c r="Z13012" s="61">
        <f>_xll.qlYieldTSDiscount($U$35,Y13012,,Trigger)</f>
        <v>0.51447547218168765</v>
      </c>
    </row>
    <row r="13013" spans="25:26" x14ac:dyDescent="0.25">
      <c r="Y13013" s="63">
        <v>55546</v>
      </c>
      <c r="Z13013" s="61">
        <f>_xll.qlYieldTSDiscount($U$35,Y13013,,Trigger)</f>
        <v>0.51444146647830313</v>
      </c>
    </row>
    <row r="13014" spans="25:26" x14ac:dyDescent="0.25">
      <c r="Y13014" s="63">
        <v>55547</v>
      </c>
      <c r="Z13014" s="61">
        <f>_xll.qlYieldTSDiscount($U$35,Y13014,,Trigger)</f>
        <v>0.51440746404420135</v>
      </c>
    </row>
    <row r="13015" spans="25:26" x14ac:dyDescent="0.25">
      <c r="Y13015" s="63">
        <v>55548</v>
      </c>
      <c r="Z13015" s="61">
        <f>_xll.qlYieldTSDiscount($U$35,Y13015,,Trigger)</f>
        <v>0.51437346487901625</v>
      </c>
    </row>
    <row r="13016" spans="25:26" x14ac:dyDescent="0.25">
      <c r="Y13016" s="63">
        <v>55549</v>
      </c>
      <c r="Z13016" s="61">
        <f>_xll.qlYieldTSDiscount($U$35,Y13016,,Trigger)</f>
        <v>0.51433946898238192</v>
      </c>
    </row>
    <row r="13017" spans="25:26" x14ac:dyDescent="0.25">
      <c r="Y13017" s="63">
        <v>55550</v>
      </c>
      <c r="Z13017" s="61">
        <f>_xll.qlYieldTSDiscount($U$35,Y13017,,Trigger)</f>
        <v>0.51430547635393231</v>
      </c>
    </row>
    <row r="13018" spans="25:26" x14ac:dyDescent="0.25">
      <c r="Y13018" s="63">
        <v>55551</v>
      </c>
      <c r="Z13018" s="61">
        <f>_xll.qlYieldTSDiscount($U$35,Y13018,,Trigger)</f>
        <v>0.5142714869933015</v>
      </c>
    </row>
    <row r="13019" spans="25:26" x14ac:dyDescent="0.25">
      <c r="Y13019" s="63">
        <v>55552</v>
      </c>
      <c r="Z13019" s="61">
        <f>_xll.qlYieldTSDiscount($U$35,Y13019,,Trigger)</f>
        <v>0.51423750090012343</v>
      </c>
    </row>
    <row r="13020" spans="25:26" x14ac:dyDescent="0.25">
      <c r="Y13020" s="63">
        <v>55553</v>
      </c>
      <c r="Z13020" s="61">
        <f>_xll.qlYieldTSDiscount($U$35,Y13020,,Trigger)</f>
        <v>0.5142035180740322</v>
      </c>
    </row>
    <row r="13021" spans="25:26" x14ac:dyDescent="0.25">
      <c r="Y13021" s="63">
        <v>55554</v>
      </c>
      <c r="Z13021" s="61">
        <f>_xll.qlYieldTSDiscount($U$35,Y13021,,Trigger)</f>
        <v>0.51416953851466185</v>
      </c>
    </row>
    <row r="13022" spans="25:26" x14ac:dyDescent="0.25">
      <c r="Y13022" s="63">
        <v>55555</v>
      </c>
      <c r="Z13022" s="61">
        <f>_xll.qlYieldTSDiscount($U$35,Y13022,,Trigger)</f>
        <v>0.51413556222164625</v>
      </c>
    </row>
    <row r="13023" spans="25:26" x14ac:dyDescent="0.25">
      <c r="Y13023" s="63">
        <v>55556</v>
      </c>
      <c r="Z13023" s="61">
        <f>_xll.qlYieldTSDiscount($U$35,Y13023,,Trigger)</f>
        <v>0.51410158919461968</v>
      </c>
    </row>
    <row r="13024" spans="25:26" x14ac:dyDescent="0.25">
      <c r="Y13024" s="63">
        <v>55557</v>
      </c>
      <c r="Z13024" s="61">
        <f>_xll.qlYieldTSDiscount($U$35,Y13024,,Trigger)</f>
        <v>0.51406761943321588</v>
      </c>
    </row>
    <row r="13025" spans="25:26" x14ac:dyDescent="0.25">
      <c r="Y13025" s="63">
        <v>55558</v>
      </c>
      <c r="Z13025" s="61">
        <f>_xll.qlYieldTSDiscount($U$35,Y13025,,Trigger)</f>
        <v>0.51403365293706904</v>
      </c>
    </row>
    <row r="13026" spans="25:26" x14ac:dyDescent="0.25">
      <c r="Y13026" s="63">
        <v>55559</v>
      </c>
      <c r="Z13026" s="61">
        <f>_xll.qlYieldTSDiscount($U$35,Y13026,,Trigger)</f>
        <v>0.51399968970581322</v>
      </c>
    </row>
    <row r="13027" spans="25:26" x14ac:dyDescent="0.25">
      <c r="Y13027" s="63">
        <v>55560</v>
      </c>
      <c r="Z13027" s="61">
        <f>_xll.qlYieldTSDiscount($U$35,Y13027,,Trigger)</f>
        <v>0.51396572973908228</v>
      </c>
    </row>
    <row r="13028" spans="25:26" x14ac:dyDescent="0.25">
      <c r="Y13028" s="63">
        <v>55561</v>
      </c>
      <c r="Z13028" s="61">
        <f>_xll.qlYieldTSDiscount($U$35,Y13028,,Trigger)</f>
        <v>0.51393177303651028</v>
      </c>
    </row>
    <row r="13029" spans="25:26" x14ac:dyDescent="0.25">
      <c r="Y13029" s="63">
        <v>55562</v>
      </c>
      <c r="Z13029" s="61">
        <f>_xll.qlYieldTSDiscount($U$35,Y13029,,Trigger)</f>
        <v>0.51389781959773129</v>
      </c>
    </row>
    <row r="13030" spans="25:26" x14ac:dyDescent="0.25">
      <c r="Y13030" s="63">
        <v>55563</v>
      </c>
      <c r="Z13030" s="61">
        <f>_xll.qlYieldTSDiscount($U$35,Y13030,,Trigger)</f>
        <v>0.51386386942237949</v>
      </c>
    </row>
    <row r="13031" spans="25:26" x14ac:dyDescent="0.25">
      <c r="Y13031" s="63">
        <v>55564</v>
      </c>
      <c r="Z13031" s="61">
        <f>_xll.qlYieldTSDiscount($U$35,Y13031,,Trigger)</f>
        <v>0.51382992251008863</v>
      </c>
    </row>
    <row r="13032" spans="25:26" x14ac:dyDescent="0.25">
      <c r="Y13032" s="63">
        <v>55565</v>
      </c>
      <c r="Z13032" s="61">
        <f>_xll.qlYieldTSDiscount($U$35,Y13032,,Trigger)</f>
        <v>0.51379597886049289</v>
      </c>
    </row>
    <row r="13033" spans="25:26" x14ac:dyDescent="0.25">
      <c r="Y13033" s="63">
        <v>55566</v>
      </c>
      <c r="Z13033" s="61">
        <f>_xll.qlYieldTSDiscount($U$35,Y13033,,Trigger)</f>
        <v>0.51376203847322632</v>
      </c>
    </row>
    <row r="13034" spans="25:26" x14ac:dyDescent="0.25">
      <c r="Y13034" s="63">
        <v>55567</v>
      </c>
      <c r="Z13034" s="61">
        <f>_xll.qlYieldTSDiscount($U$35,Y13034,,Trigger)</f>
        <v>0.51372810134792268</v>
      </c>
    </row>
    <row r="13035" spans="25:26" x14ac:dyDescent="0.25">
      <c r="Y13035" s="63">
        <v>55568</v>
      </c>
      <c r="Z13035" s="61">
        <f>_xll.qlYieldTSDiscount($U$35,Y13035,,Trigger)</f>
        <v>0.51369416748421637</v>
      </c>
    </row>
    <row r="13036" spans="25:26" x14ac:dyDescent="0.25">
      <c r="Y13036" s="63">
        <v>55569</v>
      </c>
      <c r="Z13036" s="61">
        <f>_xll.qlYieldTSDiscount($U$35,Y13036,,Trigger)</f>
        <v>0.51366023688174112</v>
      </c>
    </row>
    <row r="13037" spans="25:26" x14ac:dyDescent="0.25">
      <c r="Y13037" s="63">
        <v>55570</v>
      </c>
      <c r="Z13037" s="61">
        <f>_xll.qlYieldTSDiscount($U$35,Y13037,,Trigger)</f>
        <v>0.51362630954013111</v>
      </c>
    </row>
    <row r="13038" spans="25:26" x14ac:dyDescent="0.25">
      <c r="Y13038" s="63">
        <v>55571</v>
      </c>
      <c r="Z13038" s="61">
        <f>_xll.qlYieldTSDiscount($U$35,Y13038,,Trigger)</f>
        <v>0.51359238545902031</v>
      </c>
    </row>
    <row r="13039" spans="25:26" x14ac:dyDescent="0.25">
      <c r="Y13039" s="63">
        <v>55572</v>
      </c>
      <c r="Z13039" s="61">
        <f>_xll.qlYieldTSDiscount($U$35,Y13039,,Trigger)</f>
        <v>0.51355846463804267</v>
      </c>
    </row>
    <row r="13040" spans="25:26" x14ac:dyDescent="0.25">
      <c r="Y13040" s="63">
        <v>55573</v>
      </c>
      <c r="Z13040" s="61">
        <f>_xll.qlYieldTSDiscount($U$35,Y13040,,Trigger)</f>
        <v>0.51352454707683237</v>
      </c>
    </row>
    <row r="13041" spans="25:26" x14ac:dyDescent="0.25">
      <c r="Y13041" s="63">
        <v>55574</v>
      </c>
      <c r="Z13041" s="61">
        <f>_xll.qlYieldTSDiscount($U$35,Y13041,,Trigger)</f>
        <v>0.51349063277502327</v>
      </c>
    </row>
    <row r="13042" spans="25:26" x14ac:dyDescent="0.25">
      <c r="Y13042" s="63">
        <v>55575</v>
      </c>
      <c r="Z13042" s="61">
        <f>_xll.qlYieldTSDiscount($U$35,Y13042,,Trigger)</f>
        <v>0.51345672173224943</v>
      </c>
    </row>
    <row r="13043" spans="25:26" x14ac:dyDescent="0.25">
      <c r="Y13043" s="63">
        <v>55576</v>
      </c>
      <c r="Z13043" s="61">
        <f>_xll.qlYieldTSDiscount($U$35,Y13043,,Trigger)</f>
        <v>0.51342281394814504</v>
      </c>
    </row>
    <row r="13044" spans="25:26" x14ac:dyDescent="0.25">
      <c r="Y13044" s="63">
        <v>55577</v>
      </c>
      <c r="Z13044" s="61">
        <f>_xll.qlYieldTSDiscount($U$35,Y13044,,Trigger)</f>
        <v>0.51338890942234394</v>
      </c>
    </row>
    <row r="13045" spans="25:26" x14ac:dyDescent="0.25">
      <c r="Y13045" s="63">
        <v>55578</v>
      </c>
      <c r="Z13045" s="61">
        <f>_xll.qlYieldTSDiscount($U$35,Y13045,,Trigger)</f>
        <v>0.51335500815448021</v>
      </c>
    </row>
    <row r="13046" spans="25:26" x14ac:dyDescent="0.25">
      <c r="Y13046" s="63">
        <v>55579</v>
      </c>
      <c r="Z13046" s="61">
        <f>_xll.qlYieldTSDiscount($U$35,Y13046,,Trigger)</f>
        <v>0.5133211101441878</v>
      </c>
    </row>
    <row r="13047" spans="25:26" x14ac:dyDescent="0.25">
      <c r="Y13047" s="63">
        <v>55580</v>
      </c>
      <c r="Z13047" s="61">
        <f>_xll.qlYieldTSDiscount($U$35,Y13047,,Trigger)</f>
        <v>0.51328721539110089</v>
      </c>
    </row>
    <row r="13048" spans="25:26" x14ac:dyDescent="0.25">
      <c r="Y13048" s="63">
        <v>55581</v>
      </c>
      <c r="Z13048" s="61">
        <f>_xll.qlYieldTSDiscount($U$35,Y13048,,Trigger)</f>
        <v>0.51325332389485334</v>
      </c>
    </row>
    <row r="13049" spans="25:26" x14ac:dyDescent="0.25">
      <c r="Y13049" s="63">
        <v>55582</v>
      </c>
      <c r="Z13049" s="61">
        <f>_xll.qlYieldTSDiscount($U$35,Y13049,,Trigger)</f>
        <v>0.51321943565507921</v>
      </c>
    </row>
    <row r="13050" spans="25:26" x14ac:dyDescent="0.25">
      <c r="Y13050" s="63">
        <v>55583</v>
      </c>
      <c r="Z13050" s="61">
        <f>_xll.qlYieldTSDiscount($U$35,Y13050,,Trigger)</f>
        <v>0.51318555067141258</v>
      </c>
    </row>
    <row r="13051" spans="25:26" x14ac:dyDescent="0.25">
      <c r="Y13051" s="63">
        <v>55584</v>
      </c>
      <c r="Z13051" s="61">
        <f>_xll.qlYieldTSDiscount($U$35,Y13051,,Trigger)</f>
        <v>0.51315166894348752</v>
      </c>
    </row>
    <row r="13052" spans="25:26" x14ac:dyDescent="0.25">
      <c r="Y13052" s="63">
        <v>55585</v>
      </c>
      <c r="Z13052" s="61">
        <f>_xll.qlYieldTSDiscount($U$35,Y13052,,Trigger)</f>
        <v>0.51311779047093786</v>
      </c>
    </row>
    <row r="13053" spans="25:26" x14ac:dyDescent="0.25">
      <c r="Y13053" s="63">
        <v>55586</v>
      </c>
      <c r="Z13053" s="61">
        <f>_xll.qlYieldTSDiscount($U$35,Y13053,,Trigger)</f>
        <v>0.5130839152533978</v>
      </c>
    </row>
    <row r="13054" spans="25:26" x14ac:dyDescent="0.25">
      <c r="Y13054" s="63">
        <v>55587</v>
      </c>
      <c r="Z13054" s="61">
        <f>_xll.qlYieldTSDiscount($U$35,Y13054,,Trigger)</f>
        <v>0.5130500432905013</v>
      </c>
    </row>
    <row r="13055" spans="25:26" x14ac:dyDescent="0.25">
      <c r="Y13055" s="63">
        <v>55588</v>
      </c>
      <c r="Z13055" s="61">
        <f>_xll.qlYieldTSDiscount($U$35,Y13055,,Trigger)</f>
        <v>0.51301617458188242</v>
      </c>
    </row>
    <row r="13056" spans="25:26" x14ac:dyDescent="0.25">
      <c r="Y13056" s="63">
        <v>55589</v>
      </c>
      <c r="Z13056" s="61">
        <f>_xll.qlYieldTSDiscount($U$35,Y13056,,Trigger)</f>
        <v>0.51298230912717502</v>
      </c>
    </row>
    <row r="13057" spans="25:26" x14ac:dyDescent="0.25">
      <c r="Y13057" s="63">
        <v>55590</v>
      </c>
      <c r="Z13057" s="61">
        <f>_xll.qlYieldTSDiscount($U$35,Y13057,,Trigger)</f>
        <v>0.51294844692601327</v>
      </c>
    </row>
    <row r="13058" spans="25:26" x14ac:dyDescent="0.25">
      <c r="Y13058" s="63">
        <v>55591</v>
      </c>
      <c r="Z13058" s="61">
        <f>_xll.qlYieldTSDiscount($U$35,Y13058,,Trigger)</f>
        <v>0.51291458797803124</v>
      </c>
    </row>
    <row r="13059" spans="25:26" x14ac:dyDescent="0.25">
      <c r="Y13059" s="63">
        <v>55592</v>
      </c>
      <c r="Z13059" s="61">
        <f>_xll.qlYieldTSDiscount($U$35,Y13059,,Trigger)</f>
        <v>0.51288073228286291</v>
      </c>
    </row>
    <row r="13060" spans="25:26" x14ac:dyDescent="0.25">
      <c r="Y13060" s="63">
        <v>55593</v>
      </c>
      <c r="Z13060" s="61">
        <f>_xll.qlYieldTSDiscount($U$35,Y13060,,Trigger)</f>
        <v>0.51284687984014221</v>
      </c>
    </row>
    <row r="13061" spans="25:26" x14ac:dyDescent="0.25">
      <c r="Y13061" s="63">
        <v>55594</v>
      </c>
      <c r="Z13061" s="61">
        <f>_xll.qlYieldTSDiscount($U$35,Y13061,,Trigger)</f>
        <v>0.51281303064950312</v>
      </c>
    </row>
    <row r="13062" spans="25:26" x14ac:dyDescent="0.25">
      <c r="Y13062" s="63">
        <v>55595</v>
      </c>
      <c r="Z13062" s="61">
        <f>_xll.qlYieldTSDiscount($U$35,Y13062,,Trigger)</f>
        <v>0.51277918471057993</v>
      </c>
    </row>
    <row r="13063" spans="25:26" x14ac:dyDescent="0.25">
      <c r="Y13063" s="63">
        <v>55596</v>
      </c>
      <c r="Z13063" s="61">
        <f>_xll.qlYieldTSDiscount($U$35,Y13063,,Trigger)</f>
        <v>0.51274534202300648</v>
      </c>
    </row>
    <row r="13064" spans="25:26" x14ac:dyDescent="0.25">
      <c r="Y13064" s="63">
        <v>55597</v>
      </c>
      <c r="Z13064" s="61">
        <f>_xll.qlYieldTSDiscount($U$35,Y13064,,Trigger)</f>
        <v>0.51271150258641662</v>
      </c>
    </row>
    <row r="13065" spans="25:26" x14ac:dyDescent="0.25">
      <c r="Y13065" s="63">
        <v>55598</v>
      </c>
      <c r="Z13065" s="61">
        <f>_xll.qlYieldTSDiscount($U$35,Y13065,,Trigger)</f>
        <v>0.51267766640044476</v>
      </c>
    </row>
    <row r="13066" spans="25:26" x14ac:dyDescent="0.25">
      <c r="Y13066" s="63">
        <v>55599</v>
      </c>
      <c r="Z13066" s="61">
        <f>_xll.qlYieldTSDiscount($U$35,Y13066,,Trigger)</f>
        <v>0.51264383346472464</v>
      </c>
    </row>
    <row r="13067" spans="25:26" x14ac:dyDescent="0.25">
      <c r="Y13067" s="63">
        <v>55600</v>
      </c>
      <c r="Z13067" s="61">
        <f>_xll.qlYieldTSDiscount($U$35,Y13067,,Trigger)</f>
        <v>0.51261000377889043</v>
      </c>
    </row>
    <row r="13068" spans="25:26" x14ac:dyDescent="0.25">
      <c r="Y13068" s="63">
        <v>55601</v>
      </c>
      <c r="Z13068" s="61">
        <f>_xll.qlYieldTSDiscount($U$35,Y13068,,Trigger)</f>
        <v>0.5125761773425761</v>
      </c>
    </row>
    <row r="13069" spans="25:26" x14ac:dyDescent="0.25">
      <c r="Y13069" s="63">
        <v>55602</v>
      </c>
      <c r="Z13069" s="61">
        <f>_xll.qlYieldTSDiscount($U$35,Y13069,,Trigger)</f>
        <v>0.51254235415541549</v>
      </c>
    </row>
    <row r="13070" spans="25:26" x14ac:dyDescent="0.25">
      <c r="Y13070" s="63">
        <v>55603</v>
      </c>
      <c r="Z13070" s="61">
        <f>_xll.qlYieldTSDiscount($U$35,Y13070,,Trigger)</f>
        <v>0.5125085342170429</v>
      </c>
    </row>
    <row r="13071" spans="25:26" x14ac:dyDescent="0.25">
      <c r="Y13071" s="63">
        <v>55604</v>
      </c>
      <c r="Z13071" s="61">
        <f>_xll.qlYieldTSDiscount($U$35,Y13071,,Trigger)</f>
        <v>0.51247471752709228</v>
      </c>
    </row>
    <row r="13072" spans="25:26" x14ac:dyDescent="0.25">
      <c r="Y13072" s="63">
        <v>55605</v>
      </c>
      <c r="Z13072" s="61">
        <f>_xll.qlYieldTSDiscount($U$35,Y13072,,Trigger)</f>
        <v>0.51244090408519749</v>
      </c>
    </row>
    <row r="13073" spans="25:26" x14ac:dyDescent="0.25">
      <c r="Y13073" s="63">
        <v>55606</v>
      </c>
      <c r="Z13073" s="61">
        <f>_xll.qlYieldTSDiscount($U$35,Y13073,,Trigger)</f>
        <v>0.51240709389099282</v>
      </c>
    </row>
    <row r="13074" spans="25:26" x14ac:dyDescent="0.25">
      <c r="Y13074" s="63">
        <v>55607</v>
      </c>
      <c r="Z13074" s="61">
        <f>_xll.qlYieldTSDiscount($U$35,Y13074,,Trigger)</f>
        <v>0.51237328694411199</v>
      </c>
    </row>
    <row r="13075" spans="25:26" x14ac:dyDescent="0.25">
      <c r="Y13075" s="63">
        <v>55608</v>
      </c>
      <c r="Z13075" s="61">
        <f>_xll.qlYieldTSDiscount($U$35,Y13075,,Trigger)</f>
        <v>0.51233948324418932</v>
      </c>
    </row>
    <row r="13076" spans="25:26" x14ac:dyDescent="0.25">
      <c r="Y13076" s="63">
        <v>55609</v>
      </c>
      <c r="Z13076" s="61">
        <f>_xll.qlYieldTSDiscount($U$35,Y13076,,Trigger)</f>
        <v>0.51230568279085853</v>
      </c>
    </row>
    <row r="13077" spans="25:26" x14ac:dyDescent="0.25">
      <c r="Y13077" s="63">
        <v>55610</v>
      </c>
      <c r="Z13077" s="61">
        <f>_xll.qlYieldTSDiscount($U$35,Y13077,,Trigger)</f>
        <v>0.51227188558375392</v>
      </c>
    </row>
    <row r="13078" spans="25:26" x14ac:dyDescent="0.25">
      <c r="Y13078" s="63">
        <v>55611</v>
      </c>
      <c r="Z13078" s="61">
        <f>_xll.qlYieldTSDiscount($U$35,Y13078,,Trigger)</f>
        <v>0.51223809162250944</v>
      </c>
    </row>
    <row r="13079" spans="25:26" x14ac:dyDescent="0.25">
      <c r="Y13079" s="63">
        <v>55612</v>
      </c>
      <c r="Z13079" s="61">
        <f>_xll.qlYieldTSDiscount($U$35,Y13079,,Trigger)</f>
        <v>0.51220430090675895</v>
      </c>
    </row>
    <row r="13080" spans="25:26" x14ac:dyDescent="0.25">
      <c r="Y13080" s="63">
        <v>55613</v>
      </c>
      <c r="Z13080" s="61">
        <f>_xll.qlYieldTSDiscount($U$35,Y13080,,Trigger)</f>
        <v>0.51217051343613662</v>
      </c>
    </row>
    <row r="13081" spans="25:26" x14ac:dyDescent="0.25">
      <c r="Y13081" s="63">
        <v>55614</v>
      </c>
      <c r="Z13081" s="61">
        <f>_xll.qlYieldTSDiscount($U$35,Y13081,,Trigger)</f>
        <v>0.51213672921027653</v>
      </c>
    </row>
    <row r="13082" spans="25:26" x14ac:dyDescent="0.25">
      <c r="Y13082" s="63">
        <v>55615</v>
      </c>
      <c r="Z13082" s="61">
        <f>_xll.qlYieldTSDiscount($U$35,Y13082,,Trigger)</f>
        <v>0.51210294822881253</v>
      </c>
    </row>
    <row r="13083" spans="25:26" x14ac:dyDescent="0.25">
      <c r="Y13083" s="63">
        <v>55616</v>
      </c>
      <c r="Z13083" s="61">
        <f>_xll.qlYieldTSDiscount($U$35,Y13083,,Trigger)</f>
        <v>0.51206917049137868</v>
      </c>
    </row>
    <row r="13084" spans="25:26" x14ac:dyDescent="0.25">
      <c r="Y13084" s="63">
        <v>55617</v>
      </c>
      <c r="Z13084" s="61">
        <f>_xll.qlYieldTSDiscount($U$35,Y13084,,Trigger)</f>
        <v>0.51203539599760917</v>
      </c>
    </row>
    <row r="13085" spans="25:26" x14ac:dyDescent="0.25">
      <c r="Y13085" s="63">
        <v>55618</v>
      </c>
      <c r="Z13085" s="61">
        <f>_xll.qlYieldTSDiscount($U$35,Y13085,,Trigger)</f>
        <v>0.51200162474713773</v>
      </c>
    </row>
    <row r="13086" spans="25:26" x14ac:dyDescent="0.25">
      <c r="Y13086" s="63">
        <v>55619</v>
      </c>
      <c r="Z13086" s="61">
        <f>_xll.qlYieldTSDiscount($U$35,Y13086,,Trigger)</f>
        <v>0.51196785673959866</v>
      </c>
    </row>
    <row r="13087" spans="25:26" x14ac:dyDescent="0.25">
      <c r="Y13087" s="63">
        <v>55620</v>
      </c>
      <c r="Z13087" s="61">
        <f>_xll.qlYieldTSDiscount($U$35,Y13087,,Trigger)</f>
        <v>0.5119340919746258</v>
      </c>
    </row>
    <row r="13088" spans="25:26" x14ac:dyDescent="0.25">
      <c r="Y13088" s="63">
        <v>55621</v>
      </c>
      <c r="Z13088" s="61">
        <f>_xll.qlYieldTSDiscount($U$35,Y13088,,Trigger)</f>
        <v>0.51190033045185335</v>
      </c>
    </row>
    <row r="13089" spans="25:26" x14ac:dyDescent="0.25">
      <c r="Y13089" s="63">
        <v>55622</v>
      </c>
      <c r="Z13089" s="61">
        <f>_xll.qlYieldTSDiscount($U$35,Y13089,,Trigger)</f>
        <v>0.51186657217091514</v>
      </c>
    </row>
    <row r="13090" spans="25:26" x14ac:dyDescent="0.25">
      <c r="Y13090" s="63">
        <v>55623</v>
      </c>
      <c r="Z13090" s="61">
        <f>_xll.qlYieldTSDiscount($U$35,Y13090,,Trigger)</f>
        <v>0.51183281713144524</v>
      </c>
    </row>
    <row r="13091" spans="25:26" x14ac:dyDescent="0.25">
      <c r="Y13091" s="63">
        <v>55624</v>
      </c>
      <c r="Z13091" s="61">
        <f>_xll.qlYieldTSDiscount($U$35,Y13091,,Trigger)</f>
        <v>0.51179906533307784</v>
      </c>
    </row>
    <row r="13092" spans="25:26" x14ac:dyDescent="0.25">
      <c r="Y13092" s="63">
        <v>55625</v>
      </c>
      <c r="Z13092" s="61">
        <f>_xll.qlYieldTSDiscount($U$35,Y13092,,Trigger)</f>
        <v>0.51176531677544668</v>
      </c>
    </row>
    <row r="13093" spans="25:26" x14ac:dyDescent="0.25">
      <c r="Y13093" s="63">
        <v>55626</v>
      </c>
      <c r="Z13093" s="61">
        <f>_xll.qlYieldTSDiscount($U$35,Y13093,,Trigger)</f>
        <v>0.51173157145818604</v>
      </c>
    </row>
    <row r="13094" spans="25:26" x14ac:dyDescent="0.25">
      <c r="Y13094" s="63">
        <v>55627</v>
      </c>
      <c r="Z13094" s="61">
        <f>_xll.qlYieldTSDiscount($U$35,Y13094,,Trigger)</f>
        <v>0.51169782938092978</v>
      </c>
    </row>
    <row r="13095" spans="25:26" x14ac:dyDescent="0.25">
      <c r="Y13095" s="63">
        <v>55628</v>
      </c>
      <c r="Z13095" s="61">
        <f>_xll.qlYieldTSDiscount($U$35,Y13095,,Trigger)</f>
        <v>0.51166409054331197</v>
      </c>
    </row>
    <row r="13096" spans="25:26" x14ac:dyDescent="0.25">
      <c r="Y13096" s="63">
        <v>55629</v>
      </c>
      <c r="Z13096" s="61">
        <f>_xll.qlYieldTSDiscount($U$35,Y13096,,Trigger)</f>
        <v>0.51163035494496667</v>
      </c>
    </row>
    <row r="13097" spans="25:26" x14ac:dyDescent="0.25">
      <c r="Y13097" s="63">
        <v>55630</v>
      </c>
      <c r="Z13097" s="61">
        <f>_xll.qlYieldTSDiscount($U$35,Y13097,,Trigger)</f>
        <v>0.51159662258552785</v>
      </c>
    </row>
    <row r="13098" spans="25:26" x14ac:dyDescent="0.25">
      <c r="Y13098" s="63">
        <v>55631</v>
      </c>
      <c r="Z13098" s="61">
        <f>_xll.qlYieldTSDiscount($U$35,Y13098,,Trigger)</f>
        <v>0.51156289346462958</v>
      </c>
    </row>
    <row r="13099" spans="25:26" x14ac:dyDescent="0.25">
      <c r="Y13099" s="63">
        <v>55632</v>
      </c>
      <c r="Z13099" s="61">
        <f>_xll.qlYieldTSDiscount($U$35,Y13099,,Trigger)</f>
        <v>0.51152916758190581</v>
      </c>
    </row>
    <row r="13100" spans="25:26" x14ac:dyDescent="0.25">
      <c r="Y13100" s="63">
        <v>55633</v>
      </c>
      <c r="Z13100" s="61">
        <f>_xll.qlYieldTSDiscount($U$35,Y13100,,Trigger)</f>
        <v>0.51149544493699062</v>
      </c>
    </row>
    <row r="13101" spans="25:26" x14ac:dyDescent="0.25">
      <c r="Y13101" s="63">
        <v>55634</v>
      </c>
      <c r="Z13101" s="61">
        <f>_xll.qlYieldTSDiscount($U$35,Y13101,,Trigger)</f>
        <v>0.51146172552951807</v>
      </c>
    </row>
    <row r="13102" spans="25:26" x14ac:dyDescent="0.25">
      <c r="Y13102" s="63">
        <v>55635</v>
      </c>
      <c r="Z13102" s="61">
        <f>_xll.qlYieldTSDiscount($U$35,Y13102,,Trigger)</f>
        <v>0.51142800935912203</v>
      </c>
    </row>
    <row r="13103" spans="25:26" x14ac:dyDescent="0.25">
      <c r="Y13103" s="63">
        <v>55636</v>
      </c>
      <c r="Z13103" s="61">
        <f>_xll.qlYieldTSDiscount($U$35,Y13103,,Trigger)</f>
        <v>0.51139429642543666</v>
      </c>
    </row>
    <row r="13104" spans="25:26" x14ac:dyDescent="0.25">
      <c r="Y13104" s="63">
        <v>55637</v>
      </c>
      <c r="Z13104" s="61">
        <f>_xll.qlYieldTSDiscount($U$35,Y13104,,Trigger)</f>
        <v>0.51136058672809592</v>
      </c>
    </row>
    <row r="13105" spans="25:26" x14ac:dyDescent="0.25">
      <c r="Y13105" s="63">
        <v>55638</v>
      </c>
      <c r="Z13105" s="61">
        <f>_xll.qlYieldTSDiscount($U$35,Y13105,,Trigger)</f>
        <v>0.5113268802667339</v>
      </c>
    </row>
    <row r="13106" spans="25:26" x14ac:dyDescent="0.25">
      <c r="Y13106" s="63">
        <v>55639</v>
      </c>
      <c r="Z13106" s="61">
        <f>_xll.qlYieldTSDiscount($U$35,Y13106,,Trigger)</f>
        <v>0.51129317704098454</v>
      </c>
    </row>
    <row r="13107" spans="25:26" x14ac:dyDescent="0.25">
      <c r="Y13107" s="63">
        <v>55640</v>
      </c>
      <c r="Z13107" s="61">
        <f>_xll.qlYieldTSDiscount($U$35,Y13107,,Trigger)</f>
        <v>0.51125947705048191</v>
      </c>
    </row>
    <row r="13108" spans="25:26" x14ac:dyDescent="0.25">
      <c r="Y13108" s="63">
        <v>55641</v>
      </c>
      <c r="Z13108" s="61">
        <f>_xll.qlYieldTSDiscount($U$35,Y13108,,Trigger)</f>
        <v>0.5112257802948601</v>
      </c>
    </row>
    <row r="13109" spans="25:26" x14ac:dyDescent="0.25">
      <c r="Y13109" s="63">
        <v>55642</v>
      </c>
      <c r="Z13109" s="61">
        <f>_xll.qlYieldTSDiscount($U$35,Y13109,,Trigger)</f>
        <v>0.51119208677375294</v>
      </c>
    </row>
    <row r="13110" spans="25:26" x14ac:dyDescent="0.25">
      <c r="Y13110" s="63">
        <v>55643</v>
      </c>
      <c r="Z13110" s="61">
        <f>_xll.qlYieldTSDiscount($U$35,Y13110,,Trigger)</f>
        <v>0.51115839648679462</v>
      </c>
    </row>
    <row r="13111" spans="25:26" x14ac:dyDescent="0.25">
      <c r="Y13111" s="63">
        <v>55644</v>
      </c>
      <c r="Z13111" s="61">
        <f>_xll.qlYieldTSDiscount($U$35,Y13111,,Trigger)</f>
        <v>0.5111247094336191</v>
      </c>
    </row>
    <row r="13112" spans="25:26" x14ac:dyDescent="0.25">
      <c r="Y13112" s="63">
        <v>55645</v>
      </c>
      <c r="Z13112" s="61">
        <f>_xll.qlYieldTSDiscount($U$35,Y13112,,Trigger)</f>
        <v>0.51109102561386033</v>
      </c>
    </row>
    <row r="13113" spans="25:26" x14ac:dyDescent="0.25">
      <c r="Y13113" s="63">
        <v>55646</v>
      </c>
      <c r="Z13113" s="61">
        <f>_xll.qlYieldTSDiscount($U$35,Y13113,,Trigger)</f>
        <v>0.5110573450271525</v>
      </c>
    </row>
    <row r="13114" spans="25:26" x14ac:dyDescent="0.25">
      <c r="Y13114" s="63">
        <v>55647</v>
      </c>
      <c r="Z13114" s="61">
        <f>_xll.qlYieldTSDiscount($U$35,Y13114,,Trigger)</f>
        <v>0.51102366767312946</v>
      </c>
    </row>
    <row r="13115" spans="25:26" x14ac:dyDescent="0.25">
      <c r="Y13115" s="63">
        <v>55648</v>
      </c>
      <c r="Z13115" s="61">
        <f>_xll.qlYieldTSDiscount($U$35,Y13115,,Trigger)</f>
        <v>0.51098999355142538</v>
      </c>
    </row>
    <row r="13116" spans="25:26" x14ac:dyDescent="0.25">
      <c r="Y13116" s="63">
        <v>55649</v>
      </c>
      <c r="Z13116" s="61">
        <f>_xll.qlYieldTSDiscount($U$35,Y13116,,Trigger)</f>
        <v>0.51095632266167423</v>
      </c>
    </row>
    <row r="13117" spans="25:26" x14ac:dyDescent="0.25">
      <c r="Y13117" s="63">
        <v>55650</v>
      </c>
      <c r="Z13117" s="61">
        <f>_xll.qlYieldTSDiscount($U$35,Y13117,,Trigger)</f>
        <v>0.51092265500350997</v>
      </c>
    </row>
    <row r="13118" spans="25:26" x14ac:dyDescent="0.25">
      <c r="Y13118" s="63">
        <v>55651</v>
      </c>
      <c r="Z13118" s="61">
        <f>_xll.qlYieldTSDiscount($U$35,Y13118,,Trigger)</f>
        <v>0.51088899057656667</v>
      </c>
    </row>
    <row r="13119" spans="25:26" x14ac:dyDescent="0.25">
      <c r="Y13119" s="63">
        <v>55652</v>
      </c>
      <c r="Z13119" s="61">
        <f>_xll.qlYieldTSDiscount($U$35,Y13119,,Trigger)</f>
        <v>0.51085532938047828</v>
      </c>
    </row>
    <row r="13120" spans="25:26" x14ac:dyDescent="0.25">
      <c r="Y13120" s="63">
        <v>55653</v>
      </c>
      <c r="Z13120" s="61">
        <f>_xll.qlYieldTSDiscount($U$35,Y13120,,Trigger)</f>
        <v>0.51082167141487911</v>
      </c>
    </row>
    <row r="13121" spans="25:26" x14ac:dyDescent="0.25">
      <c r="Y13121" s="63">
        <v>55654</v>
      </c>
      <c r="Z13121" s="61">
        <f>_xll.qlYieldTSDiscount($U$35,Y13121,,Trigger)</f>
        <v>0.51078801667940277</v>
      </c>
    </row>
    <row r="13122" spans="25:26" x14ac:dyDescent="0.25">
      <c r="Y13122" s="63">
        <v>55655</v>
      </c>
      <c r="Z13122" s="61">
        <f>_xll.qlYieldTSDiscount($U$35,Y13122,,Trigger)</f>
        <v>0.51075436517368344</v>
      </c>
    </row>
    <row r="13123" spans="25:26" x14ac:dyDescent="0.25">
      <c r="Y13123" s="63">
        <v>55656</v>
      </c>
      <c r="Z13123" s="61">
        <f>_xll.qlYieldTSDiscount($U$35,Y13123,,Trigger)</f>
        <v>0.51072071689735532</v>
      </c>
    </row>
    <row r="13124" spans="25:26" x14ac:dyDescent="0.25">
      <c r="Y13124" s="63">
        <v>55657</v>
      </c>
      <c r="Z13124" s="61">
        <f>_xll.qlYieldTSDiscount($U$35,Y13124,,Trigger)</f>
        <v>0.51068707185005224</v>
      </c>
    </row>
    <row r="13125" spans="25:26" x14ac:dyDescent="0.25">
      <c r="Y13125" s="63">
        <v>55658</v>
      </c>
      <c r="Z13125" s="61">
        <f>_xll.qlYieldTSDiscount($U$35,Y13125,,Trigger)</f>
        <v>0.51065343003140828</v>
      </c>
    </row>
    <row r="13126" spans="25:26" x14ac:dyDescent="0.25">
      <c r="Y13126" s="63">
        <v>55659</v>
      </c>
      <c r="Z13126" s="61">
        <f>_xll.qlYieldTSDiscount($U$35,Y13126,,Trigger)</f>
        <v>0.51061979144105751</v>
      </c>
    </row>
    <row r="13127" spans="25:26" x14ac:dyDescent="0.25">
      <c r="Y13127" s="63">
        <v>55660</v>
      </c>
      <c r="Z13127" s="61">
        <f>_xll.qlYieldTSDiscount($U$35,Y13127,,Trigger)</f>
        <v>0.51058615607863378</v>
      </c>
    </row>
    <row r="13128" spans="25:26" x14ac:dyDescent="0.25">
      <c r="Y13128" s="63">
        <v>55661</v>
      </c>
      <c r="Z13128" s="61">
        <f>_xll.qlYieldTSDiscount($U$35,Y13128,,Trigger)</f>
        <v>0.51055252394377126</v>
      </c>
    </row>
    <row r="13129" spans="25:26" x14ac:dyDescent="0.25">
      <c r="Y13129" s="63">
        <v>55662</v>
      </c>
      <c r="Z13129" s="61">
        <f>_xll.qlYieldTSDiscount($U$35,Y13129,,Trigger)</f>
        <v>0.51051889503610393</v>
      </c>
    </row>
    <row r="13130" spans="25:26" x14ac:dyDescent="0.25">
      <c r="Y13130" s="63">
        <v>55663</v>
      </c>
      <c r="Z13130" s="61">
        <f>_xll.qlYieldTSDiscount($U$35,Y13130,,Trigger)</f>
        <v>0.51048526935526584</v>
      </c>
    </row>
    <row r="13131" spans="25:26" x14ac:dyDescent="0.25">
      <c r="Y13131" s="63">
        <v>55664</v>
      </c>
      <c r="Z13131" s="61">
        <f>_xll.qlYieldTSDiscount($U$35,Y13131,,Trigger)</f>
        <v>0.51045164690089095</v>
      </c>
    </row>
    <row r="13132" spans="25:26" x14ac:dyDescent="0.25">
      <c r="Y13132" s="63">
        <v>55665</v>
      </c>
      <c r="Z13132" s="61">
        <f>_xll.qlYieldTSDiscount($U$35,Y13132,,Trigger)</f>
        <v>0.51041802767261335</v>
      </c>
    </row>
    <row r="13133" spans="25:26" x14ac:dyDescent="0.25">
      <c r="Y13133" s="63">
        <v>55666</v>
      </c>
      <c r="Z13133" s="61">
        <f>_xll.qlYieldTSDiscount($U$35,Y13133,,Trigger)</f>
        <v>0.5103844116700671</v>
      </c>
    </row>
    <row r="13134" spans="25:26" x14ac:dyDescent="0.25">
      <c r="Y13134" s="63">
        <v>55667</v>
      </c>
      <c r="Z13134" s="61">
        <f>_xll.qlYieldTSDiscount($U$35,Y13134,,Trigger)</f>
        <v>0.51035079889288615</v>
      </c>
    </row>
    <row r="13135" spans="25:26" x14ac:dyDescent="0.25">
      <c r="Y13135" s="63">
        <v>55668</v>
      </c>
      <c r="Z13135" s="61">
        <f>_xll.qlYieldTSDiscount($U$35,Y13135,,Trigger)</f>
        <v>0.51031718934070436</v>
      </c>
    </row>
    <row r="13136" spans="25:26" x14ac:dyDescent="0.25">
      <c r="Y13136" s="63">
        <v>55669</v>
      </c>
      <c r="Z13136" s="61">
        <f>_xll.qlYieldTSDiscount($U$35,Y13136,,Trigger)</f>
        <v>0.51028358301315613</v>
      </c>
    </row>
    <row r="13137" spans="25:26" x14ac:dyDescent="0.25">
      <c r="Y13137" s="63">
        <v>55670</v>
      </c>
      <c r="Z13137" s="61">
        <f>_xll.qlYieldTSDiscount($U$35,Y13137,,Trigger)</f>
        <v>0.5102499799098752</v>
      </c>
    </row>
    <row r="13138" spans="25:26" x14ac:dyDescent="0.25">
      <c r="Y13138" s="63">
        <v>55671</v>
      </c>
      <c r="Z13138" s="61">
        <f>_xll.qlYieldTSDiscount($U$35,Y13138,,Trigger)</f>
        <v>0.51021638003049563</v>
      </c>
    </row>
    <row r="13139" spans="25:26" x14ac:dyDescent="0.25">
      <c r="Y13139" s="63">
        <v>55672</v>
      </c>
      <c r="Z13139" s="61">
        <f>_xll.qlYieldTSDiscount($U$35,Y13139,,Trigger)</f>
        <v>0.51018278337465151</v>
      </c>
    </row>
    <row r="13140" spans="25:26" x14ac:dyDescent="0.25">
      <c r="Y13140" s="63">
        <v>55673</v>
      </c>
      <c r="Z13140" s="61">
        <f>_xll.qlYieldTSDiscount($U$35,Y13140,,Trigger)</f>
        <v>0.51014918994197678</v>
      </c>
    </row>
    <row r="13141" spans="25:26" x14ac:dyDescent="0.25">
      <c r="Y13141" s="63">
        <v>55674</v>
      </c>
      <c r="Z13141" s="61">
        <f>_xll.qlYieldTSDiscount($U$35,Y13141,,Trigger)</f>
        <v>0.51011559973210563</v>
      </c>
    </row>
    <row r="13142" spans="25:26" x14ac:dyDescent="0.25">
      <c r="Y13142" s="63">
        <v>55675</v>
      </c>
      <c r="Z13142" s="61">
        <f>_xll.qlYieldTSDiscount($U$35,Y13142,,Trigger)</f>
        <v>0.51008201274467191</v>
      </c>
    </row>
    <row r="13143" spans="25:26" x14ac:dyDescent="0.25">
      <c r="Y13143" s="63">
        <v>55676</v>
      </c>
      <c r="Z13143" s="61">
        <f>_xll.qlYieldTSDiscount($U$35,Y13143,,Trigger)</f>
        <v>0.51004842897930969</v>
      </c>
    </row>
    <row r="13144" spans="25:26" x14ac:dyDescent="0.25">
      <c r="Y13144" s="63">
        <v>55677</v>
      </c>
      <c r="Z13144" s="61">
        <f>_xll.qlYieldTSDiscount($U$35,Y13144,,Trigger)</f>
        <v>0.51001484843565292</v>
      </c>
    </row>
    <row r="13145" spans="25:26" x14ac:dyDescent="0.25">
      <c r="Y13145" s="63">
        <v>55678</v>
      </c>
      <c r="Z13145" s="61">
        <f>_xll.qlYieldTSDiscount($U$35,Y13145,,Trigger)</f>
        <v>0.5099812711133358</v>
      </c>
    </row>
    <row r="13146" spans="25:26" x14ac:dyDescent="0.25">
      <c r="Y13146" s="63">
        <v>55679</v>
      </c>
      <c r="Z13146" s="61">
        <f>_xll.qlYieldTSDiscount($U$35,Y13146,,Trigger)</f>
        <v>0.50994769701199216</v>
      </c>
    </row>
    <row r="13147" spans="25:26" x14ac:dyDescent="0.25">
      <c r="Y13147" s="63">
        <v>55680</v>
      </c>
      <c r="Z13147" s="61">
        <f>_xll.qlYieldTSDiscount($U$35,Y13147,,Trigger)</f>
        <v>0.50991412613125608</v>
      </c>
    </row>
    <row r="13148" spans="25:26" x14ac:dyDescent="0.25">
      <c r="Y13148" s="63">
        <v>55681</v>
      </c>
      <c r="Z13148" s="61">
        <f>_xll.qlYieldTSDiscount($U$35,Y13148,,Trigger)</f>
        <v>0.50988055847076175</v>
      </c>
    </row>
    <row r="13149" spans="25:26" x14ac:dyDescent="0.25">
      <c r="Y13149" s="63">
        <v>55682</v>
      </c>
      <c r="Z13149" s="61">
        <f>_xll.qlYieldTSDiscount($U$35,Y13149,,Trigger)</f>
        <v>0.509846994030143</v>
      </c>
    </row>
    <row r="13150" spans="25:26" x14ac:dyDescent="0.25">
      <c r="Y13150" s="63">
        <v>55683</v>
      </c>
      <c r="Z13150" s="61">
        <f>_xll.qlYieldTSDiscount($U$35,Y13150,,Trigger)</f>
        <v>0.50981343280903391</v>
      </c>
    </row>
    <row r="13151" spans="25:26" x14ac:dyDescent="0.25">
      <c r="Y13151" s="63">
        <v>55684</v>
      </c>
      <c r="Z13151" s="61">
        <f>_xll.qlYieldTSDiscount($U$35,Y13151,,Trigger)</f>
        <v>0.50977987480706843</v>
      </c>
    </row>
    <row r="13152" spans="25:26" x14ac:dyDescent="0.25">
      <c r="Y13152" s="63">
        <v>55685</v>
      </c>
      <c r="Z13152" s="61">
        <f>_xll.qlYieldTSDiscount($U$35,Y13152,,Trigger)</f>
        <v>0.50974632002388076</v>
      </c>
    </row>
    <row r="13153" spans="25:26" x14ac:dyDescent="0.25">
      <c r="Y13153" s="63">
        <v>55686</v>
      </c>
      <c r="Z13153" s="61">
        <f>_xll.qlYieldTSDiscount($U$35,Y13153,,Trigger)</f>
        <v>0.50971276845910474</v>
      </c>
    </row>
    <row r="13154" spans="25:26" x14ac:dyDescent="0.25">
      <c r="Y13154" s="63">
        <v>55687</v>
      </c>
      <c r="Z13154" s="61">
        <f>_xll.qlYieldTSDiscount($U$35,Y13154,,Trigger)</f>
        <v>0.50967922011237454</v>
      </c>
    </row>
    <row r="13155" spans="25:26" x14ac:dyDescent="0.25">
      <c r="Y13155" s="63">
        <v>55688</v>
      </c>
      <c r="Z13155" s="61">
        <f>_xll.qlYieldTSDiscount($U$35,Y13155,,Trigger)</f>
        <v>0.50964567498332403</v>
      </c>
    </row>
    <row r="13156" spans="25:26" x14ac:dyDescent="0.25">
      <c r="Y13156" s="63">
        <v>55689</v>
      </c>
      <c r="Z13156" s="61">
        <f>_xll.qlYieldTSDiscount($U$35,Y13156,,Trigger)</f>
        <v>0.50961213307158737</v>
      </c>
    </row>
    <row r="13157" spans="25:26" x14ac:dyDescent="0.25">
      <c r="Y13157" s="63">
        <v>55690</v>
      </c>
      <c r="Z13157" s="61">
        <f>_xll.qlYieldTSDiscount($U$35,Y13157,,Trigger)</f>
        <v>0.50957859437679842</v>
      </c>
    </row>
    <row r="13158" spans="25:26" x14ac:dyDescent="0.25">
      <c r="Y13158" s="63">
        <v>55691</v>
      </c>
      <c r="Z13158" s="61">
        <f>_xll.qlYieldTSDiscount($U$35,Y13158,,Trigger)</f>
        <v>0.50954505889859147</v>
      </c>
    </row>
    <row r="13159" spans="25:26" x14ac:dyDescent="0.25">
      <c r="Y13159" s="63">
        <v>55692</v>
      </c>
      <c r="Z13159" s="61">
        <f>_xll.qlYieldTSDiscount($U$35,Y13159,,Trigger)</f>
        <v>0.50951152663660026</v>
      </c>
    </row>
    <row r="13160" spans="25:26" x14ac:dyDescent="0.25">
      <c r="Y13160" s="63">
        <v>55693</v>
      </c>
      <c r="Z13160" s="61">
        <f>_xll.qlYieldTSDiscount($U$35,Y13160,,Trigger)</f>
        <v>0.50947799759045886</v>
      </c>
    </row>
    <row r="13161" spans="25:26" x14ac:dyDescent="0.25">
      <c r="Y13161" s="63">
        <v>55694</v>
      </c>
      <c r="Z13161" s="61">
        <f>_xll.qlYieldTSDiscount($U$35,Y13161,,Trigger)</f>
        <v>0.50944447175980145</v>
      </c>
    </row>
    <row r="13162" spans="25:26" x14ac:dyDescent="0.25">
      <c r="Y13162" s="63">
        <v>55695</v>
      </c>
      <c r="Z13162" s="61">
        <f>_xll.qlYieldTSDiscount($U$35,Y13162,,Trigger)</f>
        <v>0.50941094914426199</v>
      </c>
    </row>
    <row r="13163" spans="25:26" x14ac:dyDescent="0.25">
      <c r="Y13163" s="63">
        <v>55696</v>
      </c>
      <c r="Z13163" s="61">
        <f>_xll.qlYieldTSDiscount($U$35,Y13163,,Trigger)</f>
        <v>0.50937742974347444</v>
      </c>
    </row>
    <row r="13164" spans="25:26" x14ac:dyDescent="0.25">
      <c r="Y13164" s="63">
        <v>55697</v>
      </c>
      <c r="Z13164" s="61">
        <f>_xll.qlYieldTSDiscount($U$35,Y13164,,Trigger)</f>
        <v>0.50934391355707276</v>
      </c>
    </row>
    <row r="13165" spans="25:26" x14ac:dyDescent="0.25">
      <c r="Y13165" s="63">
        <v>55698</v>
      </c>
      <c r="Z13165" s="61">
        <f>_xll.qlYieldTSDiscount($U$35,Y13165,,Trigger)</f>
        <v>0.50931040058469124</v>
      </c>
    </row>
    <row r="13166" spans="25:26" x14ac:dyDescent="0.25">
      <c r="Y13166" s="63">
        <v>55699</v>
      </c>
      <c r="Z13166" s="61">
        <f>_xll.qlYieldTSDiscount($U$35,Y13166,,Trigger)</f>
        <v>0.50927689082596361</v>
      </c>
    </row>
    <row r="13167" spans="25:26" x14ac:dyDescent="0.25">
      <c r="Y13167" s="63">
        <v>55700</v>
      </c>
      <c r="Z13167" s="61">
        <f>_xll.qlYieldTSDiscount($U$35,Y13167,,Trigger)</f>
        <v>0.50924338428052396</v>
      </c>
    </row>
    <row r="13168" spans="25:26" x14ac:dyDescent="0.25">
      <c r="Y13168" s="63">
        <v>55701</v>
      </c>
      <c r="Z13168" s="61">
        <f>_xll.qlYieldTSDiscount($U$35,Y13168,,Trigger)</f>
        <v>0.50920988094800657</v>
      </c>
    </row>
    <row r="13169" spans="25:26" x14ac:dyDescent="0.25">
      <c r="Y13169" s="63">
        <v>55702</v>
      </c>
      <c r="Z13169" s="61">
        <f>_xll.qlYieldTSDiscount($U$35,Y13169,,Trigger)</f>
        <v>0.50917638082804506</v>
      </c>
    </row>
    <row r="13170" spans="25:26" x14ac:dyDescent="0.25">
      <c r="Y13170" s="63">
        <v>55703</v>
      </c>
      <c r="Z13170" s="61">
        <f>_xll.qlYieldTSDiscount($U$35,Y13170,,Trigger)</f>
        <v>0.50914288392027363</v>
      </c>
    </row>
    <row r="13171" spans="25:26" x14ac:dyDescent="0.25">
      <c r="Y13171" s="63">
        <v>55704</v>
      </c>
      <c r="Z13171" s="61">
        <f>_xll.qlYieldTSDiscount($U$35,Y13171,,Trigger)</f>
        <v>0.50910939022432644</v>
      </c>
    </row>
    <row r="13172" spans="25:26" x14ac:dyDescent="0.25">
      <c r="Y13172" s="63">
        <v>55705</v>
      </c>
      <c r="Z13172" s="61">
        <f>_xll.qlYieldTSDiscount($U$35,Y13172,,Trigger)</f>
        <v>0.50907589973983736</v>
      </c>
    </row>
    <row r="13173" spans="25:26" x14ac:dyDescent="0.25">
      <c r="Y13173" s="63">
        <v>55706</v>
      </c>
      <c r="Z13173" s="61">
        <f>_xll.qlYieldTSDiscount($U$35,Y13173,,Trigger)</f>
        <v>0.50904241246644033</v>
      </c>
    </row>
    <row r="13174" spans="25:26" x14ac:dyDescent="0.25">
      <c r="Y13174" s="63">
        <v>55707</v>
      </c>
      <c r="Z13174" s="61">
        <f>_xll.qlYieldTSDiscount($U$35,Y13174,,Trigger)</f>
        <v>0.50900892840376966</v>
      </c>
    </row>
    <row r="13175" spans="25:26" x14ac:dyDescent="0.25">
      <c r="Y13175" s="63">
        <v>55708</v>
      </c>
      <c r="Z13175" s="61">
        <f>_xll.qlYieldTSDiscount($U$35,Y13175,,Trigger)</f>
        <v>0.50897544755145907</v>
      </c>
    </row>
    <row r="13176" spans="25:26" x14ac:dyDescent="0.25">
      <c r="Y13176" s="63">
        <v>55709</v>
      </c>
      <c r="Z13176" s="61">
        <f>_xll.qlYieldTSDiscount($U$35,Y13176,,Trigger)</f>
        <v>0.50894196990914276</v>
      </c>
    </row>
    <row r="13177" spans="25:26" x14ac:dyDescent="0.25">
      <c r="Y13177" s="63">
        <v>55710</v>
      </c>
      <c r="Z13177" s="61">
        <f>_xll.qlYieldTSDiscount($U$35,Y13177,,Trigger)</f>
        <v>0.50890849547645467</v>
      </c>
    </row>
    <row r="13178" spans="25:26" x14ac:dyDescent="0.25">
      <c r="Y13178" s="63">
        <v>55711</v>
      </c>
      <c r="Z13178" s="61">
        <f>_xll.qlYieldTSDiscount($U$35,Y13178,,Trigger)</f>
        <v>0.50887502425302888</v>
      </c>
    </row>
    <row r="13179" spans="25:26" x14ac:dyDescent="0.25">
      <c r="Y13179" s="63">
        <v>55712</v>
      </c>
      <c r="Z13179" s="61">
        <f>_xll.qlYieldTSDiscount($U$35,Y13179,,Trigger)</f>
        <v>0.50884155623849936</v>
      </c>
    </row>
    <row r="13180" spans="25:26" x14ac:dyDescent="0.25">
      <c r="Y13180" s="63">
        <v>55713</v>
      </c>
      <c r="Z13180" s="61">
        <f>_xll.qlYieldTSDiscount($U$35,Y13180,,Trigger)</f>
        <v>0.50880809143250016</v>
      </c>
    </row>
    <row r="13181" spans="25:26" x14ac:dyDescent="0.25">
      <c r="Y13181" s="63">
        <v>55714</v>
      </c>
      <c r="Z13181" s="61">
        <f>_xll.qlYieldTSDiscount($U$35,Y13181,,Trigger)</f>
        <v>0.50877462983466526</v>
      </c>
    </row>
    <row r="13182" spans="25:26" x14ac:dyDescent="0.25">
      <c r="Y13182" s="63">
        <v>55715</v>
      </c>
      <c r="Z13182" s="61">
        <f>_xll.qlYieldTSDiscount($U$35,Y13182,,Trigger)</f>
        <v>0.50874117144462871</v>
      </c>
    </row>
    <row r="13183" spans="25:26" x14ac:dyDescent="0.25">
      <c r="Y13183" s="63">
        <v>55716</v>
      </c>
      <c r="Z13183" s="61">
        <f>_xll.qlYieldTSDiscount($U$35,Y13183,,Trigger)</f>
        <v>0.5087077162620246</v>
      </c>
    </row>
    <row r="13184" spans="25:26" x14ac:dyDescent="0.25">
      <c r="Y13184" s="63">
        <v>55717</v>
      </c>
      <c r="Z13184" s="61">
        <f>_xll.qlYieldTSDiscount($U$35,Y13184,,Trigger)</f>
        <v>0.50867426428648688</v>
      </c>
    </row>
    <row r="13185" spans="25:26" x14ac:dyDescent="0.25">
      <c r="Y13185" s="63">
        <v>55718</v>
      </c>
      <c r="Z13185" s="61">
        <f>_xll.qlYieldTSDiscount($U$35,Y13185,,Trigger)</f>
        <v>0.50864081551764961</v>
      </c>
    </row>
    <row r="13186" spans="25:26" x14ac:dyDescent="0.25">
      <c r="Y13186" s="63">
        <v>55719</v>
      </c>
      <c r="Z13186" s="61">
        <f>_xll.qlYieldTSDiscount($U$35,Y13186,,Trigger)</f>
        <v>0.50860736995514666</v>
      </c>
    </row>
    <row r="13187" spans="25:26" x14ac:dyDescent="0.25">
      <c r="Y13187" s="63">
        <v>55720</v>
      </c>
      <c r="Z13187" s="61">
        <f>_xll.qlYieldTSDiscount($U$35,Y13187,,Trigger)</f>
        <v>0.50857392759861231</v>
      </c>
    </row>
    <row r="13188" spans="25:26" x14ac:dyDescent="0.25">
      <c r="Y13188" s="63">
        <v>55721</v>
      </c>
      <c r="Z13188" s="61">
        <f>_xll.qlYieldTSDiscount($U$35,Y13188,,Trigger)</f>
        <v>0.50854048844768041</v>
      </c>
    </row>
    <row r="13189" spans="25:26" x14ac:dyDescent="0.25">
      <c r="Y13189" s="63">
        <v>55722</v>
      </c>
      <c r="Z13189" s="61">
        <f>_xll.qlYieldTSDiscount($U$35,Y13189,,Trigger)</f>
        <v>0.50850705250198502</v>
      </c>
    </row>
    <row r="13190" spans="25:26" x14ac:dyDescent="0.25">
      <c r="Y13190" s="63">
        <v>55723</v>
      </c>
      <c r="Z13190" s="61">
        <f>_xll.qlYieldTSDiscount($U$35,Y13190,,Trigger)</f>
        <v>0.50847361976116012</v>
      </c>
    </row>
    <row r="13191" spans="25:26" x14ac:dyDescent="0.25">
      <c r="Y13191" s="63">
        <v>55724</v>
      </c>
      <c r="Z13191" s="61">
        <f>_xll.qlYieldTSDiscount($U$35,Y13191,,Trigger)</f>
        <v>0.50844019022483988</v>
      </c>
    </row>
    <row r="13192" spans="25:26" x14ac:dyDescent="0.25">
      <c r="Y13192" s="63">
        <v>55725</v>
      </c>
      <c r="Z13192" s="61">
        <f>_xll.qlYieldTSDiscount($U$35,Y13192,,Trigger)</f>
        <v>0.50840676389265804</v>
      </c>
    </row>
    <row r="13193" spans="25:26" x14ac:dyDescent="0.25">
      <c r="Y13193" s="63">
        <v>55726</v>
      </c>
      <c r="Z13193" s="61">
        <f>_xll.qlYieldTSDiscount($U$35,Y13193,,Trigger)</f>
        <v>0.50837334076424889</v>
      </c>
    </row>
    <row r="13194" spans="25:26" x14ac:dyDescent="0.25">
      <c r="Y13194" s="63">
        <v>55727</v>
      </c>
      <c r="Z13194" s="61">
        <f>_xll.qlYieldTSDiscount($U$35,Y13194,,Trigger)</f>
        <v>0.5083399208392464</v>
      </c>
    </row>
    <row r="13195" spans="25:26" x14ac:dyDescent="0.25">
      <c r="Y13195" s="63">
        <v>55728</v>
      </c>
      <c r="Z13195" s="61">
        <f>_xll.qlYieldTSDiscount($U$35,Y13195,,Trigger)</f>
        <v>0.50830650411728451</v>
      </c>
    </row>
    <row r="13196" spans="25:26" x14ac:dyDescent="0.25">
      <c r="Y13196" s="63">
        <v>55729</v>
      </c>
      <c r="Z13196" s="61">
        <f>_xll.qlYieldTSDiscount($U$35,Y13196,,Trigger)</f>
        <v>0.5082730905979973</v>
      </c>
    </row>
    <row r="13197" spans="25:26" x14ac:dyDescent="0.25">
      <c r="Y13197" s="63">
        <v>55730</v>
      </c>
      <c r="Z13197" s="61">
        <f>_xll.qlYieldTSDiscount($U$35,Y13197,,Trigger)</f>
        <v>0.50823968028101885</v>
      </c>
    </row>
    <row r="13198" spans="25:26" x14ac:dyDescent="0.25">
      <c r="Y13198" s="63">
        <v>55731</v>
      </c>
      <c r="Z13198" s="61">
        <f>_xll.qlYieldTSDiscount($U$35,Y13198,,Trigger)</f>
        <v>0.50820627316598299</v>
      </c>
    </row>
    <row r="13199" spans="25:26" x14ac:dyDescent="0.25">
      <c r="Y13199" s="63">
        <v>55732</v>
      </c>
      <c r="Z13199" s="61">
        <f>_xll.qlYieldTSDiscount($U$35,Y13199,,Trigger)</f>
        <v>0.50817286925252381</v>
      </c>
    </row>
    <row r="13200" spans="25:26" x14ac:dyDescent="0.25">
      <c r="Y13200" s="63">
        <v>55733</v>
      </c>
      <c r="Z13200" s="61">
        <f>_xll.qlYieldTSDiscount($U$35,Y13200,,Trigger)</f>
        <v>0.50813946854027559</v>
      </c>
    </row>
    <row r="13201" spans="25:26" x14ac:dyDescent="0.25">
      <c r="Y13201" s="63">
        <v>55734</v>
      </c>
      <c r="Z13201" s="61">
        <f>_xll.qlYieldTSDiscount($U$35,Y13201,,Trigger)</f>
        <v>0.50810607102887195</v>
      </c>
    </row>
    <row r="13202" spans="25:26" x14ac:dyDescent="0.25">
      <c r="Y13202" s="63">
        <v>55735</v>
      </c>
      <c r="Z13202" s="61">
        <f>_xll.qlYieldTSDiscount($U$35,Y13202,,Trigger)</f>
        <v>0.50807267671794709</v>
      </c>
    </row>
    <row r="13203" spans="25:26" x14ac:dyDescent="0.25">
      <c r="Y13203" s="63">
        <v>55736</v>
      </c>
      <c r="Z13203" s="61">
        <f>_xll.qlYieldTSDiscount($U$35,Y13203,,Trigger)</f>
        <v>0.50803928560713518</v>
      </c>
    </row>
    <row r="13204" spans="25:26" x14ac:dyDescent="0.25">
      <c r="Y13204" s="63">
        <v>55737</v>
      </c>
      <c r="Z13204" s="61">
        <f>_xll.qlYieldTSDiscount($U$35,Y13204,,Trigger)</f>
        <v>0.50800589769607007</v>
      </c>
    </row>
    <row r="13205" spans="25:26" x14ac:dyDescent="0.25">
      <c r="Y13205" s="63">
        <v>55738</v>
      </c>
      <c r="Z13205" s="61">
        <f>_xll.qlYieldTSDiscount($U$35,Y13205,,Trigger)</f>
        <v>0.50797251298438573</v>
      </c>
    </row>
    <row r="13206" spans="25:26" x14ac:dyDescent="0.25">
      <c r="Y13206" s="63">
        <v>55739</v>
      </c>
      <c r="Z13206" s="61">
        <f>_xll.qlYieldTSDiscount($U$35,Y13206,,Trigger)</f>
        <v>0.50793913147171643</v>
      </c>
    </row>
    <row r="13207" spans="25:26" x14ac:dyDescent="0.25">
      <c r="Y13207" s="63">
        <v>55740</v>
      </c>
      <c r="Z13207" s="61">
        <f>_xll.qlYieldTSDiscount($U$35,Y13207,,Trigger)</f>
        <v>0.50790575315769593</v>
      </c>
    </row>
    <row r="13208" spans="25:26" x14ac:dyDescent="0.25">
      <c r="Y13208" s="63">
        <v>55741</v>
      </c>
      <c r="Z13208" s="61">
        <f>_xll.qlYieldTSDiscount($U$35,Y13208,,Trigger)</f>
        <v>0.50787237804195839</v>
      </c>
    </row>
    <row r="13209" spans="25:26" x14ac:dyDescent="0.25">
      <c r="Y13209" s="63">
        <v>55742</v>
      </c>
      <c r="Z13209" s="61">
        <f>_xll.qlYieldTSDiscount($U$35,Y13209,,Trigger)</f>
        <v>0.50783900612413779</v>
      </c>
    </row>
    <row r="13210" spans="25:26" x14ac:dyDescent="0.25">
      <c r="Y13210" s="63">
        <v>55743</v>
      </c>
      <c r="Z13210" s="61">
        <f>_xll.qlYieldTSDiscount($U$35,Y13210,,Trigger)</f>
        <v>0.50780563740386819</v>
      </c>
    </row>
    <row r="13211" spans="25:26" x14ac:dyDescent="0.25">
      <c r="Y13211" s="63">
        <v>55744</v>
      </c>
      <c r="Z13211" s="61">
        <f>_xll.qlYieldTSDiscount($U$35,Y13211,,Trigger)</f>
        <v>0.50777227188078344</v>
      </c>
    </row>
    <row r="13212" spans="25:26" x14ac:dyDescent="0.25">
      <c r="Y13212" s="63">
        <v>55745</v>
      </c>
      <c r="Z13212" s="61">
        <f>_xll.qlYieldTSDiscount($U$35,Y13212,,Trigger)</f>
        <v>0.50773890955451784</v>
      </c>
    </row>
    <row r="13213" spans="25:26" x14ac:dyDescent="0.25">
      <c r="Y13213" s="63">
        <v>55746</v>
      </c>
      <c r="Z13213" s="61">
        <f>_xll.qlYieldTSDiscount($U$35,Y13213,,Trigger)</f>
        <v>0.50770555042470533</v>
      </c>
    </row>
    <row r="13214" spans="25:26" x14ac:dyDescent="0.25">
      <c r="Y13214" s="63">
        <v>55747</v>
      </c>
      <c r="Z13214" s="61">
        <f>_xll.qlYieldTSDiscount($U$35,Y13214,,Trigger)</f>
        <v>0.50767219449097967</v>
      </c>
    </row>
    <row r="13215" spans="25:26" x14ac:dyDescent="0.25">
      <c r="Y13215" s="63">
        <v>55748</v>
      </c>
      <c r="Z13215" s="61">
        <f>_xll.qlYieldTSDiscount($U$35,Y13215,,Trigger)</f>
        <v>0.50763884175297525</v>
      </c>
    </row>
    <row r="13216" spans="25:26" x14ac:dyDescent="0.25">
      <c r="Y13216" s="63">
        <v>55749</v>
      </c>
      <c r="Z13216" s="61">
        <f>_xll.qlYieldTSDiscount($U$35,Y13216,,Trigger)</f>
        <v>0.50760549221032591</v>
      </c>
    </row>
    <row r="13217" spans="25:26" x14ac:dyDescent="0.25">
      <c r="Y13217" s="63">
        <v>55750</v>
      </c>
      <c r="Z13217" s="61">
        <f>_xll.qlYieldTSDiscount($U$35,Y13217,,Trigger)</f>
        <v>0.50757214586266564</v>
      </c>
    </row>
    <row r="13218" spans="25:26" x14ac:dyDescent="0.25">
      <c r="Y13218" s="63">
        <v>55751</v>
      </c>
      <c r="Z13218" s="61">
        <f>_xll.qlYieldTSDiscount($U$35,Y13218,,Trigger)</f>
        <v>0.50753880270962859</v>
      </c>
    </row>
    <row r="13219" spans="25:26" x14ac:dyDescent="0.25">
      <c r="Y13219" s="63">
        <v>55752</v>
      </c>
      <c r="Z13219" s="61">
        <f>_xll.qlYieldTSDiscount($U$35,Y13219,,Trigger)</f>
        <v>0.50750546275084862</v>
      </c>
    </row>
    <row r="13220" spans="25:26" x14ac:dyDescent="0.25">
      <c r="Y13220" s="63">
        <v>55753</v>
      </c>
      <c r="Z13220" s="61">
        <f>_xll.qlYieldTSDiscount($U$35,Y13220,,Trigger)</f>
        <v>0.50747212598595992</v>
      </c>
    </row>
    <row r="13221" spans="25:26" x14ac:dyDescent="0.25">
      <c r="Y13221" s="63">
        <v>55754</v>
      </c>
      <c r="Z13221" s="61">
        <f>_xll.qlYieldTSDiscount($U$35,Y13221,,Trigger)</f>
        <v>0.50743879241459633</v>
      </c>
    </row>
    <row r="13222" spans="25:26" x14ac:dyDescent="0.25">
      <c r="Y13222" s="63">
        <v>55755</v>
      </c>
      <c r="Z13222" s="61">
        <f>_xll.qlYieldTSDiscount($U$35,Y13222,,Trigger)</f>
        <v>0.50740546203639203</v>
      </c>
    </row>
    <row r="13223" spans="25:26" x14ac:dyDescent="0.25">
      <c r="Y13223" s="63">
        <v>55756</v>
      </c>
      <c r="Z13223" s="61">
        <f>_xll.qlYieldTSDiscount($U$35,Y13223,,Trigger)</f>
        <v>0.50737213485098098</v>
      </c>
    </row>
    <row r="13224" spans="25:26" x14ac:dyDescent="0.25">
      <c r="Y13224" s="63">
        <v>55757</v>
      </c>
      <c r="Z13224" s="61">
        <f>_xll.qlYieldTSDiscount($U$35,Y13224,,Trigger)</f>
        <v>0.50733881085799726</v>
      </c>
    </row>
    <row r="13225" spans="25:26" x14ac:dyDescent="0.25">
      <c r="Y13225" s="63">
        <v>55758</v>
      </c>
      <c r="Z13225" s="61">
        <f>_xll.qlYieldTSDiscount($U$35,Y13225,,Trigger)</f>
        <v>0.5073054900570747</v>
      </c>
    </row>
    <row r="13226" spans="25:26" x14ac:dyDescent="0.25">
      <c r="Y13226" s="63">
        <v>55759</v>
      </c>
      <c r="Z13226" s="61">
        <f>_xll.qlYieldTSDiscount($U$35,Y13226,,Trigger)</f>
        <v>0.50727217244784761</v>
      </c>
    </row>
    <row r="13227" spans="25:26" x14ac:dyDescent="0.25">
      <c r="Y13227" s="63">
        <v>55760</v>
      </c>
      <c r="Z13227" s="61">
        <f>_xll.qlYieldTSDiscount($U$35,Y13227,,Trigger)</f>
        <v>0.50723885802994984</v>
      </c>
    </row>
    <row r="13228" spans="25:26" x14ac:dyDescent="0.25">
      <c r="Y13228" s="63">
        <v>55761</v>
      </c>
      <c r="Z13228" s="61">
        <f>_xll.qlYieldTSDiscount($U$35,Y13228,,Trigger)</f>
        <v>0.50720554680301533</v>
      </c>
    </row>
    <row r="13229" spans="25:26" x14ac:dyDescent="0.25">
      <c r="Y13229" s="63">
        <v>55762</v>
      </c>
      <c r="Z13229" s="61">
        <f>_xll.qlYieldTSDiscount($U$35,Y13229,,Trigger)</f>
        <v>0.50717223876667827</v>
      </c>
    </row>
    <row r="13230" spans="25:26" x14ac:dyDescent="0.25">
      <c r="Y13230" s="63">
        <v>55763</v>
      </c>
      <c r="Z13230" s="61">
        <f>_xll.qlYieldTSDiscount($U$35,Y13230,,Trigger)</f>
        <v>0.50713893392057263</v>
      </c>
    </row>
    <row r="13231" spans="25:26" x14ac:dyDescent="0.25">
      <c r="Y13231" s="63">
        <v>55764</v>
      </c>
      <c r="Z13231" s="61">
        <f>_xll.qlYieldTSDiscount($U$35,Y13231,,Trigger)</f>
        <v>0.50710563226433236</v>
      </c>
    </row>
    <row r="13232" spans="25:26" x14ac:dyDescent="0.25">
      <c r="Y13232" s="63">
        <v>55765</v>
      </c>
      <c r="Z13232" s="61">
        <f>_xll.qlYieldTSDiscount($U$35,Y13232,,Trigger)</f>
        <v>0.50707233379759165</v>
      </c>
    </row>
    <row r="13233" spans="25:26" x14ac:dyDescent="0.25">
      <c r="Y13233" s="63">
        <v>55766</v>
      </c>
      <c r="Z13233" s="61">
        <f>_xll.qlYieldTSDiscount($U$35,Y13233,,Trigger)</f>
        <v>0.50703903851998433</v>
      </c>
    </row>
    <row r="13234" spans="25:26" x14ac:dyDescent="0.25">
      <c r="Y13234" s="63">
        <v>55767</v>
      </c>
      <c r="Z13234" s="61">
        <f>_xll.qlYieldTSDiscount($U$35,Y13234,,Trigger)</f>
        <v>0.50700574643114449</v>
      </c>
    </row>
    <row r="13235" spans="25:26" x14ac:dyDescent="0.25">
      <c r="Y13235" s="63">
        <v>55768</v>
      </c>
      <c r="Z13235" s="61">
        <f>_xll.qlYieldTSDiscount($U$35,Y13235,,Trigger)</f>
        <v>0.50697245753070619</v>
      </c>
    </row>
    <row r="13236" spans="25:26" x14ac:dyDescent="0.25">
      <c r="Y13236" s="63">
        <v>55769</v>
      </c>
      <c r="Z13236" s="61">
        <f>_xll.qlYieldTSDiscount($U$35,Y13236,,Trigger)</f>
        <v>0.5069391718183035</v>
      </c>
    </row>
    <row r="13237" spans="25:26" x14ac:dyDescent="0.25">
      <c r="Y13237" s="63">
        <v>55770</v>
      </c>
      <c r="Z13237" s="61">
        <f>_xll.qlYieldTSDiscount($U$35,Y13237,,Trigger)</f>
        <v>0.50690588929357028</v>
      </c>
    </row>
    <row r="13238" spans="25:26" x14ac:dyDescent="0.25">
      <c r="Y13238" s="63">
        <v>55771</v>
      </c>
      <c r="Z13238" s="61">
        <f>_xll.qlYieldTSDiscount($U$35,Y13238,,Trigger)</f>
        <v>0.50687260995614059</v>
      </c>
    </row>
    <row r="13239" spans="25:26" x14ac:dyDescent="0.25">
      <c r="Y13239" s="63">
        <v>55772</v>
      </c>
      <c r="Z13239" s="61">
        <f>_xll.qlYieldTSDiscount($U$35,Y13239,,Trigger)</f>
        <v>0.50683933380564861</v>
      </c>
    </row>
    <row r="13240" spans="25:26" x14ac:dyDescent="0.25">
      <c r="Y13240" s="63">
        <v>55773</v>
      </c>
      <c r="Z13240" s="61">
        <f>_xll.qlYieldTSDiscount($U$35,Y13240,,Trigger)</f>
        <v>0.50680606084172819</v>
      </c>
    </row>
    <row r="13241" spans="25:26" x14ac:dyDescent="0.25">
      <c r="Y13241" s="63">
        <v>55774</v>
      </c>
      <c r="Z13241" s="61">
        <f>_xll.qlYieldTSDiscount($U$35,Y13241,,Trigger)</f>
        <v>0.50677279106401341</v>
      </c>
    </row>
    <row r="13242" spans="25:26" x14ac:dyDescent="0.25">
      <c r="Y13242" s="63">
        <v>55775</v>
      </c>
      <c r="Z13242" s="61">
        <f>_xll.qlYieldTSDiscount($U$35,Y13242,,Trigger)</f>
        <v>0.50673952447213844</v>
      </c>
    </row>
    <row r="13243" spans="25:26" x14ac:dyDescent="0.25">
      <c r="Y13243" s="63">
        <v>55776</v>
      </c>
      <c r="Z13243" s="61">
        <f>_xll.qlYieldTSDiscount($U$35,Y13243,,Trigger)</f>
        <v>0.50670626106573702</v>
      </c>
    </row>
    <row r="13244" spans="25:26" x14ac:dyDescent="0.25">
      <c r="Y13244" s="63">
        <v>55777</v>
      </c>
      <c r="Z13244" s="61">
        <f>_xll.qlYieldTSDiscount($U$35,Y13244,,Trigger)</f>
        <v>0.50667300084444333</v>
      </c>
    </row>
    <row r="13245" spans="25:26" x14ac:dyDescent="0.25">
      <c r="Y13245" s="63">
        <v>55778</v>
      </c>
      <c r="Z13245" s="61">
        <f>_xll.qlYieldTSDiscount($U$35,Y13245,,Trigger)</f>
        <v>0.50663974380789145</v>
      </c>
    </row>
    <row r="13246" spans="25:26" x14ac:dyDescent="0.25">
      <c r="Y13246" s="63">
        <v>55779</v>
      </c>
      <c r="Z13246" s="61">
        <f>_xll.qlYieldTSDiscount($U$35,Y13246,,Trigger)</f>
        <v>0.50660648995571522</v>
      </c>
    </row>
    <row r="13247" spans="25:26" x14ac:dyDescent="0.25">
      <c r="Y13247" s="63">
        <v>55780</v>
      </c>
      <c r="Z13247" s="61">
        <f>_xll.qlYieldTSDiscount($U$35,Y13247,,Trigger)</f>
        <v>0.50657323928754883</v>
      </c>
    </row>
    <row r="13248" spans="25:26" x14ac:dyDescent="0.25">
      <c r="Y13248" s="63">
        <v>55781</v>
      </c>
      <c r="Z13248" s="61">
        <f>_xll.qlYieldTSDiscount($U$35,Y13248,,Trigger)</f>
        <v>0.50653999180302622</v>
      </c>
    </row>
    <row r="13249" spans="25:26" x14ac:dyDescent="0.25">
      <c r="Y13249" s="63">
        <v>55782</v>
      </c>
      <c r="Z13249" s="61">
        <f>_xll.qlYieldTSDiscount($U$35,Y13249,,Trigger)</f>
        <v>0.50650674750178148</v>
      </c>
    </row>
    <row r="13250" spans="25:26" x14ac:dyDescent="0.25">
      <c r="Y13250" s="63">
        <v>55783</v>
      </c>
      <c r="Z13250" s="61">
        <f>_xll.qlYieldTSDiscount($U$35,Y13250,,Trigger)</f>
        <v>0.50647350638344846</v>
      </c>
    </row>
    <row r="13251" spans="25:26" x14ac:dyDescent="0.25">
      <c r="Y13251" s="63">
        <v>55784</v>
      </c>
      <c r="Z13251" s="61">
        <f>_xll.qlYieldTSDiscount($U$35,Y13251,,Trigger)</f>
        <v>0.50644026844766155</v>
      </c>
    </row>
    <row r="13252" spans="25:26" x14ac:dyDescent="0.25">
      <c r="Y13252" s="63">
        <v>55785</v>
      </c>
      <c r="Z13252" s="61">
        <f>_xll.qlYieldTSDiscount($U$35,Y13252,,Trigger)</f>
        <v>0.50640703369405426</v>
      </c>
    </row>
    <row r="13253" spans="25:26" x14ac:dyDescent="0.25">
      <c r="Y13253" s="63">
        <v>55786</v>
      </c>
      <c r="Z13253" s="61">
        <f>_xll.qlYieldTSDiscount($U$35,Y13253,,Trigger)</f>
        <v>0.50637380212226102</v>
      </c>
    </row>
    <row r="13254" spans="25:26" x14ac:dyDescent="0.25">
      <c r="Y13254" s="63">
        <v>55787</v>
      </c>
      <c r="Z13254" s="61">
        <f>_xll.qlYieldTSDiscount($U$35,Y13254,,Trigger)</f>
        <v>0.50634057373191566</v>
      </c>
    </row>
    <row r="13255" spans="25:26" x14ac:dyDescent="0.25">
      <c r="Y13255" s="63">
        <v>55788</v>
      </c>
      <c r="Z13255" s="61">
        <f>_xll.qlYieldTSDiscount($U$35,Y13255,,Trigger)</f>
        <v>0.50630734852265236</v>
      </c>
    </row>
    <row r="13256" spans="25:26" x14ac:dyDescent="0.25">
      <c r="Y13256" s="63">
        <v>55789</v>
      </c>
      <c r="Z13256" s="61">
        <f>_xll.qlYieldTSDiscount($U$35,Y13256,,Trigger)</f>
        <v>0.50627412649410486</v>
      </c>
    </row>
    <row r="13257" spans="25:26" x14ac:dyDescent="0.25">
      <c r="Y13257" s="63">
        <v>55790</v>
      </c>
      <c r="Z13257" s="61">
        <f>_xll.qlYieldTSDiscount($U$35,Y13257,,Trigger)</f>
        <v>0.50624090764590746</v>
      </c>
    </row>
    <row r="13258" spans="25:26" x14ac:dyDescent="0.25">
      <c r="Y13258" s="63">
        <v>55791</v>
      </c>
      <c r="Z13258" s="61">
        <f>_xll.qlYieldTSDiscount($U$35,Y13258,,Trigger)</f>
        <v>0.50620769197769411</v>
      </c>
    </row>
    <row r="13259" spans="25:26" x14ac:dyDescent="0.25">
      <c r="Y13259" s="63">
        <v>55792</v>
      </c>
      <c r="Z13259" s="61">
        <f>_xll.qlYieldTSDiscount($U$35,Y13259,,Trigger)</f>
        <v>0.50617447948909866</v>
      </c>
    </row>
    <row r="13260" spans="25:26" x14ac:dyDescent="0.25">
      <c r="Y13260" s="63">
        <v>55793</v>
      </c>
      <c r="Z13260" s="61">
        <f>_xll.qlYieldTSDiscount($U$35,Y13260,,Trigger)</f>
        <v>0.50614127017975541</v>
      </c>
    </row>
    <row r="13261" spans="25:26" x14ac:dyDescent="0.25">
      <c r="Y13261" s="63">
        <v>55794</v>
      </c>
      <c r="Z13261" s="61">
        <f>_xll.qlYieldTSDiscount($U$35,Y13261,,Trigger)</f>
        <v>0.5061080640492982</v>
      </c>
    </row>
    <row r="13262" spans="25:26" x14ac:dyDescent="0.25">
      <c r="Y13262" s="63">
        <v>55795</v>
      </c>
      <c r="Z13262" s="61">
        <f>_xll.qlYieldTSDiscount($U$35,Y13262,,Trigger)</f>
        <v>0.50607486109736111</v>
      </c>
    </row>
    <row r="13263" spans="25:26" x14ac:dyDescent="0.25">
      <c r="Y13263" s="63">
        <v>55796</v>
      </c>
      <c r="Z13263" s="61">
        <f>_xll.qlYieldTSDiscount($U$35,Y13263,,Trigger)</f>
        <v>0.50604166132357808</v>
      </c>
    </row>
    <row r="13264" spans="25:26" x14ac:dyDescent="0.25">
      <c r="Y13264" s="63">
        <v>55797</v>
      </c>
      <c r="Z13264" s="61">
        <f>_xll.qlYieldTSDiscount($U$35,Y13264,,Trigger)</f>
        <v>0.50600846472758332</v>
      </c>
    </row>
    <row r="13265" spans="25:26" x14ac:dyDescent="0.25">
      <c r="Y13265" s="63">
        <v>55798</v>
      </c>
      <c r="Z13265" s="61">
        <f>_xll.qlYieldTSDiscount($U$35,Y13265,,Trigger)</f>
        <v>0.50597527130901065</v>
      </c>
    </row>
    <row r="13266" spans="25:26" x14ac:dyDescent="0.25">
      <c r="Y13266" s="63">
        <v>55799</v>
      </c>
      <c r="Z13266" s="61">
        <f>_xll.qlYieldTSDiscount($U$35,Y13266,,Trigger)</f>
        <v>0.50594208106749416</v>
      </c>
    </row>
    <row r="13267" spans="25:26" x14ac:dyDescent="0.25">
      <c r="Y13267" s="63">
        <v>55800</v>
      </c>
      <c r="Z13267" s="61">
        <f>_xll.qlYieldTSDiscount($U$35,Y13267,,Trigger)</f>
        <v>0.50590889400266792</v>
      </c>
    </row>
    <row r="13268" spans="25:26" x14ac:dyDescent="0.25">
      <c r="Y13268" s="63">
        <v>55801</v>
      </c>
      <c r="Z13268" s="61">
        <f>_xll.qlYieldTSDiscount($U$35,Y13268,,Trigger)</f>
        <v>0.50587571011416599</v>
      </c>
    </row>
    <row r="13269" spans="25:26" x14ac:dyDescent="0.25">
      <c r="Y13269" s="63">
        <v>55802</v>
      </c>
      <c r="Z13269" s="61">
        <f>_xll.qlYieldTSDiscount($U$35,Y13269,,Trigger)</f>
        <v>0.50584252940162222</v>
      </c>
    </row>
    <row r="13270" spans="25:26" x14ac:dyDescent="0.25">
      <c r="Y13270" s="63">
        <v>55803</v>
      </c>
      <c r="Z13270" s="61">
        <f>_xll.qlYieldTSDiscount($U$35,Y13270,,Trigger)</f>
        <v>0.50580935186467069</v>
      </c>
    </row>
    <row r="13271" spans="25:26" x14ac:dyDescent="0.25">
      <c r="Y13271" s="63">
        <v>55804</v>
      </c>
      <c r="Z13271" s="61">
        <f>_xll.qlYieldTSDiscount($U$35,Y13271,,Trigger)</f>
        <v>0.50577617750294557</v>
      </c>
    </row>
    <row r="13272" spans="25:26" x14ac:dyDescent="0.25">
      <c r="Y13272" s="63">
        <v>55805</v>
      </c>
      <c r="Z13272" s="61">
        <f>_xll.qlYieldTSDiscount($U$35,Y13272,,Trigger)</f>
        <v>0.50574300631608071</v>
      </c>
    </row>
    <row r="13273" spans="25:26" x14ac:dyDescent="0.25">
      <c r="Y13273" s="63">
        <v>55806</v>
      </c>
      <c r="Z13273" s="61">
        <f>_xll.qlYieldTSDiscount($U$35,Y13273,,Trigger)</f>
        <v>0.50570983830371019</v>
      </c>
    </row>
    <row r="13274" spans="25:26" x14ac:dyDescent="0.25">
      <c r="Y13274" s="63">
        <v>55807</v>
      </c>
      <c r="Z13274" s="61">
        <f>_xll.qlYieldTSDiscount($U$35,Y13274,,Trigger)</f>
        <v>0.50567667346546818</v>
      </c>
    </row>
    <row r="13275" spans="25:26" x14ac:dyDescent="0.25">
      <c r="Y13275" s="63">
        <v>55808</v>
      </c>
      <c r="Z13275" s="61">
        <f>_xll.qlYieldTSDiscount($U$35,Y13275,,Trigger)</f>
        <v>0.50564351180098843</v>
      </c>
    </row>
    <row r="13276" spans="25:26" x14ac:dyDescent="0.25">
      <c r="Y13276" s="63">
        <v>55809</v>
      </c>
      <c r="Z13276" s="61">
        <f>_xll.qlYieldTSDiscount($U$35,Y13276,,Trigger)</f>
        <v>0.505610353309905</v>
      </c>
    </row>
    <row r="13277" spans="25:26" x14ac:dyDescent="0.25">
      <c r="Y13277" s="63">
        <v>55810</v>
      </c>
      <c r="Z13277" s="61">
        <f>_xll.qlYieldTSDiscount($U$35,Y13277,,Trigger)</f>
        <v>0.50557719799185219</v>
      </c>
    </row>
    <row r="13278" spans="25:26" x14ac:dyDescent="0.25">
      <c r="Y13278" s="63">
        <v>55811</v>
      </c>
      <c r="Z13278" s="61">
        <f>_xll.qlYieldTSDiscount($U$35,Y13278,,Trigger)</f>
        <v>0.50554404584646373</v>
      </c>
    </row>
    <row r="13279" spans="25:26" x14ac:dyDescent="0.25">
      <c r="Y13279" s="63">
        <v>55812</v>
      </c>
      <c r="Z13279" s="61">
        <f>_xll.qlYieldTSDiscount($U$35,Y13279,,Trigger)</f>
        <v>0.50551089687337381</v>
      </c>
    </row>
    <row r="13280" spans="25:26" x14ac:dyDescent="0.25">
      <c r="Y13280" s="63">
        <v>55813</v>
      </c>
      <c r="Z13280" s="61">
        <f>_xll.qlYieldTSDiscount($U$35,Y13280,,Trigger)</f>
        <v>0.50547775107221637</v>
      </c>
    </row>
    <row r="13281" spans="25:26" x14ac:dyDescent="0.25">
      <c r="Y13281" s="63">
        <v>55814</v>
      </c>
      <c r="Z13281" s="61">
        <f>_xll.qlYieldTSDiscount($U$35,Y13281,,Trigger)</f>
        <v>0.5054446084426254</v>
      </c>
    </row>
    <row r="13282" spans="25:26" x14ac:dyDescent="0.25">
      <c r="Y13282" s="63">
        <v>55815</v>
      </c>
      <c r="Z13282" s="61">
        <f>_xll.qlYieldTSDiscount($U$35,Y13282,,Trigger)</f>
        <v>0.50541146898423506</v>
      </c>
    </row>
    <row r="13283" spans="25:26" x14ac:dyDescent="0.25">
      <c r="Y13283" s="63">
        <v>55816</v>
      </c>
      <c r="Z13283" s="61">
        <f>_xll.qlYieldTSDiscount($U$35,Y13283,,Trigger)</f>
        <v>0.5053783326966792</v>
      </c>
    </row>
    <row r="13284" spans="25:26" x14ac:dyDescent="0.25">
      <c r="Y13284" s="63">
        <v>55817</v>
      </c>
      <c r="Z13284" s="61">
        <f>_xll.qlYieldTSDiscount($U$35,Y13284,,Trigger)</f>
        <v>0.50534519957959201</v>
      </c>
    </row>
    <row r="13285" spans="25:26" x14ac:dyDescent="0.25">
      <c r="Y13285" s="63">
        <v>55818</v>
      </c>
      <c r="Z13285" s="61">
        <f>_xll.qlYieldTSDiscount($U$35,Y13285,,Trigger)</f>
        <v>0.50531206963260733</v>
      </c>
    </row>
    <row r="13286" spans="25:26" x14ac:dyDescent="0.25">
      <c r="Y13286" s="63">
        <v>55819</v>
      </c>
      <c r="Z13286" s="61">
        <f>_xll.qlYieldTSDiscount($U$35,Y13286,,Trigger)</f>
        <v>0.50527894285535935</v>
      </c>
    </row>
    <row r="13287" spans="25:26" x14ac:dyDescent="0.25">
      <c r="Y13287" s="63">
        <v>55820</v>
      </c>
      <c r="Z13287" s="61">
        <f>_xll.qlYieldTSDiscount($U$35,Y13287,,Trigger)</f>
        <v>0.50524581924748202</v>
      </c>
    </row>
    <row r="13288" spans="25:26" x14ac:dyDescent="0.25">
      <c r="Y13288" s="63">
        <v>55821</v>
      </c>
      <c r="Z13288" s="61">
        <f>_xll.qlYieldTSDiscount($U$35,Y13288,,Trigger)</f>
        <v>0.50521269880860942</v>
      </c>
    </row>
    <row r="13289" spans="25:26" x14ac:dyDescent="0.25">
      <c r="Y13289" s="63">
        <v>55822</v>
      </c>
      <c r="Z13289" s="61">
        <f>_xll.qlYieldTSDiscount($U$35,Y13289,,Trigger)</f>
        <v>0.50517958153837539</v>
      </c>
    </row>
    <row r="13290" spans="25:26" x14ac:dyDescent="0.25">
      <c r="Y13290" s="63">
        <v>55823</v>
      </c>
      <c r="Z13290" s="61">
        <f>_xll.qlYieldTSDiscount($U$35,Y13290,,Trigger)</f>
        <v>0.50514646743641423</v>
      </c>
    </row>
    <row r="13291" spans="25:26" x14ac:dyDescent="0.25">
      <c r="Y13291" s="63">
        <v>55824</v>
      </c>
      <c r="Z13291" s="61">
        <f>_xll.qlYieldTSDiscount($U$35,Y13291,,Trigger)</f>
        <v>0.50511335650235967</v>
      </c>
    </row>
    <row r="13292" spans="25:26" x14ac:dyDescent="0.25">
      <c r="Y13292" s="63">
        <v>55825</v>
      </c>
      <c r="Z13292" s="61">
        <f>_xll.qlYieldTSDiscount($U$35,Y13292,,Trigger)</f>
        <v>0.50508024873584589</v>
      </c>
    </row>
    <row r="13293" spans="25:26" x14ac:dyDescent="0.25">
      <c r="Y13293" s="63">
        <v>55826</v>
      </c>
      <c r="Z13293" s="61">
        <f>_xll.qlYieldTSDiscount($U$35,Y13293,,Trigger)</f>
        <v>0.50504714413650698</v>
      </c>
    </row>
    <row r="13294" spans="25:26" x14ac:dyDescent="0.25">
      <c r="Y13294" s="63">
        <v>55827</v>
      </c>
      <c r="Z13294" s="61">
        <f>_xll.qlYieldTSDiscount($U$35,Y13294,,Trigger)</f>
        <v>0.50501404270397687</v>
      </c>
    </row>
    <row r="13295" spans="25:26" x14ac:dyDescent="0.25">
      <c r="Y13295" s="63">
        <v>55828</v>
      </c>
      <c r="Z13295" s="61">
        <f>_xll.qlYieldTSDiscount($U$35,Y13295,,Trigger)</f>
        <v>0.50498094443788943</v>
      </c>
    </row>
    <row r="13296" spans="25:26" x14ac:dyDescent="0.25">
      <c r="Y13296" s="63">
        <v>55829</v>
      </c>
      <c r="Z13296" s="61">
        <f>_xll.qlYieldTSDiscount($U$35,Y13296,,Trigger)</f>
        <v>0.50494784933787906</v>
      </c>
    </row>
    <row r="13297" spans="25:26" x14ac:dyDescent="0.25">
      <c r="Y13297" s="63">
        <v>55830</v>
      </c>
      <c r="Z13297" s="61">
        <f>_xll.qlYieldTSDiscount($U$35,Y13297,,Trigger)</f>
        <v>0.50491475740357938</v>
      </c>
    </row>
    <row r="13298" spans="25:26" x14ac:dyDescent="0.25">
      <c r="Y13298" s="63">
        <v>55831</v>
      </c>
      <c r="Z13298" s="61">
        <f>_xll.qlYieldTSDiscount($U$35,Y13298,,Trigger)</f>
        <v>0.50488166863462469</v>
      </c>
    </row>
    <row r="13299" spans="25:26" x14ac:dyDescent="0.25">
      <c r="Y13299" s="63">
        <v>55832</v>
      </c>
      <c r="Z13299" s="61">
        <f>_xll.qlYieldTSDiscount($U$35,Y13299,,Trigger)</f>
        <v>0.50484858303064883</v>
      </c>
    </row>
    <row r="13300" spans="25:26" x14ac:dyDescent="0.25">
      <c r="Y13300" s="63">
        <v>55833</v>
      </c>
      <c r="Z13300" s="61">
        <f>_xll.qlYieldTSDiscount($U$35,Y13300,,Trigger)</f>
        <v>0.50481550059128599</v>
      </c>
    </row>
    <row r="13301" spans="25:26" x14ac:dyDescent="0.25">
      <c r="Y13301" s="63">
        <v>55834</v>
      </c>
      <c r="Z13301" s="61">
        <f>_xll.qlYieldTSDiscount($U$35,Y13301,,Trigger)</f>
        <v>0.50478242131617013</v>
      </c>
    </row>
    <row r="13302" spans="25:26" x14ac:dyDescent="0.25">
      <c r="Y13302" s="63">
        <v>55835</v>
      </c>
      <c r="Z13302" s="61">
        <f>_xll.qlYieldTSDiscount($U$35,Y13302,,Trigger)</f>
        <v>0.5047493452049352</v>
      </c>
    </row>
    <row r="13303" spans="25:26" x14ac:dyDescent="0.25">
      <c r="Y13303" s="63">
        <v>55836</v>
      </c>
      <c r="Z13303" s="61">
        <f>_xll.qlYieldTSDiscount($U$35,Y13303,,Trigger)</f>
        <v>0.50471627225721527</v>
      </c>
    </row>
    <row r="13304" spans="25:26" x14ac:dyDescent="0.25">
      <c r="Y13304" s="63">
        <v>55837</v>
      </c>
      <c r="Z13304" s="61">
        <f>_xll.qlYieldTSDiscount($U$35,Y13304,,Trigger)</f>
        <v>0.50468320247264442</v>
      </c>
    </row>
    <row r="13305" spans="25:26" x14ac:dyDescent="0.25">
      <c r="Y13305" s="63">
        <v>55838</v>
      </c>
      <c r="Z13305" s="61">
        <f>_xll.qlYieldTSDiscount($U$35,Y13305,,Trigger)</f>
        <v>0.5046501358508565</v>
      </c>
    </row>
    <row r="13306" spans="25:26" x14ac:dyDescent="0.25">
      <c r="Y13306" s="63">
        <v>55839</v>
      </c>
      <c r="Z13306" s="61">
        <f>_xll.qlYieldTSDiscount($U$35,Y13306,,Trigger)</f>
        <v>0.50461707239148579</v>
      </c>
    </row>
    <row r="13307" spans="25:26" x14ac:dyDescent="0.25">
      <c r="Y13307" s="63">
        <v>55840</v>
      </c>
      <c r="Z13307" s="61">
        <f>_xll.qlYieldTSDiscount($U$35,Y13307,,Trigger)</f>
        <v>0.50458401209416603</v>
      </c>
    </row>
    <row r="13308" spans="25:26" x14ac:dyDescent="0.25">
      <c r="Y13308" s="63">
        <v>55841</v>
      </c>
      <c r="Z13308" s="61">
        <f>_xll.qlYieldTSDiscount($U$35,Y13308,,Trigger)</f>
        <v>0.50455095495853142</v>
      </c>
    </row>
    <row r="13309" spans="25:26" x14ac:dyDescent="0.25">
      <c r="Y13309" s="63">
        <v>55842</v>
      </c>
      <c r="Z13309" s="61">
        <f>_xll.qlYieldTSDiscount($U$35,Y13309,,Trigger)</f>
        <v>0.50451790098421612</v>
      </c>
    </row>
    <row r="13310" spans="25:26" x14ac:dyDescent="0.25">
      <c r="Y13310" s="63">
        <v>55843</v>
      </c>
      <c r="Z13310" s="61">
        <f>_xll.qlYieldTSDiscount($U$35,Y13310,,Trigger)</f>
        <v>0.50448485017085376</v>
      </c>
    </row>
    <row r="13311" spans="25:26" x14ac:dyDescent="0.25">
      <c r="Y13311" s="63">
        <v>55844</v>
      </c>
      <c r="Z13311" s="61">
        <f>_xll.qlYieldTSDiscount($U$35,Y13311,,Trigger)</f>
        <v>0.50445180251807864</v>
      </c>
    </row>
    <row r="13312" spans="25:26" x14ac:dyDescent="0.25">
      <c r="Y13312" s="63">
        <v>55845</v>
      </c>
      <c r="Z13312" s="61">
        <f>_xll.qlYieldTSDiscount($U$35,Y13312,,Trigger)</f>
        <v>0.50441875802552472</v>
      </c>
    </row>
    <row r="13313" spans="25:26" x14ac:dyDescent="0.25">
      <c r="Y13313" s="63">
        <v>55846</v>
      </c>
      <c r="Z13313" s="61">
        <f>_xll.qlYieldTSDiscount($U$35,Y13313,,Trigger)</f>
        <v>0.50438571669282606</v>
      </c>
    </row>
    <row r="13314" spans="25:26" x14ac:dyDescent="0.25">
      <c r="Y13314" s="63">
        <v>55847</v>
      </c>
      <c r="Z13314" s="61">
        <f>_xll.qlYieldTSDiscount($U$35,Y13314,,Trigger)</f>
        <v>0.50435267851961663</v>
      </c>
    </row>
    <row r="13315" spans="25:26" x14ac:dyDescent="0.25">
      <c r="Y13315" s="63">
        <v>55848</v>
      </c>
      <c r="Z13315" s="61">
        <f>_xll.qlYieldTSDiscount($U$35,Y13315,,Trigger)</f>
        <v>0.50431964350553038</v>
      </c>
    </row>
    <row r="13316" spans="25:26" x14ac:dyDescent="0.25">
      <c r="Y13316" s="63">
        <v>55849</v>
      </c>
      <c r="Z13316" s="61">
        <f>_xll.qlYieldTSDiscount($U$35,Y13316,,Trigger)</f>
        <v>0.50428661165020161</v>
      </c>
    </row>
    <row r="13317" spans="25:26" x14ac:dyDescent="0.25">
      <c r="Y13317" s="63">
        <v>55850</v>
      </c>
      <c r="Z13317" s="61">
        <f>_xll.qlYieldTSDiscount($U$35,Y13317,,Trigger)</f>
        <v>0.50425358295326395</v>
      </c>
    </row>
    <row r="13318" spans="25:26" x14ac:dyDescent="0.25">
      <c r="Y13318" s="63">
        <v>55851</v>
      </c>
      <c r="Z13318" s="61">
        <f>_xll.qlYieldTSDiscount($U$35,Y13318,,Trigger)</f>
        <v>0.50422055741435168</v>
      </c>
    </row>
    <row r="13319" spans="25:26" x14ac:dyDescent="0.25">
      <c r="Y13319" s="63">
        <v>55852</v>
      </c>
      <c r="Z13319" s="61">
        <f>_xll.qlYieldTSDiscount($U$35,Y13319,,Trigger)</f>
        <v>0.50418753503309888</v>
      </c>
    </row>
    <row r="13320" spans="25:26" x14ac:dyDescent="0.25">
      <c r="Y13320" s="63">
        <v>55853</v>
      </c>
      <c r="Z13320" s="61">
        <f>_xll.qlYieldTSDiscount($U$35,Y13320,,Trigger)</f>
        <v>0.50415451580913928</v>
      </c>
    </row>
    <row r="13321" spans="25:26" x14ac:dyDescent="0.25">
      <c r="Y13321" s="63">
        <v>55854</v>
      </c>
      <c r="Z13321" s="61">
        <f>_xll.qlYieldTSDiscount($U$35,Y13321,,Trigger)</f>
        <v>0.50412149974210707</v>
      </c>
    </row>
    <row r="13322" spans="25:26" x14ac:dyDescent="0.25">
      <c r="Y13322" s="63">
        <v>55855</v>
      </c>
      <c r="Z13322" s="61">
        <f>_xll.qlYieldTSDiscount($U$35,Y13322,,Trigger)</f>
        <v>0.50408848683163643</v>
      </c>
    </row>
    <row r="13323" spans="25:26" x14ac:dyDescent="0.25">
      <c r="Y13323" s="63">
        <v>55856</v>
      </c>
      <c r="Z13323" s="61">
        <f>_xll.qlYieldTSDiscount($U$35,Y13323,,Trigger)</f>
        <v>0.5040554770773612</v>
      </c>
    </row>
    <row r="13324" spans="25:26" x14ac:dyDescent="0.25">
      <c r="Y13324" s="63">
        <v>55857</v>
      </c>
      <c r="Z13324" s="61">
        <f>_xll.qlYieldTSDiscount($U$35,Y13324,,Trigger)</f>
        <v>0.50402247047891535</v>
      </c>
    </row>
    <row r="13325" spans="25:26" x14ac:dyDescent="0.25">
      <c r="Y13325" s="63">
        <v>55858</v>
      </c>
      <c r="Z13325" s="61">
        <f>_xll.qlYieldTSDiscount($U$35,Y13325,,Trigger)</f>
        <v>0.50398946703593306</v>
      </c>
    </row>
    <row r="13326" spans="25:26" x14ac:dyDescent="0.25">
      <c r="Y13326" s="63">
        <v>55859</v>
      </c>
      <c r="Z13326" s="61">
        <f>_xll.qlYieldTSDiscount($U$35,Y13326,,Trigger)</f>
        <v>0.50395646674804828</v>
      </c>
    </row>
    <row r="13327" spans="25:26" x14ac:dyDescent="0.25">
      <c r="Y13327" s="63">
        <v>55860</v>
      </c>
      <c r="Z13327" s="61">
        <f>_xll.qlYieldTSDiscount($U$35,Y13327,,Trigger)</f>
        <v>0.50392346961489487</v>
      </c>
    </row>
    <row r="13328" spans="25:26" x14ac:dyDescent="0.25">
      <c r="Y13328" s="63">
        <v>55861</v>
      </c>
      <c r="Z13328" s="61">
        <f>_xll.qlYieldTSDiscount($U$35,Y13328,,Trigger)</f>
        <v>0.50389047563610712</v>
      </c>
    </row>
    <row r="13329" spans="25:26" x14ac:dyDescent="0.25">
      <c r="Y13329" s="63">
        <v>55862</v>
      </c>
      <c r="Z13329" s="61">
        <f>_xll.qlYieldTSDiscount($U$35,Y13329,,Trigger)</f>
        <v>0.50385748481131898</v>
      </c>
    </row>
    <row r="13330" spans="25:26" x14ac:dyDescent="0.25">
      <c r="Y13330" s="63">
        <v>55863</v>
      </c>
      <c r="Z13330" s="61">
        <f>_xll.qlYieldTSDiscount($U$35,Y13330,,Trigger)</f>
        <v>0.50382449714016442</v>
      </c>
    </row>
    <row r="13331" spans="25:26" x14ac:dyDescent="0.25">
      <c r="Y13331" s="63">
        <v>55864</v>
      </c>
      <c r="Z13331" s="61">
        <f>_xll.qlYieldTSDiscount($U$35,Y13331,,Trigger)</f>
        <v>0.50379151262227739</v>
      </c>
    </row>
    <row r="13332" spans="25:26" x14ac:dyDescent="0.25">
      <c r="Y13332" s="63">
        <v>55865</v>
      </c>
      <c r="Z13332" s="61">
        <f>_xll.qlYieldTSDiscount($U$35,Y13332,,Trigger)</f>
        <v>0.5037585312572922</v>
      </c>
    </row>
    <row r="13333" spans="25:26" x14ac:dyDescent="0.25">
      <c r="Y13333" s="63">
        <v>55866</v>
      </c>
      <c r="Z13333" s="61">
        <f>_xll.qlYieldTSDiscount($U$35,Y13333,,Trigger)</f>
        <v>0.50372555304484246</v>
      </c>
    </row>
    <row r="13334" spans="25:26" x14ac:dyDescent="0.25">
      <c r="Y13334" s="63">
        <v>55867</v>
      </c>
      <c r="Z13334" s="61">
        <f>_xll.qlYieldTSDiscount($U$35,Y13334,,Trigger)</f>
        <v>0.50369257798456246</v>
      </c>
    </row>
    <row r="13335" spans="25:26" x14ac:dyDescent="0.25">
      <c r="Y13335" s="63">
        <v>55868</v>
      </c>
      <c r="Z13335" s="61">
        <f>_xll.qlYieldTSDiscount($U$35,Y13335,,Trigger)</f>
        <v>0.50365960607608617</v>
      </c>
    </row>
    <row r="13336" spans="25:26" x14ac:dyDescent="0.25">
      <c r="Y13336" s="63">
        <v>55869</v>
      </c>
      <c r="Z13336" s="61">
        <f>_xll.qlYieldTSDiscount($U$35,Y13336,,Trigger)</f>
        <v>0.50362663731904767</v>
      </c>
    </row>
    <row r="13337" spans="25:26" x14ac:dyDescent="0.25">
      <c r="Y13337" s="63">
        <v>55870</v>
      </c>
      <c r="Z13337" s="61">
        <f>_xll.qlYieldTSDiscount($U$35,Y13337,,Trigger)</f>
        <v>0.50359367171308078</v>
      </c>
    </row>
    <row r="13338" spans="25:26" x14ac:dyDescent="0.25">
      <c r="Y13338" s="63">
        <v>55871</v>
      </c>
      <c r="Z13338" s="61">
        <f>_xll.qlYieldTSDiscount($U$35,Y13338,,Trigger)</f>
        <v>0.50356070925781982</v>
      </c>
    </row>
    <row r="13339" spans="25:26" x14ac:dyDescent="0.25">
      <c r="Y13339" s="63">
        <v>55872</v>
      </c>
      <c r="Z13339" s="61">
        <f>_xll.qlYieldTSDiscount($U$35,Y13339,,Trigger)</f>
        <v>0.50352774995289851</v>
      </c>
    </row>
    <row r="13340" spans="25:26" x14ac:dyDescent="0.25">
      <c r="Y13340" s="63">
        <v>55873</v>
      </c>
      <c r="Z13340" s="61">
        <f>_xll.qlYieldTSDiscount($U$35,Y13340,,Trigger)</f>
        <v>0.50349479379795103</v>
      </c>
    </row>
    <row r="13341" spans="25:26" x14ac:dyDescent="0.25">
      <c r="Y13341" s="63">
        <v>55874</v>
      </c>
      <c r="Z13341" s="61">
        <f>_xll.qlYieldTSDiscount($U$35,Y13341,,Trigger)</f>
        <v>0.50346184079261147</v>
      </c>
    </row>
    <row r="13342" spans="25:26" x14ac:dyDescent="0.25">
      <c r="Y13342" s="63">
        <v>55875</v>
      </c>
      <c r="Z13342" s="61">
        <f>_xll.qlYieldTSDiscount($U$35,Y13342,,Trigger)</f>
        <v>0.50342889093651366</v>
      </c>
    </row>
    <row r="13343" spans="25:26" x14ac:dyDescent="0.25">
      <c r="Y13343" s="63">
        <v>55876</v>
      </c>
      <c r="Z13343" s="61">
        <f>_xll.qlYieldTSDiscount($U$35,Y13343,,Trigger)</f>
        <v>0.50339594422929179</v>
      </c>
    </row>
    <row r="13344" spans="25:26" x14ac:dyDescent="0.25">
      <c r="Y13344" s="63">
        <v>55877</v>
      </c>
      <c r="Z13344" s="61">
        <f>_xll.qlYieldTSDiscount($U$35,Y13344,,Trigger)</f>
        <v>0.50336300067057982</v>
      </c>
    </row>
    <row r="13345" spans="25:26" x14ac:dyDescent="0.25">
      <c r="Y13345" s="63">
        <v>55878</v>
      </c>
      <c r="Z13345" s="61">
        <f>_xll.qlYieldTSDiscount($U$35,Y13345,,Trigger)</f>
        <v>0.50333006026001181</v>
      </c>
    </row>
    <row r="13346" spans="25:26" x14ac:dyDescent="0.25">
      <c r="Y13346" s="63">
        <v>55879</v>
      </c>
      <c r="Z13346" s="61">
        <f>_xll.qlYieldTSDiscount($U$35,Y13346,,Trigger)</f>
        <v>0.50329712299722162</v>
      </c>
    </row>
    <row r="13347" spans="25:26" x14ac:dyDescent="0.25">
      <c r="Y13347" s="63">
        <v>55880</v>
      </c>
      <c r="Z13347" s="61">
        <f>_xll.qlYieldTSDiscount($U$35,Y13347,,Trigger)</f>
        <v>0.50326418888184343</v>
      </c>
    </row>
    <row r="13348" spans="25:26" x14ac:dyDescent="0.25">
      <c r="Y13348" s="63">
        <v>55881</v>
      </c>
      <c r="Z13348" s="61">
        <f>_xll.qlYieldTSDiscount($U$35,Y13348,,Trigger)</f>
        <v>0.50323125791351142</v>
      </c>
    </row>
    <row r="13349" spans="25:26" x14ac:dyDescent="0.25">
      <c r="Y13349" s="63">
        <v>55882</v>
      </c>
      <c r="Z13349" s="61">
        <f>_xll.qlYieldTSDiscount($U$35,Y13349,,Trigger)</f>
        <v>0.50319833009185921</v>
      </c>
    </row>
    <row r="13350" spans="25:26" x14ac:dyDescent="0.25">
      <c r="Y13350" s="63">
        <v>55883</v>
      </c>
      <c r="Z13350" s="61">
        <f>_xll.qlYieldTSDiscount($U$35,Y13350,,Trigger)</f>
        <v>0.50316540541652099</v>
      </c>
    </row>
    <row r="13351" spans="25:26" x14ac:dyDescent="0.25">
      <c r="Y13351" s="63">
        <v>55884</v>
      </c>
      <c r="Z13351" s="61">
        <f>_xll.qlYieldTSDiscount($U$35,Y13351,,Trigger)</f>
        <v>0.50313248388713105</v>
      </c>
    </row>
    <row r="13352" spans="25:26" x14ac:dyDescent="0.25">
      <c r="Y13352" s="63">
        <v>55885</v>
      </c>
      <c r="Z13352" s="61">
        <f>_xll.qlYieldTSDiscount($U$35,Y13352,,Trigger)</f>
        <v>0.50309956550332302</v>
      </c>
    </row>
    <row r="13353" spans="25:26" x14ac:dyDescent="0.25">
      <c r="Y13353" s="63">
        <v>55886</v>
      </c>
      <c r="Z13353" s="61">
        <f>_xll.qlYieldTSDiscount($U$35,Y13353,,Trigger)</f>
        <v>0.50306665026473107</v>
      </c>
    </row>
    <row r="13354" spans="25:26" x14ac:dyDescent="0.25">
      <c r="Y13354" s="63">
        <v>55887</v>
      </c>
      <c r="Z13354" s="61">
        <f>_xll.qlYieldTSDiscount($U$35,Y13354,,Trigger)</f>
        <v>0.50303373817098929</v>
      </c>
    </row>
    <row r="13355" spans="25:26" x14ac:dyDescent="0.25">
      <c r="Y13355" s="63">
        <v>55888</v>
      </c>
      <c r="Z13355" s="61">
        <f>_xll.qlYieldTSDiscount($U$35,Y13355,,Trigger)</f>
        <v>0.50300082922173162</v>
      </c>
    </row>
    <row r="13356" spans="25:26" x14ac:dyDescent="0.25">
      <c r="Y13356" s="63">
        <v>55889</v>
      </c>
      <c r="Z13356" s="61">
        <f>_xll.qlYieldTSDiscount($U$35,Y13356,,Trigger)</f>
        <v>0.50296792341659213</v>
      </c>
    </row>
    <row r="13357" spans="25:26" x14ac:dyDescent="0.25">
      <c r="Y13357" s="63">
        <v>55890</v>
      </c>
      <c r="Z13357" s="61">
        <f>_xll.qlYieldTSDiscount($U$35,Y13357,,Trigger)</f>
        <v>0.5029350207552048</v>
      </c>
    </row>
    <row r="13358" spans="25:26" x14ac:dyDescent="0.25">
      <c r="Y13358" s="63">
        <v>55891</v>
      </c>
      <c r="Z13358" s="61">
        <f>_xll.qlYieldTSDiscount($U$35,Y13358,,Trigger)</f>
        <v>0.50290212123720379</v>
      </c>
    </row>
    <row r="13359" spans="25:26" x14ac:dyDescent="0.25">
      <c r="Y13359" s="63">
        <v>55892</v>
      </c>
      <c r="Z13359" s="61">
        <f>_xll.qlYieldTSDiscount($U$35,Y13359,,Trigger)</f>
        <v>0.50286922486222285</v>
      </c>
    </row>
    <row r="13360" spans="25:26" x14ac:dyDescent="0.25">
      <c r="Y13360" s="63">
        <v>55893</v>
      </c>
      <c r="Z13360" s="61">
        <f>_xll.qlYieldTSDiscount($U$35,Y13360,,Trigger)</f>
        <v>0.50283633162989627</v>
      </c>
    </row>
    <row r="13361" spans="25:26" x14ac:dyDescent="0.25">
      <c r="Y13361" s="63">
        <v>55894</v>
      </c>
      <c r="Z13361" s="61">
        <f>_xll.qlYieldTSDiscount($U$35,Y13361,,Trigger)</f>
        <v>0.5028034415398579</v>
      </c>
    </row>
    <row r="13362" spans="25:26" x14ac:dyDescent="0.25">
      <c r="Y13362" s="63">
        <v>55895</v>
      </c>
      <c r="Z13362" s="61">
        <f>_xll.qlYieldTSDiscount($U$35,Y13362,,Trigger)</f>
        <v>0.50277055459174191</v>
      </c>
    </row>
    <row r="13363" spans="25:26" x14ac:dyDescent="0.25">
      <c r="Y13363" s="63">
        <v>55896</v>
      </c>
      <c r="Z13363" s="61">
        <f>_xll.qlYieldTSDiscount($U$35,Y13363,,Trigger)</f>
        <v>0.50273767078518206</v>
      </c>
    </row>
    <row r="13364" spans="25:26" x14ac:dyDescent="0.25">
      <c r="Y13364" s="63">
        <v>55897</v>
      </c>
      <c r="Z13364" s="61">
        <f>_xll.qlYieldTSDiscount($U$35,Y13364,,Trigger)</f>
        <v>0.50270479011981273</v>
      </c>
    </row>
    <row r="13365" spans="25:26" x14ac:dyDescent="0.25">
      <c r="Y13365" s="63">
        <v>55898</v>
      </c>
      <c r="Z13365" s="61">
        <f>_xll.qlYieldTSDiscount($U$35,Y13365,,Trigger)</f>
        <v>0.50267191259526767</v>
      </c>
    </row>
    <row r="13366" spans="25:26" x14ac:dyDescent="0.25">
      <c r="Y13366" s="63">
        <v>55899</v>
      </c>
      <c r="Z13366" s="61">
        <f>_xll.qlYieldTSDiscount($U$35,Y13366,,Trigger)</f>
        <v>0.50263903821118094</v>
      </c>
    </row>
    <row r="13367" spans="25:26" x14ac:dyDescent="0.25">
      <c r="Y13367" s="63">
        <v>55900</v>
      </c>
      <c r="Z13367" s="61">
        <f>_xll.qlYieldTSDiscount($U$35,Y13367,,Trigger)</f>
        <v>0.50260616696718685</v>
      </c>
    </row>
    <row r="13368" spans="25:26" x14ac:dyDescent="0.25">
      <c r="Y13368" s="63">
        <v>55901</v>
      </c>
      <c r="Z13368" s="61">
        <f>_xll.qlYieldTSDiscount($U$35,Y13368,,Trigger)</f>
        <v>0.5025732988629189</v>
      </c>
    </row>
    <row r="13369" spans="25:26" x14ac:dyDescent="0.25">
      <c r="Y13369" s="63">
        <v>55902</v>
      </c>
      <c r="Z13369" s="61">
        <f>_xll.qlYieldTSDiscount($U$35,Y13369,,Trigger)</f>
        <v>0.50254043389801151</v>
      </c>
    </row>
    <row r="13370" spans="25:26" x14ac:dyDescent="0.25">
      <c r="Y13370" s="63">
        <v>55903</v>
      </c>
      <c r="Z13370" s="61">
        <f>_xll.qlYieldTSDiscount($U$35,Y13370,,Trigger)</f>
        <v>0.50250757207209862</v>
      </c>
    </row>
    <row r="13371" spans="25:26" x14ac:dyDescent="0.25">
      <c r="Y13371" s="63">
        <v>55904</v>
      </c>
      <c r="Z13371" s="61">
        <f>_xll.qlYieldTSDiscount($U$35,Y13371,,Trigger)</f>
        <v>0.5024747133848142</v>
      </c>
    </row>
    <row r="13372" spans="25:26" x14ac:dyDescent="0.25">
      <c r="Y13372" s="63">
        <v>55905</v>
      </c>
      <c r="Z13372" s="61">
        <f>_xll.qlYieldTSDiscount($U$35,Y13372,,Trigger)</f>
        <v>0.5024418578357922</v>
      </c>
    </row>
    <row r="13373" spans="25:26" x14ac:dyDescent="0.25">
      <c r="Y13373" s="63">
        <v>55906</v>
      </c>
      <c r="Z13373" s="61">
        <f>_xll.qlYieldTSDiscount($U$35,Y13373,,Trigger)</f>
        <v>0.50240900542466682</v>
      </c>
    </row>
    <row r="13374" spans="25:26" x14ac:dyDescent="0.25">
      <c r="Y13374" s="63">
        <v>55907</v>
      </c>
      <c r="Z13374" s="61">
        <f>_xll.qlYieldTSDiscount($U$35,Y13374,,Trigger)</f>
        <v>0.50237615615107201</v>
      </c>
    </row>
    <row r="13375" spans="25:26" x14ac:dyDescent="0.25">
      <c r="Y13375" s="63">
        <v>55908</v>
      </c>
      <c r="Z13375" s="61">
        <f>_xll.qlYieldTSDiscount($U$35,Y13375,,Trigger)</f>
        <v>0.50234331001464172</v>
      </c>
    </row>
    <row r="13376" spans="25:26" x14ac:dyDescent="0.25">
      <c r="Y13376" s="63">
        <v>55909</v>
      </c>
      <c r="Z13376" s="61">
        <f>_xll.qlYieldTSDiscount($U$35,Y13376,,Trigger)</f>
        <v>0.50231046701501003</v>
      </c>
    </row>
    <row r="13377" spans="25:26" x14ac:dyDescent="0.25">
      <c r="Y13377" s="63">
        <v>55910</v>
      </c>
      <c r="Z13377" s="61">
        <f>_xll.qlYieldTSDiscount($U$35,Y13377,,Trigger)</f>
        <v>0.50227762715181101</v>
      </c>
    </row>
    <row r="13378" spans="25:26" x14ac:dyDescent="0.25">
      <c r="Y13378" s="63">
        <v>55911</v>
      </c>
      <c r="Z13378" s="61">
        <f>_xll.qlYieldTSDiscount($U$35,Y13378,,Trigger)</f>
        <v>0.50224479042467862</v>
      </c>
    </row>
    <row r="13379" spans="25:26" x14ac:dyDescent="0.25">
      <c r="Y13379" s="63">
        <v>55912</v>
      </c>
      <c r="Z13379" s="61">
        <f>_xll.qlYieldTSDiscount($U$35,Y13379,,Trigger)</f>
        <v>0.50221195683324693</v>
      </c>
    </row>
    <row r="13380" spans="25:26" x14ac:dyDescent="0.25">
      <c r="Y13380" s="63">
        <v>55913</v>
      </c>
      <c r="Z13380" s="61">
        <f>_xll.qlYieldTSDiscount($U$35,Y13380,,Trigger)</f>
        <v>0.5021791263771499</v>
      </c>
    </row>
    <row r="13381" spans="25:26" x14ac:dyDescent="0.25">
      <c r="Y13381" s="63">
        <v>55914</v>
      </c>
      <c r="Z13381" s="61">
        <f>_xll.qlYieldTSDiscount($U$35,Y13381,,Trigger)</f>
        <v>0.50214629905602148</v>
      </c>
    </row>
    <row r="13382" spans="25:26" x14ac:dyDescent="0.25">
      <c r="Y13382" s="63">
        <v>55915</v>
      </c>
      <c r="Z13382" s="61">
        <f>_xll.qlYieldTSDiscount($U$35,Y13382,,Trigger)</f>
        <v>0.50211347486949587</v>
      </c>
    </row>
    <row r="13383" spans="25:26" x14ac:dyDescent="0.25">
      <c r="Y13383" s="63">
        <v>55916</v>
      </c>
      <c r="Z13383" s="61">
        <f>_xll.qlYieldTSDiscount($U$35,Y13383,,Trigger)</f>
        <v>0.50208065381720712</v>
      </c>
    </row>
    <row r="13384" spans="25:26" x14ac:dyDescent="0.25">
      <c r="Y13384" s="63">
        <v>55917</v>
      </c>
      <c r="Z13384" s="61">
        <f>_xll.qlYieldTSDiscount($U$35,Y13384,,Trigger)</f>
        <v>0.50204783589878899</v>
      </c>
    </row>
    <row r="13385" spans="25:26" x14ac:dyDescent="0.25">
      <c r="Y13385" s="63">
        <v>55918</v>
      </c>
      <c r="Z13385" s="61">
        <f>_xll.qlYieldTSDiscount($U$35,Y13385,,Trigger)</f>
        <v>0.50201502111387564</v>
      </c>
    </row>
    <row r="13386" spans="25:26" x14ac:dyDescent="0.25">
      <c r="Y13386" s="63">
        <v>55919</v>
      </c>
      <c r="Z13386" s="61">
        <f>_xll.qlYieldTSDiscount($U$35,Y13386,,Trigger)</f>
        <v>0.50198220946210126</v>
      </c>
    </row>
    <row r="13387" spans="25:26" x14ac:dyDescent="0.25">
      <c r="Y13387" s="63">
        <v>55920</v>
      </c>
      <c r="Z13387" s="61">
        <f>_xll.qlYieldTSDiscount($U$35,Y13387,,Trigger)</f>
        <v>0.50194940094309959</v>
      </c>
    </row>
    <row r="13388" spans="25:26" x14ac:dyDescent="0.25">
      <c r="Y13388" s="63">
        <v>55921</v>
      </c>
      <c r="Z13388" s="61">
        <f>_xll.qlYieldTSDiscount($U$35,Y13388,,Trigger)</f>
        <v>0.50191659555650481</v>
      </c>
    </row>
    <row r="13389" spans="25:26" x14ac:dyDescent="0.25">
      <c r="Y13389" s="63">
        <v>55922</v>
      </c>
      <c r="Z13389" s="61">
        <f>_xll.qlYieldTSDiscount($U$35,Y13389,,Trigger)</f>
        <v>0.50188379330195088</v>
      </c>
    </row>
    <row r="13390" spans="25:26" x14ac:dyDescent="0.25">
      <c r="Y13390" s="63">
        <v>55923</v>
      </c>
      <c r="Z13390" s="61">
        <f>_xll.qlYieldTSDiscount($U$35,Y13390,,Trigger)</f>
        <v>0.50185099417907197</v>
      </c>
    </row>
    <row r="13391" spans="25:26" x14ac:dyDescent="0.25">
      <c r="Y13391" s="63">
        <v>55924</v>
      </c>
      <c r="Z13391" s="61">
        <f>_xll.qlYieldTSDiscount($U$35,Y13391,,Trigger)</f>
        <v>0.50181819818750184</v>
      </c>
    </row>
    <row r="13392" spans="25:26" x14ac:dyDescent="0.25">
      <c r="Y13392" s="63">
        <v>55925</v>
      </c>
      <c r="Z13392" s="61">
        <f>_xll.qlYieldTSDiscount($U$35,Y13392,,Trigger)</f>
        <v>0.50178540532687477</v>
      </c>
    </row>
    <row r="13393" spans="25:26" x14ac:dyDescent="0.25">
      <c r="Y13393" s="63">
        <v>55926</v>
      </c>
      <c r="Z13393" s="61">
        <f>_xll.qlYieldTSDiscount($U$35,Y13393,,Trigger)</f>
        <v>0.50175261559682471</v>
      </c>
    </row>
    <row r="13394" spans="25:26" x14ac:dyDescent="0.25">
      <c r="Y13394" s="63">
        <v>55927</v>
      </c>
      <c r="Z13394" s="61">
        <f>_xll.qlYieldTSDiscount($U$35,Y13394,,Trigger)</f>
        <v>0.50171982899698553</v>
      </c>
    </row>
    <row r="13395" spans="25:26" x14ac:dyDescent="0.25">
      <c r="Y13395" s="63">
        <v>55928</v>
      </c>
      <c r="Z13395" s="61">
        <f>_xll.qlYieldTSDiscount($U$35,Y13395,,Trigger)</f>
        <v>0.50168704552699139</v>
      </c>
    </row>
    <row r="13396" spans="25:26" x14ac:dyDescent="0.25">
      <c r="Y13396" s="63">
        <v>55929</v>
      </c>
      <c r="Z13396" s="61">
        <f>_xll.qlYieldTSDiscount($U$35,Y13396,,Trigger)</f>
        <v>0.50165426518647638</v>
      </c>
    </row>
    <row r="13397" spans="25:26" x14ac:dyDescent="0.25">
      <c r="Y13397" s="63">
        <v>55930</v>
      </c>
      <c r="Z13397" s="61">
        <f>_xll.qlYieldTSDiscount($U$35,Y13397,,Trigger)</f>
        <v>0.50162148797507422</v>
      </c>
    </row>
    <row r="13398" spans="25:26" x14ac:dyDescent="0.25">
      <c r="Y13398" s="63">
        <v>55931</v>
      </c>
      <c r="Z13398" s="61">
        <f>_xll.qlYieldTSDiscount($U$35,Y13398,,Trigger)</f>
        <v>0.50158871389241932</v>
      </c>
    </row>
    <row r="13399" spans="25:26" x14ac:dyDescent="0.25">
      <c r="Y13399" s="63">
        <v>55932</v>
      </c>
      <c r="Z13399" s="61">
        <f>_xll.qlYieldTSDiscount($U$35,Y13399,,Trigger)</f>
        <v>0.50155594293814554</v>
      </c>
    </row>
    <row r="13400" spans="25:26" x14ac:dyDescent="0.25">
      <c r="Y13400" s="63">
        <v>55933</v>
      </c>
      <c r="Z13400" s="61">
        <f>_xll.qlYieldTSDiscount($U$35,Y13400,,Trigger)</f>
        <v>0.50152317511188671</v>
      </c>
    </row>
    <row r="13401" spans="25:26" x14ac:dyDescent="0.25">
      <c r="Y13401" s="63">
        <v>55934</v>
      </c>
      <c r="Z13401" s="61">
        <f>_xll.qlYieldTSDiscount($U$35,Y13401,,Trigger)</f>
        <v>0.50149041041327713</v>
      </c>
    </row>
    <row r="13402" spans="25:26" x14ac:dyDescent="0.25">
      <c r="Y13402" s="63">
        <v>55935</v>
      </c>
      <c r="Z13402" s="61">
        <f>_xll.qlYieldTSDiscount($U$35,Y13402,,Trigger)</f>
        <v>0.50145764884195065</v>
      </c>
    </row>
    <row r="13403" spans="25:26" x14ac:dyDescent="0.25">
      <c r="Y13403" s="63">
        <v>55936</v>
      </c>
      <c r="Z13403" s="61">
        <f>_xll.qlYieldTSDiscount($U$35,Y13403,,Trigger)</f>
        <v>0.50142489039754157</v>
      </c>
    </row>
    <row r="13404" spans="25:26" x14ac:dyDescent="0.25">
      <c r="Y13404" s="63">
        <v>55937</v>
      </c>
      <c r="Z13404" s="61">
        <f>_xll.qlYieldTSDiscount($U$35,Y13404,,Trigger)</f>
        <v>0.5013921350796835</v>
      </c>
    </row>
    <row r="13405" spans="25:26" x14ac:dyDescent="0.25">
      <c r="Y13405" s="63">
        <v>55938</v>
      </c>
      <c r="Z13405" s="61">
        <f>_xll.qlYieldTSDiscount($U$35,Y13405,,Trigger)</f>
        <v>0.50135938288801063</v>
      </c>
    </row>
    <row r="13406" spans="25:26" x14ac:dyDescent="0.25">
      <c r="Y13406" s="63">
        <v>55939</v>
      </c>
      <c r="Z13406" s="61">
        <f>_xll.qlYieldTSDiscount($U$35,Y13406,,Trigger)</f>
        <v>0.50132663382215714</v>
      </c>
    </row>
    <row r="13407" spans="25:26" x14ac:dyDescent="0.25">
      <c r="Y13407" s="63">
        <v>55940</v>
      </c>
      <c r="Z13407" s="61">
        <f>_xll.qlYieldTSDiscount($U$35,Y13407,,Trigger)</f>
        <v>0.50129388788175688</v>
      </c>
    </row>
    <row r="13408" spans="25:26" x14ac:dyDescent="0.25">
      <c r="Y13408" s="63">
        <v>55941</v>
      </c>
      <c r="Z13408" s="61">
        <f>_xll.qlYieldTSDiscount($U$35,Y13408,,Trigger)</f>
        <v>0.50126114506644392</v>
      </c>
    </row>
    <row r="13409" spans="25:26" x14ac:dyDescent="0.25">
      <c r="Y13409" s="63">
        <v>55942</v>
      </c>
      <c r="Z13409" s="61">
        <f>_xll.qlYieldTSDiscount($U$35,Y13409,,Trigger)</f>
        <v>0.50122840537585234</v>
      </c>
    </row>
    <row r="13410" spans="25:26" x14ac:dyDescent="0.25">
      <c r="Y13410" s="63">
        <v>55943</v>
      </c>
      <c r="Z13410" s="61">
        <f>_xll.qlYieldTSDiscount($U$35,Y13410,,Trigger)</f>
        <v>0.50119566880961608</v>
      </c>
    </row>
    <row r="13411" spans="25:26" x14ac:dyDescent="0.25">
      <c r="Y13411" s="63">
        <v>55944</v>
      </c>
      <c r="Z13411" s="61">
        <f>_xll.qlYieldTSDiscount($U$35,Y13411,,Trigger)</f>
        <v>0.50116293536736911</v>
      </c>
    </row>
    <row r="13412" spans="25:26" x14ac:dyDescent="0.25">
      <c r="Y13412" s="63">
        <v>55945</v>
      </c>
      <c r="Z13412" s="61">
        <f>_xll.qlYieldTSDiscount($U$35,Y13412,,Trigger)</f>
        <v>0.50113020504874561</v>
      </c>
    </row>
    <row r="13413" spans="25:26" x14ac:dyDescent="0.25">
      <c r="Y13413" s="63">
        <v>55946</v>
      </c>
      <c r="Z13413" s="61">
        <f>_xll.qlYieldTSDiscount($U$35,Y13413,,Trigger)</f>
        <v>0.50109747785337944</v>
      </c>
    </row>
    <row r="13414" spans="25:26" x14ac:dyDescent="0.25">
      <c r="Y13414" s="63">
        <v>55947</v>
      </c>
      <c r="Z13414" s="61">
        <f>_xll.qlYieldTSDiscount($U$35,Y13414,,Trigger)</f>
        <v>0.50106475378090476</v>
      </c>
    </row>
    <row r="13415" spans="25:26" x14ac:dyDescent="0.25">
      <c r="Y13415" s="63">
        <v>55948</v>
      </c>
      <c r="Z13415" s="61">
        <f>_xll.qlYieldTSDiscount($U$35,Y13415,,Trigger)</f>
        <v>0.50103203283095554</v>
      </c>
    </row>
    <row r="13416" spans="25:26" x14ac:dyDescent="0.25">
      <c r="Y13416" s="63">
        <v>55949</v>
      </c>
      <c r="Z13416" s="61">
        <f>_xll.qlYieldTSDiscount($U$35,Y13416,,Trigger)</f>
        <v>0.50099931500316575</v>
      </c>
    </row>
    <row r="13417" spans="25:26" x14ac:dyDescent="0.25">
      <c r="Y13417" s="63">
        <v>55950</v>
      </c>
      <c r="Z13417" s="61">
        <f>_xll.qlYieldTSDiscount($U$35,Y13417,,Trigger)</f>
        <v>0.50096660029716944</v>
      </c>
    </row>
    <row r="13418" spans="25:26" x14ac:dyDescent="0.25">
      <c r="Y13418" s="63">
        <v>55951</v>
      </c>
      <c r="Z13418" s="61">
        <f>_xll.qlYieldTSDiscount($U$35,Y13418,,Trigger)</f>
        <v>0.50093388871260058</v>
      </c>
    </row>
    <row r="13419" spans="25:26" x14ac:dyDescent="0.25">
      <c r="Y13419" s="63">
        <v>55952</v>
      </c>
      <c r="Z13419" s="61">
        <f>_xll.qlYieldTSDiscount($U$35,Y13419,,Trigger)</f>
        <v>0.50090118024909347</v>
      </c>
    </row>
    <row r="13420" spans="25:26" x14ac:dyDescent="0.25">
      <c r="Y13420" s="63">
        <v>55953</v>
      </c>
      <c r="Z13420" s="61">
        <f>_xll.qlYieldTSDiscount($U$35,Y13420,,Trigger)</f>
        <v>0.50086847490628172</v>
      </c>
    </row>
    <row r="13421" spans="25:26" x14ac:dyDescent="0.25">
      <c r="Y13421" s="63">
        <v>55954</v>
      </c>
      <c r="Z13421" s="61">
        <f>_xll.qlYieldTSDiscount($U$35,Y13421,,Trigger)</f>
        <v>0.50083577268379964</v>
      </c>
    </row>
    <row r="13422" spans="25:26" x14ac:dyDescent="0.25">
      <c r="Y13422" s="63">
        <v>55955</v>
      </c>
      <c r="Z13422" s="61">
        <f>_xll.qlYieldTSDiscount($U$35,Y13422,,Trigger)</f>
        <v>0.50080307358128118</v>
      </c>
    </row>
    <row r="13423" spans="25:26" x14ac:dyDescent="0.25">
      <c r="Y13423" s="63">
        <v>55956</v>
      </c>
      <c r="Z13423" s="61">
        <f>_xll.qlYieldTSDiscount($U$35,Y13423,,Trigger)</f>
        <v>0.50077037759836029</v>
      </c>
    </row>
    <row r="13424" spans="25:26" x14ac:dyDescent="0.25">
      <c r="Y13424" s="63">
        <v>55957</v>
      </c>
      <c r="Z13424" s="61">
        <f>_xll.qlYieldTSDiscount($U$35,Y13424,,Trigger)</f>
        <v>0.50073768473467117</v>
      </c>
    </row>
    <row r="13425" spans="25:26" x14ac:dyDescent="0.25">
      <c r="Y13425" s="63">
        <v>55958</v>
      </c>
      <c r="Z13425" s="61">
        <f>_xll.qlYieldTSDiscount($U$35,Y13425,,Trigger)</f>
        <v>0.50070499498984766</v>
      </c>
    </row>
    <row r="13426" spans="25:26" x14ac:dyDescent="0.25">
      <c r="Y13426" s="63">
        <v>55959</v>
      </c>
      <c r="Z13426" s="61">
        <f>_xll.qlYieldTSDiscount($U$35,Y13426,,Trigger)</f>
        <v>0.50067230836352383</v>
      </c>
    </row>
    <row r="13427" spans="25:26" x14ac:dyDescent="0.25">
      <c r="Y13427" s="63">
        <v>55960</v>
      </c>
      <c r="Z13427" s="61">
        <f>_xll.qlYieldTSDiscount($U$35,Y13427,,Trigger)</f>
        <v>0.50063962485533364</v>
      </c>
    </row>
    <row r="13428" spans="25:26" x14ac:dyDescent="0.25">
      <c r="Y13428" s="63">
        <v>55961</v>
      </c>
      <c r="Z13428" s="61">
        <f>_xll.qlYieldTSDiscount($U$35,Y13428,,Trigger)</f>
        <v>0.50060694446491127</v>
      </c>
    </row>
    <row r="13429" spans="25:26" x14ac:dyDescent="0.25">
      <c r="Y13429" s="63">
        <v>55962</v>
      </c>
      <c r="Z13429" s="61">
        <f>_xll.qlYieldTSDiscount($U$35,Y13429,,Trigger)</f>
        <v>0.50057426719189069</v>
      </c>
    </row>
    <row r="13430" spans="25:26" x14ac:dyDescent="0.25">
      <c r="Y13430" s="63">
        <v>55963</v>
      </c>
      <c r="Z13430" s="61">
        <f>_xll.qlYieldTSDiscount($U$35,Y13430,,Trigger)</f>
        <v>0.50054159303590573</v>
      </c>
    </row>
    <row r="13431" spans="25:26" x14ac:dyDescent="0.25">
      <c r="Y13431" s="63">
        <v>55964</v>
      </c>
      <c r="Z13431" s="61">
        <f>_xll.qlYieldTSDiscount($U$35,Y13431,,Trigger)</f>
        <v>0.50050892199659081</v>
      </c>
    </row>
    <row r="13432" spans="25:26" x14ac:dyDescent="0.25">
      <c r="Y13432" s="63">
        <v>55965</v>
      </c>
      <c r="Z13432" s="61">
        <f>_xll.qlYieldTSDiscount($U$35,Y13432,,Trigger)</f>
        <v>0.50047625407357954</v>
      </c>
    </row>
    <row r="13433" spans="25:26" x14ac:dyDescent="0.25">
      <c r="Y13433" s="63">
        <v>55966</v>
      </c>
      <c r="Z13433" s="61">
        <f>_xll.qlYieldTSDiscount($U$35,Y13433,,Trigger)</f>
        <v>0.50044358926650612</v>
      </c>
    </row>
    <row r="13434" spans="25:26" x14ac:dyDescent="0.25">
      <c r="Y13434" s="63">
        <v>55967</v>
      </c>
      <c r="Z13434" s="61">
        <f>_xll.qlYieldTSDiscount($U$35,Y13434,,Trigger)</f>
        <v>0.5004109275750046</v>
      </c>
    </row>
    <row r="13435" spans="25:26" x14ac:dyDescent="0.25">
      <c r="Y13435" s="63">
        <v>55968</v>
      </c>
      <c r="Z13435" s="61">
        <f>_xll.qlYieldTSDiscount($U$35,Y13435,,Trigger)</f>
        <v>0.50037826899870896</v>
      </c>
    </row>
    <row r="13436" spans="25:26" x14ac:dyDescent="0.25">
      <c r="Y13436" s="63">
        <v>55969</v>
      </c>
      <c r="Z13436" s="61">
        <f>_xll.qlYieldTSDiscount($U$35,Y13436,,Trigger)</f>
        <v>0.50034561353725326</v>
      </c>
    </row>
    <row r="13437" spans="25:26" x14ac:dyDescent="0.25">
      <c r="Y13437" s="63">
        <v>55970</v>
      </c>
      <c r="Z13437" s="61">
        <f>_xll.qlYieldTSDiscount($U$35,Y13437,,Trigger)</f>
        <v>0.50031296119027147</v>
      </c>
    </row>
    <row r="13438" spans="25:26" x14ac:dyDescent="0.25">
      <c r="Y13438" s="63">
        <v>55971</v>
      </c>
      <c r="Z13438" s="61">
        <f>_xll.qlYieldTSDiscount($U$35,Y13438,,Trigger)</f>
        <v>0.50028031195739764</v>
      </c>
    </row>
    <row r="13439" spans="25:26" x14ac:dyDescent="0.25">
      <c r="Y13439" s="63">
        <v>55972</v>
      </c>
      <c r="Z13439" s="61">
        <f>_xll.qlYieldTSDiscount($U$35,Y13439,,Trigger)</f>
        <v>0.50024766583826574</v>
      </c>
    </row>
    <row r="13440" spans="25:26" x14ac:dyDescent="0.25">
      <c r="Y13440" s="63">
        <v>55973</v>
      </c>
      <c r="Z13440" s="61">
        <f>_xll.qlYieldTSDiscount($U$35,Y13440,,Trigger)</f>
        <v>0.50021502283250996</v>
      </c>
    </row>
    <row r="13441" spans="25:26" x14ac:dyDescent="0.25">
      <c r="Y13441" s="63">
        <v>55974</v>
      </c>
      <c r="Z13441" s="61">
        <f>_xll.qlYieldTSDiscount($U$35,Y13441,,Trigger)</f>
        <v>0.50018238293976414</v>
      </c>
    </row>
    <row r="13442" spans="25:26" x14ac:dyDescent="0.25">
      <c r="Y13442" s="63">
        <v>55975</v>
      </c>
      <c r="Z13442" s="61">
        <f>_xll.qlYieldTSDiscount($U$35,Y13442,,Trigger)</f>
        <v>0.50014974615966235</v>
      </c>
    </row>
    <row r="13443" spans="25:26" x14ac:dyDescent="0.25">
      <c r="Y13443" s="63">
        <v>55976</v>
      </c>
      <c r="Z13443" s="61">
        <f>_xll.qlYieldTSDiscount($U$35,Y13443,,Trigger)</f>
        <v>0.50011711249183854</v>
      </c>
    </row>
    <row r="13444" spans="25:26" x14ac:dyDescent="0.25">
      <c r="Y13444" s="63">
        <v>55977</v>
      </c>
      <c r="Z13444" s="61">
        <f>_xll.qlYieldTSDiscount($U$35,Y13444,,Trigger)</f>
        <v>0.50008448193592692</v>
      </c>
    </row>
    <row r="13445" spans="25:26" x14ac:dyDescent="0.25">
      <c r="Y13445" s="63">
        <v>55978</v>
      </c>
      <c r="Z13445" s="61">
        <f>_xll.qlYieldTSDiscount($U$35,Y13445,,Trigger)</f>
        <v>0.50005185449156142</v>
      </c>
    </row>
    <row r="13446" spans="25:26" x14ac:dyDescent="0.25">
      <c r="Y13446" s="63">
        <v>55979</v>
      </c>
      <c r="Z13446" s="61">
        <f>_xll.qlYieldTSDiscount($U$35,Y13446,,Trigger)</f>
        <v>0.5000192301583759</v>
      </c>
    </row>
    <row r="13447" spans="25:26" x14ac:dyDescent="0.25">
      <c r="Y13447" s="63">
        <v>55980</v>
      </c>
      <c r="Z13447" s="61">
        <f>_xll.qlYieldTSDiscount($U$35,Y13447,,Trigger)</f>
        <v>0.49998660893600466</v>
      </c>
    </row>
    <row r="13448" spans="25:26" x14ac:dyDescent="0.25">
      <c r="Y13448" s="63">
        <v>55981</v>
      </c>
      <c r="Z13448" s="61">
        <f>_xll.qlYieldTSDiscount($U$35,Y13448,,Trigger)</f>
        <v>0.49995399082408165</v>
      </c>
    </row>
    <row r="13449" spans="25:26" x14ac:dyDescent="0.25">
      <c r="Y13449" s="63">
        <v>55982</v>
      </c>
      <c r="Z13449" s="61">
        <f>_xll.qlYieldTSDiscount($U$35,Y13449,,Trigger)</f>
        <v>0.49992137582224072</v>
      </c>
    </row>
    <row r="13450" spans="25:26" x14ac:dyDescent="0.25">
      <c r="Y13450" s="63">
        <v>55983</v>
      </c>
      <c r="Z13450" s="61">
        <f>_xll.qlYieldTSDiscount($U$35,Y13450,,Trigger)</f>
        <v>0.49988876393011605</v>
      </c>
    </row>
    <row r="13451" spans="25:26" x14ac:dyDescent="0.25">
      <c r="Y13451" s="63">
        <v>55984</v>
      </c>
      <c r="Z13451" s="61">
        <f>_xll.qlYieldTSDiscount($U$35,Y13451,,Trigger)</f>
        <v>0.49985615514734166</v>
      </c>
    </row>
    <row r="13452" spans="25:26" x14ac:dyDescent="0.25">
      <c r="Y13452" s="63">
        <v>55985</v>
      </c>
      <c r="Z13452" s="61">
        <f>_xll.qlYieldTSDiscount($U$35,Y13452,,Trigger)</f>
        <v>0.49982354947355145</v>
      </c>
    </row>
    <row r="13453" spans="25:26" x14ac:dyDescent="0.25">
      <c r="Y13453" s="63">
        <v>55986</v>
      </c>
      <c r="Z13453" s="61">
        <f>_xll.qlYieldTSDiscount($U$35,Y13453,,Trigger)</f>
        <v>0.49979094690837955</v>
      </c>
    </row>
    <row r="13454" spans="25:26" x14ac:dyDescent="0.25">
      <c r="Y13454" s="63">
        <v>55987</v>
      </c>
      <c r="Z13454" s="61">
        <f>_xll.qlYieldTSDiscount($U$35,Y13454,,Trigger)</f>
        <v>0.49975834745146003</v>
      </c>
    </row>
    <row r="13455" spans="25:26" x14ac:dyDescent="0.25">
      <c r="Y13455" s="63">
        <v>55988</v>
      </c>
      <c r="Z13455" s="61">
        <f>_xll.qlYieldTSDiscount($U$35,Y13455,,Trigger)</f>
        <v>0.49972575110242673</v>
      </c>
    </row>
    <row r="13456" spans="25:26" x14ac:dyDescent="0.25">
      <c r="Y13456" s="63">
        <v>55989</v>
      </c>
      <c r="Z13456" s="61">
        <f>_xll.qlYieldTSDiscount($U$35,Y13456,,Trigger)</f>
        <v>0.49969315786091378</v>
      </c>
    </row>
    <row r="13457" spans="25:26" x14ac:dyDescent="0.25">
      <c r="Y13457" s="63">
        <v>55990</v>
      </c>
      <c r="Z13457" s="61">
        <f>_xll.qlYieldTSDiscount($U$35,Y13457,,Trigger)</f>
        <v>0.49966056772655532</v>
      </c>
    </row>
    <row r="13458" spans="25:26" x14ac:dyDescent="0.25">
      <c r="Y13458" s="63">
        <v>55991</v>
      </c>
      <c r="Z13458" s="61">
        <f>_xll.qlYieldTSDiscount($U$35,Y13458,,Trigger)</f>
        <v>0.49962798069898517</v>
      </c>
    </row>
    <row r="13459" spans="25:26" x14ac:dyDescent="0.25">
      <c r="Y13459" s="63">
        <v>55992</v>
      </c>
      <c r="Z13459" s="61">
        <f>_xll.qlYieldTSDiscount($U$35,Y13459,,Trigger)</f>
        <v>0.49959539677783737</v>
      </c>
    </row>
    <row r="13460" spans="25:26" x14ac:dyDescent="0.25">
      <c r="Y13460" s="63">
        <v>55993</v>
      </c>
      <c r="Z13460" s="61">
        <f>_xll.qlYieldTSDiscount($U$35,Y13460,,Trigger)</f>
        <v>0.49956281596274615</v>
      </c>
    </row>
    <row r="13461" spans="25:26" x14ac:dyDescent="0.25">
      <c r="Y13461" s="63">
        <v>55994</v>
      </c>
      <c r="Z13461" s="61">
        <f>_xll.qlYieldTSDiscount($U$35,Y13461,,Trigger)</f>
        <v>0.49953023825334525</v>
      </c>
    </row>
    <row r="13462" spans="25:26" x14ac:dyDescent="0.25">
      <c r="Y13462" s="63">
        <v>55995</v>
      </c>
      <c r="Z13462" s="61">
        <f>_xll.qlYieldTSDiscount($U$35,Y13462,,Trigger)</f>
        <v>0.4994976636492689</v>
      </c>
    </row>
    <row r="13463" spans="25:26" x14ac:dyDescent="0.25">
      <c r="Y13463" s="63">
        <v>55996</v>
      </c>
      <c r="Z13463" s="61">
        <f>_xll.qlYieldTSDiscount($U$35,Y13463,,Trigger)</f>
        <v>0.499465092150151</v>
      </c>
    </row>
    <row r="13464" spans="25:26" x14ac:dyDescent="0.25">
      <c r="Y13464" s="63">
        <v>55997</v>
      </c>
      <c r="Z13464" s="61">
        <f>_xll.qlYieldTSDiscount($U$35,Y13464,,Trigger)</f>
        <v>0.49943252375562569</v>
      </c>
    </row>
    <row r="13465" spans="25:26" x14ac:dyDescent="0.25">
      <c r="Y13465" s="63">
        <v>55998</v>
      </c>
      <c r="Z13465" s="61">
        <f>_xll.qlYieldTSDiscount($U$35,Y13465,,Trigger)</f>
        <v>0.49939995846532687</v>
      </c>
    </row>
    <row r="13466" spans="25:26" x14ac:dyDescent="0.25">
      <c r="Y13466" s="63">
        <v>55999</v>
      </c>
      <c r="Z13466" s="61">
        <f>_xll.qlYieldTSDiscount($U$35,Y13466,,Trigger)</f>
        <v>0.4993673962788886</v>
      </c>
    </row>
    <row r="13467" spans="25:26" x14ac:dyDescent="0.25">
      <c r="Y13467" s="63">
        <v>56000</v>
      </c>
      <c r="Z13467" s="61">
        <f>_xll.qlYieldTSDiscount($U$35,Y13467,,Trigger)</f>
        <v>0.49933483719594507</v>
      </c>
    </row>
    <row r="13468" spans="25:26" x14ac:dyDescent="0.25">
      <c r="Y13468" s="63">
        <v>56001</v>
      </c>
      <c r="Z13468" s="61">
        <f>_xll.qlYieldTSDiscount($U$35,Y13468,,Trigger)</f>
        <v>0.49930228121612996</v>
      </c>
    </row>
    <row r="13469" spans="25:26" x14ac:dyDescent="0.25">
      <c r="Y13469" s="63">
        <v>56002</v>
      </c>
      <c r="Z13469" s="61">
        <f>_xll.qlYieldTSDiscount($U$35,Y13469,,Trigger)</f>
        <v>0.49926972833907757</v>
      </c>
    </row>
    <row r="13470" spans="25:26" x14ac:dyDescent="0.25">
      <c r="Y13470" s="63">
        <v>56003</v>
      </c>
      <c r="Z13470" s="61">
        <f>_xll.qlYieldTSDiscount($U$35,Y13470,,Trigger)</f>
        <v>0.49923717856442185</v>
      </c>
    </row>
    <row r="13471" spans="25:26" x14ac:dyDescent="0.25">
      <c r="Y13471" s="63">
        <v>56004</v>
      </c>
      <c r="Z13471" s="61">
        <f>_xll.qlYieldTSDiscount($U$35,Y13471,,Trigger)</f>
        <v>0.49920463189179681</v>
      </c>
    </row>
    <row r="13472" spans="25:26" x14ac:dyDescent="0.25">
      <c r="Y13472" s="63">
        <v>56005</v>
      </c>
      <c r="Z13472" s="61">
        <f>_xll.qlYieldTSDiscount($U$35,Y13472,,Trigger)</f>
        <v>0.49917208832083637</v>
      </c>
    </row>
    <row r="13473" spans="25:26" x14ac:dyDescent="0.25">
      <c r="Y13473" s="63">
        <v>56006</v>
      </c>
      <c r="Z13473" s="61">
        <f>_xll.qlYieldTSDiscount($U$35,Y13473,,Trigger)</f>
        <v>0.49913954785117481</v>
      </c>
    </row>
    <row r="13474" spans="25:26" x14ac:dyDescent="0.25">
      <c r="Y13474" s="63">
        <v>56007</v>
      </c>
      <c r="Z13474" s="61">
        <f>_xll.qlYieldTSDiscount($U$35,Y13474,,Trigger)</f>
        <v>0.49910701048244588</v>
      </c>
    </row>
    <row r="13475" spans="25:26" x14ac:dyDescent="0.25">
      <c r="Y13475" s="63">
        <v>56008</v>
      </c>
      <c r="Z13475" s="61">
        <f>_xll.qlYieldTSDiscount($U$35,Y13475,,Trigger)</f>
        <v>0.49907447621428369</v>
      </c>
    </row>
    <row r="13476" spans="25:26" x14ac:dyDescent="0.25">
      <c r="Y13476" s="63">
        <v>56009</v>
      </c>
      <c r="Z13476" s="61">
        <f>_xll.qlYieldTSDiscount($U$35,Y13476,,Trigger)</f>
        <v>0.49904194504632238</v>
      </c>
    </row>
    <row r="13477" spans="25:26" x14ac:dyDescent="0.25">
      <c r="Y13477" s="63">
        <v>56010</v>
      </c>
      <c r="Z13477" s="61">
        <f>_xll.qlYieldTSDiscount($U$35,Y13477,,Trigger)</f>
        <v>0.49900941697819579</v>
      </c>
    </row>
    <row r="13478" spans="25:26" x14ac:dyDescent="0.25">
      <c r="Y13478" s="63">
        <v>56011</v>
      </c>
      <c r="Z13478" s="61">
        <f>_xll.qlYieldTSDiscount($U$35,Y13478,,Trigger)</f>
        <v>0.4989768920095381</v>
      </c>
    </row>
    <row r="13479" spans="25:26" x14ac:dyDescent="0.25">
      <c r="Y13479" s="63">
        <v>56012</v>
      </c>
      <c r="Z13479" s="61">
        <f>_xll.qlYieldTSDiscount($U$35,Y13479,,Trigger)</f>
        <v>0.49894437013998316</v>
      </c>
    </row>
    <row r="13480" spans="25:26" x14ac:dyDescent="0.25">
      <c r="Y13480" s="63">
        <v>56013</v>
      </c>
      <c r="Z13480" s="61">
        <f>_xll.qlYieldTSDiscount($U$35,Y13480,,Trigger)</f>
        <v>0.49891185136916522</v>
      </c>
    </row>
    <row r="13481" spans="25:26" x14ac:dyDescent="0.25">
      <c r="Y13481" s="63">
        <v>56014</v>
      </c>
      <c r="Z13481" s="61">
        <f>_xll.qlYieldTSDiscount($U$35,Y13481,,Trigger)</f>
        <v>0.49887933569671811</v>
      </c>
    </row>
    <row r="13482" spans="25:26" x14ac:dyDescent="0.25">
      <c r="Y13482" s="63">
        <v>56015</v>
      </c>
      <c r="Z13482" s="61">
        <f>_xll.qlYieldTSDiscount($U$35,Y13482,,Trigger)</f>
        <v>0.49884682312227591</v>
      </c>
    </row>
    <row r="13483" spans="25:26" x14ac:dyDescent="0.25">
      <c r="Y13483" s="63">
        <v>56016</v>
      </c>
      <c r="Z13483" s="61">
        <f>_xll.qlYieldTSDiscount($U$35,Y13483,,Trigger)</f>
        <v>0.49881431364547268</v>
      </c>
    </row>
    <row r="13484" spans="25:26" x14ac:dyDescent="0.25">
      <c r="Y13484" s="63">
        <v>56017</v>
      </c>
      <c r="Z13484" s="61">
        <f>_xll.qlYieldTSDiscount($U$35,Y13484,,Trigger)</f>
        <v>0.49878180726594235</v>
      </c>
    </row>
    <row r="13485" spans="25:26" x14ac:dyDescent="0.25">
      <c r="Y13485" s="63">
        <v>56018</v>
      </c>
      <c r="Z13485" s="61">
        <f>_xll.qlYieldTSDiscount($U$35,Y13485,,Trigger)</f>
        <v>0.49874930398331907</v>
      </c>
    </row>
    <row r="13486" spans="25:26" x14ac:dyDescent="0.25">
      <c r="Y13486" s="63">
        <v>56019</v>
      </c>
      <c r="Z13486" s="61">
        <f>_xll.qlYieldTSDiscount($U$35,Y13486,,Trigger)</f>
        <v>0.49871680379723682</v>
      </c>
    </row>
    <row r="13487" spans="25:26" x14ac:dyDescent="0.25">
      <c r="Y13487" s="63">
        <v>56020</v>
      </c>
      <c r="Z13487" s="61">
        <f>_xll.qlYieldTSDiscount($U$35,Y13487,,Trigger)</f>
        <v>0.49868430670732949</v>
      </c>
    </row>
    <row r="13488" spans="25:26" x14ac:dyDescent="0.25">
      <c r="Y13488" s="63">
        <v>56021</v>
      </c>
      <c r="Z13488" s="61">
        <f>_xll.qlYieldTSDiscount($U$35,Y13488,,Trigger)</f>
        <v>0.49865181271323122</v>
      </c>
    </row>
    <row r="13489" spans="25:26" x14ac:dyDescent="0.25">
      <c r="Y13489" s="63">
        <v>56022</v>
      </c>
      <c r="Z13489" s="61">
        <f>_xll.qlYieldTSDiscount($U$35,Y13489,,Trigger)</f>
        <v>0.49861932181457613</v>
      </c>
    </row>
    <row r="13490" spans="25:26" x14ac:dyDescent="0.25">
      <c r="Y13490" s="63">
        <v>56023</v>
      </c>
      <c r="Z13490" s="61">
        <f>_xll.qlYieldTSDiscount($U$35,Y13490,,Trigger)</f>
        <v>0.49858683401099801</v>
      </c>
    </row>
    <row r="13491" spans="25:26" x14ac:dyDescent="0.25">
      <c r="Y13491" s="63">
        <v>56024</v>
      </c>
      <c r="Z13491" s="61">
        <f>_xll.qlYieldTSDiscount($U$35,Y13491,,Trigger)</f>
        <v>0.49855434930213105</v>
      </c>
    </row>
    <row r="13492" spans="25:26" x14ac:dyDescent="0.25">
      <c r="Y13492" s="63">
        <v>56025</v>
      </c>
      <c r="Z13492" s="61">
        <f>_xll.qlYieldTSDiscount($U$35,Y13492,,Trigger)</f>
        <v>0.4985218676876092</v>
      </c>
    </row>
    <row r="13493" spans="25:26" x14ac:dyDescent="0.25">
      <c r="Y13493" s="63">
        <v>56026</v>
      </c>
      <c r="Z13493" s="61">
        <f>_xll.qlYieldTSDiscount($U$35,Y13493,,Trigger)</f>
        <v>0.49848938916706664</v>
      </c>
    </row>
    <row r="13494" spans="25:26" x14ac:dyDescent="0.25">
      <c r="Y13494" s="63">
        <v>56027</v>
      </c>
      <c r="Z13494" s="61">
        <f>_xll.qlYieldTSDiscount($U$35,Y13494,,Trigger)</f>
        <v>0.49845691374013712</v>
      </c>
    </row>
    <row r="13495" spans="25:26" x14ac:dyDescent="0.25">
      <c r="Y13495" s="63">
        <v>56028</v>
      </c>
      <c r="Z13495" s="61">
        <f>_xll.qlYieldTSDiscount($U$35,Y13495,,Trigger)</f>
        <v>0.49842444140645481</v>
      </c>
    </row>
    <row r="13496" spans="25:26" x14ac:dyDescent="0.25">
      <c r="Y13496" s="63">
        <v>56029</v>
      </c>
      <c r="Z13496" s="61">
        <f>_xll.qlYieldTSDiscount($U$35,Y13496,,Trigger)</f>
        <v>0.49839197216565378</v>
      </c>
    </row>
    <row r="13497" spans="25:26" x14ac:dyDescent="0.25">
      <c r="Y13497" s="63">
        <v>56030</v>
      </c>
      <c r="Z13497" s="61">
        <f>_xll.qlYieldTSDiscount($U$35,Y13497,,Trigger)</f>
        <v>0.49835950601736795</v>
      </c>
    </row>
    <row r="13498" spans="25:26" x14ac:dyDescent="0.25">
      <c r="Y13498" s="63">
        <v>56031</v>
      </c>
      <c r="Z13498" s="61">
        <f>_xll.qlYieldTSDiscount($U$35,Y13498,,Trigger)</f>
        <v>0.49832704296123137</v>
      </c>
    </row>
    <row r="13499" spans="25:26" x14ac:dyDescent="0.25">
      <c r="Y13499" s="63">
        <v>56032</v>
      </c>
      <c r="Z13499" s="61">
        <f>_xll.qlYieldTSDiscount($U$35,Y13499,,Trigger)</f>
        <v>0.49829458299687818</v>
      </c>
    </row>
    <row r="13500" spans="25:26" x14ac:dyDescent="0.25">
      <c r="Y13500" s="63">
        <v>56033</v>
      </c>
      <c r="Z13500" s="61">
        <f>_xll.qlYieldTSDiscount($U$35,Y13500,,Trigger)</f>
        <v>0.49826212612394216</v>
      </c>
    </row>
    <row r="13501" spans="25:26" x14ac:dyDescent="0.25">
      <c r="Y13501" s="63">
        <v>56034</v>
      </c>
      <c r="Z13501" s="61">
        <f>_xll.qlYieldTSDiscount($U$35,Y13501,,Trigger)</f>
        <v>0.49822967234205751</v>
      </c>
    </row>
    <row r="13502" spans="25:26" x14ac:dyDescent="0.25">
      <c r="Y13502" s="63">
        <v>56035</v>
      </c>
      <c r="Z13502" s="61">
        <f>_xll.qlYieldTSDiscount($U$35,Y13502,,Trigger)</f>
        <v>0.49819722165085834</v>
      </c>
    </row>
    <row r="13503" spans="25:26" x14ac:dyDescent="0.25">
      <c r="Y13503" s="63">
        <v>56036</v>
      </c>
      <c r="Z13503" s="61">
        <f>_xll.qlYieldTSDiscount($U$35,Y13503,,Trigger)</f>
        <v>0.49816477404997839</v>
      </c>
    </row>
    <row r="13504" spans="25:26" x14ac:dyDescent="0.25">
      <c r="Y13504" s="63">
        <v>56037</v>
      </c>
      <c r="Z13504" s="61">
        <f>_xll.qlYieldTSDiscount($U$35,Y13504,,Trigger)</f>
        <v>0.4981323295390519</v>
      </c>
    </row>
    <row r="13505" spans="25:26" x14ac:dyDescent="0.25">
      <c r="Y13505" s="63">
        <v>56038</v>
      </c>
      <c r="Z13505" s="61">
        <f>_xll.qlYieldTSDiscount($U$35,Y13505,,Trigger)</f>
        <v>0.49809988811771289</v>
      </c>
    </row>
    <row r="13506" spans="25:26" x14ac:dyDescent="0.25">
      <c r="Y13506" s="63">
        <v>56039</v>
      </c>
      <c r="Z13506" s="61">
        <f>_xll.qlYieldTSDiscount($U$35,Y13506,,Trigger)</f>
        <v>0.49806744978559525</v>
      </c>
    </row>
    <row r="13507" spans="25:26" x14ac:dyDescent="0.25">
      <c r="Y13507" s="63">
        <v>56040</v>
      </c>
      <c r="Z13507" s="61">
        <f>_xll.qlYieldTSDiscount($U$35,Y13507,,Trigger)</f>
        <v>0.49803501454233301</v>
      </c>
    </row>
    <row r="13508" spans="25:26" x14ac:dyDescent="0.25">
      <c r="Y13508" s="63">
        <v>56041</v>
      </c>
      <c r="Z13508" s="61">
        <f>_xll.qlYieldTSDiscount($U$35,Y13508,,Trigger)</f>
        <v>0.49800258238756029</v>
      </c>
    </row>
    <row r="13509" spans="25:26" x14ac:dyDescent="0.25">
      <c r="Y13509" s="63">
        <v>56042</v>
      </c>
      <c r="Z13509" s="61">
        <f>_xll.qlYieldTSDiscount($U$35,Y13509,,Trigger)</f>
        <v>0.49797015332091121</v>
      </c>
    </row>
    <row r="13510" spans="25:26" x14ac:dyDescent="0.25">
      <c r="Y13510" s="63">
        <v>56043</v>
      </c>
      <c r="Z13510" s="61">
        <f>_xll.qlYieldTSDiscount($U$35,Y13510,,Trigger)</f>
        <v>0.49793772734201952</v>
      </c>
    </row>
    <row r="13511" spans="25:26" x14ac:dyDescent="0.25">
      <c r="Y13511" s="63">
        <v>56044</v>
      </c>
      <c r="Z13511" s="61">
        <f>_xll.qlYieldTSDiscount($U$35,Y13511,,Trigger)</f>
        <v>0.49790530445051939</v>
      </c>
    </row>
    <row r="13512" spans="25:26" x14ac:dyDescent="0.25">
      <c r="Y13512" s="63">
        <v>56045</v>
      </c>
      <c r="Z13512" s="61">
        <f>_xll.qlYieldTSDiscount($U$35,Y13512,,Trigger)</f>
        <v>0.49787288464604496</v>
      </c>
    </row>
    <row r="13513" spans="25:26" x14ac:dyDescent="0.25">
      <c r="Y13513" s="63">
        <v>56046</v>
      </c>
      <c r="Z13513" s="61">
        <f>_xll.qlYieldTSDiscount($U$35,Y13513,,Trigger)</f>
        <v>0.49784046792822995</v>
      </c>
    </row>
    <row r="13514" spans="25:26" x14ac:dyDescent="0.25">
      <c r="Y13514" s="63">
        <v>56047</v>
      </c>
      <c r="Z13514" s="61">
        <f>_xll.qlYieldTSDiscount($U$35,Y13514,,Trigger)</f>
        <v>0.4978080542967086</v>
      </c>
    </row>
    <row r="13515" spans="25:26" x14ac:dyDescent="0.25">
      <c r="Y13515" s="63">
        <v>56048</v>
      </c>
      <c r="Z13515" s="61">
        <f>_xll.qlYieldTSDiscount($U$35,Y13515,,Trigger)</f>
        <v>0.49777564375111499</v>
      </c>
    </row>
    <row r="13516" spans="25:26" x14ac:dyDescent="0.25">
      <c r="Y13516" s="63">
        <v>56049</v>
      </c>
      <c r="Z13516" s="61">
        <f>_xll.qlYieldTSDiscount($U$35,Y13516,,Trigger)</f>
        <v>0.49774323629108297</v>
      </c>
    </row>
    <row r="13517" spans="25:26" x14ac:dyDescent="0.25">
      <c r="Y13517" s="63">
        <v>56050</v>
      </c>
      <c r="Z13517" s="61">
        <f>_xll.qlYieldTSDiscount($U$35,Y13517,,Trigger)</f>
        <v>0.4977108319162466</v>
      </c>
    </row>
    <row r="13518" spans="25:26" x14ac:dyDescent="0.25">
      <c r="Y13518" s="63">
        <v>56051</v>
      </c>
      <c r="Z13518" s="61">
        <f>_xll.qlYieldTSDiscount($U$35,Y13518,,Trigger)</f>
        <v>0.49767843062624001</v>
      </c>
    </row>
    <row r="13519" spans="25:26" x14ac:dyDescent="0.25">
      <c r="Y13519" s="63">
        <v>56052</v>
      </c>
      <c r="Z13519" s="61">
        <f>_xll.qlYieldTSDiscount($U$35,Y13519,,Trigger)</f>
        <v>0.4976460324206971</v>
      </c>
    </row>
    <row r="13520" spans="25:26" x14ac:dyDescent="0.25">
      <c r="Y13520" s="63">
        <v>56053</v>
      </c>
      <c r="Z13520" s="61">
        <f>_xll.qlYieldTSDiscount($U$35,Y13520,,Trigger)</f>
        <v>0.4976136372992519</v>
      </c>
    </row>
    <row r="13521" spans="25:26" x14ac:dyDescent="0.25">
      <c r="Y13521" s="63">
        <v>56054</v>
      </c>
      <c r="Z13521" s="61">
        <f>_xll.qlYieldTSDiscount($U$35,Y13521,,Trigger)</f>
        <v>0.49758124526153857</v>
      </c>
    </row>
    <row r="13522" spans="25:26" x14ac:dyDescent="0.25">
      <c r="Y13522" s="63">
        <v>56055</v>
      </c>
      <c r="Z13522" s="61">
        <f>_xll.qlYieldTSDiscount($U$35,Y13522,,Trigger)</f>
        <v>0.49754885630719092</v>
      </c>
    </row>
    <row r="13523" spans="25:26" x14ac:dyDescent="0.25">
      <c r="Y13523" s="63">
        <v>56056</v>
      </c>
      <c r="Z13523" s="61">
        <f>_xll.qlYieldTSDiscount($U$35,Y13523,,Trigger)</f>
        <v>0.49751647043584313</v>
      </c>
    </row>
    <row r="13524" spans="25:26" x14ac:dyDescent="0.25">
      <c r="Y13524" s="63">
        <v>56057</v>
      </c>
      <c r="Z13524" s="61">
        <f>_xll.qlYieldTSDiscount($U$35,Y13524,,Trigger)</f>
        <v>0.49748408764712915</v>
      </c>
    </row>
    <row r="13525" spans="25:26" x14ac:dyDescent="0.25">
      <c r="Y13525" s="63">
        <v>56058</v>
      </c>
      <c r="Z13525" s="61">
        <f>_xll.qlYieldTSDiscount($U$35,Y13525,,Trigger)</f>
        <v>0.49745170794068311</v>
      </c>
    </row>
    <row r="13526" spans="25:26" x14ac:dyDescent="0.25">
      <c r="Y13526" s="63">
        <v>56059</v>
      </c>
      <c r="Z13526" s="61">
        <f>_xll.qlYieldTSDiscount($U$35,Y13526,,Trigger)</f>
        <v>0.49741933131613886</v>
      </c>
    </row>
    <row r="13527" spans="25:26" x14ac:dyDescent="0.25">
      <c r="Y13527" s="63">
        <v>56060</v>
      </c>
      <c r="Z13527" s="61">
        <f>_xll.qlYieldTSDiscount($U$35,Y13527,,Trigger)</f>
        <v>0.49738695777313058</v>
      </c>
    </row>
    <row r="13528" spans="25:26" x14ac:dyDescent="0.25">
      <c r="Y13528" s="63">
        <v>56061</v>
      </c>
      <c r="Z13528" s="61">
        <f>_xll.qlYieldTSDiscount($U$35,Y13528,,Trigger)</f>
        <v>0.49735458731129223</v>
      </c>
    </row>
    <row r="13529" spans="25:26" x14ac:dyDescent="0.25">
      <c r="Y13529" s="63">
        <v>56062</v>
      </c>
      <c r="Z13529" s="61">
        <f>_xll.qlYieldTSDiscount($U$35,Y13529,,Trigger)</f>
        <v>0.49732221993025771</v>
      </c>
    </row>
    <row r="13530" spans="25:26" x14ac:dyDescent="0.25">
      <c r="Y13530" s="63">
        <v>56063</v>
      </c>
      <c r="Z13530" s="61">
        <f>_xll.qlYieldTSDiscount($U$35,Y13530,,Trigger)</f>
        <v>0.49728985562966121</v>
      </c>
    </row>
    <row r="13531" spans="25:26" x14ac:dyDescent="0.25">
      <c r="Y13531" s="63">
        <v>56064</v>
      </c>
      <c r="Z13531" s="61">
        <f>_xll.qlYieldTSDiscount($U$35,Y13531,,Trigger)</f>
        <v>0.4972574944091368</v>
      </c>
    </row>
    <row r="13532" spans="25:26" x14ac:dyDescent="0.25">
      <c r="Y13532" s="63">
        <v>56065</v>
      </c>
      <c r="Z13532" s="61">
        <f>_xll.qlYieldTSDiscount($U$35,Y13532,,Trigger)</f>
        <v>0.49722513626831827</v>
      </c>
    </row>
    <row r="13533" spans="25:26" x14ac:dyDescent="0.25">
      <c r="Y13533" s="63">
        <v>56066</v>
      </c>
      <c r="Z13533" s="61">
        <f>_xll.qlYieldTSDiscount($U$35,Y13533,,Trigger)</f>
        <v>0.4971927812068398</v>
      </c>
    </row>
    <row r="13534" spans="25:26" x14ac:dyDescent="0.25">
      <c r="Y13534" s="63">
        <v>56067</v>
      </c>
      <c r="Z13534" s="61">
        <f>_xll.qlYieldTSDiscount($U$35,Y13534,,Trigger)</f>
        <v>0.49716042922433545</v>
      </c>
    </row>
    <row r="13535" spans="25:26" x14ac:dyDescent="0.25">
      <c r="Y13535" s="63">
        <v>56068</v>
      </c>
      <c r="Z13535" s="61">
        <f>_xll.qlYieldTSDiscount($U$35,Y13535,,Trigger)</f>
        <v>0.49712808032043909</v>
      </c>
    </row>
    <row r="13536" spans="25:26" x14ac:dyDescent="0.25">
      <c r="Y13536" s="63">
        <v>56069</v>
      </c>
      <c r="Z13536" s="61">
        <f>_xll.qlYieldTSDiscount($U$35,Y13536,,Trigger)</f>
        <v>0.49709573449478484</v>
      </c>
    </row>
    <row r="13537" spans="25:26" x14ac:dyDescent="0.25">
      <c r="Y13537" s="63">
        <v>56070</v>
      </c>
      <c r="Z13537" s="61">
        <f>_xll.qlYieldTSDiscount($U$35,Y13537,,Trigger)</f>
        <v>0.4970633917470067</v>
      </c>
    </row>
    <row r="13538" spans="25:26" x14ac:dyDescent="0.25">
      <c r="Y13538" s="63">
        <v>56071</v>
      </c>
      <c r="Z13538" s="61">
        <f>_xll.qlYieldTSDiscount($U$35,Y13538,,Trigger)</f>
        <v>0.49703105207673881</v>
      </c>
    </row>
    <row r="13539" spans="25:26" x14ac:dyDescent="0.25">
      <c r="Y13539" s="63">
        <v>56072</v>
      </c>
      <c r="Z13539" s="61">
        <f>_xll.qlYieldTSDiscount($U$35,Y13539,,Trigger)</f>
        <v>0.49699871548361496</v>
      </c>
    </row>
    <row r="13540" spans="25:26" x14ac:dyDescent="0.25">
      <c r="Y13540" s="63">
        <v>56073</v>
      </c>
      <c r="Z13540" s="61">
        <f>_xll.qlYieldTSDiscount($U$35,Y13540,,Trigger)</f>
        <v>0.49696638196726933</v>
      </c>
    </row>
    <row r="13541" spans="25:26" x14ac:dyDescent="0.25">
      <c r="Y13541" s="63">
        <v>56074</v>
      </c>
      <c r="Z13541" s="61">
        <f>_xll.qlYieldTSDiscount($U$35,Y13541,,Trigger)</f>
        <v>0.49693405152733594</v>
      </c>
    </row>
    <row r="13542" spans="25:26" x14ac:dyDescent="0.25">
      <c r="Y13542" s="63">
        <v>56075</v>
      </c>
      <c r="Z13542" s="61">
        <f>_xll.qlYieldTSDiscount($U$35,Y13542,,Trigger)</f>
        <v>0.49690172416344874</v>
      </c>
    </row>
    <row r="13543" spans="25:26" x14ac:dyDescent="0.25">
      <c r="Y13543" s="63">
        <v>56076</v>
      </c>
      <c r="Z13543" s="61">
        <f>_xll.qlYieldTSDiscount($U$35,Y13543,,Trigger)</f>
        <v>0.49686939987524181</v>
      </c>
    </row>
    <row r="13544" spans="25:26" x14ac:dyDescent="0.25">
      <c r="Y13544" s="63">
        <v>56077</v>
      </c>
      <c r="Z13544" s="61">
        <f>_xll.qlYieldTSDiscount($U$35,Y13544,,Trigger)</f>
        <v>0.49683707866234916</v>
      </c>
    </row>
    <row r="13545" spans="25:26" x14ac:dyDescent="0.25">
      <c r="Y13545" s="63">
        <v>56078</v>
      </c>
      <c r="Z13545" s="61">
        <f>_xll.qlYieldTSDiscount($U$35,Y13545,,Trigger)</f>
        <v>0.49680476052440481</v>
      </c>
    </row>
    <row r="13546" spans="25:26" x14ac:dyDescent="0.25">
      <c r="Y13546" s="63">
        <v>56079</v>
      </c>
      <c r="Z13546" s="61">
        <f>_xll.qlYieldTSDiscount($U$35,Y13546,,Trigger)</f>
        <v>0.49677244546104271</v>
      </c>
    </row>
    <row r="13547" spans="25:26" x14ac:dyDescent="0.25">
      <c r="Y13547" s="63">
        <v>56080</v>
      </c>
      <c r="Z13547" s="61">
        <f>_xll.qlYieldTSDiscount($U$35,Y13547,,Trigger)</f>
        <v>0.49674013347189705</v>
      </c>
    </row>
    <row r="13548" spans="25:26" x14ac:dyDescent="0.25">
      <c r="Y13548" s="63">
        <v>56081</v>
      </c>
      <c r="Z13548" s="61">
        <f>_xll.qlYieldTSDiscount($U$35,Y13548,,Trigger)</f>
        <v>0.49670782455660167</v>
      </c>
    </row>
    <row r="13549" spans="25:26" x14ac:dyDescent="0.25">
      <c r="Y13549" s="63">
        <v>56082</v>
      </c>
      <c r="Z13549" s="61">
        <f>_xll.qlYieldTSDiscount($U$35,Y13549,,Trigger)</f>
        <v>0.49667551871479065</v>
      </c>
    </row>
    <row r="13550" spans="25:26" x14ac:dyDescent="0.25">
      <c r="Y13550" s="63">
        <v>56083</v>
      </c>
      <c r="Z13550" s="61">
        <f>_xll.qlYieldTSDiscount($U$35,Y13550,,Trigger)</f>
        <v>0.49664321594609817</v>
      </c>
    </row>
    <row r="13551" spans="25:26" x14ac:dyDescent="0.25">
      <c r="Y13551" s="63">
        <v>56084</v>
      </c>
      <c r="Z13551" s="61">
        <f>_xll.qlYieldTSDiscount($U$35,Y13551,,Trigger)</f>
        <v>0.49661091625015796</v>
      </c>
    </row>
    <row r="13552" spans="25:26" x14ac:dyDescent="0.25">
      <c r="Y13552" s="63">
        <v>56085</v>
      </c>
      <c r="Z13552" s="61">
        <f>_xll.qlYieldTSDiscount($U$35,Y13552,,Trigger)</f>
        <v>0.49657861962660427</v>
      </c>
    </row>
    <row r="13553" spans="25:26" x14ac:dyDescent="0.25">
      <c r="Y13553" s="63">
        <v>56086</v>
      </c>
      <c r="Z13553" s="61">
        <f>_xll.qlYieldTSDiscount($U$35,Y13553,,Trigger)</f>
        <v>0.49654632607507099</v>
      </c>
    </row>
    <row r="13554" spans="25:26" x14ac:dyDescent="0.25">
      <c r="Y13554" s="63">
        <v>56087</v>
      </c>
      <c r="Z13554" s="61">
        <f>_xll.qlYieldTSDiscount($U$35,Y13554,,Trigger)</f>
        <v>0.4965140355951923</v>
      </c>
    </row>
    <row r="13555" spans="25:26" x14ac:dyDescent="0.25">
      <c r="Y13555" s="63">
        <v>56088</v>
      </c>
      <c r="Z13555" s="61">
        <f>_xll.qlYieldTSDiscount($U$35,Y13555,,Trigger)</f>
        <v>0.49648174818660207</v>
      </c>
    </row>
    <row r="13556" spans="25:26" x14ac:dyDescent="0.25">
      <c r="Y13556" s="63">
        <v>56089</v>
      </c>
      <c r="Z13556" s="61">
        <f>_xll.qlYieldTSDiscount($U$35,Y13556,,Trigger)</f>
        <v>0.49644946384893435</v>
      </c>
    </row>
    <row r="13557" spans="25:26" x14ac:dyDescent="0.25">
      <c r="Y13557" s="63">
        <v>56090</v>
      </c>
      <c r="Z13557" s="61">
        <f>_xll.qlYieldTSDiscount($U$35,Y13557,,Trigger)</f>
        <v>0.49641718258182327</v>
      </c>
    </row>
    <row r="13558" spans="25:26" x14ac:dyDescent="0.25">
      <c r="Y13558" s="63">
        <v>56091</v>
      </c>
      <c r="Z13558" s="61">
        <f>_xll.qlYieldTSDiscount($U$35,Y13558,,Trigger)</f>
        <v>0.49638490438490268</v>
      </c>
    </row>
    <row r="13559" spans="25:26" x14ac:dyDescent="0.25">
      <c r="Y13559" s="63">
        <v>56092</v>
      </c>
      <c r="Z13559" s="61">
        <f>_xll.qlYieldTSDiscount($U$35,Y13559,,Trigger)</f>
        <v>0.49635262925780671</v>
      </c>
    </row>
    <row r="13560" spans="25:26" x14ac:dyDescent="0.25">
      <c r="Y13560" s="63">
        <v>56093</v>
      </c>
      <c r="Z13560" s="61">
        <f>_xll.qlYieldTSDiscount($U$35,Y13560,,Trigger)</f>
        <v>0.49632035720016943</v>
      </c>
    </row>
    <row r="13561" spans="25:26" x14ac:dyDescent="0.25">
      <c r="Y13561" s="63">
        <v>56094</v>
      </c>
      <c r="Z13561" s="61">
        <f>_xll.qlYieldTSDiscount($U$35,Y13561,,Trigger)</f>
        <v>0.49628808821162473</v>
      </c>
    </row>
    <row r="13562" spans="25:26" x14ac:dyDescent="0.25">
      <c r="Y13562" s="63">
        <v>56095</v>
      </c>
      <c r="Z13562" s="61">
        <f>_xll.qlYieldTSDiscount($U$35,Y13562,,Trigger)</f>
        <v>0.49625582229180665</v>
      </c>
    </row>
    <row r="13563" spans="25:26" x14ac:dyDescent="0.25">
      <c r="Y13563" s="63">
        <v>56096</v>
      </c>
      <c r="Z13563" s="61">
        <f>_xll.qlYieldTSDiscount($U$35,Y13563,,Trigger)</f>
        <v>0.49622355944034935</v>
      </c>
    </row>
    <row r="13564" spans="25:26" x14ac:dyDescent="0.25">
      <c r="Y13564" s="63">
        <v>56097</v>
      </c>
      <c r="Z13564" s="61">
        <f>_xll.qlYieldTSDiscount($U$35,Y13564,,Trigger)</f>
        <v>0.49619129965688669</v>
      </c>
    </row>
    <row r="13565" spans="25:26" x14ac:dyDescent="0.25">
      <c r="Y13565" s="63">
        <v>56098</v>
      </c>
      <c r="Z13565" s="61">
        <f>_xll.qlYieldTSDiscount($U$35,Y13565,,Trigger)</f>
        <v>0.49615904294105279</v>
      </c>
    </row>
    <row r="13566" spans="25:26" x14ac:dyDescent="0.25">
      <c r="Y13566" s="63">
        <v>56099</v>
      </c>
      <c r="Z13566" s="61">
        <f>_xll.qlYieldTSDiscount($U$35,Y13566,,Trigger)</f>
        <v>0.49612678929248166</v>
      </c>
    </row>
    <row r="13567" spans="25:26" x14ac:dyDescent="0.25">
      <c r="Y13567" s="63">
        <v>56100</v>
      </c>
      <c r="Z13567" s="61">
        <f>_xll.qlYieldTSDiscount($U$35,Y13567,,Trigger)</f>
        <v>0.49609453871080733</v>
      </c>
    </row>
    <row r="13568" spans="25:26" x14ac:dyDescent="0.25">
      <c r="Y13568" s="63">
        <v>56101</v>
      </c>
      <c r="Z13568" s="61">
        <f>_xll.qlYieldTSDiscount($U$35,Y13568,,Trigger)</f>
        <v>0.4960622911956637</v>
      </c>
    </row>
    <row r="13569" spans="25:26" x14ac:dyDescent="0.25">
      <c r="Y13569" s="63">
        <v>56102</v>
      </c>
      <c r="Z13569" s="61">
        <f>_xll.qlYieldTSDiscount($U$35,Y13569,,Trigger)</f>
        <v>0.49603004674668494</v>
      </c>
    </row>
    <row r="13570" spans="25:26" x14ac:dyDescent="0.25">
      <c r="Y13570" s="63">
        <v>56103</v>
      </c>
      <c r="Z13570" s="61">
        <f>_xll.qlYieldTSDiscount($U$35,Y13570,,Trigger)</f>
        <v>0.49599780536350507</v>
      </c>
    </row>
    <row r="13571" spans="25:26" x14ac:dyDescent="0.25">
      <c r="Y13571" s="63">
        <v>56104</v>
      </c>
      <c r="Z13571" s="61">
        <f>_xll.qlYieldTSDiscount($U$35,Y13571,,Trigger)</f>
        <v>0.495965567045758</v>
      </c>
    </row>
    <row r="13572" spans="25:26" x14ac:dyDescent="0.25">
      <c r="Y13572" s="63">
        <v>56105</v>
      </c>
      <c r="Z13572" s="61">
        <f>_xll.qlYieldTSDiscount($U$35,Y13572,,Trigger)</f>
        <v>0.4959333317930778</v>
      </c>
    </row>
    <row r="13573" spans="25:26" x14ac:dyDescent="0.25">
      <c r="Y13573" s="63">
        <v>56106</v>
      </c>
      <c r="Z13573" s="61">
        <f>_xll.qlYieldTSDiscount($U$35,Y13573,,Trigger)</f>
        <v>0.49590109960509859</v>
      </c>
    </row>
    <row r="13574" spans="25:26" x14ac:dyDescent="0.25">
      <c r="Y13574" s="63">
        <v>56107</v>
      </c>
      <c r="Z13574" s="61">
        <f>_xll.qlYieldTSDiscount($U$35,Y13574,,Trigger)</f>
        <v>0.49586887048145423</v>
      </c>
    </row>
    <row r="13575" spans="25:26" x14ac:dyDescent="0.25">
      <c r="Y13575" s="63">
        <v>56108</v>
      </c>
      <c r="Z13575" s="61">
        <f>_xll.qlYieldTSDiscount($U$35,Y13575,,Trigger)</f>
        <v>0.49583664442177883</v>
      </c>
    </row>
    <row r="13576" spans="25:26" x14ac:dyDescent="0.25">
      <c r="Y13576" s="63">
        <v>56109</v>
      </c>
      <c r="Z13576" s="61">
        <f>_xll.qlYieldTSDiscount($U$35,Y13576,,Trigger)</f>
        <v>0.49580442142570647</v>
      </c>
    </row>
    <row r="13577" spans="25:26" x14ac:dyDescent="0.25">
      <c r="Y13577" s="63">
        <v>56110</v>
      </c>
      <c r="Z13577" s="61">
        <f>_xll.qlYieldTSDiscount($U$35,Y13577,,Trigger)</f>
        <v>0.49577220149287105</v>
      </c>
    </row>
    <row r="13578" spans="25:26" x14ac:dyDescent="0.25">
      <c r="Y13578" s="63">
        <v>56111</v>
      </c>
      <c r="Z13578" s="61">
        <f>_xll.qlYieldTSDiscount($U$35,Y13578,,Trigger)</f>
        <v>0.49573998462290658</v>
      </c>
    </row>
    <row r="13579" spans="25:26" x14ac:dyDescent="0.25">
      <c r="Y13579" s="63">
        <v>56112</v>
      </c>
      <c r="Z13579" s="61">
        <f>_xll.qlYieldTSDiscount($U$35,Y13579,,Trigger)</f>
        <v>0.49570777081544731</v>
      </c>
    </row>
    <row r="13580" spans="25:26" x14ac:dyDescent="0.25">
      <c r="Y13580" s="63">
        <v>56113</v>
      </c>
      <c r="Z13580" s="61">
        <f>_xll.qlYieldTSDiscount($U$35,Y13580,,Trigger)</f>
        <v>0.49567556007012697</v>
      </c>
    </row>
    <row r="13581" spans="25:26" x14ac:dyDescent="0.25">
      <c r="Y13581" s="63">
        <v>56114</v>
      </c>
      <c r="Z13581" s="61">
        <f>_xll.qlYieldTSDiscount($U$35,Y13581,,Trigger)</f>
        <v>0.49564335238657969</v>
      </c>
    </row>
    <row r="13582" spans="25:26" x14ac:dyDescent="0.25">
      <c r="Y13582" s="63">
        <v>56115</v>
      </c>
      <c r="Z13582" s="61">
        <f>_xll.qlYieldTSDiscount($U$35,Y13582,,Trigger)</f>
        <v>0.49561114776443954</v>
      </c>
    </row>
    <row r="13583" spans="25:26" x14ac:dyDescent="0.25">
      <c r="Y13583" s="63">
        <v>56116</v>
      </c>
      <c r="Z13583" s="61">
        <f>_xll.qlYieldTSDiscount($U$35,Y13583,,Trigger)</f>
        <v>0.49557894620334064</v>
      </c>
    </row>
    <row r="13584" spans="25:26" x14ac:dyDescent="0.25">
      <c r="Y13584" s="63">
        <v>56117</v>
      </c>
      <c r="Z13584" s="61">
        <f>_xll.qlYieldTSDiscount($U$35,Y13584,,Trigger)</f>
        <v>0.49554674770291673</v>
      </c>
    </row>
    <row r="13585" spans="25:26" x14ac:dyDescent="0.25">
      <c r="Y13585" s="63">
        <v>56118</v>
      </c>
      <c r="Z13585" s="61">
        <f>_xll.qlYieldTSDiscount($U$35,Y13585,,Trigger)</f>
        <v>0.49551455226280205</v>
      </c>
    </row>
    <row r="13586" spans="25:26" x14ac:dyDescent="0.25">
      <c r="Y13586" s="63">
        <v>56119</v>
      </c>
      <c r="Z13586" s="61">
        <f>_xll.qlYieldTSDiscount($U$35,Y13586,,Trigger)</f>
        <v>0.49548235988263062</v>
      </c>
    </row>
    <row r="13587" spans="25:26" x14ac:dyDescent="0.25">
      <c r="Y13587" s="63">
        <v>56120</v>
      </c>
      <c r="Z13587" s="61">
        <f>_xll.qlYieldTSDiscount($U$35,Y13587,,Trigger)</f>
        <v>0.49545017056203633</v>
      </c>
    </row>
    <row r="13588" spans="25:26" x14ac:dyDescent="0.25">
      <c r="Y13588" s="63">
        <v>56121</v>
      </c>
      <c r="Z13588" s="61">
        <f>_xll.qlYieldTSDiscount($U$35,Y13588,,Trigger)</f>
        <v>0.4954179843006532</v>
      </c>
    </row>
    <row r="13589" spans="25:26" x14ac:dyDescent="0.25">
      <c r="Y13589" s="63">
        <v>56122</v>
      </c>
      <c r="Z13589" s="61">
        <f>_xll.qlYieldTSDiscount($U$35,Y13589,,Trigger)</f>
        <v>0.49538580109811547</v>
      </c>
    </row>
    <row r="13590" spans="25:26" x14ac:dyDescent="0.25">
      <c r="Y13590" s="63">
        <v>56123</v>
      </c>
      <c r="Z13590" s="61">
        <f>_xll.qlYieldTSDiscount($U$35,Y13590,,Trigger)</f>
        <v>0.49535362095405699</v>
      </c>
    </row>
    <row r="13591" spans="25:26" x14ac:dyDescent="0.25">
      <c r="Y13591" s="63">
        <v>56124</v>
      </c>
      <c r="Z13591" s="61">
        <f>_xll.qlYieldTSDiscount($U$35,Y13591,,Trigger)</f>
        <v>0.49532144386811172</v>
      </c>
    </row>
    <row r="13592" spans="25:26" x14ac:dyDescent="0.25">
      <c r="Y13592" s="63">
        <v>56125</v>
      </c>
      <c r="Z13592" s="61">
        <f>_xll.qlYieldTSDiscount($U$35,Y13592,,Trigger)</f>
        <v>0.49528926983991389</v>
      </c>
    </row>
    <row r="13593" spans="25:26" x14ac:dyDescent="0.25">
      <c r="Y13593" s="63">
        <v>56126</v>
      </c>
      <c r="Z13593" s="61">
        <f>_xll.qlYieldTSDiscount($U$35,Y13593,,Trigger)</f>
        <v>0.4952570988690973</v>
      </c>
    </row>
    <row r="13594" spans="25:26" x14ac:dyDescent="0.25">
      <c r="Y13594" s="63">
        <v>56127</v>
      </c>
      <c r="Z13594" s="61">
        <f>_xll.qlYieldTSDiscount($U$35,Y13594,,Trigger)</f>
        <v>0.49522493095529613</v>
      </c>
    </row>
    <row r="13595" spans="25:26" x14ac:dyDescent="0.25">
      <c r="Y13595" s="63">
        <v>56128</v>
      </c>
      <c r="Z13595" s="61">
        <f>_xll.qlYieldTSDiscount($U$35,Y13595,,Trigger)</f>
        <v>0.49519276609814439</v>
      </c>
    </row>
    <row r="13596" spans="25:26" x14ac:dyDescent="0.25">
      <c r="Y13596" s="63">
        <v>56129</v>
      </c>
      <c r="Z13596" s="61">
        <f>_xll.qlYieldTSDiscount($U$35,Y13596,,Trigger)</f>
        <v>0.49516060429727599</v>
      </c>
    </row>
    <row r="13597" spans="25:26" x14ac:dyDescent="0.25">
      <c r="Y13597" s="63">
        <v>56130</v>
      </c>
      <c r="Z13597" s="61">
        <f>_xll.qlYieldTSDiscount($U$35,Y13597,,Trigger)</f>
        <v>0.49512844555232499</v>
      </c>
    </row>
    <row r="13598" spans="25:26" x14ac:dyDescent="0.25">
      <c r="Y13598" s="63">
        <v>56131</v>
      </c>
      <c r="Z13598" s="61">
        <f>_xll.qlYieldTSDiscount($U$35,Y13598,,Trigger)</f>
        <v>0.49509628986292548</v>
      </c>
    </row>
    <row r="13599" spans="25:26" x14ac:dyDescent="0.25">
      <c r="Y13599" s="63">
        <v>56132</v>
      </c>
      <c r="Z13599" s="61">
        <f>_xll.qlYieldTSDiscount($U$35,Y13599,,Trigger)</f>
        <v>0.49506413722871151</v>
      </c>
    </row>
    <row r="13600" spans="25:26" x14ac:dyDescent="0.25">
      <c r="Y13600" s="63">
        <v>56133</v>
      </c>
      <c r="Z13600" s="61">
        <f>_xll.qlYieldTSDiscount($U$35,Y13600,,Trigger)</f>
        <v>0.49503198764931694</v>
      </c>
    </row>
    <row r="13601" spans="25:26" x14ac:dyDescent="0.25">
      <c r="Y13601" s="63">
        <v>56134</v>
      </c>
      <c r="Z13601" s="61">
        <f>_xll.qlYieldTSDiscount($U$35,Y13601,,Trigger)</f>
        <v>0.49499984112437589</v>
      </c>
    </row>
    <row r="13602" spans="25:26" x14ac:dyDescent="0.25">
      <c r="Y13602" s="63">
        <v>56135</v>
      </c>
      <c r="Z13602" s="61">
        <f>_xll.qlYieldTSDiscount($U$35,Y13602,,Trigger)</f>
        <v>0.4949676976535225</v>
      </c>
    </row>
    <row r="13603" spans="25:26" x14ac:dyDescent="0.25">
      <c r="Y13603" s="63">
        <v>56136</v>
      </c>
      <c r="Z13603" s="61">
        <f>_xll.qlYieldTSDiscount($U$35,Y13603,,Trigger)</f>
        <v>0.49493555723639054</v>
      </c>
    </row>
    <row r="13604" spans="25:26" x14ac:dyDescent="0.25">
      <c r="Y13604" s="63">
        <v>56137</v>
      </c>
      <c r="Z13604" s="61">
        <f>_xll.qlYieldTSDiscount($U$35,Y13604,,Trigger)</f>
        <v>0.49490341987261421</v>
      </c>
    </row>
    <row r="13605" spans="25:26" x14ac:dyDescent="0.25">
      <c r="Y13605" s="63">
        <v>56138</v>
      </c>
      <c r="Z13605" s="61">
        <f>_xll.qlYieldTSDiscount($U$35,Y13605,,Trigger)</f>
        <v>0.49487128556182752</v>
      </c>
    </row>
    <row r="13606" spans="25:26" x14ac:dyDescent="0.25">
      <c r="Y13606" s="63">
        <v>56139</v>
      </c>
      <c r="Z13606" s="61">
        <f>_xll.qlYieldTSDiscount($U$35,Y13606,,Trigger)</f>
        <v>0.49483915430366443</v>
      </c>
    </row>
    <row r="13607" spans="25:26" x14ac:dyDescent="0.25">
      <c r="Y13607" s="63">
        <v>56140</v>
      </c>
      <c r="Z13607" s="61">
        <f>_xll.qlYieldTSDiscount($U$35,Y13607,,Trigger)</f>
        <v>0.49480702609775895</v>
      </c>
    </row>
    <row r="13608" spans="25:26" x14ac:dyDescent="0.25">
      <c r="Y13608" s="63">
        <v>56141</v>
      </c>
      <c r="Z13608" s="61">
        <f>_xll.qlYieldTSDiscount($U$35,Y13608,,Trigger)</f>
        <v>0.49477490094374521</v>
      </c>
    </row>
    <row r="13609" spans="25:26" x14ac:dyDescent="0.25">
      <c r="Y13609" s="63">
        <v>56142</v>
      </c>
      <c r="Z13609" s="61">
        <f>_xll.qlYieldTSDiscount($U$35,Y13609,,Trigger)</f>
        <v>0.49474277884125717</v>
      </c>
    </row>
    <row r="13610" spans="25:26" x14ac:dyDescent="0.25">
      <c r="Y13610" s="63">
        <v>56143</v>
      </c>
      <c r="Z13610" s="61">
        <f>_xll.qlYieldTSDiscount($U$35,Y13610,,Trigger)</f>
        <v>0.49471065978992879</v>
      </c>
    </row>
    <row r="13611" spans="25:26" x14ac:dyDescent="0.25">
      <c r="Y13611" s="63">
        <v>56144</v>
      </c>
      <c r="Z13611" s="61">
        <f>_xll.qlYieldTSDiscount($U$35,Y13611,,Trigger)</f>
        <v>0.49467854378939419</v>
      </c>
    </row>
    <row r="13612" spans="25:26" x14ac:dyDescent="0.25">
      <c r="Y13612" s="63">
        <v>56145</v>
      </c>
      <c r="Z13612" s="61">
        <f>_xll.qlYieldTSDiscount($U$35,Y13612,,Trigger)</f>
        <v>0.49464643083928728</v>
      </c>
    </row>
    <row r="13613" spans="25:26" x14ac:dyDescent="0.25">
      <c r="Y13613" s="63">
        <v>56146</v>
      </c>
      <c r="Z13613" s="61">
        <f>_xll.qlYieldTSDiscount($U$35,Y13613,,Trigger)</f>
        <v>0.49461432093924218</v>
      </c>
    </row>
    <row r="13614" spans="25:26" x14ac:dyDescent="0.25">
      <c r="Y13614" s="63">
        <v>56147</v>
      </c>
      <c r="Z13614" s="61">
        <f>_xll.qlYieldTSDiscount($U$35,Y13614,,Trigger)</f>
        <v>0.49458221408889286</v>
      </c>
    </row>
    <row r="13615" spans="25:26" x14ac:dyDescent="0.25">
      <c r="Y13615" s="63">
        <v>56148</v>
      </c>
      <c r="Z13615" s="61">
        <f>_xll.qlYieldTSDiscount($U$35,Y13615,,Trigger)</f>
        <v>0.49455011028787349</v>
      </c>
    </row>
    <row r="13616" spans="25:26" x14ac:dyDescent="0.25">
      <c r="Y13616" s="63">
        <v>56149</v>
      </c>
      <c r="Z13616" s="61">
        <f>_xll.qlYieldTSDiscount($U$35,Y13616,,Trigger)</f>
        <v>0.49451800953581782</v>
      </c>
    </row>
    <row r="13617" spans="25:26" x14ac:dyDescent="0.25">
      <c r="Y13617" s="63">
        <v>56150</v>
      </c>
      <c r="Z13617" s="61">
        <f>_xll.qlYieldTSDiscount($U$35,Y13617,,Trigger)</f>
        <v>0.49448591183236007</v>
      </c>
    </row>
    <row r="13618" spans="25:26" x14ac:dyDescent="0.25">
      <c r="Y13618" s="63">
        <v>56151</v>
      </c>
      <c r="Z13618" s="61">
        <f>_xll.qlYieldTSDiscount($U$35,Y13618,,Trigger)</f>
        <v>0.49445381717713427</v>
      </c>
    </row>
    <row r="13619" spans="25:26" x14ac:dyDescent="0.25">
      <c r="Y13619" s="63">
        <v>56152</v>
      </c>
      <c r="Z13619" s="61">
        <f>_xll.qlYieldTSDiscount($U$35,Y13619,,Trigger)</f>
        <v>0.49442172556977432</v>
      </c>
    </row>
    <row r="13620" spans="25:26" x14ac:dyDescent="0.25">
      <c r="Y13620" s="63">
        <v>56153</v>
      </c>
      <c r="Z13620" s="61">
        <f>_xll.qlYieldTSDiscount($U$35,Y13620,,Trigger)</f>
        <v>0.49438963700991428</v>
      </c>
    </row>
    <row r="13621" spans="25:26" x14ac:dyDescent="0.25">
      <c r="Y13621" s="63">
        <v>56154</v>
      </c>
      <c r="Z13621" s="61">
        <f>_xll.qlYieldTSDiscount($U$35,Y13621,,Trigger)</f>
        <v>0.4943575514971883</v>
      </c>
    </row>
    <row r="13622" spans="25:26" x14ac:dyDescent="0.25">
      <c r="Y13622" s="63">
        <v>56155</v>
      </c>
      <c r="Z13622" s="61">
        <f>_xll.qlYieldTSDiscount($U$35,Y13622,,Trigger)</f>
        <v>0.4943254690312302</v>
      </c>
    </row>
    <row r="13623" spans="25:26" x14ac:dyDescent="0.25">
      <c r="Y13623" s="63">
        <v>56156</v>
      </c>
      <c r="Z13623" s="61">
        <f>_xll.qlYieldTSDiscount($U$35,Y13623,,Trigger)</f>
        <v>0.49429338961167407</v>
      </c>
    </row>
    <row r="13624" spans="25:26" x14ac:dyDescent="0.25">
      <c r="Y13624" s="63">
        <v>56157</v>
      </c>
      <c r="Z13624" s="61">
        <f>_xll.qlYieldTSDiscount($U$35,Y13624,,Trigger)</f>
        <v>0.49426131323815409</v>
      </c>
    </row>
    <row r="13625" spans="25:26" x14ac:dyDescent="0.25">
      <c r="Y13625" s="63">
        <v>56158</v>
      </c>
      <c r="Z13625" s="61">
        <f>_xll.qlYieldTSDiscount($U$35,Y13625,,Trigger)</f>
        <v>0.49422923991030404</v>
      </c>
    </row>
    <row r="13626" spans="25:26" x14ac:dyDescent="0.25">
      <c r="Y13626" s="63">
        <v>56159</v>
      </c>
      <c r="Z13626" s="61">
        <f>_xll.qlYieldTSDiscount($U$35,Y13626,,Trigger)</f>
        <v>0.49419716962775806</v>
      </c>
    </row>
    <row r="13627" spans="25:26" x14ac:dyDescent="0.25">
      <c r="Y13627" s="63">
        <v>56160</v>
      </c>
      <c r="Z13627" s="61">
        <f>_xll.qlYieldTSDiscount($U$35,Y13627,,Trigger)</f>
        <v>0.49416510239015021</v>
      </c>
    </row>
    <row r="13628" spans="25:26" x14ac:dyDescent="0.25">
      <c r="Y13628" s="63">
        <v>56161</v>
      </c>
      <c r="Z13628" s="61">
        <f>_xll.qlYieldTSDiscount($U$35,Y13628,,Trigger)</f>
        <v>0.49413303819711452</v>
      </c>
    </row>
    <row r="13629" spans="25:26" x14ac:dyDescent="0.25">
      <c r="Y13629" s="63">
        <v>56162</v>
      </c>
      <c r="Z13629" s="61">
        <f>_xll.qlYieldTSDiscount($U$35,Y13629,,Trigger)</f>
        <v>0.49410097704828482</v>
      </c>
    </row>
    <row r="13630" spans="25:26" x14ac:dyDescent="0.25">
      <c r="Y13630" s="63">
        <v>56163</v>
      </c>
      <c r="Z13630" s="61">
        <f>_xll.qlYieldTSDiscount($U$35,Y13630,,Trigger)</f>
        <v>0.49406891894329535</v>
      </c>
    </row>
    <row r="13631" spans="25:26" x14ac:dyDescent="0.25">
      <c r="Y13631" s="63">
        <v>56164</v>
      </c>
      <c r="Z13631" s="61">
        <f>_xll.qlYieldTSDiscount($U$35,Y13631,,Trigger)</f>
        <v>0.49403686388178014</v>
      </c>
    </row>
    <row r="13632" spans="25:26" x14ac:dyDescent="0.25">
      <c r="Y13632" s="63">
        <v>56165</v>
      </c>
      <c r="Z13632" s="61">
        <f>_xll.qlYieldTSDiscount($U$35,Y13632,,Trigger)</f>
        <v>0.49400481186337297</v>
      </c>
    </row>
    <row r="13633" spans="25:26" x14ac:dyDescent="0.25">
      <c r="Y13633" s="63">
        <v>56166</v>
      </c>
      <c r="Z13633" s="61">
        <f>_xll.qlYieldTSDiscount($U$35,Y13633,,Trigger)</f>
        <v>0.49397276288770808</v>
      </c>
    </row>
    <row r="13634" spans="25:26" x14ac:dyDescent="0.25">
      <c r="Y13634" s="63">
        <v>56167</v>
      </c>
      <c r="Z13634" s="61">
        <f>_xll.qlYieldTSDiscount($U$35,Y13634,,Trigger)</f>
        <v>0.49394071695441949</v>
      </c>
    </row>
    <row r="13635" spans="25:26" x14ac:dyDescent="0.25">
      <c r="Y13635" s="63">
        <v>56168</v>
      </c>
      <c r="Z13635" s="61">
        <f>_xll.qlYieldTSDiscount($U$35,Y13635,,Trigger)</f>
        <v>0.4939086740631411</v>
      </c>
    </row>
    <row r="13636" spans="25:26" x14ac:dyDescent="0.25">
      <c r="Y13636" s="63">
        <v>56169</v>
      </c>
      <c r="Z13636" s="61">
        <f>_xll.qlYieldTSDiscount($U$35,Y13636,,Trigger)</f>
        <v>0.49387663421350703</v>
      </c>
    </row>
    <row r="13637" spans="25:26" x14ac:dyDescent="0.25">
      <c r="Y13637" s="63">
        <v>56170</v>
      </c>
      <c r="Z13637" s="61">
        <f>_xll.qlYieldTSDiscount($U$35,Y13637,,Trigger)</f>
        <v>0.49384459740515124</v>
      </c>
    </row>
    <row r="13638" spans="25:26" x14ac:dyDescent="0.25">
      <c r="Y13638" s="63">
        <v>56171</v>
      </c>
      <c r="Z13638" s="61">
        <f>_xll.qlYieldTSDiscount($U$35,Y13638,,Trigger)</f>
        <v>0.49381256363770776</v>
      </c>
    </row>
    <row r="13639" spans="25:26" x14ac:dyDescent="0.25">
      <c r="Y13639" s="63">
        <v>56172</v>
      </c>
      <c r="Z13639" s="61">
        <f>_xll.qlYieldTSDiscount($U$35,Y13639,,Trigger)</f>
        <v>0.49378053291081064</v>
      </c>
    </row>
    <row r="13640" spans="25:26" x14ac:dyDescent="0.25">
      <c r="Y13640" s="63">
        <v>56173</v>
      </c>
      <c r="Z13640" s="61">
        <f>_xll.qlYieldTSDiscount($U$35,Y13640,,Trigger)</f>
        <v>0.49374850522409397</v>
      </c>
    </row>
    <row r="13641" spans="25:26" x14ac:dyDescent="0.25">
      <c r="Y13641" s="63">
        <v>56174</v>
      </c>
      <c r="Z13641" s="61">
        <f>_xll.qlYieldTSDiscount($U$35,Y13641,,Trigger)</f>
        <v>0.49371648057719159</v>
      </c>
    </row>
    <row r="13642" spans="25:26" x14ac:dyDescent="0.25">
      <c r="Y13642" s="63">
        <v>56175</v>
      </c>
      <c r="Z13642" s="61">
        <f>_xll.qlYieldTSDiscount($U$35,Y13642,,Trigger)</f>
        <v>0.49368445896973762</v>
      </c>
    </row>
    <row r="13643" spans="25:26" x14ac:dyDescent="0.25">
      <c r="Y13643" s="63">
        <v>56176</v>
      </c>
      <c r="Z13643" s="61">
        <f>_xll.qlYieldTSDiscount($U$35,Y13643,,Trigger)</f>
        <v>0.49365244040136613</v>
      </c>
    </row>
    <row r="13644" spans="25:26" x14ac:dyDescent="0.25">
      <c r="Y13644" s="63">
        <v>56177</v>
      </c>
      <c r="Z13644" s="61">
        <f>_xll.qlYieldTSDiscount($U$35,Y13644,,Trigger)</f>
        <v>0.49362042487171115</v>
      </c>
    </row>
    <row r="13645" spans="25:26" x14ac:dyDescent="0.25">
      <c r="Y13645" s="63">
        <v>56178</v>
      </c>
      <c r="Z13645" s="61">
        <f>_xll.qlYieldTSDiscount($U$35,Y13645,,Trigger)</f>
        <v>0.49358841238040652</v>
      </c>
    </row>
    <row r="13646" spans="25:26" x14ac:dyDescent="0.25">
      <c r="Y13646" s="63">
        <v>56179</v>
      </c>
      <c r="Z13646" s="61">
        <f>_xll.qlYieldTSDiscount($U$35,Y13646,,Trigger)</f>
        <v>0.49355640292708647</v>
      </c>
    </row>
    <row r="13647" spans="25:26" x14ac:dyDescent="0.25">
      <c r="Y13647" s="63">
        <v>56180</v>
      </c>
      <c r="Z13647" s="61">
        <f>_xll.qlYieldTSDiscount($U$35,Y13647,,Trigger)</f>
        <v>0.49352439651138502</v>
      </c>
    </row>
    <row r="13648" spans="25:26" x14ac:dyDescent="0.25">
      <c r="Y13648" s="63">
        <v>56181</v>
      </c>
      <c r="Z13648" s="61">
        <f>_xll.qlYieldTSDiscount($U$35,Y13648,,Trigger)</f>
        <v>0.49349239313293597</v>
      </c>
    </row>
    <row r="13649" spans="25:26" x14ac:dyDescent="0.25">
      <c r="Y13649" s="63">
        <v>56182</v>
      </c>
      <c r="Z13649" s="61">
        <f>_xll.qlYieldTSDiscount($U$35,Y13649,,Trigger)</f>
        <v>0.49346039279137355</v>
      </c>
    </row>
    <row r="13650" spans="25:26" x14ac:dyDescent="0.25">
      <c r="Y13650" s="63">
        <v>56183</v>
      </c>
      <c r="Z13650" s="61">
        <f>_xll.qlYieldTSDiscount($U$35,Y13650,,Trigger)</f>
        <v>0.49342839548633177</v>
      </c>
    </row>
    <row r="13651" spans="25:26" x14ac:dyDescent="0.25">
      <c r="Y13651" s="63">
        <v>56184</v>
      </c>
      <c r="Z13651" s="61">
        <f>_xll.qlYieldTSDiscount($U$35,Y13651,,Trigger)</f>
        <v>0.49339640121744455</v>
      </c>
    </row>
    <row r="13652" spans="25:26" x14ac:dyDescent="0.25">
      <c r="Y13652" s="63">
        <v>56185</v>
      </c>
      <c r="Z13652" s="61">
        <f>_xll.qlYieldTSDiscount($U$35,Y13652,,Trigger)</f>
        <v>0.49336440998434594</v>
      </c>
    </row>
    <row r="13653" spans="25:26" x14ac:dyDescent="0.25">
      <c r="Y13653" s="63">
        <v>56186</v>
      </c>
      <c r="Z13653" s="61">
        <f>_xll.qlYieldTSDiscount($U$35,Y13653,,Trigger)</f>
        <v>0.49333242178667003</v>
      </c>
    </row>
    <row r="13654" spans="25:26" x14ac:dyDescent="0.25">
      <c r="Y13654" s="63">
        <v>56187</v>
      </c>
      <c r="Z13654" s="61">
        <f>_xll.qlYieldTSDiscount($U$35,Y13654,,Trigger)</f>
        <v>0.49330043662405076</v>
      </c>
    </row>
    <row r="13655" spans="25:26" x14ac:dyDescent="0.25">
      <c r="Y13655" s="63">
        <v>56188</v>
      </c>
      <c r="Z13655" s="61">
        <f>_xll.qlYieldTSDiscount($U$35,Y13655,,Trigger)</f>
        <v>0.49326845449612222</v>
      </c>
    </row>
    <row r="13656" spans="25:26" x14ac:dyDescent="0.25">
      <c r="Y13656" s="63">
        <v>56189</v>
      </c>
      <c r="Z13656" s="61">
        <f>_xll.qlYieldTSDiscount($U$35,Y13656,,Trigger)</f>
        <v>0.49323647540251847</v>
      </c>
    </row>
    <row r="13657" spans="25:26" x14ac:dyDescent="0.25">
      <c r="Y13657" s="63">
        <v>56190</v>
      </c>
      <c r="Z13657" s="61">
        <f>_xll.qlYieldTSDiscount($U$35,Y13657,,Trigger)</f>
        <v>0.49320449934287336</v>
      </c>
    </row>
    <row r="13658" spans="25:26" x14ac:dyDescent="0.25">
      <c r="Y13658" s="63">
        <v>56191</v>
      </c>
      <c r="Z13658" s="61">
        <f>_xll.qlYieldTSDiscount($U$35,Y13658,,Trigger)</f>
        <v>0.49317252631682096</v>
      </c>
    </row>
    <row r="13659" spans="25:26" x14ac:dyDescent="0.25">
      <c r="Y13659" s="63">
        <v>56192</v>
      </c>
      <c r="Z13659" s="61">
        <f>_xll.qlYieldTSDiscount($U$35,Y13659,,Trigger)</f>
        <v>0.49314055632399545</v>
      </c>
    </row>
    <row r="13660" spans="25:26" x14ac:dyDescent="0.25">
      <c r="Y13660" s="63">
        <v>56193</v>
      </c>
      <c r="Z13660" s="61">
        <f>_xll.qlYieldTSDiscount($U$35,Y13660,,Trigger)</f>
        <v>0.49310858936403074</v>
      </c>
    </row>
    <row r="13661" spans="25:26" x14ac:dyDescent="0.25">
      <c r="Y13661" s="63">
        <v>56194</v>
      </c>
      <c r="Z13661" s="61">
        <f>_xll.qlYieldTSDiscount($U$35,Y13661,,Trigger)</f>
        <v>0.49307662543656083</v>
      </c>
    </row>
    <row r="13662" spans="25:26" x14ac:dyDescent="0.25">
      <c r="Y13662" s="63">
        <v>56195</v>
      </c>
      <c r="Z13662" s="61">
        <f>_xll.qlYieldTSDiscount($U$35,Y13662,,Trigger)</f>
        <v>0.49304466454121976</v>
      </c>
    </row>
    <row r="13663" spans="25:26" x14ac:dyDescent="0.25">
      <c r="Y13663" s="63">
        <v>56196</v>
      </c>
      <c r="Z13663" s="61">
        <f>_xll.qlYieldTSDiscount($U$35,Y13663,,Trigger)</f>
        <v>0.49301270667764163</v>
      </c>
    </row>
    <row r="13664" spans="25:26" x14ac:dyDescent="0.25">
      <c r="Y13664" s="63">
        <v>56197</v>
      </c>
      <c r="Z13664" s="61">
        <f>_xll.qlYieldTSDiscount($U$35,Y13664,,Trigger)</f>
        <v>0.49298075184546036</v>
      </c>
    </row>
    <row r="13665" spans="25:26" x14ac:dyDescent="0.25">
      <c r="Y13665" s="63">
        <v>56198</v>
      </c>
      <c r="Z13665" s="61">
        <f>_xll.qlYieldTSDiscount($U$35,Y13665,,Trigger)</f>
        <v>0.49294880004430996</v>
      </c>
    </row>
    <row r="13666" spans="25:26" x14ac:dyDescent="0.25">
      <c r="Y13666" s="63">
        <v>56199</v>
      </c>
      <c r="Z13666" s="61">
        <f>_xll.qlYieldTSDiscount($U$35,Y13666,,Trigger)</f>
        <v>0.49291685127382462</v>
      </c>
    </row>
    <row r="13667" spans="25:26" x14ac:dyDescent="0.25">
      <c r="Y13667" s="63">
        <v>56200</v>
      </c>
      <c r="Z13667" s="61">
        <f>_xll.qlYieldTSDiscount($U$35,Y13667,,Trigger)</f>
        <v>0.49288490553363812</v>
      </c>
    </row>
    <row r="13668" spans="25:26" x14ac:dyDescent="0.25">
      <c r="Y13668" s="63">
        <v>56201</v>
      </c>
      <c r="Z13668" s="61">
        <f>_xll.qlYieldTSDiscount($U$35,Y13668,,Trigger)</f>
        <v>0.49285296282338464</v>
      </c>
    </row>
    <row r="13669" spans="25:26" x14ac:dyDescent="0.25">
      <c r="Y13669" s="63">
        <v>56202</v>
      </c>
      <c r="Z13669" s="61">
        <f>_xll.qlYieldTSDiscount($U$35,Y13669,,Trigger)</f>
        <v>0.49282102314269821</v>
      </c>
    </row>
    <row r="13670" spans="25:26" x14ac:dyDescent="0.25">
      <c r="Y13670" s="63">
        <v>56203</v>
      </c>
      <c r="Z13670" s="61">
        <f>_xll.qlYieldTSDiscount($U$35,Y13670,,Trigger)</f>
        <v>0.49278908649121278</v>
      </c>
    </row>
    <row r="13671" spans="25:26" x14ac:dyDescent="0.25">
      <c r="Y13671" s="63">
        <v>56204</v>
      </c>
      <c r="Z13671" s="61">
        <f>_xll.qlYieldTSDiscount($U$35,Y13671,,Trigger)</f>
        <v>0.49275715286856236</v>
      </c>
    </row>
    <row r="13672" spans="25:26" x14ac:dyDescent="0.25">
      <c r="Y13672" s="63">
        <v>56205</v>
      </c>
      <c r="Z13672" s="61">
        <f>_xll.qlYieldTSDiscount($U$35,Y13672,,Trigger)</f>
        <v>0.49272522227438098</v>
      </c>
    </row>
    <row r="13673" spans="25:26" x14ac:dyDescent="0.25">
      <c r="Y13673" s="63">
        <v>56206</v>
      </c>
      <c r="Z13673" s="61">
        <f>_xll.qlYieldTSDiscount($U$35,Y13673,,Trigger)</f>
        <v>0.49269329470830281</v>
      </c>
    </row>
    <row r="13674" spans="25:26" x14ac:dyDescent="0.25">
      <c r="Y13674" s="63">
        <v>56207</v>
      </c>
      <c r="Z13674" s="61">
        <f>_xll.qlYieldTSDiscount($U$35,Y13674,,Trigger)</f>
        <v>0.4926613701699617</v>
      </c>
    </row>
    <row r="13675" spans="25:26" x14ac:dyDescent="0.25">
      <c r="Y13675" s="63">
        <v>56208</v>
      </c>
      <c r="Z13675" s="61">
        <f>_xll.qlYieldTSDiscount($U$35,Y13675,,Trigger)</f>
        <v>0.49262944865899166</v>
      </c>
    </row>
    <row r="13676" spans="25:26" x14ac:dyDescent="0.25">
      <c r="Y13676" s="63">
        <v>56209</v>
      </c>
      <c r="Z13676" s="61">
        <f>_xll.qlYieldTSDiscount($U$35,Y13676,,Trigger)</f>
        <v>0.49259753017502694</v>
      </c>
    </row>
    <row r="13677" spans="25:26" x14ac:dyDescent="0.25">
      <c r="Y13677" s="63">
        <v>56210</v>
      </c>
      <c r="Z13677" s="61">
        <f>_xll.qlYieldTSDiscount($U$35,Y13677,,Trigger)</f>
        <v>0.49256561471770127</v>
      </c>
    </row>
    <row r="13678" spans="25:26" x14ac:dyDescent="0.25">
      <c r="Y13678" s="63">
        <v>56211</v>
      </c>
      <c r="Z13678" s="61">
        <f>_xll.qlYieldTSDiscount($U$35,Y13678,,Trigger)</f>
        <v>0.49253370228664878</v>
      </c>
    </row>
    <row r="13679" spans="25:26" x14ac:dyDescent="0.25">
      <c r="Y13679" s="63">
        <v>56212</v>
      </c>
      <c r="Z13679" s="61">
        <f>_xll.qlYieldTSDiscount($U$35,Y13679,,Trigger)</f>
        <v>0.49250179288150364</v>
      </c>
    </row>
    <row r="13680" spans="25:26" x14ac:dyDescent="0.25">
      <c r="Y13680" s="63">
        <v>56213</v>
      </c>
      <c r="Z13680" s="61">
        <f>_xll.qlYieldTSDiscount($U$35,Y13680,,Trigger)</f>
        <v>0.49246988650189966</v>
      </c>
    </row>
    <row r="13681" spans="25:26" x14ac:dyDescent="0.25">
      <c r="Y13681" s="63">
        <v>56214</v>
      </c>
      <c r="Z13681" s="61">
        <f>_xll.qlYieldTSDiscount($U$35,Y13681,,Trigger)</f>
        <v>0.49243798314747095</v>
      </c>
    </row>
    <row r="13682" spans="25:26" x14ac:dyDescent="0.25">
      <c r="Y13682" s="63">
        <v>56215</v>
      </c>
      <c r="Z13682" s="61">
        <f>_xll.qlYieldTSDiscount($U$35,Y13682,,Trigger)</f>
        <v>0.49240608281785159</v>
      </c>
    </row>
    <row r="13683" spans="25:26" x14ac:dyDescent="0.25">
      <c r="Y13683" s="63">
        <v>56216</v>
      </c>
      <c r="Z13683" s="61">
        <f>_xll.qlYieldTSDiscount($U$35,Y13683,,Trigger)</f>
        <v>0.49237418551267542</v>
      </c>
    </row>
    <row r="13684" spans="25:26" x14ac:dyDescent="0.25">
      <c r="Y13684" s="63">
        <v>56217</v>
      </c>
      <c r="Z13684" s="61">
        <f>_xll.qlYieldTSDiscount($U$35,Y13684,,Trigger)</f>
        <v>0.49234229123157663</v>
      </c>
    </row>
    <row r="13685" spans="25:26" x14ac:dyDescent="0.25">
      <c r="Y13685" s="63">
        <v>56218</v>
      </c>
      <c r="Z13685" s="61">
        <f>_xll.qlYieldTSDiscount($U$35,Y13685,,Trigger)</f>
        <v>0.49231039997418929</v>
      </c>
    </row>
    <row r="13686" spans="25:26" x14ac:dyDescent="0.25">
      <c r="Y13686" s="63">
        <v>56219</v>
      </c>
      <c r="Z13686" s="61">
        <f>_xll.qlYieldTSDiscount($U$35,Y13686,,Trigger)</f>
        <v>0.49227851174014725</v>
      </c>
    </row>
    <row r="13687" spans="25:26" x14ac:dyDescent="0.25">
      <c r="Y13687" s="63">
        <v>56220</v>
      </c>
      <c r="Z13687" s="61">
        <f>_xll.qlYieldTSDiscount($U$35,Y13687,,Trigger)</f>
        <v>0.49224662652908457</v>
      </c>
    </row>
    <row r="13688" spans="25:26" x14ac:dyDescent="0.25">
      <c r="Y13688" s="63">
        <v>56221</v>
      </c>
      <c r="Z13688" s="61">
        <f>_xll.qlYieldTSDiscount($U$35,Y13688,,Trigger)</f>
        <v>0.49221474434063534</v>
      </c>
    </row>
    <row r="13689" spans="25:26" x14ac:dyDescent="0.25">
      <c r="Y13689" s="63">
        <v>56222</v>
      </c>
      <c r="Z13689" s="61">
        <f>_xll.qlYieldTSDiscount($U$35,Y13689,,Trigger)</f>
        <v>0.49218286517443366</v>
      </c>
    </row>
    <row r="13690" spans="25:26" x14ac:dyDescent="0.25">
      <c r="Y13690" s="63">
        <v>56223</v>
      </c>
      <c r="Z13690" s="61">
        <f>_xll.qlYieldTSDiscount($U$35,Y13690,,Trigger)</f>
        <v>0.49215098903011328</v>
      </c>
    </row>
    <row r="13691" spans="25:26" x14ac:dyDescent="0.25">
      <c r="Y13691" s="63">
        <v>56224</v>
      </c>
      <c r="Z13691" s="61">
        <f>_xll.qlYieldTSDiscount($U$35,Y13691,,Trigger)</f>
        <v>0.49211911590730845</v>
      </c>
    </row>
    <row r="13692" spans="25:26" x14ac:dyDescent="0.25">
      <c r="Y13692" s="63">
        <v>56225</v>
      </c>
      <c r="Z13692" s="61">
        <f>_xll.qlYieldTSDiscount($U$35,Y13692,,Trigger)</f>
        <v>0.49208724580565322</v>
      </c>
    </row>
    <row r="13693" spans="25:26" x14ac:dyDescent="0.25">
      <c r="Y13693" s="63">
        <v>56226</v>
      </c>
      <c r="Z13693" s="61">
        <f>_xll.qlYieldTSDiscount($U$35,Y13693,,Trigger)</f>
        <v>0.49205537872478139</v>
      </c>
    </row>
    <row r="13694" spans="25:26" x14ac:dyDescent="0.25">
      <c r="Y13694" s="63">
        <v>56227</v>
      </c>
      <c r="Z13694" s="61">
        <f>_xll.qlYieldTSDiscount($U$35,Y13694,,Trigger)</f>
        <v>0.49202351466432714</v>
      </c>
    </row>
    <row r="13695" spans="25:26" x14ac:dyDescent="0.25">
      <c r="Y13695" s="63">
        <v>56228</v>
      </c>
      <c r="Z13695" s="61">
        <f>_xll.qlYieldTSDiscount($U$35,Y13695,,Trigger)</f>
        <v>0.49199165362392455</v>
      </c>
    </row>
    <row r="13696" spans="25:26" x14ac:dyDescent="0.25">
      <c r="Y13696" s="63">
        <v>56229</v>
      </c>
      <c r="Z13696" s="61">
        <f>_xll.qlYieldTSDiscount($U$35,Y13696,,Trigger)</f>
        <v>0.49195979560320746</v>
      </c>
    </row>
    <row r="13697" spans="25:26" x14ac:dyDescent="0.25">
      <c r="Y13697" s="63">
        <v>56230</v>
      </c>
      <c r="Z13697" s="61">
        <f>_xll.qlYieldTSDiscount($U$35,Y13697,,Trigger)</f>
        <v>0.49192794060181</v>
      </c>
    </row>
    <row r="13698" spans="25:26" x14ac:dyDescent="0.25">
      <c r="Y13698" s="63">
        <v>56231</v>
      </c>
      <c r="Z13698" s="61">
        <f>_xll.qlYieldTSDiscount($U$35,Y13698,,Trigger)</f>
        <v>0.49189608861936618</v>
      </c>
    </row>
    <row r="13699" spans="25:26" x14ac:dyDescent="0.25">
      <c r="Y13699" s="63">
        <v>56232</v>
      </c>
      <c r="Z13699" s="61">
        <f>_xll.qlYieldTSDiscount($U$35,Y13699,,Trigger)</f>
        <v>0.49186423965551007</v>
      </c>
    </row>
    <row r="13700" spans="25:26" x14ac:dyDescent="0.25">
      <c r="Y13700" s="63">
        <v>56233</v>
      </c>
      <c r="Z13700" s="61">
        <f>_xll.qlYieldTSDiscount($U$35,Y13700,,Trigger)</f>
        <v>0.49183239370987558</v>
      </c>
    </row>
    <row r="13701" spans="25:26" x14ac:dyDescent="0.25">
      <c r="Y13701" s="63">
        <v>56234</v>
      </c>
      <c r="Z13701" s="61">
        <f>_xll.qlYieldTSDiscount($U$35,Y13701,,Trigger)</f>
        <v>0.49180055078209683</v>
      </c>
    </row>
    <row r="13702" spans="25:26" x14ac:dyDescent="0.25">
      <c r="Y13702" s="63">
        <v>56235</v>
      </c>
      <c r="Z13702" s="61">
        <f>_xll.qlYieldTSDiscount($U$35,Y13702,,Trigger)</f>
        <v>0.49176871087180779</v>
      </c>
    </row>
    <row r="13703" spans="25:26" x14ac:dyDescent="0.25">
      <c r="Y13703" s="63">
        <v>56236</v>
      </c>
      <c r="Z13703" s="61">
        <f>_xll.qlYieldTSDiscount($U$35,Y13703,,Trigger)</f>
        <v>0.49173687397864252</v>
      </c>
    </row>
    <row r="13704" spans="25:26" x14ac:dyDescent="0.25">
      <c r="Y13704" s="63">
        <v>56237</v>
      </c>
      <c r="Z13704" s="61">
        <f>_xll.qlYieldTSDiscount($U$35,Y13704,,Trigger)</f>
        <v>0.49170504010223498</v>
      </c>
    </row>
    <row r="13705" spans="25:26" x14ac:dyDescent="0.25">
      <c r="Y13705" s="63">
        <v>56238</v>
      </c>
      <c r="Z13705" s="61">
        <f>_xll.qlYieldTSDiscount($U$35,Y13705,,Trigger)</f>
        <v>0.4916732092422193</v>
      </c>
    </row>
    <row r="13706" spans="25:26" x14ac:dyDescent="0.25">
      <c r="Y13706" s="63">
        <v>56239</v>
      </c>
      <c r="Z13706" s="61">
        <f>_xll.qlYieldTSDiscount($U$35,Y13706,,Trigger)</f>
        <v>0.49164138139822938</v>
      </c>
    </row>
    <row r="13707" spans="25:26" x14ac:dyDescent="0.25">
      <c r="Y13707" s="63">
        <v>56240</v>
      </c>
      <c r="Z13707" s="61">
        <f>_xll.qlYieldTSDiscount($U$35,Y13707,,Trigger)</f>
        <v>0.4916095565698993</v>
      </c>
    </row>
    <row r="13708" spans="25:26" x14ac:dyDescent="0.25">
      <c r="Y13708" s="63">
        <v>56241</v>
      </c>
      <c r="Z13708" s="61">
        <f>_xll.qlYieldTSDiscount($U$35,Y13708,,Trigger)</f>
        <v>0.49157773475686312</v>
      </c>
    </row>
    <row r="13709" spans="25:26" x14ac:dyDescent="0.25">
      <c r="Y13709" s="63">
        <v>56242</v>
      </c>
      <c r="Z13709" s="61">
        <f>_xll.qlYieldTSDiscount($U$35,Y13709,,Trigger)</f>
        <v>0.49154591595875474</v>
      </c>
    </row>
    <row r="13710" spans="25:26" x14ac:dyDescent="0.25">
      <c r="Y13710" s="63">
        <v>56243</v>
      </c>
      <c r="Z13710" s="61">
        <f>_xll.qlYieldTSDiscount($U$35,Y13710,,Trigger)</f>
        <v>0.4915141001752083</v>
      </c>
    </row>
    <row r="13711" spans="25:26" x14ac:dyDescent="0.25">
      <c r="Y13711" s="63">
        <v>56244</v>
      </c>
      <c r="Z13711" s="61">
        <f>_xll.qlYieldTSDiscount($U$35,Y13711,,Trigger)</f>
        <v>0.49148228740585787</v>
      </c>
    </row>
    <row r="13712" spans="25:26" x14ac:dyDescent="0.25">
      <c r="Y13712" s="63">
        <v>56245</v>
      </c>
      <c r="Z13712" s="61">
        <f>_xll.qlYieldTSDiscount($U$35,Y13712,,Trigger)</f>
        <v>0.49145047765033728</v>
      </c>
    </row>
    <row r="13713" spans="25:26" x14ac:dyDescent="0.25">
      <c r="Y13713" s="63">
        <v>56246</v>
      </c>
      <c r="Z13713" s="61">
        <f>_xll.qlYieldTSDiscount($U$35,Y13713,,Trigger)</f>
        <v>0.49141867090828067</v>
      </c>
    </row>
    <row r="13714" spans="25:26" x14ac:dyDescent="0.25">
      <c r="Y13714" s="63">
        <v>56247</v>
      </c>
      <c r="Z13714" s="61">
        <f>_xll.qlYieldTSDiscount($U$35,Y13714,,Trigger)</f>
        <v>0.49138686717932212</v>
      </c>
    </row>
    <row r="13715" spans="25:26" x14ac:dyDescent="0.25">
      <c r="Y13715" s="63">
        <v>56248</v>
      </c>
      <c r="Z13715" s="61">
        <f>_xll.qlYieldTSDiscount($U$35,Y13715,,Trigger)</f>
        <v>0.49135506646309546</v>
      </c>
    </row>
    <row r="13716" spans="25:26" x14ac:dyDescent="0.25">
      <c r="Y13716" s="63">
        <v>56249</v>
      </c>
      <c r="Z13716" s="61">
        <f>_xll.qlYieldTSDiscount($U$35,Y13716,,Trigger)</f>
        <v>0.49132326875923493</v>
      </c>
    </row>
    <row r="13717" spans="25:26" x14ac:dyDescent="0.25">
      <c r="Y13717" s="63">
        <v>56250</v>
      </c>
      <c r="Z13717" s="61">
        <f>_xll.qlYieldTSDiscount($U$35,Y13717,,Trigger)</f>
        <v>0.49129147406737439</v>
      </c>
    </row>
    <row r="13718" spans="25:26" x14ac:dyDescent="0.25">
      <c r="Y13718" s="63">
        <v>56251</v>
      </c>
      <c r="Z13718" s="61">
        <f>_xll.qlYieldTSDiscount($U$35,Y13718,,Trigger)</f>
        <v>0.49125968238714801</v>
      </c>
    </row>
    <row r="13719" spans="25:26" x14ac:dyDescent="0.25">
      <c r="Y13719" s="63">
        <v>56252</v>
      </c>
      <c r="Z13719" s="61">
        <f>_xll.qlYieldTSDiscount($U$35,Y13719,,Trigger)</f>
        <v>0.49122789371818965</v>
      </c>
    </row>
    <row r="13720" spans="25:26" x14ac:dyDescent="0.25">
      <c r="Y13720" s="63">
        <v>56253</v>
      </c>
      <c r="Z13720" s="61">
        <f>_xll.qlYieldTSDiscount($U$35,Y13720,,Trigger)</f>
        <v>0.49119610806013342</v>
      </c>
    </row>
    <row r="13721" spans="25:26" x14ac:dyDescent="0.25">
      <c r="Y13721" s="63">
        <v>56254</v>
      </c>
      <c r="Z13721" s="61">
        <f>_xll.qlYieldTSDiscount($U$35,Y13721,,Trigger)</f>
        <v>0.4911643254126134</v>
      </c>
    </row>
    <row r="13722" spans="25:26" x14ac:dyDescent="0.25">
      <c r="Y13722" s="63">
        <v>56255</v>
      </c>
      <c r="Z13722" s="61">
        <f>_xll.qlYieldTSDiscount($U$35,Y13722,,Trigger)</f>
        <v>0.49113254577526344</v>
      </c>
    </row>
    <row r="13723" spans="25:26" x14ac:dyDescent="0.25">
      <c r="Y13723" s="63">
        <v>56256</v>
      </c>
      <c r="Z13723" s="61">
        <f>_xll.qlYieldTSDiscount($U$35,Y13723,,Trigger)</f>
        <v>0.49110076914771772</v>
      </c>
    </row>
    <row r="13724" spans="25:26" x14ac:dyDescent="0.25">
      <c r="Y13724" s="63">
        <v>56257</v>
      </c>
      <c r="Z13724" s="61">
        <f>_xll.qlYieldTSDiscount($U$35,Y13724,,Trigger)</f>
        <v>0.49106899552961025</v>
      </c>
    </row>
    <row r="13725" spans="25:26" x14ac:dyDescent="0.25">
      <c r="Y13725" s="63">
        <v>56258</v>
      </c>
      <c r="Z13725" s="61">
        <f>_xll.qlYieldTSDiscount($U$35,Y13725,,Trigger)</f>
        <v>0.491037224920575</v>
      </c>
    </row>
    <row r="13726" spans="25:26" x14ac:dyDescent="0.25">
      <c r="Y13726" s="63">
        <v>56259</v>
      </c>
      <c r="Z13726" s="61">
        <f>_xll.qlYieldTSDiscount($U$35,Y13726,,Trigger)</f>
        <v>0.49100545732024592</v>
      </c>
    </row>
    <row r="13727" spans="25:26" x14ac:dyDescent="0.25">
      <c r="Y13727" s="63">
        <v>56260</v>
      </c>
      <c r="Z13727" s="61">
        <f>_xll.qlYieldTSDiscount($U$35,Y13727,,Trigger)</f>
        <v>0.49097369272825719</v>
      </c>
    </row>
    <row r="13728" spans="25:26" x14ac:dyDescent="0.25">
      <c r="Y13728" s="63">
        <v>56261</v>
      </c>
      <c r="Z13728" s="61">
        <f>_xll.qlYieldTSDiscount($U$35,Y13728,,Trigger)</f>
        <v>0.49094193114424273</v>
      </c>
    </row>
    <row r="13729" spans="25:26" x14ac:dyDescent="0.25">
      <c r="Y13729" s="63">
        <v>56262</v>
      </c>
      <c r="Z13729" s="61">
        <f>_xll.qlYieldTSDiscount($U$35,Y13729,,Trigger)</f>
        <v>0.49091017256783653</v>
      </c>
    </row>
    <row r="13730" spans="25:26" x14ac:dyDescent="0.25">
      <c r="Y13730" s="63">
        <v>56263</v>
      </c>
      <c r="Z13730" s="61">
        <f>_xll.qlYieldTSDiscount($U$35,Y13730,,Trigger)</f>
        <v>0.49087841699867285</v>
      </c>
    </row>
    <row r="13731" spans="25:26" x14ac:dyDescent="0.25">
      <c r="Y13731" s="63">
        <v>56264</v>
      </c>
      <c r="Z13731" s="61">
        <f>_xll.qlYieldTSDiscount($U$35,Y13731,,Trigger)</f>
        <v>0.49084666443638536</v>
      </c>
    </row>
    <row r="13732" spans="25:26" x14ac:dyDescent="0.25">
      <c r="Y13732" s="63">
        <v>56265</v>
      </c>
      <c r="Z13732" s="61">
        <f>_xll.qlYieldTSDiscount($U$35,Y13732,,Trigger)</f>
        <v>0.49081491488060824</v>
      </c>
    </row>
    <row r="13733" spans="25:26" x14ac:dyDescent="0.25">
      <c r="Y13733" s="63">
        <v>56266</v>
      </c>
      <c r="Z13733" s="61">
        <f>_xll.qlYieldTSDiscount($U$35,Y13733,,Trigger)</f>
        <v>0.49078316833097557</v>
      </c>
    </row>
    <row r="13734" spans="25:26" x14ac:dyDescent="0.25">
      <c r="Y13734" s="63">
        <v>56267</v>
      </c>
      <c r="Z13734" s="61">
        <f>_xll.qlYieldTSDiscount($U$35,Y13734,,Trigger)</f>
        <v>0.49075142478712142</v>
      </c>
    </row>
    <row r="13735" spans="25:26" x14ac:dyDescent="0.25">
      <c r="Y13735" s="63">
        <v>56268</v>
      </c>
      <c r="Z13735" s="61">
        <f>_xll.qlYieldTSDiscount($U$35,Y13735,,Trigger)</f>
        <v>0.49071968424867962</v>
      </c>
    </row>
    <row r="13736" spans="25:26" x14ac:dyDescent="0.25">
      <c r="Y13736" s="63">
        <v>56269</v>
      </c>
      <c r="Z13736" s="61">
        <f>_xll.qlYieldTSDiscount($U$35,Y13736,,Trigger)</f>
        <v>0.49068794671528426</v>
      </c>
    </row>
    <row r="13737" spans="25:26" x14ac:dyDescent="0.25">
      <c r="Y13737" s="63">
        <v>56270</v>
      </c>
      <c r="Z13737" s="61">
        <f>_xll.qlYieldTSDiscount($U$35,Y13737,,Trigger)</f>
        <v>0.49065621218656952</v>
      </c>
    </row>
    <row r="13738" spans="25:26" x14ac:dyDescent="0.25">
      <c r="Y13738" s="63">
        <v>56271</v>
      </c>
      <c r="Z13738" s="61">
        <f>_xll.qlYieldTSDiscount($U$35,Y13738,,Trigger)</f>
        <v>0.49062448066216913</v>
      </c>
    </row>
    <row r="13739" spans="25:26" x14ac:dyDescent="0.25">
      <c r="Y13739" s="63">
        <v>56272</v>
      </c>
      <c r="Z13739" s="61">
        <f>_xll.qlYieldTSDiscount($U$35,Y13739,,Trigger)</f>
        <v>0.49059275214171738</v>
      </c>
    </row>
    <row r="13740" spans="25:26" x14ac:dyDescent="0.25">
      <c r="Y13740" s="63">
        <v>56273</v>
      </c>
      <c r="Z13740" s="61">
        <f>_xll.qlYieldTSDiscount($U$35,Y13740,,Trigger)</f>
        <v>0.49056102662484818</v>
      </c>
    </row>
    <row r="13741" spans="25:26" x14ac:dyDescent="0.25">
      <c r="Y13741" s="63">
        <v>56274</v>
      </c>
      <c r="Z13741" s="61">
        <f>_xll.qlYieldTSDiscount($U$35,Y13741,,Trigger)</f>
        <v>0.49052930411119555</v>
      </c>
    </row>
    <row r="13742" spans="25:26" x14ac:dyDescent="0.25">
      <c r="Y13742" s="63">
        <v>56275</v>
      </c>
      <c r="Z13742" s="61">
        <f>_xll.qlYieldTSDiscount($U$35,Y13742,,Trigger)</f>
        <v>0.4904975846003935</v>
      </c>
    </row>
    <row r="13743" spans="25:26" x14ac:dyDescent="0.25">
      <c r="Y13743" s="63">
        <v>56276</v>
      </c>
      <c r="Z13743" s="61">
        <f>_xll.qlYieldTSDiscount($U$35,Y13743,,Trigger)</f>
        <v>0.49046586809207615</v>
      </c>
    </row>
    <row r="13744" spans="25:26" x14ac:dyDescent="0.25">
      <c r="Y13744" s="63">
        <v>56277</v>
      </c>
      <c r="Z13744" s="61">
        <f>_xll.qlYieldTSDiscount($U$35,Y13744,,Trigger)</f>
        <v>0.49043415458587736</v>
      </c>
    </row>
    <row r="13745" spans="25:26" x14ac:dyDescent="0.25">
      <c r="Y13745" s="63">
        <v>56278</v>
      </c>
      <c r="Z13745" s="61">
        <f>_xll.qlYieldTSDiscount($U$35,Y13745,,Trigger)</f>
        <v>0.49040244408143124</v>
      </c>
    </row>
    <row r="13746" spans="25:26" x14ac:dyDescent="0.25">
      <c r="Y13746" s="63">
        <v>56279</v>
      </c>
      <c r="Z13746" s="61">
        <f>_xll.qlYieldTSDiscount($U$35,Y13746,,Trigger)</f>
        <v>0.49037073657837188</v>
      </c>
    </row>
    <row r="13747" spans="25:26" x14ac:dyDescent="0.25">
      <c r="Y13747" s="63">
        <v>56280</v>
      </c>
      <c r="Z13747" s="61">
        <f>_xll.qlYieldTSDiscount($U$35,Y13747,,Trigger)</f>
        <v>0.49033903207633311</v>
      </c>
    </row>
    <row r="13748" spans="25:26" x14ac:dyDescent="0.25">
      <c r="Y13748" s="63">
        <v>56281</v>
      </c>
      <c r="Z13748" s="61">
        <f>_xll.qlYieldTSDiscount($U$35,Y13748,,Trigger)</f>
        <v>0.49030733057494913</v>
      </c>
    </row>
    <row r="13749" spans="25:26" x14ac:dyDescent="0.25">
      <c r="Y13749" s="63">
        <v>56282</v>
      </c>
      <c r="Z13749" s="61">
        <f>_xll.qlYieldTSDiscount($U$35,Y13749,,Trigger)</f>
        <v>0.49027563207385394</v>
      </c>
    </row>
    <row r="13750" spans="25:26" x14ac:dyDescent="0.25">
      <c r="Y13750" s="63">
        <v>56283</v>
      </c>
      <c r="Z13750" s="61">
        <f>_xll.qlYieldTSDiscount($U$35,Y13750,,Trigger)</f>
        <v>0.49024393657268156</v>
      </c>
    </row>
    <row r="13751" spans="25:26" x14ac:dyDescent="0.25">
      <c r="Y13751" s="63">
        <v>56284</v>
      </c>
      <c r="Z13751" s="61">
        <f>_xll.qlYieldTSDiscount($U$35,Y13751,,Trigger)</f>
        <v>0.49021224407106589</v>
      </c>
    </row>
    <row r="13752" spans="25:26" x14ac:dyDescent="0.25">
      <c r="Y13752" s="63">
        <v>56285</v>
      </c>
      <c r="Z13752" s="61">
        <f>_xll.qlYieldTSDiscount($U$35,Y13752,,Trigger)</f>
        <v>0.49018055456864107</v>
      </c>
    </row>
    <row r="13753" spans="25:26" x14ac:dyDescent="0.25">
      <c r="Y13753" s="63">
        <v>56286</v>
      </c>
      <c r="Z13753" s="61">
        <f>_xll.qlYieldTSDiscount($U$35,Y13753,,Trigger)</f>
        <v>0.4901488680650411</v>
      </c>
    </row>
    <row r="13754" spans="25:26" x14ac:dyDescent="0.25">
      <c r="Y13754" s="63">
        <v>56287</v>
      </c>
      <c r="Z13754" s="61">
        <f>_xll.qlYieldTSDiscount($U$35,Y13754,,Trigger)</f>
        <v>0.49011718455989994</v>
      </c>
    </row>
    <row r="13755" spans="25:26" x14ac:dyDescent="0.25">
      <c r="Y13755" s="63">
        <v>56288</v>
      </c>
      <c r="Z13755" s="61">
        <f>_xll.qlYieldTSDiscount($U$35,Y13755,,Trigger)</f>
        <v>0.49008550405285173</v>
      </c>
    </row>
    <row r="13756" spans="25:26" x14ac:dyDescent="0.25">
      <c r="Y13756" s="63">
        <v>56289</v>
      </c>
      <c r="Z13756" s="61">
        <f>_xll.qlYieldTSDiscount($U$35,Y13756,,Trigger)</f>
        <v>0.49005382654353047</v>
      </c>
    </row>
    <row r="13757" spans="25:26" x14ac:dyDescent="0.25">
      <c r="Y13757" s="63">
        <v>56290</v>
      </c>
      <c r="Z13757" s="61">
        <f>_xll.qlYieldTSDiscount($U$35,Y13757,,Trigger)</f>
        <v>0.49002215203157007</v>
      </c>
    </row>
    <row r="13758" spans="25:26" x14ac:dyDescent="0.25">
      <c r="Y13758" s="63">
        <v>56291</v>
      </c>
      <c r="Z13758" s="61">
        <f>_xll.qlYieldTSDiscount($U$35,Y13758,,Trigger)</f>
        <v>0.4899904805166046</v>
      </c>
    </row>
    <row r="13759" spans="25:26" x14ac:dyDescent="0.25">
      <c r="Y13759" s="63">
        <v>56292</v>
      </c>
      <c r="Z13759" s="61">
        <f>_xll.qlYieldTSDiscount($U$35,Y13759,,Trigger)</f>
        <v>0.48995881199826818</v>
      </c>
    </row>
    <row r="13760" spans="25:26" x14ac:dyDescent="0.25">
      <c r="Y13760" s="63">
        <v>56293</v>
      </c>
      <c r="Z13760" s="61">
        <f>_xll.qlYieldTSDiscount($U$35,Y13760,,Trigger)</f>
        <v>0.48992714647619467</v>
      </c>
    </row>
    <row r="13761" spans="25:26" x14ac:dyDescent="0.25">
      <c r="Y13761" s="63">
        <v>56294</v>
      </c>
      <c r="Z13761" s="61">
        <f>_xll.qlYieldTSDiscount($U$35,Y13761,,Trigger)</f>
        <v>0.4898954839500182</v>
      </c>
    </row>
    <row r="13762" spans="25:26" x14ac:dyDescent="0.25">
      <c r="Y13762" s="63">
        <v>56295</v>
      </c>
      <c r="Z13762" s="61">
        <f>_xll.qlYieldTSDiscount($U$35,Y13762,,Trigger)</f>
        <v>0.48986382441937276</v>
      </c>
    </row>
    <row r="13763" spans="25:26" x14ac:dyDescent="0.25">
      <c r="Y13763" s="63">
        <v>56296</v>
      </c>
      <c r="Z13763" s="61">
        <f>_xll.qlYieldTSDiscount($U$35,Y13763,,Trigger)</f>
        <v>0.4898321678838925</v>
      </c>
    </row>
    <row r="13764" spans="25:26" x14ac:dyDescent="0.25">
      <c r="Y13764" s="63">
        <v>56297</v>
      </c>
      <c r="Z13764" s="61">
        <f>_xll.qlYieldTSDiscount($U$35,Y13764,,Trigger)</f>
        <v>0.48980051434321115</v>
      </c>
    </row>
    <row r="13765" spans="25:26" x14ac:dyDescent="0.25">
      <c r="Y13765" s="63">
        <v>56298</v>
      </c>
      <c r="Z13765" s="61">
        <f>_xll.qlYieldTSDiscount($U$35,Y13765,,Trigger)</f>
        <v>0.48976886379696299</v>
      </c>
    </row>
    <row r="13766" spans="25:26" x14ac:dyDescent="0.25">
      <c r="Y13766" s="63">
        <v>56299</v>
      </c>
      <c r="Z13766" s="61">
        <f>_xll.qlYieldTSDiscount($U$35,Y13766,,Trigger)</f>
        <v>0.489737216244782</v>
      </c>
    </row>
    <row r="13767" spans="25:26" x14ac:dyDescent="0.25">
      <c r="Y13767" s="63">
        <v>56300</v>
      </c>
      <c r="Z13767" s="61">
        <f>_xll.qlYieldTSDiscount($U$35,Y13767,,Trigger)</f>
        <v>0.48970557168630208</v>
      </c>
    </row>
    <row r="13768" spans="25:26" x14ac:dyDescent="0.25">
      <c r="Y13768" s="63">
        <v>56301</v>
      </c>
      <c r="Z13768" s="61">
        <f>_xll.qlYieldTSDiscount($U$35,Y13768,,Trigger)</f>
        <v>0.48967393012115734</v>
      </c>
    </row>
    <row r="13769" spans="25:26" x14ac:dyDescent="0.25">
      <c r="Y13769" s="63">
        <v>56302</v>
      </c>
      <c r="Z13769" s="61">
        <f>_xll.qlYieldTSDiscount($U$35,Y13769,,Trigger)</f>
        <v>0.48964229154898187</v>
      </c>
    </row>
    <row r="13770" spans="25:26" x14ac:dyDescent="0.25">
      <c r="Y13770" s="63">
        <v>56303</v>
      </c>
      <c r="Z13770" s="61">
        <f>_xll.qlYieldTSDiscount($U$35,Y13770,,Trigger)</f>
        <v>0.4896106559694095</v>
      </c>
    </row>
    <row r="13771" spans="25:26" x14ac:dyDescent="0.25">
      <c r="Y13771" s="63">
        <v>56304</v>
      </c>
      <c r="Z13771" s="61">
        <f>_xll.qlYieldTSDiscount($U$35,Y13771,,Trigger)</f>
        <v>0.48957902338207437</v>
      </c>
    </row>
    <row r="13772" spans="25:26" x14ac:dyDescent="0.25">
      <c r="Y13772" s="63">
        <v>56305</v>
      </c>
      <c r="Z13772" s="61">
        <f>_xll.qlYieldTSDiscount($U$35,Y13772,,Trigger)</f>
        <v>0.48954739378661061</v>
      </c>
    </row>
    <row r="13773" spans="25:26" x14ac:dyDescent="0.25">
      <c r="Y13773" s="63">
        <v>56306</v>
      </c>
      <c r="Z13773" s="61">
        <f>_xll.qlYieldTSDiscount($U$35,Y13773,,Trigger)</f>
        <v>0.48951576718265205</v>
      </c>
    </row>
    <row r="13774" spans="25:26" x14ac:dyDescent="0.25">
      <c r="Y13774" s="63">
        <v>56307</v>
      </c>
      <c r="Z13774" s="61">
        <f>_xll.qlYieldTSDiscount($U$35,Y13774,,Trigger)</f>
        <v>0.48948414356983277</v>
      </c>
    </row>
    <row r="13775" spans="25:26" x14ac:dyDescent="0.25">
      <c r="Y13775" s="63">
        <v>56308</v>
      </c>
      <c r="Z13775" s="61">
        <f>_xll.qlYieldTSDiscount($U$35,Y13775,,Trigger)</f>
        <v>0.48945252294778691</v>
      </c>
    </row>
    <row r="13776" spans="25:26" x14ac:dyDescent="0.25">
      <c r="Y13776" s="63">
        <v>56309</v>
      </c>
      <c r="Z13776" s="61">
        <f>_xll.qlYieldTSDiscount($U$35,Y13776,,Trigger)</f>
        <v>0.48942090531614829</v>
      </c>
    </row>
    <row r="13777" spans="25:26" x14ac:dyDescent="0.25">
      <c r="Y13777" s="63">
        <v>56310</v>
      </c>
      <c r="Z13777" s="61">
        <f>_xll.qlYieldTSDiscount($U$35,Y13777,,Trigger)</f>
        <v>0.48938929067455106</v>
      </c>
    </row>
    <row r="13778" spans="25:26" x14ac:dyDescent="0.25">
      <c r="Y13778" s="63">
        <v>56311</v>
      </c>
      <c r="Z13778" s="61">
        <f>_xll.qlYieldTSDiscount($U$35,Y13778,,Trigger)</f>
        <v>0.48935767902262922</v>
      </c>
    </row>
    <row r="13779" spans="25:26" x14ac:dyDescent="0.25">
      <c r="Y13779" s="63">
        <v>56312</v>
      </c>
      <c r="Z13779" s="61">
        <f>_xll.qlYieldTSDiscount($U$35,Y13779,,Trigger)</f>
        <v>0.48932607036001685</v>
      </c>
    </row>
    <row r="13780" spans="25:26" x14ac:dyDescent="0.25">
      <c r="Y13780" s="63">
        <v>56313</v>
      </c>
      <c r="Z13780" s="61">
        <f>_xll.qlYieldTSDiscount($U$35,Y13780,,Trigger)</f>
        <v>0.48929446468634785</v>
      </c>
    </row>
    <row r="13781" spans="25:26" x14ac:dyDescent="0.25">
      <c r="Y13781" s="63">
        <v>56314</v>
      </c>
      <c r="Z13781" s="61">
        <f>_xll.qlYieldTSDiscount($U$35,Y13781,,Trigger)</f>
        <v>0.48926286200125629</v>
      </c>
    </row>
    <row r="13782" spans="25:26" x14ac:dyDescent="0.25">
      <c r="Y13782" s="63">
        <v>56315</v>
      </c>
      <c r="Z13782" s="61">
        <f>_xll.qlYieldTSDiscount($U$35,Y13782,,Trigger)</f>
        <v>0.4892312623043763</v>
      </c>
    </row>
    <row r="13783" spans="25:26" x14ac:dyDescent="0.25">
      <c r="Y13783" s="63">
        <v>56316</v>
      </c>
      <c r="Z13783" s="61">
        <f>_xll.qlYieldTSDiscount($U$35,Y13783,,Trigger)</f>
        <v>0.48919966559534173</v>
      </c>
    </row>
    <row r="13784" spans="25:26" x14ac:dyDescent="0.25">
      <c r="Y13784" s="63">
        <v>56317</v>
      </c>
      <c r="Z13784" s="61">
        <f>_xll.qlYieldTSDiscount($U$35,Y13784,,Trigger)</f>
        <v>0.48916807187378664</v>
      </c>
    </row>
    <row r="13785" spans="25:26" x14ac:dyDescent="0.25">
      <c r="Y13785" s="63">
        <v>56318</v>
      </c>
      <c r="Z13785" s="61">
        <f>_xll.qlYieldTSDiscount($U$35,Y13785,,Trigger)</f>
        <v>0.48913648113934521</v>
      </c>
    </row>
    <row r="13786" spans="25:26" x14ac:dyDescent="0.25">
      <c r="Y13786" s="63">
        <v>56319</v>
      </c>
      <c r="Z13786" s="61">
        <f>_xll.qlYieldTSDiscount($U$35,Y13786,,Trigger)</f>
        <v>0.48910489339165131</v>
      </c>
    </row>
    <row r="13787" spans="25:26" x14ac:dyDescent="0.25">
      <c r="Y13787" s="63">
        <v>56320</v>
      </c>
      <c r="Z13787" s="61">
        <f>_xll.qlYieldTSDiscount($U$35,Y13787,,Trigger)</f>
        <v>0.48907330863033893</v>
      </c>
    </row>
    <row r="13788" spans="25:26" x14ac:dyDescent="0.25">
      <c r="Y13788" s="63">
        <v>56321</v>
      </c>
      <c r="Z13788" s="61">
        <f>_xll.qlYieldTSDiscount($U$35,Y13788,,Trigger)</f>
        <v>0.48904172685504221</v>
      </c>
    </row>
    <row r="13789" spans="25:26" x14ac:dyDescent="0.25">
      <c r="Y13789" s="63">
        <v>56322</v>
      </c>
      <c r="Z13789" s="61">
        <f>_xll.qlYieldTSDiscount($U$35,Y13789,,Trigger)</f>
        <v>0.48901014806539511</v>
      </c>
    </row>
    <row r="13790" spans="25:26" x14ac:dyDescent="0.25">
      <c r="Y13790" s="63">
        <v>56323</v>
      </c>
      <c r="Z13790" s="61">
        <f>_xll.qlYieldTSDiscount($U$35,Y13790,,Trigger)</f>
        <v>0.48897857226103159</v>
      </c>
    </row>
    <row r="13791" spans="25:26" x14ac:dyDescent="0.25">
      <c r="Y13791" s="63">
        <v>56324</v>
      </c>
      <c r="Z13791" s="61">
        <f>_xll.qlYieldTSDiscount($U$35,Y13791,,Trigger)</f>
        <v>0.48894699944158587</v>
      </c>
    </row>
    <row r="13792" spans="25:26" x14ac:dyDescent="0.25">
      <c r="Y13792" s="63">
        <v>56325</v>
      </c>
      <c r="Z13792" s="61">
        <f>_xll.qlYieldTSDiscount($U$35,Y13792,,Trigger)</f>
        <v>0.48891542960669176</v>
      </c>
    </row>
    <row r="13793" spans="25:26" x14ac:dyDescent="0.25">
      <c r="Y13793" s="63">
        <v>56326</v>
      </c>
      <c r="Z13793" s="61">
        <f>_xll.qlYieldTSDiscount($U$35,Y13793,,Trigger)</f>
        <v>0.48888386275598339</v>
      </c>
    </row>
    <row r="13794" spans="25:26" x14ac:dyDescent="0.25">
      <c r="Y13794" s="63">
        <v>56327</v>
      </c>
      <c r="Z13794" s="61">
        <f>_xll.qlYieldTSDiscount($U$35,Y13794,,Trigger)</f>
        <v>0.48885229888909471</v>
      </c>
    </row>
    <row r="13795" spans="25:26" x14ac:dyDescent="0.25">
      <c r="Y13795" s="63">
        <v>56328</v>
      </c>
      <c r="Z13795" s="61">
        <f>_xll.qlYieldTSDiscount($U$35,Y13795,,Trigger)</f>
        <v>0.48882073800565989</v>
      </c>
    </row>
    <row r="13796" spans="25:26" x14ac:dyDescent="0.25">
      <c r="Y13796" s="63">
        <v>56329</v>
      </c>
      <c r="Z13796" s="61">
        <f>_xll.qlYieldTSDiscount($U$35,Y13796,,Trigger)</f>
        <v>0.48878918010531275</v>
      </c>
    </row>
    <row r="13797" spans="25:26" x14ac:dyDescent="0.25">
      <c r="Y13797" s="63">
        <v>56330</v>
      </c>
      <c r="Z13797" s="61">
        <f>_xll.qlYieldTSDiscount($U$35,Y13797,,Trigger)</f>
        <v>0.48875762518768745</v>
      </c>
    </row>
    <row r="13798" spans="25:26" x14ac:dyDescent="0.25">
      <c r="Y13798" s="63">
        <v>56331</v>
      </c>
      <c r="Z13798" s="61">
        <f>_xll.qlYieldTSDiscount($U$35,Y13798,,Trigger)</f>
        <v>0.48872607325241801</v>
      </c>
    </row>
    <row r="13799" spans="25:26" x14ac:dyDescent="0.25">
      <c r="Y13799" s="63">
        <v>56332</v>
      </c>
      <c r="Z13799" s="61">
        <f>_xll.qlYieldTSDiscount($U$35,Y13799,,Trigger)</f>
        <v>0.4886945242991384</v>
      </c>
    </row>
    <row r="13800" spans="25:26" x14ac:dyDescent="0.25">
      <c r="Y13800" s="63">
        <v>56333</v>
      </c>
      <c r="Z13800" s="61">
        <f>_xll.qlYieldTSDiscount($U$35,Y13800,,Trigger)</f>
        <v>0.48866297832748262</v>
      </c>
    </row>
    <row r="13801" spans="25:26" x14ac:dyDescent="0.25">
      <c r="Y13801" s="63">
        <v>56334</v>
      </c>
      <c r="Z13801" s="61">
        <f>_xll.qlYieldTSDiscount($U$35,Y13801,,Trigger)</f>
        <v>0.48863143533708481</v>
      </c>
    </row>
    <row r="13802" spans="25:26" x14ac:dyDescent="0.25">
      <c r="Y13802" s="63">
        <v>56335</v>
      </c>
      <c r="Z13802" s="61">
        <f>_xll.qlYieldTSDiscount($U$35,Y13802,,Trigger)</f>
        <v>0.48859989532757886</v>
      </c>
    </row>
    <row r="13803" spans="25:26" x14ac:dyDescent="0.25">
      <c r="Y13803" s="63">
        <v>56336</v>
      </c>
      <c r="Z13803" s="61">
        <f>_xll.qlYieldTSDiscount($U$35,Y13803,,Trigger)</f>
        <v>0.48856835829859879</v>
      </c>
    </row>
    <row r="13804" spans="25:26" x14ac:dyDescent="0.25">
      <c r="Y13804" s="63">
        <v>56337</v>
      </c>
      <c r="Z13804" s="61">
        <f>_xll.qlYieldTSDiscount($U$35,Y13804,,Trigger)</f>
        <v>0.48853682424977884</v>
      </c>
    </row>
    <row r="13805" spans="25:26" x14ac:dyDescent="0.25">
      <c r="Y13805" s="63">
        <v>56338</v>
      </c>
      <c r="Z13805" s="61">
        <f>_xll.qlYieldTSDiscount($U$35,Y13805,,Trigger)</f>
        <v>0.48850529318075275</v>
      </c>
    </row>
    <row r="13806" spans="25:26" x14ac:dyDescent="0.25">
      <c r="Y13806" s="63">
        <v>56339</v>
      </c>
      <c r="Z13806" s="61">
        <f>_xll.qlYieldTSDiscount($U$35,Y13806,,Trigger)</f>
        <v>0.48847376509115459</v>
      </c>
    </row>
    <row r="13807" spans="25:26" x14ac:dyDescent="0.25">
      <c r="Y13807" s="63">
        <v>56340</v>
      </c>
      <c r="Z13807" s="61">
        <f>_xll.qlYieldTSDiscount($U$35,Y13807,,Trigger)</f>
        <v>0.48844223998061853</v>
      </c>
    </row>
    <row r="13808" spans="25:26" x14ac:dyDescent="0.25">
      <c r="Y13808" s="63">
        <v>56341</v>
      </c>
      <c r="Z13808" s="61">
        <f>_xll.qlYieldTSDiscount($U$35,Y13808,,Trigger)</f>
        <v>0.4884107178487786</v>
      </c>
    </row>
    <row r="13809" spans="25:26" x14ac:dyDescent="0.25">
      <c r="Y13809" s="63">
        <v>56342</v>
      </c>
      <c r="Z13809" s="61">
        <f>_xll.qlYieldTSDiscount($U$35,Y13809,,Trigger)</f>
        <v>0.48837919869526863</v>
      </c>
    </row>
    <row r="13810" spans="25:26" x14ac:dyDescent="0.25">
      <c r="Y13810" s="63">
        <v>56343</v>
      </c>
      <c r="Z13810" s="61">
        <f>_xll.qlYieldTSDiscount($U$35,Y13810,,Trigger)</f>
        <v>0.48834768251972277</v>
      </c>
    </row>
    <row r="13811" spans="25:26" x14ac:dyDescent="0.25">
      <c r="Y13811" s="63">
        <v>56344</v>
      </c>
      <c r="Z13811" s="61">
        <f>_xll.qlYieldTSDiscount($U$35,Y13811,,Trigger)</f>
        <v>0.48831616932177507</v>
      </c>
    </row>
    <row r="13812" spans="25:26" x14ac:dyDescent="0.25">
      <c r="Y13812" s="63">
        <v>56345</v>
      </c>
      <c r="Z13812" s="61">
        <f>_xll.qlYieldTSDiscount($U$35,Y13812,,Trigger)</f>
        <v>0.48828465910105945</v>
      </c>
    </row>
    <row r="13813" spans="25:26" x14ac:dyDescent="0.25">
      <c r="Y13813" s="63">
        <v>56346</v>
      </c>
      <c r="Z13813" s="61">
        <f>_xll.qlYieldTSDiscount($U$35,Y13813,,Trigger)</f>
        <v>0.48825315185720997</v>
      </c>
    </row>
    <row r="13814" spans="25:26" x14ac:dyDescent="0.25">
      <c r="Y13814" s="63">
        <v>56347</v>
      </c>
      <c r="Z13814" s="61">
        <f>_xll.qlYieldTSDiscount($U$35,Y13814,,Trigger)</f>
        <v>0.48822164758986075</v>
      </c>
    </row>
    <row r="13815" spans="25:26" x14ac:dyDescent="0.25">
      <c r="Y13815" s="63">
        <v>56348</v>
      </c>
      <c r="Z13815" s="61">
        <f>_xll.qlYieldTSDiscount($U$35,Y13815,,Trigger)</f>
        <v>0.48819014629864566</v>
      </c>
    </row>
    <row r="13816" spans="25:26" x14ac:dyDescent="0.25">
      <c r="Y13816" s="63">
        <v>56349</v>
      </c>
      <c r="Z13816" s="61">
        <f>_xll.qlYieldTSDiscount($U$35,Y13816,,Trigger)</f>
        <v>0.48815864798319875</v>
      </c>
    </row>
    <row r="13817" spans="25:26" x14ac:dyDescent="0.25">
      <c r="Y13817" s="63">
        <v>56350</v>
      </c>
      <c r="Z13817" s="61">
        <f>_xll.qlYieldTSDiscount($U$35,Y13817,,Trigger)</f>
        <v>0.48812715264315421</v>
      </c>
    </row>
    <row r="13818" spans="25:26" x14ac:dyDescent="0.25">
      <c r="Y13818" s="63">
        <v>56351</v>
      </c>
      <c r="Z13818" s="61">
        <f>_xll.qlYieldTSDiscount($U$35,Y13818,,Trigger)</f>
        <v>0.48809566027814577</v>
      </c>
    </row>
    <row r="13819" spans="25:26" x14ac:dyDescent="0.25">
      <c r="Y13819" s="63">
        <v>56352</v>
      </c>
      <c r="Z13819" s="61">
        <f>_xll.qlYieldTSDiscount($U$35,Y13819,,Trigger)</f>
        <v>0.48806417088780774</v>
      </c>
    </row>
    <row r="13820" spans="25:26" x14ac:dyDescent="0.25">
      <c r="Y13820" s="63">
        <v>56353</v>
      </c>
      <c r="Z13820" s="61">
        <f>_xll.qlYieldTSDiscount($U$35,Y13820,,Trigger)</f>
        <v>0.488032684471774</v>
      </c>
    </row>
    <row r="13821" spans="25:26" x14ac:dyDescent="0.25">
      <c r="Y13821" s="63">
        <v>56354</v>
      </c>
      <c r="Z13821" s="61">
        <f>_xll.qlYieldTSDiscount($U$35,Y13821,,Trigger)</f>
        <v>0.48800120102967853</v>
      </c>
    </row>
    <row r="13822" spans="25:26" x14ac:dyDescent="0.25">
      <c r="Y13822" s="63">
        <v>56355</v>
      </c>
      <c r="Z13822" s="61">
        <f>_xll.qlYieldTSDiscount($U$35,Y13822,,Trigger)</f>
        <v>0.4879697205611554</v>
      </c>
    </row>
    <row r="13823" spans="25:26" x14ac:dyDescent="0.25">
      <c r="Y13823" s="63">
        <v>56356</v>
      </c>
      <c r="Z13823" s="61">
        <f>_xll.qlYieldTSDiscount($U$35,Y13823,,Trigger)</f>
        <v>0.48793824306583866</v>
      </c>
    </row>
    <row r="13824" spans="25:26" x14ac:dyDescent="0.25">
      <c r="Y13824" s="63">
        <v>56357</v>
      </c>
      <c r="Z13824" s="61">
        <f>_xll.qlYieldTSDiscount($U$35,Y13824,,Trigger)</f>
        <v>0.4879067685433624</v>
      </c>
    </row>
    <row r="13825" spans="25:26" x14ac:dyDescent="0.25">
      <c r="Y13825" s="63">
        <v>56358</v>
      </c>
      <c r="Z13825" s="61">
        <f>_xll.qlYieldTSDiscount($U$35,Y13825,,Trigger)</f>
        <v>0.48787529699336046</v>
      </c>
    </row>
    <row r="13826" spans="25:26" x14ac:dyDescent="0.25">
      <c r="Y13826" s="63">
        <v>56359</v>
      </c>
      <c r="Z13826" s="61">
        <f>_xll.qlYieldTSDiscount($U$35,Y13826,,Trigger)</f>
        <v>0.48784382841546697</v>
      </c>
    </row>
    <row r="13827" spans="25:26" x14ac:dyDescent="0.25">
      <c r="Y13827" s="63">
        <v>56360</v>
      </c>
      <c r="Z13827" s="61">
        <f>_xll.qlYieldTSDiscount($U$35,Y13827,,Trigger)</f>
        <v>0.48781236280931606</v>
      </c>
    </row>
    <row r="13828" spans="25:26" x14ac:dyDescent="0.25">
      <c r="Y13828" s="63">
        <v>56361</v>
      </c>
      <c r="Z13828" s="61">
        <f>_xll.qlYieldTSDiscount($U$35,Y13828,,Trigger)</f>
        <v>0.48778090017454145</v>
      </c>
    </row>
    <row r="13829" spans="25:26" x14ac:dyDescent="0.25">
      <c r="Y13829" s="63">
        <v>56362</v>
      </c>
      <c r="Z13829" s="61">
        <f>_xll.qlYieldTSDiscount($U$35,Y13829,,Trigger)</f>
        <v>0.4877494405107774</v>
      </c>
    </row>
    <row r="13830" spans="25:26" x14ac:dyDescent="0.25">
      <c r="Y13830" s="63">
        <v>56363</v>
      </c>
      <c r="Z13830" s="61">
        <f>_xll.qlYieldTSDiscount($U$35,Y13830,,Trigger)</f>
        <v>0.48771798381765796</v>
      </c>
    </row>
    <row r="13831" spans="25:26" x14ac:dyDescent="0.25">
      <c r="Y13831" s="63">
        <v>56364</v>
      </c>
      <c r="Z13831" s="61">
        <f>_xll.qlYieldTSDiscount($U$35,Y13831,,Trigger)</f>
        <v>0.48768653009481699</v>
      </c>
    </row>
    <row r="13832" spans="25:26" x14ac:dyDescent="0.25">
      <c r="Y13832" s="63">
        <v>56365</v>
      </c>
      <c r="Z13832" s="61">
        <f>_xll.qlYieldTSDiscount($U$35,Y13832,,Trigger)</f>
        <v>0.48765507934188862</v>
      </c>
    </row>
    <row r="13833" spans="25:26" x14ac:dyDescent="0.25">
      <c r="Y13833" s="63">
        <v>56366</v>
      </c>
      <c r="Z13833" s="61">
        <f>_xll.qlYieldTSDiscount($U$35,Y13833,,Trigger)</f>
        <v>0.48762363155850685</v>
      </c>
    </row>
    <row r="13834" spans="25:26" x14ac:dyDescent="0.25">
      <c r="Y13834" s="63">
        <v>56367</v>
      </c>
      <c r="Z13834" s="61">
        <f>_xll.qlYieldTSDiscount($U$35,Y13834,,Trigger)</f>
        <v>0.48759218674430566</v>
      </c>
    </row>
    <row r="13835" spans="25:26" x14ac:dyDescent="0.25">
      <c r="Y13835" s="63">
        <v>56368</v>
      </c>
      <c r="Z13835" s="61">
        <f>_xll.qlYieldTSDiscount($U$35,Y13835,,Trigger)</f>
        <v>0.4875607448989191</v>
      </c>
    </row>
    <row r="13836" spans="25:26" x14ac:dyDescent="0.25">
      <c r="Y13836" s="63">
        <v>56369</v>
      </c>
      <c r="Z13836" s="61">
        <f>_xll.qlYieldTSDiscount($U$35,Y13836,,Trigger)</f>
        <v>0.4875293060219813</v>
      </c>
    </row>
    <row r="13837" spans="25:26" x14ac:dyDescent="0.25">
      <c r="Y13837" s="63">
        <v>56370</v>
      </c>
      <c r="Z13837" s="61">
        <f>_xll.qlYieldTSDiscount($U$35,Y13837,,Trigger)</f>
        <v>0.48749787011312606</v>
      </c>
    </row>
    <row r="13838" spans="25:26" x14ac:dyDescent="0.25">
      <c r="Y13838" s="63">
        <v>56371</v>
      </c>
      <c r="Z13838" s="61">
        <f>_xll.qlYieldTSDiscount($U$35,Y13838,,Trigger)</f>
        <v>0.48746643717198751</v>
      </c>
    </row>
    <row r="13839" spans="25:26" x14ac:dyDescent="0.25">
      <c r="Y13839" s="63">
        <v>56372</v>
      </c>
      <c r="Z13839" s="61">
        <f>_xll.qlYieldTSDiscount($U$35,Y13839,,Trigger)</f>
        <v>0.48743500719819971</v>
      </c>
    </row>
    <row r="13840" spans="25:26" x14ac:dyDescent="0.25">
      <c r="Y13840" s="63">
        <v>56373</v>
      </c>
      <c r="Z13840" s="61">
        <f>_xll.qlYieldTSDiscount($U$35,Y13840,,Trigger)</f>
        <v>0.48740358019139673</v>
      </c>
    </row>
    <row r="13841" spans="25:26" x14ac:dyDescent="0.25">
      <c r="Y13841" s="63">
        <v>56374</v>
      </c>
      <c r="Z13841" s="61">
        <f>_xll.qlYieldTSDiscount($U$35,Y13841,,Trigger)</f>
        <v>0.48737215615121243</v>
      </c>
    </row>
    <row r="13842" spans="25:26" x14ac:dyDescent="0.25">
      <c r="Y13842" s="63">
        <v>56375</v>
      </c>
      <c r="Z13842" s="61">
        <f>_xll.qlYieldTSDiscount($U$35,Y13842,,Trigger)</f>
        <v>0.48734073507728087</v>
      </c>
    </row>
    <row r="13843" spans="25:26" x14ac:dyDescent="0.25">
      <c r="Y13843" s="63">
        <v>56376</v>
      </c>
      <c r="Z13843" s="61">
        <f>_xll.qlYieldTSDiscount($U$35,Y13843,,Trigger)</f>
        <v>0.48730931696923629</v>
      </c>
    </row>
    <row r="13844" spans="25:26" x14ac:dyDescent="0.25">
      <c r="Y13844" s="63">
        <v>56377</v>
      </c>
      <c r="Z13844" s="61">
        <f>_xll.qlYieldTSDiscount($U$35,Y13844,,Trigger)</f>
        <v>0.48727790182671238</v>
      </c>
    </row>
    <row r="13845" spans="25:26" x14ac:dyDescent="0.25">
      <c r="Y13845" s="63">
        <v>56378</v>
      </c>
      <c r="Z13845" s="61">
        <f>_xll.qlYieldTSDiscount($U$35,Y13845,,Trigger)</f>
        <v>0.48724648964934336</v>
      </c>
    </row>
    <row r="13846" spans="25:26" x14ac:dyDescent="0.25">
      <c r="Y13846" s="63">
        <v>56379</v>
      </c>
      <c r="Z13846" s="61">
        <f>_xll.qlYieldTSDiscount($U$35,Y13846,,Trigger)</f>
        <v>0.48721508043676331</v>
      </c>
    </row>
    <row r="13847" spans="25:26" x14ac:dyDescent="0.25">
      <c r="Y13847" s="63">
        <v>56380</v>
      </c>
      <c r="Z13847" s="61">
        <f>_xll.qlYieldTSDiscount($U$35,Y13847,,Trigger)</f>
        <v>0.48718367418860609</v>
      </c>
    </row>
    <row r="13848" spans="25:26" x14ac:dyDescent="0.25">
      <c r="Y13848" s="63">
        <v>56381</v>
      </c>
      <c r="Z13848" s="61">
        <f>_xll.qlYieldTSDiscount($U$35,Y13848,,Trigger)</f>
        <v>0.48715227090450575</v>
      </c>
    </row>
    <row r="13849" spans="25:26" x14ac:dyDescent="0.25">
      <c r="Y13849" s="63">
        <v>56382</v>
      </c>
      <c r="Z13849" s="61">
        <f>_xll.qlYieldTSDiscount($U$35,Y13849,,Trigger)</f>
        <v>0.48712087058409642</v>
      </c>
    </row>
    <row r="13850" spans="25:26" x14ac:dyDescent="0.25">
      <c r="Y13850" s="63">
        <v>56383</v>
      </c>
      <c r="Z13850" s="61">
        <f>_xll.qlYieldTSDiscount($U$35,Y13850,,Trigger)</f>
        <v>0.48708947322701202</v>
      </c>
    </row>
    <row r="13851" spans="25:26" x14ac:dyDescent="0.25">
      <c r="Y13851" s="63">
        <v>56384</v>
      </c>
      <c r="Z13851" s="61">
        <f>_xll.qlYieldTSDiscount($U$35,Y13851,,Trigger)</f>
        <v>0.4870580788328866</v>
      </c>
    </row>
    <row r="13852" spans="25:26" x14ac:dyDescent="0.25">
      <c r="Y13852" s="63">
        <v>56385</v>
      </c>
      <c r="Z13852" s="61">
        <f>_xll.qlYieldTSDiscount($U$35,Y13852,,Trigger)</f>
        <v>0.48702668740135413</v>
      </c>
    </row>
    <row r="13853" spans="25:26" x14ac:dyDescent="0.25">
      <c r="Y13853" s="63">
        <v>56386</v>
      </c>
      <c r="Z13853" s="61">
        <f>_xll.qlYieldTSDiscount($U$35,Y13853,,Trigger)</f>
        <v>0.48699529893204885</v>
      </c>
    </row>
    <row r="13854" spans="25:26" x14ac:dyDescent="0.25">
      <c r="Y13854" s="63">
        <v>56387</v>
      </c>
      <c r="Z13854" s="61">
        <f>_xll.qlYieldTSDiscount($U$35,Y13854,,Trigger)</f>
        <v>0.48696391342460449</v>
      </c>
    </row>
    <row r="13855" spans="25:26" x14ac:dyDescent="0.25">
      <c r="Y13855" s="63">
        <v>56388</v>
      </c>
      <c r="Z13855" s="61">
        <f>_xll.qlYieldTSDiscount($U$35,Y13855,,Trigger)</f>
        <v>0.48693253087865518</v>
      </c>
    </row>
    <row r="13856" spans="25:26" x14ac:dyDescent="0.25">
      <c r="Y13856" s="63">
        <v>56389</v>
      </c>
      <c r="Z13856" s="61">
        <f>_xll.qlYieldTSDiscount($U$35,Y13856,,Trigger)</f>
        <v>0.4869011512938351</v>
      </c>
    </row>
    <row r="13857" spans="25:26" x14ac:dyDescent="0.25">
      <c r="Y13857" s="63">
        <v>56390</v>
      </c>
      <c r="Z13857" s="61">
        <f>_xll.qlYieldTSDiscount($U$35,Y13857,,Trigger)</f>
        <v>0.48686977466977799</v>
      </c>
    </row>
    <row r="13858" spans="25:26" x14ac:dyDescent="0.25">
      <c r="Y13858" s="63">
        <v>56391</v>
      </c>
      <c r="Z13858" s="61">
        <f>_xll.qlYieldTSDiscount($U$35,Y13858,,Trigger)</f>
        <v>0.48683840100611808</v>
      </c>
    </row>
    <row r="13859" spans="25:26" x14ac:dyDescent="0.25">
      <c r="Y13859" s="63">
        <v>56392</v>
      </c>
      <c r="Z13859" s="61">
        <f>_xll.qlYieldTSDiscount($U$35,Y13859,,Trigger)</f>
        <v>0.4868070303024894</v>
      </c>
    </row>
    <row r="13860" spans="25:26" x14ac:dyDescent="0.25">
      <c r="Y13860" s="63">
        <v>56393</v>
      </c>
      <c r="Z13860" s="61">
        <f>_xll.qlYieldTSDiscount($U$35,Y13860,,Trigger)</f>
        <v>0.48677566255852578</v>
      </c>
    </row>
    <row r="13861" spans="25:26" x14ac:dyDescent="0.25">
      <c r="Y13861" s="63">
        <v>56394</v>
      </c>
      <c r="Z13861" s="61">
        <f>_xll.qlYieldTSDiscount($U$35,Y13861,,Trigger)</f>
        <v>0.48674429777386141</v>
      </c>
    </row>
    <row r="13862" spans="25:26" x14ac:dyDescent="0.25">
      <c r="Y13862" s="63">
        <v>56395</v>
      </c>
      <c r="Z13862" s="61">
        <f>_xll.qlYieldTSDiscount($U$35,Y13862,,Trigger)</f>
        <v>0.48671293594813031</v>
      </c>
    </row>
    <row r="13863" spans="25:26" x14ac:dyDescent="0.25">
      <c r="Y13863" s="63">
        <v>56396</v>
      </c>
      <c r="Z13863" s="61">
        <f>_xll.qlYieldTSDiscount($U$35,Y13863,,Trigger)</f>
        <v>0.48668157708096638</v>
      </c>
    </row>
    <row r="13864" spans="25:26" x14ac:dyDescent="0.25">
      <c r="Y13864" s="63">
        <v>56397</v>
      </c>
      <c r="Z13864" s="61">
        <f>_xll.qlYieldTSDiscount($U$35,Y13864,,Trigger)</f>
        <v>0.48665022117200374</v>
      </c>
    </row>
    <row r="13865" spans="25:26" x14ac:dyDescent="0.25">
      <c r="Y13865" s="63">
        <v>56398</v>
      </c>
      <c r="Z13865" s="61">
        <f>_xll.qlYieldTSDiscount($U$35,Y13865,,Trigger)</f>
        <v>0.48661886822087647</v>
      </c>
    </row>
    <row r="13866" spans="25:26" x14ac:dyDescent="0.25">
      <c r="Y13866" s="63">
        <v>56399</v>
      </c>
      <c r="Z13866" s="61">
        <f>_xll.qlYieldTSDiscount($U$35,Y13866,,Trigger)</f>
        <v>0.48658751822721841</v>
      </c>
    </row>
    <row r="13867" spans="25:26" x14ac:dyDescent="0.25">
      <c r="Y13867" s="63">
        <v>56400</v>
      </c>
      <c r="Z13867" s="61">
        <f>_xll.qlYieldTSDiscount($U$35,Y13867,,Trigger)</f>
        <v>0.48655617119066369</v>
      </c>
    </row>
    <row r="13868" spans="25:26" x14ac:dyDescent="0.25">
      <c r="Y13868" s="63">
        <v>56401</v>
      </c>
      <c r="Z13868" s="61">
        <f>_xll.qlYieldTSDiscount($U$35,Y13868,,Trigger)</f>
        <v>0.48652482711084633</v>
      </c>
    </row>
    <row r="13869" spans="25:26" x14ac:dyDescent="0.25">
      <c r="Y13869" s="63">
        <v>56402</v>
      </c>
      <c r="Z13869" s="61">
        <f>_xll.qlYieldTSDiscount($U$35,Y13869,,Trigger)</f>
        <v>0.48649348598740044</v>
      </c>
    </row>
    <row r="13870" spans="25:26" x14ac:dyDescent="0.25">
      <c r="Y13870" s="63">
        <v>56403</v>
      </c>
      <c r="Z13870" s="61">
        <f>_xll.qlYieldTSDiscount($U$35,Y13870,,Trigger)</f>
        <v>0.48646214781995989</v>
      </c>
    </row>
    <row r="13871" spans="25:26" x14ac:dyDescent="0.25">
      <c r="Y13871" s="63">
        <v>56404</v>
      </c>
      <c r="Z13871" s="61">
        <f>_xll.qlYieldTSDiscount($U$35,Y13871,,Trigger)</f>
        <v>0.48643081260815868</v>
      </c>
    </row>
    <row r="13872" spans="25:26" x14ac:dyDescent="0.25">
      <c r="Y13872" s="63">
        <v>56405</v>
      </c>
      <c r="Z13872" s="61">
        <f>_xll.qlYieldTSDiscount($U$35,Y13872,,Trigger)</f>
        <v>0.48639948035163105</v>
      </c>
    </row>
    <row r="13873" spans="25:26" x14ac:dyDescent="0.25">
      <c r="Y13873" s="63">
        <v>56406</v>
      </c>
      <c r="Z13873" s="61">
        <f>_xll.qlYieldTSDiscount($U$35,Y13873,,Trigger)</f>
        <v>0.48636815105001086</v>
      </c>
    </row>
    <row r="13874" spans="25:26" x14ac:dyDescent="0.25">
      <c r="Y13874" s="63">
        <v>56407</v>
      </c>
      <c r="Z13874" s="61">
        <f>_xll.qlYieldTSDiscount($U$35,Y13874,,Trigger)</f>
        <v>0.48633682470293205</v>
      </c>
    </row>
    <row r="13875" spans="25:26" x14ac:dyDescent="0.25">
      <c r="Y13875" s="63">
        <v>56408</v>
      </c>
      <c r="Z13875" s="61">
        <f>_xll.qlYieldTSDiscount($U$35,Y13875,,Trigger)</f>
        <v>0.48630550131002892</v>
      </c>
    </row>
    <row r="13876" spans="25:26" x14ac:dyDescent="0.25">
      <c r="Y13876" s="63">
        <v>56409</v>
      </c>
      <c r="Z13876" s="61">
        <f>_xll.qlYieldTSDiscount($U$35,Y13876,,Trigger)</f>
        <v>0.48627418087093516</v>
      </c>
    </row>
    <row r="13877" spans="25:26" x14ac:dyDescent="0.25">
      <c r="Y13877" s="63">
        <v>56410</v>
      </c>
      <c r="Z13877" s="61">
        <f>_xll.qlYieldTSDiscount($U$35,Y13877,,Trigger)</f>
        <v>0.486242863385285</v>
      </c>
    </row>
    <row r="13878" spans="25:26" x14ac:dyDescent="0.25">
      <c r="Y13878" s="63">
        <v>56411</v>
      </c>
      <c r="Z13878" s="61">
        <f>_xll.qlYieldTSDiscount($U$35,Y13878,,Trigger)</f>
        <v>0.48621154885271251</v>
      </c>
    </row>
    <row r="13879" spans="25:26" x14ac:dyDescent="0.25">
      <c r="Y13879" s="63">
        <v>56412</v>
      </c>
      <c r="Z13879" s="61">
        <f>_xll.qlYieldTSDiscount($U$35,Y13879,,Trigger)</f>
        <v>0.48618023727285153</v>
      </c>
    </row>
    <row r="13880" spans="25:26" x14ac:dyDescent="0.25">
      <c r="Y13880" s="63">
        <v>56413</v>
      </c>
      <c r="Z13880" s="61">
        <f>_xll.qlYieldTSDiscount($U$35,Y13880,,Trigger)</f>
        <v>0.4861489286453361</v>
      </c>
    </row>
    <row r="13881" spans="25:26" x14ac:dyDescent="0.25">
      <c r="Y13881" s="63">
        <v>56414</v>
      </c>
      <c r="Z13881" s="61">
        <f>_xll.qlYieldTSDiscount($U$35,Y13881,,Trigger)</f>
        <v>0.48611762296980049</v>
      </c>
    </row>
    <row r="13882" spans="25:26" x14ac:dyDescent="0.25">
      <c r="Y13882" s="63">
        <v>56415</v>
      </c>
      <c r="Z13882" s="61">
        <f>_xll.qlYieldTSDiscount($U$35,Y13882,,Trigger)</f>
        <v>0.48608632024587839</v>
      </c>
    </row>
    <row r="13883" spans="25:26" x14ac:dyDescent="0.25">
      <c r="Y13883" s="63">
        <v>56416</v>
      </c>
      <c r="Z13883" s="61">
        <f>_xll.qlYieldTSDiscount($U$35,Y13883,,Trigger)</f>
        <v>0.48605502047320404</v>
      </c>
    </row>
    <row r="13884" spans="25:26" x14ac:dyDescent="0.25">
      <c r="Y13884" s="63">
        <v>56417</v>
      </c>
      <c r="Z13884" s="61">
        <f>_xll.qlYieldTSDiscount($U$35,Y13884,,Trigger)</f>
        <v>0.48602372365141133</v>
      </c>
    </row>
    <row r="13885" spans="25:26" x14ac:dyDescent="0.25">
      <c r="Y13885" s="63">
        <v>56418</v>
      </c>
      <c r="Z13885" s="61">
        <f>_xll.qlYieldTSDiscount($U$35,Y13885,,Trigger)</f>
        <v>0.48599242978013446</v>
      </c>
    </row>
    <row r="13886" spans="25:26" x14ac:dyDescent="0.25">
      <c r="Y13886" s="63">
        <v>56419</v>
      </c>
      <c r="Z13886" s="61">
        <f>_xll.qlYieldTSDiscount($U$35,Y13886,,Trigger)</f>
        <v>0.48596113885900727</v>
      </c>
    </row>
    <row r="13887" spans="25:26" x14ac:dyDescent="0.25">
      <c r="Y13887" s="63">
        <v>56420</v>
      </c>
      <c r="Z13887" s="61">
        <f>_xll.qlYieldTSDiscount($U$35,Y13887,,Trigger)</f>
        <v>0.48592985088766383</v>
      </c>
    </row>
    <row r="13888" spans="25:26" x14ac:dyDescent="0.25">
      <c r="Y13888" s="63">
        <v>56421</v>
      </c>
      <c r="Z13888" s="61">
        <f>_xll.qlYieldTSDiscount($U$35,Y13888,,Trigger)</f>
        <v>0.48589856586573826</v>
      </c>
    </row>
    <row r="13889" spans="25:26" x14ac:dyDescent="0.25">
      <c r="Y13889" s="63">
        <v>56422</v>
      </c>
      <c r="Z13889" s="61">
        <f>_xll.qlYieldTSDiscount($U$35,Y13889,,Trigger)</f>
        <v>0.48586728379286442</v>
      </c>
    </row>
    <row r="13890" spans="25:26" x14ac:dyDescent="0.25">
      <c r="Y13890" s="63">
        <v>56423</v>
      </c>
      <c r="Z13890" s="61">
        <f>_xll.qlYieldTSDiscount($U$35,Y13890,,Trigger)</f>
        <v>0.48583600466867644</v>
      </c>
    </row>
    <row r="13891" spans="25:26" x14ac:dyDescent="0.25">
      <c r="Y13891" s="63">
        <v>56424</v>
      </c>
      <c r="Z13891" s="61">
        <f>_xll.qlYieldTSDiscount($U$35,Y13891,,Trigger)</f>
        <v>0.48580472849280842</v>
      </c>
    </row>
    <row r="13892" spans="25:26" x14ac:dyDescent="0.25">
      <c r="Y13892" s="63">
        <v>56425</v>
      </c>
      <c r="Z13892" s="61">
        <f>_xll.qlYieldTSDiscount($U$35,Y13892,,Trigger)</f>
        <v>0.48577345526489413</v>
      </c>
    </row>
    <row r="13893" spans="25:26" x14ac:dyDescent="0.25">
      <c r="Y13893" s="63">
        <v>56426</v>
      </c>
      <c r="Z13893" s="61">
        <f>_xll.qlYieldTSDiscount($U$35,Y13893,,Trigger)</f>
        <v>0.48574218498456778</v>
      </c>
    </row>
    <row r="13894" spans="25:26" x14ac:dyDescent="0.25">
      <c r="Y13894" s="63">
        <v>56427</v>
      </c>
      <c r="Z13894" s="61">
        <f>_xll.qlYieldTSDiscount($U$35,Y13894,,Trigger)</f>
        <v>0.48571091765146346</v>
      </c>
    </row>
    <row r="13895" spans="25:26" x14ac:dyDescent="0.25">
      <c r="Y13895" s="63">
        <v>56428</v>
      </c>
      <c r="Z13895" s="61">
        <f>_xll.qlYieldTSDiscount($U$35,Y13895,,Trigger)</f>
        <v>0.48567965326521501</v>
      </c>
    </row>
    <row r="13896" spans="25:26" x14ac:dyDescent="0.25">
      <c r="Y13896" s="63">
        <v>56429</v>
      </c>
      <c r="Z13896" s="61">
        <f>_xll.qlYieldTSDiscount($U$35,Y13896,,Trigger)</f>
        <v>0.48564839182545649</v>
      </c>
    </row>
    <row r="13897" spans="25:26" x14ac:dyDescent="0.25">
      <c r="Y13897" s="63">
        <v>56430</v>
      </c>
      <c r="Z13897" s="61">
        <f>_xll.qlYieldTSDiscount($U$35,Y13897,,Trigger)</f>
        <v>0.48561713333182199</v>
      </c>
    </row>
    <row r="13898" spans="25:26" x14ac:dyDescent="0.25">
      <c r="Y13898" s="63">
        <v>56431</v>
      </c>
      <c r="Z13898" s="61">
        <f>_xll.qlYieldTSDiscount($U$35,Y13898,,Trigger)</f>
        <v>0.48558587778394557</v>
      </c>
    </row>
    <row r="13899" spans="25:26" x14ac:dyDescent="0.25">
      <c r="Y13899" s="63">
        <v>56432</v>
      </c>
      <c r="Z13899" s="61">
        <f>_xll.qlYieldTSDiscount($U$35,Y13899,,Trigger)</f>
        <v>0.48555462518146109</v>
      </c>
    </row>
    <row r="13900" spans="25:26" x14ac:dyDescent="0.25">
      <c r="Y13900" s="63">
        <v>56433</v>
      </c>
      <c r="Z13900" s="61">
        <f>_xll.qlYieldTSDiscount($U$35,Y13900,,Trigger)</f>
        <v>0.48552337552400265</v>
      </c>
    </row>
    <row r="13901" spans="25:26" x14ac:dyDescent="0.25">
      <c r="Y13901" s="63">
        <v>56434</v>
      </c>
      <c r="Z13901" s="61">
        <f>_xll.qlYieldTSDiscount($U$35,Y13901,,Trigger)</f>
        <v>0.4854921288112044</v>
      </c>
    </row>
    <row r="13902" spans="25:26" x14ac:dyDescent="0.25">
      <c r="Y13902" s="63">
        <v>56435</v>
      </c>
      <c r="Z13902" s="61">
        <f>_xll.qlYieldTSDiscount($U$35,Y13902,,Trigger)</f>
        <v>0.48546088504270019</v>
      </c>
    </row>
    <row r="13903" spans="25:26" x14ac:dyDescent="0.25">
      <c r="Y13903" s="63">
        <v>56436</v>
      </c>
      <c r="Z13903" s="61">
        <f>_xll.qlYieldTSDiscount($U$35,Y13903,,Trigger)</f>
        <v>0.48542964421812407</v>
      </c>
    </row>
    <row r="13904" spans="25:26" x14ac:dyDescent="0.25">
      <c r="Y13904" s="63">
        <v>56437</v>
      </c>
      <c r="Z13904" s="61">
        <f>_xll.qlYieldTSDiscount($U$35,Y13904,,Trigger)</f>
        <v>0.48539840633711018</v>
      </c>
    </row>
    <row r="13905" spans="25:26" x14ac:dyDescent="0.25">
      <c r="Y13905" s="63">
        <v>56438</v>
      </c>
      <c r="Z13905" s="61">
        <f>_xll.qlYieldTSDiscount($U$35,Y13905,,Trigger)</f>
        <v>0.48536717139929236</v>
      </c>
    </row>
    <row r="13906" spans="25:26" x14ac:dyDescent="0.25">
      <c r="Y13906" s="63">
        <v>56439</v>
      </c>
      <c r="Z13906" s="61">
        <f>_xll.qlYieldTSDiscount($U$35,Y13906,,Trigger)</f>
        <v>0.48533593940430475</v>
      </c>
    </row>
    <row r="13907" spans="25:26" x14ac:dyDescent="0.25">
      <c r="Y13907" s="63">
        <v>56440</v>
      </c>
      <c r="Z13907" s="61">
        <f>_xll.qlYieldTSDiscount($U$35,Y13907,,Trigger)</f>
        <v>0.48530471035178141</v>
      </c>
    </row>
    <row r="13908" spans="25:26" x14ac:dyDescent="0.25">
      <c r="Y13908" s="63">
        <v>56441</v>
      </c>
      <c r="Z13908" s="61">
        <f>_xll.qlYieldTSDiscount($U$35,Y13908,,Trigger)</f>
        <v>0.48527348424135625</v>
      </c>
    </row>
    <row r="13909" spans="25:26" x14ac:dyDescent="0.25">
      <c r="Y13909" s="63">
        <v>56442</v>
      </c>
      <c r="Z13909" s="61">
        <f>_xll.qlYieldTSDiscount($U$35,Y13909,,Trigger)</f>
        <v>0.48524226107266333</v>
      </c>
    </row>
    <row r="13910" spans="25:26" x14ac:dyDescent="0.25">
      <c r="Y13910" s="63">
        <v>56443</v>
      </c>
      <c r="Z13910" s="61">
        <f>_xll.qlYieldTSDiscount($U$35,Y13910,,Trigger)</f>
        <v>0.48521104084533673</v>
      </c>
    </row>
    <row r="13911" spans="25:26" x14ac:dyDescent="0.25">
      <c r="Y13911" s="63">
        <v>56444</v>
      </c>
      <c r="Z13911" s="61">
        <f>_xll.qlYieldTSDiscount($U$35,Y13911,,Trigger)</f>
        <v>0.48517982355901035</v>
      </c>
    </row>
    <row r="13912" spans="25:26" x14ac:dyDescent="0.25">
      <c r="Y13912" s="63">
        <v>56445</v>
      </c>
      <c r="Z13912" s="61">
        <f>_xll.qlYieldTSDiscount($U$35,Y13912,,Trigger)</f>
        <v>0.48514860921331837</v>
      </c>
    </row>
    <row r="13913" spans="25:26" x14ac:dyDescent="0.25">
      <c r="Y13913" s="63">
        <v>56446</v>
      </c>
      <c r="Z13913" s="61">
        <f>_xll.qlYieldTSDiscount($U$35,Y13913,,Trigger)</f>
        <v>0.48511739780789465</v>
      </c>
    </row>
    <row r="13914" spans="25:26" x14ac:dyDescent="0.25">
      <c r="Y13914" s="63">
        <v>56447</v>
      </c>
      <c r="Z13914" s="61">
        <f>_xll.qlYieldTSDiscount($U$35,Y13914,,Trigger)</f>
        <v>0.48508618934237341</v>
      </c>
    </row>
    <row r="13915" spans="25:26" x14ac:dyDescent="0.25">
      <c r="Y13915" s="63">
        <v>56448</v>
      </c>
      <c r="Z13915" s="61">
        <f>_xll.qlYieldTSDiscount($U$35,Y13915,,Trigger)</f>
        <v>0.48505498381638845</v>
      </c>
    </row>
    <row r="13916" spans="25:26" x14ac:dyDescent="0.25">
      <c r="Y13916" s="63">
        <v>56449</v>
      </c>
      <c r="Z13916" s="61">
        <f>_xll.qlYieldTSDiscount($U$35,Y13916,,Trigger)</f>
        <v>0.4850237812295739</v>
      </c>
    </row>
    <row r="13917" spans="25:26" x14ac:dyDescent="0.25">
      <c r="Y13917" s="63">
        <v>56450</v>
      </c>
      <c r="Z13917" s="61">
        <f>_xll.qlYieldTSDiscount($U$35,Y13917,,Trigger)</f>
        <v>0.48499258158156389</v>
      </c>
    </row>
    <row r="13918" spans="25:26" x14ac:dyDescent="0.25">
      <c r="Y13918" s="63">
        <v>56451</v>
      </c>
      <c r="Z13918" s="61">
        <f>_xll.qlYieldTSDiscount($U$35,Y13918,,Trigger)</f>
        <v>0.4849613848719922</v>
      </c>
    </row>
    <row r="13919" spans="25:26" x14ac:dyDescent="0.25">
      <c r="Y13919" s="63">
        <v>56452</v>
      </c>
      <c r="Z13919" s="61">
        <f>_xll.qlYieldTSDiscount($U$35,Y13919,,Trigger)</f>
        <v>0.48493019110049296</v>
      </c>
    </row>
    <row r="13920" spans="25:26" x14ac:dyDescent="0.25">
      <c r="Y13920" s="63">
        <v>56453</v>
      </c>
      <c r="Z13920" s="61">
        <f>_xll.qlYieldTSDiscount($U$35,Y13920,,Trigger)</f>
        <v>0.48489900026670035</v>
      </c>
    </row>
    <row r="13921" spans="25:26" x14ac:dyDescent="0.25">
      <c r="Y13921" s="63">
        <v>56454</v>
      </c>
      <c r="Z13921" s="61">
        <f>_xll.qlYieldTSDiscount($U$35,Y13921,,Trigger)</f>
        <v>0.48486781237024817</v>
      </c>
    </row>
    <row r="13922" spans="25:26" x14ac:dyDescent="0.25">
      <c r="Y13922" s="63">
        <v>56455</v>
      </c>
      <c r="Z13922" s="61">
        <f>_xll.qlYieldTSDiscount($U$35,Y13922,,Trigger)</f>
        <v>0.48483662741077055</v>
      </c>
    </row>
    <row r="13923" spans="25:26" x14ac:dyDescent="0.25">
      <c r="Y13923" s="63">
        <v>56456</v>
      </c>
      <c r="Z13923" s="61">
        <f>_xll.qlYieldTSDiscount($U$35,Y13923,,Trigger)</f>
        <v>0.48480544538790149</v>
      </c>
    </row>
    <row r="13924" spans="25:26" x14ac:dyDescent="0.25">
      <c r="Y13924" s="63">
        <v>56457</v>
      </c>
      <c r="Z13924" s="61">
        <f>_xll.qlYieldTSDiscount($U$35,Y13924,,Trigger)</f>
        <v>0.48477426630127501</v>
      </c>
    </row>
    <row r="13925" spans="25:26" x14ac:dyDescent="0.25">
      <c r="Y13925" s="63">
        <v>56458</v>
      </c>
      <c r="Z13925" s="61">
        <f>_xll.qlYieldTSDiscount($U$35,Y13925,,Trigger)</f>
        <v>0.48474309015052508</v>
      </c>
    </row>
    <row r="13926" spans="25:26" x14ac:dyDescent="0.25">
      <c r="Y13926" s="63">
        <v>56459</v>
      </c>
      <c r="Z13926" s="61">
        <f>_xll.qlYieldTSDiscount($U$35,Y13926,,Trigger)</f>
        <v>0.48471191693528592</v>
      </c>
    </row>
    <row r="13927" spans="25:26" x14ac:dyDescent="0.25">
      <c r="Y13927" s="63">
        <v>56460</v>
      </c>
      <c r="Z13927" s="61">
        <f>_xll.qlYieldTSDiscount($U$35,Y13927,,Trigger)</f>
        <v>0.48468074665519123</v>
      </c>
    </row>
    <row r="13928" spans="25:26" x14ac:dyDescent="0.25">
      <c r="Y13928" s="63">
        <v>56461</v>
      </c>
      <c r="Z13928" s="61">
        <f>_xll.qlYieldTSDiscount($U$35,Y13928,,Trigger)</f>
        <v>0.48464957930987529</v>
      </c>
    </row>
    <row r="13929" spans="25:26" x14ac:dyDescent="0.25">
      <c r="Y13929" s="63">
        <v>56462</v>
      </c>
      <c r="Z13929" s="61">
        <f>_xll.qlYieldTSDiscount($U$35,Y13929,,Trigger)</f>
        <v>0.48461841489897201</v>
      </c>
    </row>
    <row r="13930" spans="25:26" x14ac:dyDescent="0.25">
      <c r="Y13930" s="63">
        <v>56463</v>
      </c>
      <c r="Z13930" s="61">
        <f>_xll.qlYieldTSDiscount($U$35,Y13930,,Trigger)</f>
        <v>0.4845872534221155</v>
      </c>
    </row>
    <row r="13931" spans="25:26" x14ac:dyDescent="0.25">
      <c r="Y13931" s="63">
        <v>56464</v>
      </c>
      <c r="Z13931" s="61">
        <f>_xll.qlYieldTSDiscount($U$35,Y13931,,Trigger)</f>
        <v>0.48455609487893969</v>
      </c>
    </row>
    <row r="13932" spans="25:26" x14ac:dyDescent="0.25">
      <c r="Y13932" s="63">
        <v>56465</v>
      </c>
      <c r="Z13932" s="61">
        <f>_xll.qlYieldTSDiscount($U$35,Y13932,,Trigger)</f>
        <v>0.48452493926907858</v>
      </c>
    </row>
    <row r="13933" spans="25:26" x14ac:dyDescent="0.25">
      <c r="Y13933" s="63">
        <v>56466</v>
      </c>
      <c r="Z13933" s="61">
        <f>_xll.qlYieldTSDiscount($U$35,Y13933,,Trigger)</f>
        <v>0.48449378659216635</v>
      </c>
    </row>
    <row r="13934" spans="25:26" x14ac:dyDescent="0.25">
      <c r="Y13934" s="63">
        <v>56467</v>
      </c>
      <c r="Z13934" s="61">
        <f>_xll.qlYieldTSDiscount($U$35,Y13934,,Trigger)</f>
        <v>0.48446263684783686</v>
      </c>
    </row>
    <row r="13935" spans="25:26" x14ac:dyDescent="0.25">
      <c r="Y13935" s="63">
        <v>56468</v>
      </c>
      <c r="Z13935" s="61">
        <f>_xll.qlYieldTSDiscount($U$35,Y13935,,Trigger)</f>
        <v>0.48443149003572417</v>
      </c>
    </row>
    <row r="13936" spans="25:26" x14ac:dyDescent="0.25">
      <c r="Y13936" s="63">
        <v>56469</v>
      </c>
      <c r="Z13936" s="61">
        <f>_xll.qlYieldTSDiscount($U$35,Y13936,,Trigger)</f>
        <v>0.48440034615546246</v>
      </c>
    </row>
    <row r="13937" spans="25:26" x14ac:dyDescent="0.25">
      <c r="Y13937" s="63">
        <v>56470</v>
      </c>
      <c r="Z13937" s="61">
        <f>_xll.qlYieldTSDiscount($U$35,Y13937,,Trigger)</f>
        <v>0.48436920520668547</v>
      </c>
    </row>
    <row r="13938" spans="25:26" x14ac:dyDescent="0.25">
      <c r="Y13938" s="63">
        <v>56471</v>
      </c>
      <c r="Z13938" s="61">
        <f>_xll.qlYieldTSDiscount($U$35,Y13938,,Trigger)</f>
        <v>0.48433806718902739</v>
      </c>
    </row>
    <row r="13939" spans="25:26" x14ac:dyDescent="0.25">
      <c r="Y13939" s="63">
        <v>56472</v>
      </c>
      <c r="Z13939" s="61">
        <f>_xll.qlYieldTSDiscount($U$35,Y13939,,Trigger)</f>
        <v>0.48430693210212228</v>
      </c>
    </row>
    <row r="13940" spans="25:26" x14ac:dyDescent="0.25">
      <c r="Y13940" s="63">
        <v>56473</v>
      </c>
      <c r="Z13940" s="61">
        <f>_xll.qlYieldTSDiscount($U$35,Y13940,,Trigger)</f>
        <v>0.48427579994560405</v>
      </c>
    </row>
    <row r="13941" spans="25:26" x14ac:dyDescent="0.25">
      <c r="Y13941" s="63">
        <v>56474</v>
      </c>
      <c r="Z13941" s="61">
        <f>_xll.qlYieldTSDiscount($U$35,Y13941,,Trigger)</f>
        <v>0.48424467071910671</v>
      </c>
    </row>
    <row r="13942" spans="25:26" x14ac:dyDescent="0.25">
      <c r="Y13942" s="63">
        <v>56475</v>
      </c>
      <c r="Z13942" s="61">
        <f>_xll.qlYieldTSDiscount($U$35,Y13942,,Trigger)</f>
        <v>0.48421354442226439</v>
      </c>
    </row>
    <row r="13943" spans="25:26" x14ac:dyDescent="0.25">
      <c r="Y13943" s="63">
        <v>56476</v>
      </c>
      <c r="Z13943" s="61">
        <f>_xll.qlYieldTSDiscount($U$35,Y13943,,Trigger)</f>
        <v>0.48418242105471115</v>
      </c>
    </row>
    <row r="13944" spans="25:26" x14ac:dyDescent="0.25">
      <c r="Y13944" s="63">
        <v>56477</v>
      </c>
      <c r="Z13944" s="61">
        <f>_xll.qlYieldTSDiscount($U$35,Y13944,,Trigger)</f>
        <v>0.48415130061608086</v>
      </c>
    </row>
    <row r="13945" spans="25:26" x14ac:dyDescent="0.25">
      <c r="Y13945" s="63">
        <v>56478</v>
      </c>
      <c r="Z13945" s="61">
        <f>_xll.qlYieldTSDiscount($U$35,Y13945,,Trigger)</f>
        <v>0.48412018310600757</v>
      </c>
    </row>
    <row r="13946" spans="25:26" x14ac:dyDescent="0.25">
      <c r="Y13946" s="63">
        <v>56479</v>
      </c>
      <c r="Z13946" s="61">
        <f>_xll.qlYieldTSDiscount($U$35,Y13946,,Trigger)</f>
        <v>0.48408906852412548</v>
      </c>
    </row>
    <row r="13947" spans="25:26" x14ac:dyDescent="0.25">
      <c r="Y13947" s="63">
        <v>56480</v>
      </c>
      <c r="Z13947" s="61">
        <f>_xll.qlYieldTSDiscount($U$35,Y13947,,Trigger)</f>
        <v>0.48405795687006836</v>
      </c>
    </row>
    <row r="13948" spans="25:26" x14ac:dyDescent="0.25">
      <c r="Y13948" s="63">
        <v>56481</v>
      </c>
      <c r="Z13948" s="61">
        <f>_xll.qlYieldTSDiscount($U$35,Y13948,,Trigger)</f>
        <v>0.4840268481434703</v>
      </c>
    </row>
    <row r="13949" spans="25:26" x14ac:dyDescent="0.25">
      <c r="Y13949" s="63">
        <v>56482</v>
      </c>
      <c r="Z13949" s="61">
        <f>_xll.qlYieldTSDiscount($U$35,Y13949,,Trigger)</f>
        <v>0.48399574234396547</v>
      </c>
    </row>
    <row r="13950" spans="25:26" x14ac:dyDescent="0.25">
      <c r="Y13950" s="63">
        <v>56483</v>
      </c>
      <c r="Z13950" s="61">
        <f>_xll.qlYieldTSDiscount($U$35,Y13950,,Trigger)</f>
        <v>0.48396463947118773</v>
      </c>
    </row>
    <row r="13951" spans="25:26" x14ac:dyDescent="0.25">
      <c r="Y13951" s="63">
        <v>56484</v>
      </c>
      <c r="Z13951" s="61">
        <f>_xll.qlYieldTSDiscount($U$35,Y13951,,Trigger)</f>
        <v>0.48393353952477119</v>
      </c>
    </row>
    <row r="13952" spans="25:26" x14ac:dyDescent="0.25">
      <c r="Y13952" s="63">
        <v>56485</v>
      </c>
      <c r="Z13952" s="61">
        <f>_xll.qlYieldTSDiscount($U$35,Y13952,,Trigger)</f>
        <v>0.48390244250434988</v>
      </c>
    </row>
    <row r="13953" spans="25:26" x14ac:dyDescent="0.25">
      <c r="Y13953" s="63">
        <v>56486</v>
      </c>
      <c r="Z13953" s="61">
        <f>_xll.qlYieldTSDiscount($U$35,Y13953,,Trigger)</f>
        <v>0.48387134840955776</v>
      </c>
    </row>
    <row r="13954" spans="25:26" x14ac:dyDescent="0.25">
      <c r="Y13954" s="63">
        <v>56487</v>
      </c>
      <c r="Z13954" s="61">
        <f>_xll.qlYieldTSDiscount($U$35,Y13954,,Trigger)</f>
        <v>0.48384025724002883</v>
      </c>
    </row>
    <row r="13955" spans="25:26" x14ac:dyDescent="0.25">
      <c r="Y13955" s="63">
        <v>56488</v>
      </c>
      <c r="Z13955" s="61">
        <f>_xll.qlYieldTSDiscount($U$35,Y13955,,Trigger)</f>
        <v>0.48380916899539722</v>
      </c>
    </row>
    <row r="13956" spans="25:26" x14ac:dyDescent="0.25">
      <c r="Y13956" s="63">
        <v>56489</v>
      </c>
      <c r="Z13956" s="61">
        <f>_xll.qlYieldTSDiscount($U$35,Y13956,,Trigger)</f>
        <v>0.48377808367529684</v>
      </c>
    </row>
    <row r="13957" spans="25:26" x14ac:dyDescent="0.25">
      <c r="Y13957" s="63">
        <v>56490</v>
      </c>
      <c r="Z13957" s="61">
        <f>_xll.qlYieldTSDiscount($U$35,Y13957,,Trigger)</f>
        <v>0.48374700127936177</v>
      </c>
    </row>
    <row r="13958" spans="25:26" x14ac:dyDescent="0.25">
      <c r="Y13958" s="63">
        <v>56491</v>
      </c>
      <c r="Z13958" s="61">
        <f>_xll.qlYieldTSDiscount($U$35,Y13958,,Trigger)</f>
        <v>0.483715921807226</v>
      </c>
    </row>
    <row r="13959" spans="25:26" x14ac:dyDescent="0.25">
      <c r="Y13959" s="63">
        <v>56492</v>
      </c>
      <c r="Z13959" s="61">
        <f>_xll.qlYieldTSDiscount($U$35,Y13959,,Trigger)</f>
        <v>0.48368484525852368</v>
      </c>
    </row>
    <row r="13960" spans="25:26" x14ac:dyDescent="0.25">
      <c r="Y13960" s="63">
        <v>56493</v>
      </c>
      <c r="Z13960" s="61">
        <f>_xll.qlYieldTSDiscount($U$35,Y13960,,Trigger)</f>
        <v>0.48365377163288858</v>
      </c>
    </row>
    <row r="13961" spans="25:26" x14ac:dyDescent="0.25">
      <c r="Y13961" s="63">
        <v>56494</v>
      </c>
      <c r="Z13961" s="61">
        <f>_xll.qlYieldTSDiscount($U$35,Y13961,,Trigger)</f>
        <v>0.48362270092995496</v>
      </c>
    </row>
    <row r="13962" spans="25:26" x14ac:dyDescent="0.25">
      <c r="Y13962" s="63">
        <v>56495</v>
      </c>
      <c r="Z13962" s="61">
        <f>_xll.qlYieldTSDiscount($U$35,Y13962,,Trigger)</f>
        <v>0.48359163314935677</v>
      </c>
    </row>
    <row r="13963" spans="25:26" x14ac:dyDescent="0.25">
      <c r="Y13963" s="63">
        <v>56496</v>
      </c>
      <c r="Z13963" s="61">
        <f>_xll.qlYieldTSDiscount($U$35,Y13963,,Trigger)</f>
        <v>0.48356056829072797</v>
      </c>
    </row>
    <row r="13964" spans="25:26" x14ac:dyDescent="0.25">
      <c r="Y13964" s="63">
        <v>56497</v>
      </c>
      <c r="Z13964" s="61">
        <f>_xll.qlYieldTSDiscount($U$35,Y13964,,Trigger)</f>
        <v>0.48352950635370262</v>
      </c>
    </row>
    <row r="13965" spans="25:26" x14ac:dyDescent="0.25">
      <c r="Y13965" s="63">
        <v>56498</v>
      </c>
      <c r="Z13965" s="61">
        <f>_xll.qlYieldTSDiscount($U$35,Y13965,,Trigger)</f>
        <v>0.48349844733791481</v>
      </c>
    </row>
    <row r="13966" spans="25:26" x14ac:dyDescent="0.25">
      <c r="Y13966" s="63">
        <v>56499</v>
      </c>
      <c r="Z13966" s="61">
        <f>_xll.qlYieldTSDiscount($U$35,Y13966,,Trigger)</f>
        <v>0.48346739124299842</v>
      </c>
    </row>
    <row r="13967" spans="25:26" x14ac:dyDescent="0.25">
      <c r="Y13967" s="63">
        <v>56500</v>
      </c>
      <c r="Z13967" s="61">
        <f>_xll.qlYieldTSDiscount($U$35,Y13967,,Trigger)</f>
        <v>0.48343633806858755</v>
      </c>
    </row>
    <row r="13968" spans="25:26" x14ac:dyDescent="0.25">
      <c r="Y13968" s="63">
        <v>56501</v>
      </c>
      <c r="Z13968" s="61">
        <f>_xll.qlYieldTSDiscount($U$35,Y13968,,Trigger)</f>
        <v>0.48340528781431635</v>
      </c>
    </row>
    <row r="13969" spans="25:26" x14ac:dyDescent="0.25">
      <c r="Y13969" s="63">
        <v>56502</v>
      </c>
      <c r="Z13969" s="61">
        <f>_xll.qlYieldTSDiscount($U$35,Y13969,,Trigger)</f>
        <v>0.48337424047981858</v>
      </c>
    </row>
    <row r="13970" spans="25:26" x14ac:dyDescent="0.25">
      <c r="Y13970" s="63">
        <v>56503</v>
      </c>
      <c r="Z13970" s="61">
        <f>_xll.qlYieldTSDiscount($U$35,Y13970,,Trigger)</f>
        <v>0.48334319606472842</v>
      </c>
    </row>
    <row r="13971" spans="25:26" x14ac:dyDescent="0.25">
      <c r="Y13971" s="63">
        <v>56504</v>
      </c>
      <c r="Z13971" s="61">
        <f>_xll.qlYieldTSDiscount($U$35,Y13971,,Trigger)</f>
        <v>0.48331215456867993</v>
      </c>
    </row>
    <row r="13972" spans="25:26" x14ac:dyDescent="0.25">
      <c r="Y13972" s="63">
        <v>56505</v>
      </c>
      <c r="Z13972" s="61">
        <f>_xll.qlYieldTSDiscount($U$35,Y13972,,Trigger)</f>
        <v>0.48328111599130696</v>
      </c>
    </row>
    <row r="13973" spans="25:26" x14ac:dyDescent="0.25">
      <c r="Y13973" s="63">
        <v>56506</v>
      </c>
      <c r="Z13973" s="61">
        <f>_xll.qlYieldTSDiscount($U$35,Y13973,,Trigger)</f>
        <v>0.4832500803322437</v>
      </c>
    </row>
    <row r="13974" spans="25:26" x14ac:dyDescent="0.25">
      <c r="Y13974" s="63">
        <v>56507</v>
      </c>
      <c r="Z13974" s="61">
        <f>_xll.qlYieldTSDiscount($U$35,Y13974,,Trigger)</f>
        <v>0.48321904759112411</v>
      </c>
    </row>
    <row r="13975" spans="25:26" x14ac:dyDescent="0.25">
      <c r="Y13975" s="63">
        <v>56508</v>
      </c>
      <c r="Z13975" s="61">
        <f>_xll.qlYieldTSDiscount($U$35,Y13975,,Trigger)</f>
        <v>0.4831880177675823</v>
      </c>
    </row>
    <row r="13976" spans="25:26" x14ac:dyDescent="0.25">
      <c r="Y13976" s="63">
        <v>56509</v>
      </c>
      <c r="Z13976" s="61">
        <f>_xll.qlYieldTSDiscount($U$35,Y13976,,Trigger)</f>
        <v>0.48315699086125213</v>
      </c>
    </row>
    <row r="13977" spans="25:26" x14ac:dyDescent="0.25">
      <c r="Y13977" s="63">
        <v>56510</v>
      </c>
      <c r="Z13977" s="61">
        <f>_xll.qlYieldTSDiscount($U$35,Y13977,,Trigger)</f>
        <v>0.48312596687176768</v>
      </c>
    </row>
    <row r="13978" spans="25:26" x14ac:dyDescent="0.25">
      <c r="Y13978" s="63">
        <v>56511</v>
      </c>
      <c r="Z13978" s="61">
        <f>_xll.qlYieldTSDiscount($U$35,Y13978,,Trigger)</f>
        <v>0.48309494579876305</v>
      </c>
    </row>
    <row r="13979" spans="25:26" x14ac:dyDescent="0.25">
      <c r="Y13979" s="63">
        <v>56512</v>
      </c>
      <c r="Z13979" s="61">
        <f>_xll.qlYieldTSDiscount($U$35,Y13979,,Trigger)</f>
        <v>0.48306392764187212</v>
      </c>
    </row>
    <row r="13980" spans="25:26" x14ac:dyDescent="0.25">
      <c r="Y13980" s="63">
        <v>56513</v>
      </c>
      <c r="Z13980" s="61">
        <f>_xll.qlYieldTSDiscount($U$35,Y13980,,Trigger)</f>
        <v>0.48303291240072904</v>
      </c>
    </row>
    <row r="13981" spans="25:26" x14ac:dyDescent="0.25">
      <c r="Y13981" s="63">
        <v>56514</v>
      </c>
      <c r="Z13981" s="61">
        <f>_xll.qlYieldTSDiscount($U$35,Y13981,,Trigger)</f>
        <v>0.48300190007496785</v>
      </c>
    </row>
    <row r="13982" spans="25:26" x14ac:dyDescent="0.25">
      <c r="Y13982" s="63">
        <v>56515</v>
      </c>
      <c r="Z13982" s="61">
        <f>_xll.qlYieldTSDiscount($U$35,Y13982,,Trigger)</f>
        <v>0.48297089066422244</v>
      </c>
    </row>
    <row r="13983" spans="25:26" x14ac:dyDescent="0.25">
      <c r="Y13983" s="63">
        <v>56516</v>
      </c>
      <c r="Z13983" s="61">
        <f>_xll.qlYieldTSDiscount($U$35,Y13983,,Trigger)</f>
        <v>0.48293988416812689</v>
      </c>
    </row>
    <row r="13984" spans="25:26" x14ac:dyDescent="0.25">
      <c r="Y13984" s="63">
        <v>56517</v>
      </c>
      <c r="Z13984" s="61">
        <f>_xll.qlYieldTSDiscount($U$35,Y13984,,Trigger)</f>
        <v>0.48290888058631531</v>
      </c>
    </row>
    <row r="13985" spans="25:26" x14ac:dyDescent="0.25">
      <c r="Y13985" s="63">
        <v>56518</v>
      </c>
      <c r="Z13985" s="61">
        <f>_xll.qlYieldTSDiscount($U$35,Y13985,,Trigger)</f>
        <v>0.48287787991842157</v>
      </c>
    </row>
    <row r="13986" spans="25:26" x14ac:dyDescent="0.25">
      <c r="Y13986" s="63">
        <v>56519</v>
      </c>
      <c r="Z13986" s="61">
        <f>_xll.qlYieldTSDiscount($U$35,Y13986,,Trigger)</f>
        <v>0.48284688216407973</v>
      </c>
    </row>
    <row r="13987" spans="25:26" x14ac:dyDescent="0.25">
      <c r="Y13987" s="63">
        <v>56520</v>
      </c>
      <c r="Z13987" s="61">
        <f>_xll.qlYieldTSDiscount($U$35,Y13987,,Trigger)</f>
        <v>0.48281588732292391</v>
      </c>
    </row>
    <row r="13988" spans="25:26" x14ac:dyDescent="0.25">
      <c r="Y13988" s="63">
        <v>56521</v>
      </c>
      <c r="Z13988" s="61">
        <f>_xll.qlYieldTSDiscount($U$35,Y13988,,Trigger)</f>
        <v>0.48278489539458808</v>
      </c>
    </row>
    <row r="13989" spans="25:26" x14ac:dyDescent="0.25">
      <c r="Y13989" s="63">
        <v>56522</v>
      </c>
      <c r="Z13989" s="61">
        <f>_xll.qlYieldTSDiscount($U$35,Y13989,,Trigger)</f>
        <v>0.48275390637870619</v>
      </c>
    </row>
    <row r="13990" spans="25:26" x14ac:dyDescent="0.25">
      <c r="Y13990" s="63">
        <v>56523</v>
      </c>
      <c r="Z13990" s="61">
        <f>_xll.qlYieldTSDiscount($U$35,Y13990,,Trigger)</f>
        <v>0.48272292027491237</v>
      </c>
    </row>
    <row r="13991" spans="25:26" x14ac:dyDescent="0.25">
      <c r="Y13991" s="63">
        <v>56524</v>
      </c>
      <c r="Z13991" s="61">
        <f>_xll.qlYieldTSDiscount($U$35,Y13991,,Trigger)</f>
        <v>0.48269193708284064</v>
      </c>
    </row>
    <row r="13992" spans="25:26" x14ac:dyDescent="0.25">
      <c r="Y13992" s="63">
        <v>56525</v>
      </c>
      <c r="Z13992" s="61">
        <f>_xll.qlYieldTSDiscount($U$35,Y13992,,Trigger)</f>
        <v>0.4826609568021249</v>
      </c>
    </row>
    <row r="13993" spans="25:26" x14ac:dyDescent="0.25">
      <c r="Y13993" s="63">
        <v>56526</v>
      </c>
      <c r="Z13993" s="61">
        <f>_xll.qlYieldTSDiscount($U$35,Y13993,,Trigger)</f>
        <v>0.48262997943239927</v>
      </c>
    </row>
    <row r="13994" spans="25:26" x14ac:dyDescent="0.25">
      <c r="Y13994" s="63">
        <v>56527</v>
      </c>
      <c r="Z13994" s="61">
        <f>_xll.qlYieldTSDiscount($U$35,Y13994,,Trigger)</f>
        <v>0.48259900497329783</v>
      </c>
    </row>
    <row r="13995" spans="25:26" x14ac:dyDescent="0.25">
      <c r="Y13995" s="63">
        <v>56528</v>
      </c>
      <c r="Z13995" s="61">
        <f>_xll.qlYieldTSDiscount($U$35,Y13995,,Trigger)</f>
        <v>0.48256803342445442</v>
      </c>
    </row>
    <row r="13996" spans="25:26" x14ac:dyDescent="0.25">
      <c r="Y13996" s="63">
        <v>56529</v>
      </c>
      <c r="Z13996" s="61">
        <f>_xll.qlYieldTSDiscount($U$35,Y13996,,Trigger)</f>
        <v>0.48253706478550318</v>
      </c>
    </row>
    <row r="13997" spans="25:26" x14ac:dyDescent="0.25">
      <c r="Y13997" s="63">
        <v>56530</v>
      </c>
      <c r="Z13997" s="61">
        <f>_xll.qlYieldTSDiscount($U$35,Y13997,,Trigger)</f>
        <v>0.48250609905607816</v>
      </c>
    </row>
    <row r="13998" spans="25:26" x14ac:dyDescent="0.25">
      <c r="Y13998" s="63">
        <v>56531</v>
      </c>
      <c r="Z13998" s="61">
        <f>_xll.qlYieldTSDiscount($U$35,Y13998,,Trigger)</f>
        <v>0.48247513623581328</v>
      </c>
    </row>
    <row r="13999" spans="25:26" x14ac:dyDescent="0.25">
      <c r="Y13999" s="63">
        <v>56532</v>
      </c>
      <c r="Z13999" s="61">
        <f>_xll.qlYieldTSDiscount($U$35,Y13999,,Trigger)</f>
        <v>0.48244417632434267</v>
      </c>
    </row>
    <row r="14000" spans="25:26" x14ac:dyDescent="0.25">
      <c r="Y14000" s="63">
        <v>56533</v>
      </c>
      <c r="Z14000" s="61">
        <f>_xll.qlYieldTSDiscount($U$35,Y14000,,Trigger)</f>
        <v>0.48241321932130032</v>
      </c>
    </row>
    <row r="14001" spans="25:26" x14ac:dyDescent="0.25">
      <c r="Y14001" s="63">
        <v>56534</v>
      </c>
      <c r="Z14001" s="61">
        <f>_xll.qlYieldTSDiscount($U$35,Y14001,,Trigger)</f>
        <v>0.48238226522632016</v>
      </c>
    </row>
    <row r="14002" spans="25:26" x14ac:dyDescent="0.25">
      <c r="Y14002" s="63">
        <v>56535</v>
      </c>
      <c r="Z14002" s="61">
        <f>_xll.qlYieldTSDiscount($U$35,Y14002,,Trigger)</f>
        <v>0.48235131403903631</v>
      </c>
    </row>
    <row r="14003" spans="25:26" x14ac:dyDescent="0.25">
      <c r="Y14003" s="63">
        <v>56536</v>
      </c>
      <c r="Z14003" s="61">
        <f>_xll.qlYieldTSDiscount($U$35,Y14003,,Trigger)</f>
        <v>0.48232036575908277</v>
      </c>
    </row>
    <row r="14004" spans="25:26" x14ac:dyDescent="0.25">
      <c r="Y14004" s="63">
        <v>56537</v>
      </c>
      <c r="Z14004" s="61">
        <f>_xll.qlYieldTSDiscount($U$35,Y14004,,Trigger)</f>
        <v>0.48228942038609363</v>
      </c>
    </row>
    <row r="14005" spans="25:26" x14ac:dyDescent="0.25">
      <c r="Y14005" s="63">
        <v>56538</v>
      </c>
      <c r="Z14005" s="61">
        <f>_xll.qlYieldTSDiscount($U$35,Y14005,,Trigger)</f>
        <v>0.48225847791970278</v>
      </c>
    </row>
    <row r="14006" spans="25:26" x14ac:dyDescent="0.25">
      <c r="Y14006" s="63">
        <v>56539</v>
      </c>
      <c r="Z14006" s="61">
        <f>_xll.qlYieldTSDiscount($U$35,Y14006,,Trigger)</f>
        <v>0.48222753835954429</v>
      </c>
    </row>
    <row r="14007" spans="25:26" x14ac:dyDescent="0.25">
      <c r="Y14007" s="63">
        <v>56540</v>
      </c>
      <c r="Z14007" s="61">
        <f>_xll.qlYieldTSDiscount($U$35,Y14007,,Trigger)</f>
        <v>0.48219660170525225</v>
      </c>
    </row>
    <row r="14008" spans="25:26" x14ac:dyDescent="0.25">
      <c r="Y14008" s="63">
        <v>56541</v>
      </c>
      <c r="Z14008" s="61">
        <f>_xll.qlYieldTSDiscount($U$35,Y14008,,Trigger)</f>
        <v>0.4821656679564606</v>
      </c>
    </row>
    <row r="14009" spans="25:26" x14ac:dyDescent="0.25">
      <c r="Y14009" s="63">
        <v>56542</v>
      </c>
      <c r="Z14009" s="61">
        <f>_xll.qlYieldTSDiscount($U$35,Y14009,,Trigger)</f>
        <v>0.4821347371128033</v>
      </c>
    </row>
    <row r="14010" spans="25:26" x14ac:dyDescent="0.25">
      <c r="Y14010" s="63">
        <v>56543</v>
      </c>
      <c r="Z14010" s="61">
        <f>_xll.qlYieldTSDiscount($U$35,Y14010,,Trigger)</f>
        <v>0.48210380917391465</v>
      </c>
    </row>
    <row r="14011" spans="25:26" x14ac:dyDescent="0.25">
      <c r="Y14011" s="63">
        <v>56544</v>
      </c>
      <c r="Z14011" s="61">
        <f>_xll.qlYieldTSDiscount($U$35,Y14011,,Trigger)</f>
        <v>0.48207288413942834</v>
      </c>
    </row>
    <row r="14012" spans="25:26" x14ac:dyDescent="0.25">
      <c r="Y14012" s="63">
        <v>56545</v>
      </c>
      <c r="Z14012" s="61">
        <f>_xll.qlYieldTSDiscount($U$35,Y14012,,Trigger)</f>
        <v>0.48204196200897853</v>
      </c>
    </row>
    <row r="14013" spans="25:26" x14ac:dyDescent="0.25">
      <c r="Y14013" s="63">
        <v>56546</v>
      </c>
      <c r="Z14013" s="61">
        <f>_xll.qlYieldTSDiscount($U$35,Y14013,,Trigger)</f>
        <v>0.48201104278219936</v>
      </c>
    </row>
    <row r="14014" spans="25:26" x14ac:dyDescent="0.25">
      <c r="Y14014" s="63">
        <v>56547</v>
      </c>
      <c r="Z14014" s="61">
        <f>_xll.qlYieldTSDiscount($U$35,Y14014,,Trigger)</f>
        <v>0.48198012645872462</v>
      </c>
    </row>
    <row r="14015" spans="25:26" x14ac:dyDescent="0.25">
      <c r="Y14015" s="63">
        <v>56548</v>
      </c>
      <c r="Z14015" s="61">
        <f>_xll.qlYieldTSDiscount($U$35,Y14015,,Trigger)</f>
        <v>0.4819492130381885</v>
      </c>
    </row>
    <row r="14016" spans="25:26" x14ac:dyDescent="0.25">
      <c r="Y14016" s="63">
        <v>56549</v>
      </c>
      <c r="Z14016" s="61">
        <f>_xll.qlYieldTSDiscount($U$35,Y14016,,Trigger)</f>
        <v>0.48191830252022499</v>
      </c>
    </row>
    <row r="14017" spans="25:26" x14ac:dyDescent="0.25">
      <c r="Y14017" s="63">
        <v>56550</v>
      </c>
      <c r="Z14017" s="61">
        <f>_xll.qlYieldTSDiscount($U$35,Y14017,,Trigger)</f>
        <v>0.48188739490446808</v>
      </c>
    </row>
    <row r="14018" spans="25:26" x14ac:dyDescent="0.25">
      <c r="Y14018" s="63">
        <v>56551</v>
      </c>
      <c r="Z14018" s="61">
        <f>_xll.qlYieldTSDiscount($U$35,Y14018,,Trigger)</f>
        <v>0.48185649019055177</v>
      </c>
    </row>
    <row r="14019" spans="25:26" x14ac:dyDescent="0.25">
      <c r="Y14019" s="63">
        <v>56552</v>
      </c>
      <c r="Z14019" s="61">
        <f>_xll.qlYieldTSDiscount($U$35,Y14019,,Trigger)</f>
        <v>0.48182558837811013</v>
      </c>
    </row>
    <row r="14020" spans="25:26" x14ac:dyDescent="0.25">
      <c r="Y14020" s="63">
        <v>56553</v>
      </c>
      <c r="Z14020" s="61">
        <f>_xll.qlYieldTSDiscount($U$35,Y14020,,Trigger)</f>
        <v>0.48179468946677723</v>
      </c>
    </row>
    <row r="14021" spans="25:26" x14ac:dyDescent="0.25">
      <c r="Y14021" s="63">
        <v>56554</v>
      </c>
      <c r="Z14021" s="61">
        <f>_xll.qlYieldTSDiscount($U$35,Y14021,,Trigger)</f>
        <v>0.48176379345618692</v>
      </c>
    </row>
    <row r="14022" spans="25:26" x14ac:dyDescent="0.25">
      <c r="Y14022" s="63">
        <v>56555</v>
      </c>
      <c r="Z14022" s="61">
        <f>_xll.qlYieldTSDiscount($U$35,Y14022,,Trigger)</f>
        <v>0.48173290034597338</v>
      </c>
    </row>
    <row r="14023" spans="25:26" x14ac:dyDescent="0.25">
      <c r="Y14023" s="63">
        <v>56556</v>
      </c>
      <c r="Z14023" s="61">
        <f>_xll.qlYieldTSDiscount($U$35,Y14023,,Trigger)</f>
        <v>0.48170201013577069</v>
      </c>
    </row>
    <row r="14024" spans="25:26" x14ac:dyDescent="0.25">
      <c r="Y14024" s="63">
        <v>56557</v>
      </c>
      <c r="Z14024" s="61">
        <f>_xll.qlYieldTSDiscount($U$35,Y14024,,Trigger)</f>
        <v>0.48167112282521263</v>
      </c>
    </row>
    <row r="14025" spans="25:26" x14ac:dyDescent="0.25">
      <c r="Y14025" s="63">
        <v>56558</v>
      </c>
      <c r="Z14025" s="61">
        <f>_xll.qlYieldTSDiscount($U$35,Y14025,,Trigger)</f>
        <v>0.48164023841393344</v>
      </c>
    </row>
    <row r="14026" spans="25:26" x14ac:dyDescent="0.25">
      <c r="Y14026" s="63">
        <v>56559</v>
      </c>
      <c r="Z14026" s="61">
        <f>_xll.qlYieldTSDiscount($U$35,Y14026,,Trigger)</f>
        <v>0.48160935690156703</v>
      </c>
    </row>
    <row r="14027" spans="25:26" x14ac:dyDescent="0.25">
      <c r="Y14027" s="63">
        <v>56560</v>
      </c>
      <c r="Z14027" s="61">
        <f>_xll.qlYieldTSDiscount($U$35,Y14027,,Trigger)</f>
        <v>0.48157847828774747</v>
      </c>
    </row>
    <row r="14028" spans="25:26" x14ac:dyDescent="0.25">
      <c r="Y14028" s="63">
        <v>56561</v>
      </c>
      <c r="Z14028" s="61">
        <f>_xll.qlYieldTSDiscount($U$35,Y14028,,Trigger)</f>
        <v>0.48154760257210871</v>
      </c>
    </row>
    <row r="14029" spans="25:26" x14ac:dyDescent="0.25">
      <c r="Y14029" s="63">
        <v>56562</v>
      </c>
      <c r="Z14029" s="61">
        <f>_xll.qlYieldTSDiscount($U$35,Y14029,,Trigger)</f>
        <v>0.48151672975428494</v>
      </c>
    </row>
    <row r="14030" spans="25:26" x14ac:dyDescent="0.25">
      <c r="Y14030" s="63">
        <v>56563</v>
      </c>
      <c r="Z14030" s="61">
        <f>_xll.qlYieldTSDiscount($U$35,Y14030,,Trigger)</f>
        <v>0.48148585983390996</v>
      </c>
    </row>
    <row r="14031" spans="25:26" x14ac:dyDescent="0.25">
      <c r="Y14031" s="63">
        <v>56564</v>
      </c>
      <c r="Z14031" s="61">
        <f>_xll.qlYieldTSDiscount($U$35,Y14031,,Trigger)</f>
        <v>0.48145499281061788</v>
      </c>
    </row>
    <row r="14032" spans="25:26" x14ac:dyDescent="0.25">
      <c r="Y14032" s="63">
        <v>56565</v>
      </c>
      <c r="Z14032" s="61">
        <f>_xll.qlYieldTSDiscount($U$35,Y14032,,Trigger)</f>
        <v>0.48142412868404283</v>
      </c>
    </row>
    <row r="14033" spans="25:26" x14ac:dyDescent="0.25">
      <c r="Y14033" s="63">
        <v>56566</v>
      </c>
      <c r="Z14033" s="61">
        <f>_xll.qlYieldTSDiscount($U$35,Y14033,,Trigger)</f>
        <v>0.48139326745381872</v>
      </c>
    </row>
    <row r="14034" spans="25:26" x14ac:dyDescent="0.25">
      <c r="Y14034" s="63">
        <v>56567</v>
      </c>
      <c r="Z14034" s="61">
        <f>_xll.qlYieldTSDiscount($U$35,Y14034,,Trigger)</f>
        <v>0.48136240911957956</v>
      </c>
    </row>
    <row r="14035" spans="25:26" x14ac:dyDescent="0.25">
      <c r="Y14035" s="63">
        <v>56568</v>
      </c>
      <c r="Z14035" s="61">
        <f>_xll.qlYieldTSDiscount($U$35,Y14035,,Trigger)</f>
        <v>0.48133155368095942</v>
      </c>
    </row>
    <row r="14036" spans="25:26" x14ac:dyDescent="0.25">
      <c r="Y14036" s="63">
        <v>56569</v>
      </c>
      <c r="Z14036" s="61">
        <f>_xll.qlYieldTSDiscount($U$35,Y14036,,Trigger)</f>
        <v>0.48130070113759238</v>
      </c>
    </row>
    <row r="14037" spans="25:26" x14ac:dyDescent="0.25">
      <c r="Y14037" s="63">
        <v>56570</v>
      </c>
      <c r="Z14037" s="61">
        <f>_xll.qlYieldTSDiscount($U$35,Y14037,,Trigger)</f>
        <v>0.48126985148911233</v>
      </c>
    </row>
    <row r="14038" spans="25:26" x14ac:dyDescent="0.25">
      <c r="Y14038" s="63">
        <v>56571</v>
      </c>
      <c r="Z14038" s="61">
        <f>_xll.qlYieldTSDiscount($U$35,Y14038,,Trigger)</f>
        <v>0.48123900473515335</v>
      </c>
    </row>
    <row r="14039" spans="25:26" x14ac:dyDescent="0.25">
      <c r="Y14039" s="63">
        <v>56572</v>
      </c>
      <c r="Z14039" s="61">
        <f>_xll.qlYieldTSDiscount($U$35,Y14039,,Trigger)</f>
        <v>0.48120816087534951</v>
      </c>
    </row>
    <row r="14040" spans="25:26" x14ac:dyDescent="0.25">
      <c r="Y14040" s="63">
        <v>56573</v>
      </c>
      <c r="Z14040" s="61">
        <f>_xll.qlYieldTSDiscount($U$35,Y14040,,Trigger)</f>
        <v>0.48117731990933471</v>
      </c>
    </row>
    <row r="14041" spans="25:26" x14ac:dyDescent="0.25">
      <c r="Y14041" s="63">
        <v>56574</v>
      </c>
      <c r="Z14041" s="61">
        <f>_xll.qlYieldTSDiscount($U$35,Y14041,,Trigger)</f>
        <v>0.48114648183674308</v>
      </c>
    </row>
    <row r="14042" spans="25:26" x14ac:dyDescent="0.25">
      <c r="Y14042" s="63">
        <v>56575</v>
      </c>
      <c r="Z14042" s="61">
        <f>_xll.qlYieldTSDiscount($U$35,Y14042,,Trigger)</f>
        <v>0.48111564665720863</v>
      </c>
    </row>
    <row r="14043" spans="25:26" x14ac:dyDescent="0.25">
      <c r="Y14043" s="63">
        <v>56576</v>
      </c>
      <c r="Z14043" s="61">
        <f>_xll.qlYieldTSDiscount($U$35,Y14043,,Trigger)</f>
        <v>0.48108481437036538</v>
      </c>
    </row>
    <row r="14044" spans="25:26" x14ac:dyDescent="0.25">
      <c r="Y14044" s="63">
        <v>56577</v>
      </c>
      <c r="Z14044" s="61">
        <f>_xll.qlYieldTSDiscount($U$35,Y14044,,Trigger)</f>
        <v>0.48105398497584728</v>
      </c>
    </row>
    <row r="14045" spans="25:26" x14ac:dyDescent="0.25">
      <c r="Y14045" s="63">
        <v>56578</v>
      </c>
      <c r="Z14045" s="61">
        <f>_xll.qlYieldTSDiscount($U$35,Y14045,,Trigger)</f>
        <v>0.48102315847328847</v>
      </c>
    </row>
    <row r="14046" spans="25:26" x14ac:dyDescent="0.25">
      <c r="Y14046" s="63">
        <v>56579</v>
      </c>
      <c r="Z14046" s="61">
        <f>_xll.qlYieldTSDiscount($U$35,Y14046,,Trigger)</f>
        <v>0.48099233486232285</v>
      </c>
    </row>
    <row r="14047" spans="25:26" x14ac:dyDescent="0.25">
      <c r="Y14047" s="63">
        <v>56580</v>
      </c>
      <c r="Z14047" s="61">
        <f>_xll.qlYieldTSDiscount($U$35,Y14047,,Trigger)</f>
        <v>0.48096151414258448</v>
      </c>
    </row>
    <row r="14048" spans="25:26" x14ac:dyDescent="0.25">
      <c r="Y14048" s="63">
        <v>56581</v>
      </c>
      <c r="Z14048" s="61">
        <f>_xll.qlYieldTSDiscount($U$35,Y14048,,Trigger)</f>
        <v>0.48093069631370744</v>
      </c>
    </row>
    <row r="14049" spans="25:26" x14ac:dyDescent="0.25">
      <c r="Y14049" s="63">
        <v>56582</v>
      </c>
      <c r="Z14049" s="61">
        <f>_xll.qlYieldTSDiscount($U$35,Y14049,,Trigger)</f>
        <v>0.48089988137532574</v>
      </c>
    </row>
    <row r="14050" spans="25:26" x14ac:dyDescent="0.25">
      <c r="Y14050" s="63">
        <v>56583</v>
      </c>
      <c r="Z14050" s="61">
        <f>_xll.qlYieldTSDiscount($U$35,Y14050,,Trigger)</f>
        <v>0.48086906932707335</v>
      </c>
    </row>
    <row r="14051" spans="25:26" x14ac:dyDescent="0.25">
      <c r="Y14051" s="63">
        <v>56584</v>
      </c>
      <c r="Z14051" s="61">
        <f>_xll.qlYieldTSDiscount($U$35,Y14051,,Trigger)</f>
        <v>0.48083826016858427</v>
      </c>
    </row>
    <row r="14052" spans="25:26" x14ac:dyDescent="0.25">
      <c r="Y14052" s="63">
        <v>56585</v>
      </c>
      <c r="Z14052" s="61">
        <f>_xll.qlYieldTSDiscount($U$35,Y14052,,Trigger)</f>
        <v>0.4808074538994927</v>
      </c>
    </row>
    <row r="14053" spans="25:26" x14ac:dyDescent="0.25">
      <c r="Y14053" s="63">
        <v>56586</v>
      </c>
      <c r="Z14053" s="61">
        <f>_xll.qlYieldTSDiscount($U$35,Y14053,,Trigger)</f>
        <v>0.48077665051943241</v>
      </c>
    </row>
    <row r="14054" spans="25:26" x14ac:dyDescent="0.25">
      <c r="Y14054" s="63">
        <v>56587</v>
      </c>
      <c r="Z14054" s="61">
        <f>_xll.qlYieldTSDiscount($U$35,Y14054,,Trigger)</f>
        <v>0.48074585002803755</v>
      </c>
    </row>
    <row r="14055" spans="25:26" x14ac:dyDescent="0.25">
      <c r="Y14055" s="63">
        <v>56588</v>
      </c>
      <c r="Z14055" s="61">
        <f>_xll.qlYieldTSDiscount($U$35,Y14055,,Trigger)</f>
        <v>0.48071505242494222</v>
      </c>
    </row>
    <row r="14056" spans="25:26" x14ac:dyDescent="0.25">
      <c r="Y14056" s="63">
        <v>56589</v>
      </c>
      <c r="Z14056" s="61">
        <f>_xll.qlYieldTSDiscount($U$35,Y14056,,Trigger)</f>
        <v>0.48068425770978029</v>
      </c>
    </row>
    <row r="14057" spans="25:26" x14ac:dyDescent="0.25">
      <c r="Y14057" s="63">
        <v>56590</v>
      </c>
      <c r="Z14057" s="61">
        <f>_xll.qlYieldTSDiscount($U$35,Y14057,,Trigger)</f>
        <v>0.48065346588218583</v>
      </c>
    </row>
    <row r="14058" spans="25:26" x14ac:dyDescent="0.25">
      <c r="Y14058" s="63">
        <v>56591</v>
      </c>
      <c r="Z14058" s="61">
        <f>_xll.qlYieldTSDiscount($U$35,Y14058,,Trigger)</f>
        <v>0.480622676941793</v>
      </c>
    </row>
    <row r="14059" spans="25:26" x14ac:dyDescent="0.25">
      <c r="Y14059" s="63">
        <v>56592</v>
      </c>
      <c r="Z14059" s="61">
        <f>_xll.qlYieldTSDiscount($U$35,Y14059,,Trigger)</f>
        <v>0.48059189088823556</v>
      </c>
    </row>
    <row r="14060" spans="25:26" x14ac:dyDescent="0.25">
      <c r="Y14060" s="63">
        <v>56593</v>
      </c>
      <c r="Z14060" s="61">
        <f>_xll.qlYieldTSDiscount($U$35,Y14060,,Trigger)</f>
        <v>0.48056110772114768</v>
      </c>
    </row>
    <row r="14061" spans="25:26" x14ac:dyDescent="0.25">
      <c r="Y14061" s="63">
        <v>56594</v>
      </c>
      <c r="Z14061" s="61">
        <f>_xll.qlYieldTSDiscount($U$35,Y14061,,Trigger)</f>
        <v>0.48053032744016355</v>
      </c>
    </row>
    <row r="14062" spans="25:26" x14ac:dyDescent="0.25">
      <c r="Y14062" s="63">
        <v>56595</v>
      </c>
      <c r="Z14062" s="61">
        <f>_xll.qlYieldTSDiscount($U$35,Y14062,,Trigger)</f>
        <v>0.48049955004491685</v>
      </c>
    </row>
    <row r="14063" spans="25:26" x14ac:dyDescent="0.25">
      <c r="Y14063" s="63">
        <v>56596</v>
      </c>
      <c r="Z14063" s="61">
        <f>_xll.qlYieldTSDiscount($U$35,Y14063,,Trigger)</f>
        <v>0.48046877553504175</v>
      </c>
    </row>
    <row r="14064" spans="25:26" x14ac:dyDescent="0.25">
      <c r="Y14064" s="63">
        <v>56597</v>
      </c>
      <c r="Z14064" s="61">
        <f>_xll.qlYieldTSDiscount($U$35,Y14064,,Trigger)</f>
        <v>0.48043800391017233</v>
      </c>
    </row>
    <row r="14065" spans="25:26" x14ac:dyDescent="0.25">
      <c r="Y14065" s="63">
        <v>56598</v>
      </c>
      <c r="Z14065" s="61">
        <f>_xll.qlYieldTSDiscount($U$35,Y14065,,Trigger)</f>
        <v>0.48040723516994266</v>
      </c>
    </row>
    <row r="14066" spans="25:26" x14ac:dyDescent="0.25">
      <c r="Y14066" s="63">
        <v>56599</v>
      </c>
      <c r="Z14066" s="61">
        <f>_xll.qlYieldTSDiscount($U$35,Y14066,,Trigger)</f>
        <v>0.48037646931398659</v>
      </c>
    </row>
    <row r="14067" spans="25:26" x14ac:dyDescent="0.25">
      <c r="Y14067" s="63">
        <v>56600</v>
      </c>
      <c r="Z14067" s="61">
        <f>_xll.qlYieldTSDiscount($U$35,Y14067,,Trigger)</f>
        <v>0.48034570634193824</v>
      </c>
    </row>
    <row r="14068" spans="25:26" x14ac:dyDescent="0.25">
      <c r="Y14068" s="63">
        <v>56601</v>
      </c>
      <c r="Z14068" s="61">
        <f>_xll.qlYieldTSDiscount($U$35,Y14068,,Trigger)</f>
        <v>0.48031494625343168</v>
      </c>
    </row>
    <row r="14069" spans="25:26" x14ac:dyDescent="0.25">
      <c r="Y14069" s="63">
        <v>56602</v>
      </c>
      <c r="Z14069" s="61">
        <f>_xll.qlYieldTSDiscount($U$35,Y14069,,Trigger)</f>
        <v>0.48028418904810077</v>
      </c>
    </row>
    <row r="14070" spans="25:26" x14ac:dyDescent="0.25">
      <c r="Y14070" s="63">
        <v>56603</v>
      </c>
      <c r="Z14070" s="61">
        <f>_xll.qlYieldTSDiscount($U$35,Y14070,,Trigger)</f>
        <v>0.48025343472557969</v>
      </c>
    </row>
    <row r="14071" spans="25:26" x14ac:dyDescent="0.25">
      <c r="Y14071" s="63">
        <v>56604</v>
      </c>
      <c r="Z14071" s="61">
        <f>_xll.qlYieldTSDiscount($U$35,Y14071,,Trigger)</f>
        <v>0.48022268328550244</v>
      </c>
    </row>
    <row r="14072" spans="25:26" x14ac:dyDescent="0.25">
      <c r="Y14072" s="63">
        <v>56605</v>
      </c>
      <c r="Z14072" s="61">
        <f>_xll.qlYieldTSDiscount($U$35,Y14072,,Trigger)</f>
        <v>0.48019193472750299</v>
      </c>
    </row>
    <row r="14073" spans="25:26" x14ac:dyDescent="0.25">
      <c r="Y14073" s="63">
        <v>56606</v>
      </c>
      <c r="Z14073" s="61">
        <f>_xll.qlYieldTSDiscount($U$35,Y14073,,Trigger)</f>
        <v>0.4801611890512153</v>
      </c>
    </row>
    <row r="14074" spans="25:26" x14ac:dyDescent="0.25">
      <c r="Y14074" s="63">
        <v>56607</v>
      </c>
      <c r="Z14074" s="61">
        <f>_xll.qlYieldTSDiscount($U$35,Y14074,,Trigger)</f>
        <v>0.4801304462562736</v>
      </c>
    </row>
    <row r="14075" spans="25:26" x14ac:dyDescent="0.25">
      <c r="Y14075" s="63">
        <v>56608</v>
      </c>
      <c r="Z14075" s="61">
        <f>_xll.qlYieldTSDiscount($U$35,Y14075,,Trigger)</f>
        <v>0.48009970634231169</v>
      </c>
    </row>
    <row r="14076" spans="25:26" x14ac:dyDescent="0.25">
      <c r="Y14076" s="63">
        <v>56609</v>
      </c>
      <c r="Z14076" s="61">
        <f>_xll.qlYieldTSDiscount($U$35,Y14076,,Trigger)</f>
        <v>0.48006896930896364</v>
      </c>
    </row>
    <row r="14077" spans="25:26" x14ac:dyDescent="0.25">
      <c r="Y14077" s="63">
        <v>56610</v>
      </c>
      <c r="Z14077" s="61">
        <f>_xll.qlYieldTSDiscount($U$35,Y14077,,Trigger)</f>
        <v>0.48003823515586358</v>
      </c>
    </row>
    <row r="14078" spans="25:26" x14ac:dyDescent="0.25">
      <c r="Y14078" s="63">
        <v>56611</v>
      </c>
      <c r="Z14078" s="61">
        <f>_xll.qlYieldTSDiscount($U$35,Y14078,,Trigger)</f>
        <v>0.48000750388264551</v>
      </c>
    </row>
    <row r="14079" spans="25:26" x14ac:dyDescent="0.25">
      <c r="Y14079" s="63">
        <v>56612</v>
      </c>
      <c r="Z14079" s="61">
        <f>_xll.qlYieldTSDiscount($U$35,Y14079,,Trigger)</f>
        <v>0.47997677548894335</v>
      </c>
    </row>
    <row r="14080" spans="25:26" x14ac:dyDescent="0.25">
      <c r="Y14080" s="63">
        <v>56613</v>
      </c>
      <c r="Z14080" s="61">
        <f>_xll.qlYieldTSDiscount($U$35,Y14080,,Trigger)</f>
        <v>0.47994604997439116</v>
      </c>
    </row>
    <row r="14081" spans="25:26" x14ac:dyDescent="0.25">
      <c r="Y14081" s="63">
        <v>56614</v>
      </c>
      <c r="Z14081" s="61">
        <f>_xll.qlYieldTSDiscount($U$35,Y14081,,Trigger)</f>
        <v>0.47991532733862308</v>
      </c>
    </row>
    <row r="14082" spans="25:26" x14ac:dyDescent="0.25">
      <c r="Y14082" s="63">
        <v>56615</v>
      </c>
      <c r="Z14082" s="61">
        <f>_xll.qlYieldTSDiscount($U$35,Y14082,,Trigger)</f>
        <v>0.47988460758127294</v>
      </c>
    </row>
    <row r="14083" spans="25:26" x14ac:dyDescent="0.25">
      <c r="Y14083" s="63">
        <v>56616</v>
      </c>
      <c r="Z14083" s="61">
        <f>_xll.qlYieldTSDiscount($U$35,Y14083,,Trigger)</f>
        <v>0.47985389070197487</v>
      </c>
    </row>
    <row r="14084" spans="25:26" x14ac:dyDescent="0.25">
      <c r="Y14084" s="63">
        <v>56617</v>
      </c>
      <c r="Z14084" s="61">
        <f>_xll.qlYieldTSDiscount($U$35,Y14084,,Trigger)</f>
        <v>0.47982317670036295</v>
      </c>
    </row>
    <row r="14085" spans="25:26" x14ac:dyDescent="0.25">
      <c r="Y14085" s="63">
        <v>56618</v>
      </c>
      <c r="Z14085" s="61">
        <f>_xll.qlYieldTSDiscount($U$35,Y14085,,Trigger)</f>
        <v>0.47979246557607103</v>
      </c>
    </row>
    <row r="14086" spans="25:26" x14ac:dyDescent="0.25">
      <c r="Y14086" s="63">
        <v>56619</v>
      </c>
      <c r="Z14086" s="61">
        <f>_xll.qlYieldTSDiscount($U$35,Y14086,,Trigger)</f>
        <v>0.47976175732873327</v>
      </c>
    </row>
    <row r="14087" spans="25:26" x14ac:dyDescent="0.25">
      <c r="Y14087" s="63">
        <v>56620</v>
      </c>
      <c r="Z14087" s="61">
        <f>_xll.qlYieldTSDiscount($U$35,Y14087,,Trigger)</f>
        <v>0.47973105195798371</v>
      </c>
    </row>
    <row r="14088" spans="25:26" x14ac:dyDescent="0.25">
      <c r="Y14088" s="63">
        <v>56621</v>
      </c>
      <c r="Z14088" s="61">
        <f>_xll.qlYieldTSDiscount($U$35,Y14088,,Trigger)</f>
        <v>0.4797003494634563</v>
      </c>
    </row>
    <row r="14089" spans="25:26" x14ac:dyDescent="0.25">
      <c r="Y14089" s="63">
        <v>56622</v>
      </c>
      <c r="Z14089" s="61">
        <f>_xll.qlYieldTSDiscount($U$35,Y14089,,Trigger)</f>
        <v>0.479669649844785</v>
      </c>
    </row>
    <row r="14090" spans="25:26" x14ac:dyDescent="0.25">
      <c r="Y14090" s="63">
        <v>56623</v>
      </c>
      <c r="Z14090" s="61">
        <f>_xll.qlYieldTSDiscount($U$35,Y14090,,Trigger)</f>
        <v>0.47963895310160404</v>
      </c>
    </row>
    <row r="14091" spans="25:26" x14ac:dyDescent="0.25">
      <c r="Y14091" s="63">
        <v>56624</v>
      </c>
      <c r="Z14091" s="61">
        <f>_xll.qlYieldTSDiscount($U$35,Y14091,,Trigger)</f>
        <v>0.47960825923354722</v>
      </c>
    </row>
    <row r="14092" spans="25:26" x14ac:dyDescent="0.25">
      <c r="Y14092" s="63">
        <v>56625</v>
      </c>
      <c r="Z14092" s="61">
        <f>_xll.qlYieldTSDiscount($U$35,Y14092,,Trigger)</f>
        <v>0.47957756824024866</v>
      </c>
    </row>
    <row r="14093" spans="25:26" x14ac:dyDescent="0.25">
      <c r="Y14093" s="63">
        <v>56626</v>
      </c>
      <c r="Z14093" s="61">
        <f>_xll.qlYieldTSDiscount($U$35,Y14093,,Trigger)</f>
        <v>0.47954688012134233</v>
      </c>
    </row>
    <row r="14094" spans="25:26" x14ac:dyDescent="0.25">
      <c r="Y14094" s="63">
        <v>56627</v>
      </c>
      <c r="Z14094" s="61">
        <f>_xll.qlYieldTSDiscount($U$35,Y14094,,Trigger)</f>
        <v>0.47951619487646241</v>
      </c>
    </row>
    <row r="14095" spans="25:26" x14ac:dyDescent="0.25">
      <c r="Y14095" s="63">
        <v>56628</v>
      </c>
      <c r="Z14095" s="61">
        <f>_xll.qlYieldTSDiscount($U$35,Y14095,,Trigger)</f>
        <v>0.47948551250524274</v>
      </c>
    </row>
    <row r="14096" spans="25:26" x14ac:dyDescent="0.25">
      <c r="Y14096" s="63">
        <v>56629</v>
      </c>
      <c r="Z14096" s="61">
        <f>_xll.qlYieldTSDiscount($U$35,Y14096,,Trigger)</f>
        <v>0.47945483300731739</v>
      </c>
    </row>
    <row r="14097" spans="25:26" x14ac:dyDescent="0.25">
      <c r="Y14097" s="63">
        <v>56630</v>
      </c>
      <c r="Z14097" s="61">
        <f>_xll.qlYieldTSDiscount($U$35,Y14097,,Trigger)</f>
        <v>0.4794241563823205</v>
      </c>
    </row>
    <row r="14098" spans="25:26" x14ac:dyDescent="0.25">
      <c r="Y14098" s="63">
        <v>56631</v>
      </c>
      <c r="Z14098" s="61">
        <f>_xll.qlYieldTSDiscount($U$35,Y14098,,Trigger)</f>
        <v>0.4793934826298859</v>
      </c>
    </row>
    <row r="14099" spans="25:26" x14ac:dyDescent="0.25">
      <c r="Y14099" s="63">
        <v>56632</v>
      </c>
      <c r="Z14099" s="61">
        <f>_xll.qlYieldTSDiscount($U$35,Y14099,,Trigger)</f>
        <v>0.47936281174964768</v>
      </c>
    </row>
    <row r="14100" spans="25:26" x14ac:dyDescent="0.25">
      <c r="Y14100" s="63">
        <v>56633</v>
      </c>
      <c r="Z14100" s="61">
        <f>_xll.qlYieldTSDiscount($U$35,Y14100,,Trigger)</f>
        <v>0.47933214374124</v>
      </c>
    </row>
    <row r="14101" spans="25:26" x14ac:dyDescent="0.25">
      <c r="Y14101" s="63">
        <v>56634</v>
      </c>
      <c r="Z14101" s="61">
        <f>_xll.qlYieldTSDiscount($U$35,Y14101,,Trigger)</f>
        <v>0.47930147860429673</v>
      </c>
    </row>
    <row r="14102" spans="25:26" x14ac:dyDescent="0.25">
      <c r="Y14102" s="63">
        <v>56635</v>
      </c>
      <c r="Z14102" s="61">
        <f>_xll.qlYieldTSDiscount($U$35,Y14102,,Trigger)</f>
        <v>0.47927081633845187</v>
      </c>
    </row>
    <row r="14103" spans="25:26" x14ac:dyDescent="0.25">
      <c r="Y14103" s="63">
        <v>56636</v>
      </c>
      <c r="Z14103" s="61">
        <f>_xll.qlYieldTSDiscount($U$35,Y14103,,Trigger)</f>
        <v>0.4792401569433396</v>
      </c>
    </row>
    <row r="14104" spans="25:26" x14ac:dyDescent="0.25">
      <c r="Y14104" s="63">
        <v>56637</v>
      </c>
      <c r="Z14104" s="61">
        <f>_xll.qlYieldTSDiscount($U$35,Y14104,,Trigger)</f>
        <v>0.47920950041859378</v>
      </c>
    </row>
    <row r="14105" spans="25:26" x14ac:dyDescent="0.25">
      <c r="Y14105" s="63">
        <v>56638</v>
      </c>
      <c r="Z14105" s="61">
        <f>_xll.qlYieldTSDiscount($U$35,Y14105,,Trigger)</f>
        <v>0.47917884676384853</v>
      </c>
    </row>
    <row r="14106" spans="25:26" x14ac:dyDescent="0.25">
      <c r="Y14106" s="63">
        <v>56639</v>
      </c>
      <c r="Z14106" s="61">
        <f>_xll.qlYieldTSDiscount($U$35,Y14106,,Trigger)</f>
        <v>0.47914819597873787</v>
      </c>
    </row>
    <row r="14107" spans="25:26" x14ac:dyDescent="0.25">
      <c r="Y14107" s="63">
        <v>56640</v>
      </c>
      <c r="Z14107" s="61">
        <f>_xll.qlYieldTSDiscount($U$35,Y14107,,Trigger)</f>
        <v>0.47911754806289575</v>
      </c>
    </row>
    <row r="14108" spans="25:26" x14ac:dyDescent="0.25">
      <c r="Y14108" s="63">
        <v>56641</v>
      </c>
      <c r="Z14108" s="61">
        <f>_xll.qlYieldTSDiscount($U$35,Y14108,,Trigger)</f>
        <v>0.47908690301595619</v>
      </c>
    </row>
    <row r="14109" spans="25:26" x14ac:dyDescent="0.25">
      <c r="Y14109" s="63">
        <v>56642</v>
      </c>
      <c r="Z14109" s="61">
        <f>_xll.qlYieldTSDiscount($U$35,Y14109,,Trigger)</f>
        <v>0.47905626083755326</v>
      </c>
    </row>
    <row r="14110" spans="25:26" x14ac:dyDescent="0.25">
      <c r="Y14110" s="63">
        <v>56643</v>
      </c>
      <c r="Z14110" s="61">
        <f>_xll.qlYieldTSDiscount($U$35,Y14110,,Trigger)</f>
        <v>0.47902562152732109</v>
      </c>
    </row>
    <row r="14111" spans="25:26" x14ac:dyDescent="0.25">
      <c r="Y14111" s="63">
        <v>56644</v>
      </c>
      <c r="Z14111" s="61">
        <f>_xll.qlYieldTSDiscount($U$35,Y14111,,Trigger)</f>
        <v>0.47899498508489352</v>
      </c>
    </row>
    <row r="14112" spans="25:26" x14ac:dyDescent="0.25">
      <c r="Y14112" s="63">
        <v>56645</v>
      </c>
      <c r="Z14112" s="61">
        <f>_xll.qlYieldTSDiscount($U$35,Y14112,,Trigger)</f>
        <v>0.47896435150990457</v>
      </c>
    </row>
    <row r="14113" spans="25:26" x14ac:dyDescent="0.25">
      <c r="Y14113" s="63">
        <v>56646</v>
      </c>
      <c r="Z14113" s="61">
        <f>_xll.qlYieldTSDiscount($U$35,Y14113,,Trigger)</f>
        <v>0.47893372080198848</v>
      </c>
    </row>
    <row r="14114" spans="25:26" x14ac:dyDescent="0.25">
      <c r="Y14114" s="63">
        <v>56647</v>
      </c>
      <c r="Z14114" s="61">
        <f>_xll.qlYieldTSDiscount($U$35,Y14114,,Trigger)</f>
        <v>0.47890309296077904</v>
      </c>
    </row>
    <row r="14115" spans="25:26" x14ac:dyDescent="0.25">
      <c r="Y14115" s="63">
        <v>56648</v>
      </c>
      <c r="Z14115" s="61">
        <f>_xll.qlYieldTSDiscount($U$35,Y14115,,Trigger)</f>
        <v>0.47887246798591032</v>
      </c>
    </row>
    <row r="14116" spans="25:26" x14ac:dyDescent="0.25">
      <c r="Y14116" s="63">
        <v>56649</v>
      </c>
      <c r="Z14116" s="61">
        <f>_xll.qlYieldTSDiscount($U$35,Y14116,,Trigger)</f>
        <v>0.4788418458770165</v>
      </c>
    </row>
    <row r="14117" spans="25:26" x14ac:dyDescent="0.25">
      <c r="Y14117" s="63">
        <v>56650</v>
      </c>
      <c r="Z14117" s="61">
        <f>_xll.qlYieldTSDiscount($U$35,Y14117,,Trigger)</f>
        <v>0.47881122663373132</v>
      </c>
    </row>
    <row r="14118" spans="25:26" x14ac:dyDescent="0.25">
      <c r="Y14118" s="63">
        <v>56651</v>
      </c>
      <c r="Z14118" s="61">
        <f>_xll.qlYieldTSDiscount($U$35,Y14118,,Trigger)</f>
        <v>0.47878061025568908</v>
      </c>
    </row>
    <row r="14119" spans="25:26" x14ac:dyDescent="0.25">
      <c r="Y14119" s="63">
        <v>56652</v>
      </c>
      <c r="Z14119" s="61">
        <f>_xll.qlYieldTSDiscount($U$35,Y14119,,Trigger)</f>
        <v>0.47874999674252366</v>
      </c>
    </row>
    <row r="14120" spans="25:26" x14ac:dyDescent="0.25">
      <c r="Y14120" s="63">
        <v>56653</v>
      </c>
      <c r="Z14120" s="61">
        <f>_xll.qlYieldTSDiscount($U$35,Y14120,,Trigger)</f>
        <v>0.4787193860938691</v>
      </c>
    </row>
    <row r="14121" spans="25:26" x14ac:dyDescent="0.25">
      <c r="Y14121" s="63">
        <v>56654</v>
      </c>
      <c r="Z14121" s="61">
        <f>_xll.qlYieldTSDiscount($U$35,Y14121,,Trigger)</f>
        <v>0.47868877830935941</v>
      </c>
    </row>
    <row r="14122" spans="25:26" x14ac:dyDescent="0.25">
      <c r="Y14122" s="63">
        <v>56655</v>
      </c>
      <c r="Z14122" s="61">
        <f>_xll.qlYieldTSDiscount($U$35,Y14122,,Trigger)</f>
        <v>0.47865817338862859</v>
      </c>
    </row>
    <row r="14123" spans="25:26" x14ac:dyDescent="0.25">
      <c r="Y14123" s="63">
        <v>56656</v>
      </c>
      <c r="Z14123" s="61">
        <f>_xll.qlYieldTSDiscount($U$35,Y14123,,Trigger)</f>
        <v>0.47862757133131079</v>
      </c>
    </row>
    <row r="14124" spans="25:26" x14ac:dyDescent="0.25">
      <c r="Y14124" s="63">
        <v>56657</v>
      </c>
      <c r="Z14124" s="61">
        <f>_xll.qlYieldTSDiscount($U$35,Y14124,,Trigger)</f>
        <v>0.47859697213703989</v>
      </c>
    </row>
    <row r="14125" spans="25:26" x14ac:dyDescent="0.25">
      <c r="Y14125" s="63">
        <v>56658</v>
      </c>
      <c r="Z14125" s="61">
        <f>_xll.qlYieldTSDiscount($U$35,Y14125,,Trigger)</f>
        <v>0.47856637580544997</v>
      </c>
    </row>
    <row r="14126" spans="25:26" x14ac:dyDescent="0.25">
      <c r="Y14126" s="63">
        <v>56659</v>
      </c>
      <c r="Z14126" s="61">
        <f>_xll.qlYieldTSDiscount($U$35,Y14126,,Trigger)</f>
        <v>0.47853578233617511</v>
      </c>
    </row>
    <row r="14127" spans="25:26" x14ac:dyDescent="0.25">
      <c r="Y14127" s="63">
        <v>56660</v>
      </c>
      <c r="Z14127" s="61">
        <f>_xll.qlYieldTSDiscount($U$35,Y14127,,Trigger)</f>
        <v>0.4785051917288492</v>
      </c>
    </row>
    <row r="14128" spans="25:26" x14ac:dyDescent="0.25">
      <c r="Y14128" s="63">
        <v>56661</v>
      </c>
      <c r="Z14128" s="61">
        <f>_xll.qlYieldTSDiscount($U$35,Y14128,,Trigger)</f>
        <v>0.47847460398310632</v>
      </c>
    </row>
    <row r="14129" spans="25:26" x14ac:dyDescent="0.25">
      <c r="Y14129" s="63">
        <v>56662</v>
      </c>
      <c r="Z14129" s="61">
        <f>_xll.qlYieldTSDiscount($U$35,Y14129,,Trigger)</f>
        <v>0.47844401909858059</v>
      </c>
    </row>
    <row r="14130" spans="25:26" x14ac:dyDescent="0.25">
      <c r="Y14130" s="63">
        <v>56663</v>
      </c>
      <c r="Z14130" s="61">
        <f>_xll.qlYieldTSDiscount($U$35,Y14130,,Trigger)</f>
        <v>0.47841343707490586</v>
      </c>
    </row>
    <row r="14131" spans="25:26" x14ac:dyDescent="0.25">
      <c r="Y14131" s="63">
        <v>56664</v>
      </c>
      <c r="Z14131" s="61">
        <f>_xll.qlYieldTSDiscount($U$35,Y14131,,Trigger)</f>
        <v>0.47838285791171625</v>
      </c>
    </row>
    <row r="14132" spans="25:26" x14ac:dyDescent="0.25">
      <c r="Y14132" s="63">
        <v>56665</v>
      </c>
      <c r="Z14132" s="61">
        <f>_xll.qlYieldTSDiscount($U$35,Y14132,,Trigger)</f>
        <v>0.47835228160864585</v>
      </c>
    </row>
    <row r="14133" spans="25:26" x14ac:dyDescent="0.25">
      <c r="Y14133" s="63">
        <v>56666</v>
      </c>
      <c r="Z14133" s="61">
        <f>_xll.qlYieldTSDiscount($U$35,Y14133,,Trigger)</f>
        <v>0.47832170816532849</v>
      </c>
    </row>
    <row r="14134" spans="25:26" x14ac:dyDescent="0.25">
      <c r="Y14134" s="63">
        <v>56667</v>
      </c>
      <c r="Z14134" s="61">
        <f>_xll.qlYieldTSDiscount($U$35,Y14134,,Trigger)</f>
        <v>0.47829113758139835</v>
      </c>
    </row>
    <row r="14135" spans="25:26" x14ac:dyDescent="0.25">
      <c r="Y14135" s="63">
        <v>56668</v>
      </c>
      <c r="Z14135" s="61">
        <f>_xll.qlYieldTSDiscount($U$35,Y14135,,Trigger)</f>
        <v>0.47826056985648946</v>
      </c>
    </row>
    <row r="14136" spans="25:26" x14ac:dyDescent="0.25">
      <c r="Y14136" s="63">
        <v>56669</v>
      </c>
      <c r="Z14136" s="61">
        <f>_xll.qlYieldTSDiscount($U$35,Y14136,,Trigger)</f>
        <v>0.47823000499023571</v>
      </c>
    </row>
    <row r="14137" spans="25:26" x14ac:dyDescent="0.25">
      <c r="Y14137" s="63">
        <v>56670</v>
      </c>
      <c r="Z14137" s="61">
        <f>_xll.qlYieldTSDiscount($U$35,Y14137,,Trigger)</f>
        <v>0.47819944298227118</v>
      </c>
    </row>
    <row r="14138" spans="25:26" x14ac:dyDescent="0.25">
      <c r="Y14138" s="63">
        <v>56671</v>
      </c>
      <c r="Z14138" s="61">
        <f>_xll.qlYieldTSDiscount($U$35,Y14138,,Trigger)</f>
        <v>0.47816888383222989</v>
      </c>
    </row>
    <row r="14139" spans="25:26" x14ac:dyDescent="0.25">
      <c r="Y14139" s="63">
        <v>56672</v>
      </c>
      <c r="Z14139" s="61">
        <f>_xll.qlYieldTSDiscount($U$35,Y14139,,Trigger)</f>
        <v>0.478138327539746</v>
      </c>
    </row>
    <row r="14140" spans="25:26" x14ac:dyDescent="0.25">
      <c r="Y14140" s="63">
        <v>56673</v>
      </c>
      <c r="Z14140" s="61">
        <f>_xll.qlYieldTSDiscount($U$35,Y14140,,Trigger)</f>
        <v>0.47810777410445332</v>
      </c>
    </row>
    <row r="14141" spans="25:26" x14ac:dyDescent="0.25">
      <c r="Y14141" s="63">
        <v>56674</v>
      </c>
      <c r="Z14141" s="61">
        <f>_xll.qlYieldTSDiscount($U$35,Y14141,,Trigger)</f>
        <v>0.47807722352598597</v>
      </c>
    </row>
    <row r="14142" spans="25:26" x14ac:dyDescent="0.25">
      <c r="Y14142" s="63">
        <v>56675</v>
      </c>
      <c r="Z14142" s="61">
        <f>_xll.qlYieldTSDiscount($U$35,Y14142,,Trigger)</f>
        <v>0.47804667580397808</v>
      </c>
    </row>
    <row r="14143" spans="25:26" x14ac:dyDescent="0.25">
      <c r="Y14143" s="63">
        <v>56676</v>
      </c>
      <c r="Z14143" s="61">
        <f>_xll.qlYieldTSDiscount($U$35,Y14143,,Trigger)</f>
        <v>0.47801613093806339</v>
      </c>
    </row>
    <row r="14144" spans="25:26" x14ac:dyDescent="0.25">
      <c r="Y14144" s="63">
        <v>56677</v>
      </c>
      <c r="Z14144" s="61">
        <f>_xll.qlYieldTSDiscount($U$35,Y14144,,Trigger)</f>
        <v>0.47798558892787618</v>
      </c>
    </row>
    <row r="14145" spans="25:26" x14ac:dyDescent="0.25">
      <c r="Y14145" s="63">
        <v>56678</v>
      </c>
      <c r="Z14145" s="61">
        <f>_xll.qlYieldTSDiscount($U$35,Y14145,,Trigger)</f>
        <v>0.47795504977305042</v>
      </c>
    </row>
    <row r="14146" spans="25:26" x14ac:dyDescent="0.25">
      <c r="Y14146" s="63">
        <v>56679</v>
      </c>
      <c r="Z14146" s="61">
        <f>_xll.qlYieldTSDiscount($U$35,Y14146,,Trigger)</f>
        <v>0.47792451347322001</v>
      </c>
    </row>
    <row r="14147" spans="25:26" x14ac:dyDescent="0.25">
      <c r="Y14147" s="63">
        <v>56680</v>
      </c>
      <c r="Z14147" s="61">
        <f>_xll.qlYieldTSDiscount($U$35,Y14147,,Trigger)</f>
        <v>0.47789398002801908</v>
      </c>
    </row>
    <row r="14148" spans="25:26" x14ac:dyDescent="0.25">
      <c r="Y14148" s="63">
        <v>56681</v>
      </c>
      <c r="Z14148" s="61">
        <f>_xll.qlYieldTSDiscount($U$35,Y14148,,Trigger)</f>
        <v>0.4778634494370817</v>
      </c>
    </row>
    <row r="14149" spans="25:26" x14ac:dyDescent="0.25">
      <c r="Y14149" s="63">
        <v>56682</v>
      </c>
      <c r="Z14149" s="61">
        <f>_xll.qlYieldTSDiscount($U$35,Y14149,,Trigger)</f>
        <v>0.47783292170004177</v>
      </c>
    </row>
    <row r="14150" spans="25:26" x14ac:dyDescent="0.25">
      <c r="Y14150" s="63">
        <v>56683</v>
      </c>
      <c r="Z14150" s="61">
        <f>_xll.qlYieldTSDiscount($U$35,Y14150,,Trigger)</f>
        <v>0.4778023968165333</v>
      </c>
    </row>
    <row r="14151" spans="25:26" x14ac:dyDescent="0.25">
      <c r="Y14151" s="63">
        <v>56684</v>
      </c>
      <c r="Z14151" s="61">
        <f>_xll.qlYieldTSDiscount($U$35,Y14151,,Trigger)</f>
        <v>0.47777187478619049</v>
      </c>
    </row>
    <row r="14152" spans="25:26" x14ac:dyDescent="0.25">
      <c r="Y14152" s="63">
        <v>56685</v>
      </c>
      <c r="Z14152" s="61">
        <f>_xll.qlYieldTSDiscount($U$35,Y14152,,Trigger)</f>
        <v>0.47774135560864717</v>
      </c>
    </row>
    <row r="14153" spans="25:26" x14ac:dyDescent="0.25">
      <c r="Y14153" s="63">
        <v>56686</v>
      </c>
      <c r="Z14153" s="61">
        <f>_xll.qlYieldTSDiscount($U$35,Y14153,,Trigger)</f>
        <v>0.47771083928353741</v>
      </c>
    </row>
    <row r="14154" spans="25:26" x14ac:dyDescent="0.25">
      <c r="Y14154" s="63">
        <v>56687</v>
      </c>
      <c r="Z14154" s="61">
        <f>_xll.qlYieldTSDiscount($U$35,Y14154,,Trigger)</f>
        <v>0.47768032581049524</v>
      </c>
    </row>
    <row r="14155" spans="25:26" x14ac:dyDescent="0.25">
      <c r="Y14155" s="63">
        <v>56688</v>
      </c>
      <c r="Z14155" s="61">
        <f>_xll.qlYieldTSDiscount($U$35,Y14155,,Trigger)</f>
        <v>0.47764981518915484</v>
      </c>
    </row>
    <row r="14156" spans="25:26" x14ac:dyDescent="0.25">
      <c r="Y14156" s="63">
        <v>56689</v>
      </c>
      <c r="Z14156" s="61">
        <f>_xll.qlYieldTSDiscount($U$35,Y14156,,Trigger)</f>
        <v>0.47761930741915004</v>
      </c>
    </row>
    <row r="14157" spans="25:26" x14ac:dyDescent="0.25">
      <c r="Y14157" s="63">
        <v>56690</v>
      </c>
      <c r="Z14157" s="61">
        <f>_xll.qlYieldTSDiscount($U$35,Y14157,,Trigger)</f>
        <v>0.47758880250011482</v>
      </c>
    </row>
    <row r="14158" spans="25:26" x14ac:dyDescent="0.25">
      <c r="Y14158" s="63">
        <v>56691</v>
      </c>
      <c r="Z14158" s="61">
        <f>_xll.qlYieldTSDiscount($U$35,Y14158,,Trigger)</f>
        <v>0.47755830043168346</v>
      </c>
    </row>
    <row r="14159" spans="25:26" x14ac:dyDescent="0.25">
      <c r="Y14159" s="63">
        <v>56692</v>
      </c>
      <c r="Z14159" s="61">
        <f>_xll.qlYieldTSDiscount($U$35,Y14159,,Trigger)</f>
        <v>0.4775278012134897</v>
      </c>
    </row>
    <row r="14160" spans="25:26" x14ac:dyDescent="0.25">
      <c r="Y14160" s="63">
        <v>56693</v>
      </c>
      <c r="Z14160" s="61">
        <f>_xll.qlYieldTSDiscount($U$35,Y14160,,Trigger)</f>
        <v>0.47749730484516767</v>
      </c>
    </row>
    <row r="14161" spans="25:26" x14ac:dyDescent="0.25">
      <c r="Y14161" s="63">
        <v>56694</v>
      </c>
      <c r="Z14161" s="61">
        <f>_xll.qlYieldTSDiscount($U$35,Y14161,,Trigger)</f>
        <v>0.47746681132635149</v>
      </c>
    </row>
    <row r="14162" spans="25:26" x14ac:dyDescent="0.25">
      <c r="Y14162" s="63">
        <v>56695</v>
      </c>
      <c r="Z14162" s="61">
        <f>_xll.qlYieldTSDiscount($U$35,Y14162,,Trigger)</f>
        <v>0.47743632065667502</v>
      </c>
    </row>
    <row r="14163" spans="25:26" x14ac:dyDescent="0.25">
      <c r="Y14163" s="63">
        <v>56696</v>
      </c>
      <c r="Z14163" s="61">
        <f>_xll.qlYieldTSDiscount($U$35,Y14163,,Trigger)</f>
        <v>0.47740583283577237</v>
      </c>
    </row>
    <row r="14164" spans="25:26" x14ac:dyDescent="0.25">
      <c r="Y14164" s="63">
        <v>56697</v>
      </c>
      <c r="Z14164" s="61">
        <f>_xll.qlYieldTSDiscount($U$35,Y14164,,Trigger)</f>
        <v>0.47737534786327762</v>
      </c>
    </row>
    <row r="14165" spans="25:26" x14ac:dyDescent="0.25">
      <c r="Y14165" s="63">
        <v>56698</v>
      </c>
      <c r="Z14165" s="61">
        <f>_xll.qlYieldTSDiscount($U$35,Y14165,,Trigger)</f>
        <v>0.47734486573882462</v>
      </c>
    </row>
    <row r="14166" spans="25:26" x14ac:dyDescent="0.25">
      <c r="Y14166" s="63">
        <v>56699</v>
      </c>
      <c r="Z14166" s="61">
        <f>_xll.qlYieldTSDiscount($U$35,Y14166,,Trigger)</f>
        <v>0.47731438646204749</v>
      </c>
    </row>
    <row r="14167" spans="25:26" x14ac:dyDescent="0.25">
      <c r="Y14167" s="63">
        <v>56700</v>
      </c>
      <c r="Z14167" s="61">
        <f>_xll.qlYieldTSDiscount($U$35,Y14167,,Trigger)</f>
        <v>0.47728391003258031</v>
      </c>
    </row>
    <row r="14168" spans="25:26" x14ac:dyDescent="0.25">
      <c r="Y14168" s="63">
        <v>56701</v>
      </c>
      <c r="Z14168" s="61">
        <f>_xll.qlYieldTSDiscount($U$35,Y14168,,Trigger)</f>
        <v>0.47725343645005708</v>
      </c>
    </row>
    <row r="14169" spans="25:26" x14ac:dyDescent="0.25">
      <c r="Y14169" s="63">
        <v>56702</v>
      </c>
      <c r="Z14169" s="61">
        <f>_xll.qlYieldTSDiscount($U$35,Y14169,,Trigger)</f>
        <v>0.47722296571411171</v>
      </c>
    </row>
    <row r="14170" spans="25:26" x14ac:dyDescent="0.25">
      <c r="Y14170" s="63">
        <v>56703</v>
      </c>
      <c r="Z14170" s="61">
        <f>_xll.qlYieldTSDiscount($U$35,Y14170,,Trigger)</f>
        <v>0.47719249782437828</v>
      </c>
    </row>
    <row r="14171" spans="25:26" x14ac:dyDescent="0.25">
      <c r="Y14171" s="63">
        <v>56704</v>
      </c>
      <c r="Z14171" s="61">
        <f>_xll.qlYieldTSDiscount($U$35,Y14171,,Trigger)</f>
        <v>0.47716203278049096</v>
      </c>
    </row>
    <row r="14172" spans="25:26" x14ac:dyDescent="0.25">
      <c r="Y14172" s="63">
        <v>56705</v>
      </c>
      <c r="Z14172" s="61">
        <f>_xll.qlYieldTSDiscount($U$35,Y14172,,Trigger)</f>
        <v>0.4771315705820835</v>
      </c>
    </row>
    <row r="14173" spans="25:26" x14ac:dyDescent="0.25">
      <c r="Y14173" s="63">
        <v>56706</v>
      </c>
      <c r="Z14173" s="61">
        <f>_xll.qlYieldTSDiscount($U$35,Y14173,,Trigger)</f>
        <v>0.47710111122879012</v>
      </c>
    </row>
    <row r="14174" spans="25:26" x14ac:dyDescent="0.25">
      <c r="Y14174" s="63">
        <v>56707</v>
      </c>
      <c r="Z14174" s="61">
        <f>_xll.qlYieldTSDiscount($U$35,Y14174,,Trigger)</f>
        <v>0.47707065472024485</v>
      </c>
    </row>
    <row r="14175" spans="25:26" x14ac:dyDescent="0.25">
      <c r="Y14175" s="63">
        <v>56708</v>
      </c>
      <c r="Z14175" s="61">
        <f>_xll.qlYieldTSDiscount($U$35,Y14175,,Trigger)</f>
        <v>0.47704020105608158</v>
      </c>
    </row>
    <row r="14176" spans="25:26" x14ac:dyDescent="0.25">
      <c r="Y14176" s="63">
        <v>56709</v>
      </c>
      <c r="Z14176" s="61">
        <f>_xll.qlYieldTSDiscount($U$35,Y14176,,Trigger)</f>
        <v>0.47700975023593439</v>
      </c>
    </row>
    <row r="14177" spans="25:26" x14ac:dyDescent="0.25">
      <c r="Y14177" s="63">
        <v>56710</v>
      </c>
      <c r="Z14177" s="61">
        <f>_xll.qlYieldTSDiscount($U$35,Y14177,,Trigger)</f>
        <v>0.47697930225943735</v>
      </c>
    </row>
    <row r="14178" spans="25:26" x14ac:dyDescent="0.25">
      <c r="Y14178" s="63">
        <v>56711</v>
      </c>
      <c r="Z14178" s="61">
        <f>_xll.qlYieldTSDiscount($U$35,Y14178,,Trigger)</f>
        <v>0.47694885712622442</v>
      </c>
    </row>
    <row r="14179" spans="25:26" x14ac:dyDescent="0.25">
      <c r="Y14179" s="63">
        <v>56712</v>
      </c>
      <c r="Z14179" s="61">
        <f>_xll.qlYieldTSDiscount($U$35,Y14179,,Trigger)</f>
        <v>0.47691841483592962</v>
      </c>
    </row>
    <row r="14180" spans="25:26" x14ac:dyDescent="0.25">
      <c r="Y14180" s="63">
        <v>56713</v>
      </c>
      <c r="Z14180" s="61">
        <f>_xll.qlYieldTSDiscount($U$35,Y14180,,Trigger)</f>
        <v>0.47688797538818711</v>
      </c>
    </row>
    <row r="14181" spans="25:26" x14ac:dyDescent="0.25">
      <c r="Y14181" s="63">
        <v>56714</v>
      </c>
      <c r="Z14181" s="61">
        <f>_xll.qlYieldTSDiscount($U$35,Y14181,,Trigger)</f>
        <v>0.47685753878263071</v>
      </c>
    </row>
    <row r="14182" spans="25:26" x14ac:dyDescent="0.25">
      <c r="Y14182" s="63">
        <v>56715</v>
      </c>
      <c r="Z14182" s="61">
        <f>_xll.qlYieldTSDiscount($U$35,Y14182,,Trigger)</f>
        <v>0.47682710501889447</v>
      </c>
    </row>
    <row r="14183" spans="25:26" x14ac:dyDescent="0.25">
      <c r="Y14183" s="63">
        <v>56716</v>
      </c>
      <c r="Z14183" s="61">
        <f>_xll.qlYieldTSDiscount($U$35,Y14183,,Trigger)</f>
        <v>0.47679667409661253</v>
      </c>
    </row>
    <row r="14184" spans="25:26" x14ac:dyDescent="0.25">
      <c r="Y14184" s="63">
        <v>56717</v>
      </c>
      <c r="Z14184" s="61">
        <f>_xll.qlYieldTSDiscount($U$35,Y14184,,Trigger)</f>
        <v>0.47676624601541895</v>
      </c>
    </row>
    <row r="14185" spans="25:26" x14ac:dyDescent="0.25">
      <c r="Y14185" s="63">
        <v>56718</v>
      </c>
      <c r="Z14185" s="61">
        <f>_xll.qlYieldTSDiscount($U$35,Y14185,,Trigger)</f>
        <v>0.47673582077494758</v>
      </c>
    </row>
    <row r="14186" spans="25:26" x14ac:dyDescent="0.25">
      <c r="Y14186" s="63">
        <v>56719</v>
      </c>
      <c r="Z14186" s="61">
        <f>_xll.qlYieldTSDiscount($U$35,Y14186,,Trigger)</f>
        <v>0.4767053983748325</v>
      </c>
    </row>
    <row r="14187" spans="25:26" x14ac:dyDescent="0.25">
      <c r="Y14187" s="63">
        <v>56720</v>
      </c>
      <c r="Z14187" s="61">
        <f>_xll.qlYieldTSDiscount($U$35,Y14187,,Trigger)</f>
        <v>0.47667497881470777</v>
      </c>
    </row>
    <row r="14188" spans="25:26" x14ac:dyDescent="0.25">
      <c r="Y14188" s="63">
        <v>56721</v>
      </c>
      <c r="Z14188" s="61">
        <f>_xll.qlYieldTSDiscount($U$35,Y14188,,Trigger)</f>
        <v>0.47664456209420741</v>
      </c>
    </row>
    <row r="14189" spans="25:26" x14ac:dyDescent="0.25">
      <c r="Y14189" s="63">
        <v>56722</v>
      </c>
      <c r="Z14189" s="61">
        <f>_xll.qlYieldTSDiscount($U$35,Y14189,,Trigger)</f>
        <v>0.47661414821296538</v>
      </c>
    </row>
    <row r="14190" spans="25:26" x14ac:dyDescent="0.25">
      <c r="Y14190" s="63">
        <v>56723</v>
      </c>
      <c r="Z14190" s="61">
        <f>_xll.qlYieldTSDiscount($U$35,Y14190,,Trigger)</f>
        <v>0.47658373717061581</v>
      </c>
    </row>
    <row r="14191" spans="25:26" x14ac:dyDescent="0.25">
      <c r="Y14191" s="63">
        <v>56724</v>
      </c>
      <c r="Z14191" s="61">
        <f>_xll.qlYieldTSDiscount($U$35,Y14191,,Trigger)</f>
        <v>0.47655332896679259</v>
      </c>
    </row>
    <row r="14192" spans="25:26" x14ac:dyDescent="0.25">
      <c r="Y14192" s="63">
        <v>56725</v>
      </c>
      <c r="Z14192" s="61">
        <f>_xll.qlYieldTSDiscount($U$35,Y14192,,Trigger)</f>
        <v>0.4765229236011298</v>
      </c>
    </row>
    <row r="14193" spans="25:26" x14ac:dyDescent="0.25">
      <c r="Y14193" s="63">
        <v>56726</v>
      </c>
      <c r="Z14193" s="61">
        <f>_xll.qlYieldTSDiscount($U$35,Y14193,,Trigger)</f>
        <v>0.47649252107326162</v>
      </c>
    </row>
    <row r="14194" spans="25:26" x14ac:dyDescent="0.25">
      <c r="Y14194" s="63">
        <v>56727</v>
      </c>
      <c r="Z14194" s="61">
        <f>_xll.qlYieldTSDiscount($U$35,Y14194,,Trigger)</f>
        <v>0.47646212138282179</v>
      </c>
    </row>
    <row r="14195" spans="25:26" x14ac:dyDescent="0.25">
      <c r="Y14195" s="63">
        <v>56728</v>
      </c>
      <c r="Z14195" s="61">
        <f>_xll.qlYieldTSDiscount($U$35,Y14195,,Trigger)</f>
        <v>0.47643172452944449</v>
      </c>
    </row>
    <row r="14196" spans="25:26" x14ac:dyDescent="0.25">
      <c r="Y14196" s="63">
        <v>56729</v>
      </c>
      <c r="Z14196" s="61">
        <f>_xll.qlYieldTSDiscount($U$35,Y14196,,Trigger)</f>
        <v>0.47640133051276373</v>
      </c>
    </row>
    <row r="14197" spans="25:26" x14ac:dyDescent="0.25">
      <c r="Y14197" s="63">
        <v>56730</v>
      </c>
      <c r="Z14197" s="61">
        <f>_xll.qlYieldTSDiscount($U$35,Y14197,,Trigger)</f>
        <v>0.47637093933241353</v>
      </c>
    </row>
    <row r="14198" spans="25:26" x14ac:dyDescent="0.25">
      <c r="Y14198" s="63">
        <v>56731</v>
      </c>
      <c r="Z14198" s="61">
        <f>_xll.qlYieldTSDiscount($U$35,Y14198,,Trigger)</f>
        <v>0.47634055098802786</v>
      </c>
    </row>
    <row r="14199" spans="25:26" x14ac:dyDescent="0.25">
      <c r="Y14199" s="63">
        <v>56732</v>
      </c>
      <c r="Z14199" s="61">
        <f>_xll.qlYieldTSDiscount($U$35,Y14199,,Trigger)</f>
        <v>0.47631016547924077</v>
      </c>
    </row>
    <row r="14200" spans="25:26" x14ac:dyDescent="0.25">
      <c r="Y14200" s="63">
        <v>56733</v>
      </c>
      <c r="Z14200" s="61">
        <f>_xll.qlYieldTSDiscount($U$35,Y14200,,Trigger)</f>
        <v>0.47627978280568639</v>
      </c>
    </row>
    <row r="14201" spans="25:26" x14ac:dyDescent="0.25">
      <c r="Y14201" s="63">
        <v>56734</v>
      </c>
      <c r="Z14201" s="61">
        <f>_xll.qlYieldTSDiscount($U$35,Y14201,,Trigger)</f>
        <v>0.47624940296699858</v>
      </c>
    </row>
    <row r="14202" spans="25:26" x14ac:dyDescent="0.25">
      <c r="Y14202" s="63">
        <v>56735</v>
      </c>
      <c r="Z14202" s="61">
        <f>_xll.qlYieldTSDiscount($U$35,Y14202,,Trigger)</f>
        <v>0.4762190259628114</v>
      </c>
    </row>
    <row r="14203" spans="25:26" x14ac:dyDescent="0.25">
      <c r="Y14203" s="63">
        <v>56736</v>
      </c>
      <c r="Z14203" s="61">
        <f>_xll.qlYieldTSDiscount($U$35,Y14203,,Trigger)</f>
        <v>0.47618865179275899</v>
      </c>
    </row>
    <row r="14204" spans="25:26" x14ac:dyDescent="0.25">
      <c r="Y14204" s="63">
        <v>56737</v>
      </c>
      <c r="Z14204" s="61">
        <f>_xll.qlYieldTSDiscount($U$35,Y14204,,Trigger)</f>
        <v>0.47615828045647524</v>
      </c>
    </row>
    <row r="14205" spans="25:26" x14ac:dyDescent="0.25">
      <c r="Y14205" s="63">
        <v>56738</v>
      </c>
      <c r="Z14205" s="61">
        <f>_xll.qlYieldTSDiscount($U$35,Y14205,,Trigger)</f>
        <v>0.47612791195359416</v>
      </c>
    </row>
    <row r="14206" spans="25:26" x14ac:dyDescent="0.25">
      <c r="Y14206" s="63">
        <v>56739</v>
      </c>
      <c r="Z14206" s="61">
        <f>_xll.qlYieldTSDiscount($U$35,Y14206,,Trigger)</f>
        <v>0.47609754628374995</v>
      </c>
    </row>
    <row r="14207" spans="25:26" x14ac:dyDescent="0.25">
      <c r="Y14207" s="63">
        <v>56740</v>
      </c>
      <c r="Z14207" s="61">
        <f>_xll.qlYieldTSDiscount($U$35,Y14207,,Trigger)</f>
        <v>0.47606718344657639</v>
      </c>
    </row>
    <row r="14208" spans="25:26" x14ac:dyDescent="0.25">
      <c r="Y14208" s="63">
        <v>56741</v>
      </c>
      <c r="Z14208" s="61">
        <f>_xll.qlYieldTSDiscount($U$35,Y14208,,Trigger)</f>
        <v>0.47603682344170761</v>
      </c>
    </row>
    <row r="14209" spans="25:26" x14ac:dyDescent="0.25">
      <c r="Y14209" s="63">
        <v>56742</v>
      </c>
      <c r="Z14209" s="61">
        <f>_xll.qlYieldTSDiscount($U$35,Y14209,,Trigger)</f>
        <v>0.47600646626877774</v>
      </c>
    </row>
    <row r="14210" spans="25:26" x14ac:dyDescent="0.25">
      <c r="Y14210" s="63">
        <v>56743</v>
      </c>
      <c r="Z14210" s="61">
        <f>_xll.qlYieldTSDiscount($U$35,Y14210,,Trigger)</f>
        <v>0.47597611192742068</v>
      </c>
    </row>
    <row r="14211" spans="25:26" x14ac:dyDescent="0.25">
      <c r="Y14211" s="63">
        <v>56744</v>
      </c>
      <c r="Z14211" s="61">
        <f>_xll.qlYieldTSDiscount($U$35,Y14211,,Trigger)</f>
        <v>0.47594576041727044</v>
      </c>
    </row>
    <row r="14212" spans="25:26" x14ac:dyDescent="0.25">
      <c r="Y14212" s="63">
        <v>56745</v>
      </c>
      <c r="Z14212" s="61">
        <f>_xll.qlYieldTSDiscount($U$35,Y14212,,Trigger)</f>
        <v>0.47591541173796104</v>
      </c>
    </row>
    <row r="14213" spans="25:26" x14ac:dyDescent="0.25">
      <c r="Y14213" s="63">
        <v>56746</v>
      </c>
      <c r="Z14213" s="61">
        <f>_xll.qlYieldTSDiscount($U$35,Y14213,,Trigger)</f>
        <v>0.47588506588912666</v>
      </c>
    </row>
    <row r="14214" spans="25:26" x14ac:dyDescent="0.25">
      <c r="Y14214" s="63">
        <v>56747</v>
      </c>
      <c r="Z14214" s="61">
        <f>_xll.qlYieldTSDiscount($U$35,Y14214,,Trigger)</f>
        <v>0.47585472287040109</v>
      </c>
    </row>
    <row r="14215" spans="25:26" x14ac:dyDescent="0.25">
      <c r="Y14215" s="63">
        <v>56748</v>
      </c>
      <c r="Z14215" s="61">
        <f>_xll.qlYieldTSDiscount($U$35,Y14215,,Trigger)</f>
        <v>0.47582438268141847</v>
      </c>
    </row>
    <row r="14216" spans="25:26" x14ac:dyDescent="0.25">
      <c r="Y14216" s="63">
        <v>56749</v>
      </c>
      <c r="Z14216" s="61">
        <f>_xll.qlYieldTSDiscount($U$35,Y14216,,Trigger)</f>
        <v>0.47579404532181291</v>
      </c>
    </row>
    <row r="14217" spans="25:26" x14ac:dyDescent="0.25">
      <c r="Y14217" s="63">
        <v>56750</v>
      </c>
      <c r="Z14217" s="61">
        <f>_xll.qlYieldTSDiscount($U$35,Y14217,,Trigger)</f>
        <v>0.47576371079121826</v>
      </c>
    </row>
    <row r="14218" spans="25:26" x14ac:dyDescent="0.25">
      <c r="Y14218" s="63">
        <v>56751</v>
      </c>
      <c r="Z14218" s="61">
        <f>_xll.qlYieldTSDiscount($U$35,Y14218,,Trigger)</f>
        <v>0.4757333790892686</v>
      </c>
    </row>
    <row r="14219" spans="25:26" x14ac:dyDescent="0.25">
      <c r="Y14219" s="63">
        <v>56752</v>
      </c>
      <c r="Z14219" s="61">
        <f>_xll.qlYieldTSDiscount($U$35,Y14219,,Trigger)</f>
        <v>0.47570305021559811</v>
      </c>
    </row>
    <row r="14220" spans="25:26" x14ac:dyDescent="0.25">
      <c r="Y14220" s="63">
        <v>56753</v>
      </c>
      <c r="Z14220" s="61">
        <f>_xll.qlYieldTSDiscount($U$35,Y14220,,Trigger)</f>
        <v>0.47567272416984052</v>
      </c>
    </row>
    <row r="14221" spans="25:26" x14ac:dyDescent="0.25">
      <c r="Y14221" s="63">
        <v>56754</v>
      </c>
      <c r="Z14221" s="61">
        <f>_xll.qlYieldTSDiscount($U$35,Y14221,,Trigger)</f>
        <v>0.47564240095163002</v>
      </c>
    </row>
    <row r="14222" spans="25:26" x14ac:dyDescent="0.25">
      <c r="Y14222" s="63">
        <v>56755</v>
      </c>
      <c r="Z14222" s="61">
        <f>_xll.qlYieldTSDiscount($U$35,Y14222,,Trigger)</f>
        <v>0.47561208056060073</v>
      </c>
    </row>
    <row r="14223" spans="25:26" x14ac:dyDescent="0.25">
      <c r="Y14223" s="63">
        <v>56756</v>
      </c>
      <c r="Z14223" s="61">
        <f>_xll.qlYieldTSDiscount($U$35,Y14223,,Trigger)</f>
        <v>0.47558176299638644</v>
      </c>
    </row>
    <row r="14224" spans="25:26" x14ac:dyDescent="0.25">
      <c r="Y14224" s="63">
        <v>56757</v>
      </c>
      <c r="Z14224" s="61">
        <f>_xll.qlYieldTSDiscount($U$35,Y14224,,Trigger)</f>
        <v>0.47555144825862133</v>
      </c>
    </row>
    <row r="14225" spans="25:26" x14ac:dyDescent="0.25">
      <c r="Y14225" s="63">
        <v>56758</v>
      </c>
      <c r="Z14225" s="61">
        <f>_xll.qlYieldTSDiscount($U$35,Y14225,,Trigger)</f>
        <v>0.47552113634693943</v>
      </c>
    </row>
    <row r="14226" spans="25:26" x14ac:dyDescent="0.25">
      <c r="Y14226" s="63">
        <v>56759</v>
      </c>
      <c r="Z14226" s="61">
        <f>_xll.qlYieldTSDiscount($U$35,Y14226,,Trigger)</f>
        <v>0.47549082726097464</v>
      </c>
    </row>
    <row r="14227" spans="25:26" x14ac:dyDescent="0.25">
      <c r="Y14227" s="63">
        <v>56760</v>
      </c>
      <c r="Z14227" s="61">
        <f>_xll.qlYieldTSDiscount($U$35,Y14227,,Trigger)</f>
        <v>0.47546052100036107</v>
      </c>
    </row>
    <row r="14228" spans="25:26" x14ac:dyDescent="0.25">
      <c r="Y14228" s="63">
        <v>56761</v>
      </c>
      <c r="Z14228" s="61">
        <f>_xll.qlYieldTSDiscount($U$35,Y14228,,Trigger)</f>
        <v>0.47543021756473269</v>
      </c>
    </row>
    <row r="14229" spans="25:26" x14ac:dyDescent="0.25">
      <c r="Y14229" s="63">
        <v>56762</v>
      </c>
      <c r="Z14229" s="61">
        <f>_xll.qlYieldTSDiscount($U$35,Y14229,,Trigger)</f>
        <v>0.47539991695372363</v>
      </c>
    </row>
    <row r="14230" spans="25:26" x14ac:dyDescent="0.25">
      <c r="Y14230" s="63">
        <v>56763</v>
      </c>
      <c r="Z14230" s="61">
        <f>_xll.qlYieldTSDiscount($U$35,Y14230,,Trigger)</f>
        <v>0.47536961916696785</v>
      </c>
    </row>
    <row r="14231" spans="25:26" x14ac:dyDescent="0.25">
      <c r="Y14231" s="63">
        <v>56764</v>
      </c>
      <c r="Z14231" s="61">
        <f>_xll.qlYieldTSDiscount($U$35,Y14231,,Trigger)</f>
        <v>0.4753393242040993</v>
      </c>
    </row>
    <row r="14232" spans="25:26" x14ac:dyDescent="0.25">
      <c r="Y14232" s="63">
        <v>56765</v>
      </c>
      <c r="Z14232" s="61">
        <f>_xll.qlYieldTSDiscount($U$35,Y14232,,Trigger)</f>
        <v>0.47530903206475217</v>
      </c>
    </row>
    <row r="14233" spans="25:26" x14ac:dyDescent="0.25">
      <c r="Y14233" s="63">
        <v>56766</v>
      </c>
      <c r="Z14233" s="61">
        <f>_xll.qlYieldTSDiscount($U$35,Y14233,,Trigger)</f>
        <v>0.47527874274856025</v>
      </c>
    </row>
    <row r="14234" spans="25:26" x14ac:dyDescent="0.25">
      <c r="Y14234" s="63">
        <v>56767</v>
      </c>
      <c r="Z14234" s="61">
        <f>_xll.qlYieldTSDiscount($U$35,Y14234,,Trigger)</f>
        <v>0.47524845625515771</v>
      </c>
    </row>
    <row r="14235" spans="25:26" x14ac:dyDescent="0.25">
      <c r="Y14235" s="63">
        <v>56768</v>
      </c>
      <c r="Z14235" s="61">
        <f>_xll.qlYieldTSDiscount($U$35,Y14235,,Trigger)</f>
        <v>0.47521817258417864</v>
      </c>
    </row>
    <row r="14236" spans="25:26" x14ac:dyDescent="0.25">
      <c r="Y14236" s="63">
        <v>56769</v>
      </c>
      <c r="Z14236" s="61">
        <f>_xll.qlYieldTSDiscount($U$35,Y14236,,Trigger)</f>
        <v>0.47518789173525688</v>
      </c>
    </row>
    <row r="14237" spans="25:26" x14ac:dyDescent="0.25">
      <c r="Y14237" s="63">
        <v>56770</v>
      </c>
      <c r="Z14237" s="61">
        <f>_xll.qlYieldTSDiscount($U$35,Y14237,,Trigger)</f>
        <v>0.47515761370802656</v>
      </c>
    </row>
    <row r="14238" spans="25:26" x14ac:dyDescent="0.25">
      <c r="Y14238" s="63">
        <v>56771</v>
      </c>
      <c r="Z14238" s="61">
        <f>_xll.qlYieldTSDiscount($U$35,Y14238,,Trigger)</f>
        <v>0.47512733850212174</v>
      </c>
    </row>
    <row r="14239" spans="25:26" x14ac:dyDescent="0.25">
      <c r="Y14239" s="63">
        <v>56772</v>
      </c>
      <c r="Z14239" s="61">
        <f>_xll.qlYieldTSDiscount($U$35,Y14239,,Trigger)</f>
        <v>0.47509706611717639</v>
      </c>
    </row>
    <row r="14240" spans="25:26" x14ac:dyDescent="0.25">
      <c r="Y14240" s="63">
        <v>56773</v>
      </c>
      <c r="Z14240" s="61">
        <f>_xll.qlYieldTSDiscount($U$35,Y14240,,Trigger)</f>
        <v>0.47506679655282441</v>
      </c>
    </row>
    <row r="14241" spans="25:26" x14ac:dyDescent="0.25">
      <c r="Y14241" s="63">
        <v>56774</v>
      </c>
      <c r="Z14241" s="61">
        <f>_xll.qlYieldTSDiscount($U$35,Y14241,,Trigger)</f>
        <v>0.47503652980870009</v>
      </c>
    </row>
    <row r="14242" spans="25:26" x14ac:dyDescent="0.25">
      <c r="Y14242" s="63">
        <v>56775</v>
      </c>
      <c r="Z14242" s="61">
        <f>_xll.qlYieldTSDiscount($U$35,Y14242,,Trigger)</f>
        <v>0.47500626588443723</v>
      </c>
    </row>
    <row r="14243" spans="25:26" x14ac:dyDescent="0.25">
      <c r="Y14243" s="63">
        <v>56776</v>
      </c>
      <c r="Z14243" s="61">
        <f>_xll.qlYieldTSDiscount($U$35,Y14243,,Trigger)</f>
        <v>0.47497600477966989</v>
      </c>
    </row>
    <row r="14244" spans="25:26" x14ac:dyDescent="0.25">
      <c r="Y14244" s="63">
        <v>56777</v>
      </c>
      <c r="Z14244" s="61">
        <f>_xll.qlYieldTSDiscount($U$35,Y14244,,Trigger)</f>
        <v>0.47494574649403215</v>
      </c>
    </row>
    <row r="14245" spans="25:26" x14ac:dyDescent="0.25">
      <c r="Y14245" s="63">
        <v>56778</v>
      </c>
      <c r="Z14245" s="61">
        <f>_xll.qlYieldTSDiscount($U$35,Y14245,,Trigger)</f>
        <v>0.47491549102715808</v>
      </c>
    </row>
    <row r="14246" spans="25:26" x14ac:dyDescent="0.25">
      <c r="Y14246" s="63">
        <v>56779</v>
      </c>
      <c r="Z14246" s="61">
        <f>_xll.qlYieldTSDiscount($U$35,Y14246,,Trigger)</f>
        <v>0.47488523837868157</v>
      </c>
    </row>
    <row r="14247" spans="25:26" x14ac:dyDescent="0.25">
      <c r="Y14247" s="63">
        <v>56780</v>
      </c>
      <c r="Z14247" s="61">
        <f>_xll.qlYieldTSDiscount($U$35,Y14247,,Trigger)</f>
        <v>0.47485498854823671</v>
      </c>
    </row>
    <row r="14248" spans="25:26" x14ac:dyDescent="0.25">
      <c r="Y14248" s="63">
        <v>56781</v>
      </c>
      <c r="Z14248" s="61">
        <f>_xll.qlYieldTSDiscount($U$35,Y14248,,Trigger)</f>
        <v>0.47482474153545756</v>
      </c>
    </row>
    <row r="14249" spans="25:26" x14ac:dyDescent="0.25">
      <c r="Y14249" s="63">
        <v>56782</v>
      </c>
      <c r="Z14249" s="61">
        <f>_xll.qlYieldTSDiscount($U$35,Y14249,,Trigger)</f>
        <v>0.47479449733997803</v>
      </c>
    </row>
    <row r="14250" spans="25:26" x14ac:dyDescent="0.25">
      <c r="Y14250" s="63">
        <v>56783</v>
      </c>
      <c r="Z14250" s="61">
        <f>_xll.qlYieldTSDiscount($U$35,Y14250,,Trigger)</f>
        <v>0.47476425596143224</v>
      </c>
    </row>
    <row r="14251" spans="25:26" x14ac:dyDescent="0.25">
      <c r="Y14251" s="63">
        <v>56784</v>
      </c>
      <c r="Z14251" s="61">
        <f>_xll.qlYieldTSDiscount($U$35,Y14251,,Trigger)</f>
        <v>0.4747340173994542</v>
      </c>
    </row>
    <row r="14252" spans="25:26" x14ac:dyDescent="0.25">
      <c r="Y14252" s="63">
        <v>56785</v>
      </c>
      <c r="Z14252" s="61">
        <f>_xll.qlYieldTSDiscount($U$35,Y14252,,Trigger)</f>
        <v>0.47470378165367788</v>
      </c>
    </row>
    <row r="14253" spans="25:26" x14ac:dyDescent="0.25">
      <c r="Y14253" s="63">
        <v>56786</v>
      </c>
      <c r="Z14253" s="61">
        <f>_xll.qlYieldTSDiscount($U$35,Y14253,,Trigger)</f>
        <v>0.47467354872373729</v>
      </c>
    </row>
    <row r="14254" spans="25:26" x14ac:dyDescent="0.25">
      <c r="Y14254" s="63">
        <v>56787</v>
      </c>
      <c r="Z14254" s="61">
        <f>_xll.qlYieldTSDiscount($U$35,Y14254,,Trigger)</f>
        <v>0.47464331860926662</v>
      </c>
    </row>
    <row r="14255" spans="25:26" x14ac:dyDescent="0.25">
      <c r="Y14255" s="63">
        <v>56788</v>
      </c>
      <c r="Z14255" s="61">
        <f>_xll.qlYieldTSDiscount($U$35,Y14255,,Trigger)</f>
        <v>0.47461309130989965</v>
      </c>
    </row>
    <row r="14256" spans="25:26" x14ac:dyDescent="0.25">
      <c r="Y14256" s="63">
        <v>56789</v>
      </c>
      <c r="Z14256" s="61">
        <f>_xll.qlYieldTSDiscount($U$35,Y14256,,Trigger)</f>
        <v>0.47458286682527057</v>
      </c>
    </row>
    <row r="14257" spans="25:26" x14ac:dyDescent="0.25">
      <c r="Y14257" s="63">
        <v>56790</v>
      </c>
      <c r="Z14257" s="61">
        <f>_xll.qlYieldTSDiscount($U$35,Y14257,,Trigger)</f>
        <v>0.47455264515501328</v>
      </c>
    </row>
    <row r="14258" spans="25:26" x14ac:dyDescent="0.25">
      <c r="Y14258" s="63">
        <v>56791</v>
      </c>
      <c r="Z14258" s="61">
        <f>_xll.qlYieldTSDiscount($U$35,Y14258,,Trigger)</f>
        <v>0.47452242629876201</v>
      </c>
    </row>
    <row r="14259" spans="25:26" x14ac:dyDescent="0.25">
      <c r="Y14259" s="63">
        <v>56792</v>
      </c>
      <c r="Z14259" s="61">
        <f>_xll.qlYieldTSDiscount($U$35,Y14259,,Trigger)</f>
        <v>0.47449221025615057</v>
      </c>
    </row>
    <row r="14260" spans="25:26" x14ac:dyDescent="0.25">
      <c r="Y14260" s="63">
        <v>56793</v>
      </c>
      <c r="Z14260" s="61">
        <f>_xll.qlYieldTSDiscount($U$35,Y14260,,Trigger)</f>
        <v>0.47446199702681302</v>
      </c>
    </row>
    <row r="14261" spans="25:26" x14ac:dyDescent="0.25">
      <c r="Y14261" s="63">
        <v>56794</v>
      </c>
      <c r="Z14261" s="61">
        <f>_xll.qlYieldTSDiscount($U$35,Y14261,,Trigger)</f>
        <v>0.47443178661038349</v>
      </c>
    </row>
    <row r="14262" spans="25:26" x14ac:dyDescent="0.25">
      <c r="Y14262" s="63">
        <v>56795</v>
      </c>
      <c r="Z14262" s="61">
        <f>_xll.qlYieldTSDiscount($U$35,Y14262,,Trigger)</f>
        <v>0.47440157900649588</v>
      </c>
    </row>
    <row r="14263" spans="25:26" x14ac:dyDescent="0.25">
      <c r="Y14263" s="63">
        <v>56796</v>
      </c>
      <c r="Z14263" s="61">
        <f>_xll.qlYieldTSDiscount($U$35,Y14263,,Trigger)</f>
        <v>0.47437137421478426</v>
      </c>
    </row>
    <row r="14264" spans="25:26" x14ac:dyDescent="0.25">
      <c r="Y14264" s="63">
        <v>56797</v>
      </c>
      <c r="Z14264" s="61">
        <f>_xll.qlYieldTSDiscount($U$35,Y14264,,Trigger)</f>
        <v>0.47434117223488276</v>
      </c>
    </row>
    <row r="14265" spans="25:26" x14ac:dyDescent="0.25">
      <c r="Y14265" s="63">
        <v>56798</v>
      </c>
      <c r="Z14265" s="61">
        <f>_xll.qlYieldTSDiscount($U$35,Y14265,,Trigger)</f>
        <v>0.47431097306642517</v>
      </c>
    </row>
    <row r="14266" spans="25:26" x14ac:dyDescent="0.25">
      <c r="Y14266" s="63">
        <v>56799</v>
      </c>
      <c r="Z14266" s="61">
        <f>_xll.qlYieldTSDiscount($U$35,Y14266,,Trigger)</f>
        <v>0.47428077670904567</v>
      </c>
    </row>
    <row r="14267" spans="25:26" x14ac:dyDescent="0.25">
      <c r="Y14267" s="63">
        <v>56800</v>
      </c>
      <c r="Z14267" s="61">
        <f>_xll.qlYieldTSDiscount($U$35,Y14267,,Trigger)</f>
        <v>0.47425058316237834</v>
      </c>
    </row>
    <row r="14268" spans="25:26" x14ac:dyDescent="0.25">
      <c r="Y14268" s="63">
        <v>56801</v>
      </c>
      <c r="Z14268" s="61">
        <f>_xll.qlYieldTSDiscount($U$35,Y14268,,Trigger)</f>
        <v>0.47422039242605701</v>
      </c>
    </row>
    <row r="14269" spans="25:26" x14ac:dyDescent="0.25">
      <c r="Y14269" s="63">
        <v>56802</v>
      </c>
      <c r="Z14269" s="61">
        <f>_xll.qlYieldTSDiscount($U$35,Y14269,,Trigger)</f>
        <v>0.47419020449971583</v>
      </c>
    </row>
    <row r="14270" spans="25:26" x14ac:dyDescent="0.25">
      <c r="Y14270" s="63">
        <v>56803</v>
      </c>
      <c r="Z14270" s="61">
        <f>_xll.qlYieldTSDiscount($U$35,Y14270,,Trigger)</f>
        <v>0.4741600193829888</v>
      </c>
    </row>
    <row r="14271" spans="25:26" x14ac:dyDescent="0.25">
      <c r="Y14271" s="63">
        <v>56804</v>
      </c>
      <c r="Z14271" s="61">
        <f>_xll.qlYieldTSDiscount($U$35,Y14271,,Trigger)</f>
        <v>0.47412983707550993</v>
      </c>
    </row>
    <row r="14272" spans="25:26" x14ac:dyDescent="0.25">
      <c r="Y14272" s="63">
        <v>56805</v>
      </c>
      <c r="Z14272" s="61">
        <f>_xll.qlYieldTSDiscount($U$35,Y14272,,Trigger)</f>
        <v>0.47409965757691319</v>
      </c>
    </row>
    <row r="14273" spans="25:26" x14ac:dyDescent="0.25">
      <c r="Y14273" s="63">
        <v>56806</v>
      </c>
      <c r="Z14273" s="61">
        <f>_xll.qlYieldTSDiscount($U$35,Y14273,,Trigger)</f>
        <v>0.47406948088683271</v>
      </c>
    </row>
    <row r="14274" spans="25:26" x14ac:dyDescent="0.25">
      <c r="Y14274" s="63">
        <v>56807</v>
      </c>
      <c r="Z14274" s="61">
        <f>_xll.qlYieldTSDiscount($U$35,Y14274,,Trigger)</f>
        <v>0.47403930700490254</v>
      </c>
    </row>
    <row r="14275" spans="25:26" x14ac:dyDescent="0.25">
      <c r="Y14275" s="63">
        <v>56808</v>
      </c>
      <c r="Z14275" s="61">
        <f>_xll.qlYieldTSDiscount($U$35,Y14275,,Trigger)</f>
        <v>0.47400913593075655</v>
      </c>
    </row>
    <row r="14276" spans="25:26" x14ac:dyDescent="0.25">
      <c r="Y14276" s="63">
        <v>56809</v>
      </c>
      <c r="Z14276" s="61">
        <f>_xll.qlYieldTSDiscount($U$35,Y14276,,Trigger)</f>
        <v>0.47397896766402881</v>
      </c>
    </row>
    <row r="14277" spans="25:26" x14ac:dyDescent="0.25">
      <c r="Y14277" s="63">
        <v>56810</v>
      </c>
      <c r="Z14277" s="61">
        <f>_xll.qlYieldTSDiscount($U$35,Y14277,,Trigger)</f>
        <v>0.47394880220435348</v>
      </c>
    </row>
    <row r="14278" spans="25:26" x14ac:dyDescent="0.25">
      <c r="Y14278" s="63">
        <v>56811</v>
      </c>
      <c r="Z14278" s="61">
        <f>_xll.qlYieldTSDiscount($U$35,Y14278,,Trigger)</f>
        <v>0.47391863955136437</v>
      </c>
    </row>
    <row r="14279" spans="25:26" x14ac:dyDescent="0.25">
      <c r="Y14279" s="63">
        <v>56812</v>
      </c>
      <c r="Z14279" s="61">
        <f>_xll.qlYieldTSDiscount($U$35,Y14279,,Trigger)</f>
        <v>0.47388847970469561</v>
      </c>
    </row>
    <row r="14280" spans="25:26" x14ac:dyDescent="0.25">
      <c r="Y14280" s="63">
        <v>56813</v>
      </c>
      <c r="Z14280" s="61">
        <f>_xll.qlYieldTSDiscount($U$35,Y14280,,Trigger)</f>
        <v>0.47385832266398126</v>
      </c>
    </row>
    <row r="14281" spans="25:26" x14ac:dyDescent="0.25">
      <c r="Y14281" s="63">
        <v>56814</v>
      </c>
      <c r="Z14281" s="61">
        <f>_xll.qlYieldTSDiscount($U$35,Y14281,,Trigger)</f>
        <v>0.47382816842885528</v>
      </c>
    </row>
    <row r="14282" spans="25:26" x14ac:dyDescent="0.25">
      <c r="Y14282" s="63">
        <v>56815</v>
      </c>
      <c r="Z14282" s="61">
        <f>_xll.qlYieldTSDiscount($U$35,Y14282,,Trigger)</f>
        <v>0.47379801699895169</v>
      </c>
    </row>
    <row r="14283" spans="25:26" x14ac:dyDescent="0.25">
      <c r="Y14283" s="63">
        <v>56816</v>
      </c>
      <c r="Z14283" s="61">
        <f>_xll.qlYieldTSDiscount($U$35,Y14283,,Trigger)</f>
        <v>0.47376786837390455</v>
      </c>
    </row>
    <row r="14284" spans="25:26" x14ac:dyDescent="0.25">
      <c r="Y14284" s="63">
        <v>56817</v>
      </c>
      <c r="Z14284" s="61">
        <f>_xll.qlYieldTSDiscount($U$35,Y14284,,Trigger)</f>
        <v>0.47373772255334784</v>
      </c>
    </row>
    <row r="14285" spans="25:26" x14ac:dyDescent="0.25">
      <c r="Y14285" s="63">
        <v>56818</v>
      </c>
      <c r="Z14285" s="61">
        <f>_xll.qlYieldTSDiscount($U$35,Y14285,,Trigger)</f>
        <v>0.47370757953691561</v>
      </c>
    </row>
    <row r="14286" spans="25:26" x14ac:dyDescent="0.25">
      <c r="Y14286" s="63">
        <v>56819</v>
      </c>
      <c r="Z14286" s="61">
        <f>_xll.qlYieldTSDiscount($U$35,Y14286,,Trigger)</f>
        <v>0.47367743932424189</v>
      </c>
    </row>
    <row r="14287" spans="25:26" x14ac:dyDescent="0.25">
      <c r="Y14287" s="63">
        <v>56820</v>
      </c>
      <c r="Z14287" s="61">
        <f>_xll.qlYieldTSDiscount($U$35,Y14287,,Trigger)</f>
        <v>0.47364730191496068</v>
      </c>
    </row>
    <row r="14288" spans="25:26" x14ac:dyDescent="0.25">
      <c r="Y14288" s="63">
        <v>56821</v>
      </c>
      <c r="Z14288" s="61">
        <f>_xll.qlYieldTSDiscount($U$35,Y14288,,Trigger)</f>
        <v>0.47361716730870601</v>
      </c>
    </row>
    <row r="14289" spans="25:26" x14ac:dyDescent="0.25">
      <c r="Y14289" s="63">
        <v>56822</v>
      </c>
      <c r="Z14289" s="61">
        <f>_xll.qlYieldTSDiscount($U$35,Y14289,,Trigger)</f>
        <v>0.47358703550511183</v>
      </c>
    </row>
    <row r="14290" spans="25:26" x14ac:dyDescent="0.25">
      <c r="Y14290" s="63">
        <v>56823</v>
      </c>
      <c r="Z14290" s="61">
        <f>_xll.qlYieldTSDiscount($U$35,Y14290,,Trigger)</f>
        <v>0.47355690650381238</v>
      </c>
    </row>
    <row r="14291" spans="25:26" x14ac:dyDescent="0.25">
      <c r="Y14291" s="63">
        <v>56824</v>
      </c>
      <c r="Z14291" s="61">
        <f>_xll.qlYieldTSDiscount($U$35,Y14291,,Trigger)</f>
        <v>0.47352678030444145</v>
      </c>
    </row>
    <row r="14292" spans="25:26" x14ac:dyDescent="0.25">
      <c r="Y14292" s="63">
        <v>56825</v>
      </c>
      <c r="Z14292" s="61">
        <f>_xll.qlYieldTSDiscount($U$35,Y14292,,Trigger)</f>
        <v>0.47349665690663312</v>
      </c>
    </row>
    <row r="14293" spans="25:26" x14ac:dyDescent="0.25">
      <c r="Y14293" s="63">
        <v>56826</v>
      </c>
      <c r="Z14293" s="61">
        <f>_xll.qlYieldTSDiscount($U$35,Y14293,,Trigger)</f>
        <v>0.47346653631002156</v>
      </c>
    </row>
    <row r="14294" spans="25:26" x14ac:dyDescent="0.25">
      <c r="Y14294" s="63">
        <v>56827</v>
      </c>
      <c r="Z14294" s="61">
        <f>_xll.qlYieldTSDiscount($U$35,Y14294,,Trigger)</f>
        <v>0.47343641851424051</v>
      </c>
    </row>
    <row r="14295" spans="25:26" x14ac:dyDescent="0.25">
      <c r="Y14295" s="63">
        <v>56828</v>
      </c>
      <c r="Z14295" s="61">
        <f>_xll.qlYieldTSDiscount($U$35,Y14295,,Trigger)</f>
        <v>0.47340630351892421</v>
      </c>
    </row>
    <row r="14296" spans="25:26" x14ac:dyDescent="0.25">
      <c r="Y14296" s="63">
        <v>56829</v>
      </c>
      <c r="Z14296" s="61">
        <f>_xll.qlYieldTSDiscount($U$35,Y14296,,Trigger)</f>
        <v>0.47337619132370667</v>
      </c>
    </row>
    <row r="14297" spans="25:26" x14ac:dyDescent="0.25">
      <c r="Y14297" s="63">
        <v>56830</v>
      </c>
      <c r="Z14297" s="61">
        <f>_xll.qlYieldTSDiscount($U$35,Y14297,,Trigger)</f>
        <v>0.47334608192822186</v>
      </c>
    </row>
    <row r="14298" spans="25:26" x14ac:dyDescent="0.25">
      <c r="Y14298" s="63">
        <v>56831</v>
      </c>
      <c r="Z14298" s="61">
        <f>_xll.qlYieldTSDiscount($U$35,Y14298,,Trigger)</f>
        <v>0.47331597533210373</v>
      </c>
    </row>
    <row r="14299" spans="25:26" x14ac:dyDescent="0.25">
      <c r="Y14299" s="63">
        <v>56832</v>
      </c>
      <c r="Z14299" s="61">
        <f>_xll.qlYieldTSDiscount($U$35,Y14299,,Trigger)</f>
        <v>0.47328587153498647</v>
      </c>
    </row>
    <row r="14300" spans="25:26" x14ac:dyDescent="0.25">
      <c r="Y14300" s="63">
        <v>56833</v>
      </c>
      <c r="Z14300" s="61">
        <f>_xll.qlYieldTSDiscount($U$35,Y14300,,Trigger)</f>
        <v>0.47325577053650397</v>
      </c>
    </row>
    <row r="14301" spans="25:26" x14ac:dyDescent="0.25">
      <c r="Y14301" s="63">
        <v>56834</v>
      </c>
      <c r="Z14301" s="61">
        <f>_xll.qlYieldTSDiscount($U$35,Y14301,,Trigger)</f>
        <v>0.47322567233629032</v>
      </c>
    </row>
    <row r="14302" spans="25:26" x14ac:dyDescent="0.25">
      <c r="Y14302" s="63">
        <v>56835</v>
      </c>
      <c r="Z14302" s="61">
        <f>_xll.qlYieldTSDiscount($U$35,Y14302,,Trigger)</f>
        <v>0.47319557693397946</v>
      </c>
    </row>
    <row r="14303" spans="25:26" x14ac:dyDescent="0.25">
      <c r="Y14303" s="63">
        <v>56836</v>
      </c>
      <c r="Z14303" s="61">
        <f>_xll.qlYieldTSDiscount($U$35,Y14303,,Trigger)</f>
        <v>0.47316548432920552</v>
      </c>
    </row>
    <row r="14304" spans="25:26" x14ac:dyDescent="0.25">
      <c r="Y14304" s="63">
        <v>56837</v>
      </c>
      <c r="Z14304" s="61">
        <f>_xll.qlYieldTSDiscount($U$35,Y14304,,Trigger)</f>
        <v>0.47313539452160241</v>
      </c>
    </row>
    <row r="14305" spans="25:26" x14ac:dyDescent="0.25">
      <c r="Y14305" s="63">
        <v>56838</v>
      </c>
      <c r="Z14305" s="61">
        <f>_xll.qlYieldTSDiscount($U$35,Y14305,,Trigger)</f>
        <v>0.47310530751080426</v>
      </c>
    </row>
    <row r="14306" spans="25:26" x14ac:dyDescent="0.25">
      <c r="Y14306" s="63">
        <v>56839</v>
      </c>
      <c r="Z14306" s="61">
        <f>_xll.qlYieldTSDiscount($U$35,Y14306,,Trigger)</f>
        <v>0.47307522329644508</v>
      </c>
    </row>
    <row r="14307" spans="25:26" x14ac:dyDescent="0.25">
      <c r="Y14307" s="63">
        <v>56840</v>
      </c>
      <c r="Z14307" s="61">
        <f>_xll.qlYieldTSDiscount($U$35,Y14307,,Trigger)</f>
        <v>0.47304514187815883</v>
      </c>
    </row>
    <row r="14308" spans="25:26" x14ac:dyDescent="0.25">
      <c r="Y14308" s="63">
        <v>56841</v>
      </c>
      <c r="Z14308" s="61">
        <f>_xll.qlYieldTSDiscount($U$35,Y14308,,Trigger)</f>
        <v>0.47301506325557946</v>
      </c>
    </row>
    <row r="14309" spans="25:26" x14ac:dyDescent="0.25">
      <c r="Y14309" s="63">
        <v>56842</v>
      </c>
      <c r="Z14309" s="61">
        <f>_xll.qlYieldTSDiscount($U$35,Y14309,,Trigger)</f>
        <v>0.47298498742834122</v>
      </c>
    </row>
    <row r="14310" spans="25:26" x14ac:dyDescent="0.25">
      <c r="Y14310" s="63">
        <v>56843</v>
      </c>
      <c r="Z14310" s="61">
        <f>_xll.qlYieldTSDiscount($U$35,Y14310,,Trigger)</f>
        <v>0.47295491439607795</v>
      </c>
    </row>
    <row r="14311" spans="25:26" x14ac:dyDescent="0.25">
      <c r="Y14311" s="63">
        <v>56844</v>
      </c>
      <c r="Z14311" s="61">
        <f>_xll.qlYieldTSDiscount($U$35,Y14311,,Trigger)</f>
        <v>0.47292484415842367</v>
      </c>
    </row>
    <row r="14312" spans="25:26" x14ac:dyDescent="0.25">
      <c r="Y14312" s="63">
        <v>56845</v>
      </c>
      <c r="Z14312" s="61">
        <f>_xll.qlYieldTSDiscount($U$35,Y14312,,Trigger)</f>
        <v>0.47289477671501257</v>
      </c>
    </row>
    <row r="14313" spans="25:26" x14ac:dyDescent="0.25">
      <c r="Y14313" s="63">
        <v>56846</v>
      </c>
      <c r="Z14313" s="61">
        <f>_xll.qlYieldTSDiscount($U$35,Y14313,,Trigger)</f>
        <v>0.47286471206547848</v>
      </c>
    </row>
    <row r="14314" spans="25:26" x14ac:dyDescent="0.25">
      <c r="Y14314" s="63">
        <v>56847</v>
      </c>
      <c r="Z14314" s="61">
        <f>_xll.qlYieldTSDiscount($U$35,Y14314,,Trigger)</f>
        <v>0.47283465020945548</v>
      </c>
    </row>
    <row r="14315" spans="25:26" x14ac:dyDescent="0.25">
      <c r="Y14315" s="63">
        <v>56848</v>
      </c>
      <c r="Z14315" s="61">
        <f>_xll.qlYieldTSDiscount($U$35,Y14315,,Trigger)</f>
        <v>0.47280459114657769</v>
      </c>
    </row>
    <row r="14316" spans="25:26" x14ac:dyDescent="0.25">
      <c r="Y14316" s="63">
        <v>56849</v>
      </c>
      <c r="Z14316" s="61">
        <f>_xll.qlYieldTSDiscount($U$35,Y14316,,Trigger)</f>
        <v>0.47277453487647891</v>
      </c>
    </row>
    <row r="14317" spans="25:26" x14ac:dyDescent="0.25">
      <c r="Y14317" s="63">
        <v>56850</v>
      </c>
      <c r="Z14317" s="61">
        <f>_xll.qlYieldTSDiscount($U$35,Y14317,,Trigger)</f>
        <v>0.47274448139879344</v>
      </c>
    </row>
    <row r="14318" spans="25:26" x14ac:dyDescent="0.25">
      <c r="Y14318" s="63">
        <v>56851</v>
      </c>
      <c r="Z14318" s="61">
        <f>_xll.qlYieldTSDiscount($U$35,Y14318,,Trigger)</f>
        <v>0.47271443071315505</v>
      </c>
    </row>
    <row r="14319" spans="25:26" x14ac:dyDescent="0.25">
      <c r="Y14319" s="63">
        <v>56852</v>
      </c>
      <c r="Z14319" s="61">
        <f>_xll.qlYieldTSDiscount($U$35,Y14319,,Trigger)</f>
        <v>0.472684382819198</v>
      </c>
    </row>
    <row r="14320" spans="25:26" x14ac:dyDescent="0.25">
      <c r="Y14320" s="63">
        <v>56853</v>
      </c>
      <c r="Z14320" s="61">
        <f>_xll.qlYieldTSDiscount($U$35,Y14320,,Trigger)</f>
        <v>0.47265433771655613</v>
      </c>
    </row>
    <row r="14321" spans="25:26" x14ac:dyDescent="0.25">
      <c r="Y14321" s="63">
        <v>56854</v>
      </c>
      <c r="Z14321" s="61">
        <f>_xll.qlYieldTSDiscount($U$35,Y14321,,Trigger)</f>
        <v>0.4726242954048635</v>
      </c>
    </row>
    <row r="14322" spans="25:26" x14ac:dyDescent="0.25">
      <c r="Y14322" s="63">
        <v>56855</v>
      </c>
      <c r="Z14322" s="61">
        <f>_xll.qlYieldTSDiscount($U$35,Y14322,,Trigger)</f>
        <v>0.4725942558837542</v>
      </c>
    </row>
    <row r="14323" spans="25:26" x14ac:dyDescent="0.25">
      <c r="Y14323" s="63">
        <v>56856</v>
      </c>
      <c r="Z14323" s="61">
        <f>_xll.qlYieldTSDiscount($U$35,Y14323,,Trigger)</f>
        <v>0.47256421915286217</v>
      </c>
    </row>
    <row r="14324" spans="25:26" x14ac:dyDescent="0.25">
      <c r="Y14324" s="63">
        <v>56857</v>
      </c>
      <c r="Z14324" s="61">
        <f>_xll.qlYieldTSDiscount($U$35,Y14324,,Trigger)</f>
        <v>0.47253418521182144</v>
      </c>
    </row>
    <row r="14325" spans="25:26" x14ac:dyDescent="0.25">
      <c r="Y14325" s="63">
        <v>56858</v>
      </c>
      <c r="Z14325" s="61">
        <f>_xll.qlYieldTSDiscount($U$35,Y14325,,Trigger)</f>
        <v>0.47250415406026613</v>
      </c>
    </row>
    <row r="14326" spans="25:26" x14ac:dyDescent="0.25">
      <c r="Y14326" s="63">
        <v>56859</v>
      </c>
      <c r="Z14326" s="61">
        <f>_xll.qlYieldTSDiscount($U$35,Y14326,,Trigger)</f>
        <v>0.47247412569783015</v>
      </c>
    </row>
    <row r="14327" spans="25:26" x14ac:dyDescent="0.25">
      <c r="Y14327" s="63">
        <v>56860</v>
      </c>
      <c r="Z14327" s="61">
        <f>_xll.qlYieldTSDiscount($U$35,Y14327,,Trigger)</f>
        <v>0.47244410012414756</v>
      </c>
    </row>
    <row r="14328" spans="25:26" x14ac:dyDescent="0.25">
      <c r="Y14328" s="63">
        <v>56861</v>
      </c>
      <c r="Z14328" s="61">
        <f>_xll.qlYieldTSDiscount($U$35,Y14328,,Trigger)</f>
        <v>0.47241407733885243</v>
      </c>
    </row>
    <row r="14329" spans="25:26" x14ac:dyDescent="0.25">
      <c r="Y14329" s="63">
        <v>56862</v>
      </c>
      <c r="Z14329" s="61">
        <f>_xll.qlYieldTSDiscount($U$35,Y14329,,Trigger)</f>
        <v>0.47238405734157868</v>
      </c>
    </row>
    <row r="14330" spans="25:26" x14ac:dyDescent="0.25">
      <c r="Y14330" s="63">
        <v>56863</v>
      </c>
      <c r="Z14330" s="61">
        <f>_xll.qlYieldTSDiscount($U$35,Y14330,,Trigger)</f>
        <v>0.47235404013196036</v>
      </c>
    </row>
    <row r="14331" spans="25:26" x14ac:dyDescent="0.25">
      <c r="Y14331" s="63">
        <v>56864</v>
      </c>
      <c r="Z14331" s="61">
        <f>_xll.qlYieldTSDiscount($U$35,Y14331,,Trigger)</f>
        <v>0.47232402570963161</v>
      </c>
    </row>
    <row r="14332" spans="25:26" x14ac:dyDescent="0.25">
      <c r="Y14332" s="63">
        <v>56865</v>
      </c>
      <c r="Z14332" s="61">
        <f>_xll.qlYieldTSDiscount($U$35,Y14332,,Trigger)</f>
        <v>0.47229401407422633</v>
      </c>
    </row>
    <row r="14333" spans="25:26" x14ac:dyDescent="0.25">
      <c r="Y14333" s="63">
        <v>56866</v>
      </c>
      <c r="Z14333" s="61">
        <f>_xll.qlYieldTSDiscount($U$35,Y14333,,Trigger)</f>
        <v>0.47226400522537848</v>
      </c>
    </row>
    <row r="14334" spans="25:26" x14ac:dyDescent="0.25">
      <c r="Y14334" s="63">
        <v>56867</v>
      </c>
      <c r="Z14334" s="61">
        <f>_xll.qlYieldTSDiscount($U$35,Y14334,,Trigger)</f>
        <v>0.47223399916272224</v>
      </c>
    </row>
    <row r="14335" spans="25:26" x14ac:dyDescent="0.25">
      <c r="Y14335" s="63">
        <v>56868</v>
      </c>
      <c r="Z14335" s="61">
        <f>_xll.qlYieldTSDiscount($U$35,Y14335,,Trigger)</f>
        <v>0.47220399588589168</v>
      </c>
    </row>
    <row r="14336" spans="25:26" x14ac:dyDescent="0.25">
      <c r="Y14336" s="63">
        <v>56869</v>
      </c>
      <c r="Z14336" s="61">
        <f>_xll.qlYieldTSDiscount($U$35,Y14336,,Trigger)</f>
        <v>0.47217399539452054</v>
      </c>
    </row>
    <row r="14337" spans="25:26" x14ac:dyDescent="0.25">
      <c r="Y14337" s="63">
        <v>56870</v>
      </c>
      <c r="Z14337" s="61">
        <f>_xll.qlYieldTSDiscount($U$35,Y14337,,Trigger)</f>
        <v>0.47214399768824311</v>
      </c>
    </row>
    <row r="14338" spans="25:26" x14ac:dyDescent="0.25">
      <c r="Y14338" s="63">
        <v>56871</v>
      </c>
      <c r="Z14338" s="61">
        <f>_xll.qlYieldTSDiscount($U$35,Y14338,,Trigger)</f>
        <v>0.4721140027666933</v>
      </c>
    </row>
    <row r="14339" spans="25:26" x14ac:dyDescent="0.25">
      <c r="Y14339" s="63">
        <v>56872</v>
      </c>
      <c r="Z14339" s="61">
        <f>_xll.qlYieldTSDiscount($U$35,Y14339,,Trigger)</f>
        <v>0.47208401062950511</v>
      </c>
    </row>
    <row r="14340" spans="25:26" x14ac:dyDescent="0.25">
      <c r="Y14340" s="63">
        <v>56873</v>
      </c>
      <c r="Z14340" s="61">
        <f>_xll.qlYieldTSDiscount($U$35,Y14340,,Trigger)</f>
        <v>0.47205402127631257</v>
      </c>
    </row>
    <row r="14341" spans="25:26" x14ac:dyDescent="0.25">
      <c r="Y14341" s="63">
        <v>56874</v>
      </c>
      <c r="Z14341" s="61">
        <f>_xll.qlYieldTSDiscount($U$35,Y14341,,Trigger)</f>
        <v>0.47202403470674981</v>
      </c>
    </row>
    <row r="14342" spans="25:26" x14ac:dyDescent="0.25">
      <c r="Y14342" s="63">
        <v>56875</v>
      </c>
      <c r="Z14342" s="61">
        <f>_xll.qlYieldTSDiscount($U$35,Y14342,,Trigger)</f>
        <v>0.47199405092045077</v>
      </c>
    </row>
    <row r="14343" spans="25:26" x14ac:dyDescent="0.25">
      <c r="Y14343" s="63">
        <v>56876</v>
      </c>
      <c r="Z14343" s="61">
        <f>_xll.qlYieldTSDiscount($U$35,Y14343,,Trigger)</f>
        <v>0.47196406991704937</v>
      </c>
    </row>
    <row r="14344" spans="25:26" x14ac:dyDescent="0.25">
      <c r="Y14344" s="63">
        <v>56877</v>
      </c>
      <c r="Z14344" s="61">
        <f>_xll.qlYieldTSDiscount($U$35,Y14344,,Trigger)</f>
        <v>0.47193409169617984</v>
      </c>
    </row>
    <row r="14345" spans="25:26" x14ac:dyDescent="0.25">
      <c r="Y14345" s="63">
        <v>56878</v>
      </c>
      <c r="Z14345" s="61">
        <f>_xll.qlYieldTSDiscount($U$35,Y14345,,Trigger)</f>
        <v>0.47190411625747608</v>
      </c>
    </row>
    <row r="14346" spans="25:26" x14ac:dyDescent="0.25">
      <c r="Y14346" s="63">
        <v>56879</v>
      </c>
      <c r="Z14346" s="61">
        <f>_xll.qlYieldTSDiscount($U$35,Y14346,,Trigger)</f>
        <v>0.47187414360057206</v>
      </c>
    </row>
    <row r="14347" spans="25:26" x14ac:dyDescent="0.25">
      <c r="Y14347" s="63">
        <v>56880</v>
      </c>
      <c r="Z14347" s="61">
        <f>_xll.qlYieldTSDiscount($U$35,Y14347,,Trigger)</f>
        <v>0.4718441737251019</v>
      </c>
    </row>
    <row r="14348" spans="25:26" x14ac:dyDescent="0.25">
      <c r="Y14348" s="63">
        <v>56881</v>
      </c>
      <c r="Z14348" s="61">
        <f>_xll.qlYieldTSDiscount($U$35,Y14348,,Trigger)</f>
        <v>0.47181420663069962</v>
      </c>
    </row>
    <row r="14349" spans="25:26" x14ac:dyDescent="0.25">
      <c r="Y14349" s="63">
        <v>56882</v>
      </c>
      <c r="Z14349" s="61">
        <f>_xll.qlYieldTSDiscount($U$35,Y14349,,Trigger)</f>
        <v>0.47178424231699917</v>
      </c>
    </row>
    <row r="14350" spans="25:26" x14ac:dyDescent="0.25">
      <c r="Y14350" s="63">
        <v>56883</v>
      </c>
      <c r="Z14350" s="61">
        <f>_xll.qlYieldTSDiscount($U$35,Y14350,,Trigger)</f>
        <v>0.47175428078363463</v>
      </c>
    </row>
    <row r="14351" spans="25:26" x14ac:dyDescent="0.25">
      <c r="Y14351" s="63">
        <v>56884</v>
      </c>
      <c r="Z14351" s="61">
        <f>_xll.qlYieldTSDiscount($U$35,Y14351,,Trigger)</f>
        <v>0.47172432203024006</v>
      </c>
    </row>
    <row r="14352" spans="25:26" x14ac:dyDescent="0.25">
      <c r="Y14352" s="63">
        <v>56885</v>
      </c>
      <c r="Z14352" s="61">
        <f>_xll.qlYieldTSDiscount($U$35,Y14352,,Trigger)</f>
        <v>0.47169436605644938</v>
      </c>
    </row>
    <row r="14353" spans="25:26" x14ac:dyDescent="0.25">
      <c r="Y14353" s="63">
        <v>56886</v>
      </c>
      <c r="Z14353" s="61">
        <f>_xll.qlYieldTSDiscount($U$35,Y14353,,Trigger)</f>
        <v>0.47166441286189664</v>
      </c>
    </row>
    <row r="14354" spans="25:26" x14ac:dyDescent="0.25">
      <c r="Y14354" s="63">
        <v>56887</v>
      </c>
      <c r="Z14354" s="61">
        <f>_xll.qlYieldTSDiscount($U$35,Y14354,,Trigger)</f>
        <v>0.47163446244621593</v>
      </c>
    </row>
    <row r="14355" spans="25:26" x14ac:dyDescent="0.25">
      <c r="Y14355" s="63">
        <v>56888</v>
      </c>
      <c r="Z14355" s="61">
        <f>_xll.qlYieldTSDiscount($U$35,Y14355,,Trigger)</f>
        <v>0.4716045148090412</v>
      </c>
    </row>
    <row r="14356" spans="25:26" x14ac:dyDescent="0.25">
      <c r="Y14356" s="63">
        <v>56889</v>
      </c>
      <c r="Z14356" s="61">
        <f>_xll.qlYieldTSDiscount($U$35,Y14356,,Trigger)</f>
        <v>0.47157456995000646</v>
      </c>
    </row>
    <row r="14357" spans="25:26" x14ac:dyDescent="0.25">
      <c r="Y14357" s="63">
        <v>56890</v>
      </c>
      <c r="Z14357" s="61">
        <f>_xll.qlYieldTSDiscount($U$35,Y14357,,Trigger)</f>
        <v>0.47154462786874585</v>
      </c>
    </row>
    <row r="14358" spans="25:26" x14ac:dyDescent="0.25">
      <c r="Y14358" s="63">
        <v>56891</v>
      </c>
      <c r="Z14358" s="61">
        <f>_xll.qlYieldTSDiscount($U$35,Y14358,,Trigger)</f>
        <v>0.47151468856489326</v>
      </c>
    </row>
    <row r="14359" spans="25:26" x14ac:dyDescent="0.25">
      <c r="Y14359" s="63">
        <v>56892</v>
      </c>
      <c r="Z14359" s="61">
        <f>_xll.qlYieldTSDiscount($U$35,Y14359,,Trigger)</f>
        <v>0.47148475203808271</v>
      </c>
    </row>
    <row r="14360" spans="25:26" x14ac:dyDescent="0.25">
      <c r="Y14360" s="63">
        <v>56893</v>
      </c>
      <c r="Z14360" s="61">
        <f>_xll.qlYieldTSDiscount($U$35,Y14360,,Trigger)</f>
        <v>0.47145481828794839</v>
      </c>
    </row>
    <row r="14361" spans="25:26" x14ac:dyDescent="0.25">
      <c r="Y14361" s="63">
        <v>56894</v>
      </c>
      <c r="Z14361" s="61">
        <f>_xll.qlYieldTSDiscount($U$35,Y14361,,Trigger)</f>
        <v>0.47142488731412413</v>
      </c>
    </row>
    <row r="14362" spans="25:26" x14ac:dyDescent="0.25">
      <c r="Y14362" s="63">
        <v>56895</v>
      </c>
      <c r="Z14362" s="61">
        <f>_xll.qlYieldTSDiscount($U$35,Y14362,,Trigger)</f>
        <v>0.47139495911624407</v>
      </c>
    </row>
    <row r="14363" spans="25:26" x14ac:dyDescent="0.25">
      <c r="Y14363" s="63">
        <v>56896</v>
      </c>
      <c r="Z14363" s="61">
        <f>_xll.qlYieldTSDiscount($U$35,Y14363,,Trigger)</f>
        <v>0.47136503369394211</v>
      </c>
    </row>
    <row r="14364" spans="25:26" x14ac:dyDescent="0.25">
      <c r="Y14364" s="63">
        <v>56897</v>
      </c>
      <c r="Z14364" s="61">
        <f>_xll.qlYieldTSDiscount($U$35,Y14364,,Trigger)</f>
        <v>0.47133511104685244</v>
      </c>
    </row>
    <row r="14365" spans="25:26" x14ac:dyDescent="0.25">
      <c r="Y14365" s="63">
        <v>56898</v>
      </c>
      <c r="Z14365" s="61">
        <f>_xll.qlYieldTSDiscount($U$35,Y14365,,Trigger)</f>
        <v>0.47130519117460895</v>
      </c>
    </row>
    <row r="14366" spans="25:26" x14ac:dyDescent="0.25">
      <c r="Y14366" s="63">
        <v>56899</v>
      </c>
      <c r="Z14366" s="61">
        <f>_xll.qlYieldTSDiscount($U$35,Y14366,,Trigger)</f>
        <v>0.47127527407684566</v>
      </c>
    </row>
    <row r="14367" spans="25:26" x14ac:dyDescent="0.25">
      <c r="Y14367" s="63">
        <v>56900</v>
      </c>
      <c r="Z14367" s="61">
        <f>_xll.qlYieldTSDiscount($U$35,Y14367,,Trigger)</f>
        <v>0.47124535975319676</v>
      </c>
    </row>
    <row r="14368" spans="25:26" x14ac:dyDescent="0.25">
      <c r="Y14368" s="63">
        <v>56901</v>
      </c>
      <c r="Z14368" s="61">
        <f>_xll.qlYieldTSDiscount($U$35,Y14368,,Trigger)</f>
        <v>0.47121544820329603</v>
      </c>
    </row>
    <row r="14369" spans="25:26" x14ac:dyDescent="0.25">
      <c r="Y14369" s="63">
        <v>56902</v>
      </c>
      <c r="Z14369" s="61">
        <f>_xll.qlYieldTSDiscount($U$35,Y14369,,Trigger)</f>
        <v>0.47118553942677766</v>
      </c>
    </row>
    <row r="14370" spans="25:26" x14ac:dyDescent="0.25">
      <c r="Y14370" s="63">
        <v>56903</v>
      </c>
      <c r="Z14370" s="61">
        <f>_xll.qlYieldTSDiscount($U$35,Y14370,,Trigger)</f>
        <v>0.47115563342327565</v>
      </c>
    </row>
    <row r="14371" spans="25:26" x14ac:dyDescent="0.25">
      <c r="Y14371" s="63">
        <v>56904</v>
      </c>
      <c r="Z14371" s="61">
        <f>_xll.qlYieldTSDiscount($U$35,Y14371,,Trigger)</f>
        <v>0.47112573019242393</v>
      </c>
    </row>
    <row r="14372" spans="25:26" x14ac:dyDescent="0.25">
      <c r="Y14372" s="63">
        <v>56905</v>
      </c>
      <c r="Z14372" s="61">
        <f>_xll.qlYieldTSDiscount($U$35,Y14372,,Trigger)</f>
        <v>0.47109582973385661</v>
      </c>
    </row>
    <row r="14373" spans="25:26" x14ac:dyDescent="0.25">
      <c r="Y14373" s="63">
        <v>56906</v>
      </c>
      <c r="Z14373" s="61">
        <f>_xll.qlYieldTSDiscount($U$35,Y14373,,Trigger)</f>
        <v>0.47106593204720776</v>
      </c>
    </row>
    <row r="14374" spans="25:26" x14ac:dyDescent="0.25">
      <c r="Y14374" s="63">
        <v>56907</v>
      </c>
      <c r="Z14374" s="61">
        <f>_xll.qlYieldTSDiscount($U$35,Y14374,,Trigger)</f>
        <v>0.47103603713211123</v>
      </c>
    </row>
    <row r="14375" spans="25:26" x14ac:dyDescent="0.25">
      <c r="Y14375" s="63">
        <v>56908</v>
      </c>
      <c r="Z14375" s="61">
        <f>_xll.qlYieldTSDiscount($U$35,Y14375,,Trigger)</f>
        <v>0.47100614498820115</v>
      </c>
    </row>
    <row r="14376" spans="25:26" x14ac:dyDescent="0.25">
      <c r="Y14376" s="63">
        <v>56909</v>
      </c>
      <c r="Z14376" s="61">
        <f>_xll.qlYieldTSDiscount($U$35,Y14376,,Trigger)</f>
        <v>0.47097625561511164</v>
      </c>
    </row>
    <row r="14377" spans="25:26" x14ac:dyDescent="0.25">
      <c r="Y14377" s="63">
        <v>56910</v>
      </c>
      <c r="Z14377" s="61">
        <f>_xll.qlYieldTSDiscount($U$35,Y14377,,Trigger)</f>
        <v>0.4709463690124765</v>
      </c>
    </row>
    <row r="14378" spans="25:26" x14ac:dyDescent="0.25">
      <c r="Y14378" s="63">
        <v>56911</v>
      </c>
      <c r="Z14378" s="61">
        <f>_xll.qlYieldTSDiscount($U$35,Y14378,,Trigger)</f>
        <v>0.4709164851799299</v>
      </c>
    </row>
    <row r="14379" spans="25:26" x14ac:dyDescent="0.25">
      <c r="Y14379" s="63">
        <v>56912</v>
      </c>
      <c r="Z14379" s="61">
        <f>_xll.qlYieldTSDiscount($U$35,Y14379,,Trigger)</f>
        <v>0.47088660411710581</v>
      </c>
    </row>
    <row r="14380" spans="25:26" x14ac:dyDescent="0.25">
      <c r="Y14380" s="63">
        <v>56913</v>
      </c>
      <c r="Z14380" s="61">
        <f>_xll.qlYieldTSDiscount($U$35,Y14380,,Trigger)</f>
        <v>0.47085672582363836</v>
      </c>
    </row>
    <row r="14381" spans="25:26" x14ac:dyDescent="0.25">
      <c r="Y14381" s="63">
        <v>56914</v>
      </c>
      <c r="Z14381" s="61">
        <f>_xll.qlYieldTSDiscount($U$35,Y14381,,Trigger)</f>
        <v>0.47082685029916138</v>
      </c>
    </row>
    <row r="14382" spans="25:26" x14ac:dyDescent="0.25">
      <c r="Y14382" s="63">
        <v>56915</v>
      </c>
      <c r="Z14382" s="61">
        <f>_xll.qlYieldTSDiscount($U$35,Y14382,,Trigger)</f>
        <v>0.47079697754330896</v>
      </c>
    </row>
    <row r="14383" spans="25:26" x14ac:dyDescent="0.25">
      <c r="Y14383" s="63">
        <v>56916</v>
      </c>
      <c r="Z14383" s="61">
        <f>_xll.qlYieldTSDiscount($U$35,Y14383,,Trigger)</f>
        <v>0.47076710755571533</v>
      </c>
    </row>
    <row r="14384" spans="25:26" x14ac:dyDescent="0.25">
      <c r="Y14384" s="63">
        <v>56917</v>
      </c>
      <c r="Z14384" s="61">
        <f>_xll.qlYieldTSDiscount($U$35,Y14384,,Trigger)</f>
        <v>0.47073724033601416</v>
      </c>
    </row>
    <row r="14385" spans="25:26" x14ac:dyDescent="0.25">
      <c r="Y14385" s="63">
        <v>56918</v>
      </c>
      <c r="Z14385" s="61">
        <f>_xll.qlYieldTSDiscount($U$35,Y14385,,Trigger)</f>
        <v>0.47070737588383971</v>
      </c>
    </row>
    <row r="14386" spans="25:26" x14ac:dyDescent="0.25">
      <c r="Y14386" s="63">
        <v>56919</v>
      </c>
      <c r="Z14386" s="61">
        <f>_xll.qlYieldTSDiscount($U$35,Y14386,,Trigger)</f>
        <v>0.47067751419882603</v>
      </c>
    </row>
    <row r="14387" spans="25:26" x14ac:dyDescent="0.25">
      <c r="Y14387" s="63">
        <v>56920</v>
      </c>
      <c r="Z14387" s="61">
        <f>_xll.qlYieldTSDiscount($U$35,Y14387,,Trigger)</f>
        <v>0.47064765528060698</v>
      </c>
    </row>
    <row r="14388" spans="25:26" x14ac:dyDescent="0.25">
      <c r="Y14388" s="63">
        <v>56921</v>
      </c>
      <c r="Z14388" s="61">
        <f>_xll.qlYieldTSDiscount($U$35,Y14388,,Trigger)</f>
        <v>0.47061779912881663</v>
      </c>
    </row>
    <row r="14389" spans="25:26" x14ac:dyDescent="0.25">
      <c r="Y14389" s="63">
        <v>56922</v>
      </c>
      <c r="Z14389" s="61">
        <f>_xll.qlYieldTSDiscount($U$35,Y14389,,Trigger)</f>
        <v>0.4705879457430891</v>
      </c>
    </row>
    <row r="14390" spans="25:26" x14ac:dyDescent="0.25">
      <c r="Y14390" s="63">
        <v>56923</v>
      </c>
      <c r="Z14390" s="61">
        <f>_xll.qlYieldTSDiscount($U$35,Y14390,,Trigger)</f>
        <v>0.4705580951230583</v>
      </c>
    </row>
    <row r="14391" spans="25:26" x14ac:dyDescent="0.25">
      <c r="Y14391" s="63">
        <v>56924</v>
      </c>
      <c r="Z14391" s="61">
        <f>_xll.qlYieldTSDiscount($U$35,Y14391,,Trigger)</f>
        <v>0.47052824726835824</v>
      </c>
    </row>
    <row r="14392" spans="25:26" x14ac:dyDescent="0.25">
      <c r="Y14392" s="63">
        <v>56925</v>
      </c>
      <c r="Z14392" s="61">
        <f>_xll.qlYieldTSDiscount($U$35,Y14392,,Trigger)</f>
        <v>0.47049840217862304</v>
      </c>
    </row>
    <row r="14393" spans="25:26" x14ac:dyDescent="0.25">
      <c r="Y14393" s="63">
        <v>56926</v>
      </c>
      <c r="Z14393" s="61">
        <f>_xll.qlYieldTSDiscount($U$35,Y14393,,Trigger)</f>
        <v>0.47046855985348668</v>
      </c>
    </row>
    <row r="14394" spans="25:26" x14ac:dyDescent="0.25">
      <c r="Y14394" s="63">
        <v>56927</v>
      </c>
      <c r="Z14394" s="61">
        <f>_xll.qlYieldTSDiscount($U$35,Y14394,,Trigger)</f>
        <v>0.47043872029258316</v>
      </c>
    </row>
    <row r="14395" spans="25:26" x14ac:dyDescent="0.25">
      <c r="Y14395" s="63">
        <v>56928</v>
      </c>
      <c r="Z14395" s="61">
        <f>_xll.qlYieldTSDiscount($U$35,Y14395,,Trigger)</f>
        <v>0.47040888349554655</v>
      </c>
    </row>
    <row r="14396" spans="25:26" x14ac:dyDescent="0.25">
      <c r="Y14396" s="63">
        <v>56929</v>
      </c>
      <c r="Z14396" s="61">
        <f>_xll.qlYieldTSDiscount($U$35,Y14396,,Trigger)</f>
        <v>0.47037904946201081</v>
      </c>
    </row>
    <row r="14397" spans="25:26" x14ac:dyDescent="0.25">
      <c r="Y14397" s="63">
        <v>56930</v>
      </c>
      <c r="Z14397" s="61">
        <f>_xll.qlYieldTSDiscount($U$35,Y14397,,Trigger)</f>
        <v>0.47034921819161002</v>
      </c>
    </row>
    <row r="14398" spans="25:26" x14ac:dyDescent="0.25">
      <c r="Y14398" s="63">
        <v>56931</v>
      </c>
      <c r="Z14398" s="61">
        <f>_xll.qlYieldTSDiscount($U$35,Y14398,,Trigger)</f>
        <v>0.47031938968397813</v>
      </c>
    </row>
    <row r="14399" spans="25:26" x14ac:dyDescent="0.25">
      <c r="Y14399" s="63">
        <v>56932</v>
      </c>
      <c r="Z14399" s="61">
        <f>_xll.qlYieldTSDiscount($U$35,Y14399,,Trigger)</f>
        <v>0.47028956393874932</v>
      </c>
    </row>
    <row r="14400" spans="25:26" x14ac:dyDescent="0.25">
      <c r="Y14400" s="63">
        <v>56933</v>
      </c>
      <c r="Z14400" s="61">
        <f>_xll.qlYieldTSDiscount($U$35,Y14400,,Trigger)</f>
        <v>0.47025974095555734</v>
      </c>
    </row>
    <row r="14401" spans="25:26" x14ac:dyDescent="0.25">
      <c r="Y14401" s="63">
        <v>56934</v>
      </c>
      <c r="Z14401" s="61">
        <f>_xll.qlYieldTSDiscount($U$35,Y14401,,Trigger)</f>
        <v>0.47022992073403647</v>
      </c>
    </row>
    <row r="14402" spans="25:26" x14ac:dyDescent="0.25">
      <c r="Y14402" s="63">
        <v>56935</v>
      </c>
      <c r="Z14402" s="61">
        <f>_xll.qlYieldTSDiscount($U$35,Y14402,,Trigger)</f>
        <v>0.47020010327382061</v>
      </c>
    </row>
    <row r="14403" spans="25:26" x14ac:dyDescent="0.25">
      <c r="Y14403" s="63">
        <v>56936</v>
      </c>
      <c r="Z14403" s="61">
        <f>_xll.qlYieldTSDiscount($U$35,Y14403,,Trigger)</f>
        <v>0.47017028857454379</v>
      </c>
    </row>
    <row r="14404" spans="25:26" x14ac:dyDescent="0.25">
      <c r="Y14404" s="63">
        <v>56937</v>
      </c>
      <c r="Z14404" s="61">
        <f>_xll.qlYieldTSDiscount($U$35,Y14404,,Trigger)</f>
        <v>0.47014047663584002</v>
      </c>
    </row>
    <row r="14405" spans="25:26" x14ac:dyDescent="0.25">
      <c r="Y14405" s="63">
        <v>56938</v>
      </c>
      <c r="Z14405" s="61">
        <f>_xll.qlYieldTSDiscount($U$35,Y14405,,Trigger)</f>
        <v>0.47011066745734342</v>
      </c>
    </row>
    <row r="14406" spans="25:26" x14ac:dyDescent="0.25">
      <c r="Y14406" s="63">
        <v>56939</v>
      </c>
      <c r="Z14406" s="61">
        <f>_xll.qlYieldTSDiscount($U$35,Y14406,,Trigger)</f>
        <v>0.4700808610386879</v>
      </c>
    </row>
    <row r="14407" spans="25:26" x14ac:dyDescent="0.25">
      <c r="Y14407" s="63">
        <v>56940</v>
      </c>
      <c r="Z14407" s="61">
        <f>_xll.qlYieldTSDiscount($U$35,Y14407,,Trigger)</f>
        <v>0.47005105737950748</v>
      </c>
    </row>
    <row r="14408" spans="25:26" x14ac:dyDescent="0.25">
      <c r="Y14408" s="63">
        <v>56941</v>
      </c>
      <c r="Z14408" s="61">
        <f>_xll.qlYieldTSDiscount($U$35,Y14408,,Trigger)</f>
        <v>0.47002125647943627</v>
      </c>
    </row>
    <row r="14409" spans="25:26" x14ac:dyDescent="0.25">
      <c r="Y14409" s="63">
        <v>56942</v>
      </c>
      <c r="Z14409" s="61">
        <f>_xll.qlYieldTSDiscount($U$35,Y14409,,Trigger)</f>
        <v>0.46999145833810829</v>
      </c>
    </row>
    <row r="14410" spans="25:26" x14ac:dyDescent="0.25">
      <c r="Y14410" s="63">
        <v>56943</v>
      </c>
      <c r="Z14410" s="61">
        <f>_xll.qlYieldTSDiscount($U$35,Y14410,,Trigger)</f>
        <v>0.46996166295515746</v>
      </c>
    </row>
    <row r="14411" spans="25:26" x14ac:dyDescent="0.25">
      <c r="Y14411" s="63">
        <v>56944</v>
      </c>
      <c r="Z14411" s="61">
        <f>_xll.qlYieldTSDiscount($U$35,Y14411,,Trigger)</f>
        <v>0.46993187033021783</v>
      </c>
    </row>
    <row r="14412" spans="25:26" x14ac:dyDescent="0.25">
      <c r="Y14412" s="63">
        <v>56945</v>
      </c>
      <c r="Z14412" s="61">
        <f>_xll.qlYieldTSDiscount($U$35,Y14412,,Trigger)</f>
        <v>0.46990208046292353</v>
      </c>
    </row>
    <row r="14413" spans="25:26" x14ac:dyDescent="0.25">
      <c r="Y14413" s="63">
        <v>56946</v>
      </c>
      <c r="Z14413" s="61">
        <f>_xll.qlYieldTSDiscount($U$35,Y14413,,Trigger)</f>
        <v>0.46987229335290842</v>
      </c>
    </row>
    <row r="14414" spans="25:26" x14ac:dyDescent="0.25">
      <c r="Y14414" s="63">
        <v>56947</v>
      </c>
      <c r="Z14414" s="61">
        <f>_xll.qlYieldTSDiscount($U$35,Y14414,,Trigger)</f>
        <v>0.46984250899980662</v>
      </c>
    </row>
    <row r="14415" spans="25:26" x14ac:dyDescent="0.25">
      <c r="Y14415" s="63">
        <v>56948</v>
      </c>
      <c r="Z14415" s="61">
        <f>_xll.qlYieldTSDiscount($U$35,Y14415,,Trigger)</f>
        <v>0.46981272740325219</v>
      </c>
    </row>
    <row r="14416" spans="25:26" x14ac:dyDescent="0.25">
      <c r="Y14416" s="63">
        <v>56949</v>
      </c>
      <c r="Z14416" s="61">
        <f>_xll.qlYieldTSDiscount($U$35,Y14416,,Trigger)</f>
        <v>0.46978294856287905</v>
      </c>
    </row>
    <row r="14417" spans="25:26" x14ac:dyDescent="0.25">
      <c r="Y14417" s="63">
        <v>56950</v>
      </c>
      <c r="Z14417" s="61">
        <f>_xll.qlYieldTSDiscount($U$35,Y14417,,Trigger)</f>
        <v>0.46975317247832127</v>
      </c>
    </row>
    <row r="14418" spans="25:26" x14ac:dyDescent="0.25">
      <c r="Y14418" s="63">
        <v>56951</v>
      </c>
      <c r="Z14418" s="61">
        <f>_xll.qlYieldTSDiscount($U$35,Y14418,,Trigger)</f>
        <v>0.46972339914921296</v>
      </c>
    </row>
    <row r="14419" spans="25:26" x14ac:dyDescent="0.25">
      <c r="Y14419" s="63">
        <v>56952</v>
      </c>
      <c r="Z14419" s="61">
        <f>_xll.qlYieldTSDiscount($U$35,Y14419,,Trigger)</f>
        <v>0.46969362857518793</v>
      </c>
    </row>
    <row r="14420" spans="25:26" x14ac:dyDescent="0.25">
      <c r="Y14420" s="63">
        <v>56953</v>
      </c>
      <c r="Z14420" s="61">
        <f>_xll.qlYieldTSDiscount($U$35,Y14420,,Trigger)</f>
        <v>0.4696638607558804</v>
      </c>
    </row>
    <row r="14421" spans="25:26" x14ac:dyDescent="0.25">
      <c r="Y14421" s="63">
        <v>56954</v>
      </c>
      <c r="Z14421" s="61">
        <f>_xll.qlYieldTSDiscount($U$35,Y14421,,Trigger)</f>
        <v>0.46963409569092435</v>
      </c>
    </row>
    <row r="14422" spans="25:26" x14ac:dyDescent="0.25">
      <c r="Y14422" s="63">
        <v>56955</v>
      </c>
      <c r="Z14422" s="61">
        <f>_xll.qlYieldTSDiscount($U$35,Y14422,,Trigger)</f>
        <v>0.46960433337995366</v>
      </c>
    </row>
    <row r="14423" spans="25:26" x14ac:dyDescent="0.25">
      <c r="Y14423" s="63">
        <v>56956</v>
      </c>
      <c r="Z14423" s="61">
        <f>_xll.qlYieldTSDiscount($U$35,Y14423,,Trigger)</f>
        <v>0.46957457382260248</v>
      </c>
    </row>
    <row r="14424" spans="25:26" x14ac:dyDescent="0.25">
      <c r="Y14424" s="63">
        <v>56957</v>
      </c>
      <c r="Z14424" s="61">
        <f>_xll.qlYieldTSDiscount($U$35,Y14424,,Trigger)</f>
        <v>0.46954481701850487</v>
      </c>
    </row>
    <row r="14425" spans="25:26" x14ac:dyDescent="0.25">
      <c r="Y14425" s="63">
        <v>56958</v>
      </c>
      <c r="Z14425" s="61">
        <f>_xll.qlYieldTSDiscount($U$35,Y14425,,Trigger)</f>
        <v>0.46951506296729484</v>
      </c>
    </row>
    <row r="14426" spans="25:26" x14ac:dyDescent="0.25">
      <c r="Y14426" s="63">
        <v>56959</v>
      </c>
      <c r="Z14426" s="61">
        <f>_xll.qlYieldTSDiscount($U$35,Y14426,,Trigger)</f>
        <v>0.46948531166860624</v>
      </c>
    </row>
    <row r="14427" spans="25:26" x14ac:dyDescent="0.25">
      <c r="Y14427" s="63">
        <v>56960</v>
      </c>
      <c r="Z14427" s="61">
        <f>_xll.qlYieldTSDiscount($U$35,Y14427,,Trigger)</f>
        <v>0.46945556312207326</v>
      </c>
    </row>
    <row r="14428" spans="25:26" x14ac:dyDescent="0.25">
      <c r="Y14428" s="63">
        <v>56961</v>
      </c>
      <c r="Z14428" s="61">
        <f>_xll.qlYieldTSDiscount($U$35,Y14428,,Trigger)</f>
        <v>0.46942581732732996</v>
      </c>
    </row>
    <row r="14429" spans="25:26" x14ac:dyDescent="0.25">
      <c r="Y14429" s="63">
        <v>56962</v>
      </c>
      <c r="Z14429" s="61">
        <f>_xll.qlYieldTSDiscount($U$35,Y14429,,Trigger)</f>
        <v>0.4693960742840102</v>
      </c>
    </row>
    <row r="14430" spans="25:26" x14ac:dyDescent="0.25">
      <c r="Y14430" s="63">
        <v>56963</v>
      </c>
      <c r="Z14430" s="61">
        <f>_xll.qlYieldTSDiscount($U$35,Y14430,,Trigger)</f>
        <v>0.4693663339917481</v>
      </c>
    </row>
    <row r="14431" spans="25:26" x14ac:dyDescent="0.25">
      <c r="Y14431" s="63">
        <v>56964</v>
      </c>
      <c r="Z14431" s="61">
        <f>_xll.qlYieldTSDiscount($U$35,Y14431,,Trigger)</f>
        <v>0.46933659645017767</v>
      </c>
    </row>
    <row r="14432" spans="25:26" x14ac:dyDescent="0.25">
      <c r="Y14432" s="63">
        <v>56965</v>
      </c>
      <c r="Z14432" s="61">
        <f>_xll.qlYieldTSDiscount($U$35,Y14432,,Trigger)</f>
        <v>0.46930686165893293</v>
      </c>
    </row>
    <row r="14433" spans="25:26" x14ac:dyDescent="0.25">
      <c r="Y14433" s="63">
        <v>56966</v>
      </c>
      <c r="Z14433" s="61">
        <f>_xll.qlYieldTSDiscount($U$35,Y14433,,Trigger)</f>
        <v>0.46927712961764789</v>
      </c>
    </row>
    <row r="14434" spans="25:26" x14ac:dyDescent="0.25">
      <c r="Y14434" s="63">
        <v>56967</v>
      </c>
      <c r="Z14434" s="61">
        <f>_xll.qlYieldTSDiscount($U$35,Y14434,,Trigger)</f>
        <v>0.46924740032595663</v>
      </c>
    </row>
    <row r="14435" spans="25:26" x14ac:dyDescent="0.25">
      <c r="Y14435" s="63">
        <v>56968</v>
      </c>
      <c r="Z14435" s="61">
        <f>_xll.qlYieldTSDiscount($U$35,Y14435,,Trigger)</f>
        <v>0.46921767378349305</v>
      </c>
    </row>
    <row r="14436" spans="25:26" x14ac:dyDescent="0.25">
      <c r="Y14436" s="63">
        <v>56969</v>
      </c>
      <c r="Z14436" s="61">
        <f>_xll.qlYieldTSDiscount($U$35,Y14436,,Trigger)</f>
        <v>0.46918794998989127</v>
      </c>
    </row>
    <row r="14437" spans="25:26" x14ac:dyDescent="0.25">
      <c r="Y14437" s="63">
        <v>56970</v>
      </c>
      <c r="Z14437" s="61">
        <f>_xll.qlYieldTSDiscount($U$35,Y14437,,Trigger)</f>
        <v>0.46915822894478526</v>
      </c>
    </row>
    <row r="14438" spans="25:26" x14ac:dyDescent="0.25">
      <c r="Y14438" s="63">
        <v>56971</v>
      </c>
      <c r="Z14438" s="61">
        <f>_xll.qlYieldTSDiscount($U$35,Y14438,,Trigger)</f>
        <v>0.46912851064780914</v>
      </c>
    </row>
    <row r="14439" spans="25:26" x14ac:dyDescent="0.25">
      <c r="Y14439" s="63">
        <v>56972</v>
      </c>
      <c r="Z14439" s="61">
        <f>_xll.qlYieldTSDiscount($U$35,Y14439,,Trigger)</f>
        <v>0.46909879509859687</v>
      </c>
    </row>
    <row r="14440" spans="25:26" x14ac:dyDescent="0.25">
      <c r="Y14440" s="63">
        <v>56973</v>
      </c>
      <c r="Z14440" s="61">
        <f>_xll.qlYieldTSDiscount($U$35,Y14440,,Trigger)</f>
        <v>0.46906908229678235</v>
      </c>
    </row>
    <row r="14441" spans="25:26" x14ac:dyDescent="0.25">
      <c r="Y14441" s="63">
        <v>56974</v>
      </c>
      <c r="Z14441" s="61">
        <f>_xll.qlYieldTSDiscount($U$35,Y14441,,Trigger)</f>
        <v>0.46903937224199987</v>
      </c>
    </row>
    <row r="14442" spans="25:26" x14ac:dyDescent="0.25">
      <c r="Y14442" s="63">
        <v>56975</v>
      </c>
      <c r="Z14442" s="61">
        <f>_xll.qlYieldTSDiscount($U$35,Y14442,,Trigger)</f>
        <v>0.46900966493388319</v>
      </c>
    </row>
    <row r="14443" spans="25:26" x14ac:dyDescent="0.25">
      <c r="Y14443" s="63">
        <v>56976</v>
      </c>
      <c r="Z14443" s="61">
        <f>_xll.qlYieldTSDiscount($U$35,Y14443,,Trigger)</f>
        <v>0.46897996037206641</v>
      </c>
    </row>
    <row r="14444" spans="25:26" x14ac:dyDescent="0.25">
      <c r="Y14444" s="63">
        <v>56977</v>
      </c>
      <c r="Z14444" s="61">
        <f>_xll.qlYieldTSDiscount($U$35,Y14444,,Trigger)</f>
        <v>0.46895025855618366</v>
      </c>
    </row>
    <row r="14445" spans="25:26" x14ac:dyDescent="0.25">
      <c r="Y14445" s="63">
        <v>56978</v>
      </c>
      <c r="Z14445" s="61">
        <f>_xll.qlYieldTSDiscount($U$35,Y14445,,Trigger)</f>
        <v>0.46892055948586886</v>
      </c>
    </row>
    <row r="14446" spans="25:26" x14ac:dyDescent="0.25">
      <c r="Y14446" s="63">
        <v>56979</v>
      </c>
      <c r="Z14446" s="61">
        <f>_xll.qlYieldTSDiscount($U$35,Y14446,,Trigger)</f>
        <v>0.46889086316075601</v>
      </c>
    </row>
    <row r="14447" spans="25:26" x14ac:dyDescent="0.25">
      <c r="Y14447" s="63">
        <v>56980</v>
      </c>
      <c r="Z14447" s="61">
        <f>_xll.qlYieldTSDiscount($U$35,Y14447,,Trigger)</f>
        <v>0.46886116958047924</v>
      </c>
    </row>
    <row r="14448" spans="25:26" x14ac:dyDescent="0.25">
      <c r="Y14448" s="63">
        <v>56981</v>
      </c>
      <c r="Z14448" s="61">
        <f>_xll.qlYieldTSDiscount($U$35,Y14448,,Trigger)</f>
        <v>0.46883147874467246</v>
      </c>
    </row>
    <row r="14449" spans="25:26" x14ac:dyDescent="0.25">
      <c r="Y14449" s="63">
        <v>56982</v>
      </c>
      <c r="Z14449" s="61">
        <f>_xll.qlYieldTSDiscount($U$35,Y14449,,Trigger)</f>
        <v>0.46880179065296973</v>
      </c>
    </row>
    <row r="14450" spans="25:26" x14ac:dyDescent="0.25">
      <c r="Y14450" s="63">
        <v>56983</v>
      </c>
      <c r="Z14450" s="61">
        <f>_xll.qlYieldTSDiscount($U$35,Y14450,,Trigger)</f>
        <v>0.46877210530500518</v>
      </c>
    </row>
    <row r="14451" spans="25:26" x14ac:dyDescent="0.25">
      <c r="Y14451" s="63">
        <v>56984</v>
      </c>
      <c r="Z14451" s="61">
        <f>_xll.qlYieldTSDiscount($U$35,Y14451,,Trigger)</f>
        <v>0.46874242270041266</v>
      </c>
    </row>
    <row r="14452" spans="25:26" x14ac:dyDescent="0.25">
      <c r="Y14452" s="63">
        <v>56985</v>
      </c>
      <c r="Z14452" s="61">
        <f>_xll.qlYieldTSDiscount($U$35,Y14452,,Trigger)</f>
        <v>0.46871274283882625</v>
      </c>
    </row>
    <row r="14453" spans="25:26" x14ac:dyDescent="0.25">
      <c r="Y14453" s="63">
        <v>56986</v>
      </c>
      <c r="Z14453" s="61">
        <f>_xll.qlYieldTSDiscount($U$35,Y14453,,Trigger)</f>
        <v>0.46868306571987994</v>
      </c>
    </row>
    <row r="14454" spans="25:26" x14ac:dyDescent="0.25">
      <c r="Y14454" s="63">
        <v>56987</v>
      </c>
      <c r="Z14454" s="61">
        <f>_xll.qlYieldTSDiscount($U$35,Y14454,,Trigger)</f>
        <v>0.46865339134320794</v>
      </c>
    </row>
    <row r="14455" spans="25:26" x14ac:dyDescent="0.25">
      <c r="Y14455" s="63">
        <v>56988</v>
      </c>
      <c r="Z14455" s="61">
        <f>_xll.qlYieldTSDiscount($U$35,Y14455,,Trigger)</f>
        <v>0.46862371970844402</v>
      </c>
    </row>
    <row r="14456" spans="25:26" x14ac:dyDescent="0.25">
      <c r="Y14456" s="63">
        <v>56989</v>
      </c>
      <c r="Z14456" s="61">
        <f>_xll.qlYieldTSDiscount($U$35,Y14456,,Trigger)</f>
        <v>0.46859405081522232</v>
      </c>
    </row>
    <row r="14457" spans="25:26" x14ac:dyDescent="0.25">
      <c r="Y14457" s="63">
        <v>56990</v>
      </c>
      <c r="Z14457" s="61">
        <f>_xll.qlYieldTSDiscount($U$35,Y14457,,Trigger)</f>
        <v>0.46856438466317696</v>
      </c>
    </row>
    <row r="14458" spans="25:26" x14ac:dyDescent="0.25">
      <c r="Y14458" s="63">
        <v>56991</v>
      </c>
      <c r="Z14458" s="61">
        <f>_xll.qlYieldTSDiscount($U$35,Y14458,,Trigger)</f>
        <v>0.46853472125194173</v>
      </c>
    </row>
    <row r="14459" spans="25:26" x14ac:dyDescent="0.25">
      <c r="Y14459" s="63">
        <v>56992</v>
      </c>
      <c r="Z14459" s="61">
        <f>_xll.qlYieldTSDiscount($U$35,Y14459,,Trigger)</f>
        <v>0.46850506058115082</v>
      </c>
    </row>
    <row r="14460" spans="25:26" x14ac:dyDescent="0.25">
      <c r="Y14460" s="63">
        <v>56993</v>
      </c>
      <c r="Z14460" s="61">
        <f>_xll.qlYieldTSDiscount($U$35,Y14460,,Trigger)</f>
        <v>0.46847540265043824</v>
      </c>
    </row>
    <row r="14461" spans="25:26" x14ac:dyDescent="0.25">
      <c r="Y14461" s="63">
        <v>56994</v>
      </c>
      <c r="Z14461" s="61">
        <f>_xll.qlYieldTSDiscount($U$35,Y14461,,Trigger)</f>
        <v>0.46844574745943796</v>
      </c>
    </row>
    <row r="14462" spans="25:26" x14ac:dyDescent="0.25">
      <c r="Y14462" s="63">
        <v>56995</v>
      </c>
      <c r="Z14462" s="61">
        <f>_xll.qlYieldTSDiscount($U$35,Y14462,,Trigger)</f>
        <v>0.46841609500778397</v>
      </c>
    </row>
    <row r="14463" spans="25:26" x14ac:dyDescent="0.25">
      <c r="Y14463" s="63">
        <v>56996</v>
      </c>
      <c r="Z14463" s="61">
        <f>_xll.qlYieldTSDiscount($U$35,Y14463,,Trigger)</f>
        <v>0.46838644529511048</v>
      </c>
    </row>
    <row r="14464" spans="25:26" x14ac:dyDescent="0.25">
      <c r="Y14464" s="63">
        <v>56997</v>
      </c>
      <c r="Z14464" s="61">
        <f>_xll.qlYieldTSDiscount($U$35,Y14464,,Trigger)</f>
        <v>0.46835679832105126</v>
      </c>
    </row>
    <row r="14465" spans="25:26" x14ac:dyDescent="0.25">
      <c r="Y14465" s="63">
        <v>56998</v>
      </c>
      <c r="Z14465" s="61">
        <f>_xll.qlYieldTSDiscount($U$35,Y14465,,Trigger)</f>
        <v>0.46832715408524045</v>
      </c>
    </row>
    <row r="14466" spans="25:26" x14ac:dyDescent="0.25">
      <c r="Y14466" s="63">
        <v>56999</v>
      </c>
      <c r="Z14466" s="61">
        <f>_xll.qlYieldTSDiscount($U$35,Y14466,,Trigger)</f>
        <v>0.46829751258731217</v>
      </c>
    </row>
    <row r="14467" spans="25:26" x14ac:dyDescent="0.25">
      <c r="Y14467" s="63">
        <v>57000</v>
      </c>
      <c r="Z14467" s="61">
        <f>_xll.qlYieldTSDiscount($U$35,Y14467,,Trigger)</f>
        <v>0.46826787382690027</v>
      </c>
    </row>
    <row r="14468" spans="25:26" x14ac:dyDescent="0.25">
      <c r="Y14468" s="63">
        <v>57001</v>
      </c>
      <c r="Z14468" s="61">
        <f>_xll.qlYieldTSDiscount($U$35,Y14468,,Trigger)</f>
        <v>0.46823823780363882</v>
      </c>
    </row>
    <row r="14469" spans="25:26" x14ac:dyDescent="0.25">
      <c r="Y14469" s="63">
        <v>57002</v>
      </c>
      <c r="Z14469" s="61">
        <f>_xll.qlYieldTSDiscount($U$35,Y14469,,Trigger)</f>
        <v>0.46820860451716184</v>
      </c>
    </row>
    <row r="14470" spans="25:26" x14ac:dyDescent="0.25">
      <c r="Y14470" s="63">
        <v>57003</v>
      </c>
      <c r="Z14470" s="61">
        <f>_xll.qlYieldTSDiscount($U$35,Y14470,,Trigger)</f>
        <v>0.46817897396710351</v>
      </c>
    </row>
    <row r="14471" spans="25:26" x14ac:dyDescent="0.25">
      <c r="Y14471" s="63">
        <v>57004</v>
      </c>
      <c r="Z14471" s="61">
        <f>_xll.qlYieldTSDiscount($U$35,Y14471,,Trigger)</f>
        <v>0.46814934615309761</v>
      </c>
    </row>
    <row r="14472" spans="25:26" x14ac:dyDescent="0.25">
      <c r="Y14472" s="63">
        <v>57005</v>
      </c>
      <c r="Z14472" s="61">
        <f>_xll.qlYieldTSDiscount($U$35,Y14472,,Trigger)</f>
        <v>0.46811972107477828</v>
      </c>
    </row>
    <row r="14473" spans="25:26" x14ac:dyDescent="0.25">
      <c r="Y14473" s="63">
        <v>57006</v>
      </c>
      <c r="Z14473" s="61">
        <f>_xll.qlYieldTSDiscount($U$35,Y14473,,Trigger)</f>
        <v>0.46809009873177965</v>
      </c>
    </row>
    <row r="14474" spans="25:26" x14ac:dyDescent="0.25">
      <c r="Y14474" s="63">
        <v>57007</v>
      </c>
      <c r="Z14474" s="61">
        <f>_xll.qlYieldTSDiscount($U$35,Y14474,,Trigger)</f>
        <v>0.4680604791237355</v>
      </c>
    </row>
    <row r="14475" spans="25:26" x14ac:dyDescent="0.25">
      <c r="Y14475" s="63">
        <v>57008</v>
      </c>
      <c r="Z14475" s="61">
        <f>_xll.qlYieldTSDiscount($U$35,Y14475,,Trigger)</f>
        <v>0.46803086225028001</v>
      </c>
    </row>
    <row r="14476" spans="25:26" x14ac:dyDescent="0.25">
      <c r="Y14476" s="63">
        <v>57009</v>
      </c>
      <c r="Z14476" s="61">
        <f>_xll.qlYieldTSDiscount($U$35,Y14476,,Trigger)</f>
        <v>0.46800124811104721</v>
      </c>
    </row>
    <row r="14477" spans="25:26" x14ac:dyDescent="0.25">
      <c r="Y14477" s="63">
        <v>57010</v>
      </c>
      <c r="Z14477" s="61">
        <f>_xll.qlYieldTSDiscount($U$35,Y14477,,Trigger)</f>
        <v>0.46797163670567105</v>
      </c>
    </row>
    <row r="14478" spans="25:26" x14ac:dyDescent="0.25">
      <c r="Y14478" s="63">
        <v>57011</v>
      </c>
      <c r="Z14478" s="61">
        <f>_xll.qlYieldTSDiscount($U$35,Y14478,,Trigger)</f>
        <v>0.46794202803378554</v>
      </c>
    </row>
    <row r="14479" spans="25:26" x14ac:dyDescent="0.25">
      <c r="Y14479" s="63">
        <v>57012</v>
      </c>
      <c r="Z14479" s="61">
        <f>_xll.qlYieldTSDiscount($U$35,Y14479,,Trigger)</f>
        <v>0.46791242209502482</v>
      </c>
    </row>
    <row r="14480" spans="25:26" x14ac:dyDescent="0.25">
      <c r="Y14480" s="63">
        <v>57013</v>
      </c>
      <c r="Z14480" s="61">
        <f>_xll.qlYieldTSDiscount($U$35,Y14480,,Trigger)</f>
        <v>0.46788281888902283</v>
      </c>
    </row>
    <row r="14481" spans="25:26" x14ac:dyDescent="0.25">
      <c r="Y14481" s="63">
        <v>57014</v>
      </c>
      <c r="Z14481" s="61">
        <f>_xll.qlYieldTSDiscount($U$35,Y14481,,Trigger)</f>
        <v>0.46785321841541355</v>
      </c>
    </row>
    <row r="14482" spans="25:26" x14ac:dyDescent="0.25">
      <c r="Y14482" s="63">
        <v>57015</v>
      </c>
      <c r="Z14482" s="61">
        <f>_xll.qlYieldTSDiscount($U$35,Y14482,,Trigger)</f>
        <v>0.46782362067383104</v>
      </c>
    </row>
    <row r="14483" spans="25:26" x14ac:dyDescent="0.25">
      <c r="Y14483" s="63">
        <v>57016</v>
      </c>
      <c r="Z14483" s="61">
        <f>_xll.qlYieldTSDiscount($U$35,Y14483,,Trigger)</f>
        <v>0.46779402566390943</v>
      </c>
    </row>
    <row r="14484" spans="25:26" x14ac:dyDescent="0.25">
      <c r="Y14484" s="63">
        <v>57017</v>
      </c>
      <c r="Z14484" s="61">
        <f>_xll.qlYieldTSDiscount($U$35,Y14484,,Trigger)</f>
        <v>0.46776443338528256</v>
      </c>
    </row>
    <row r="14485" spans="25:26" x14ac:dyDescent="0.25">
      <c r="Y14485" s="63">
        <v>57018</v>
      </c>
      <c r="Z14485" s="61">
        <f>_xll.qlYieldTSDiscount($U$35,Y14485,,Trigger)</f>
        <v>0.46773484383758457</v>
      </c>
    </row>
    <row r="14486" spans="25:26" x14ac:dyDescent="0.25">
      <c r="Y14486" s="63">
        <v>57019</v>
      </c>
      <c r="Z14486" s="61">
        <f>_xll.qlYieldTSDiscount($U$35,Y14486,,Trigger)</f>
        <v>0.46770525702044946</v>
      </c>
    </row>
    <row r="14487" spans="25:26" x14ac:dyDescent="0.25">
      <c r="Y14487" s="63">
        <v>57020</v>
      </c>
      <c r="Z14487" s="61">
        <f>_xll.qlYieldTSDiscount($U$35,Y14487,,Trigger)</f>
        <v>0.4676756729335112</v>
      </c>
    </row>
    <row r="14488" spans="25:26" x14ac:dyDescent="0.25">
      <c r="Y14488" s="63">
        <v>57021</v>
      </c>
      <c r="Z14488" s="61">
        <f>_xll.qlYieldTSDiscount($U$35,Y14488,,Trigger)</f>
        <v>0.46764609157640386</v>
      </c>
    </row>
    <row r="14489" spans="25:26" x14ac:dyDescent="0.25">
      <c r="Y14489" s="63">
        <v>57022</v>
      </c>
      <c r="Z14489" s="61">
        <f>_xll.qlYieldTSDiscount($U$35,Y14489,,Trigger)</f>
        <v>0.4676165129487615</v>
      </c>
    </row>
    <row r="14490" spans="25:26" x14ac:dyDescent="0.25">
      <c r="Y14490" s="63">
        <v>57023</v>
      </c>
      <c r="Z14490" s="61">
        <f>_xll.qlYieldTSDiscount($U$35,Y14490,,Trigger)</f>
        <v>0.46758693705021803</v>
      </c>
    </row>
    <row r="14491" spans="25:26" x14ac:dyDescent="0.25">
      <c r="Y14491" s="63">
        <v>57024</v>
      </c>
      <c r="Z14491" s="61">
        <f>_xll.qlYieldTSDiscount($U$35,Y14491,,Trigger)</f>
        <v>0.46755736388040758</v>
      </c>
    </row>
    <row r="14492" spans="25:26" x14ac:dyDescent="0.25">
      <c r="Y14492" s="63">
        <v>57025</v>
      </c>
      <c r="Z14492" s="61">
        <f>_xll.qlYieldTSDiscount($U$35,Y14492,,Trigger)</f>
        <v>0.46752779343896417</v>
      </c>
    </row>
    <row r="14493" spans="25:26" x14ac:dyDescent="0.25">
      <c r="Y14493" s="63">
        <v>57026</v>
      </c>
      <c r="Z14493" s="61">
        <f>_xll.qlYieldTSDiscount($U$35,Y14493,,Trigger)</f>
        <v>0.46749822572552169</v>
      </c>
    </row>
    <row r="14494" spans="25:26" x14ac:dyDescent="0.25">
      <c r="Y14494" s="63">
        <v>57027</v>
      </c>
      <c r="Z14494" s="61">
        <f>_xll.qlYieldTSDiscount($U$35,Y14494,,Trigger)</f>
        <v>0.46746866073971427</v>
      </c>
    </row>
    <row r="14495" spans="25:26" x14ac:dyDescent="0.25">
      <c r="Y14495" s="63">
        <v>57028</v>
      </c>
      <c r="Z14495" s="61">
        <f>_xll.qlYieldTSDiscount($U$35,Y14495,,Trigger)</f>
        <v>0.46743909848117604</v>
      </c>
    </row>
    <row r="14496" spans="25:26" x14ac:dyDescent="0.25">
      <c r="Y14496" s="63">
        <v>57029</v>
      </c>
      <c r="Z14496" s="61">
        <f>_xll.qlYieldTSDiscount($U$35,Y14496,,Trigger)</f>
        <v>0.46740953894954074</v>
      </c>
    </row>
    <row r="14497" spans="25:26" x14ac:dyDescent="0.25">
      <c r="Y14497" s="63">
        <v>57030</v>
      </c>
      <c r="Z14497" s="61">
        <f>_xll.qlYieldTSDiscount($U$35,Y14497,,Trigger)</f>
        <v>0.4673799821444426</v>
      </c>
    </row>
    <row r="14498" spans="25:26" x14ac:dyDescent="0.25">
      <c r="Y14498" s="63">
        <v>57031</v>
      </c>
      <c r="Z14498" s="61">
        <f>_xll.qlYieldTSDiscount($U$35,Y14498,,Trigger)</f>
        <v>0.46735042806551558</v>
      </c>
    </row>
    <row r="14499" spans="25:26" x14ac:dyDescent="0.25">
      <c r="Y14499" s="63">
        <v>57032</v>
      </c>
      <c r="Z14499" s="61">
        <f>_xll.qlYieldTSDiscount($U$35,Y14499,,Trigger)</f>
        <v>0.46732087671239375</v>
      </c>
    </row>
    <row r="14500" spans="25:26" x14ac:dyDescent="0.25">
      <c r="Y14500" s="63">
        <v>57033</v>
      </c>
      <c r="Z14500" s="61">
        <f>_xll.qlYieldTSDiscount($U$35,Y14500,,Trigger)</f>
        <v>0.46729132808471108</v>
      </c>
    </row>
    <row r="14501" spans="25:26" x14ac:dyDescent="0.25">
      <c r="Y14501" s="63">
        <v>57034</v>
      </c>
      <c r="Z14501" s="61">
        <f>_xll.qlYieldTSDiscount($U$35,Y14501,,Trigger)</f>
        <v>0.46726178218210157</v>
      </c>
    </row>
    <row r="14502" spans="25:26" x14ac:dyDescent="0.25">
      <c r="Y14502" s="63">
        <v>57035</v>
      </c>
      <c r="Z14502" s="61">
        <f>_xll.qlYieldTSDiscount($U$35,Y14502,,Trigger)</f>
        <v>0.46723223900419936</v>
      </c>
    </row>
    <row r="14503" spans="25:26" x14ac:dyDescent="0.25">
      <c r="Y14503" s="63">
        <v>57036</v>
      </c>
      <c r="Z14503" s="61">
        <f>_xll.qlYieldTSDiscount($U$35,Y14503,,Trigger)</f>
        <v>0.46720269855063834</v>
      </c>
    </row>
    <row r="14504" spans="25:26" x14ac:dyDescent="0.25">
      <c r="Y14504" s="63">
        <v>57037</v>
      </c>
      <c r="Z14504" s="61">
        <f>_xll.qlYieldTSDiscount($U$35,Y14504,,Trigger)</f>
        <v>0.46717316082105254</v>
      </c>
    </row>
    <row r="14505" spans="25:26" x14ac:dyDescent="0.25">
      <c r="Y14505" s="63">
        <v>57038</v>
      </c>
      <c r="Z14505" s="61">
        <f>_xll.qlYieldTSDiscount($U$35,Y14505,,Trigger)</f>
        <v>0.46714362581507612</v>
      </c>
    </row>
    <row r="14506" spans="25:26" x14ac:dyDescent="0.25">
      <c r="Y14506" s="63">
        <v>57039</v>
      </c>
      <c r="Z14506" s="61">
        <f>_xll.qlYieldTSDiscount($U$35,Y14506,,Trigger)</f>
        <v>0.46711409353234296</v>
      </c>
    </row>
    <row r="14507" spans="25:26" x14ac:dyDescent="0.25">
      <c r="Y14507" s="63">
        <v>57040</v>
      </c>
      <c r="Z14507" s="61">
        <f>_xll.qlYieldTSDiscount($U$35,Y14507,,Trigger)</f>
        <v>0.4670845639724871</v>
      </c>
    </row>
    <row r="14508" spans="25:26" x14ac:dyDescent="0.25">
      <c r="Y14508" s="63">
        <v>57041</v>
      </c>
      <c r="Z14508" s="61">
        <f>_xll.qlYieldTSDiscount($U$35,Y14508,,Trigger)</f>
        <v>0.46705503713514263</v>
      </c>
    </row>
    <row r="14509" spans="25:26" x14ac:dyDescent="0.25">
      <c r="Y14509" s="63">
        <v>57042</v>
      </c>
      <c r="Z14509" s="61">
        <f>_xll.qlYieldTSDiscount($U$35,Y14509,,Trigger)</f>
        <v>0.46702551301994349</v>
      </c>
    </row>
    <row r="14510" spans="25:26" x14ac:dyDescent="0.25">
      <c r="Y14510" s="63">
        <v>57043</v>
      </c>
      <c r="Z14510" s="61">
        <f>_xll.qlYieldTSDiscount($U$35,Y14510,,Trigger)</f>
        <v>0.46699599162652372</v>
      </c>
    </row>
    <row r="14511" spans="25:26" x14ac:dyDescent="0.25">
      <c r="Y14511" s="63">
        <v>57044</v>
      </c>
      <c r="Z14511" s="61">
        <f>_xll.qlYieldTSDiscount($U$35,Y14511,,Trigger)</f>
        <v>0.46696647295451749</v>
      </c>
    </row>
    <row r="14512" spans="25:26" x14ac:dyDescent="0.25">
      <c r="Y14512" s="63">
        <v>57045</v>
      </c>
      <c r="Z14512" s="61">
        <f>_xll.qlYieldTSDiscount($U$35,Y14512,,Trigger)</f>
        <v>0.46693695700355858</v>
      </c>
    </row>
    <row r="14513" spans="25:26" x14ac:dyDescent="0.25">
      <c r="Y14513" s="63">
        <v>57046</v>
      </c>
      <c r="Z14513" s="61">
        <f>_xll.qlYieldTSDiscount($U$35,Y14513,,Trigger)</f>
        <v>0.46690744377328114</v>
      </c>
    </row>
    <row r="14514" spans="25:26" x14ac:dyDescent="0.25">
      <c r="Y14514" s="63">
        <v>57047</v>
      </c>
      <c r="Z14514" s="61">
        <f>_xll.qlYieldTSDiscount($U$35,Y14514,,Trigger)</f>
        <v>0.46687793326331917</v>
      </c>
    </row>
    <row r="14515" spans="25:26" x14ac:dyDescent="0.25">
      <c r="Y14515" s="63">
        <v>57048</v>
      </c>
      <c r="Z14515" s="61">
        <f>_xll.qlYieldTSDiscount($U$35,Y14515,,Trigger)</f>
        <v>0.46684842547330679</v>
      </c>
    </row>
    <row r="14516" spans="25:26" x14ac:dyDescent="0.25">
      <c r="Y14516" s="63">
        <v>57049</v>
      </c>
      <c r="Z14516" s="61">
        <f>_xll.qlYieldTSDiscount($U$35,Y14516,,Trigger)</f>
        <v>0.46681892040287787</v>
      </c>
    </row>
    <row r="14517" spans="25:26" x14ac:dyDescent="0.25">
      <c r="Y14517" s="63">
        <v>57050</v>
      </c>
      <c r="Z14517" s="61">
        <f>_xll.qlYieldTSDiscount($U$35,Y14517,,Trigger)</f>
        <v>0.46678941805166652</v>
      </c>
    </row>
    <row r="14518" spans="25:26" x14ac:dyDescent="0.25">
      <c r="Y14518" s="63">
        <v>57051</v>
      </c>
      <c r="Z14518" s="61">
        <f>_xll.qlYieldTSDiscount($U$35,Y14518,,Trigger)</f>
        <v>0.46675991841930675</v>
      </c>
    </row>
    <row r="14519" spans="25:26" x14ac:dyDescent="0.25">
      <c r="Y14519" s="63">
        <v>57052</v>
      </c>
      <c r="Z14519" s="61">
        <f>_xll.qlYieldTSDiscount($U$35,Y14519,,Trigger)</f>
        <v>0.46673042150543254</v>
      </c>
    </row>
    <row r="14520" spans="25:26" x14ac:dyDescent="0.25">
      <c r="Y14520" s="63">
        <v>57053</v>
      </c>
      <c r="Z14520" s="61">
        <f>_xll.qlYieldTSDiscount($U$35,Y14520,,Trigger)</f>
        <v>0.46670092730967794</v>
      </c>
    </row>
    <row r="14521" spans="25:26" x14ac:dyDescent="0.25">
      <c r="Y14521" s="63">
        <v>57054</v>
      </c>
      <c r="Z14521" s="61">
        <f>_xll.qlYieldTSDiscount($U$35,Y14521,,Trigger)</f>
        <v>0.46667143583167703</v>
      </c>
    </row>
    <row r="14522" spans="25:26" x14ac:dyDescent="0.25">
      <c r="Y14522" s="63">
        <v>57055</v>
      </c>
      <c r="Z14522" s="61">
        <f>_xll.qlYieldTSDiscount($U$35,Y14522,,Trigger)</f>
        <v>0.46664194707106371</v>
      </c>
    </row>
    <row r="14523" spans="25:26" x14ac:dyDescent="0.25">
      <c r="Y14523" s="63">
        <v>57056</v>
      </c>
      <c r="Z14523" s="61">
        <f>_xll.qlYieldTSDiscount($U$35,Y14523,,Trigger)</f>
        <v>0.46661246102747206</v>
      </c>
    </row>
    <row r="14524" spans="25:26" x14ac:dyDescent="0.25">
      <c r="Y14524" s="63">
        <v>57057</v>
      </c>
      <c r="Z14524" s="61">
        <f>_xll.qlYieldTSDiscount($U$35,Y14524,,Trigger)</f>
        <v>0.46658297770053619</v>
      </c>
    </row>
    <row r="14525" spans="25:26" x14ac:dyDescent="0.25">
      <c r="Y14525" s="63">
        <v>57058</v>
      </c>
      <c r="Z14525" s="61">
        <f>_xll.qlYieldTSDiscount($U$35,Y14525,,Trigger)</f>
        <v>0.46655349708988997</v>
      </c>
    </row>
    <row r="14526" spans="25:26" x14ac:dyDescent="0.25">
      <c r="Y14526" s="63">
        <v>57059</v>
      </c>
      <c r="Z14526" s="61">
        <f>_xll.qlYieldTSDiscount($U$35,Y14526,,Trigger)</f>
        <v>0.46652401919516751</v>
      </c>
    </row>
    <row r="14527" spans="25:26" x14ac:dyDescent="0.25">
      <c r="Y14527" s="63">
        <v>57060</v>
      </c>
      <c r="Z14527" s="61">
        <f>_xll.qlYieldTSDiscount($U$35,Y14527,,Trigger)</f>
        <v>0.46649454401600277</v>
      </c>
    </row>
    <row r="14528" spans="25:26" x14ac:dyDescent="0.25">
      <c r="Y14528" s="63">
        <v>57061</v>
      </c>
      <c r="Z14528" s="61">
        <f>_xll.qlYieldTSDiscount($U$35,Y14528,,Trigger)</f>
        <v>0.46646507155202988</v>
      </c>
    </row>
    <row r="14529" spans="25:26" x14ac:dyDescent="0.25">
      <c r="Y14529" s="63">
        <v>57062</v>
      </c>
      <c r="Z14529" s="61">
        <f>_xll.qlYieldTSDiscount($U$35,Y14529,,Trigger)</f>
        <v>0.46643560180288279</v>
      </c>
    </row>
    <row r="14530" spans="25:26" x14ac:dyDescent="0.25">
      <c r="Y14530" s="63">
        <v>57063</v>
      </c>
      <c r="Z14530" s="61">
        <f>_xll.qlYieldTSDiscount($U$35,Y14530,,Trigger)</f>
        <v>0.46640613476819548</v>
      </c>
    </row>
    <row r="14531" spans="25:26" x14ac:dyDescent="0.25">
      <c r="Y14531" s="63">
        <v>57064</v>
      </c>
      <c r="Z14531" s="61">
        <f>_xll.qlYieldTSDiscount($U$35,Y14531,,Trigger)</f>
        <v>0.46637667044760212</v>
      </c>
    </row>
    <row r="14532" spans="25:26" x14ac:dyDescent="0.25">
      <c r="Y14532" s="63">
        <v>57065</v>
      </c>
      <c r="Z14532" s="61">
        <f>_xll.qlYieldTSDiscount($U$35,Y14532,,Trigger)</f>
        <v>0.46634720884073655</v>
      </c>
    </row>
    <row r="14533" spans="25:26" x14ac:dyDescent="0.25">
      <c r="Y14533" s="63">
        <v>57066</v>
      </c>
      <c r="Z14533" s="61">
        <f>_xll.qlYieldTSDiscount($U$35,Y14533,,Trigger)</f>
        <v>0.46631774994723291</v>
      </c>
    </row>
    <row r="14534" spans="25:26" x14ac:dyDescent="0.25">
      <c r="Y14534" s="63">
        <v>57067</v>
      </c>
      <c r="Z14534" s="61">
        <f>_xll.qlYieldTSDiscount($U$35,Y14534,,Trigger)</f>
        <v>0.4662882937667252</v>
      </c>
    </row>
    <row r="14535" spans="25:26" x14ac:dyDescent="0.25">
      <c r="Y14535" s="63">
        <v>57068</v>
      </c>
      <c r="Z14535" s="61">
        <f>_xll.qlYieldTSDiscount($U$35,Y14535,,Trigger)</f>
        <v>0.4662588402988474</v>
      </c>
    </row>
    <row r="14536" spans="25:26" x14ac:dyDescent="0.25">
      <c r="Y14536" s="63">
        <v>57069</v>
      </c>
      <c r="Z14536" s="61">
        <f>_xll.qlYieldTSDiscount($U$35,Y14536,,Trigger)</f>
        <v>0.46622938954323356</v>
      </c>
    </row>
    <row r="14537" spans="25:26" x14ac:dyDescent="0.25">
      <c r="Y14537" s="63">
        <v>57070</v>
      </c>
      <c r="Z14537" s="61">
        <f>_xll.qlYieldTSDiscount($U$35,Y14537,,Trigger)</f>
        <v>0.46619994149951777</v>
      </c>
    </row>
    <row r="14538" spans="25:26" x14ac:dyDescent="0.25">
      <c r="Y14538" s="63">
        <v>57071</v>
      </c>
      <c r="Z14538" s="61">
        <f>_xll.qlYieldTSDiscount($U$35,Y14538,,Trigger)</f>
        <v>0.46617049616733391</v>
      </c>
    </row>
    <row r="14539" spans="25:26" x14ac:dyDescent="0.25">
      <c r="Y14539" s="63">
        <v>57072</v>
      </c>
      <c r="Z14539" s="61">
        <f>_xll.qlYieldTSDiscount($U$35,Y14539,,Trigger)</f>
        <v>0.46614105354631608</v>
      </c>
    </row>
    <row r="14540" spans="25:26" x14ac:dyDescent="0.25">
      <c r="Y14540" s="63">
        <v>57073</v>
      </c>
      <c r="Z14540" s="61">
        <f>_xll.qlYieldTSDiscount($U$35,Y14540,,Trigger)</f>
        <v>0.46611161363609838</v>
      </c>
    </row>
    <row r="14541" spans="25:26" x14ac:dyDescent="0.25">
      <c r="Y14541" s="63">
        <v>57074</v>
      </c>
      <c r="Z14541" s="61">
        <f>_xll.qlYieldTSDiscount($U$35,Y14541,,Trigger)</f>
        <v>0.46608217643631467</v>
      </c>
    </row>
    <row r="14542" spans="25:26" x14ac:dyDescent="0.25">
      <c r="Y14542" s="63">
        <v>57075</v>
      </c>
      <c r="Z14542" s="61">
        <f>_xll.qlYieldTSDiscount($U$35,Y14542,,Trigger)</f>
        <v>0.46605274194659907</v>
      </c>
    </row>
    <row r="14543" spans="25:26" x14ac:dyDescent="0.25">
      <c r="Y14543" s="63">
        <v>57076</v>
      </c>
      <c r="Z14543" s="61">
        <f>_xll.qlYieldTSDiscount($U$35,Y14543,,Trigger)</f>
        <v>0.46602331016658555</v>
      </c>
    </row>
    <row r="14544" spans="25:26" x14ac:dyDescent="0.25">
      <c r="Y14544" s="63">
        <v>57077</v>
      </c>
      <c r="Z14544" s="61">
        <f>_xll.qlYieldTSDiscount($U$35,Y14544,,Trigger)</f>
        <v>0.46599388109590822</v>
      </c>
    </row>
    <row r="14545" spans="25:26" x14ac:dyDescent="0.25">
      <c r="Y14545" s="63">
        <v>57078</v>
      </c>
      <c r="Z14545" s="61">
        <f>_xll.qlYieldTSDiscount($U$35,Y14545,,Trigger)</f>
        <v>0.46596445473420101</v>
      </c>
    </row>
    <row r="14546" spans="25:26" x14ac:dyDescent="0.25">
      <c r="Y14546" s="63">
        <v>57079</v>
      </c>
      <c r="Z14546" s="61">
        <f>_xll.qlYieldTSDiscount($U$35,Y14546,,Trigger)</f>
        <v>0.46593503108109802</v>
      </c>
    </row>
    <row r="14547" spans="25:26" x14ac:dyDescent="0.25">
      <c r="Y14547" s="63">
        <v>57080</v>
      </c>
      <c r="Z14547" s="61">
        <f>_xll.qlYieldTSDiscount($U$35,Y14547,,Trigger)</f>
        <v>0.46590561013623322</v>
      </c>
    </row>
    <row r="14548" spans="25:26" x14ac:dyDescent="0.25">
      <c r="Y14548" s="63">
        <v>57081</v>
      </c>
      <c r="Z14548" s="61">
        <f>_xll.qlYieldTSDiscount($U$35,Y14548,,Trigger)</f>
        <v>0.46587619189924068</v>
      </c>
    </row>
    <row r="14549" spans="25:26" x14ac:dyDescent="0.25">
      <c r="Y14549" s="63">
        <v>57082</v>
      </c>
      <c r="Z14549" s="61">
        <f>_xll.qlYieldTSDiscount($U$35,Y14549,,Trigger)</f>
        <v>0.4658467763697543</v>
      </c>
    </row>
    <row r="14550" spans="25:26" x14ac:dyDescent="0.25">
      <c r="Y14550" s="63">
        <v>57083</v>
      </c>
      <c r="Z14550" s="61">
        <f>_xll.qlYieldTSDiscount($U$35,Y14550,,Trigger)</f>
        <v>0.46581736354740827</v>
      </c>
    </row>
    <row r="14551" spans="25:26" x14ac:dyDescent="0.25">
      <c r="Y14551" s="63">
        <v>57084</v>
      </c>
      <c r="Z14551" s="61">
        <f>_xll.qlYieldTSDiscount($U$35,Y14551,,Trigger)</f>
        <v>0.46578795343183649</v>
      </c>
    </row>
    <row r="14552" spans="25:26" x14ac:dyDescent="0.25">
      <c r="Y14552" s="63">
        <v>57085</v>
      </c>
      <c r="Z14552" s="61">
        <f>_xll.qlYieldTSDiscount($U$35,Y14552,,Trigger)</f>
        <v>0.46575854602267297</v>
      </c>
    </row>
    <row r="14553" spans="25:26" x14ac:dyDescent="0.25">
      <c r="Y14553" s="63">
        <v>57086</v>
      </c>
      <c r="Z14553" s="61">
        <f>_xll.qlYieldTSDiscount($U$35,Y14553,,Trigger)</f>
        <v>0.4657291413195519</v>
      </c>
    </row>
    <row r="14554" spans="25:26" x14ac:dyDescent="0.25">
      <c r="Y14554" s="63">
        <v>57087</v>
      </c>
      <c r="Z14554" s="61">
        <f>_xll.qlYieldTSDiscount($U$35,Y14554,,Trigger)</f>
        <v>0.46569973932210712</v>
      </c>
    </row>
    <row r="14555" spans="25:26" x14ac:dyDescent="0.25">
      <c r="Y14555" s="63">
        <v>57088</v>
      </c>
      <c r="Z14555" s="61">
        <f>_xll.qlYieldTSDiscount($U$35,Y14555,,Trigger)</f>
        <v>0.46567034002997271</v>
      </c>
    </row>
    <row r="14556" spans="25:26" x14ac:dyDescent="0.25">
      <c r="Y14556" s="63">
        <v>57089</v>
      </c>
      <c r="Z14556" s="61">
        <f>_xll.qlYieldTSDiscount($U$35,Y14556,,Trigger)</f>
        <v>0.46564094344278273</v>
      </c>
    </row>
    <row r="14557" spans="25:26" x14ac:dyDescent="0.25">
      <c r="Y14557" s="63">
        <v>57090</v>
      </c>
      <c r="Z14557" s="61">
        <f>_xll.qlYieldTSDiscount($U$35,Y14557,,Trigger)</f>
        <v>0.46561154956017115</v>
      </c>
    </row>
    <row r="14558" spans="25:26" x14ac:dyDescent="0.25">
      <c r="Y14558" s="63">
        <v>57091</v>
      </c>
      <c r="Z14558" s="61">
        <f>_xll.qlYieldTSDiscount($U$35,Y14558,,Trigger)</f>
        <v>0.46558215838177197</v>
      </c>
    </row>
    <row r="14559" spans="25:26" x14ac:dyDescent="0.25">
      <c r="Y14559" s="63">
        <v>57092</v>
      </c>
      <c r="Z14559" s="61">
        <f>_xll.qlYieldTSDiscount($U$35,Y14559,,Trigger)</f>
        <v>0.46555276990721928</v>
      </c>
    </row>
    <row r="14560" spans="25:26" x14ac:dyDescent="0.25">
      <c r="Y14560" s="63">
        <v>57093</v>
      </c>
      <c r="Z14560" s="61">
        <f>_xll.qlYieldTSDiscount($U$35,Y14560,,Trigger)</f>
        <v>0.46552338413614713</v>
      </c>
    </row>
    <row r="14561" spans="25:26" x14ac:dyDescent="0.25">
      <c r="Y14561" s="63">
        <v>57094</v>
      </c>
      <c r="Z14561" s="61">
        <f>_xll.qlYieldTSDiscount($U$35,Y14561,,Trigger)</f>
        <v>0.46549400106818944</v>
      </c>
    </row>
    <row r="14562" spans="25:26" x14ac:dyDescent="0.25">
      <c r="Y14562" s="63">
        <v>57095</v>
      </c>
      <c r="Z14562" s="61">
        <f>_xll.qlYieldTSDiscount($U$35,Y14562,,Trigger)</f>
        <v>0.46546462070298028</v>
      </c>
    </row>
    <row r="14563" spans="25:26" x14ac:dyDescent="0.25">
      <c r="Y14563" s="63">
        <v>57096</v>
      </c>
      <c r="Z14563" s="61">
        <f>_xll.qlYieldTSDiscount($U$35,Y14563,,Trigger)</f>
        <v>0.46543524304015371</v>
      </c>
    </row>
    <row r="14564" spans="25:26" x14ac:dyDescent="0.25">
      <c r="Y14564" s="63">
        <v>57097</v>
      </c>
      <c r="Z14564" s="61">
        <f>_xll.qlYieldTSDiscount($U$35,Y14564,,Trigger)</f>
        <v>0.4654058680793437</v>
      </c>
    </row>
    <row r="14565" spans="25:26" x14ac:dyDescent="0.25">
      <c r="Y14565" s="63">
        <v>57098</v>
      </c>
      <c r="Z14565" s="61">
        <f>_xll.qlYieldTSDiscount($U$35,Y14565,,Trigger)</f>
        <v>0.46537649582018425</v>
      </c>
    </row>
    <row r="14566" spans="25:26" x14ac:dyDescent="0.25">
      <c r="Y14566" s="63">
        <v>57099</v>
      </c>
      <c r="Z14566" s="61">
        <f>_xll.qlYieldTSDiscount($U$35,Y14566,,Trigger)</f>
        <v>0.46534712626230951</v>
      </c>
    </row>
    <row r="14567" spans="25:26" x14ac:dyDescent="0.25">
      <c r="Y14567" s="63">
        <v>57100</v>
      </c>
      <c r="Z14567" s="61">
        <f>_xll.qlYieldTSDiscount($U$35,Y14567,,Trigger)</f>
        <v>0.4653177594053533</v>
      </c>
    </row>
    <row r="14568" spans="25:26" x14ac:dyDescent="0.25">
      <c r="Y14568" s="63">
        <v>57101</v>
      </c>
      <c r="Z14568" s="61">
        <f>_xll.qlYieldTSDiscount($U$35,Y14568,,Trigger)</f>
        <v>0.46528839524894977</v>
      </c>
    </row>
    <row r="14569" spans="25:26" x14ac:dyDescent="0.25">
      <c r="Y14569" s="63">
        <v>57102</v>
      </c>
      <c r="Z14569" s="61">
        <f>_xll.qlYieldTSDiscount($U$35,Y14569,,Trigger)</f>
        <v>0.46525903379273303</v>
      </c>
    </row>
    <row r="14570" spans="25:26" x14ac:dyDescent="0.25">
      <c r="Y14570" s="63">
        <v>57103</v>
      </c>
      <c r="Z14570" s="61">
        <f>_xll.qlYieldTSDiscount($U$35,Y14570,,Trigger)</f>
        <v>0.46522967503633689</v>
      </c>
    </row>
    <row r="14571" spans="25:26" x14ac:dyDescent="0.25">
      <c r="Y14571" s="63">
        <v>57104</v>
      </c>
      <c r="Z14571" s="61">
        <f>_xll.qlYieldTSDiscount($U$35,Y14571,,Trigger)</f>
        <v>0.46520031897939546</v>
      </c>
    </row>
    <row r="14572" spans="25:26" x14ac:dyDescent="0.25">
      <c r="Y14572" s="63">
        <v>57105</v>
      </c>
      <c r="Z14572" s="61">
        <f>_xll.qlYieldTSDiscount($U$35,Y14572,,Trigger)</f>
        <v>0.46517096562154281</v>
      </c>
    </row>
    <row r="14573" spans="25:26" x14ac:dyDescent="0.25">
      <c r="Y14573" s="63">
        <v>57106</v>
      </c>
      <c r="Z14573" s="61">
        <f>_xll.qlYieldTSDiscount($U$35,Y14573,,Trigger)</f>
        <v>0.46514161496241302</v>
      </c>
    </row>
    <row r="14574" spans="25:26" x14ac:dyDescent="0.25">
      <c r="Y14574" s="63">
        <v>57107</v>
      </c>
      <c r="Z14574" s="61">
        <f>_xll.qlYieldTSDiscount($U$35,Y14574,,Trigger)</f>
        <v>0.46511226700163988</v>
      </c>
    </row>
    <row r="14575" spans="25:26" x14ac:dyDescent="0.25">
      <c r="Y14575" s="63">
        <v>57108</v>
      </c>
      <c r="Z14575" s="61">
        <f>_xll.qlYieldTSDiscount($U$35,Y14575,,Trigger)</f>
        <v>0.46508292173885757</v>
      </c>
    </row>
    <row r="14576" spans="25:26" x14ac:dyDescent="0.25">
      <c r="Y14576" s="63">
        <v>57109</v>
      </c>
      <c r="Z14576" s="61">
        <f>_xll.qlYieldTSDiscount($U$35,Y14576,,Trigger)</f>
        <v>0.46505357917370022</v>
      </c>
    </row>
    <row r="14577" spans="25:26" x14ac:dyDescent="0.25">
      <c r="Y14577" s="63">
        <v>57110</v>
      </c>
      <c r="Z14577" s="61">
        <f>_xll.qlYieldTSDiscount($U$35,Y14577,,Trigger)</f>
        <v>0.46502423930580161</v>
      </c>
    </row>
    <row r="14578" spans="25:26" x14ac:dyDescent="0.25">
      <c r="Y14578" s="63">
        <v>57111</v>
      </c>
      <c r="Z14578" s="61">
        <f>_xll.qlYieldTSDiscount($U$35,Y14578,,Trigger)</f>
        <v>0.46499490213479588</v>
      </c>
    </row>
    <row r="14579" spans="25:26" x14ac:dyDescent="0.25">
      <c r="Y14579" s="63">
        <v>57112</v>
      </c>
      <c r="Z14579" s="61">
        <f>_xll.qlYieldTSDiscount($U$35,Y14579,,Trigger)</f>
        <v>0.46496556766031716</v>
      </c>
    </row>
    <row r="14580" spans="25:26" x14ac:dyDescent="0.25">
      <c r="Y14580" s="63">
        <v>57113</v>
      </c>
      <c r="Z14580" s="61">
        <f>_xll.qlYieldTSDiscount($U$35,Y14580,,Trigger)</f>
        <v>0.46493623588199928</v>
      </c>
    </row>
    <row r="14581" spans="25:26" x14ac:dyDescent="0.25">
      <c r="Y14581" s="63">
        <v>57114</v>
      </c>
      <c r="Z14581" s="61">
        <f>_xll.qlYieldTSDiscount($U$35,Y14581,,Trigger)</f>
        <v>0.46490690679947633</v>
      </c>
    </row>
    <row r="14582" spans="25:26" x14ac:dyDescent="0.25">
      <c r="Y14582" s="63">
        <v>57115</v>
      </c>
      <c r="Z14582" s="61">
        <f>_xll.qlYieldTSDiscount($U$35,Y14582,,Trigger)</f>
        <v>0.46487758041238247</v>
      </c>
    </row>
    <row r="14583" spans="25:26" x14ac:dyDescent="0.25">
      <c r="Y14583" s="63">
        <v>57116</v>
      </c>
      <c r="Z14583" s="61">
        <f>_xll.qlYieldTSDiscount($U$35,Y14583,,Trigger)</f>
        <v>0.46484825672035146</v>
      </c>
    </row>
    <row r="14584" spans="25:26" x14ac:dyDescent="0.25">
      <c r="Y14584" s="63">
        <v>57117</v>
      </c>
      <c r="Z14584" s="61">
        <f>_xll.qlYieldTSDiscount($U$35,Y14584,,Trigger)</f>
        <v>0.46481893572301747</v>
      </c>
    </row>
    <row r="14585" spans="25:26" x14ac:dyDescent="0.25">
      <c r="Y14585" s="63">
        <v>57118</v>
      </c>
      <c r="Z14585" s="61">
        <f>_xll.qlYieldTSDiscount($U$35,Y14585,,Trigger)</f>
        <v>0.46478961742001468</v>
      </c>
    </row>
    <row r="14586" spans="25:26" x14ac:dyDescent="0.25">
      <c r="Y14586" s="63">
        <v>57119</v>
      </c>
      <c r="Z14586" s="61">
        <f>_xll.qlYieldTSDiscount($U$35,Y14586,,Trigger)</f>
        <v>0.46476030181097677</v>
      </c>
    </row>
    <row r="14587" spans="25:26" x14ac:dyDescent="0.25">
      <c r="Y14587" s="63">
        <v>57120</v>
      </c>
      <c r="Z14587" s="61">
        <f>_xll.qlYieldTSDiscount($U$35,Y14587,,Trigger)</f>
        <v>0.46473098889553799</v>
      </c>
    </row>
    <row r="14588" spans="25:26" x14ac:dyDescent="0.25">
      <c r="Y14588" s="63">
        <v>57121</v>
      </c>
      <c r="Z14588" s="61">
        <f>_xll.qlYieldTSDiscount($U$35,Y14588,,Trigger)</f>
        <v>0.46470167867333223</v>
      </c>
    </row>
    <row r="14589" spans="25:26" x14ac:dyDescent="0.25">
      <c r="Y14589" s="63">
        <v>57122</v>
      </c>
      <c r="Z14589" s="61">
        <f>_xll.qlYieldTSDiscount($U$35,Y14589,,Trigger)</f>
        <v>0.46467237114399373</v>
      </c>
    </row>
    <row r="14590" spans="25:26" x14ac:dyDescent="0.25">
      <c r="Y14590" s="63">
        <v>57123</v>
      </c>
      <c r="Z14590" s="61">
        <f>_xll.qlYieldTSDiscount($U$35,Y14590,,Trigger)</f>
        <v>0.46464306630715629</v>
      </c>
    </row>
    <row r="14591" spans="25:26" x14ac:dyDescent="0.25">
      <c r="Y14591" s="63">
        <v>57124</v>
      </c>
      <c r="Z14591" s="61">
        <f>_xll.qlYieldTSDiscount($U$35,Y14591,,Trigger)</f>
        <v>0.46461376416245403</v>
      </c>
    </row>
    <row r="14592" spans="25:26" x14ac:dyDescent="0.25">
      <c r="Y14592" s="63">
        <v>57125</v>
      </c>
      <c r="Z14592" s="61">
        <f>_xll.qlYieldTSDiscount($U$35,Y14592,,Trigger)</f>
        <v>0.46458446470952097</v>
      </c>
    </row>
    <row r="14593" spans="25:26" x14ac:dyDescent="0.25">
      <c r="Y14593" s="63">
        <v>57126</v>
      </c>
      <c r="Z14593" s="61">
        <f>_xll.qlYieldTSDiscount($U$35,Y14593,,Trigger)</f>
        <v>0.46455516794799112</v>
      </c>
    </row>
    <row r="14594" spans="25:26" x14ac:dyDescent="0.25">
      <c r="Y14594" s="63">
        <v>57127</v>
      </c>
      <c r="Z14594" s="61">
        <f>_xll.qlYieldTSDiscount($U$35,Y14594,,Trigger)</f>
        <v>0.46452587387749844</v>
      </c>
    </row>
    <row r="14595" spans="25:26" x14ac:dyDescent="0.25">
      <c r="Y14595" s="63">
        <v>57128</v>
      </c>
      <c r="Z14595" s="61">
        <f>_xll.qlYieldTSDiscount($U$35,Y14595,,Trigger)</f>
        <v>0.46449658249767711</v>
      </c>
    </row>
    <row r="14596" spans="25:26" x14ac:dyDescent="0.25">
      <c r="Y14596" s="63">
        <v>57129</v>
      </c>
      <c r="Z14596" s="61">
        <f>_xll.qlYieldTSDiscount($U$35,Y14596,,Trigger)</f>
        <v>0.46446729380816099</v>
      </c>
    </row>
    <row r="14597" spans="25:26" x14ac:dyDescent="0.25">
      <c r="Y14597" s="63">
        <v>57130</v>
      </c>
      <c r="Z14597" s="61">
        <f>_xll.qlYieldTSDiscount($U$35,Y14597,,Trigger)</f>
        <v>0.46443800780858413</v>
      </c>
    </row>
    <row r="14598" spans="25:26" x14ac:dyDescent="0.25">
      <c r="Y14598" s="63">
        <v>57131</v>
      </c>
      <c r="Z14598" s="61">
        <f>_xll.qlYieldTSDiscount($U$35,Y14598,,Trigger)</f>
        <v>0.46440872449858073</v>
      </c>
    </row>
    <row r="14599" spans="25:26" x14ac:dyDescent="0.25">
      <c r="Y14599" s="63">
        <v>57132</v>
      </c>
      <c r="Z14599" s="61">
        <f>_xll.qlYieldTSDiscount($U$35,Y14599,,Trigger)</f>
        <v>0.46437944387778451</v>
      </c>
    </row>
    <row r="14600" spans="25:26" x14ac:dyDescent="0.25">
      <c r="Y14600" s="63">
        <v>57133</v>
      </c>
      <c r="Z14600" s="61">
        <f>_xll.qlYieldTSDiscount($U$35,Y14600,,Trigger)</f>
        <v>0.46435016594582967</v>
      </c>
    </row>
    <row r="14601" spans="25:26" x14ac:dyDescent="0.25">
      <c r="Y14601" s="63">
        <v>57134</v>
      </c>
      <c r="Z14601" s="61">
        <f>_xll.qlYieldTSDiscount($U$35,Y14601,,Trigger)</f>
        <v>0.46432089070235033</v>
      </c>
    </row>
    <row r="14602" spans="25:26" x14ac:dyDescent="0.25">
      <c r="Y14602" s="63">
        <v>57135</v>
      </c>
      <c r="Z14602" s="61">
        <f>_xll.qlYieldTSDiscount($U$35,Y14602,,Trigger)</f>
        <v>0.46429161814698028</v>
      </c>
    </row>
    <row r="14603" spans="25:26" x14ac:dyDescent="0.25">
      <c r="Y14603" s="63">
        <v>57136</v>
      </c>
      <c r="Z14603" s="61">
        <f>_xll.qlYieldTSDiscount($U$35,Y14603,,Trigger)</f>
        <v>0.4642623482793537</v>
      </c>
    </row>
    <row r="14604" spans="25:26" x14ac:dyDescent="0.25">
      <c r="Y14604" s="63">
        <v>57137</v>
      </c>
      <c r="Z14604" s="61">
        <f>_xll.qlYieldTSDiscount($U$35,Y14604,,Trigger)</f>
        <v>0.46423308109910455</v>
      </c>
    </row>
    <row r="14605" spans="25:26" x14ac:dyDescent="0.25">
      <c r="Y14605" s="63">
        <v>57138</v>
      </c>
      <c r="Z14605" s="61">
        <f>_xll.qlYieldTSDiscount($U$35,Y14605,,Trigger)</f>
        <v>0.46420381660586696</v>
      </c>
    </row>
    <row r="14606" spans="25:26" x14ac:dyDescent="0.25">
      <c r="Y14606" s="63">
        <v>57139</v>
      </c>
      <c r="Z14606" s="61">
        <f>_xll.qlYieldTSDiscount($U$35,Y14606,,Trigger)</f>
        <v>0.46417455479927472</v>
      </c>
    </row>
    <row r="14607" spans="25:26" x14ac:dyDescent="0.25">
      <c r="Y14607" s="63">
        <v>57140</v>
      </c>
      <c r="Z14607" s="61">
        <f>_xll.qlYieldTSDiscount($U$35,Y14607,,Trigger)</f>
        <v>0.46414529567896207</v>
      </c>
    </row>
    <row r="14608" spans="25:26" x14ac:dyDescent="0.25">
      <c r="Y14608" s="63">
        <v>57141</v>
      </c>
      <c r="Z14608" s="61">
        <f>_xll.qlYieldTSDiscount($U$35,Y14608,,Trigger)</f>
        <v>0.46411603924456302</v>
      </c>
    </row>
    <row r="14609" spans="25:26" x14ac:dyDescent="0.25">
      <c r="Y14609" s="63">
        <v>57142</v>
      </c>
      <c r="Z14609" s="61">
        <f>_xll.qlYieldTSDiscount($U$35,Y14609,,Trigger)</f>
        <v>0.46408678549571142</v>
      </c>
    </row>
    <row r="14610" spans="25:26" x14ac:dyDescent="0.25">
      <c r="Y14610" s="63">
        <v>57143</v>
      </c>
      <c r="Z14610" s="61">
        <f>_xll.qlYieldTSDiscount($U$35,Y14610,,Trigger)</f>
        <v>0.4640575344320414</v>
      </c>
    </row>
    <row r="14611" spans="25:26" x14ac:dyDescent="0.25">
      <c r="Y14611" s="63">
        <v>57144</v>
      </c>
      <c r="Z14611" s="61">
        <f>_xll.qlYieldTSDiscount($U$35,Y14611,,Trigger)</f>
        <v>0.46402828605318708</v>
      </c>
    </row>
    <row r="14612" spans="25:26" x14ac:dyDescent="0.25">
      <c r="Y14612" s="63">
        <v>57145</v>
      </c>
      <c r="Z14612" s="61">
        <f>_xll.qlYieldTSDiscount($U$35,Y14612,,Trigger)</f>
        <v>0.46399904035878231</v>
      </c>
    </row>
    <row r="14613" spans="25:26" x14ac:dyDescent="0.25">
      <c r="Y14613" s="63">
        <v>57146</v>
      </c>
      <c r="Z14613" s="61">
        <f>_xll.qlYieldTSDiscount($U$35,Y14613,,Trigger)</f>
        <v>0.46396979734846117</v>
      </c>
    </row>
    <row r="14614" spans="25:26" x14ac:dyDescent="0.25">
      <c r="Y14614" s="63">
        <v>57147</v>
      </c>
      <c r="Z14614" s="61">
        <f>_xll.qlYieldTSDiscount($U$35,Y14614,,Trigger)</f>
        <v>0.46394055702185777</v>
      </c>
    </row>
    <row r="14615" spans="25:26" x14ac:dyDescent="0.25">
      <c r="Y14615" s="63">
        <v>57148</v>
      </c>
      <c r="Z14615" s="61">
        <f>_xll.qlYieldTSDiscount($U$35,Y14615,,Trigger)</f>
        <v>0.46391131937860597</v>
      </c>
    </row>
    <row r="14616" spans="25:26" x14ac:dyDescent="0.25">
      <c r="Y14616" s="63">
        <v>57149</v>
      </c>
      <c r="Z14616" s="61">
        <f>_xll.qlYieldTSDiscount($U$35,Y14616,,Trigger)</f>
        <v>0.46388208441833989</v>
      </c>
    </row>
    <row r="14617" spans="25:26" x14ac:dyDescent="0.25">
      <c r="Y14617" s="63">
        <v>57150</v>
      </c>
      <c r="Z14617" s="61">
        <f>_xll.qlYieldTSDiscount($U$35,Y14617,,Trigger)</f>
        <v>0.46385285214069361</v>
      </c>
    </row>
    <row r="14618" spans="25:26" x14ac:dyDescent="0.25">
      <c r="Y14618" s="63">
        <v>57151</v>
      </c>
      <c r="Z14618" s="61">
        <f>_xll.qlYieldTSDiscount($U$35,Y14618,,Trigger)</f>
        <v>0.46382362254530107</v>
      </c>
    </row>
    <row r="14619" spans="25:26" x14ac:dyDescent="0.25">
      <c r="Y14619" s="63">
        <v>57152</v>
      </c>
      <c r="Z14619" s="61">
        <f>_xll.qlYieldTSDiscount($U$35,Y14619,,Trigger)</f>
        <v>0.46379439563179625</v>
      </c>
    </row>
    <row r="14620" spans="25:26" x14ac:dyDescent="0.25">
      <c r="Y14620" s="63">
        <v>57153</v>
      </c>
      <c r="Z14620" s="61">
        <f>_xll.qlYieldTSDiscount($U$35,Y14620,,Trigger)</f>
        <v>0.46376517139981327</v>
      </c>
    </row>
    <row r="14621" spans="25:26" x14ac:dyDescent="0.25">
      <c r="Y14621" s="63">
        <v>57154</v>
      </c>
      <c r="Z14621" s="61">
        <f>_xll.qlYieldTSDiscount($U$35,Y14621,,Trigger)</f>
        <v>0.46373594984898614</v>
      </c>
    </row>
    <row r="14622" spans="25:26" x14ac:dyDescent="0.25">
      <c r="Y14622" s="63">
        <v>57155</v>
      </c>
      <c r="Z14622" s="61">
        <f>_xll.qlYieldTSDiscount($U$35,Y14622,,Trigger)</f>
        <v>0.46370673097894888</v>
      </c>
    </row>
    <row r="14623" spans="25:26" x14ac:dyDescent="0.25">
      <c r="Y14623" s="63">
        <v>57156</v>
      </c>
      <c r="Z14623" s="61">
        <f>_xll.qlYieldTSDiscount($U$35,Y14623,,Trigger)</f>
        <v>0.46367751478933533</v>
      </c>
    </row>
    <row r="14624" spans="25:26" x14ac:dyDescent="0.25">
      <c r="Y14624" s="63">
        <v>57157</v>
      </c>
      <c r="Z14624" s="61">
        <f>_xll.qlYieldTSDiscount($U$35,Y14624,,Trigger)</f>
        <v>0.46364830127977985</v>
      </c>
    </row>
    <row r="14625" spans="25:26" x14ac:dyDescent="0.25">
      <c r="Y14625" s="63">
        <v>57158</v>
      </c>
      <c r="Z14625" s="61">
        <f>_xll.qlYieldTSDiscount($U$35,Y14625,,Trigger)</f>
        <v>0.46361909044991612</v>
      </c>
    </row>
    <row r="14626" spans="25:26" x14ac:dyDescent="0.25">
      <c r="Y14626" s="63">
        <v>57159</v>
      </c>
      <c r="Z14626" s="61">
        <f>_xll.qlYieldTSDiscount($U$35,Y14626,,Trigger)</f>
        <v>0.46358988229937836</v>
      </c>
    </row>
    <row r="14627" spans="25:26" x14ac:dyDescent="0.25">
      <c r="Y14627" s="63">
        <v>57160</v>
      </c>
      <c r="Z14627" s="61">
        <f>_xll.qlYieldTSDiscount($U$35,Y14627,,Trigger)</f>
        <v>0.46356067682780067</v>
      </c>
    </row>
    <row r="14628" spans="25:26" x14ac:dyDescent="0.25">
      <c r="Y14628" s="63">
        <v>57161</v>
      </c>
      <c r="Z14628" s="61">
        <f>_xll.qlYieldTSDiscount($U$35,Y14628,,Trigger)</f>
        <v>0.46353147403481681</v>
      </c>
    </row>
    <row r="14629" spans="25:26" x14ac:dyDescent="0.25">
      <c r="Y14629" s="63">
        <v>57162</v>
      </c>
      <c r="Z14629" s="61">
        <f>_xll.qlYieldTSDiscount($U$35,Y14629,,Trigger)</f>
        <v>0.46350227392006099</v>
      </c>
    </row>
    <row r="14630" spans="25:26" x14ac:dyDescent="0.25">
      <c r="Y14630" s="63">
        <v>57163</v>
      </c>
      <c r="Z14630" s="61">
        <f>_xll.qlYieldTSDiscount($U$35,Y14630,,Trigger)</f>
        <v>0.46347307648316727</v>
      </c>
    </row>
    <row r="14631" spans="25:26" x14ac:dyDescent="0.25">
      <c r="Y14631" s="63">
        <v>57164</v>
      </c>
      <c r="Z14631" s="61">
        <f>_xll.qlYieldTSDiscount($U$35,Y14631,,Trigger)</f>
        <v>0.46344388172376949</v>
      </c>
    </row>
    <row r="14632" spans="25:26" x14ac:dyDescent="0.25">
      <c r="Y14632" s="63">
        <v>57165</v>
      </c>
      <c r="Z14632" s="61">
        <f>_xll.qlYieldTSDiscount($U$35,Y14632,,Trigger)</f>
        <v>0.46341468964150173</v>
      </c>
    </row>
    <row r="14633" spans="25:26" x14ac:dyDescent="0.25">
      <c r="Y14633" s="63">
        <v>57166</v>
      </c>
      <c r="Z14633" s="61">
        <f>_xll.qlYieldTSDiscount($U$35,Y14633,,Trigger)</f>
        <v>0.46338550023599812</v>
      </c>
    </row>
    <row r="14634" spans="25:26" x14ac:dyDescent="0.25">
      <c r="Y14634" s="63">
        <v>57167</v>
      </c>
      <c r="Z14634" s="61">
        <f>_xll.qlYieldTSDiscount($U$35,Y14634,,Trigger)</f>
        <v>0.46335631350689266</v>
      </c>
    </row>
    <row r="14635" spans="25:26" x14ac:dyDescent="0.25">
      <c r="Y14635" s="63">
        <v>57168</v>
      </c>
      <c r="Z14635" s="61">
        <f>_xll.qlYieldTSDiscount($U$35,Y14635,,Trigger)</f>
        <v>0.46332712945381926</v>
      </c>
    </row>
    <row r="14636" spans="25:26" x14ac:dyDescent="0.25">
      <c r="Y14636" s="63">
        <v>57169</v>
      </c>
      <c r="Z14636" s="61">
        <f>_xll.qlYieldTSDiscount($U$35,Y14636,,Trigger)</f>
        <v>0.463297948076412</v>
      </c>
    </row>
    <row r="14637" spans="25:26" x14ac:dyDescent="0.25">
      <c r="Y14637" s="63">
        <v>57170</v>
      </c>
      <c r="Z14637" s="61">
        <f>_xll.qlYieldTSDiscount($U$35,Y14637,,Trigger)</f>
        <v>0.46326876937430495</v>
      </c>
    </row>
    <row r="14638" spans="25:26" x14ac:dyDescent="0.25">
      <c r="Y14638" s="63">
        <v>57171</v>
      </c>
      <c r="Z14638" s="61">
        <f>_xll.qlYieldTSDiscount($U$35,Y14638,,Trigger)</f>
        <v>0.46323959334713205</v>
      </c>
    </row>
    <row r="14639" spans="25:26" x14ac:dyDescent="0.25">
      <c r="Y14639" s="63">
        <v>57172</v>
      </c>
      <c r="Z14639" s="61">
        <f>_xll.qlYieldTSDiscount($U$35,Y14639,,Trigger)</f>
        <v>0.46321041999452739</v>
      </c>
    </row>
    <row r="14640" spans="25:26" x14ac:dyDescent="0.25">
      <c r="Y14640" s="63">
        <v>57173</v>
      </c>
      <c r="Z14640" s="61">
        <f>_xll.qlYieldTSDiscount($U$35,Y14640,,Trigger)</f>
        <v>0.46318124931612503</v>
      </c>
    </row>
    <row r="14641" spans="25:26" x14ac:dyDescent="0.25">
      <c r="Y14641" s="63">
        <v>57174</v>
      </c>
      <c r="Z14641" s="61">
        <f>_xll.qlYieldTSDiscount($U$35,Y14641,,Trigger)</f>
        <v>0.46315208131155883</v>
      </c>
    </row>
    <row r="14642" spans="25:26" x14ac:dyDescent="0.25">
      <c r="Y14642" s="63">
        <v>57175</v>
      </c>
      <c r="Z14642" s="61">
        <f>_xll.qlYieldTSDiscount($U$35,Y14642,,Trigger)</f>
        <v>0.46312291598046296</v>
      </c>
    </row>
    <row r="14643" spans="25:26" x14ac:dyDescent="0.25">
      <c r="Y14643" s="63">
        <v>57176</v>
      </c>
      <c r="Z14643" s="61">
        <f>_xll.qlYieldTSDiscount($U$35,Y14643,,Trigger)</f>
        <v>0.46309375332247138</v>
      </c>
    </row>
    <row r="14644" spans="25:26" x14ac:dyDescent="0.25">
      <c r="Y14644" s="63">
        <v>57177</v>
      </c>
      <c r="Z14644" s="61">
        <f>_xll.qlYieldTSDiscount($U$35,Y14644,,Trigger)</f>
        <v>0.46306459333721811</v>
      </c>
    </row>
    <row r="14645" spans="25:26" x14ac:dyDescent="0.25">
      <c r="Y14645" s="63">
        <v>57178</v>
      </c>
      <c r="Z14645" s="61">
        <f>_xll.qlYieldTSDiscount($U$35,Y14645,,Trigger)</f>
        <v>0.46303543602433717</v>
      </c>
    </row>
    <row r="14646" spans="25:26" x14ac:dyDescent="0.25">
      <c r="Y14646" s="63">
        <v>57179</v>
      </c>
      <c r="Z14646" s="61">
        <f>_xll.qlYieldTSDiscount($U$35,Y14646,,Trigger)</f>
        <v>0.46300628138346267</v>
      </c>
    </row>
    <row r="14647" spans="25:26" x14ac:dyDescent="0.25">
      <c r="Y14647" s="63">
        <v>57180</v>
      </c>
      <c r="Z14647" s="61">
        <f>_xll.qlYieldTSDiscount($U$35,Y14647,,Trigger)</f>
        <v>0.46297712941422853</v>
      </c>
    </row>
    <row r="14648" spans="25:26" x14ac:dyDescent="0.25">
      <c r="Y14648" s="63">
        <v>57181</v>
      </c>
      <c r="Z14648" s="61">
        <f>_xll.qlYieldTSDiscount($U$35,Y14648,,Trigger)</f>
        <v>0.4629479801162687</v>
      </c>
    </row>
    <row r="14649" spans="25:26" x14ac:dyDescent="0.25">
      <c r="Y14649" s="63">
        <v>57182</v>
      </c>
      <c r="Z14649" s="61">
        <f>_xll.qlYieldTSDiscount($U$35,Y14649,,Trigger)</f>
        <v>0.46291883348921736</v>
      </c>
    </row>
    <row r="14650" spans="25:26" x14ac:dyDescent="0.25">
      <c r="Y14650" s="63">
        <v>57183</v>
      </c>
      <c r="Z14650" s="61">
        <f>_xll.qlYieldTSDiscount($U$35,Y14650,,Trigger)</f>
        <v>0.46288968953270859</v>
      </c>
    </row>
    <row r="14651" spans="25:26" x14ac:dyDescent="0.25">
      <c r="Y14651" s="63">
        <v>57184</v>
      </c>
      <c r="Z14651" s="61">
        <f>_xll.qlYieldTSDiscount($U$35,Y14651,,Trigger)</f>
        <v>0.46286054824637612</v>
      </c>
    </row>
    <row r="14652" spans="25:26" x14ac:dyDescent="0.25">
      <c r="Y14652" s="63">
        <v>57185</v>
      </c>
      <c r="Z14652" s="61">
        <f>_xll.qlYieldTSDiscount($U$35,Y14652,,Trigger)</f>
        <v>0.46283140962985425</v>
      </c>
    </row>
    <row r="14653" spans="25:26" x14ac:dyDescent="0.25">
      <c r="Y14653" s="63">
        <v>57186</v>
      </c>
      <c r="Z14653" s="61">
        <f>_xll.qlYieldTSDiscount($U$35,Y14653,,Trigger)</f>
        <v>0.46280227368277693</v>
      </c>
    </row>
    <row r="14654" spans="25:26" x14ac:dyDescent="0.25">
      <c r="Y14654" s="63">
        <v>57187</v>
      </c>
      <c r="Z14654" s="61">
        <f>_xll.qlYieldTSDiscount($U$35,Y14654,,Trigger)</f>
        <v>0.46277314040477807</v>
      </c>
    </row>
    <row r="14655" spans="25:26" x14ac:dyDescent="0.25">
      <c r="Y14655" s="63">
        <v>57188</v>
      </c>
      <c r="Z14655" s="61">
        <f>_xll.qlYieldTSDiscount($U$35,Y14655,,Trigger)</f>
        <v>0.4627440097954918</v>
      </c>
    </row>
    <row r="14656" spans="25:26" x14ac:dyDescent="0.25">
      <c r="Y14656" s="63">
        <v>57189</v>
      </c>
      <c r="Z14656" s="61">
        <f>_xll.qlYieldTSDiscount($U$35,Y14656,,Trigger)</f>
        <v>0.46271488185455212</v>
      </c>
    </row>
    <row r="14657" spans="25:26" x14ac:dyDescent="0.25">
      <c r="Y14657" s="63">
        <v>57190</v>
      </c>
      <c r="Z14657" s="61">
        <f>_xll.qlYieldTSDiscount($U$35,Y14657,,Trigger)</f>
        <v>0.46268575658159306</v>
      </c>
    </row>
    <row r="14658" spans="25:26" x14ac:dyDescent="0.25">
      <c r="Y14658" s="63">
        <v>57191</v>
      </c>
      <c r="Z14658" s="61">
        <f>_xll.qlYieldTSDiscount($U$35,Y14658,,Trigger)</f>
        <v>0.46265663397624857</v>
      </c>
    </row>
    <row r="14659" spans="25:26" x14ac:dyDescent="0.25">
      <c r="Y14659" s="63">
        <v>57192</v>
      </c>
      <c r="Z14659" s="61">
        <f>_xll.qlYieldTSDiscount($U$35,Y14659,,Trigger)</f>
        <v>0.46262751403815283</v>
      </c>
    </row>
    <row r="14660" spans="25:26" x14ac:dyDescent="0.25">
      <c r="Y14660" s="63">
        <v>57193</v>
      </c>
      <c r="Z14660" s="61">
        <f>_xll.qlYieldTSDiscount($U$35,Y14660,,Trigger)</f>
        <v>0.4625983967669397</v>
      </c>
    </row>
    <row r="14661" spans="25:26" x14ac:dyDescent="0.25">
      <c r="Y14661" s="63">
        <v>57194</v>
      </c>
      <c r="Z14661" s="61">
        <f>_xll.qlYieldTSDiscount($U$35,Y14661,,Trigger)</f>
        <v>0.46256928216224324</v>
      </c>
    </row>
    <row r="14662" spans="25:26" x14ac:dyDescent="0.25">
      <c r="Y14662" s="63">
        <v>57195</v>
      </c>
      <c r="Z14662" s="61">
        <f>_xll.qlYieldTSDiscount($U$35,Y14662,,Trigger)</f>
        <v>0.46254017022369753</v>
      </c>
    </row>
    <row r="14663" spans="25:26" x14ac:dyDescent="0.25">
      <c r="Y14663" s="63">
        <v>57196</v>
      </c>
      <c r="Z14663" s="61">
        <f>_xll.qlYieldTSDiscount($U$35,Y14663,,Trigger)</f>
        <v>0.46251106095093664</v>
      </c>
    </row>
    <row r="14664" spans="25:26" x14ac:dyDescent="0.25">
      <c r="Y14664" s="63">
        <v>57197</v>
      </c>
      <c r="Z14664" s="61">
        <f>_xll.qlYieldTSDiscount($U$35,Y14664,,Trigger)</f>
        <v>0.4624819543435944</v>
      </c>
    </row>
    <row r="14665" spans="25:26" x14ac:dyDescent="0.25">
      <c r="Y14665" s="63">
        <v>57198</v>
      </c>
      <c r="Z14665" s="61">
        <f>_xll.qlYieldTSDiscount($U$35,Y14665,,Trigger)</f>
        <v>0.46245285040130496</v>
      </c>
    </row>
    <row r="14666" spans="25:26" x14ac:dyDescent="0.25">
      <c r="Y14666" s="63">
        <v>57199</v>
      </c>
      <c r="Z14666" s="61">
        <f>_xll.qlYieldTSDiscount($U$35,Y14666,,Trigger)</f>
        <v>0.46242374912370238</v>
      </c>
    </row>
    <row r="14667" spans="25:26" x14ac:dyDescent="0.25">
      <c r="Y14667" s="63">
        <v>57200</v>
      </c>
      <c r="Z14667" s="61">
        <f>_xll.qlYieldTSDiscount($U$35,Y14667,,Trigger)</f>
        <v>0.46239465051042056</v>
      </c>
    </row>
    <row r="14668" spans="25:26" x14ac:dyDescent="0.25">
      <c r="Y14668" s="63">
        <v>57201</v>
      </c>
      <c r="Z14668" s="61">
        <f>_xll.qlYieldTSDiscount($U$35,Y14668,,Trigger)</f>
        <v>0.46236555456109363</v>
      </c>
    </row>
    <row r="14669" spans="25:26" x14ac:dyDescent="0.25">
      <c r="Y14669" s="63">
        <v>57202</v>
      </c>
      <c r="Z14669" s="61">
        <f>_xll.qlYieldTSDiscount($U$35,Y14669,,Trigger)</f>
        <v>0.46233646127535555</v>
      </c>
    </row>
    <row r="14670" spans="25:26" x14ac:dyDescent="0.25">
      <c r="Y14670" s="63">
        <v>57203</v>
      </c>
      <c r="Z14670" s="61">
        <f>_xll.qlYieldTSDiscount($U$35,Y14670,,Trigger)</f>
        <v>0.46230737065284033</v>
      </c>
    </row>
    <row r="14671" spans="25:26" x14ac:dyDescent="0.25">
      <c r="Y14671" s="63">
        <v>57204</v>
      </c>
      <c r="Z14671" s="61">
        <f>_xll.qlYieldTSDiscount($U$35,Y14671,,Trigger)</f>
        <v>0.46227828269318205</v>
      </c>
    </row>
    <row r="14672" spans="25:26" x14ac:dyDescent="0.25">
      <c r="Y14672" s="63">
        <v>57205</v>
      </c>
      <c r="Z14672" s="61">
        <f>_xll.qlYieldTSDiscount($U$35,Y14672,,Trigger)</f>
        <v>0.46224919739601478</v>
      </c>
    </row>
    <row r="14673" spans="25:26" x14ac:dyDescent="0.25">
      <c r="Y14673" s="63">
        <v>57206</v>
      </c>
      <c r="Z14673" s="61">
        <f>_xll.qlYieldTSDiscount($U$35,Y14673,,Trigger)</f>
        <v>0.46222011476097236</v>
      </c>
    </row>
    <row r="14674" spans="25:26" x14ac:dyDescent="0.25">
      <c r="Y14674" s="63">
        <v>57207</v>
      </c>
      <c r="Z14674" s="61">
        <f>_xll.qlYieldTSDiscount($U$35,Y14674,,Trigger)</f>
        <v>0.46219103478768897</v>
      </c>
    </row>
    <row r="14675" spans="25:26" x14ac:dyDescent="0.25">
      <c r="Y14675" s="63">
        <v>57208</v>
      </c>
      <c r="Z14675" s="61">
        <f>_xll.qlYieldTSDiscount($U$35,Y14675,,Trigger)</f>
        <v>0.46216195747579858</v>
      </c>
    </row>
    <row r="14676" spans="25:26" x14ac:dyDescent="0.25">
      <c r="Y14676" s="63">
        <v>57209</v>
      </c>
      <c r="Z14676" s="61">
        <f>_xll.qlYieldTSDiscount($U$35,Y14676,,Trigger)</f>
        <v>0.4621328828249352</v>
      </c>
    </row>
    <row r="14677" spans="25:26" x14ac:dyDescent="0.25">
      <c r="Y14677" s="63">
        <v>57210</v>
      </c>
      <c r="Z14677" s="61">
        <f>_xll.qlYieldTSDiscount($U$35,Y14677,,Trigger)</f>
        <v>0.46210381083473284</v>
      </c>
    </row>
    <row r="14678" spans="25:26" x14ac:dyDescent="0.25">
      <c r="Y14678" s="63">
        <v>57211</v>
      </c>
      <c r="Z14678" s="61">
        <f>_xll.qlYieldTSDiscount($U$35,Y14678,,Trigger)</f>
        <v>0.46207474150482553</v>
      </c>
    </row>
    <row r="14679" spans="25:26" x14ac:dyDescent="0.25">
      <c r="Y14679" s="63">
        <v>57212</v>
      </c>
      <c r="Z14679" s="61">
        <f>_xll.qlYieldTSDiscount($U$35,Y14679,,Trigger)</f>
        <v>0.46204567483484743</v>
      </c>
    </row>
    <row r="14680" spans="25:26" x14ac:dyDescent="0.25">
      <c r="Y14680" s="63">
        <v>57213</v>
      </c>
      <c r="Z14680" s="61">
        <f>_xll.qlYieldTSDiscount($U$35,Y14680,,Trigger)</f>
        <v>0.46201661082443235</v>
      </c>
    </row>
    <row r="14681" spans="25:26" x14ac:dyDescent="0.25">
      <c r="Y14681" s="63">
        <v>57214</v>
      </c>
      <c r="Z14681" s="61">
        <f>_xll.qlYieldTSDiscount($U$35,Y14681,,Trigger)</f>
        <v>0.46198754947321435</v>
      </c>
    </row>
    <row r="14682" spans="25:26" x14ac:dyDescent="0.25">
      <c r="Y14682" s="63">
        <v>57215</v>
      </c>
      <c r="Z14682" s="61">
        <f>_xll.qlYieldTSDiscount($U$35,Y14682,,Trigger)</f>
        <v>0.46195849078082762</v>
      </c>
    </row>
    <row r="14683" spans="25:26" x14ac:dyDescent="0.25">
      <c r="Y14683" s="63">
        <v>57216</v>
      </c>
      <c r="Z14683" s="61">
        <f>_xll.qlYieldTSDiscount($U$35,Y14683,,Trigger)</f>
        <v>0.46192943474690606</v>
      </c>
    </row>
    <row r="14684" spans="25:26" x14ac:dyDescent="0.25">
      <c r="Y14684" s="63">
        <v>57217</v>
      </c>
      <c r="Z14684" s="61">
        <f>_xll.qlYieldTSDiscount($U$35,Y14684,,Trigger)</f>
        <v>0.46190038137108358</v>
      </c>
    </row>
    <row r="14685" spans="25:26" x14ac:dyDescent="0.25">
      <c r="Y14685" s="63">
        <v>57218</v>
      </c>
      <c r="Z14685" s="61">
        <f>_xll.qlYieldTSDiscount($U$35,Y14685,,Trigger)</f>
        <v>0.46187133065299446</v>
      </c>
    </row>
    <row r="14686" spans="25:26" x14ac:dyDescent="0.25">
      <c r="Y14686" s="63">
        <v>57219</v>
      </c>
      <c r="Z14686" s="61">
        <f>_xll.qlYieldTSDiscount($U$35,Y14686,,Trigger)</f>
        <v>0.46184228259227245</v>
      </c>
    </row>
    <row r="14687" spans="25:26" x14ac:dyDescent="0.25">
      <c r="Y14687" s="63">
        <v>57220</v>
      </c>
      <c r="Z14687" s="61">
        <f>_xll.qlYieldTSDiscount($U$35,Y14687,,Trigger)</f>
        <v>0.46181323718855177</v>
      </c>
    </row>
    <row r="14688" spans="25:26" x14ac:dyDescent="0.25">
      <c r="Y14688" s="63">
        <v>57221</v>
      </c>
      <c r="Z14688" s="61">
        <f>_xll.qlYieldTSDiscount($U$35,Y14688,,Trigger)</f>
        <v>0.46178419444146646</v>
      </c>
    </row>
    <row r="14689" spans="25:26" x14ac:dyDescent="0.25">
      <c r="Y14689" s="63">
        <v>57222</v>
      </c>
      <c r="Z14689" s="61">
        <f>_xll.qlYieldTSDiscount($U$35,Y14689,,Trigger)</f>
        <v>0.46175515435065029</v>
      </c>
    </row>
    <row r="14690" spans="25:26" x14ac:dyDescent="0.25">
      <c r="Y14690" s="63">
        <v>57223</v>
      </c>
      <c r="Z14690" s="61">
        <f>_xll.qlYieldTSDiscount($U$35,Y14690,,Trigger)</f>
        <v>0.46172611691573751</v>
      </c>
    </row>
    <row r="14691" spans="25:26" x14ac:dyDescent="0.25">
      <c r="Y14691" s="63">
        <v>57224</v>
      </c>
      <c r="Z14691" s="61">
        <f>_xll.qlYieldTSDiscount($U$35,Y14691,,Trigger)</f>
        <v>0.46169708213636218</v>
      </c>
    </row>
    <row r="14692" spans="25:26" x14ac:dyDescent="0.25">
      <c r="Y14692" s="63">
        <v>57225</v>
      </c>
      <c r="Z14692" s="61">
        <f>_xll.qlYieldTSDiscount($U$35,Y14692,,Trigger)</f>
        <v>0.4616680500121581</v>
      </c>
    </row>
    <row r="14693" spans="25:26" x14ac:dyDescent="0.25">
      <c r="Y14693" s="63">
        <v>57226</v>
      </c>
      <c r="Z14693" s="61">
        <f>_xll.qlYieldTSDiscount($U$35,Y14693,,Trigger)</f>
        <v>0.4616390205427594</v>
      </c>
    </row>
    <row r="14694" spans="25:26" x14ac:dyDescent="0.25">
      <c r="Y14694" s="63">
        <v>57227</v>
      </c>
      <c r="Z14694" s="61">
        <f>_xll.qlYieldTSDiscount($U$35,Y14694,,Trigger)</f>
        <v>0.46160999372780021</v>
      </c>
    </row>
    <row r="14695" spans="25:26" x14ac:dyDescent="0.25">
      <c r="Y14695" s="63">
        <v>57228</v>
      </c>
      <c r="Z14695" s="61">
        <f>_xll.qlYieldTSDiscount($U$35,Y14695,,Trigger)</f>
        <v>0.46158096956691441</v>
      </c>
    </row>
    <row r="14696" spans="25:26" x14ac:dyDescent="0.25">
      <c r="Y14696" s="63">
        <v>57229</v>
      </c>
      <c r="Z14696" s="61">
        <f>_xll.qlYieldTSDiscount($U$35,Y14696,,Trigger)</f>
        <v>0.46155194805973609</v>
      </c>
    </row>
    <row r="14697" spans="25:26" x14ac:dyDescent="0.25">
      <c r="Y14697" s="63">
        <v>57230</v>
      </c>
      <c r="Z14697" s="61">
        <f>_xll.qlYieldTSDiscount($U$35,Y14697,,Trigger)</f>
        <v>0.46152292920589921</v>
      </c>
    </row>
    <row r="14698" spans="25:26" x14ac:dyDescent="0.25">
      <c r="Y14698" s="63">
        <v>57231</v>
      </c>
      <c r="Z14698" s="61">
        <f>_xll.qlYieldTSDiscount($U$35,Y14698,,Trigger)</f>
        <v>0.46149391300503795</v>
      </c>
    </row>
    <row r="14699" spans="25:26" x14ac:dyDescent="0.25">
      <c r="Y14699" s="63">
        <v>57232</v>
      </c>
      <c r="Z14699" s="61">
        <f>_xll.qlYieldTSDiscount($U$35,Y14699,,Trigger)</f>
        <v>0.46146489945678609</v>
      </c>
    </row>
    <row r="14700" spans="25:26" x14ac:dyDescent="0.25">
      <c r="Y14700" s="63">
        <v>57233</v>
      </c>
      <c r="Z14700" s="61">
        <f>_xll.qlYieldTSDiscount($U$35,Y14700,,Trigger)</f>
        <v>0.46143588856077777</v>
      </c>
    </row>
    <row r="14701" spans="25:26" x14ac:dyDescent="0.25">
      <c r="Y14701" s="63">
        <v>57234</v>
      </c>
      <c r="Z14701" s="61">
        <f>_xll.qlYieldTSDiscount($U$35,Y14701,,Trigger)</f>
        <v>0.46140688031664712</v>
      </c>
    </row>
    <row r="14702" spans="25:26" x14ac:dyDescent="0.25">
      <c r="Y14702" s="63">
        <v>57235</v>
      </c>
      <c r="Z14702" s="61">
        <f>_xll.qlYieldTSDiscount($U$35,Y14702,,Trigger)</f>
        <v>0.46137787472402803</v>
      </c>
    </row>
    <row r="14703" spans="25:26" x14ac:dyDescent="0.25">
      <c r="Y14703" s="63">
        <v>57236</v>
      </c>
      <c r="Z14703" s="61">
        <f>_xll.qlYieldTSDiscount($U$35,Y14703,,Trigger)</f>
        <v>0.46134887178255446</v>
      </c>
    </row>
    <row r="14704" spans="25:26" x14ac:dyDescent="0.25">
      <c r="Y14704" s="63">
        <v>57237</v>
      </c>
      <c r="Z14704" s="61">
        <f>_xll.qlYieldTSDiscount($U$35,Y14704,,Trigger)</f>
        <v>0.46131987149186071</v>
      </c>
    </row>
    <row r="14705" spans="25:26" x14ac:dyDescent="0.25">
      <c r="Y14705" s="63">
        <v>57238</v>
      </c>
      <c r="Z14705" s="61">
        <f>_xll.qlYieldTSDiscount($U$35,Y14705,,Trigger)</f>
        <v>0.46129087385158046</v>
      </c>
    </row>
    <row r="14706" spans="25:26" x14ac:dyDescent="0.25">
      <c r="Y14706" s="63">
        <v>57239</v>
      </c>
      <c r="Z14706" s="61">
        <f>_xll.qlYieldTSDiscount($U$35,Y14706,,Trigger)</f>
        <v>0.4612618788613479</v>
      </c>
    </row>
    <row r="14707" spans="25:26" x14ac:dyDescent="0.25">
      <c r="Y14707" s="63">
        <v>57240</v>
      </c>
      <c r="Z14707" s="61">
        <f>_xll.qlYieldTSDiscount($U$35,Y14707,,Trigger)</f>
        <v>0.46123288652079708</v>
      </c>
    </row>
    <row r="14708" spans="25:26" x14ac:dyDescent="0.25">
      <c r="Y14708" s="63">
        <v>57241</v>
      </c>
      <c r="Z14708" s="61">
        <f>_xll.qlYieldTSDiscount($U$35,Y14708,,Trigger)</f>
        <v>0.46120389682956198</v>
      </c>
    </row>
    <row r="14709" spans="25:26" x14ac:dyDescent="0.25">
      <c r="Y14709" s="63">
        <v>57242</v>
      </c>
      <c r="Z14709" s="61">
        <f>_xll.qlYieldTSDiscount($U$35,Y14709,,Trigger)</f>
        <v>0.4611749097872766</v>
      </c>
    </row>
    <row r="14710" spans="25:26" x14ac:dyDescent="0.25">
      <c r="Y14710" s="63">
        <v>57243</v>
      </c>
      <c r="Z14710" s="61">
        <f>_xll.qlYieldTSDiscount($U$35,Y14710,,Trigger)</f>
        <v>0.46114592539357502</v>
      </c>
    </row>
    <row r="14711" spans="25:26" x14ac:dyDescent="0.25">
      <c r="Y14711" s="63">
        <v>57244</v>
      </c>
      <c r="Z14711" s="61">
        <f>_xll.qlYieldTSDiscount($U$35,Y14711,,Trigger)</f>
        <v>0.46111694364809125</v>
      </c>
    </row>
    <row r="14712" spans="25:26" x14ac:dyDescent="0.25">
      <c r="Y14712" s="63">
        <v>57245</v>
      </c>
      <c r="Z14712" s="61">
        <f>_xll.qlYieldTSDiscount($U$35,Y14712,,Trigger)</f>
        <v>0.4610879645504592</v>
      </c>
    </row>
    <row r="14713" spans="25:26" x14ac:dyDescent="0.25">
      <c r="Y14713" s="63">
        <v>57246</v>
      </c>
      <c r="Z14713" s="61">
        <f>_xll.qlYieldTSDiscount($U$35,Y14713,,Trigger)</f>
        <v>0.46105898810031304</v>
      </c>
    </row>
    <row r="14714" spans="25:26" x14ac:dyDescent="0.25">
      <c r="Y14714" s="63">
        <v>57247</v>
      </c>
      <c r="Z14714" s="61">
        <f>_xll.qlYieldTSDiscount($U$35,Y14714,,Trigger)</f>
        <v>0.46103001429728679</v>
      </c>
    </row>
    <row r="14715" spans="25:26" x14ac:dyDescent="0.25">
      <c r="Y14715" s="63">
        <v>57248</v>
      </c>
      <c r="Z14715" s="61">
        <f>_xll.qlYieldTSDiscount($U$35,Y14715,,Trigger)</f>
        <v>0.46100104314101431</v>
      </c>
    </row>
    <row r="14716" spans="25:26" x14ac:dyDescent="0.25">
      <c r="Y14716" s="63">
        <v>57249</v>
      </c>
      <c r="Z14716" s="61">
        <f>_xll.qlYieldTSDiscount($U$35,Y14716,,Trigger)</f>
        <v>0.46097207463112977</v>
      </c>
    </row>
    <row r="14717" spans="25:26" x14ac:dyDescent="0.25">
      <c r="Y14717" s="63">
        <v>57250</v>
      </c>
      <c r="Z14717" s="61">
        <f>_xll.qlYieldTSDiscount($U$35,Y14717,,Trigger)</f>
        <v>0.46094310876726718</v>
      </c>
    </row>
    <row r="14718" spans="25:26" x14ac:dyDescent="0.25">
      <c r="Y14718" s="63">
        <v>57251</v>
      </c>
      <c r="Z14718" s="61">
        <f>_xll.qlYieldTSDiscount($U$35,Y14718,,Trigger)</f>
        <v>0.46091414554906052</v>
      </c>
    </row>
    <row r="14719" spans="25:26" x14ac:dyDescent="0.25">
      <c r="Y14719" s="63">
        <v>57252</v>
      </c>
      <c r="Z14719" s="61">
        <f>_xll.qlYieldTSDiscount($U$35,Y14719,,Trigger)</f>
        <v>0.46088518497614378</v>
      </c>
    </row>
    <row r="14720" spans="25:26" x14ac:dyDescent="0.25">
      <c r="Y14720" s="63">
        <v>57253</v>
      </c>
      <c r="Z14720" s="61">
        <f>_xll.qlYieldTSDiscount($U$35,Y14720,,Trigger)</f>
        <v>0.4608562270481511</v>
      </c>
    </row>
    <row r="14721" spans="25:26" x14ac:dyDescent="0.25">
      <c r="Y14721" s="63">
        <v>57254</v>
      </c>
      <c r="Z14721" s="61">
        <f>_xll.qlYieldTSDiscount($U$35,Y14721,,Trigger)</f>
        <v>0.46082727176471633</v>
      </c>
    </row>
    <row r="14722" spans="25:26" x14ac:dyDescent="0.25">
      <c r="Y14722" s="63">
        <v>57255</v>
      </c>
      <c r="Z14722" s="61">
        <f>_xll.qlYieldTSDiscount($U$35,Y14722,,Trigger)</f>
        <v>0.46079831912547364</v>
      </c>
    </row>
    <row r="14723" spans="25:26" x14ac:dyDescent="0.25">
      <c r="Y14723" s="63">
        <v>57256</v>
      </c>
      <c r="Z14723" s="61">
        <f>_xll.qlYieldTSDiscount($U$35,Y14723,,Trigger)</f>
        <v>0.46076936913005695</v>
      </c>
    </row>
    <row r="14724" spans="25:26" x14ac:dyDescent="0.25">
      <c r="Y14724" s="63">
        <v>57257</v>
      </c>
      <c r="Z14724" s="61">
        <f>_xll.qlYieldTSDiscount($U$35,Y14724,,Trigger)</f>
        <v>0.46074042177810043</v>
      </c>
    </row>
    <row r="14725" spans="25:26" x14ac:dyDescent="0.25">
      <c r="Y14725" s="63">
        <v>57258</v>
      </c>
      <c r="Z14725" s="61">
        <f>_xll.qlYieldTSDiscount($U$35,Y14725,,Trigger)</f>
        <v>0.46071147706923798</v>
      </c>
    </row>
    <row r="14726" spans="25:26" x14ac:dyDescent="0.25">
      <c r="Y14726" s="63">
        <v>57259</v>
      </c>
      <c r="Z14726" s="61">
        <f>_xll.qlYieldTSDiscount($U$35,Y14726,,Trigger)</f>
        <v>0.46068253500310352</v>
      </c>
    </row>
    <row r="14727" spans="25:26" x14ac:dyDescent="0.25">
      <c r="Y14727" s="63">
        <v>57260</v>
      </c>
      <c r="Z14727" s="61">
        <f>_xll.qlYieldTSDiscount($U$35,Y14727,,Trigger)</f>
        <v>0.46065359557933139</v>
      </c>
    </row>
    <row r="14728" spans="25:26" x14ac:dyDescent="0.25">
      <c r="Y14728" s="63">
        <v>57261</v>
      </c>
      <c r="Z14728" s="61">
        <f>_xll.qlYieldTSDiscount($U$35,Y14728,,Trigger)</f>
        <v>0.46062465879755532</v>
      </c>
    </row>
    <row r="14729" spans="25:26" x14ac:dyDescent="0.25">
      <c r="Y14729" s="63">
        <v>57262</v>
      </c>
      <c r="Z14729" s="61">
        <f>_xll.qlYieldTSDiscount($U$35,Y14729,,Trigger)</f>
        <v>0.46059572465740939</v>
      </c>
    </row>
    <row r="14730" spans="25:26" x14ac:dyDescent="0.25">
      <c r="Y14730" s="63">
        <v>57263</v>
      </c>
      <c r="Z14730" s="61">
        <f>_xll.qlYieldTSDiscount($U$35,Y14730,,Trigger)</f>
        <v>0.46056679315852778</v>
      </c>
    </row>
    <row r="14731" spans="25:26" x14ac:dyDescent="0.25">
      <c r="Y14731" s="63">
        <v>57264</v>
      </c>
      <c r="Z14731" s="61">
        <f>_xll.qlYieldTSDiscount($U$35,Y14731,,Trigger)</f>
        <v>0.46053786430054433</v>
      </c>
    </row>
    <row r="14732" spans="25:26" x14ac:dyDescent="0.25">
      <c r="Y14732" s="63">
        <v>57265</v>
      </c>
      <c r="Z14732" s="61">
        <f>_xll.qlYieldTSDiscount($U$35,Y14732,,Trigger)</f>
        <v>0.46050893808309307</v>
      </c>
    </row>
    <row r="14733" spans="25:26" x14ac:dyDescent="0.25">
      <c r="Y14733" s="63">
        <v>57266</v>
      </c>
      <c r="Z14733" s="61">
        <f>_xll.qlYieldTSDiscount($U$35,Y14733,,Trigger)</f>
        <v>0.46048001450580822</v>
      </c>
    </row>
    <row r="14734" spans="25:26" x14ac:dyDescent="0.25">
      <c r="Y14734" s="63">
        <v>57267</v>
      </c>
      <c r="Z14734" s="61">
        <f>_xll.qlYieldTSDiscount($U$35,Y14734,,Trigger)</f>
        <v>0.46045109356832348</v>
      </c>
    </row>
    <row r="14735" spans="25:26" x14ac:dyDescent="0.25">
      <c r="Y14735" s="63">
        <v>57268</v>
      </c>
      <c r="Z14735" s="61">
        <f>_xll.qlYieldTSDiscount($U$35,Y14735,,Trigger)</f>
        <v>0.46042217527027318</v>
      </c>
    </row>
    <row r="14736" spans="25:26" x14ac:dyDescent="0.25">
      <c r="Y14736" s="63">
        <v>57269</v>
      </c>
      <c r="Z14736" s="61">
        <f>_xll.qlYieldTSDiscount($U$35,Y14736,,Trigger)</f>
        <v>0.46039325961129118</v>
      </c>
    </row>
    <row r="14737" spans="25:26" x14ac:dyDescent="0.25">
      <c r="Y14737" s="63">
        <v>57270</v>
      </c>
      <c r="Z14737" s="61">
        <f>_xll.qlYieldTSDiscount($U$35,Y14737,,Trigger)</f>
        <v>0.46036434659101155</v>
      </c>
    </row>
    <row r="14738" spans="25:26" x14ac:dyDescent="0.25">
      <c r="Y14738" s="63">
        <v>57271</v>
      </c>
      <c r="Z14738" s="61">
        <f>_xll.qlYieldTSDiscount($U$35,Y14738,,Trigger)</f>
        <v>0.46033543620906825</v>
      </c>
    </row>
    <row r="14739" spans="25:26" x14ac:dyDescent="0.25">
      <c r="Y14739" s="63">
        <v>57272</v>
      </c>
      <c r="Z14739" s="61">
        <f>_xll.qlYieldTSDiscount($U$35,Y14739,,Trigger)</f>
        <v>0.46030652846509534</v>
      </c>
    </row>
    <row r="14740" spans="25:26" x14ac:dyDescent="0.25">
      <c r="Y14740" s="63">
        <v>57273</v>
      </c>
      <c r="Z14740" s="61">
        <f>_xll.qlYieldTSDiscount($U$35,Y14740,,Trigger)</f>
        <v>0.46027762335872702</v>
      </c>
    </row>
    <row r="14741" spans="25:26" x14ac:dyDescent="0.25">
      <c r="Y14741" s="63">
        <v>57274</v>
      </c>
      <c r="Z14741" s="61">
        <f>_xll.qlYieldTSDiscount($U$35,Y14741,,Trigger)</f>
        <v>0.46024872088959695</v>
      </c>
    </row>
    <row r="14742" spans="25:26" x14ac:dyDescent="0.25">
      <c r="Y14742" s="63">
        <v>57275</v>
      </c>
      <c r="Z14742" s="61">
        <f>_xll.qlYieldTSDiscount($U$35,Y14742,,Trigger)</f>
        <v>0.46021982105733938</v>
      </c>
    </row>
    <row r="14743" spans="25:26" x14ac:dyDescent="0.25">
      <c r="Y14743" s="63">
        <v>57276</v>
      </c>
      <c r="Z14743" s="61">
        <f>_xll.qlYieldTSDiscount($U$35,Y14743,,Trigger)</f>
        <v>0.46019092386158844</v>
      </c>
    </row>
    <row r="14744" spans="25:26" x14ac:dyDescent="0.25">
      <c r="Y14744" s="63">
        <v>57277</v>
      </c>
      <c r="Z14744" s="61">
        <f>_xll.qlYieldTSDiscount($U$35,Y14744,,Trigger)</f>
        <v>0.46016202930197786</v>
      </c>
    </row>
    <row r="14745" spans="25:26" x14ac:dyDescent="0.25">
      <c r="Y14745" s="63">
        <v>57278</v>
      </c>
      <c r="Z14745" s="61">
        <f>_xll.qlYieldTSDiscount($U$35,Y14745,,Trigger)</f>
        <v>0.46013313737814188</v>
      </c>
    </row>
    <row r="14746" spans="25:26" x14ac:dyDescent="0.25">
      <c r="Y14746" s="63">
        <v>57279</v>
      </c>
      <c r="Z14746" s="61">
        <f>_xll.qlYieldTSDiscount($U$35,Y14746,,Trigger)</f>
        <v>0.4601042480897144</v>
      </c>
    </row>
    <row r="14747" spans="25:26" x14ac:dyDescent="0.25">
      <c r="Y14747" s="63">
        <v>57280</v>
      </c>
      <c r="Z14747" s="61">
        <f>_xll.qlYieldTSDiscount($U$35,Y14747,,Trigger)</f>
        <v>0.46007536143632954</v>
      </c>
    </row>
    <row r="14748" spans="25:26" x14ac:dyDescent="0.25">
      <c r="Y14748" s="63">
        <v>57281</v>
      </c>
      <c r="Z14748" s="61">
        <f>_xll.qlYieldTSDiscount($U$35,Y14748,,Trigger)</f>
        <v>0.46004647741762128</v>
      </c>
    </row>
    <row r="14749" spans="25:26" x14ac:dyDescent="0.25">
      <c r="Y14749" s="63">
        <v>57282</v>
      </c>
      <c r="Z14749" s="61">
        <f>_xll.qlYieldTSDiscount($U$35,Y14749,,Trigger)</f>
        <v>0.46001759603322367</v>
      </c>
    </row>
    <row r="14750" spans="25:26" x14ac:dyDescent="0.25">
      <c r="Y14750" s="63">
        <v>57283</v>
      </c>
      <c r="Z14750" s="61">
        <f>_xll.qlYieldTSDiscount($U$35,Y14750,,Trigger)</f>
        <v>0.45998871728277058</v>
      </c>
    </row>
    <row r="14751" spans="25:26" x14ac:dyDescent="0.25">
      <c r="Y14751" s="63">
        <v>57284</v>
      </c>
      <c r="Z14751" s="61">
        <f>_xll.qlYieldTSDiscount($U$35,Y14751,,Trigger)</f>
        <v>0.45995984116589622</v>
      </c>
    </row>
    <row r="14752" spans="25:26" x14ac:dyDescent="0.25">
      <c r="Y14752" s="63">
        <v>57285</v>
      </c>
      <c r="Z14752" s="61">
        <f>_xll.qlYieldTSDiscount($U$35,Y14752,,Trigger)</f>
        <v>0.45993096768223451</v>
      </c>
    </row>
    <row r="14753" spans="25:26" x14ac:dyDescent="0.25">
      <c r="Y14753" s="63">
        <v>57286</v>
      </c>
      <c r="Z14753" s="61">
        <f>_xll.qlYieldTSDiscount($U$35,Y14753,,Trigger)</f>
        <v>0.45990209683141958</v>
      </c>
    </row>
    <row r="14754" spans="25:26" x14ac:dyDescent="0.25">
      <c r="Y14754" s="63">
        <v>57287</v>
      </c>
      <c r="Z14754" s="61">
        <f>_xll.qlYieldTSDiscount($U$35,Y14754,,Trigger)</f>
        <v>0.45987322861308533</v>
      </c>
    </row>
    <row r="14755" spans="25:26" x14ac:dyDescent="0.25">
      <c r="Y14755" s="63">
        <v>57288</v>
      </c>
      <c r="Z14755" s="61">
        <f>_xll.qlYieldTSDiscount($U$35,Y14755,,Trigger)</f>
        <v>0.45984436302686582</v>
      </c>
    </row>
    <row r="14756" spans="25:26" x14ac:dyDescent="0.25">
      <c r="Y14756" s="63">
        <v>57289</v>
      </c>
      <c r="Z14756" s="61">
        <f>_xll.qlYieldTSDiscount($U$35,Y14756,,Trigger)</f>
        <v>0.45981550007239519</v>
      </c>
    </row>
    <row r="14757" spans="25:26" x14ac:dyDescent="0.25">
      <c r="Y14757" s="63">
        <v>57290</v>
      </c>
      <c r="Z14757" s="61">
        <f>_xll.qlYieldTSDiscount($U$35,Y14757,,Trigger)</f>
        <v>0.45978663974930722</v>
      </c>
    </row>
    <row r="14758" spans="25:26" x14ac:dyDescent="0.25">
      <c r="Y14758" s="63">
        <v>57291</v>
      </c>
      <c r="Z14758" s="61">
        <f>_xll.qlYieldTSDiscount($U$35,Y14758,,Trigger)</f>
        <v>0.45975778205723611</v>
      </c>
    </row>
    <row r="14759" spans="25:26" x14ac:dyDescent="0.25">
      <c r="Y14759" s="63">
        <v>57292</v>
      </c>
      <c r="Z14759" s="61">
        <f>_xll.qlYieldTSDiscount($U$35,Y14759,,Trigger)</f>
        <v>0.45972892699581591</v>
      </c>
    </row>
    <row r="14760" spans="25:26" x14ac:dyDescent="0.25">
      <c r="Y14760" s="63">
        <v>57293</v>
      </c>
      <c r="Z14760" s="61">
        <f>_xll.qlYieldTSDiscount($U$35,Y14760,,Trigger)</f>
        <v>0.45970007456468048</v>
      </c>
    </row>
    <row r="14761" spans="25:26" x14ac:dyDescent="0.25">
      <c r="Y14761" s="63">
        <v>57294</v>
      </c>
      <c r="Z14761" s="61">
        <f>_xll.qlYieldTSDiscount($U$35,Y14761,,Trigger)</f>
        <v>0.45967122476346389</v>
      </c>
    </row>
    <row r="14762" spans="25:26" x14ac:dyDescent="0.25">
      <c r="Y14762" s="63">
        <v>57295</v>
      </c>
      <c r="Z14762" s="61">
        <f>_xll.qlYieldTSDiscount($U$35,Y14762,,Trigger)</f>
        <v>0.45964237759180038</v>
      </c>
    </row>
    <row r="14763" spans="25:26" x14ac:dyDescent="0.25">
      <c r="Y14763" s="63">
        <v>57296</v>
      </c>
      <c r="Z14763" s="61">
        <f>_xll.qlYieldTSDiscount($U$35,Y14763,,Trigger)</f>
        <v>0.45961353304932362</v>
      </c>
    </row>
    <row r="14764" spans="25:26" x14ac:dyDescent="0.25">
      <c r="Y14764" s="63">
        <v>57297</v>
      </c>
      <c r="Z14764" s="61">
        <f>_xll.qlYieldTSDiscount($U$35,Y14764,,Trigger)</f>
        <v>0.45958469113566786</v>
      </c>
    </row>
    <row r="14765" spans="25:26" x14ac:dyDescent="0.25">
      <c r="Y14765" s="63">
        <v>57298</v>
      </c>
      <c r="Z14765" s="61">
        <f>_xll.qlYieldTSDiscount($U$35,Y14765,,Trigger)</f>
        <v>0.4595558518504671</v>
      </c>
    </row>
    <row r="14766" spans="25:26" x14ac:dyDescent="0.25">
      <c r="Y14766" s="63">
        <v>57299</v>
      </c>
      <c r="Z14766" s="61">
        <f>_xll.qlYieldTSDiscount($U$35,Y14766,,Trigger)</f>
        <v>0.45952701519335531</v>
      </c>
    </row>
    <row r="14767" spans="25:26" x14ac:dyDescent="0.25">
      <c r="Y14767" s="63">
        <v>57300</v>
      </c>
      <c r="Z14767" s="61">
        <f>_xll.qlYieldTSDiscount($U$35,Y14767,,Trigger)</f>
        <v>0.45949818116396651</v>
      </c>
    </row>
    <row r="14768" spans="25:26" x14ac:dyDescent="0.25">
      <c r="Y14768" s="63">
        <v>57301</v>
      </c>
      <c r="Z14768" s="61">
        <f>_xll.qlYieldTSDiscount($U$35,Y14768,,Trigger)</f>
        <v>0.45946934976193476</v>
      </c>
    </row>
    <row r="14769" spans="25:26" x14ac:dyDescent="0.25">
      <c r="Y14769" s="63">
        <v>57302</v>
      </c>
      <c r="Z14769" s="61">
        <f>_xll.qlYieldTSDiscount($U$35,Y14769,,Trigger)</f>
        <v>0.45944052098689414</v>
      </c>
    </row>
    <row r="14770" spans="25:26" x14ac:dyDescent="0.25">
      <c r="Y14770" s="63">
        <v>57303</v>
      </c>
      <c r="Z14770" s="61">
        <f>_xll.qlYieldTSDiscount($U$35,Y14770,,Trigger)</f>
        <v>0.45941169483847843</v>
      </c>
    </row>
    <row r="14771" spans="25:26" x14ac:dyDescent="0.25">
      <c r="Y14771" s="63">
        <v>57304</v>
      </c>
      <c r="Z14771" s="61">
        <f>_xll.qlYieldTSDiscount($U$35,Y14771,,Trigger)</f>
        <v>0.45938287131632194</v>
      </c>
    </row>
    <row r="14772" spans="25:26" x14ac:dyDescent="0.25">
      <c r="Y14772" s="63">
        <v>57305</v>
      </c>
      <c r="Z14772" s="61">
        <f>_xll.qlYieldTSDiscount($U$35,Y14772,,Trigger)</f>
        <v>0.45935405042005861</v>
      </c>
    </row>
    <row r="14773" spans="25:26" x14ac:dyDescent="0.25">
      <c r="Y14773" s="63">
        <v>57306</v>
      </c>
      <c r="Z14773" s="61">
        <f>_xll.qlYieldTSDiscount($U$35,Y14773,,Trigger)</f>
        <v>0.4593252321493223</v>
      </c>
    </row>
    <row r="14774" spans="25:26" x14ac:dyDescent="0.25">
      <c r="Y14774" s="63">
        <v>57307</v>
      </c>
      <c r="Z14774" s="61">
        <f>_xll.qlYieldTSDiscount($U$35,Y14774,,Trigger)</f>
        <v>0.4592964165037472</v>
      </c>
    </row>
    <row r="14775" spans="25:26" x14ac:dyDescent="0.25">
      <c r="Y14775" s="63">
        <v>57308</v>
      </c>
      <c r="Z14775" s="61">
        <f>_xll.qlYieldTSDiscount($U$35,Y14775,,Trigger)</f>
        <v>0.45926760348296736</v>
      </c>
    </row>
    <row r="14776" spans="25:26" x14ac:dyDescent="0.25">
      <c r="Y14776" s="63">
        <v>57309</v>
      </c>
      <c r="Z14776" s="61">
        <f>_xll.qlYieldTSDiscount($U$35,Y14776,,Trigger)</f>
        <v>0.45923879308661669</v>
      </c>
    </row>
    <row r="14777" spans="25:26" x14ac:dyDescent="0.25">
      <c r="Y14777" s="63">
        <v>57310</v>
      </c>
      <c r="Z14777" s="61">
        <f>_xll.qlYieldTSDiscount($U$35,Y14777,,Trigger)</f>
        <v>0.45920998531432922</v>
      </c>
    </row>
    <row r="14778" spans="25:26" x14ac:dyDescent="0.25">
      <c r="Y14778" s="63">
        <v>57311</v>
      </c>
      <c r="Z14778" s="61">
        <f>_xll.qlYieldTSDiscount($U$35,Y14778,,Trigger)</f>
        <v>0.45918118016573906</v>
      </c>
    </row>
    <row r="14779" spans="25:26" x14ac:dyDescent="0.25">
      <c r="Y14779" s="63">
        <v>57312</v>
      </c>
      <c r="Z14779" s="61">
        <f>_xll.qlYieldTSDiscount($U$35,Y14779,,Trigger)</f>
        <v>0.45915237764048011</v>
      </c>
    </row>
    <row r="14780" spans="25:26" x14ac:dyDescent="0.25">
      <c r="Y14780" s="63">
        <v>57313</v>
      </c>
      <c r="Z14780" s="61">
        <f>_xll.qlYieldTSDiscount($U$35,Y14780,,Trigger)</f>
        <v>0.45912357773818646</v>
      </c>
    </row>
    <row r="14781" spans="25:26" x14ac:dyDescent="0.25">
      <c r="Y14781" s="63">
        <v>57314</v>
      </c>
      <c r="Z14781" s="61">
        <f>_xll.qlYieldTSDiscount($U$35,Y14781,,Trigger)</f>
        <v>0.45909478045849222</v>
      </c>
    </row>
    <row r="14782" spans="25:26" x14ac:dyDescent="0.25">
      <c r="Y14782" s="63">
        <v>57315</v>
      </c>
      <c r="Z14782" s="61">
        <f>_xll.qlYieldTSDiscount($U$35,Y14782,,Trigger)</f>
        <v>0.4590659858010312</v>
      </c>
    </row>
    <row r="14783" spans="25:26" x14ac:dyDescent="0.25">
      <c r="Y14783" s="63">
        <v>57316</v>
      </c>
      <c r="Z14783" s="61">
        <f>_xll.qlYieldTSDiscount($U$35,Y14783,,Trigger)</f>
        <v>0.45903719376543761</v>
      </c>
    </row>
    <row r="14784" spans="25:26" x14ac:dyDescent="0.25">
      <c r="Y14784" s="63">
        <v>57317</v>
      </c>
      <c r="Z14784" s="61">
        <f>_xll.qlYieldTSDiscount($U$35,Y14784,,Trigger)</f>
        <v>0.45900840435134538</v>
      </c>
    </row>
    <row r="14785" spans="25:26" x14ac:dyDescent="0.25">
      <c r="Y14785" s="63">
        <v>57318</v>
      </c>
      <c r="Z14785" s="61">
        <f>_xll.qlYieldTSDiscount($U$35,Y14785,,Trigger)</f>
        <v>0.45897961755838856</v>
      </c>
    </row>
    <row r="14786" spans="25:26" x14ac:dyDescent="0.25">
      <c r="Y14786" s="63">
        <v>57319</v>
      </c>
      <c r="Z14786" s="61">
        <f>_xll.qlYieldTSDiscount($U$35,Y14786,,Trigger)</f>
        <v>0.45895083338620118</v>
      </c>
    </row>
    <row r="14787" spans="25:26" x14ac:dyDescent="0.25">
      <c r="Y14787" s="63">
        <v>57320</v>
      </c>
      <c r="Z14787" s="61">
        <f>_xll.qlYieldTSDiscount($U$35,Y14787,,Trigger)</f>
        <v>0.45892205183441726</v>
      </c>
    </row>
    <row r="14788" spans="25:26" x14ac:dyDescent="0.25">
      <c r="Y14788" s="63">
        <v>57321</v>
      </c>
      <c r="Z14788" s="61">
        <f>_xll.qlYieldTSDiscount($U$35,Y14788,,Trigger)</f>
        <v>0.45889327290267079</v>
      </c>
    </row>
    <row r="14789" spans="25:26" x14ac:dyDescent="0.25">
      <c r="Y14789" s="63">
        <v>57322</v>
      </c>
      <c r="Z14789" s="61">
        <f>_xll.qlYieldTSDiscount($U$35,Y14789,,Trigger)</f>
        <v>0.45886449659059581</v>
      </c>
    </row>
    <row r="14790" spans="25:26" x14ac:dyDescent="0.25">
      <c r="Y14790" s="63">
        <v>57323</v>
      </c>
      <c r="Z14790" s="61">
        <f>_xll.qlYieldTSDiscount($U$35,Y14790,,Trigger)</f>
        <v>0.45883572289782631</v>
      </c>
    </row>
    <row r="14791" spans="25:26" x14ac:dyDescent="0.25">
      <c r="Y14791" s="63">
        <v>57324</v>
      </c>
      <c r="Z14791" s="61">
        <f>_xll.qlYieldTSDiscount($U$35,Y14791,,Trigger)</f>
        <v>0.45880695182399645</v>
      </c>
    </row>
    <row r="14792" spans="25:26" x14ac:dyDescent="0.25">
      <c r="Y14792" s="63">
        <v>57325</v>
      </c>
      <c r="Z14792" s="61">
        <f>_xll.qlYieldTSDiscount($U$35,Y14792,,Trigger)</f>
        <v>0.4587781833687401</v>
      </c>
    </row>
    <row r="14793" spans="25:26" x14ac:dyDescent="0.25">
      <c r="Y14793" s="63">
        <v>57326</v>
      </c>
      <c r="Z14793" s="61">
        <f>_xll.qlYieldTSDiscount($U$35,Y14793,,Trigger)</f>
        <v>0.45874941753169129</v>
      </c>
    </row>
    <row r="14794" spans="25:26" x14ac:dyDescent="0.25">
      <c r="Y14794" s="63">
        <v>57327</v>
      </c>
      <c r="Z14794" s="61">
        <f>_xll.qlYieldTSDiscount($U$35,Y14794,,Trigger)</f>
        <v>0.45872065431248416</v>
      </c>
    </row>
    <row r="14795" spans="25:26" x14ac:dyDescent="0.25">
      <c r="Y14795" s="63">
        <v>57328</v>
      </c>
      <c r="Z14795" s="61">
        <f>_xll.qlYieldTSDiscount($U$35,Y14795,,Trigger)</f>
        <v>0.45869189371075259</v>
      </c>
    </row>
    <row r="14796" spans="25:26" x14ac:dyDescent="0.25">
      <c r="Y14796" s="63">
        <v>57329</v>
      </c>
      <c r="Z14796" s="61">
        <f>_xll.qlYieldTSDiscount($U$35,Y14796,,Trigger)</f>
        <v>0.4586631357261306</v>
      </c>
    </row>
    <row r="14797" spans="25:26" x14ac:dyDescent="0.25">
      <c r="Y14797" s="63">
        <v>57330</v>
      </c>
      <c r="Z14797" s="61">
        <f>_xll.qlYieldTSDiscount($U$35,Y14797,,Trigger)</f>
        <v>0.45863438035825238</v>
      </c>
    </row>
    <row r="14798" spans="25:26" x14ac:dyDescent="0.25">
      <c r="Y14798" s="63">
        <v>57331</v>
      </c>
      <c r="Z14798" s="61">
        <f>_xll.qlYieldTSDiscount($U$35,Y14798,,Trigger)</f>
        <v>0.45860562760675189</v>
      </c>
    </row>
    <row r="14799" spans="25:26" x14ac:dyDescent="0.25">
      <c r="Y14799" s="63">
        <v>57332</v>
      </c>
      <c r="Z14799" s="61">
        <f>_xll.qlYieldTSDiscount($U$35,Y14799,,Trigger)</f>
        <v>0.45857687747126302</v>
      </c>
    </row>
    <row r="14800" spans="25:26" x14ac:dyDescent="0.25">
      <c r="Y14800" s="63">
        <v>57333</v>
      </c>
      <c r="Z14800" s="61">
        <f>_xll.qlYieldTSDiscount($U$35,Y14800,,Trigger)</f>
        <v>0.45854812995141991</v>
      </c>
    </row>
    <row r="14801" spans="25:26" x14ac:dyDescent="0.25">
      <c r="Y14801" s="63">
        <v>57334</v>
      </c>
      <c r="Z14801" s="61">
        <f>_xll.qlYieldTSDiscount($U$35,Y14801,,Trigger)</f>
        <v>0.45851938504685663</v>
      </c>
    </row>
    <row r="14802" spans="25:26" x14ac:dyDescent="0.25">
      <c r="Y14802" s="63">
        <v>57335</v>
      </c>
      <c r="Z14802" s="61">
        <f>_xll.qlYieldTSDiscount($U$35,Y14802,,Trigger)</f>
        <v>0.45849064275720702</v>
      </c>
    </row>
    <row r="14803" spans="25:26" x14ac:dyDescent="0.25">
      <c r="Y14803" s="63">
        <v>57336</v>
      </c>
      <c r="Z14803" s="61">
        <f>_xll.qlYieldTSDiscount($U$35,Y14803,,Trigger)</f>
        <v>0.45846190308210522</v>
      </c>
    </row>
    <row r="14804" spans="25:26" x14ac:dyDescent="0.25">
      <c r="Y14804" s="63">
        <v>57337</v>
      </c>
      <c r="Z14804" s="61">
        <f>_xll.qlYieldTSDiscount($U$35,Y14804,,Trigger)</f>
        <v>0.45843316602118533</v>
      </c>
    </row>
    <row r="14805" spans="25:26" x14ac:dyDescent="0.25">
      <c r="Y14805" s="63">
        <v>57338</v>
      </c>
      <c r="Z14805" s="61">
        <f>_xll.qlYieldTSDiscount($U$35,Y14805,,Trigger)</f>
        <v>0.45840443157408117</v>
      </c>
    </row>
    <row r="14806" spans="25:26" x14ac:dyDescent="0.25">
      <c r="Y14806" s="63">
        <v>57339</v>
      </c>
      <c r="Z14806" s="61">
        <f>_xll.qlYieldTSDiscount($U$35,Y14806,,Trigger)</f>
        <v>0.45837569974042691</v>
      </c>
    </row>
    <row r="14807" spans="25:26" x14ac:dyDescent="0.25">
      <c r="Y14807" s="63">
        <v>57340</v>
      </c>
      <c r="Z14807" s="61">
        <f>_xll.qlYieldTSDiscount($U$35,Y14807,,Trigger)</f>
        <v>0.45834697051985662</v>
      </c>
    </row>
    <row r="14808" spans="25:26" x14ac:dyDescent="0.25">
      <c r="Y14808" s="63">
        <v>57341</v>
      </c>
      <c r="Z14808" s="61">
        <f>_xll.qlYieldTSDiscount($U$35,Y14808,,Trigger)</f>
        <v>0.45831824391200415</v>
      </c>
    </row>
    <row r="14809" spans="25:26" x14ac:dyDescent="0.25">
      <c r="Y14809" s="63">
        <v>57342</v>
      </c>
      <c r="Z14809" s="61">
        <f>_xll.qlYieldTSDiscount($U$35,Y14809,,Trigger)</f>
        <v>0.45828951991650363</v>
      </c>
    </row>
    <row r="14810" spans="25:26" x14ac:dyDescent="0.25">
      <c r="Y14810" s="63">
        <v>57343</v>
      </c>
      <c r="Z14810" s="61">
        <f>_xll.qlYieldTSDiscount($U$35,Y14810,,Trigger)</f>
        <v>0.45826079853298918</v>
      </c>
    </row>
    <row r="14811" spans="25:26" x14ac:dyDescent="0.25">
      <c r="Y14811" s="63">
        <v>57344</v>
      </c>
      <c r="Z14811" s="61">
        <f>_xll.qlYieldTSDiscount($U$35,Y14811,,Trigger)</f>
        <v>0.45823207976109454</v>
      </c>
    </row>
    <row r="14812" spans="25:26" x14ac:dyDescent="0.25">
      <c r="Y14812" s="63">
        <v>57345</v>
      </c>
      <c r="Z14812" s="61">
        <f>_xll.qlYieldTSDiscount($U$35,Y14812,,Trigger)</f>
        <v>0.45820336360045388</v>
      </c>
    </row>
    <row r="14813" spans="25:26" x14ac:dyDescent="0.25">
      <c r="Y14813" s="63">
        <v>57346</v>
      </c>
      <c r="Z14813" s="61">
        <f>_xll.qlYieldTSDiscount($U$35,Y14813,,Trigger)</f>
        <v>0.45817465005070135</v>
      </c>
    </row>
    <row r="14814" spans="25:26" x14ac:dyDescent="0.25">
      <c r="Y14814" s="63">
        <v>57347</v>
      </c>
      <c r="Z14814" s="61">
        <f>_xll.qlYieldTSDiscount($U$35,Y14814,,Trigger)</f>
        <v>0.45814593911147083</v>
      </c>
    </row>
    <row r="14815" spans="25:26" x14ac:dyDescent="0.25">
      <c r="Y14815" s="63">
        <v>57348</v>
      </c>
      <c r="Z14815" s="61">
        <f>_xll.qlYieldTSDiscount($U$35,Y14815,,Trigger)</f>
        <v>0.45811723078239636</v>
      </c>
    </row>
    <row r="14816" spans="25:26" x14ac:dyDescent="0.25">
      <c r="Y14816" s="63">
        <v>57349</v>
      </c>
      <c r="Z14816" s="61">
        <f>_xll.qlYieldTSDiscount($U$35,Y14816,,Trigger)</f>
        <v>0.45808852506311193</v>
      </c>
    </row>
    <row r="14817" spans="25:26" x14ac:dyDescent="0.25">
      <c r="Y14817" s="63">
        <v>57350</v>
      </c>
      <c r="Z14817" s="61">
        <f>_xll.qlYieldTSDiscount($U$35,Y14817,,Trigger)</f>
        <v>0.45805982195325173</v>
      </c>
    </row>
    <row r="14818" spans="25:26" x14ac:dyDescent="0.25">
      <c r="Y14818" s="63">
        <v>57351</v>
      </c>
      <c r="Z14818" s="61">
        <f>_xll.qlYieldTSDiscount($U$35,Y14818,,Trigger)</f>
        <v>0.45803112145244956</v>
      </c>
    </row>
    <row r="14819" spans="25:26" x14ac:dyDescent="0.25">
      <c r="Y14819" s="63">
        <v>57352</v>
      </c>
      <c r="Z14819" s="61">
        <f>_xll.qlYieldTSDiscount($U$35,Y14819,,Trigger)</f>
        <v>0.45800242356033954</v>
      </c>
    </row>
    <row r="14820" spans="25:26" x14ac:dyDescent="0.25">
      <c r="Y14820" s="63">
        <v>57353</v>
      </c>
      <c r="Z14820" s="61">
        <f>_xll.qlYieldTSDiscount($U$35,Y14820,,Trigger)</f>
        <v>0.45797372827655575</v>
      </c>
    </row>
    <row r="14821" spans="25:26" x14ac:dyDescent="0.25">
      <c r="Y14821" s="63">
        <v>57354</v>
      </c>
      <c r="Z14821" s="61">
        <f>_xll.qlYieldTSDiscount($U$35,Y14821,,Trigger)</f>
        <v>0.45794503560073208</v>
      </c>
    </row>
    <row r="14822" spans="25:26" x14ac:dyDescent="0.25">
      <c r="Y14822" s="63">
        <v>57355</v>
      </c>
      <c r="Z14822" s="61">
        <f>_xll.qlYieldTSDiscount($U$35,Y14822,,Trigger)</f>
        <v>0.4579163455325026</v>
      </c>
    </row>
    <row r="14823" spans="25:26" x14ac:dyDescent="0.25">
      <c r="Y14823" s="63">
        <v>57356</v>
      </c>
      <c r="Z14823" s="61">
        <f>_xll.qlYieldTSDiscount($U$35,Y14823,,Trigger)</f>
        <v>0.4578876580715015</v>
      </c>
    </row>
    <row r="14824" spans="25:26" x14ac:dyDescent="0.25">
      <c r="Y14824" s="63">
        <v>57357</v>
      </c>
      <c r="Z14824" s="61">
        <f>_xll.qlYieldTSDiscount($U$35,Y14824,,Trigger)</f>
        <v>0.45785897321736257</v>
      </c>
    </row>
    <row r="14825" spans="25:26" x14ac:dyDescent="0.25">
      <c r="Y14825" s="63">
        <v>57358</v>
      </c>
      <c r="Z14825" s="61">
        <f>_xll.qlYieldTSDiscount($U$35,Y14825,,Trigger)</f>
        <v>0.45783029096971989</v>
      </c>
    </row>
    <row r="14826" spans="25:26" x14ac:dyDescent="0.25">
      <c r="Y14826" s="63">
        <v>57359</v>
      </c>
      <c r="Z14826" s="61">
        <f>_xll.qlYieldTSDiscount($U$35,Y14826,,Trigger)</f>
        <v>0.45780161132820762</v>
      </c>
    </row>
    <row r="14827" spans="25:26" x14ac:dyDescent="0.25">
      <c r="Y14827" s="63">
        <v>57360</v>
      </c>
      <c r="Z14827" s="61">
        <f>_xll.qlYieldTSDiscount($U$35,Y14827,,Trigger)</f>
        <v>0.45777293429245958</v>
      </c>
    </row>
    <row r="14828" spans="25:26" x14ac:dyDescent="0.25">
      <c r="Y14828" s="63">
        <v>57361</v>
      </c>
      <c r="Z14828" s="61">
        <f>_xll.qlYieldTSDiscount($U$35,Y14828,,Trigger)</f>
        <v>0.45774425986210987</v>
      </c>
    </row>
    <row r="14829" spans="25:26" x14ac:dyDescent="0.25">
      <c r="Y14829" s="63">
        <v>57362</v>
      </c>
      <c r="Z14829" s="61">
        <f>_xll.qlYieldTSDiscount($U$35,Y14829,,Trigger)</f>
        <v>0.45771558803679258</v>
      </c>
    </row>
    <row r="14830" spans="25:26" x14ac:dyDescent="0.25">
      <c r="Y14830" s="63">
        <v>57363</v>
      </c>
      <c r="Z14830" s="61">
        <f>_xll.qlYieldTSDiscount($U$35,Y14830,,Trigger)</f>
        <v>0.45768691881614165</v>
      </c>
    </row>
    <row r="14831" spans="25:26" x14ac:dyDescent="0.25">
      <c r="Y14831" s="63">
        <v>57364</v>
      </c>
      <c r="Z14831" s="61">
        <f>_xll.qlYieldTSDiscount($U$35,Y14831,,Trigger)</f>
        <v>0.45765825219979117</v>
      </c>
    </row>
    <row r="14832" spans="25:26" x14ac:dyDescent="0.25">
      <c r="Y14832" s="63">
        <v>57365</v>
      </c>
      <c r="Z14832" s="61">
        <f>_xll.qlYieldTSDiscount($U$35,Y14832,,Trigger)</f>
        <v>0.45762958818737509</v>
      </c>
    </row>
    <row r="14833" spans="25:26" x14ac:dyDescent="0.25">
      <c r="Y14833" s="63">
        <v>57366</v>
      </c>
      <c r="Z14833" s="61">
        <f>_xll.qlYieldTSDiscount($U$35,Y14833,,Trigger)</f>
        <v>0.45760092677852748</v>
      </c>
    </row>
    <row r="14834" spans="25:26" x14ac:dyDescent="0.25">
      <c r="Y14834" s="63">
        <v>57367</v>
      </c>
      <c r="Z14834" s="61">
        <f>_xll.qlYieldTSDiscount($U$35,Y14834,,Trigger)</f>
        <v>0.45757226797288231</v>
      </c>
    </row>
    <row r="14835" spans="25:26" x14ac:dyDescent="0.25">
      <c r="Y14835" s="63">
        <v>57368</v>
      </c>
      <c r="Z14835" s="61">
        <f>_xll.qlYieldTSDiscount($U$35,Y14835,,Trigger)</f>
        <v>0.45754361177007369</v>
      </c>
    </row>
    <row r="14836" spans="25:26" x14ac:dyDescent="0.25">
      <c r="Y14836" s="63">
        <v>57369</v>
      </c>
      <c r="Z14836" s="61">
        <f>_xll.qlYieldTSDiscount($U$35,Y14836,,Trigger)</f>
        <v>0.45751495816973564</v>
      </c>
    </row>
    <row r="14837" spans="25:26" x14ac:dyDescent="0.25">
      <c r="Y14837" s="63">
        <v>57370</v>
      </c>
      <c r="Z14837" s="61">
        <f>_xll.qlYieldTSDiscount($U$35,Y14837,,Trigger)</f>
        <v>0.45748630717150202</v>
      </c>
    </row>
    <row r="14838" spans="25:26" x14ac:dyDescent="0.25">
      <c r="Y14838" s="63">
        <v>57371</v>
      </c>
      <c r="Z14838" s="61">
        <f>_xll.qlYieldTSDiscount($U$35,Y14838,,Trigger)</f>
        <v>0.45745765877500699</v>
      </c>
    </row>
    <row r="14839" spans="25:26" x14ac:dyDescent="0.25">
      <c r="Y14839" s="63">
        <v>57372</v>
      </c>
      <c r="Z14839" s="61">
        <f>_xll.qlYieldTSDiscount($U$35,Y14839,,Trigger)</f>
        <v>0.45742901297988459</v>
      </c>
    </row>
    <row r="14840" spans="25:26" x14ac:dyDescent="0.25">
      <c r="Y14840" s="63">
        <v>57373</v>
      </c>
      <c r="Z14840" s="61">
        <f>_xll.qlYieldTSDiscount($U$35,Y14840,,Trigger)</f>
        <v>0.45740036978576881</v>
      </c>
    </row>
    <row r="14841" spans="25:26" x14ac:dyDescent="0.25">
      <c r="Y14841" s="63">
        <v>57374</v>
      </c>
      <c r="Z14841" s="61">
        <f>_xll.qlYieldTSDiscount($U$35,Y14841,,Trigger)</f>
        <v>0.45737172919229357</v>
      </c>
    </row>
    <row r="14842" spans="25:26" x14ac:dyDescent="0.25">
      <c r="Y14842" s="63">
        <v>57375</v>
      </c>
      <c r="Z14842" s="61">
        <f>_xll.qlYieldTSDiscount($U$35,Y14842,,Trigger)</f>
        <v>0.457343091199093</v>
      </c>
    </row>
    <row r="14843" spans="25:26" x14ac:dyDescent="0.25">
      <c r="Y14843" s="63">
        <v>57376</v>
      </c>
      <c r="Z14843" s="61">
        <f>_xll.qlYieldTSDiscount($U$35,Y14843,,Trigger)</f>
        <v>0.45731445580580121</v>
      </c>
    </row>
    <row r="14844" spans="25:26" x14ac:dyDescent="0.25">
      <c r="Y14844" s="63">
        <v>57377</v>
      </c>
      <c r="Z14844" s="61">
        <f>_xll.qlYieldTSDiscount($U$35,Y14844,,Trigger)</f>
        <v>0.45728582301205201</v>
      </c>
    </row>
    <row r="14845" spans="25:26" x14ac:dyDescent="0.25">
      <c r="Y14845" s="63">
        <v>57378</v>
      </c>
      <c r="Z14845" s="61">
        <f>_xll.qlYieldTSDiscount($U$35,Y14845,,Trigger)</f>
        <v>0.45725719281747956</v>
      </c>
    </row>
    <row r="14846" spans="25:26" x14ac:dyDescent="0.25">
      <c r="Y14846" s="63">
        <v>57379</v>
      </c>
      <c r="Z14846" s="61">
        <f>_xll.qlYieldTSDiscount($U$35,Y14846,,Trigger)</f>
        <v>0.4572285652217179</v>
      </c>
    </row>
    <row r="14847" spans="25:26" x14ac:dyDescent="0.25">
      <c r="Y14847" s="63">
        <v>57380</v>
      </c>
      <c r="Z14847" s="61">
        <f>_xll.qlYieldTSDiscount($U$35,Y14847,,Trigger)</f>
        <v>0.45719994022440097</v>
      </c>
    </row>
    <row r="14848" spans="25:26" x14ac:dyDescent="0.25">
      <c r="Y14848" s="63">
        <v>57381</v>
      </c>
      <c r="Z14848" s="61">
        <f>_xll.qlYieldTSDiscount($U$35,Y14848,,Trigger)</f>
        <v>0.45717131782516279</v>
      </c>
    </row>
    <row r="14849" spans="25:26" x14ac:dyDescent="0.25">
      <c r="Y14849" s="63">
        <v>57382</v>
      </c>
      <c r="Z14849" s="61">
        <f>_xll.qlYieldTSDiscount($U$35,Y14849,,Trigger)</f>
        <v>0.45714269802363749</v>
      </c>
    </row>
    <row r="14850" spans="25:26" x14ac:dyDescent="0.25">
      <c r="Y14850" s="63">
        <v>57383</v>
      </c>
      <c r="Z14850" s="61">
        <f>_xll.qlYieldTSDiscount($U$35,Y14850,,Trigger)</f>
        <v>0.45711408081945892</v>
      </c>
    </row>
    <row r="14851" spans="25:26" x14ac:dyDescent="0.25">
      <c r="Y14851" s="63">
        <v>57384</v>
      </c>
      <c r="Z14851" s="61">
        <f>_xll.qlYieldTSDiscount($U$35,Y14851,,Trigger)</f>
        <v>0.4570854662122612</v>
      </c>
    </row>
    <row r="14852" spans="25:26" x14ac:dyDescent="0.25">
      <c r="Y14852" s="63">
        <v>57385</v>
      </c>
      <c r="Z14852" s="61">
        <f>_xll.qlYieldTSDiscount($U$35,Y14852,,Trigger)</f>
        <v>0.45705685420167846</v>
      </c>
    </row>
    <row r="14853" spans="25:26" x14ac:dyDescent="0.25">
      <c r="Y14853" s="63">
        <v>57386</v>
      </c>
      <c r="Z14853" s="61">
        <f>_xll.qlYieldTSDiscount($U$35,Y14853,,Trigger)</f>
        <v>0.45702824478734455</v>
      </c>
    </row>
    <row r="14854" spans="25:26" x14ac:dyDescent="0.25">
      <c r="Y14854" s="63">
        <v>57387</v>
      </c>
      <c r="Z14854" s="61">
        <f>_xll.qlYieldTSDiscount($U$35,Y14854,,Trigger)</f>
        <v>0.45699963796889354</v>
      </c>
    </row>
    <row r="14855" spans="25:26" x14ac:dyDescent="0.25">
      <c r="Y14855" s="63">
        <v>57388</v>
      </c>
      <c r="Z14855" s="61">
        <f>_xll.qlYieldTSDiscount($U$35,Y14855,,Trigger)</f>
        <v>0.45697103374595949</v>
      </c>
    </row>
    <row r="14856" spans="25:26" x14ac:dyDescent="0.25">
      <c r="Y14856" s="63">
        <v>57389</v>
      </c>
      <c r="Z14856" s="61">
        <f>_xll.qlYieldTSDiscount($U$35,Y14856,,Trigger)</f>
        <v>0.45694243211817642</v>
      </c>
    </row>
    <row r="14857" spans="25:26" x14ac:dyDescent="0.25">
      <c r="Y14857" s="63">
        <v>57390</v>
      </c>
      <c r="Z14857" s="61">
        <f>_xll.qlYieldTSDiscount($U$35,Y14857,,Trigger)</f>
        <v>0.45691383308517824</v>
      </c>
    </row>
    <row r="14858" spans="25:26" x14ac:dyDescent="0.25">
      <c r="Y14858" s="63">
        <v>57391</v>
      </c>
      <c r="Z14858" s="61">
        <f>_xll.qlYieldTSDiscount($U$35,Y14858,,Trigger)</f>
        <v>0.45688523664659908</v>
      </c>
    </row>
    <row r="14859" spans="25:26" x14ac:dyDescent="0.25">
      <c r="Y14859" s="63">
        <v>57392</v>
      </c>
      <c r="Z14859" s="61">
        <f>_xll.qlYieldTSDiscount($U$35,Y14859,,Trigger)</f>
        <v>0.45685664280207305</v>
      </c>
    </row>
    <row r="14860" spans="25:26" x14ac:dyDescent="0.25">
      <c r="Y14860" s="63">
        <v>57393</v>
      </c>
      <c r="Z14860" s="61">
        <f>_xll.qlYieldTSDiscount($U$35,Y14860,,Trigger)</f>
        <v>0.45682805155123396</v>
      </c>
    </row>
    <row r="14861" spans="25:26" x14ac:dyDescent="0.25">
      <c r="Y14861" s="63">
        <v>57394</v>
      </c>
      <c r="Z14861" s="61">
        <f>_xll.qlYieldTSDiscount($U$35,Y14861,,Trigger)</f>
        <v>0.45679946289371598</v>
      </c>
    </row>
    <row r="14862" spans="25:26" x14ac:dyDescent="0.25">
      <c r="Y14862" s="63">
        <v>57395</v>
      </c>
      <c r="Z14862" s="61">
        <f>_xll.qlYieldTSDiscount($U$35,Y14862,,Trigger)</f>
        <v>0.45677087682915313</v>
      </c>
    </row>
    <row r="14863" spans="25:26" x14ac:dyDescent="0.25">
      <c r="Y14863" s="63">
        <v>57396</v>
      </c>
      <c r="Z14863" s="61">
        <f>_xll.qlYieldTSDiscount($U$35,Y14863,,Trigger)</f>
        <v>0.45674229335717931</v>
      </c>
    </row>
    <row r="14864" spans="25:26" x14ac:dyDescent="0.25">
      <c r="Y14864" s="63">
        <v>57397</v>
      </c>
      <c r="Z14864" s="61">
        <f>_xll.qlYieldTSDiscount($U$35,Y14864,,Trigger)</f>
        <v>0.45671371247742865</v>
      </c>
    </row>
    <row r="14865" spans="25:26" x14ac:dyDescent="0.25">
      <c r="Y14865" s="63">
        <v>57398</v>
      </c>
      <c r="Z14865" s="61">
        <f>_xll.qlYieldTSDiscount($U$35,Y14865,,Trigger)</f>
        <v>0.45668513418953527</v>
      </c>
    </row>
    <row r="14866" spans="25:26" x14ac:dyDescent="0.25">
      <c r="Y14866" s="63">
        <v>57399</v>
      </c>
      <c r="Z14866" s="61">
        <f>_xll.qlYieldTSDiscount($U$35,Y14866,,Trigger)</f>
        <v>0.45665655849313291</v>
      </c>
    </row>
    <row r="14867" spans="25:26" x14ac:dyDescent="0.25">
      <c r="Y14867" s="63">
        <v>57400</v>
      </c>
      <c r="Z14867" s="61">
        <f>_xll.qlYieldTSDiscount($U$35,Y14867,,Trigger)</f>
        <v>0.45662798538785576</v>
      </c>
    </row>
    <row r="14868" spans="25:26" x14ac:dyDescent="0.25">
      <c r="Y14868" s="63">
        <v>57401</v>
      </c>
      <c r="Z14868" s="61">
        <f>_xll.qlYieldTSDiscount($U$35,Y14868,,Trigger)</f>
        <v>0.45659941487333788</v>
      </c>
    </row>
    <row r="14869" spans="25:26" x14ac:dyDescent="0.25">
      <c r="Y14869" s="63">
        <v>57402</v>
      </c>
      <c r="Z14869" s="61">
        <f>_xll.qlYieldTSDiscount($U$35,Y14869,,Trigger)</f>
        <v>0.45657084694921324</v>
      </c>
    </row>
    <row r="14870" spans="25:26" x14ac:dyDescent="0.25">
      <c r="Y14870" s="63">
        <v>57403</v>
      </c>
      <c r="Z14870" s="61">
        <f>_xll.qlYieldTSDiscount($U$35,Y14870,,Trigger)</f>
        <v>0.45654228161511584</v>
      </c>
    </row>
    <row r="14871" spans="25:26" x14ac:dyDescent="0.25">
      <c r="Y14871" s="63">
        <v>57404</v>
      </c>
      <c r="Z14871" s="61">
        <f>_xll.qlYieldTSDiscount($U$35,Y14871,,Trigger)</f>
        <v>0.45651371887067982</v>
      </c>
    </row>
    <row r="14872" spans="25:26" x14ac:dyDescent="0.25">
      <c r="Y14872" s="63">
        <v>57405</v>
      </c>
      <c r="Z14872" s="61">
        <f>_xll.qlYieldTSDiscount($U$35,Y14872,,Trigger)</f>
        <v>0.45648515871553896</v>
      </c>
    </row>
    <row r="14873" spans="25:26" x14ac:dyDescent="0.25">
      <c r="Y14873" s="63">
        <v>57406</v>
      </c>
      <c r="Z14873" s="61">
        <f>_xll.qlYieldTSDiscount($U$35,Y14873,,Trigger)</f>
        <v>0.45645660114932746</v>
      </c>
    </row>
    <row r="14874" spans="25:26" x14ac:dyDescent="0.25">
      <c r="Y14874" s="63">
        <v>57407</v>
      </c>
      <c r="Z14874" s="61">
        <f>_xll.qlYieldTSDiscount($U$35,Y14874,,Trigger)</f>
        <v>0.45642804617167931</v>
      </c>
    </row>
    <row r="14875" spans="25:26" x14ac:dyDescent="0.25">
      <c r="Y14875" s="63">
        <v>57408</v>
      </c>
      <c r="Z14875" s="61">
        <f>_xll.qlYieldTSDiscount($U$35,Y14875,,Trigger)</f>
        <v>0.45639949378222866</v>
      </c>
    </row>
    <row r="14876" spans="25:26" x14ac:dyDescent="0.25">
      <c r="Y14876" s="63">
        <v>57409</v>
      </c>
      <c r="Z14876" s="61">
        <f>_xll.qlYieldTSDiscount($U$35,Y14876,,Trigger)</f>
        <v>0.45637094398060929</v>
      </c>
    </row>
    <row r="14877" spans="25:26" x14ac:dyDescent="0.25">
      <c r="Y14877" s="63">
        <v>57410</v>
      </c>
      <c r="Z14877" s="61">
        <f>_xll.qlYieldTSDiscount($U$35,Y14877,,Trigger)</f>
        <v>0.45634239676645533</v>
      </c>
    </row>
    <row r="14878" spans="25:26" x14ac:dyDescent="0.25">
      <c r="Y14878" s="63">
        <v>57411</v>
      </c>
      <c r="Z14878" s="61">
        <f>_xll.qlYieldTSDiscount($U$35,Y14878,,Trigger)</f>
        <v>0.4563138521394009</v>
      </c>
    </row>
    <row r="14879" spans="25:26" x14ac:dyDescent="0.25">
      <c r="Y14879" s="63">
        <v>57412</v>
      </c>
      <c r="Z14879" s="61">
        <f>_xll.qlYieldTSDiscount($U$35,Y14879,,Trigger)</f>
        <v>0.45628531009907985</v>
      </c>
    </row>
    <row r="14880" spans="25:26" x14ac:dyDescent="0.25">
      <c r="Y14880" s="63">
        <v>57413</v>
      </c>
      <c r="Z14880" s="61">
        <f>_xll.qlYieldTSDiscount($U$35,Y14880,,Trigger)</f>
        <v>0.45625677064512626</v>
      </c>
    </row>
    <row r="14881" spans="25:26" x14ac:dyDescent="0.25">
      <c r="Y14881" s="63">
        <v>57414</v>
      </c>
      <c r="Z14881" s="61">
        <f>_xll.qlYieldTSDiscount($U$35,Y14881,,Trigger)</f>
        <v>0.45622823377717431</v>
      </c>
    </row>
    <row r="14882" spans="25:26" x14ac:dyDescent="0.25">
      <c r="Y14882" s="63">
        <v>57415</v>
      </c>
      <c r="Z14882" s="61">
        <f>_xll.qlYieldTSDiscount($U$35,Y14882,,Trigger)</f>
        <v>0.45619969949485778</v>
      </c>
    </row>
    <row r="14883" spans="25:26" x14ac:dyDescent="0.25">
      <c r="Y14883" s="63">
        <v>57416</v>
      </c>
      <c r="Z14883" s="61">
        <f>_xll.qlYieldTSDiscount($U$35,Y14883,,Trigger)</f>
        <v>0.45617116779781075</v>
      </c>
    </row>
    <row r="14884" spans="25:26" x14ac:dyDescent="0.25">
      <c r="Y14884" s="63">
        <v>57417</v>
      </c>
      <c r="Z14884" s="61">
        <f>_xll.qlYieldTSDiscount($U$35,Y14884,,Trigger)</f>
        <v>0.45614263868566746</v>
      </c>
    </row>
    <row r="14885" spans="25:26" x14ac:dyDescent="0.25">
      <c r="Y14885" s="63">
        <v>57418</v>
      </c>
      <c r="Z14885" s="61">
        <f>_xll.qlYieldTSDiscount($U$35,Y14885,,Trigger)</f>
        <v>0.45611411215806164</v>
      </c>
    </row>
    <row r="14886" spans="25:26" x14ac:dyDescent="0.25">
      <c r="Y14886" s="63">
        <v>57419</v>
      </c>
      <c r="Z14886" s="61">
        <f>_xll.qlYieldTSDiscount($U$35,Y14886,,Trigger)</f>
        <v>0.45608558821462741</v>
      </c>
    </row>
    <row r="14887" spans="25:26" x14ac:dyDescent="0.25">
      <c r="Y14887" s="63">
        <v>57420</v>
      </c>
      <c r="Z14887" s="61">
        <f>_xll.qlYieldTSDiscount($U$35,Y14887,,Trigger)</f>
        <v>0.45605706685499886</v>
      </c>
    </row>
    <row r="14888" spans="25:26" x14ac:dyDescent="0.25">
      <c r="Y14888" s="63">
        <v>57421</v>
      </c>
      <c r="Z14888" s="61">
        <f>_xll.qlYieldTSDiscount($U$35,Y14888,,Trigger)</f>
        <v>0.45602854807880999</v>
      </c>
    </row>
    <row r="14889" spans="25:26" x14ac:dyDescent="0.25">
      <c r="Y14889" s="63">
        <v>57422</v>
      </c>
      <c r="Z14889" s="61">
        <f>_xll.qlYieldTSDiscount($U$35,Y14889,,Trigger)</f>
        <v>0.45600003188569482</v>
      </c>
    </row>
    <row r="14890" spans="25:26" x14ac:dyDescent="0.25">
      <c r="Y14890" s="63">
        <v>57423</v>
      </c>
      <c r="Z14890" s="61">
        <f>_xll.qlYieldTSDiscount($U$35,Y14890,,Trigger)</f>
        <v>0.45597151827528726</v>
      </c>
    </row>
    <row r="14891" spans="25:26" x14ac:dyDescent="0.25">
      <c r="Y14891" s="63">
        <v>57424</v>
      </c>
      <c r="Z14891" s="61">
        <f>_xll.qlYieldTSDiscount($U$35,Y14891,,Trigger)</f>
        <v>0.45594300724722153</v>
      </c>
    </row>
    <row r="14892" spans="25:26" x14ac:dyDescent="0.25">
      <c r="Y14892" s="63">
        <v>57425</v>
      </c>
      <c r="Z14892" s="61">
        <f>_xll.qlYieldTSDiscount($U$35,Y14892,,Trigger)</f>
        <v>0.45591449880113144</v>
      </c>
    </row>
    <row r="14893" spans="25:26" x14ac:dyDescent="0.25">
      <c r="Y14893" s="63">
        <v>57426</v>
      </c>
      <c r="Z14893" s="61">
        <f>_xll.qlYieldTSDiscount($U$35,Y14893,,Trigger)</f>
        <v>0.45588599293665122</v>
      </c>
    </row>
    <row r="14894" spans="25:26" x14ac:dyDescent="0.25">
      <c r="Y14894" s="63">
        <v>57427</v>
      </c>
      <c r="Z14894" s="61">
        <f>_xll.qlYieldTSDiscount($U$35,Y14894,,Trigger)</f>
        <v>0.45585748965341477</v>
      </c>
    </row>
    <row r="14895" spans="25:26" x14ac:dyDescent="0.25">
      <c r="Y14895" s="63">
        <v>57428</v>
      </c>
      <c r="Z14895" s="61">
        <f>_xll.qlYieldTSDiscount($U$35,Y14895,,Trigger)</f>
        <v>0.45582898895105606</v>
      </c>
    </row>
    <row r="14896" spans="25:26" x14ac:dyDescent="0.25">
      <c r="Y14896" s="63">
        <v>57429</v>
      </c>
      <c r="Z14896" s="61">
        <f>_xll.qlYieldTSDiscount($U$35,Y14896,,Trigger)</f>
        <v>0.4558004908292092</v>
      </c>
    </row>
    <row r="14897" spans="25:26" x14ac:dyDescent="0.25">
      <c r="Y14897" s="63">
        <v>57430</v>
      </c>
      <c r="Z14897" s="61">
        <f>_xll.qlYieldTSDiscount($U$35,Y14897,,Trigger)</f>
        <v>0.45577199528750822</v>
      </c>
    </row>
    <row r="14898" spans="25:26" x14ac:dyDescent="0.25">
      <c r="Y14898" s="63">
        <v>57431</v>
      </c>
      <c r="Z14898" s="61">
        <f>_xll.qlYieldTSDiscount($U$35,Y14898,,Trigger)</f>
        <v>0.45574350232558714</v>
      </c>
    </row>
    <row r="14899" spans="25:26" x14ac:dyDescent="0.25">
      <c r="Y14899" s="63">
        <v>57432</v>
      </c>
      <c r="Z14899" s="61">
        <f>_xll.qlYieldTSDiscount($U$35,Y14899,,Trigger)</f>
        <v>0.45571501194307995</v>
      </c>
    </row>
    <row r="14900" spans="25:26" x14ac:dyDescent="0.25">
      <c r="Y14900" s="63">
        <v>57433</v>
      </c>
      <c r="Z14900" s="61">
        <f>_xll.qlYieldTSDiscount($U$35,Y14900,,Trigger)</f>
        <v>0.45568652413962069</v>
      </c>
    </row>
    <row r="14901" spans="25:26" x14ac:dyDescent="0.25">
      <c r="Y14901" s="63">
        <v>57434</v>
      </c>
      <c r="Z14901" s="61">
        <f>_xll.qlYieldTSDiscount($U$35,Y14901,,Trigger)</f>
        <v>0.4556580389148433</v>
      </c>
    </row>
    <row r="14902" spans="25:26" x14ac:dyDescent="0.25">
      <c r="Y14902" s="63">
        <v>57435</v>
      </c>
      <c r="Z14902" s="61">
        <f>_xll.qlYieldTSDiscount($U$35,Y14902,,Trigger)</f>
        <v>0.45562955626838186</v>
      </c>
    </row>
    <row r="14903" spans="25:26" x14ac:dyDescent="0.25">
      <c r="Y14903" s="63">
        <v>57436</v>
      </c>
      <c r="Z14903" s="61">
        <f>_xll.qlYieldTSDiscount($U$35,Y14903,,Trigger)</f>
        <v>0.45560107619987045</v>
      </c>
    </row>
    <row r="14904" spans="25:26" x14ac:dyDescent="0.25">
      <c r="Y14904" s="63">
        <v>57437</v>
      </c>
      <c r="Z14904" s="61">
        <f>_xll.qlYieldTSDiscount($U$35,Y14904,,Trigger)</f>
        <v>0.45557259870894318</v>
      </c>
    </row>
    <row r="14905" spans="25:26" x14ac:dyDescent="0.25">
      <c r="Y14905" s="63">
        <v>57438</v>
      </c>
      <c r="Z14905" s="61">
        <f>_xll.qlYieldTSDiscount($U$35,Y14905,,Trigger)</f>
        <v>0.45554412379523379</v>
      </c>
    </row>
    <row r="14906" spans="25:26" x14ac:dyDescent="0.25">
      <c r="Y14906" s="63">
        <v>57439</v>
      </c>
      <c r="Z14906" s="61">
        <f>_xll.qlYieldTSDiscount($U$35,Y14906,,Trigger)</f>
        <v>0.45551565145837647</v>
      </c>
    </row>
    <row r="14907" spans="25:26" x14ac:dyDescent="0.25">
      <c r="Y14907" s="63">
        <v>57440</v>
      </c>
      <c r="Z14907" s="61">
        <f>_xll.qlYieldTSDiscount($U$35,Y14907,,Trigger)</f>
        <v>0.45548718169800528</v>
      </c>
    </row>
    <row r="14908" spans="25:26" x14ac:dyDescent="0.25">
      <c r="Y14908" s="63">
        <v>57441</v>
      </c>
      <c r="Z14908" s="61">
        <f>_xll.qlYieldTSDiscount($U$35,Y14908,,Trigger)</f>
        <v>0.45545871451375408</v>
      </c>
    </row>
    <row r="14909" spans="25:26" x14ac:dyDescent="0.25">
      <c r="Y14909" s="63">
        <v>57442</v>
      </c>
      <c r="Z14909" s="61">
        <f>_xll.qlYieldTSDiscount($U$35,Y14909,,Trigger)</f>
        <v>0.45543024990525705</v>
      </c>
    </row>
    <row r="14910" spans="25:26" x14ac:dyDescent="0.25">
      <c r="Y14910" s="63">
        <v>57443</v>
      </c>
      <c r="Z14910" s="61">
        <f>_xll.qlYieldTSDiscount($U$35,Y14910,,Trigger)</f>
        <v>0.45540178787214824</v>
      </c>
    </row>
    <row r="14911" spans="25:26" x14ac:dyDescent="0.25">
      <c r="Y14911" s="63">
        <v>57444</v>
      </c>
      <c r="Z14911" s="61">
        <f>_xll.qlYieldTSDiscount($U$35,Y14911,,Trigger)</f>
        <v>0.45537332841406153</v>
      </c>
    </row>
    <row r="14912" spans="25:26" x14ac:dyDescent="0.25">
      <c r="Y14912" s="63">
        <v>57445</v>
      </c>
      <c r="Z14912" s="61">
        <f>_xll.qlYieldTSDiscount($U$35,Y14912,,Trigger)</f>
        <v>0.45534487153063097</v>
      </c>
    </row>
    <row r="14913" spans="25:26" x14ac:dyDescent="0.25">
      <c r="Y14913" s="63">
        <v>57446</v>
      </c>
      <c r="Z14913" s="61">
        <f>_xll.qlYieldTSDiscount($U$35,Y14913,,Trigger)</f>
        <v>0.45531641722149063</v>
      </c>
    </row>
    <row r="14914" spans="25:26" x14ac:dyDescent="0.25">
      <c r="Y14914" s="63">
        <v>57447</v>
      </c>
      <c r="Z14914" s="61">
        <f>_xll.qlYieldTSDiscount($U$35,Y14914,,Trigger)</f>
        <v>0.45528796548627454</v>
      </c>
    </row>
    <row r="14915" spans="25:26" x14ac:dyDescent="0.25">
      <c r="Y14915" s="63">
        <v>57448</v>
      </c>
      <c r="Z14915" s="61">
        <f>_xll.qlYieldTSDiscount($U$35,Y14915,,Trigger)</f>
        <v>0.4552595163246167</v>
      </c>
    </row>
    <row r="14916" spans="25:26" x14ac:dyDescent="0.25">
      <c r="Y14916" s="63">
        <v>57449</v>
      </c>
      <c r="Z14916" s="61">
        <f>_xll.qlYieldTSDiscount($U$35,Y14916,,Trigger)</f>
        <v>0.45523106973615113</v>
      </c>
    </row>
    <row r="14917" spans="25:26" x14ac:dyDescent="0.25">
      <c r="Y14917" s="63">
        <v>57450</v>
      </c>
      <c r="Z14917" s="61">
        <f>_xll.qlYieldTSDiscount($U$35,Y14917,,Trigger)</f>
        <v>0.45520262572051184</v>
      </c>
    </row>
    <row r="14918" spans="25:26" x14ac:dyDescent="0.25">
      <c r="Y14918" s="63">
        <v>57451</v>
      </c>
      <c r="Z14918" s="61">
        <f>_xll.qlYieldTSDiscount($U$35,Y14918,,Trigger)</f>
        <v>0.45517418427733281</v>
      </c>
    </row>
    <row r="14919" spans="25:26" x14ac:dyDescent="0.25">
      <c r="Y14919" s="63">
        <v>57452</v>
      </c>
      <c r="Z14919" s="61">
        <f>_xll.qlYieldTSDiscount($U$35,Y14919,,Trigger)</f>
        <v>0.45514574540624814</v>
      </c>
    </row>
    <row r="14920" spans="25:26" x14ac:dyDescent="0.25">
      <c r="Y14920" s="63">
        <v>57453</v>
      </c>
      <c r="Z14920" s="61">
        <f>_xll.qlYieldTSDiscount($U$35,Y14920,,Trigger)</f>
        <v>0.45511730910689191</v>
      </c>
    </row>
    <row r="14921" spans="25:26" x14ac:dyDescent="0.25">
      <c r="Y14921" s="63">
        <v>57454</v>
      </c>
      <c r="Z14921" s="61">
        <f>_xll.qlYieldTSDiscount($U$35,Y14921,,Trigger)</f>
        <v>0.45508887537889797</v>
      </c>
    </row>
    <row r="14922" spans="25:26" x14ac:dyDescent="0.25">
      <c r="Y14922" s="63">
        <v>57455</v>
      </c>
      <c r="Z14922" s="61">
        <f>_xll.qlYieldTSDiscount($U$35,Y14922,,Trigger)</f>
        <v>0.45506044422190045</v>
      </c>
    </row>
    <row r="14923" spans="25:26" x14ac:dyDescent="0.25">
      <c r="Y14923" s="63">
        <v>57456</v>
      </c>
      <c r="Z14923" s="61">
        <f>_xll.qlYieldTSDiscount($U$35,Y14923,,Trigger)</f>
        <v>0.45503201563553342</v>
      </c>
    </row>
    <row r="14924" spans="25:26" x14ac:dyDescent="0.25">
      <c r="Y14924" s="63">
        <v>57457</v>
      </c>
      <c r="Z14924" s="61">
        <f>_xll.qlYieldTSDiscount($U$35,Y14924,,Trigger)</f>
        <v>0.45500358961943077</v>
      </c>
    </row>
    <row r="14925" spans="25:26" x14ac:dyDescent="0.25">
      <c r="Y14925" s="63">
        <v>57458</v>
      </c>
      <c r="Z14925" s="61">
        <f>_xll.qlYieldTSDiscount($U$35,Y14925,,Trigger)</f>
        <v>0.45497516617322659</v>
      </c>
    </row>
    <row r="14926" spans="25:26" x14ac:dyDescent="0.25">
      <c r="Y14926" s="63">
        <v>57459</v>
      </c>
      <c r="Z14926" s="61">
        <f>_xll.qlYieldTSDiscount($U$35,Y14926,,Trigger)</f>
        <v>0.45494674529655493</v>
      </c>
    </row>
    <row r="14927" spans="25:26" x14ac:dyDescent="0.25">
      <c r="Y14927" s="63">
        <v>57460</v>
      </c>
      <c r="Z14927" s="61">
        <f>_xll.qlYieldTSDiscount($U$35,Y14927,,Trigger)</f>
        <v>0.45491832698904977</v>
      </c>
    </row>
    <row r="14928" spans="25:26" x14ac:dyDescent="0.25">
      <c r="Y14928" s="63">
        <v>57461</v>
      </c>
      <c r="Z14928" s="61">
        <f>_xll.qlYieldTSDiscount($U$35,Y14928,,Trigger)</f>
        <v>0.45488991125034506</v>
      </c>
    </row>
    <row r="14929" spans="25:26" x14ac:dyDescent="0.25">
      <c r="Y14929" s="63">
        <v>57462</v>
      </c>
      <c r="Z14929" s="61">
        <f>_xll.qlYieldTSDiscount($U$35,Y14929,,Trigger)</f>
        <v>0.45486149808007503</v>
      </c>
    </row>
    <row r="14930" spans="25:26" x14ac:dyDescent="0.25">
      <c r="Y14930" s="63">
        <v>57463</v>
      </c>
      <c r="Z14930" s="61">
        <f>_xll.qlYieldTSDiscount($U$35,Y14930,,Trigger)</f>
        <v>0.45483308747787354</v>
      </c>
    </row>
    <row r="14931" spans="25:26" x14ac:dyDescent="0.25">
      <c r="Y14931" s="63">
        <v>57464</v>
      </c>
      <c r="Z14931" s="61">
        <f>_xll.qlYieldTSDiscount($U$35,Y14931,,Trigger)</f>
        <v>0.4548046794433746</v>
      </c>
    </row>
    <row r="14932" spans="25:26" x14ac:dyDescent="0.25">
      <c r="Y14932" s="63">
        <v>57465</v>
      </c>
      <c r="Z14932" s="61">
        <f>_xll.qlYieldTSDiscount($U$35,Y14932,,Trigger)</f>
        <v>0.45477627397621229</v>
      </c>
    </row>
    <row r="14933" spans="25:26" x14ac:dyDescent="0.25">
      <c r="Y14933" s="63">
        <v>57466</v>
      </c>
      <c r="Z14933" s="61">
        <f>_xll.qlYieldTSDiscount($U$35,Y14933,,Trigger)</f>
        <v>0.45474787107602066</v>
      </c>
    </row>
    <row r="14934" spans="25:26" x14ac:dyDescent="0.25">
      <c r="Y14934" s="63">
        <v>57467</v>
      </c>
      <c r="Z14934" s="61">
        <f>_xll.qlYieldTSDiscount($U$35,Y14934,,Trigger)</f>
        <v>0.45471947074243368</v>
      </c>
    </row>
    <row r="14935" spans="25:26" x14ac:dyDescent="0.25">
      <c r="Y14935" s="63">
        <v>57468</v>
      </c>
      <c r="Z14935" s="61">
        <f>_xll.qlYieldTSDiscount($U$35,Y14935,,Trigger)</f>
        <v>0.45469107297508538</v>
      </c>
    </row>
    <row r="14936" spans="25:26" x14ac:dyDescent="0.25">
      <c r="Y14936" s="63">
        <v>57469</v>
      </c>
      <c r="Z14936" s="61">
        <f>_xll.qlYieldTSDiscount($U$35,Y14936,,Trigger)</f>
        <v>0.4546626777736098</v>
      </c>
    </row>
    <row r="14937" spans="25:26" x14ac:dyDescent="0.25">
      <c r="Y14937" s="63">
        <v>57470</v>
      </c>
      <c r="Z14937" s="61">
        <f>_xll.qlYieldTSDiscount($U$35,Y14937,,Trigger)</f>
        <v>0.45463428513764093</v>
      </c>
    </row>
    <row r="14938" spans="25:26" x14ac:dyDescent="0.25">
      <c r="Y14938" s="63">
        <v>57471</v>
      </c>
      <c r="Z14938" s="61">
        <f>_xll.qlYieldTSDiscount($U$35,Y14938,,Trigger)</f>
        <v>0.45460589506681282</v>
      </c>
    </row>
    <row r="14939" spans="25:26" x14ac:dyDescent="0.25">
      <c r="Y14939" s="63">
        <v>57472</v>
      </c>
      <c r="Z14939" s="61">
        <f>_xll.qlYieldTSDiscount($U$35,Y14939,,Trigger)</f>
        <v>0.45457750756075954</v>
      </c>
    </row>
    <row r="14940" spans="25:26" x14ac:dyDescent="0.25">
      <c r="Y14940" s="63">
        <v>57473</v>
      </c>
      <c r="Z14940" s="61">
        <f>_xll.qlYieldTSDiscount($U$35,Y14940,,Trigger)</f>
        <v>0.45454912261911495</v>
      </c>
    </row>
    <row r="14941" spans="25:26" x14ac:dyDescent="0.25">
      <c r="Y14941" s="63">
        <v>57474</v>
      </c>
      <c r="Z14941" s="61">
        <f>_xll.qlYieldTSDiscount($U$35,Y14941,,Trigger)</f>
        <v>0.45452074024151323</v>
      </c>
    </row>
    <row r="14942" spans="25:26" x14ac:dyDescent="0.25">
      <c r="Y14942" s="63">
        <v>57475</v>
      </c>
      <c r="Z14942" s="61">
        <f>_xll.qlYieldTSDiscount($U$35,Y14942,,Trigger)</f>
        <v>0.45449236042758845</v>
      </c>
    </row>
    <row r="14943" spans="25:26" x14ac:dyDescent="0.25">
      <c r="Y14943" s="63">
        <v>57476</v>
      </c>
      <c r="Z14943" s="61">
        <f>_xll.qlYieldTSDiscount($U$35,Y14943,,Trigger)</f>
        <v>0.45446398317697434</v>
      </c>
    </row>
    <row r="14944" spans="25:26" x14ac:dyDescent="0.25">
      <c r="Y14944" s="63">
        <v>57477</v>
      </c>
      <c r="Z14944" s="61">
        <f>_xll.qlYieldTSDiscount($U$35,Y14944,,Trigger)</f>
        <v>0.4544356084893052</v>
      </c>
    </row>
    <row r="14945" spans="25:26" x14ac:dyDescent="0.25">
      <c r="Y14945" s="63">
        <v>57478</v>
      </c>
      <c r="Z14945" s="61">
        <f>_xll.qlYieldTSDiscount($U$35,Y14945,,Trigger)</f>
        <v>0.45440723636421498</v>
      </c>
    </row>
    <row r="14946" spans="25:26" x14ac:dyDescent="0.25">
      <c r="Y14946" s="63">
        <v>57479</v>
      </c>
      <c r="Z14946" s="61">
        <f>_xll.qlYieldTSDiscount($U$35,Y14946,,Trigger)</f>
        <v>0.45437886680133766</v>
      </c>
    </row>
    <row r="14947" spans="25:26" x14ac:dyDescent="0.25">
      <c r="Y14947" s="63">
        <v>57480</v>
      </c>
      <c r="Z14947" s="61">
        <f>_xll.qlYieldTSDiscount($U$35,Y14947,,Trigger)</f>
        <v>0.45435049980030728</v>
      </c>
    </row>
    <row r="14948" spans="25:26" x14ac:dyDescent="0.25">
      <c r="Y14948" s="63">
        <v>57481</v>
      </c>
      <c r="Z14948" s="61">
        <f>_xll.qlYieldTSDiscount($U$35,Y14948,,Trigger)</f>
        <v>0.45432213536075788</v>
      </c>
    </row>
    <row r="14949" spans="25:26" x14ac:dyDescent="0.25">
      <c r="Y14949" s="63">
        <v>57482</v>
      </c>
      <c r="Z14949" s="61">
        <f>_xll.qlYieldTSDiscount($U$35,Y14949,,Trigger)</f>
        <v>0.45429377348232353</v>
      </c>
    </row>
    <row r="14950" spans="25:26" x14ac:dyDescent="0.25">
      <c r="Y14950" s="63">
        <v>57483</v>
      </c>
      <c r="Z14950" s="61">
        <f>_xll.qlYieldTSDiscount($U$35,Y14950,,Trigger)</f>
        <v>0.45426541416463811</v>
      </c>
    </row>
    <row r="14951" spans="25:26" x14ac:dyDescent="0.25">
      <c r="Y14951" s="63">
        <v>57484</v>
      </c>
      <c r="Z14951" s="61">
        <f>_xll.qlYieldTSDiscount($U$35,Y14951,,Trigger)</f>
        <v>0.45423705740733578</v>
      </c>
    </row>
    <row r="14952" spans="25:26" x14ac:dyDescent="0.25">
      <c r="Y14952" s="63">
        <v>57485</v>
      </c>
      <c r="Z14952" s="61">
        <f>_xll.qlYieldTSDiscount($U$35,Y14952,,Trigger)</f>
        <v>0.45420870321005047</v>
      </c>
    </row>
    <row r="14953" spans="25:26" x14ac:dyDescent="0.25">
      <c r="Y14953" s="63">
        <v>57486</v>
      </c>
      <c r="Z14953" s="61">
        <f>_xll.qlYieldTSDiscount($U$35,Y14953,,Trigger)</f>
        <v>0.45418035157241626</v>
      </c>
    </row>
    <row r="14954" spans="25:26" x14ac:dyDescent="0.25">
      <c r="Y14954" s="63">
        <v>57487</v>
      </c>
      <c r="Z14954" s="61">
        <f>_xll.qlYieldTSDiscount($U$35,Y14954,,Trigger)</f>
        <v>0.45415200249406718</v>
      </c>
    </row>
    <row r="14955" spans="25:26" x14ac:dyDescent="0.25">
      <c r="Y14955" s="63">
        <v>57488</v>
      </c>
      <c r="Z14955" s="61">
        <f>_xll.qlYieldTSDiscount($U$35,Y14955,,Trigger)</f>
        <v>0.45412365597463722</v>
      </c>
    </row>
    <row r="14956" spans="25:26" x14ac:dyDescent="0.25">
      <c r="Y14956" s="63">
        <v>57489</v>
      </c>
      <c r="Z14956" s="61">
        <f>_xll.qlYieldTSDiscount($U$35,Y14956,,Trigger)</f>
        <v>0.4540953120137603</v>
      </c>
    </row>
    <row r="14957" spans="25:26" x14ac:dyDescent="0.25">
      <c r="Y14957" s="63">
        <v>57490</v>
      </c>
      <c r="Z14957" s="61">
        <f>_xll.qlYieldTSDiscount($U$35,Y14957,,Trigger)</f>
        <v>0.4540669706110706</v>
      </c>
    </row>
    <row r="14958" spans="25:26" x14ac:dyDescent="0.25">
      <c r="Y14958" s="63">
        <v>57491</v>
      </c>
      <c r="Z14958" s="61">
        <f>_xll.qlYieldTSDiscount($U$35,Y14958,,Trigger)</f>
        <v>0.45403863176620218</v>
      </c>
    </row>
    <row r="14959" spans="25:26" x14ac:dyDescent="0.25">
      <c r="Y14959" s="63">
        <v>57492</v>
      </c>
      <c r="Z14959" s="61">
        <f>_xll.qlYieldTSDiscount($U$35,Y14959,,Trigger)</f>
        <v>0.45401029547878891</v>
      </c>
    </row>
    <row r="14960" spans="25:26" x14ac:dyDescent="0.25">
      <c r="Y14960" s="63">
        <v>57493</v>
      </c>
      <c r="Z14960" s="61">
        <f>_xll.qlYieldTSDiscount($U$35,Y14960,,Trigger)</f>
        <v>0.45398196174846484</v>
      </c>
    </row>
    <row r="14961" spans="25:26" x14ac:dyDescent="0.25">
      <c r="Y14961" s="63">
        <v>57494</v>
      </c>
      <c r="Z14961" s="61">
        <f>_xll.qlYieldTSDiscount($U$35,Y14961,,Trigger)</f>
        <v>0.4539536305748641</v>
      </c>
    </row>
    <row r="14962" spans="25:26" x14ac:dyDescent="0.25">
      <c r="Y14962" s="63">
        <v>57495</v>
      </c>
      <c r="Z14962" s="61">
        <f>_xll.qlYieldTSDiscount($U$35,Y14962,,Trigger)</f>
        <v>0.45392530195762054</v>
      </c>
    </row>
    <row r="14963" spans="25:26" x14ac:dyDescent="0.25">
      <c r="Y14963" s="63">
        <v>57496</v>
      </c>
      <c r="Z14963" s="61">
        <f>_xll.qlYieldTSDiscount($U$35,Y14963,,Trigger)</f>
        <v>0.45389697589636835</v>
      </c>
    </row>
    <row r="14964" spans="25:26" x14ac:dyDescent="0.25">
      <c r="Y14964" s="63">
        <v>57497</v>
      </c>
      <c r="Z14964" s="61">
        <f>_xll.qlYieldTSDiscount($U$35,Y14964,,Trigger)</f>
        <v>0.45386865239074137</v>
      </c>
    </row>
    <row r="14965" spans="25:26" x14ac:dyDescent="0.25">
      <c r="Y14965" s="63">
        <v>57498</v>
      </c>
      <c r="Z14965" s="61">
        <f>_xll.qlYieldTSDiscount($U$35,Y14965,,Trigger)</f>
        <v>0.45384033144037383</v>
      </c>
    </row>
    <row r="14966" spans="25:26" x14ac:dyDescent="0.25">
      <c r="Y14966" s="63">
        <v>57499</v>
      </c>
      <c r="Z14966" s="61">
        <f>_xll.qlYieldTSDiscount($U$35,Y14966,,Trigger)</f>
        <v>0.45381201304489965</v>
      </c>
    </row>
    <row r="14967" spans="25:26" x14ac:dyDescent="0.25">
      <c r="Y14967" s="63">
        <v>57500</v>
      </c>
      <c r="Z14967" s="61">
        <f>_xll.qlYieldTSDiscount($U$35,Y14967,,Trigger)</f>
        <v>0.45378369720395284</v>
      </c>
    </row>
    <row r="14968" spans="25:26" x14ac:dyDescent="0.25">
      <c r="Y14968" s="63">
        <v>57501</v>
      </c>
      <c r="Z14968" s="61">
        <f>_xll.qlYieldTSDiscount($U$35,Y14968,,Trigger)</f>
        <v>0.45375538391716747</v>
      </c>
    </row>
    <row r="14969" spans="25:26" x14ac:dyDescent="0.25">
      <c r="Y14969" s="63">
        <v>57502</v>
      </c>
      <c r="Z14969" s="61">
        <f>_xll.qlYieldTSDiscount($U$35,Y14969,,Trigger)</f>
        <v>0.45372707318417749</v>
      </c>
    </row>
    <row r="14970" spans="25:26" x14ac:dyDescent="0.25">
      <c r="Y14970" s="63">
        <v>57503</v>
      </c>
      <c r="Z14970" s="61">
        <f>_xll.qlYieldTSDiscount($U$35,Y14970,,Trigger)</f>
        <v>0.45369876500461692</v>
      </c>
    </row>
    <row r="14971" spans="25:26" x14ac:dyDescent="0.25">
      <c r="Y14971" s="63">
        <v>57504</v>
      </c>
      <c r="Z14971" s="61">
        <f>_xll.qlYieldTSDiscount($U$35,Y14971,,Trigger)</f>
        <v>0.45367045937811995</v>
      </c>
    </row>
    <row r="14972" spans="25:26" x14ac:dyDescent="0.25">
      <c r="Y14972" s="63">
        <v>57505</v>
      </c>
      <c r="Z14972" s="61">
        <f>_xll.qlYieldTSDiscount($U$35,Y14972,,Trigger)</f>
        <v>0.45364215630432037</v>
      </c>
    </row>
    <row r="14973" spans="25:26" x14ac:dyDescent="0.25">
      <c r="Y14973" s="63">
        <v>57506</v>
      </c>
      <c r="Z14973" s="61">
        <f>_xll.qlYieldTSDiscount($U$35,Y14973,,Trigger)</f>
        <v>0.45361385578285229</v>
      </c>
    </row>
    <row r="14974" spans="25:26" x14ac:dyDescent="0.25">
      <c r="Y14974" s="63">
        <v>57507</v>
      </c>
      <c r="Z14974" s="61">
        <f>_xll.qlYieldTSDiscount($U$35,Y14974,,Trigger)</f>
        <v>0.45358555781334986</v>
      </c>
    </row>
    <row r="14975" spans="25:26" x14ac:dyDescent="0.25">
      <c r="Y14975" s="63">
        <v>57508</v>
      </c>
      <c r="Z14975" s="61">
        <f>_xll.qlYieldTSDiscount($U$35,Y14975,,Trigger)</f>
        <v>0.45355726239544691</v>
      </c>
    </row>
    <row r="14976" spans="25:26" x14ac:dyDescent="0.25">
      <c r="Y14976" s="63">
        <v>57509</v>
      </c>
      <c r="Z14976" s="61">
        <f>_xll.qlYieldTSDiscount($U$35,Y14976,,Trigger)</f>
        <v>0.45352896952877753</v>
      </c>
    </row>
    <row r="14977" spans="25:26" x14ac:dyDescent="0.25">
      <c r="Y14977" s="63">
        <v>57510</v>
      </c>
      <c r="Z14977" s="61">
        <f>_xll.qlYieldTSDiscount($U$35,Y14977,,Trigger)</f>
        <v>0.45350067921297577</v>
      </c>
    </row>
    <row r="14978" spans="25:26" x14ac:dyDescent="0.25">
      <c r="Y14978" s="63">
        <v>57511</v>
      </c>
      <c r="Z14978" s="61">
        <f>_xll.qlYieldTSDiscount($U$35,Y14978,,Trigger)</f>
        <v>0.45347239144767565</v>
      </c>
    </row>
    <row r="14979" spans="25:26" x14ac:dyDescent="0.25">
      <c r="Y14979" s="63">
        <v>57512</v>
      </c>
      <c r="Z14979" s="61">
        <f>_xll.qlYieldTSDiscount($U$35,Y14979,,Trigger)</f>
        <v>0.45344410623251119</v>
      </c>
    </row>
    <row r="14980" spans="25:26" x14ac:dyDescent="0.25">
      <c r="Y14980" s="63">
        <v>57513</v>
      </c>
      <c r="Z14980" s="61">
        <f>_xll.qlYieldTSDiscount($U$35,Y14980,,Trigger)</f>
        <v>0.45341582356711629</v>
      </c>
    </row>
    <row r="14981" spans="25:26" x14ac:dyDescent="0.25">
      <c r="Y14981" s="63">
        <v>57514</v>
      </c>
      <c r="Z14981" s="61">
        <f>_xll.qlYieldTSDiscount($U$35,Y14981,,Trigger)</f>
        <v>0.45338754345112531</v>
      </c>
    </row>
    <row r="14982" spans="25:26" x14ac:dyDescent="0.25">
      <c r="Y14982" s="63">
        <v>57515</v>
      </c>
      <c r="Z14982" s="61">
        <f>_xll.qlYieldTSDiscount($U$35,Y14982,,Trigger)</f>
        <v>0.45335926588417186</v>
      </c>
    </row>
    <row r="14983" spans="25:26" x14ac:dyDescent="0.25">
      <c r="Y14983" s="63">
        <v>57516</v>
      </c>
      <c r="Z14983" s="61">
        <f>_xll.qlYieldTSDiscount($U$35,Y14983,,Trigger)</f>
        <v>0.45333099086589013</v>
      </c>
    </row>
    <row r="14984" spans="25:26" x14ac:dyDescent="0.25">
      <c r="Y14984" s="63">
        <v>57517</v>
      </c>
      <c r="Z14984" s="61">
        <f>_xll.qlYieldTSDiscount($U$35,Y14984,,Trigger)</f>
        <v>0.45330271839591429</v>
      </c>
    </row>
    <row r="14985" spans="25:26" x14ac:dyDescent="0.25">
      <c r="Y14985" s="63">
        <v>57518</v>
      </c>
      <c r="Z14985" s="61">
        <f>_xll.qlYieldTSDiscount($U$35,Y14985,,Trigger)</f>
        <v>0.4532744484738781</v>
      </c>
    </row>
    <row r="14986" spans="25:26" x14ac:dyDescent="0.25">
      <c r="Y14986" s="63">
        <v>57519</v>
      </c>
      <c r="Z14986" s="61">
        <f>_xll.qlYieldTSDiscount($U$35,Y14986,,Trigger)</f>
        <v>0.45324618109941578</v>
      </c>
    </row>
    <row r="14987" spans="25:26" x14ac:dyDescent="0.25">
      <c r="Y14987" s="63">
        <v>57520</v>
      </c>
      <c r="Z14987" s="61">
        <f>_xll.qlYieldTSDiscount($U$35,Y14987,,Trigger)</f>
        <v>0.45321791627216135</v>
      </c>
    </row>
    <row r="14988" spans="25:26" x14ac:dyDescent="0.25">
      <c r="Y14988" s="63">
        <v>57521</v>
      </c>
      <c r="Z14988" s="61">
        <f>_xll.qlYieldTSDiscount($U$35,Y14988,,Trigger)</f>
        <v>0.4531896539917486</v>
      </c>
    </row>
    <row r="14989" spans="25:26" x14ac:dyDescent="0.25">
      <c r="Y14989" s="63">
        <v>57522</v>
      </c>
      <c r="Z14989" s="61">
        <f>_xll.qlYieldTSDiscount($U$35,Y14989,,Trigger)</f>
        <v>0.45316139425781182</v>
      </c>
    </row>
    <row r="14990" spans="25:26" x14ac:dyDescent="0.25">
      <c r="Y14990" s="63">
        <v>57523</v>
      </c>
      <c r="Z14990" s="61">
        <f>_xll.qlYieldTSDiscount($U$35,Y14990,,Trigger)</f>
        <v>0.45313313706998493</v>
      </c>
    </row>
    <row r="14991" spans="25:26" x14ac:dyDescent="0.25">
      <c r="Y14991" s="63">
        <v>57524</v>
      </c>
      <c r="Z14991" s="61">
        <f>_xll.qlYieldTSDiscount($U$35,Y14991,,Trigger)</f>
        <v>0.45310488242790192</v>
      </c>
    </row>
    <row r="14992" spans="25:26" x14ac:dyDescent="0.25">
      <c r="Y14992" s="63">
        <v>57525</v>
      </c>
      <c r="Z14992" s="61">
        <f>_xll.qlYieldTSDiscount($U$35,Y14992,,Trigger)</f>
        <v>0.45307663033119683</v>
      </c>
    </row>
    <row r="14993" spans="25:26" x14ac:dyDescent="0.25">
      <c r="Y14993" s="63">
        <v>57526</v>
      </c>
      <c r="Z14993" s="61">
        <f>_xll.qlYieldTSDiscount($U$35,Y14993,,Trigger)</f>
        <v>0.45304838077950371</v>
      </c>
    </row>
    <row r="14994" spans="25:26" x14ac:dyDescent="0.25">
      <c r="Y14994" s="63">
        <v>57527</v>
      </c>
      <c r="Z14994" s="61">
        <f>_xll.qlYieldTSDiscount($U$35,Y14994,,Trigger)</f>
        <v>0.45302013377245665</v>
      </c>
    </row>
    <row r="14995" spans="25:26" x14ac:dyDescent="0.25">
      <c r="Y14995" s="63">
        <v>57528</v>
      </c>
      <c r="Z14995" s="61">
        <f>_xll.qlYieldTSDiscount($U$35,Y14995,,Trigger)</f>
        <v>0.45299188930968948</v>
      </c>
    </row>
    <row r="14996" spans="25:26" x14ac:dyDescent="0.25">
      <c r="Y14996" s="63">
        <v>57529</v>
      </c>
      <c r="Z14996" s="61">
        <f>_xll.qlYieldTSDiscount($U$35,Y14996,,Trigger)</f>
        <v>0.45296364739083628</v>
      </c>
    </row>
    <row r="14997" spans="25:26" x14ac:dyDescent="0.25">
      <c r="Y14997" s="63">
        <v>57530</v>
      </c>
      <c r="Z14997" s="61">
        <f>_xll.qlYieldTSDiscount($U$35,Y14997,,Trigger)</f>
        <v>0.45293540801553128</v>
      </c>
    </row>
    <row r="14998" spans="25:26" x14ac:dyDescent="0.25">
      <c r="Y14998" s="63">
        <v>57531</v>
      </c>
      <c r="Z14998" s="61">
        <f>_xll.qlYieldTSDiscount($U$35,Y14998,,Trigger)</f>
        <v>0.45290717118340829</v>
      </c>
    </row>
    <row r="14999" spans="25:26" x14ac:dyDescent="0.25">
      <c r="Y14999" s="63">
        <v>57532</v>
      </c>
      <c r="Z14999" s="61">
        <f>_xll.qlYieldTSDiscount($U$35,Y14999,,Trigger)</f>
        <v>0.4528789368941013</v>
      </c>
    </row>
    <row r="15000" spans="25:26" x14ac:dyDescent="0.25">
      <c r="Y15000" s="63">
        <v>57533</v>
      </c>
      <c r="Z15000" s="61">
        <f>_xll.qlYieldTSDiscount($U$35,Y15000,,Trigger)</f>
        <v>0.45285070514724451</v>
      </c>
    </row>
    <row r="15001" spans="25:26" x14ac:dyDescent="0.25">
      <c r="Y15001" s="63">
        <v>57534</v>
      </c>
      <c r="Z15001" s="61">
        <f>_xll.qlYieldTSDiscount($U$35,Y15001,,Trigger)</f>
        <v>0.45282247594247177</v>
      </c>
    </row>
    <row r="15002" spans="25:26" x14ac:dyDescent="0.25">
      <c r="Y15002" s="63">
        <v>57535</v>
      </c>
      <c r="Z15002" s="61">
        <f>_xll.qlYieldTSDiscount($U$35,Y15002,,Trigger)</f>
        <v>0.45279424927941725</v>
      </c>
    </row>
    <row r="15003" spans="25:26" x14ac:dyDescent="0.25">
      <c r="Y15003" s="63">
        <v>57536</v>
      </c>
      <c r="Z15003" s="61">
        <f>_xll.qlYieldTSDiscount($U$35,Y15003,,Trigger)</f>
        <v>0.45276602515771491</v>
      </c>
    </row>
    <row r="15004" spans="25:26" x14ac:dyDescent="0.25">
      <c r="Y15004" s="63">
        <v>57537</v>
      </c>
      <c r="Z15004" s="61">
        <f>_xll.qlYieldTSDiscount($U$35,Y15004,,Trigger)</f>
        <v>0.45273780357699867</v>
      </c>
    </row>
    <row r="15005" spans="25:26" x14ac:dyDescent="0.25">
      <c r="Y15005" s="63">
        <v>57538</v>
      </c>
      <c r="Z15005" s="61">
        <f>_xll.qlYieldTSDiscount($U$35,Y15005,,Trigger)</f>
        <v>0.45270958453690269</v>
      </c>
    </row>
    <row r="15006" spans="25:26" x14ac:dyDescent="0.25">
      <c r="Y15006" s="63">
        <v>57539</v>
      </c>
      <c r="Z15006" s="61">
        <f>_xll.qlYieldTSDiscount($U$35,Y15006,,Trigger)</f>
        <v>0.45268136803706105</v>
      </c>
    </row>
    <row r="15007" spans="25:26" x14ac:dyDescent="0.25">
      <c r="Y15007" s="63">
        <v>57540</v>
      </c>
      <c r="Z15007" s="61">
        <f>_xll.qlYieldTSDiscount($U$35,Y15007,,Trigger)</f>
        <v>0.45265315407710754</v>
      </c>
    </row>
    <row r="15008" spans="25:26" x14ac:dyDescent="0.25">
      <c r="Y15008" s="63">
        <v>57541</v>
      </c>
      <c r="Z15008" s="61">
        <f>_xll.qlYieldTSDiscount($U$35,Y15008,,Trigger)</f>
        <v>0.45262494265667635</v>
      </c>
    </row>
    <row r="15009" spans="25:26" x14ac:dyDescent="0.25">
      <c r="Y15009" s="63">
        <v>57542</v>
      </c>
      <c r="Z15009" s="61">
        <f>_xll.qlYieldTSDiscount($U$35,Y15009,,Trigger)</f>
        <v>0.45259673377540144</v>
      </c>
    </row>
    <row r="15010" spans="25:26" x14ac:dyDescent="0.25">
      <c r="Y15010" s="63">
        <v>57543</v>
      </c>
      <c r="Z15010" s="61">
        <f>_xll.qlYieldTSDiscount($U$35,Y15010,,Trigger)</f>
        <v>0.45256852743291698</v>
      </c>
    </row>
    <row r="15011" spans="25:26" x14ac:dyDescent="0.25">
      <c r="Y15011" s="63">
        <v>57544</v>
      </c>
      <c r="Z15011" s="61">
        <f>_xll.qlYieldTSDiscount($U$35,Y15011,,Trigger)</f>
        <v>0.45254032362885671</v>
      </c>
    </row>
    <row r="15012" spans="25:26" x14ac:dyDescent="0.25">
      <c r="Y15012" s="63">
        <v>57545</v>
      </c>
      <c r="Z15012" s="61">
        <f>_xll.qlYieldTSDiscount($U$35,Y15012,,Trigger)</f>
        <v>0.45251212236285487</v>
      </c>
    </row>
    <row r="15013" spans="25:26" x14ac:dyDescent="0.25">
      <c r="Y15013" s="63">
        <v>57546</v>
      </c>
      <c r="Z15013" s="61">
        <f>_xll.qlYieldTSDiscount($U$35,Y15013,,Trigger)</f>
        <v>0.45248392363454548</v>
      </c>
    </row>
    <row r="15014" spans="25:26" x14ac:dyDescent="0.25">
      <c r="Y15014" s="63">
        <v>57547</v>
      </c>
      <c r="Z15014" s="61">
        <f>_xll.qlYieldTSDiscount($U$35,Y15014,,Trigger)</f>
        <v>0.45245572744356244</v>
      </c>
    </row>
    <row r="15015" spans="25:26" x14ac:dyDescent="0.25">
      <c r="Y15015" s="63">
        <v>57548</v>
      </c>
      <c r="Z15015" s="61">
        <f>_xll.qlYieldTSDiscount($U$35,Y15015,,Trigger)</f>
        <v>0.45242753378953982</v>
      </c>
    </row>
    <row r="15016" spans="25:26" x14ac:dyDescent="0.25">
      <c r="Y15016" s="63">
        <v>57549</v>
      </c>
      <c r="Z15016" s="61">
        <f>_xll.qlYieldTSDiscount($U$35,Y15016,,Trigger)</f>
        <v>0.45239934267211168</v>
      </c>
    </row>
    <row r="15017" spans="25:26" x14ac:dyDescent="0.25">
      <c r="Y15017" s="63">
        <v>57550</v>
      </c>
      <c r="Z15017" s="61">
        <f>_xll.qlYieldTSDiscount($U$35,Y15017,,Trigger)</f>
        <v>0.452371154090912</v>
      </c>
    </row>
    <row r="15018" spans="25:26" x14ac:dyDescent="0.25">
      <c r="Y15018" s="63">
        <v>57551</v>
      </c>
      <c r="Z15018" s="61">
        <f>_xll.qlYieldTSDiscount($U$35,Y15018,,Trigger)</f>
        <v>0.45234296804557483</v>
      </c>
    </row>
    <row r="15019" spans="25:26" x14ac:dyDescent="0.25">
      <c r="Y15019" s="63">
        <v>57552</v>
      </c>
      <c r="Z15019" s="61">
        <f>_xll.qlYieldTSDiscount($U$35,Y15019,,Trigger)</f>
        <v>0.45231478453573426</v>
      </c>
    </row>
    <row r="15020" spans="25:26" x14ac:dyDescent="0.25">
      <c r="Y15020" s="63">
        <v>57553</v>
      </c>
      <c r="Z15020" s="61">
        <f>_xll.qlYieldTSDiscount($U$35,Y15020,,Trigger)</f>
        <v>0.45228660356102413</v>
      </c>
    </row>
    <row r="15021" spans="25:26" x14ac:dyDescent="0.25">
      <c r="Y15021" s="63">
        <v>57554</v>
      </c>
      <c r="Z15021" s="61">
        <f>_xll.qlYieldTSDiscount($U$35,Y15021,,Trigger)</f>
        <v>0.45225842512107856</v>
      </c>
    </row>
    <row r="15022" spans="25:26" x14ac:dyDescent="0.25">
      <c r="Y15022" s="63">
        <v>57555</v>
      </c>
      <c r="Z15022" s="61">
        <f>_xll.qlYieldTSDiscount($U$35,Y15022,,Trigger)</f>
        <v>0.45223024921553157</v>
      </c>
    </row>
    <row r="15023" spans="25:26" x14ac:dyDescent="0.25">
      <c r="Y15023" s="63">
        <v>57556</v>
      </c>
      <c r="Z15023" s="61">
        <f>_xll.qlYieldTSDiscount($U$35,Y15023,,Trigger)</f>
        <v>0.45220207584401734</v>
      </c>
    </row>
    <row r="15024" spans="25:26" x14ac:dyDescent="0.25">
      <c r="Y15024" s="63">
        <v>57557</v>
      </c>
      <c r="Z15024" s="61">
        <f>_xll.qlYieldTSDiscount($U$35,Y15024,,Trigger)</f>
        <v>0.45217390500616961</v>
      </c>
    </row>
    <row r="15025" spans="25:26" x14ac:dyDescent="0.25">
      <c r="Y15025" s="63">
        <v>57558</v>
      </c>
      <c r="Z15025" s="61">
        <f>_xll.qlYieldTSDiscount($U$35,Y15025,,Trigger)</f>
        <v>0.4521457367016225</v>
      </c>
    </row>
    <row r="15026" spans="25:26" x14ac:dyDescent="0.25">
      <c r="Y15026" s="63">
        <v>57559</v>
      </c>
      <c r="Z15026" s="61">
        <f>_xll.qlYieldTSDiscount($U$35,Y15026,,Trigger)</f>
        <v>0.4521175709300102</v>
      </c>
    </row>
    <row r="15027" spans="25:26" x14ac:dyDescent="0.25">
      <c r="Y15027" s="63">
        <v>57560</v>
      </c>
      <c r="Z15027" s="61">
        <f>_xll.qlYieldTSDiscount($U$35,Y15027,,Trigger)</f>
        <v>0.4520894076909665</v>
      </c>
    </row>
    <row r="15028" spans="25:26" x14ac:dyDescent="0.25">
      <c r="Y15028" s="63">
        <v>57561</v>
      </c>
      <c r="Z15028" s="61">
        <f>_xll.qlYieldTSDiscount($U$35,Y15028,,Trigger)</f>
        <v>0.45206124698412553</v>
      </c>
    </row>
    <row r="15029" spans="25:26" x14ac:dyDescent="0.25">
      <c r="Y15029" s="63">
        <v>57562</v>
      </c>
      <c r="Z15029" s="61">
        <f>_xll.qlYieldTSDiscount($U$35,Y15029,,Trigger)</f>
        <v>0.45203308880912135</v>
      </c>
    </row>
    <row r="15030" spans="25:26" x14ac:dyDescent="0.25">
      <c r="Y15030" s="63">
        <v>57563</v>
      </c>
      <c r="Z15030" s="61">
        <f>_xll.qlYieldTSDiscount($U$35,Y15030,,Trigger)</f>
        <v>0.45200493316558787</v>
      </c>
    </row>
    <row r="15031" spans="25:26" x14ac:dyDescent="0.25">
      <c r="Y15031" s="63">
        <v>57564</v>
      </c>
      <c r="Z15031" s="61">
        <f>_xll.qlYieldTSDiscount($U$35,Y15031,,Trigger)</f>
        <v>0.45197678005315922</v>
      </c>
    </row>
    <row r="15032" spans="25:26" x14ac:dyDescent="0.25">
      <c r="Y15032" s="63">
        <v>57565</v>
      </c>
      <c r="Z15032" s="61">
        <f>_xll.qlYieldTSDiscount($U$35,Y15032,,Trigger)</f>
        <v>0.45194862947146941</v>
      </c>
    </row>
    <row r="15033" spans="25:26" x14ac:dyDescent="0.25">
      <c r="Y15033" s="63">
        <v>57566</v>
      </c>
      <c r="Z15033" s="61">
        <f>_xll.qlYieldTSDiscount($U$35,Y15033,,Trigger)</f>
        <v>0.45192048142015234</v>
      </c>
    </row>
    <row r="15034" spans="25:26" x14ac:dyDescent="0.25">
      <c r="Y15034" s="63">
        <v>57567</v>
      </c>
      <c r="Z15034" s="61">
        <f>_xll.qlYieldTSDiscount($U$35,Y15034,,Trigger)</f>
        <v>0.45189233589884215</v>
      </c>
    </row>
    <row r="15035" spans="25:26" x14ac:dyDescent="0.25">
      <c r="Y15035" s="63">
        <v>57568</v>
      </c>
      <c r="Z15035" s="61">
        <f>_xll.qlYieldTSDiscount($U$35,Y15035,,Trigger)</f>
        <v>0.45186419290717289</v>
      </c>
    </row>
    <row r="15036" spans="25:26" x14ac:dyDescent="0.25">
      <c r="Y15036" s="63">
        <v>57569</v>
      </c>
      <c r="Z15036" s="61">
        <f>_xll.qlYieldTSDiscount($U$35,Y15036,,Trigger)</f>
        <v>0.45183605244477842</v>
      </c>
    </row>
    <row r="15037" spans="25:26" x14ac:dyDescent="0.25">
      <c r="Y15037" s="63">
        <v>57570</v>
      </c>
      <c r="Z15037" s="61">
        <f>_xll.qlYieldTSDiscount($U$35,Y15037,,Trigger)</f>
        <v>0.45180791451129293</v>
      </c>
    </row>
    <row r="15038" spans="25:26" x14ac:dyDescent="0.25">
      <c r="Y15038" s="63">
        <v>57571</v>
      </c>
      <c r="Z15038" s="61">
        <f>_xll.qlYieldTSDiscount($U$35,Y15038,,Trigger)</f>
        <v>0.45177977910635037</v>
      </c>
    </row>
    <row r="15039" spans="25:26" x14ac:dyDescent="0.25">
      <c r="Y15039" s="63">
        <v>57572</v>
      </c>
      <c r="Z15039" s="61">
        <f>_xll.qlYieldTSDiscount($U$35,Y15039,,Trigger)</f>
        <v>0.4517516462295848</v>
      </c>
    </row>
    <row r="15040" spans="25:26" x14ac:dyDescent="0.25">
      <c r="Y15040" s="63">
        <v>57573</v>
      </c>
      <c r="Z15040" s="61">
        <f>_xll.qlYieldTSDiscount($U$35,Y15040,,Trigger)</f>
        <v>0.4517235158806302</v>
      </c>
    </row>
    <row r="15041" spans="25:26" x14ac:dyDescent="0.25">
      <c r="Y15041" s="63">
        <v>57574</v>
      </c>
      <c r="Z15041" s="61">
        <f>_xll.qlYieldTSDiscount($U$35,Y15041,,Trigger)</f>
        <v>0.45169538805912052</v>
      </c>
    </row>
    <row r="15042" spans="25:26" x14ac:dyDescent="0.25">
      <c r="Y15042" s="63">
        <v>57575</v>
      </c>
      <c r="Z15042" s="61">
        <f>_xll.qlYieldTSDiscount($U$35,Y15042,,Trigger)</f>
        <v>0.45166726276468994</v>
      </c>
    </row>
    <row r="15043" spans="25:26" x14ac:dyDescent="0.25">
      <c r="Y15043" s="63">
        <v>57576</v>
      </c>
      <c r="Z15043" s="61">
        <f>_xll.qlYieldTSDiscount($U$35,Y15043,,Trigger)</f>
        <v>0.45163913999697242</v>
      </c>
    </row>
    <row r="15044" spans="25:26" x14ac:dyDescent="0.25">
      <c r="Y15044" s="63">
        <v>57577</v>
      </c>
      <c r="Z15044" s="61">
        <f>_xll.qlYieldTSDiscount($U$35,Y15044,,Trigger)</f>
        <v>0.45161101975560192</v>
      </c>
    </row>
    <row r="15045" spans="25:26" x14ac:dyDescent="0.25">
      <c r="Y15045" s="63">
        <v>57578</v>
      </c>
      <c r="Z15045" s="61">
        <f>_xll.qlYieldTSDiscount($U$35,Y15045,,Trigger)</f>
        <v>0.45158290204021256</v>
      </c>
    </row>
    <row r="15046" spans="25:26" x14ac:dyDescent="0.25">
      <c r="Y15046" s="63">
        <v>57579</v>
      </c>
      <c r="Z15046" s="61">
        <f>_xll.qlYieldTSDiscount($U$35,Y15046,,Trigger)</f>
        <v>0.45155478685043826</v>
      </c>
    </row>
    <row r="15047" spans="25:26" x14ac:dyDescent="0.25">
      <c r="Y15047" s="63">
        <v>57580</v>
      </c>
      <c r="Z15047" s="61">
        <f>_xll.qlYieldTSDiscount($U$35,Y15047,,Trigger)</f>
        <v>0.45152667418591313</v>
      </c>
    </row>
    <row r="15048" spans="25:26" x14ac:dyDescent="0.25">
      <c r="Y15048" s="63">
        <v>57581</v>
      </c>
      <c r="Z15048" s="61">
        <f>_xll.qlYieldTSDiscount($U$35,Y15048,,Trigger)</f>
        <v>0.4514985640462712</v>
      </c>
    </row>
    <row r="15049" spans="25:26" x14ac:dyDescent="0.25">
      <c r="Y15049" s="63">
        <v>57582</v>
      </c>
      <c r="Z15049" s="61">
        <f>_xll.qlYieldTSDiscount($U$35,Y15049,,Trigger)</f>
        <v>0.45147045643114636</v>
      </c>
    </row>
    <row r="15050" spans="25:26" x14ac:dyDescent="0.25">
      <c r="Y15050" s="63">
        <v>57583</v>
      </c>
      <c r="Z15050" s="61">
        <f>_xll.qlYieldTSDiscount($U$35,Y15050,,Trigger)</f>
        <v>0.45144235134017274</v>
      </c>
    </row>
    <row r="15051" spans="25:26" x14ac:dyDescent="0.25">
      <c r="Y15051" s="63">
        <v>57584</v>
      </c>
      <c r="Z15051" s="61">
        <f>_xll.qlYieldTSDiscount($U$35,Y15051,,Trigger)</f>
        <v>0.45141424877298442</v>
      </c>
    </row>
    <row r="15052" spans="25:26" x14ac:dyDescent="0.25">
      <c r="Y15052" s="63">
        <v>57585</v>
      </c>
      <c r="Z15052" s="61">
        <f>_xll.qlYieldTSDiscount($U$35,Y15052,,Trigger)</f>
        <v>0.45138614872921523</v>
      </c>
    </row>
    <row r="15053" spans="25:26" x14ac:dyDescent="0.25">
      <c r="Y15053" s="63">
        <v>57586</v>
      </c>
      <c r="Z15053" s="61">
        <f>_xll.qlYieldTSDiscount($U$35,Y15053,,Trigger)</f>
        <v>0.45135805120849937</v>
      </c>
    </row>
    <row r="15054" spans="25:26" x14ac:dyDescent="0.25">
      <c r="Y15054" s="63">
        <v>57587</v>
      </c>
      <c r="Z15054" s="61">
        <f>_xll.qlYieldTSDiscount($U$35,Y15054,,Trigger)</f>
        <v>0.45132995621047078</v>
      </c>
    </row>
    <row r="15055" spans="25:26" x14ac:dyDescent="0.25">
      <c r="Y15055" s="63">
        <v>57588</v>
      </c>
      <c r="Z15055" s="61">
        <f>_xll.qlYieldTSDiscount($U$35,Y15055,,Trigger)</f>
        <v>0.45130186373476355</v>
      </c>
    </row>
    <row r="15056" spans="25:26" x14ac:dyDescent="0.25">
      <c r="Y15056" s="63">
        <v>57589</v>
      </c>
      <c r="Z15056" s="61">
        <f>_xll.qlYieldTSDiscount($U$35,Y15056,,Trigger)</f>
        <v>0.45127377378101158</v>
      </c>
    </row>
    <row r="15057" spans="25:26" x14ac:dyDescent="0.25">
      <c r="Y15057" s="63">
        <v>57590</v>
      </c>
      <c r="Z15057" s="61">
        <f>_xll.qlYieldTSDiscount($U$35,Y15057,,Trigger)</f>
        <v>0.45124568634884898</v>
      </c>
    </row>
    <row r="15058" spans="25:26" x14ac:dyDescent="0.25">
      <c r="Y15058" s="63">
        <v>57591</v>
      </c>
      <c r="Z15058" s="61">
        <f>_xll.qlYieldTSDiscount($U$35,Y15058,,Trigger)</f>
        <v>0.45121760143790979</v>
      </c>
    </row>
    <row r="15059" spans="25:26" x14ac:dyDescent="0.25">
      <c r="Y15059" s="63">
        <v>57592</v>
      </c>
      <c r="Z15059" s="61">
        <f>_xll.qlYieldTSDiscount($U$35,Y15059,,Trigger)</f>
        <v>0.45118951904782795</v>
      </c>
    </row>
    <row r="15060" spans="25:26" x14ac:dyDescent="0.25">
      <c r="Y15060" s="63">
        <v>57593</v>
      </c>
      <c r="Z15060" s="61">
        <f>_xll.qlYieldTSDiscount($U$35,Y15060,,Trigger)</f>
        <v>0.45116143917823753</v>
      </c>
    </row>
    <row r="15061" spans="25:26" x14ac:dyDescent="0.25">
      <c r="Y15061" s="63">
        <v>57594</v>
      </c>
      <c r="Z15061" s="61">
        <f>_xll.qlYieldTSDiscount($U$35,Y15061,,Trigger)</f>
        <v>0.45113336182877262</v>
      </c>
    </row>
    <row r="15062" spans="25:26" x14ac:dyDescent="0.25">
      <c r="Y15062" s="63">
        <v>57595</v>
      </c>
      <c r="Z15062" s="61">
        <f>_xll.qlYieldTSDiscount($U$35,Y15062,,Trigger)</f>
        <v>0.4511052869990671</v>
      </c>
    </row>
    <row r="15063" spans="25:26" x14ac:dyDescent="0.25">
      <c r="Y15063" s="63">
        <v>57596</v>
      </c>
      <c r="Z15063" s="61">
        <f>_xll.qlYieldTSDiscount($U$35,Y15063,,Trigger)</f>
        <v>0.45107721468875506</v>
      </c>
    </row>
    <row r="15064" spans="25:26" x14ac:dyDescent="0.25">
      <c r="Y15064" s="63">
        <v>57597</v>
      </c>
      <c r="Z15064" s="61">
        <f>_xll.qlYieldTSDiscount($U$35,Y15064,,Trigger)</f>
        <v>0.45104914489747061</v>
      </c>
    </row>
    <row r="15065" spans="25:26" x14ac:dyDescent="0.25">
      <c r="Y15065" s="63">
        <v>57598</v>
      </c>
      <c r="Z15065" s="61">
        <f>_xll.qlYieldTSDiscount($U$35,Y15065,,Trigger)</f>
        <v>0.45102107762484761</v>
      </c>
    </row>
    <row r="15066" spans="25:26" x14ac:dyDescent="0.25">
      <c r="Y15066" s="63">
        <v>57599</v>
      </c>
      <c r="Z15066" s="61">
        <f>_xll.qlYieldTSDiscount($U$35,Y15066,,Trigger)</f>
        <v>0.45099301287052018</v>
      </c>
    </row>
    <row r="15067" spans="25:26" x14ac:dyDescent="0.25">
      <c r="Y15067" s="63">
        <v>57600</v>
      </c>
      <c r="Z15067" s="61">
        <f>_xll.qlYieldTSDiscount($U$35,Y15067,,Trigger)</f>
        <v>0.45096495063412229</v>
      </c>
    </row>
    <row r="15068" spans="25:26" x14ac:dyDescent="0.25">
      <c r="Y15068" s="63">
        <v>57601</v>
      </c>
      <c r="Z15068" s="61">
        <f>_xll.qlYieldTSDiscount($U$35,Y15068,,Trigger)</f>
        <v>0.4509368909152881</v>
      </c>
    </row>
    <row r="15069" spans="25:26" x14ac:dyDescent="0.25">
      <c r="Y15069" s="63">
        <v>57602</v>
      </c>
      <c r="Z15069" s="61">
        <f>_xll.qlYieldTSDiscount($U$35,Y15069,,Trigger)</f>
        <v>0.45090883371365142</v>
      </c>
    </row>
    <row r="15070" spans="25:26" x14ac:dyDescent="0.25">
      <c r="Y15070" s="63">
        <v>57603</v>
      </c>
      <c r="Z15070" s="61">
        <f>_xll.qlYieldTSDiscount($U$35,Y15070,,Trigger)</f>
        <v>0.45088077902884638</v>
      </c>
    </row>
    <row r="15071" spans="25:26" x14ac:dyDescent="0.25">
      <c r="Y15071" s="63">
        <v>57604</v>
      </c>
      <c r="Z15071" s="61">
        <f>_xll.qlYieldTSDiscount($U$35,Y15071,,Trigger)</f>
        <v>0.45085272686050709</v>
      </c>
    </row>
    <row r="15072" spans="25:26" x14ac:dyDescent="0.25">
      <c r="Y15072" s="63">
        <v>57605</v>
      </c>
      <c r="Z15072" s="61">
        <f>_xll.qlYieldTSDiscount($U$35,Y15072,,Trigger)</f>
        <v>0.45082467720826735</v>
      </c>
    </row>
    <row r="15073" spans="25:26" x14ac:dyDescent="0.25">
      <c r="Y15073" s="63">
        <v>57606</v>
      </c>
      <c r="Z15073" s="61">
        <f>_xll.qlYieldTSDiscount($U$35,Y15073,,Trigger)</f>
        <v>0.45079663007176141</v>
      </c>
    </row>
    <row r="15074" spans="25:26" x14ac:dyDescent="0.25">
      <c r="Y15074" s="63">
        <v>57607</v>
      </c>
      <c r="Z15074" s="61">
        <f>_xll.qlYieldTSDiscount($U$35,Y15074,,Trigger)</f>
        <v>0.45076858545062326</v>
      </c>
    </row>
    <row r="15075" spans="25:26" x14ac:dyDescent="0.25">
      <c r="Y15075" s="63">
        <v>57608</v>
      </c>
      <c r="Z15075" s="61">
        <f>_xll.qlYieldTSDiscount($U$35,Y15075,,Trigger)</f>
        <v>0.45074054334448671</v>
      </c>
    </row>
    <row r="15076" spans="25:26" x14ac:dyDescent="0.25">
      <c r="Y15076" s="63">
        <v>57609</v>
      </c>
      <c r="Z15076" s="61">
        <f>_xll.qlYieldTSDiscount($U$35,Y15076,,Trigger)</f>
        <v>0.45071250375298599</v>
      </c>
    </row>
    <row r="15077" spans="25:26" x14ac:dyDescent="0.25">
      <c r="Y15077" s="63">
        <v>57610</v>
      </c>
      <c r="Z15077" s="61">
        <f>_xll.qlYieldTSDiscount($U$35,Y15077,,Trigger)</f>
        <v>0.45068446667575507</v>
      </c>
    </row>
    <row r="15078" spans="25:26" x14ac:dyDescent="0.25">
      <c r="Y15078" s="63">
        <v>57611</v>
      </c>
      <c r="Z15078" s="61">
        <f>_xll.qlYieldTSDiscount($U$35,Y15078,,Trigger)</f>
        <v>0.4506564321124279</v>
      </c>
    </row>
    <row r="15079" spans="25:26" x14ac:dyDescent="0.25">
      <c r="Y15079" s="63">
        <v>57612</v>
      </c>
      <c r="Z15079" s="61">
        <f>_xll.qlYieldTSDiscount($U$35,Y15079,,Trigger)</f>
        <v>0.4506284000626386</v>
      </c>
    </row>
    <row r="15080" spans="25:26" x14ac:dyDescent="0.25">
      <c r="Y15080" s="63">
        <v>57613</v>
      </c>
      <c r="Z15080" s="61">
        <f>_xll.qlYieldTSDiscount($U$35,Y15080,,Trigger)</f>
        <v>0.4506003705260212</v>
      </c>
    </row>
    <row r="15081" spans="25:26" x14ac:dyDescent="0.25">
      <c r="Y15081" s="63">
        <v>57614</v>
      </c>
      <c r="Z15081" s="61">
        <f>_xll.qlYieldTSDiscount($U$35,Y15081,,Trigger)</f>
        <v>0.45057234350220965</v>
      </c>
    </row>
    <row r="15082" spans="25:26" x14ac:dyDescent="0.25">
      <c r="Y15082" s="63">
        <v>57615</v>
      </c>
      <c r="Z15082" s="61">
        <f>_xll.qlYieldTSDiscount($U$35,Y15082,,Trigger)</f>
        <v>0.45054431899083797</v>
      </c>
    </row>
    <row r="15083" spans="25:26" x14ac:dyDescent="0.25">
      <c r="Y15083" s="63">
        <v>57616</v>
      </c>
      <c r="Z15083" s="61">
        <f>_xll.qlYieldTSDiscount($U$35,Y15083,,Trigger)</f>
        <v>0.45051629699154022</v>
      </c>
    </row>
    <row r="15084" spans="25:26" x14ac:dyDescent="0.25">
      <c r="Y15084" s="63">
        <v>57617</v>
      </c>
      <c r="Z15084" s="61">
        <f>_xll.qlYieldTSDiscount($U$35,Y15084,,Trigger)</f>
        <v>0.45048827750395048</v>
      </c>
    </row>
    <row r="15085" spans="25:26" x14ac:dyDescent="0.25">
      <c r="Y15085" s="63">
        <v>57618</v>
      </c>
      <c r="Z15085" s="61">
        <f>_xll.qlYieldTSDiscount($U$35,Y15085,,Trigger)</f>
        <v>0.45046026052770261</v>
      </c>
    </row>
    <row r="15086" spans="25:26" x14ac:dyDescent="0.25">
      <c r="Y15086" s="63">
        <v>57619</v>
      </c>
      <c r="Z15086" s="61">
        <f>_xll.qlYieldTSDiscount($U$35,Y15086,,Trigger)</f>
        <v>0.45043224606243082</v>
      </c>
    </row>
    <row r="15087" spans="25:26" x14ac:dyDescent="0.25">
      <c r="Y15087" s="63">
        <v>57620</v>
      </c>
      <c r="Z15087" s="61">
        <f>_xll.qlYieldTSDiscount($U$35,Y15087,,Trigger)</f>
        <v>0.45040423410776903</v>
      </c>
    </row>
    <row r="15088" spans="25:26" x14ac:dyDescent="0.25">
      <c r="Y15088" s="63">
        <v>57621</v>
      </c>
      <c r="Z15088" s="61">
        <f>_xll.qlYieldTSDiscount($U$35,Y15088,,Trigger)</f>
        <v>0.4503762246633512</v>
      </c>
    </row>
    <row r="15089" spans="25:26" x14ac:dyDescent="0.25">
      <c r="Y15089" s="63">
        <v>57622</v>
      </c>
      <c r="Z15089" s="61">
        <f>_xll.qlYieldTSDiscount($U$35,Y15089,,Trigger)</f>
        <v>0.4503482177288114</v>
      </c>
    </row>
    <row r="15090" spans="25:26" x14ac:dyDescent="0.25">
      <c r="Y15090" s="63">
        <v>57623</v>
      </c>
      <c r="Z15090" s="61">
        <f>_xll.qlYieldTSDiscount($U$35,Y15090,,Trigger)</f>
        <v>0.4503202133037838</v>
      </c>
    </row>
    <row r="15091" spans="25:26" x14ac:dyDescent="0.25">
      <c r="Y15091" s="63">
        <v>57624</v>
      </c>
      <c r="Z15091" s="61">
        <f>_xll.qlYieldTSDiscount($U$35,Y15091,,Trigger)</f>
        <v>0.45029221138790221</v>
      </c>
    </row>
    <row r="15092" spans="25:26" x14ac:dyDescent="0.25">
      <c r="Y15092" s="63">
        <v>57625</v>
      </c>
      <c r="Z15092" s="61">
        <f>_xll.qlYieldTSDiscount($U$35,Y15092,,Trigger)</f>
        <v>0.45026421198080074</v>
      </c>
    </row>
    <row r="15093" spans="25:26" x14ac:dyDescent="0.25">
      <c r="Y15093" s="63">
        <v>57626</v>
      </c>
      <c r="Z15093" s="61">
        <f>_xll.qlYieldTSDiscount($U$35,Y15093,,Trigger)</f>
        <v>0.45023621508211348</v>
      </c>
    </row>
    <row r="15094" spans="25:26" x14ac:dyDescent="0.25">
      <c r="Y15094" s="63">
        <v>57627</v>
      </c>
      <c r="Z15094" s="61">
        <f>_xll.qlYieldTSDiscount($U$35,Y15094,,Trigger)</f>
        <v>0.45020822069147431</v>
      </c>
    </row>
    <row r="15095" spans="25:26" x14ac:dyDescent="0.25">
      <c r="Y15095" s="63">
        <v>57628</v>
      </c>
      <c r="Z15095" s="61">
        <f>_xll.qlYieldTSDiscount($U$35,Y15095,,Trigger)</f>
        <v>0.45018022880851727</v>
      </c>
    </row>
    <row r="15096" spans="25:26" x14ac:dyDescent="0.25">
      <c r="Y15096" s="63">
        <v>57629</v>
      </c>
      <c r="Z15096" s="61">
        <f>_xll.qlYieldTSDiscount($U$35,Y15096,,Trigger)</f>
        <v>0.45015223943287663</v>
      </c>
    </row>
    <row r="15097" spans="25:26" x14ac:dyDescent="0.25">
      <c r="Y15097" s="63">
        <v>57630</v>
      </c>
      <c r="Z15097" s="61">
        <f>_xll.qlYieldTSDiscount($U$35,Y15097,,Trigger)</f>
        <v>0.45012425256418603</v>
      </c>
    </row>
    <row r="15098" spans="25:26" x14ac:dyDescent="0.25">
      <c r="Y15098" s="63">
        <v>57631</v>
      </c>
      <c r="Z15098" s="61">
        <f>_xll.qlYieldTSDiscount($U$35,Y15098,,Trigger)</f>
        <v>0.45009626820207971</v>
      </c>
    </row>
    <row r="15099" spans="25:26" x14ac:dyDescent="0.25">
      <c r="Y15099" s="63">
        <v>57632</v>
      </c>
      <c r="Z15099" s="61">
        <f>_xll.qlYieldTSDiscount($U$35,Y15099,,Trigger)</f>
        <v>0.45006828634619173</v>
      </c>
    </row>
    <row r="15100" spans="25:26" x14ac:dyDescent="0.25">
      <c r="Y15100" s="63">
        <v>57633</v>
      </c>
      <c r="Z15100" s="61">
        <f>_xll.qlYieldTSDiscount($U$35,Y15100,,Trigger)</f>
        <v>0.45004030699615605</v>
      </c>
    </row>
    <row r="15101" spans="25:26" x14ac:dyDescent="0.25">
      <c r="Y15101" s="63">
        <v>57634</v>
      </c>
      <c r="Z15101" s="61">
        <f>_xll.qlYieldTSDiscount($U$35,Y15101,,Trigger)</f>
        <v>0.45001233015160663</v>
      </c>
    </row>
    <row r="15102" spans="25:26" x14ac:dyDescent="0.25">
      <c r="Y15102" s="63">
        <v>57635</v>
      </c>
      <c r="Z15102" s="61">
        <f>_xll.qlYieldTSDiscount($U$35,Y15102,,Trigger)</f>
        <v>0.44998435581217755</v>
      </c>
    </row>
    <row r="15103" spans="25:26" x14ac:dyDescent="0.25">
      <c r="Y15103" s="63">
        <v>57636</v>
      </c>
      <c r="Z15103" s="61">
        <f>_xll.qlYieldTSDiscount($U$35,Y15103,,Trigger)</f>
        <v>0.44995638397750287</v>
      </c>
    </row>
    <row r="15104" spans="25:26" x14ac:dyDescent="0.25">
      <c r="Y15104" s="63">
        <v>57637</v>
      </c>
      <c r="Z15104" s="61">
        <f>_xll.qlYieldTSDiscount($U$35,Y15104,,Trigger)</f>
        <v>0.44992841464721656</v>
      </c>
    </row>
    <row r="15105" spans="25:26" x14ac:dyDescent="0.25">
      <c r="Y15105" s="63">
        <v>57638</v>
      </c>
      <c r="Z15105" s="61">
        <f>_xll.qlYieldTSDiscount($U$35,Y15105,,Trigger)</f>
        <v>0.44990044782095262</v>
      </c>
    </row>
    <row r="15106" spans="25:26" x14ac:dyDescent="0.25">
      <c r="Y15106" s="63">
        <v>57639</v>
      </c>
      <c r="Z15106" s="61">
        <f>_xll.qlYieldTSDiscount($U$35,Y15106,,Trigger)</f>
        <v>0.44987248349834513</v>
      </c>
    </row>
    <row r="15107" spans="25:26" x14ac:dyDescent="0.25">
      <c r="Y15107" s="63">
        <v>57640</v>
      </c>
      <c r="Z15107" s="61">
        <f>_xll.qlYieldTSDiscount($U$35,Y15107,,Trigger)</f>
        <v>0.44984452167902805</v>
      </c>
    </row>
    <row r="15108" spans="25:26" x14ac:dyDescent="0.25">
      <c r="Y15108" s="63">
        <v>57641</v>
      </c>
      <c r="Z15108" s="61">
        <f>_xll.qlYieldTSDiscount($U$35,Y15108,,Trigger)</f>
        <v>0.44981656236263545</v>
      </c>
    </row>
    <row r="15109" spans="25:26" x14ac:dyDescent="0.25">
      <c r="Y15109" s="63">
        <v>57642</v>
      </c>
      <c r="Z15109" s="61">
        <f>_xll.qlYieldTSDiscount($U$35,Y15109,,Trigger)</f>
        <v>0.4497886055488014</v>
      </c>
    </row>
    <row r="15110" spans="25:26" x14ac:dyDescent="0.25">
      <c r="Y15110" s="63">
        <v>57643</v>
      </c>
      <c r="Z15110" s="61">
        <f>_xll.qlYieldTSDiscount($U$35,Y15110,,Trigger)</f>
        <v>0.4497606512371598</v>
      </c>
    </row>
    <row r="15111" spans="25:26" x14ac:dyDescent="0.25">
      <c r="Y15111" s="63">
        <v>57644</v>
      </c>
      <c r="Z15111" s="61">
        <f>_xll.qlYieldTSDiscount($U$35,Y15111,,Trigger)</f>
        <v>0.44973269942734473</v>
      </c>
    </row>
    <row r="15112" spans="25:26" x14ac:dyDescent="0.25">
      <c r="Y15112" s="63">
        <v>57645</v>
      </c>
      <c r="Z15112" s="61">
        <f>_xll.qlYieldTSDiscount($U$35,Y15112,,Trigger)</f>
        <v>0.44970475011899025</v>
      </c>
    </row>
    <row r="15113" spans="25:26" x14ac:dyDescent="0.25">
      <c r="Y15113" s="63">
        <v>57646</v>
      </c>
      <c r="Z15113" s="61">
        <f>_xll.qlYieldTSDiscount($U$35,Y15113,,Trigger)</f>
        <v>0.44967680331173032</v>
      </c>
    </row>
    <row r="15114" spans="25:26" x14ac:dyDescent="0.25">
      <c r="Y15114" s="63">
        <v>57647</v>
      </c>
      <c r="Z15114" s="61">
        <f>_xll.qlYieldTSDiscount($U$35,Y15114,,Trigger)</f>
        <v>0.44964885900519902</v>
      </c>
    </row>
    <row r="15115" spans="25:26" x14ac:dyDescent="0.25">
      <c r="Y15115" s="63">
        <v>57648</v>
      </c>
      <c r="Z15115" s="61">
        <f>_xll.qlYieldTSDiscount($U$35,Y15115,,Trigger)</f>
        <v>0.4496209171990303</v>
      </c>
    </row>
    <row r="15116" spans="25:26" x14ac:dyDescent="0.25">
      <c r="Y15116" s="63">
        <v>57649</v>
      </c>
      <c r="Z15116" s="61">
        <f>_xll.qlYieldTSDiscount($U$35,Y15116,,Trigger)</f>
        <v>0.44959297789285829</v>
      </c>
    </row>
    <row r="15117" spans="25:26" x14ac:dyDescent="0.25">
      <c r="Y15117" s="63">
        <v>57650</v>
      </c>
      <c r="Z15117" s="61">
        <f>_xll.qlYieldTSDiscount($U$35,Y15117,,Trigger)</f>
        <v>0.4495650410863169</v>
      </c>
    </row>
    <row r="15118" spans="25:26" x14ac:dyDescent="0.25">
      <c r="Y15118" s="63">
        <v>57651</v>
      </c>
      <c r="Z15118" s="61">
        <f>_xll.qlYieldTSDiscount($U$35,Y15118,,Trigger)</f>
        <v>0.44953710677904013</v>
      </c>
    </row>
    <row r="15119" spans="25:26" x14ac:dyDescent="0.25">
      <c r="Y15119" s="63">
        <v>57652</v>
      </c>
      <c r="Z15119" s="61">
        <f>_xll.qlYieldTSDiscount($U$35,Y15119,,Trigger)</f>
        <v>0.44950917497066223</v>
      </c>
    </row>
    <row r="15120" spans="25:26" x14ac:dyDescent="0.25">
      <c r="Y15120" s="63">
        <v>57653</v>
      </c>
      <c r="Z15120" s="61">
        <f>_xll.qlYieldTSDiscount($U$35,Y15120,,Trigger)</f>
        <v>0.44948124566081693</v>
      </c>
    </row>
    <row r="15121" spans="25:26" x14ac:dyDescent="0.25">
      <c r="Y15121" s="63">
        <v>57654</v>
      </c>
      <c r="Z15121" s="61">
        <f>_xll.qlYieldTSDiscount($U$35,Y15121,,Trigger)</f>
        <v>0.44945331884913842</v>
      </c>
    </row>
    <row r="15122" spans="25:26" x14ac:dyDescent="0.25">
      <c r="Y15122" s="63">
        <v>57655</v>
      </c>
      <c r="Z15122" s="61">
        <f>_xll.qlYieldTSDiscount($U$35,Y15122,,Trigger)</f>
        <v>0.44942539453526076</v>
      </c>
    </row>
    <row r="15123" spans="25:26" x14ac:dyDescent="0.25">
      <c r="Y15123" s="63">
        <v>57656</v>
      </c>
      <c r="Z15123" s="61">
        <f>_xll.qlYieldTSDiscount($U$35,Y15123,,Trigger)</f>
        <v>0.4493974727188178</v>
      </c>
    </row>
    <row r="15124" spans="25:26" x14ac:dyDescent="0.25">
      <c r="Y15124" s="63">
        <v>57657</v>
      </c>
      <c r="Z15124" s="61">
        <f>_xll.qlYieldTSDiscount($U$35,Y15124,,Trigger)</f>
        <v>0.44936955339944362</v>
      </c>
    </row>
    <row r="15125" spans="25:26" x14ac:dyDescent="0.25">
      <c r="Y15125" s="63">
        <v>57658</v>
      </c>
      <c r="Z15125" s="61">
        <f>_xll.qlYieldTSDiscount($U$35,Y15125,,Trigger)</f>
        <v>0.4493416365767724</v>
      </c>
    </row>
    <row r="15126" spans="25:26" x14ac:dyDescent="0.25">
      <c r="Y15126" s="63">
        <v>57659</v>
      </c>
      <c r="Z15126" s="61">
        <f>_xll.qlYieldTSDiscount($U$35,Y15126,,Trigger)</f>
        <v>0.44931372225043797</v>
      </c>
    </row>
    <row r="15127" spans="25:26" x14ac:dyDescent="0.25">
      <c r="Y15127" s="63">
        <v>57660</v>
      </c>
      <c r="Z15127" s="61">
        <f>_xll.qlYieldTSDiscount($U$35,Y15127,,Trigger)</f>
        <v>0.44928581042007443</v>
      </c>
    </row>
    <row r="15128" spans="25:26" x14ac:dyDescent="0.25">
      <c r="Y15128" s="63">
        <v>57661</v>
      </c>
      <c r="Z15128" s="61">
        <f>_xll.qlYieldTSDiscount($U$35,Y15128,,Trigger)</f>
        <v>0.44925790108531577</v>
      </c>
    </row>
    <row r="15129" spans="25:26" x14ac:dyDescent="0.25">
      <c r="Y15129" s="63">
        <v>57662</v>
      </c>
      <c r="Z15129" s="61">
        <f>_xll.qlYieldTSDiscount($U$35,Y15129,,Trigger)</f>
        <v>0.44922999424579613</v>
      </c>
    </row>
    <row r="15130" spans="25:26" x14ac:dyDescent="0.25">
      <c r="Y15130" s="63">
        <v>57663</v>
      </c>
      <c r="Z15130" s="61">
        <f>_xll.qlYieldTSDiscount($U$35,Y15130,,Trigger)</f>
        <v>0.44920208990114935</v>
      </c>
    </row>
    <row r="15131" spans="25:26" x14ac:dyDescent="0.25">
      <c r="Y15131" s="63">
        <v>57664</v>
      </c>
      <c r="Z15131" s="61">
        <f>_xll.qlYieldTSDiscount($U$35,Y15131,,Trigger)</f>
        <v>0.4491741880510095</v>
      </c>
    </row>
    <row r="15132" spans="25:26" x14ac:dyDescent="0.25">
      <c r="Y15132" s="63">
        <v>57665</v>
      </c>
      <c r="Z15132" s="61">
        <f>_xll.qlYieldTSDiscount($U$35,Y15132,,Trigger)</f>
        <v>0.44914628869501083</v>
      </c>
    </row>
    <row r="15133" spans="25:26" x14ac:dyDescent="0.25">
      <c r="Y15133" s="63">
        <v>57666</v>
      </c>
      <c r="Z15133" s="61">
        <f>_xll.qlYieldTSDiscount($U$35,Y15133,,Trigger)</f>
        <v>0.44911839183278701</v>
      </c>
    </row>
    <row r="15134" spans="25:26" x14ac:dyDescent="0.25">
      <c r="Y15134" s="63">
        <v>57667</v>
      </c>
      <c r="Z15134" s="61">
        <f>_xll.qlYieldTSDiscount($U$35,Y15134,,Trigger)</f>
        <v>0.44909049746397223</v>
      </c>
    </row>
    <row r="15135" spans="25:26" x14ac:dyDescent="0.25">
      <c r="Y15135" s="63">
        <v>57668</v>
      </c>
      <c r="Z15135" s="61">
        <f>_xll.qlYieldTSDiscount($U$35,Y15135,,Trigger)</f>
        <v>0.44906260558820066</v>
      </c>
    </row>
    <row r="15136" spans="25:26" x14ac:dyDescent="0.25">
      <c r="Y15136" s="63">
        <v>57669</v>
      </c>
      <c r="Z15136" s="61">
        <f>_xll.qlYieldTSDiscount($U$35,Y15136,,Trigger)</f>
        <v>0.44903471620510604</v>
      </c>
    </row>
    <row r="15137" spans="25:26" x14ac:dyDescent="0.25">
      <c r="Y15137" s="63">
        <v>57670</v>
      </c>
      <c r="Z15137" s="61">
        <f>_xll.qlYieldTSDiscount($U$35,Y15137,,Trigger)</f>
        <v>0.44900682931432245</v>
      </c>
    </row>
    <row r="15138" spans="25:26" x14ac:dyDescent="0.25">
      <c r="Y15138" s="63">
        <v>57671</v>
      </c>
      <c r="Z15138" s="61">
        <f>_xll.qlYieldTSDiscount($U$35,Y15138,,Trigger)</f>
        <v>0.44897894491548418</v>
      </c>
    </row>
    <row r="15139" spans="25:26" x14ac:dyDescent="0.25">
      <c r="Y15139" s="63">
        <v>57672</v>
      </c>
      <c r="Z15139" s="61">
        <f>_xll.qlYieldTSDiscount($U$35,Y15139,,Trigger)</f>
        <v>0.44895106300822496</v>
      </c>
    </row>
    <row r="15140" spans="25:26" x14ac:dyDescent="0.25">
      <c r="Y15140" s="63">
        <v>57673</v>
      </c>
      <c r="Z15140" s="61">
        <f>_xll.qlYieldTSDiscount($U$35,Y15140,,Trigger)</f>
        <v>0.44892318359217886</v>
      </c>
    </row>
    <row r="15141" spans="25:26" x14ac:dyDescent="0.25">
      <c r="Y15141" s="63">
        <v>57674</v>
      </c>
      <c r="Z15141" s="61">
        <f>_xll.qlYieldTSDiscount($U$35,Y15141,,Trigger)</f>
        <v>0.44889530666698008</v>
      </c>
    </row>
    <row r="15142" spans="25:26" x14ac:dyDescent="0.25">
      <c r="Y15142" s="63">
        <v>57675</v>
      </c>
      <c r="Z15142" s="61">
        <f>_xll.qlYieldTSDiscount($U$35,Y15142,,Trigger)</f>
        <v>0.44886743223226233</v>
      </c>
    </row>
    <row r="15143" spans="25:26" x14ac:dyDescent="0.25">
      <c r="Y15143" s="63">
        <v>57676</v>
      </c>
      <c r="Z15143" s="61">
        <f>_xll.qlYieldTSDiscount($U$35,Y15143,,Trigger)</f>
        <v>0.44883956028765992</v>
      </c>
    </row>
    <row r="15144" spans="25:26" x14ac:dyDescent="0.25">
      <c r="Y15144" s="63">
        <v>57677</v>
      </c>
      <c r="Z15144" s="61">
        <f>_xll.qlYieldTSDiscount($U$35,Y15144,,Trigger)</f>
        <v>0.4488116908328067</v>
      </c>
    </row>
    <row r="15145" spans="25:26" x14ac:dyDescent="0.25">
      <c r="Y15145" s="63">
        <v>57678</v>
      </c>
      <c r="Z15145" s="61">
        <f>_xll.qlYieldTSDiscount($U$35,Y15145,,Trigger)</f>
        <v>0.4487838238673369</v>
      </c>
    </row>
    <row r="15146" spans="25:26" x14ac:dyDescent="0.25">
      <c r="Y15146" s="63">
        <v>57679</v>
      </c>
      <c r="Z15146" s="61">
        <f>_xll.qlYieldTSDiscount($U$35,Y15146,,Trigger)</f>
        <v>0.44875595939088431</v>
      </c>
    </row>
    <row r="15147" spans="25:26" x14ac:dyDescent="0.25">
      <c r="Y15147" s="63">
        <v>57680</v>
      </c>
      <c r="Z15147" s="61">
        <f>_xll.qlYieldTSDiscount($U$35,Y15147,,Trigger)</f>
        <v>0.448728097403083</v>
      </c>
    </row>
    <row r="15148" spans="25:26" x14ac:dyDescent="0.25">
      <c r="Y15148" s="63">
        <v>57681</v>
      </c>
      <c r="Z15148" s="61">
        <f>_xll.qlYieldTSDiscount($U$35,Y15148,,Trigger)</f>
        <v>0.44870023790356717</v>
      </c>
    </row>
    <row r="15149" spans="25:26" x14ac:dyDescent="0.25">
      <c r="Y15149" s="63">
        <v>57682</v>
      </c>
      <c r="Z15149" s="61">
        <f>_xll.qlYieldTSDiscount($U$35,Y15149,,Trigger)</f>
        <v>0.44867238089197053</v>
      </c>
    </row>
    <row r="15150" spans="25:26" x14ac:dyDescent="0.25">
      <c r="Y15150" s="63">
        <v>57683</v>
      </c>
      <c r="Z15150" s="61">
        <f>_xll.qlYieldTSDiscount($U$35,Y15150,,Trigger)</f>
        <v>0.44864452636792734</v>
      </c>
    </row>
    <row r="15151" spans="25:26" x14ac:dyDescent="0.25">
      <c r="Y15151" s="63">
        <v>57684</v>
      </c>
      <c r="Z15151" s="61">
        <f>_xll.qlYieldTSDiscount($U$35,Y15151,,Trigger)</f>
        <v>0.44861667433107166</v>
      </c>
    </row>
    <row r="15152" spans="25:26" x14ac:dyDescent="0.25">
      <c r="Y15152" s="63">
        <v>57685</v>
      </c>
      <c r="Z15152" s="61">
        <f>_xll.qlYieldTSDiscount($U$35,Y15152,,Trigger)</f>
        <v>0.44858882478103723</v>
      </c>
    </row>
    <row r="15153" spans="25:26" x14ac:dyDescent="0.25">
      <c r="Y15153" s="63">
        <v>57686</v>
      </c>
      <c r="Z15153" s="61">
        <f>_xll.qlYieldTSDiscount($U$35,Y15153,,Trigger)</f>
        <v>0.4485609777174584</v>
      </c>
    </row>
    <row r="15154" spans="25:26" x14ac:dyDescent="0.25">
      <c r="Y15154" s="63">
        <v>57687</v>
      </c>
      <c r="Z15154" s="61">
        <f>_xll.qlYieldTSDiscount($U$35,Y15154,,Trigger)</f>
        <v>0.44853313313996901</v>
      </c>
    </row>
    <row r="15155" spans="25:26" x14ac:dyDescent="0.25">
      <c r="Y15155" s="63">
        <v>57688</v>
      </c>
      <c r="Z15155" s="61">
        <f>_xll.qlYieldTSDiscount($U$35,Y15155,,Trigger)</f>
        <v>0.44850529104820308</v>
      </c>
    </row>
    <row r="15156" spans="25:26" x14ac:dyDescent="0.25">
      <c r="Y15156" s="63">
        <v>57689</v>
      </c>
      <c r="Z15156" s="61">
        <f>_xll.qlYieldTSDiscount($U$35,Y15156,,Trigger)</f>
        <v>0.44847745144179463</v>
      </c>
    </row>
    <row r="15157" spans="25:26" x14ac:dyDescent="0.25">
      <c r="Y15157" s="63">
        <v>57690</v>
      </c>
      <c r="Z15157" s="61">
        <f>_xll.qlYieldTSDiscount($U$35,Y15157,,Trigger)</f>
        <v>0.44844961432037778</v>
      </c>
    </row>
    <row r="15158" spans="25:26" x14ac:dyDescent="0.25">
      <c r="Y15158" s="63">
        <v>57691</v>
      </c>
      <c r="Z15158" s="61">
        <f>_xll.qlYieldTSDiscount($U$35,Y15158,,Trigger)</f>
        <v>0.44842177968358654</v>
      </c>
    </row>
    <row r="15159" spans="25:26" x14ac:dyDescent="0.25">
      <c r="Y15159" s="63">
        <v>57692</v>
      </c>
      <c r="Z15159" s="61">
        <f>_xll.qlYieldTSDiscount($U$35,Y15159,,Trigger)</f>
        <v>0.44839394753105477</v>
      </c>
    </row>
    <row r="15160" spans="25:26" x14ac:dyDescent="0.25">
      <c r="Y15160" s="63">
        <v>57693</v>
      </c>
      <c r="Z15160" s="61">
        <f>_xll.qlYieldTSDiscount($U$35,Y15160,,Trigger)</f>
        <v>0.44836611786241665</v>
      </c>
    </row>
    <row r="15161" spans="25:26" x14ac:dyDescent="0.25">
      <c r="Y15161" s="63">
        <v>57694</v>
      </c>
      <c r="Z15161" s="61">
        <f>_xll.qlYieldTSDiscount($U$35,Y15161,,Trigger)</f>
        <v>0.44833829067730624</v>
      </c>
    </row>
    <row r="15162" spans="25:26" x14ac:dyDescent="0.25">
      <c r="Y15162" s="63">
        <v>57695</v>
      </c>
      <c r="Z15162" s="61">
        <f>_xll.qlYieldTSDiscount($U$35,Y15162,,Trigger)</f>
        <v>0.4483104659753574</v>
      </c>
    </row>
    <row r="15163" spans="25:26" x14ac:dyDescent="0.25">
      <c r="Y15163" s="63">
        <v>57696</v>
      </c>
      <c r="Z15163" s="61">
        <f>_xll.qlYieldTSDiscount($U$35,Y15163,,Trigger)</f>
        <v>0.44828264375620419</v>
      </c>
    </row>
    <row r="15164" spans="25:26" x14ac:dyDescent="0.25">
      <c r="Y15164" s="63">
        <v>57697</v>
      </c>
      <c r="Z15164" s="61">
        <f>_xll.qlYieldTSDiscount($U$35,Y15164,,Trigger)</f>
        <v>0.4482548240194808</v>
      </c>
    </row>
    <row r="15165" spans="25:26" x14ac:dyDescent="0.25">
      <c r="Y15165" s="63">
        <v>57698</v>
      </c>
      <c r="Z15165" s="61">
        <f>_xll.qlYieldTSDiscount($U$35,Y15165,,Trigger)</f>
        <v>0.44822700676482102</v>
      </c>
    </row>
    <row r="15166" spans="25:26" x14ac:dyDescent="0.25">
      <c r="Y15166" s="63">
        <v>57699</v>
      </c>
      <c r="Z15166" s="61">
        <f>_xll.qlYieldTSDiscount($U$35,Y15166,,Trigger)</f>
        <v>0.44819919199185898</v>
      </c>
    </row>
    <row r="15167" spans="25:26" x14ac:dyDescent="0.25">
      <c r="Y15167" s="63">
        <v>57700</v>
      </c>
      <c r="Z15167" s="61">
        <f>_xll.qlYieldTSDiscount($U$35,Y15167,,Trigger)</f>
        <v>0.4481713797002288</v>
      </c>
    </row>
    <row r="15168" spans="25:26" x14ac:dyDescent="0.25">
      <c r="Y15168" s="63">
        <v>57701</v>
      </c>
      <c r="Z15168" s="61">
        <f>_xll.qlYieldTSDiscount($U$35,Y15168,,Trigger)</f>
        <v>0.44814356988956427</v>
      </c>
    </row>
    <row r="15169" spans="25:26" x14ac:dyDescent="0.25">
      <c r="Y15169" s="63">
        <v>57702</v>
      </c>
      <c r="Z15169" s="61">
        <f>_xll.qlYieldTSDiscount($U$35,Y15169,,Trigger)</f>
        <v>0.44811576255949959</v>
      </c>
    </row>
    <row r="15170" spans="25:26" x14ac:dyDescent="0.25">
      <c r="Y15170" s="63">
        <v>57703</v>
      </c>
      <c r="Z15170" s="61">
        <f>_xll.qlYieldTSDiscount($U$35,Y15170,,Trigger)</f>
        <v>0.4480879577096688</v>
      </c>
    </row>
    <row r="15171" spans="25:26" x14ac:dyDescent="0.25">
      <c r="Y15171" s="63">
        <v>57704</v>
      </c>
      <c r="Z15171" s="61">
        <f>_xll.qlYieldTSDiscount($U$35,Y15171,,Trigger)</f>
        <v>0.44806015533970578</v>
      </c>
    </row>
    <row r="15172" spans="25:26" x14ac:dyDescent="0.25">
      <c r="Y15172" s="63">
        <v>57705</v>
      </c>
      <c r="Z15172" s="61">
        <f>_xll.qlYieldTSDiscount($U$35,Y15172,,Trigger)</f>
        <v>0.44803235544924458</v>
      </c>
    </row>
    <row r="15173" spans="25:26" x14ac:dyDescent="0.25">
      <c r="Y15173" s="63">
        <v>57706</v>
      </c>
      <c r="Z15173" s="61">
        <f>_xll.qlYieldTSDiscount($U$35,Y15173,,Trigger)</f>
        <v>0.44800455803791939</v>
      </c>
    </row>
    <row r="15174" spans="25:26" x14ac:dyDescent="0.25">
      <c r="Y15174" s="63">
        <v>57707</v>
      </c>
      <c r="Z15174" s="61">
        <f>_xll.qlYieldTSDiscount($U$35,Y15174,,Trigger)</f>
        <v>0.44797676310536405</v>
      </c>
    </row>
    <row r="15175" spans="25:26" x14ac:dyDescent="0.25">
      <c r="Y15175" s="63">
        <v>57708</v>
      </c>
      <c r="Z15175" s="61">
        <f>_xll.qlYieldTSDiscount($U$35,Y15175,,Trigger)</f>
        <v>0.44794897065121264</v>
      </c>
    </row>
    <row r="15176" spans="25:26" x14ac:dyDescent="0.25">
      <c r="Y15176" s="63">
        <v>57709</v>
      </c>
      <c r="Z15176" s="61">
        <f>_xll.qlYieldTSDiscount($U$35,Y15176,,Trigger)</f>
        <v>0.44792118067509917</v>
      </c>
    </row>
    <row r="15177" spans="25:26" x14ac:dyDescent="0.25">
      <c r="Y15177" s="63">
        <v>57710</v>
      </c>
      <c r="Z15177" s="61">
        <f>_xll.qlYieldTSDiscount($U$35,Y15177,,Trigger)</f>
        <v>0.44789339317665777</v>
      </c>
    </row>
    <row r="15178" spans="25:26" x14ac:dyDescent="0.25">
      <c r="Y15178" s="63">
        <v>57711</v>
      </c>
      <c r="Z15178" s="61">
        <f>_xll.qlYieldTSDiscount($U$35,Y15178,,Trigger)</f>
        <v>0.44786560815552223</v>
      </c>
    </row>
    <row r="15179" spans="25:26" x14ac:dyDescent="0.25">
      <c r="Y15179" s="63">
        <v>57712</v>
      </c>
      <c r="Z15179" s="61">
        <f>_xll.qlYieldTSDiscount($U$35,Y15179,,Trigger)</f>
        <v>0.44783782561132679</v>
      </c>
    </row>
    <row r="15180" spans="25:26" x14ac:dyDescent="0.25">
      <c r="Y15180" s="63">
        <v>57713</v>
      </c>
      <c r="Z15180" s="61">
        <f>_xll.qlYieldTSDiscount($U$35,Y15180,,Trigger)</f>
        <v>0.4478100455437054</v>
      </c>
    </row>
    <row r="15181" spans="25:26" x14ac:dyDescent="0.25">
      <c r="Y15181" s="63">
        <v>57714</v>
      </c>
      <c r="Z15181" s="61">
        <f>_xll.qlYieldTSDiscount($U$35,Y15181,,Trigger)</f>
        <v>0.44778226795229203</v>
      </c>
    </row>
    <row r="15182" spans="25:26" x14ac:dyDescent="0.25">
      <c r="Y15182" s="63">
        <v>57715</v>
      </c>
      <c r="Z15182" s="61">
        <f>_xll.qlYieldTSDiscount($U$35,Y15182,,Trigger)</f>
        <v>0.44775449283672075</v>
      </c>
    </row>
    <row r="15183" spans="25:26" x14ac:dyDescent="0.25">
      <c r="Y15183" s="63">
        <v>57716</v>
      </c>
      <c r="Z15183" s="61">
        <f>_xll.qlYieldTSDiscount($U$35,Y15183,,Trigger)</f>
        <v>0.44772672019662568</v>
      </c>
    </row>
    <row r="15184" spans="25:26" x14ac:dyDescent="0.25">
      <c r="Y15184" s="63">
        <v>57717</v>
      </c>
      <c r="Z15184" s="61">
        <f>_xll.qlYieldTSDiscount($U$35,Y15184,,Trigger)</f>
        <v>0.44769895003164062</v>
      </c>
    </row>
    <row r="15185" spans="25:26" x14ac:dyDescent="0.25">
      <c r="Y15185" s="63">
        <v>57718</v>
      </c>
      <c r="Z15185" s="61">
        <f>_xll.qlYieldTSDiscount($U$35,Y15185,,Trigger)</f>
        <v>0.44767118234139974</v>
      </c>
    </row>
    <row r="15186" spans="25:26" x14ac:dyDescent="0.25">
      <c r="Y15186" s="63">
        <v>57719</v>
      </c>
      <c r="Z15186" s="61">
        <f>_xll.qlYieldTSDiscount($U$35,Y15186,,Trigger)</f>
        <v>0.44764341712553712</v>
      </c>
    </row>
    <row r="15187" spans="25:26" x14ac:dyDescent="0.25">
      <c r="Y15187" s="63">
        <v>57720</v>
      </c>
      <c r="Z15187" s="61">
        <f>_xll.qlYieldTSDiscount($U$35,Y15187,,Trigger)</f>
        <v>0.44761565438368656</v>
      </c>
    </row>
    <row r="15188" spans="25:26" x14ac:dyDescent="0.25">
      <c r="Y15188" s="63">
        <v>57721</v>
      </c>
      <c r="Z15188" s="61">
        <f>_xll.qlYieldTSDiscount($U$35,Y15188,,Trigger)</f>
        <v>0.44758789411548228</v>
      </c>
    </row>
    <row r="15189" spans="25:26" x14ac:dyDescent="0.25">
      <c r="Y15189" s="63">
        <v>57722</v>
      </c>
      <c r="Z15189" s="61">
        <f>_xll.qlYieldTSDiscount($U$35,Y15189,,Trigger)</f>
        <v>0.44756013632055824</v>
      </c>
    </row>
    <row r="15190" spans="25:26" x14ac:dyDescent="0.25">
      <c r="Y15190" s="63">
        <v>57723</v>
      </c>
      <c r="Z15190" s="61">
        <f>_xll.qlYieldTSDiscount($U$35,Y15190,,Trigger)</f>
        <v>0.44753238099854853</v>
      </c>
    </row>
    <row r="15191" spans="25:26" x14ac:dyDescent="0.25">
      <c r="Y15191" s="63">
        <v>57724</v>
      </c>
      <c r="Z15191" s="61">
        <f>_xll.qlYieldTSDiscount($U$35,Y15191,,Trigger)</f>
        <v>0.44750462814908698</v>
      </c>
    </row>
    <row r="15192" spans="25:26" x14ac:dyDescent="0.25">
      <c r="Y15192" s="63">
        <v>57725</v>
      </c>
      <c r="Z15192" s="61">
        <f>_xll.qlYieldTSDiscount($U$35,Y15192,,Trigger)</f>
        <v>0.44747687777180778</v>
      </c>
    </row>
    <row r="15193" spans="25:26" x14ac:dyDescent="0.25">
      <c r="Y15193" s="63">
        <v>57726</v>
      </c>
      <c r="Z15193" s="61">
        <f>_xll.qlYieldTSDiscount($U$35,Y15193,,Trigger)</f>
        <v>0.44744912986634489</v>
      </c>
    </row>
    <row r="15194" spans="25:26" x14ac:dyDescent="0.25">
      <c r="Y15194" s="63">
        <v>57727</v>
      </c>
      <c r="Z15194" s="61">
        <f>_xll.qlYieldTSDiscount($U$35,Y15194,,Trigger)</f>
        <v>0.44742138443233237</v>
      </c>
    </row>
    <row r="15195" spans="25:26" x14ac:dyDescent="0.25">
      <c r="Y15195" s="63">
        <v>57728</v>
      </c>
      <c r="Z15195" s="61">
        <f>_xll.qlYieldTSDiscount($U$35,Y15195,,Trigger)</f>
        <v>0.44739364146940419</v>
      </c>
    </row>
    <row r="15196" spans="25:26" x14ac:dyDescent="0.25">
      <c r="Y15196" s="63">
        <v>57729</v>
      </c>
      <c r="Z15196" s="61">
        <f>_xll.qlYieldTSDiscount($U$35,Y15196,,Trigger)</f>
        <v>0.44736590097719453</v>
      </c>
    </row>
    <row r="15197" spans="25:26" x14ac:dyDescent="0.25">
      <c r="Y15197" s="63">
        <v>57730</v>
      </c>
      <c r="Z15197" s="61">
        <f>_xll.qlYieldTSDiscount($U$35,Y15197,,Trigger)</f>
        <v>0.44733816295533713</v>
      </c>
    </row>
    <row r="15198" spans="25:26" x14ac:dyDescent="0.25">
      <c r="Y15198" s="63">
        <v>57731</v>
      </c>
      <c r="Z15198" s="61">
        <f>_xll.qlYieldTSDiscount($U$35,Y15198,,Trigger)</f>
        <v>0.44731042740346627</v>
      </c>
    </row>
    <row r="15199" spans="25:26" x14ac:dyDescent="0.25">
      <c r="Y15199" s="63">
        <v>57732</v>
      </c>
      <c r="Z15199" s="61">
        <f>_xll.qlYieldTSDiscount($U$35,Y15199,,Trigger)</f>
        <v>0.44728269432121581</v>
      </c>
    </row>
    <row r="15200" spans="25:26" x14ac:dyDescent="0.25">
      <c r="Y15200" s="63">
        <v>57733</v>
      </c>
      <c r="Z15200" s="61">
        <f>_xll.qlYieldTSDiscount($U$35,Y15200,,Trigger)</f>
        <v>0.44725496370821982</v>
      </c>
    </row>
    <row r="15201" spans="25:26" x14ac:dyDescent="0.25">
      <c r="Y15201" s="63">
        <v>57734</v>
      </c>
      <c r="Z15201" s="61">
        <f>_xll.qlYieldTSDiscount($U$35,Y15201,,Trigger)</f>
        <v>0.44722723556411237</v>
      </c>
    </row>
    <row r="15202" spans="25:26" x14ac:dyDescent="0.25">
      <c r="Y15202" s="63">
        <v>57735</v>
      </c>
      <c r="Z15202" s="61">
        <f>_xll.qlYieldTSDiscount($U$35,Y15202,,Trigger)</f>
        <v>0.44719950988852741</v>
      </c>
    </row>
    <row r="15203" spans="25:26" x14ac:dyDescent="0.25">
      <c r="Y15203" s="63">
        <v>57736</v>
      </c>
      <c r="Z15203" s="61">
        <f>_xll.qlYieldTSDiscount($U$35,Y15203,,Trigger)</f>
        <v>0.44717178668109903</v>
      </c>
    </row>
    <row r="15204" spans="25:26" x14ac:dyDescent="0.25">
      <c r="Y15204" s="63">
        <v>57737</v>
      </c>
      <c r="Z15204" s="61">
        <f>_xll.qlYieldTSDiscount($U$35,Y15204,,Trigger)</f>
        <v>0.44714406594146117</v>
      </c>
    </row>
    <row r="15205" spans="25:26" x14ac:dyDescent="0.25">
      <c r="Y15205" s="63">
        <v>57738</v>
      </c>
      <c r="Z15205" s="61">
        <f>_xll.qlYieldTSDiscount($U$35,Y15205,,Trigger)</f>
        <v>0.4471163476692479</v>
      </c>
    </row>
    <row r="15206" spans="25:26" x14ac:dyDescent="0.25">
      <c r="Y15206" s="63">
        <v>57739</v>
      </c>
      <c r="Z15206" s="61">
        <f>_xll.qlYieldTSDiscount($U$35,Y15206,,Trigger)</f>
        <v>0.44708863186409331</v>
      </c>
    </row>
    <row r="15207" spans="25:26" x14ac:dyDescent="0.25">
      <c r="Y15207" s="63">
        <v>57740</v>
      </c>
      <c r="Z15207" s="61">
        <f>_xll.qlYieldTSDiscount($U$35,Y15207,,Trigger)</f>
        <v>0.44706091852563135</v>
      </c>
    </row>
    <row r="15208" spans="25:26" x14ac:dyDescent="0.25">
      <c r="Y15208" s="63">
        <v>57741</v>
      </c>
      <c r="Z15208" s="61">
        <f>_xll.qlYieldTSDiscount($U$35,Y15208,,Trigger)</f>
        <v>0.44703320765349597</v>
      </c>
    </row>
    <row r="15209" spans="25:26" x14ac:dyDescent="0.25">
      <c r="Y15209" s="63">
        <v>57742</v>
      </c>
      <c r="Z15209" s="61">
        <f>_xll.qlYieldTSDiscount($U$35,Y15209,,Trigger)</f>
        <v>0.44700549924732136</v>
      </c>
    </row>
    <row r="15210" spans="25:26" x14ac:dyDescent="0.25">
      <c r="Y15210" s="63">
        <v>57743</v>
      </c>
      <c r="Z15210" s="61">
        <f>_xll.qlYieldTSDiscount($U$35,Y15210,,Trigger)</f>
        <v>0.44697779330674137</v>
      </c>
    </row>
    <row r="15211" spans="25:26" x14ac:dyDescent="0.25">
      <c r="Y15211" s="63">
        <v>57744</v>
      </c>
      <c r="Z15211" s="61">
        <f>_xll.qlYieldTSDiscount($U$35,Y15211,,Trigger)</f>
        <v>0.44695008983139012</v>
      </c>
    </row>
    <row r="15212" spans="25:26" x14ac:dyDescent="0.25">
      <c r="Y15212" s="63">
        <v>57745</v>
      </c>
      <c r="Z15212" s="61">
        <f>_xll.qlYieldTSDiscount($U$35,Y15212,,Trigger)</f>
        <v>0.44692238882090163</v>
      </c>
    </row>
    <row r="15213" spans="25:26" x14ac:dyDescent="0.25">
      <c r="Y15213" s="63">
        <v>57746</v>
      </c>
      <c r="Z15213" s="61">
        <f>_xll.qlYieldTSDiscount($U$35,Y15213,,Trigger)</f>
        <v>0.44689469027490991</v>
      </c>
    </row>
    <row r="15214" spans="25:26" x14ac:dyDescent="0.25">
      <c r="Y15214" s="63">
        <v>57747</v>
      </c>
      <c r="Z15214" s="61">
        <f>_xll.qlYieldTSDiscount($U$35,Y15214,,Trigger)</f>
        <v>0.44686699419304893</v>
      </c>
    </row>
    <row r="15215" spans="25:26" x14ac:dyDescent="0.25">
      <c r="Y15215" s="63">
        <v>57748</v>
      </c>
      <c r="Z15215" s="61">
        <f>_xll.qlYieldTSDiscount($U$35,Y15215,,Trigger)</f>
        <v>0.4468393005749528</v>
      </c>
    </row>
    <row r="15216" spans="25:26" x14ac:dyDescent="0.25">
      <c r="Y15216" s="63">
        <v>57749</v>
      </c>
      <c r="Z15216" s="61">
        <f>_xll.qlYieldTSDiscount($U$35,Y15216,,Trigger)</f>
        <v>0.44681160942025544</v>
      </c>
    </row>
    <row r="15217" spans="25:26" x14ac:dyDescent="0.25">
      <c r="Y15217" s="63">
        <v>57750</v>
      </c>
      <c r="Z15217" s="61">
        <f>_xll.qlYieldTSDiscount($U$35,Y15217,,Trigger)</f>
        <v>0.44678392072859097</v>
      </c>
    </row>
    <row r="15218" spans="25:26" x14ac:dyDescent="0.25">
      <c r="Y15218" s="63">
        <v>57751</v>
      </c>
      <c r="Z15218" s="61">
        <f>_xll.qlYieldTSDiscount($U$35,Y15218,,Trigger)</f>
        <v>0.4467562344995934</v>
      </c>
    </row>
    <row r="15219" spans="25:26" x14ac:dyDescent="0.25">
      <c r="Y15219" s="63">
        <v>57752</v>
      </c>
      <c r="Z15219" s="61">
        <f>_xll.qlYieldTSDiscount($U$35,Y15219,,Trigger)</f>
        <v>0.44672855073289675</v>
      </c>
    </row>
    <row r="15220" spans="25:26" x14ac:dyDescent="0.25">
      <c r="Y15220" s="63">
        <v>57753</v>
      </c>
      <c r="Z15220" s="61">
        <f>_xll.qlYieldTSDiscount($U$35,Y15220,,Trigger)</f>
        <v>0.44670086942813492</v>
      </c>
    </row>
    <row r="15221" spans="25:26" x14ac:dyDescent="0.25">
      <c r="Y15221" s="63">
        <v>57754</v>
      </c>
      <c r="Z15221" s="61">
        <f>_xll.qlYieldTSDiscount($U$35,Y15221,,Trigger)</f>
        <v>0.44667319058494209</v>
      </c>
    </row>
    <row r="15222" spans="25:26" x14ac:dyDescent="0.25">
      <c r="Y15222" s="63">
        <v>57755</v>
      </c>
      <c r="Z15222" s="61">
        <f>_xll.qlYieldTSDiscount($U$35,Y15222,,Trigger)</f>
        <v>0.44664551420295223</v>
      </c>
    </row>
    <row r="15223" spans="25:26" x14ac:dyDescent="0.25">
      <c r="Y15223" s="63">
        <v>57756</v>
      </c>
      <c r="Z15223" s="61">
        <f>_xll.qlYieldTSDiscount($U$35,Y15223,,Trigger)</f>
        <v>0.44661784028179935</v>
      </c>
    </row>
    <row r="15224" spans="25:26" x14ac:dyDescent="0.25">
      <c r="Y15224" s="63">
        <v>57757</v>
      </c>
      <c r="Z15224" s="61">
        <f>_xll.qlYieldTSDiscount($U$35,Y15224,,Trigger)</f>
        <v>0.44659016882111746</v>
      </c>
    </row>
    <row r="15225" spans="25:26" x14ac:dyDescent="0.25">
      <c r="Y15225" s="63">
        <v>57758</v>
      </c>
      <c r="Z15225" s="61">
        <f>_xll.qlYieldTSDiscount($U$35,Y15225,,Trigger)</f>
        <v>0.44656249982054064</v>
      </c>
    </row>
    <row r="15226" spans="25:26" x14ac:dyDescent="0.25">
      <c r="Y15226" s="63">
        <v>57759</v>
      </c>
      <c r="Z15226" s="61">
        <f>_xll.qlYieldTSDiscount($U$35,Y15226,,Trigger)</f>
        <v>0.44653483327970278</v>
      </c>
    </row>
    <row r="15227" spans="25:26" x14ac:dyDescent="0.25">
      <c r="Y15227" s="63">
        <v>57760</v>
      </c>
      <c r="Z15227" s="61">
        <f>_xll.qlYieldTSDiscount($U$35,Y15227,,Trigger)</f>
        <v>0.44650716919823802</v>
      </c>
    </row>
    <row r="15228" spans="25:26" x14ac:dyDescent="0.25">
      <c r="Y15228" s="63">
        <v>57761</v>
      </c>
      <c r="Z15228" s="61">
        <f>_xll.qlYieldTSDiscount($U$35,Y15228,,Trigger)</f>
        <v>0.44647950757578042</v>
      </c>
    </row>
    <row r="15229" spans="25:26" x14ac:dyDescent="0.25">
      <c r="Y15229" s="63">
        <v>57762</v>
      </c>
      <c r="Z15229" s="61">
        <f>_xll.qlYieldTSDiscount($U$35,Y15229,,Trigger)</f>
        <v>0.44645184841196384</v>
      </c>
    </row>
    <row r="15230" spans="25:26" x14ac:dyDescent="0.25">
      <c r="Y15230" s="63">
        <v>57763</v>
      </c>
      <c r="Z15230" s="61">
        <f>_xll.qlYieldTSDiscount($U$35,Y15230,,Trigger)</f>
        <v>0.44642419170642245</v>
      </c>
    </row>
    <row r="15231" spans="25:26" x14ac:dyDescent="0.25">
      <c r="Y15231" s="63">
        <v>57764</v>
      </c>
      <c r="Z15231" s="61">
        <f>_xll.qlYieldTSDiscount($U$35,Y15231,,Trigger)</f>
        <v>0.44639653745879021</v>
      </c>
    </row>
    <row r="15232" spans="25:26" x14ac:dyDescent="0.25">
      <c r="Y15232" s="63">
        <v>57765</v>
      </c>
      <c r="Z15232" s="61">
        <f>_xll.qlYieldTSDiscount($U$35,Y15232,,Trigger)</f>
        <v>0.44636888566870114</v>
      </c>
    </row>
    <row r="15233" spans="25:26" x14ac:dyDescent="0.25">
      <c r="Y15233" s="63">
        <v>57766</v>
      </c>
      <c r="Z15233" s="61">
        <f>_xll.qlYieldTSDiscount($U$35,Y15233,,Trigger)</f>
        <v>0.44634123633578926</v>
      </c>
    </row>
    <row r="15234" spans="25:26" x14ac:dyDescent="0.25">
      <c r="Y15234" s="63">
        <v>57767</v>
      </c>
      <c r="Z15234" s="61">
        <f>_xll.qlYieldTSDiscount($U$35,Y15234,,Trigger)</f>
        <v>0.44631358945968858</v>
      </c>
    </row>
    <row r="15235" spans="25:26" x14ac:dyDescent="0.25">
      <c r="Y15235" s="63">
        <v>57768</v>
      </c>
      <c r="Z15235" s="61">
        <f>_xll.qlYieldTSDiscount($U$35,Y15235,,Trigger)</f>
        <v>0.44628594504003322</v>
      </c>
    </row>
    <row r="15236" spans="25:26" x14ac:dyDescent="0.25">
      <c r="Y15236" s="63">
        <v>57769</v>
      </c>
      <c r="Z15236" s="61">
        <f>_xll.qlYieldTSDiscount($U$35,Y15236,,Trigger)</f>
        <v>0.44625830307645709</v>
      </c>
    </row>
    <row r="15237" spans="25:26" x14ac:dyDescent="0.25">
      <c r="Y15237" s="63">
        <v>57770</v>
      </c>
      <c r="Z15237" s="61">
        <f>_xll.qlYieldTSDiscount($U$35,Y15237,,Trigger)</f>
        <v>0.4462306635685942</v>
      </c>
    </row>
    <row r="15238" spans="25:26" x14ac:dyDescent="0.25">
      <c r="Y15238" s="63">
        <v>57771</v>
      </c>
      <c r="Z15238" s="61">
        <f>_xll.qlYieldTSDiscount($U$35,Y15238,,Trigger)</f>
        <v>0.44620302651607874</v>
      </c>
    </row>
    <row r="15239" spans="25:26" x14ac:dyDescent="0.25">
      <c r="Y15239" s="63">
        <v>57772</v>
      </c>
      <c r="Z15239" s="61">
        <f>_xll.qlYieldTSDiscount($U$35,Y15239,,Trigger)</f>
        <v>0.44617539191854449</v>
      </c>
    </row>
    <row r="15240" spans="25:26" x14ac:dyDescent="0.25">
      <c r="Y15240" s="63">
        <v>57773</v>
      </c>
      <c r="Z15240" s="61">
        <f>_xll.qlYieldTSDiscount($U$35,Y15240,,Trigger)</f>
        <v>0.4461477597756256</v>
      </c>
    </row>
    <row r="15241" spans="25:26" x14ac:dyDescent="0.25">
      <c r="Y15241" s="63">
        <v>57774</v>
      </c>
      <c r="Z15241" s="61">
        <f>_xll.qlYieldTSDiscount($U$35,Y15241,,Trigger)</f>
        <v>0.44612013008695622</v>
      </c>
    </row>
    <row r="15242" spans="25:26" x14ac:dyDescent="0.25">
      <c r="Y15242" s="63">
        <v>57775</v>
      </c>
      <c r="Z15242" s="61">
        <f>_xll.qlYieldTSDiscount($U$35,Y15242,,Trigger)</f>
        <v>0.44609250285217011</v>
      </c>
    </row>
    <row r="15243" spans="25:26" x14ac:dyDescent="0.25">
      <c r="Y15243" s="63">
        <v>57776</v>
      </c>
      <c r="Z15243" s="61">
        <f>_xll.qlYieldTSDiscount($U$35,Y15243,,Trigger)</f>
        <v>0.44606487807090145</v>
      </c>
    </row>
    <row r="15244" spans="25:26" x14ac:dyDescent="0.25">
      <c r="Y15244" s="63">
        <v>57777</v>
      </c>
      <c r="Z15244" s="61">
        <f>_xll.qlYieldTSDiscount($U$35,Y15244,,Trigger)</f>
        <v>0.4460372557427843</v>
      </c>
    </row>
    <row r="15245" spans="25:26" x14ac:dyDescent="0.25">
      <c r="Y15245" s="63">
        <v>57778</v>
      </c>
      <c r="Z15245" s="61">
        <f>_xll.qlYieldTSDiscount($U$35,Y15245,,Trigger)</f>
        <v>0.44600963586745257</v>
      </c>
    </row>
    <row r="15246" spans="25:26" x14ac:dyDescent="0.25">
      <c r="Y15246" s="63">
        <v>57779</v>
      </c>
      <c r="Z15246" s="61">
        <f>_xll.qlYieldTSDiscount($U$35,Y15246,,Trigger)</f>
        <v>0.44598201844454022</v>
      </c>
    </row>
    <row r="15247" spans="25:26" x14ac:dyDescent="0.25">
      <c r="Y15247" s="63">
        <v>57780</v>
      </c>
      <c r="Z15247" s="61">
        <f>_xll.qlYieldTSDiscount($U$35,Y15247,,Trigger)</f>
        <v>0.44595440347368143</v>
      </c>
    </row>
    <row r="15248" spans="25:26" x14ac:dyDescent="0.25">
      <c r="Y15248" s="63">
        <v>57781</v>
      </c>
      <c r="Z15248" s="61">
        <f>_xll.qlYieldTSDiscount($U$35,Y15248,,Trigger)</f>
        <v>0.44592679095451027</v>
      </c>
    </row>
    <row r="15249" spans="25:26" x14ac:dyDescent="0.25">
      <c r="Y15249" s="63">
        <v>57782</v>
      </c>
      <c r="Z15249" s="61">
        <f>_xll.qlYieldTSDiscount($U$35,Y15249,,Trigger)</f>
        <v>0.44589918088666058</v>
      </c>
    </row>
    <row r="15250" spans="25:26" x14ac:dyDescent="0.25">
      <c r="Y15250" s="63">
        <v>57783</v>
      </c>
      <c r="Z15250" s="61">
        <f>_xll.qlYieldTSDiscount($U$35,Y15250,,Trigger)</f>
        <v>0.44587157326976645</v>
      </c>
    </row>
    <row r="15251" spans="25:26" x14ac:dyDescent="0.25">
      <c r="Y15251" s="63">
        <v>57784</v>
      </c>
      <c r="Z15251" s="61">
        <f>_xll.qlYieldTSDiscount($U$35,Y15251,,Trigger)</f>
        <v>0.44584396810346205</v>
      </c>
    </row>
    <row r="15252" spans="25:26" x14ac:dyDescent="0.25">
      <c r="Y15252" s="63">
        <v>57785</v>
      </c>
      <c r="Z15252" s="61">
        <f>_xll.qlYieldTSDiscount($U$35,Y15252,,Trigger)</f>
        <v>0.44581636538738112</v>
      </c>
    </row>
    <row r="15253" spans="25:26" x14ac:dyDescent="0.25">
      <c r="Y15253" s="63">
        <v>57786</v>
      </c>
      <c r="Z15253" s="61">
        <f>_xll.qlYieldTSDiscount($U$35,Y15253,,Trigger)</f>
        <v>0.44578876512115784</v>
      </c>
    </row>
    <row r="15254" spans="25:26" x14ac:dyDescent="0.25">
      <c r="Y15254" s="63">
        <v>57787</v>
      </c>
      <c r="Z15254" s="61">
        <f>_xll.qlYieldTSDiscount($U$35,Y15254,,Trigger)</f>
        <v>0.44576116730442628</v>
      </c>
    </row>
    <row r="15255" spans="25:26" x14ac:dyDescent="0.25">
      <c r="Y15255" s="63">
        <v>57788</v>
      </c>
      <c r="Z15255" s="61">
        <f>_xll.qlYieldTSDiscount($U$35,Y15255,,Trigger)</f>
        <v>0.44573357193682039</v>
      </c>
    </row>
    <row r="15256" spans="25:26" x14ac:dyDescent="0.25">
      <c r="Y15256" s="63">
        <v>57789</v>
      </c>
      <c r="Z15256" s="61">
        <f>_xll.qlYieldTSDiscount($U$35,Y15256,,Trigger)</f>
        <v>0.44570597901797415</v>
      </c>
    </row>
    <row r="15257" spans="25:26" x14ac:dyDescent="0.25">
      <c r="Y15257" s="63">
        <v>57790</v>
      </c>
      <c r="Z15257" s="61">
        <f>_xll.qlYieldTSDiscount($U$35,Y15257,,Trigger)</f>
        <v>0.44567838854752173</v>
      </c>
    </row>
    <row r="15258" spans="25:26" x14ac:dyDescent="0.25">
      <c r="Y15258" s="63">
        <v>57791</v>
      </c>
      <c r="Z15258" s="61">
        <f>_xll.qlYieldTSDiscount($U$35,Y15258,,Trigger)</f>
        <v>0.44565080052509698</v>
      </c>
    </row>
    <row r="15259" spans="25:26" x14ac:dyDescent="0.25">
      <c r="Y15259" s="63">
        <v>57792</v>
      </c>
      <c r="Z15259" s="61">
        <f>_xll.qlYieldTSDiscount($U$35,Y15259,,Trigger)</f>
        <v>0.44562321495033402</v>
      </c>
    </row>
    <row r="15260" spans="25:26" x14ac:dyDescent="0.25">
      <c r="Y15260" s="63">
        <v>57793</v>
      </c>
      <c r="Z15260" s="61">
        <f>_xll.qlYieldTSDiscount($U$35,Y15260,,Trigger)</f>
        <v>0.44559563182286688</v>
      </c>
    </row>
    <row r="15261" spans="25:26" x14ac:dyDescent="0.25">
      <c r="Y15261" s="63">
        <v>57794</v>
      </c>
      <c r="Z15261" s="61">
        <f>_xll.qlYieldTSDiscount($U$35,Y15261,,Trigger)</f>
        <v>0.44556805114232956</v>
      </c>
    </row>
    <row r="15262" spans="25:26" x14ac:dyDescent="0.25">
      <c r="Y15262" s="63">
        <v>57795</v>
      </c>
      <c r="Z15262" s="61">
        <f>_xll.qlYieldTSDiscount($U$35,Y15262,,Trigger)</f>
        <v>0.44554047290835597</v>
      </c>
    </row>
    <row r="15263" spans="25:26" x14ac:dyDescent="0.25">
      <c r="Y15263" s="63">
        <v>57796</v>
      </c>
      <c r="Z15263" s="61">
        <f>_xll.qlYieldTSDiscount($U$35,Y15263,,Trigger)</f>
        <v>0.44551289712058029</v>
      </c>
    </row>
    <row r="15264" spans="25:26" x14ac:dyDescent="0.25">
      <c r="Y15264" s="63">
        <v>57797</v>
      </c>
      <c r="Z15264" s="61">
        <f>_xll.qlYieldTSDiscount($U$35,Y15264,,Trigger)</f>
        <v>0.44548532377863659</v>
      </c>
    </row>
    <row r="15265" spans="25:26" x14ac:dyDescent="0.25">
      <c r="Y15265" s="63">
        <v>57798</v>
      </c>
      <c r="Z15265" s="61">
        <f>_xll.qlYieldTSDiscount($U$35,Y15265,,Trigger)</f>
        <v>0.44545775288215866</v>
      </c>
    </row>
    <row r="15266" spans="25:26" x14ac:dyDescent="0.25">
      <c r="Y15266" s="63">
        <v>57799</v>
      </c>
      <c r="Z15266" s="61">
        <f>_xll.qlYieldTSDiscount($U$35,Y15266,,Trigger)</f>
        <v>0.4454301844307807</v>
      </c>
    </row>
    <row r="15267" spans="25:26" x14ac:dyDescent="0.25">
      <c r="Y15267" s="63">
        <v>57800</v>
      </c>
      <c r="Z15267" s="61">
        <f>_xll.qlYieldTSDiscount($U$35,Y15267,,Trigger)</f>
        <v>0.44540261842413675</v>
      </c>
    </row>
    <row r="15268" spans="25:26" x14ac:dyDescent="0.25">
      <c r="Y15268" s="63">
        <v>57801</v>
      </c>
      <c r="Z15268" s="61">
        <f>_xll.qlYieldTSDiscount($U$35,Y15268,,Trigger)</f>
        <v>0.44537505486186069</v>
      </c>
    </row>
    <row r="15269" spans="25:26" x14ac:dyDescent="0.25">
      <c r="Y15269" s="63">
        <v>57802</v>
      </c>
      <c r="Z15269" s="61">
        <f>_xll.qlYieldTSDiscount($U$35,Y15269,,Trigger)</f>
        <v>0.44534749374358662</v>
      </c>
    </row>
    <row r="15270" spans="25:26" x14ac:dyDescent="0.25">
      <c r="Y15270" s="63">
        <v>57803</v>
      </c>
      <c r="Z15270" s="61">
        <f>_xll.qlYieldTSDiscount($U$35,Y15270,,Trigger)</f>
        <v>0.44531993506894862</v>
      </c>
    </row>
    <row r="15271" spans="25:26" x14ac:dyDescent="0.25">
      <c r="Y15271" s="63">
        <v>57804</v>
      </c>
      <c r="Z15271" s="61">
        <f>_xll.qlYieldTSDiscount($U$35,Y15271,,Trigger)</f>
        <v>0.44529237883758055</v>
      </c>
    </row>
    <row r="15272" spans="25:26" x14ac:dyDescent="0.25">
      <c r="Y15272" s="63">
        <v>57805</v>
      </c>
      <c r="Z15272" s="61">
        <f>_xll.qlYieldTSDiscount($U$35,Y15272,,Trigger)</f>
        <v>0.44526482504911657</v>
      </c>
    </row>
    <row r="15273" spans="25:26" x14ac:dyDescent="0.25">
      <c r="Y15273" s="63">
        <v>57806</v>
      </c>
      <c r="Z15273" s="61">
        <f>_xll.qlYieldTSDiscount($U$35,Y15273,,Trigger)</f>
        <v>0.44523727370319077</v>
      </c>
    </row>
    <row r="15274" spans="25:26" x14ac:dyDescent="0.25">
      <c r="Y15274" s="63">
        <v>57807</v>
      </c>
      <c r="Z15274" s="61">
        <f>_xll.qlYieldTSDiscount($U$35,Y15274,,Trigger)</f>
        <v>0.44520972479943693</v>
      </c>
    </row>
    <row r="15275" spans="25:26" x14ac:dyDescent="0.25">
      <c r="Y15275" s="63">
        <v>57808</v>
      </c>
      <c r="Z15275" s="61">
        <f>_xll.qlYieldTSDiscount($U$35,Y15275,,Trigger)</f>
        <v>0.44518217833748924</v>
      </c>
    </row>
    <row r="15276" spans="25:26" x14ac:dyDescent="0.25">
      <c r="Y15276" s="63">
        <v>57809</v>
      </c>
      <c r="Z15276" s="61">
        <f>_xll.qlYieldTSDiscount($U$35,Y15276,,Trigger)</f>
        <v>0.44515463431698177</v>
      </c>
    </row>
    <row r="15277" spans="25:26" x14ac:dyDescent="0.25">
      <c r="Y15277" s="63">
        <v>57810</v>
      </c>
      <c r="Z15277" s="61">
        <f>_xll.qlYieldTSDiscount($U$35,Y15277,,Trigger)</f>
        <v>0.44512709273754836</v>
      </c>
    </row>
    <row r="15278" spans="25:26" x14ac:dyDescent="0.25">
      <c r="Y15278" s="63">
        <v>57811</v>
      </c>
      <c r="Z15278" s="61">
        <f>_xll.qlYieldTSDiscount($U$35,Y15278,,Trigger)</f>
        <v>0.44509955359882319</v>
      </c>
    </row>
    <row r="15279" spans="25:26" x14ac:dyDescent="0.25">
      <c r="Y15279" s="63">
        <v>57812</v>
      </c>
      <c r="Z15279" s="61">
        <f>_xll.qlYieldTSDiscount($U$35,Y15279,,Trigger)</f>
        <v>0.44507201690044018</v>
      </c>
    </row>
    <row r="15280" spans="25:26" x14ac:dyDescent="0.25">
      <c r="Y15280" s="63">
        <v>57813</v>
      </c>
      <c r="Z15280" s="61">
        <f>_xll.qlYieldTSDiscount($U$35,Y15280,,Trigger)</f>
        <v>0.44504448264203356</v>
      </c>
    </row>
    <row r="15281" spans="25:26" x14ac:dyDescent="0.25">
      <c r="Y15281" s="63">
        <v>57814</v>
      </c>
      <c r="Z15281" s="61">
        <f>_xll.qlYieldTSDiscount($U$35,Y15281,,Trigger)</f>
        <v>0.445016950823237</v>
      </c>
    </row>
    <row r="15282" spans="25:26" x14ac:dyDescent="0.25">
      <c r="Y15282" s="63">
        <v>57815</v>
      </c>
      <c r="Z15282" s="61">
        <f>_xll.qlYieldTSDiscount($U$35,Y15282,,Trigger)</f>
        <v>0.44498942144368481</v>
      </c>
    </row>
    <row r="15283" spans="25:26" x14ac:dyDescent="0.25">
      <c r="Y15283" s="63">
        <v>57816</v>
      </c>
      <c r="Z15283" s="61">
        <f>_xll.qlYieldTSDiscount($U$35,Y15283,,Trigger)</f>
        <v>0.44496189450301088</v>
      </c>
    </row>
    <row r="15284" spans="25:26" x14ac:dyDescent="0.25">
      <c r="Y15284" s="63">
        <v>57817</v>
      </c>
      <c r="Z15284" s="61">
        <f>_xll.qlYieldTSDiscount($U$35,Y15284,,Trigger)</f>
        <v>0.44493437000084923</v>
      </c>
    </row>
    <row r="15285" spans="25:26" x14ac:dyDescent="0.25">
      <c r="Y15285" s="63">
        <v>57818</v>
      </c>
      <c r="Z15285" s="61">
        <f>_xll.qlYieldTSDiscount($U$35,Y15285,,Trigger)</f>
        <v>0.44490684793683399</v>
      </c>
    </row>
    <row r="15286" spans="25:26" x14ac:dyDescent="0.25">
      <c r="Y15286" s="63">
        <v>57819</v>
      </c>
      <c r="Z15286" s="61">
        <f>_xll.qlYieldTSDiscount($U$35,Y15286,,Trigger)</f>
        <v>0.44487932831059912</v>
      </c>
    </row>
    <row r="15287" spans="25:26" x14ac:dyDescent="0.25">
      <c r="Y15287" s="63">
        <v>57820</v>
      </c>
      <c r="Z15287" s="61">
        <f>_xll.qlYieldTSDiscount($U$35,Y15287,,Trigger)</f>
        <v>0.44485181112177857</v>
      </c>
    </row>
    <row r="15288" spans="25:26" x14ac:dyDescent="0.25">
      <c r="Y15288" s="63">
        <v>57821</v>
      </c>
      <c r="Z15288" s="61">
        <f>_xll.qlYieldTSDiscount($U$35,Y15288,,Trigger)</f>
        <v>0.44482429637000642</v>
      </c>
    </row>
    <row r="15289" spans="25:26" x14ac:dyDescent="0.25">
      <c r="Y15289" s="63">
        <v>57822</v>
      </c>
      <c r="Z15289" s="61">
        <f>_xll.qlYieldTSDiscount($U$35,Y15289,,Trigger)</f>
        <v>0.44479678405491679</v>
      </c>
    </row>
    <row r="15290" spans="25:26" x14ac:dyDescent="0.25">
      <c r="Y15290" s="63">
        <v>57823</v>
      </c>
      <c r="Z15290" s="61">
        <f>_xll.qlYieldTSDiscount($U$35,Y15290,,Trigger)</f>
        <v>0.44476927417614354</v>
      </c>
    </row>
    <row r="15291" spans="25:26" x14ac:dyDescent="0.25">
      <c r="Y15291" s="63">
        <v>57824</v>
      </c>
      <c r="Z15291" s="61">
        <f>_xll.qlYieldTSDiscount($U$35,Y15291,,Trigger)</f>
        <v>0.44474176673332072</v>
      </c>
    </row>
    <row r="15292" spans="25:26" x14ac:dyDescent="0.25">
      <c r="Y15292" s="63">
        <v>57825</v>
      </c>
      <c r="Z15292" s="61">
        <f>_xll.qlYieldTSDiscount($U$35,Y15292,,Trigger)</f>
        <v>0.44471426172608242</v>
      </c>
    </row>
    <row r="15293" spans="25:26" x14ac:dyDescent="0.25">
      <c r="Y15293" s="63">
        <v>57826</v>
      </c>
      <c r="Z15293" s="61">
        <f>_xll.qlYieldTSDiscount($U$35,Y15293,,Trigger)</f>
        <v>0.44468675915406264</v>
      </c>
    </row>
    <row r="15294" spans="25:26" x14ac:dyDescent="0.25">
      <c r="Y15294" s="63">
        <v>57827</v>
      </c>
      <c r="Z15294" s="61">
        <f>_xll.qlYieldTSDiscount($U$35,Y15294,,Trigger)</f>
        <v>0.4446592590168954</v>
      </c>
    </row>
    <row r="15295" spans="25:26" x14ac:dyDescent="0.25">
      <c r="Y15295" s="63">
        <v>57828</v>
      </c>
      <c r="Z15295" s="61">
        <f>_xll.qlYieldTSDiscount($U$35,Y15295,,Trigger)</f>
        <v>0.44463176131421472</v>
      </c>
    </row>
    <row r="15296" spans="25:26" x14ac:dyDescent="0.25">
      <c r="Y15296" s="63">
        <v>57829</v>
      </c>
      <c r="Z15296" s="61">
        <f>_xll.qlYieldTSDiscount($U$35,Y15296,,Trigger)</f>
        <v>0.44460426604565467</v>
      </c>
    </row>
    <row r="15297" spans="25:26" x14ac:dyDescent="0.25">
      <c r="Y15297" s="63">
        <v>57830</v>
      </c>
      <c r="Z15297" s="61">
        <f>_xll.qlYieldTSDiscount($U$35,Y15297,,Trigger)</f>
        <v>0.44457677321084915</v>
      </c>
    </row>
    <row r="15298" spans="25:26" x14ac:dyDescent="0.25">
      <c r="Y15298" s="63">
        <v>57831</v>
      </c>
      <c r="Z15298" s="61">
        <f>_xll.qlYieldTSDiscount($U$35,Y15298,,Trigger)</f>
        <v>0.44454928280943229</v>
      </c>
    </row>
    <row r="15299" spans="25:26" x14ac:dyDescent="0.25">
      <c r="Y15299" s="63">
        <v>57832</v>
      </c>
      <c r="Z15299" s="61">
        <f>_xll.qlYieldTSDiscount($U$35,Y15299,,Trigger)</f>
        <v>0.44452179484103804</v>
      </c>
    </row>
    <row r="15300" spans="25:26" x14ac:dyDescent="0.25">
      <c r="Y15300" s="63">
        <v>57833</v>
      </c>
      <c r="Z15300" s="61">
        <f>_xll.qlYieldTSDiscount($U$35,Y15300,,Trigger)</f>
        <v>0.44449430930530043</v>
      </c>
    </row>
    <row r="15301" spans="25:26" x14ac:dyDescent="0.25">
      <c r="Y15301" s="63">
        <v>57834</v>
      </c>
      <c r="Z15301" s="61">
        <f>_xll.qlYieldTSDiscount($U$35,Y15301,,Trigger)</f>
        <v>0.44446682620185357</v>
      </c>
    </row>
    <row r="15302" spans="25:26" x14ac:dyDescent="0.25">
      <c r="Y15302" s="63">
        <v>57835</v>
      </c>
      <c r="Z15302" s="61">
        <f>_xll.qlYieldTSDiscount($U$35,Y15302,,Trigger)</f>
        <v>0.44443934553033143</v>
      </c>
    </row>
    <row r="15303" spans="25:26" x14ac:dyDescent="0.25">
      <c r="Y15303" s="63">
        <v>57836</v>
      </c>
      <c r="Z15303" s="61">
        <f>_xll.qlYieldTSDiscount($U$35,Y15303,,Trigger)</f>
        <v>0.44441186729036797</v>
      </c>
    </row>
    <row r="15304" spans="25:26" x14ac:dyDescent="0.25">
      <c r="Y15304" s="63">
        <v>57837</v>
      </c>
      <c r="Z15304" s="61">
        <f>_xll.qlYieldTSDiscount($U$35,Y15304,,Trigger)</f>
        <v>0.44438439148159725</v>
      </c>
    </row>
    <row r="15305" spans="25:26" x14ac:dyDescent="0.25">
      <c r="Y15305" s="63">
        <v>57838</v>
      </c>
      <c r="Z15305" s="61">
        <f>_xll.qlYieldTSDiscount($U$35,Y15305,,Trigger)</f>
        <v>0.44435691810365341</v>
      </c>
    </row>
    <row r="15306" spans="25:26" x14ac:dyDescent="0.25">
      <c r="Y15306" s="63">
        <v>57839</v>
      </c>
      <c r="Z15306" s="61">
        <f>_xll.qlYieldTSDiscount($U$35,Y15306,,Trigger)</f>
        <v>0.44432944715617029</v>
      </c>
    </row>
    <row r="15307" spans="25:26" x14ac:dyDescent="0.25">
      <c r="Y15307" s="63">
        <v>57840</v>
      </c>
      <c r="Z15307" s="61">
        <f>_xll.qlYieldTSDiscount($U$35,Y15307,,Trigger)</f>
        <v>0.44430197863878196</v>
      </c>
    </row>
    <row r="15308" spans="25:26" x14ac:dyDescent="0.25">
      <c r="Y15308" s="63">
        <v>57841</v>
      </c>
      <c r="Z15308" s="61">
        <f>_xll.qlYieldTSDiscount($U$35,Y15308,,Trigger)</f>
        <v>0.44427451255112249</v>
      </c>
    </row>
    <row r="15309" spans="25:26" x14ac:dyDescent="0.25">
      <c r="Y15309" s="63">
        <v>57842</v>
      </c>
      <c r="Z15309" s="61">
        <f>_xll.qlYieldTSDiscount($U$35,Y15309,,Trigger)</f>
        <v>0.44424704889282596</v>
      </c>
    </row>
    <row r="15310" spans="25:26" x14ac:dyDescent="0.25">
      <c r="Y15310" s="63">
        <v>57843</v>
      </c>
      <c r="Z15310" s="61">
        <f>_xll.qlYieldTSDiscount($U$35,Y15310,,Trigger)</f>
        <v>0.44421958766352621</v>
      </c>
    </row>
    <row r="15311" spans="25:26" x14ac:dyDescent="0.25">
      <c r="Y15311" s="63">
        <v>57844</v>
      </c>
      <c r="Z15311" s="61">
        <f>_xll.qlYieldTSDiscount($U$35,Y15311,,Trigger)</f>
        <v>0.44419212886285742</v>
      </c>
    </row>
    <row r="15312" spans="25:26" x14ac:dyDescent="0.25">
      <c r="Y15312" s="63">
        <v>57845</v>
      </c>
      <c r="Z15312" s="61">
        <f>_xll.qlYieldTSDiscount($U$35,Y15312,,Trigger)</f>
        <v>0.4441646724904536</v>
      </c>
    </row>
    <row r="15313" spans="25:26" x14ac:dyDescent="0.25">
      <c r="Y15313" s="63">
        <v>57846</v>
      </c>
      <c r="Z15313" s="61">
        <f>_xll.qlYieldTSDiscount($U$35,Y15313,,Trigger)</f>
        <v>0.44413721854594868</v>
      </c>
    </row>
    <row r="15314" spans="25:26" x14ac:dyDescent="0.25">
      <c r="Y15314" s="63">
        <v>57847</v>
      </c>
      <c r="Z15314" s="61">
        <f>_xll.qlYieldTSDiscount($U$35,Y15314,,Trigger)</f>
        <v>0.4441097670289767</v>
      </c>
    </row>
    <row r="15315" spans="25:26" x14ac:dyDescent="0.25">
      <c r="Y15315" s="63">
        <v>57848</v>
      </c>
      <c r="Z15315" s="61">
        <f>_xll.qlYieldTSDiscount($U$35,Y15315,,Trigger)</f>
        <v>0.44408231793917174</v>
      </c>
    </row>
    <row r="15316" spans="25:26" x14ac:dyDescent="0.25">
      <c r="Y15316" s="63">
        <v>57849</v>
      </c>
      <c r="Z15316" s="61">
        <f>_xll.qlYieldTSDiscount($U$35,Y15316,,Trigger)</f>
        <v>0.44405487127616783</v>
      </c>
    </row>
    <row r="15317" spans="25:26" x14ac:dyDescent="0.25">
      <c r="Y15317" s="63">
        <v>57850</v>
      </c>
      <c r="Z15317" s="61">
        <f>_xll.qlYieldTSDiscount($U$35,Y15317,,Trigger)</f>
        <v>0.44402742703959891</v>
      </c>
    </row>
    <row r="15318" spans="25:26" x14ac:dyDescent="0.25">
      <c r="Y15318" s="63">
        <v>57851</v>
      </c>
      <c r="Z15318" s="61">
        <f>_xll.qlYieldTSDiscount($U$35,Y15318,,Trigger)</f>
        <v>0.44399998522909911</v>
      </c>
    </row>
    <row r="15319" spans="25:26" x14ac:dyDescent="0.25">
      <c r="Y15319" s="63">
        <v>57852</v>
      </c>
      <c r="Z15319" s="61">
        <f>_xll.qlYieldTSDiscount($U$35,Y15319,,Trigger)</f>
        <v>0.44397254584430235</v>
      </c>
    </row>
    <row r="15320" spans="25:26" x14ac:dyDescent="0.25">
      <c r="Y15320" s="63">
        <v>57853</v>
      </c>
      <c r="Z15320" s="61">
        <f>_xll.qlYieldTSDiscount($U$35,Y15320,,Trigger)</f>
        <v>0.44394510888484268</v>
      </c>
    </row>
    <row r="15321" spans="25:26" x14ac:dyDescent="0.25">
      <c r="Y15321" s="63">
        <v>57854</v>
      </c>
      <c r="Z15321" s="61">
        <f>_xll.qlYieldTSDiscount($U$35,Y15321,,Trigger)</f>
        <v>0.44391767435035423</v>
      </c>
    </row>
    <row r="15322" spans="25:26" x14ac:dyDescent="0.25">
      <c r="Y15322" s="63">
        <v>57855</v>
      </c>
      <c r="Z15322" s="61">
        <f>_xll.qlYieldTSDiscount($U$35,Y15322,,Trigger)</f>
        <v>0.4438902422404708</v>
      </c>
    </row>
    <row r="15323" spans="25:26" x14ac:dyDescent="0.25">
      <c r="Y15323" s="63">
        <v>57856</v>
      </c>
      <c r="Z15323" s="61">
        <f>_xll.qlYieldTSDiscount($U$35,Y15323,,Trigger)</f>
        <v>0.44386281255482657</v>
      </c>
    </row>
    <row r="15324" spans="25:26" x14ac:dyDescent="0.25">
      <c r="Y15324" s="63">
        <v>57857</v>
      </c>
      <c r="Z15324" s="61">
        <f>_xll.qlYieldTSDiscount($U$35,Y15324,,Trigger)</f>
        <v>0.44383538529305555</v>
      </c>
    </row>
    <row r="15325" spans="25:26" x14ac:dyDescent="0.25">
      <c r="Y15325" s="63">
        <v>57858</v>
      </c>
      <c r="Z15325" s="61">
        <f>_xll.qlYieldTSDiscount($U$35,Y15325,,Trigger)</f>
        <v>0.44380796045479176</v>
      </c>
    </row>
    <row r="15326" spans="25:26" x14ac:dyDescent="0.25">
      <c r="Y15326" s="63">
        <v>57859</v>
      </c>
      <c r="Z15326" s="61">
        <f>_xll.qlYieldTSDiscount($U$35,Y15326,,Trigger)</f>
        <v>0.44378053803966921</v>
      </c>
    </row>
    <row r="15327" spans="25:26" x14ac:dyDescent="0.25">
      <c r="Y15327" s="63">
        <v>57860</v>
      </c>
      <c r="Z15327" s="61">
        <f>_xll.qlYieldTSDiscount($U$35,Y15327,,Trigger)</f>
        <v>0.44375311804732187</v>
      </c>
    </row>
    <row r="15328" spans="25:26" x14ac:dyDescent="0.25">
      <c r="Y15328" s="63">
        <v>57861</v>
      </c>
      <c r="Z15328" s="61">
        <f>_xll.qlYieldTSDiscount($U$35,Y15328,,Trigger)</f>
        <v>0.44372570047738386</v>
      </c>
    </row>
    <row r="15329" spans="25:26" x14ac:dyDescent="0.25">
      <c r="Y15329" s="63">
        <v>57862</v>
      </c>
      <c r="Z15329" s="61">
        <f>_xll.qlYieldTSDiscount($U$35,Y15329,,Trigger)</f>
        <v>0.44369828532948907</v>
      </c>
    </row>
    <row r="15330" spans="25:26" x14ac:dyDescent="0.25">
      <c r="Y15330" s="63">
        <v>57863</v>
      </c>
      <c r="Z15330" s="61">
        <f>_xll.qlYieldTSDiscount($U$35,Y15330,,Trigger)</f>
        <v>0.44367087260327165</v>
      </c>
    </row>
    <row r="15331" spans="25:26" x14ac:dyDescent="0.25">
      <c r="Y15331" s="63">
        <v>57864</v>
      </c>
      <c r="Z15331" s="61">
        <f>_xll.qlYieldTSDiscount($U$35,Y15331,,Trigger)</f>
        <v>0.4436434622983656</v>
      </c>
    </row>
    <row r="15332" spans="25:26" x14ac:dyDescent="0.25">
      <c r="Y15332" s="63">
        <v>57865</v>
      </c>
      <c r="Z15332" s="61">
        <f>_xll.qlYieldTSDiscount($U$35,Y15332,,Trigger)</f>
        <v>0.44361605441440494</v>
      </c>
    </row>
    <row r="15333" spans="25:26" x14ac:dyDescent="0.25">
      <c r="Y15333" s="63">
        <v>57866</v>
      </c>
      <c r="Z15333" s="61">
        <f>_xll.qlYieldTSDiscount($U$35,Y15333,,Trigger)</f>
        <v>0.44358864895102357</v>
      </c>
    </row>
    <row r="15334" spans="25:26" x14ac:dyDescent="0.25">
      <c r="Y15334" s="63">
        <v>57867</v>
      </c>
      <c r="Z15334" s="61">
        <f>_xll.qlYieldTSDiscount($U$35,Y15334,,Trigger)</f>
        <v>0.44356124590785573</v>
      </c>
    </row>
    <row r="15335" spans="25:26" x14ac:dyDescent="0.25">
      <c r="Y15335" s="63">
        <v>57868</v>
      </c>
      <c r="Z15335" s="61">
        <f>_xll.qlYieldTSDiscount($U$35,Y15335,,Trigger)</f>
        <v>0.44353384528453521</v>
      </c>
    </row>
    <row r="15336" spans="25:26" x14ac:dyDescent="0.25">
      <c r="Y15336" s="63">
        <v>57869</v>
      </c>
      <c r="Z15336" s="61">
        <f>_xll.qlYieldTSDiscount($U$35,Y15336,,Trigger)</f>
        <v>0.4435064470806962</v>
      </c>
    </row>
    <row r="15337" spans="25:26" x14ac:dyDescent="0.25">
      <c r="Y15337" s="63">
        <v>57870</v>
      </c>
      <c r="Z15337" s="61">
        <f>_xll.qlYieldTSDiscount($U$35,Y15337,,Trigger)</f>
        <v>0.44347905129597265</v>
      </c>
    </row>
    <row r="15338" spans="25:26" x14ac:dyDescent="0.25">
      <c r="Y15338" s="63">
        <v>57871</v>
      </c>
      <c r="Z15338" s="61">
        <f>_xll.qlYieldTSDiscount($U$35,Y15338,,Trigger)</f>
        <v>0.44345165792999863</v>
      </c>
    </row>
    <row r="15339" spans="25:26" x14ac:dyDescent="0.25">
      <c r="Y15339" s="63">
        <v>57872</v>
      </c>
      <c r="Z15339" s="61">
        <f>_xll.qlYieldTSDiscount($U$35,Y15339,,Trigger)</f>
        <v>0.44342426698240811</v>
      </c>
    </row>
    <row r="15340" spans="25:26" x14ac:dyDescent="0.25">
      <c r="Y15340" s="63">
        <v>57873</v>
      </c>
      <c r="Z15340" s="61">
        <f>_xll.qlYieldTSDiscount($U$35,Y15340,,Trigger)</f>
        <v>0.44339687845283504</v>
      </c>
    </row>
    <row r="15341" spans="25:26" x14ac:dyDescent="0.25">
      <c r="Y15341" s="63">
        <v>57874</v>
      </c>
      <c r="Z15341" s="61">
        <f>_xll.qlYieldTSDiscount($U$35,Y15341,,Trigger)</f>
        <v>0.44336949234091372</v>
      </c>
    </row>
    <row r="15342" spans="25:26" x14ac:dyDescent="0.25">
      <c r="Y15342" s="63">
        <v>57875</v>
      </c>
      <c r="Z15342" s="61">
        <f>_xll.qlYieldTSDiscount($U$35,Y15342,,Trigger)</f>
        <v>0.44334210864627782</v>
      </c>
    </row>
    <row r="15343" spans="25:26" x14ac:dyDescent="0.25">
      <c r="Y15343" s="63">
        <v>57876</v>
      </c>
      <c r="Z15343" s="61">
        <f>_xll.qlYieldTSDiscount($U$35,Y15343,,Trigger)</f>
        <v>0.44331472736856159</v>
      </c>
    </row>
    <row r="15344" spans="25:26" x14ac:dyDescent="0.25">
      <c r="Y15344" s="63">
        <v>57877</v>
      </c>
      <c r="Z15344" s="61">
        <f>_xll.qlYieldTSDiscount($U$35,Y15344,,Trigger)</f>
        <v>0.44328734850739904</v>
      </c>
    </row>
    <row r="15345" spans="25:26" x14ac:dyDescent="0.25">
      <c r="Y15345" s="63">
        <v>57878</v>
      </c>
      <c r="Z15345" s="61">
        <f>_xll.qlYieldTSDiscount($U$35,Y15345,,Trigger)</f>
        <v>0.44325997206242401</v>
      </c>
    </row>
    <row r="15346" spans="25:26" x14ac:dyDescent="0.25">
      <c r="Y15346" s="63">
        <v>57879</v>
      </c>
      <c r="Z15346" s="61">
        <f>_xll.qlYieldTSDiscount($U$35,Y15346,,Trigger)</f>
        <v>0.44323259803327075</v>
      </c>
    </row>
    <row r="15347" spans="25:26" x14ac:dyDescent="0.25">
      <c r="Y15347" s="63">
        <v>57880</v>
      </c>
      <c r="Z15347" s="61">
        <f>_xll.qlYieldTSDiscount($U$35,Y15347,,Trigger)</f>
        <v>0.44320522641957316</v>
      </c>
    </row>
    <row r="15348" spans="25:26" x14ac:dyDescent="0.25">
      <c r="Y15348" s="63">
        <v>57881</v>
      </c>
      <c r="Z15348" s="61">
        <f>_xll.qlYieldTSDiscount($U$35,Y15348,,Trigger)</f>
        <v>0.44317785722096525</v>
      </c>
    </row>
    <row r="15349" spans="25:26" x14ac:dyDescent="0.25">
      <c r="Y15349" s="63">
        <v>57882</v>
      </c>
      <c r="Z15349" s="61">
        <f>_xll.qlYieldTSDiscount($U$35,Y15349,,Trigger)</f>
        <v>0.4431504904370811</v>
      </c>
    </row>
    <row r="15350" spans="25:26" x14ac:dyDescent="0.25">
      <c r="Y15350" s="63">
        <v>57883</v>
      </c>
      <c r="Z15350" s="61">
        <f>_xll.qlYieldTSDiscount($U$35,Y15350,,Trigger)</f>
        <v>0.44312312606755477</v>
      </c>
    </row>
    <row r="15351" spans="25:26" x14ac:dyDescent="0.25">
      <c r="Y15351" s="63">
        <v>57884</v>
      </c>
      <c r="Z15351" s="61">
        <f>_xll.qlYieldTSDiscount($U$35,Y15351,,Trigger)</f>
        <v>0.44309576411202017</v>
      </c>
    </row>
    <row r="15352" spans="25:26" x14ac:dyDescent="0.25">
      <c r="Y15352" s="63">
        <v>57885</v>
      </c>
      <c r="Z15352" s="61">
        <f>_xll.qlYieldTSDiscount($U$35,Y15352,,Trigger)</f>
        <v>0.44306840457011132</v>
      </c>
    </row>
    <row r="15353" spans="25:26" x14ac:dyDescent="0.25">
      <c r="Y15353" s="63">
        <v>57886</v>
      </c>
      <c r="Z15353" s="61">
        <f>_xll.qlYieldTSDiscount($U$35,Y15353,,Trigger)</f>
        <v>0.44304104744146239</v>
      </c>
    </row>
    <row r="15354" spans="25:26" x14ac:dyDescent="0.25">
      <c r="Y15354" s="63">
        <v>57887</v>
      </c>
      <c r="Z15354" s="61">
        <f>_xll.qlYieldTSDiscount($U$35,Y15354,,Trigger)</f>
        <v>0.44301369272570729</v>
      </c>
    </row>
    <row r="15355" spans="25:26" x14ac:dyDescent="0.25">
      <c r="Y15355" s="63">
        <v>57888</v>
      </c>
      <c r="Z15355" s="61">
        <f>_xll.qlYieldTSDiscount($U$35,Y15355,,Trigger)</f>
        <v>0.44298634042248003</v>
      </c>
    </row>
    <row r="15356" spans="25:26" x14ac:dyDescent="0.25">
      <c r="Y15356" s="63">
        <v>57889</v>
      </c>
      <c r="Z15356" s="61">
        <f>_xll.qlYieldTSDiscount($U$35,Y15356,,Trigger)</f>
        <v>0.44295899053141463</v>
      </c>
    </row>
    <row r="15357" spans="25:26" x14ac:dyDescent="0.25">
      <c r="Y15357" s="63">
        <v>57890</v>
      </c>
      <c r="Z15357" s="61">
        <f>_xll.qlYieldTSDiscount($U$35,Y15357,,Trigger)</f>
        <v>0.44293164305214527</v>
      </c>
    </row>
    <row r="15358" spans="25:26" x14ac:dyDescent="0.25">
      <c r="Y15358" s="63">
        <v>57891</v>
      </c>
      <c r="Z15358" s="61">
        <f>_xll.qlYieldTSDiscount($U$35,Y15358,,Trigger)</f>
        <v>0.44290429798430569</v>
      </c>
    </row>
    <row r="15359" spans="25:26" x14ac:dyDescent="0.25">
      <c r="Y15359" s="63">
        <v>57892</v>
      </c>
      <c r="Z15359" s="61">
        <f>_xll.qlYieldTSDiscount($U$35,Y15359,,Trigger)</f>
        <v>0.44287695532753013</v>
      </c>
    </row>
    <row r="15360" spans="25:26" x14ac:dyDescent="0.25">
      <c r="Y15360" s="63">
        <v>57893</v>
      </c>
      <c r="Z15360" s="61">
        <f>_xll.qlYieldTSDiscount($U$35,Y15360,,Trigger)</f>
        <v>0.4428496150814526</v>
      </c>
    </row>
    <row r="15361" spans="25:26" x14ac:dyDescent="0.25">
      <c r="Y15361" s="63">
        <v>57894</v>
      </c>
      <c r="Z15361" s="61">
        <f>_xll.qlYieldTSDiscount($U$35,Y15361,,Trigger)</f>
        <v>0.442822277245707</v>
      </c>
    </row>
    <row r="15362" spans="25:26" x14ac:dyDescent="0.25">
      <c r="Y15362" s="63">
        <v>57895</v>
      </c>
      <c r="Z15362" s="61">
        <f>_xll.qlYieldTSDiscount($U$35,Y15362,,Trigger)</f>
        <v>0.4427949418199274</v>
      </c>
    </row>
    <row r="15363" spans="25:26" x14ac:dyDescent="0.25">
      <c r="Y15363" s="63">
        <v>57896</v>
      </c>
      <c r="Z15363" s="61">
        <f>_xll.qlYieldTSDiscount($U$35,Y15363,,Trigger)</f>
        <v>0.44276760880374799</v>
      </c>
    </row>
    <row r="15364" spans="25:26" x14ac:dyDescent="0.25">
      <c r="Y15364" s="63">
        <v>57897</v>
      </c>
      <c r="Z15364" s="61">
        <f>_xll.qlYieldTSDiscount($U$35,Y15364,,Trigger)</f>
        <v>0.44274027819680251</v>
      </c>
    </row>
    <row r="15365" spans="25:26" x14ac:dyDescent="0.25">
      <c r="Y15365" s="63">
        <v>57898</v>
      </c>
      <c r="Z15365" s="61">
        <f>_xll.qlYieldTSDiscount($U$35,Y15365,,Trigger)</f>
        <v>0.44271294999872512</v>
      </c>
    </row>
    <row r="15366" spans="25:26" x14ac:dyDescent="0.25">
      <c r="Y15366" s="63">
        <v>57899</v>
      </c>
      <c r="Z15366" s="61">
        <f>_xll.qlYieldTSDiscount($U$35,Y15366,,Trigger)</f>
        <v>0.44268562420914992</v>
      </c>
    </row>
    <row r="15367" spans="25:26" x14ac:dyDescent="0.25">
      <c r="Y15367" s="63">
        <v>57900</v>
      </c>
      <c r="Z15367" s="61">
        <f>_xll.qlYieldTSDiscount($U$35,Y15367,,Trigger)</f>
        <v>0.44265830082771074</v>
      </c>
    </row>
    <row r="15368" spans="25:26" x14ac:dyDescent="0.25">
      <c r="Y15368" s="63">
        <v>57901</v>
      </c>
      <c r="Z15368" s="61">
        <f>_xll.qlYieldTSDiscount($U$35,Y15368,,Trigger)</f>
        <v>0.44263097985404176</v>
      </c>
    </row>
    <row r="15369" spans="25:26" x14ac:dyDescent="0.25">
      <c r="Y15369" s="63">
        <v>57902</v>
      </c>
      <c r="Z15369" s="61">
        <f>_xll.qlYieldTSDiscount($U$35,Y15369,,Trigger)</f>
        <v>0.44260366128777695</v>
      </c>
    </row>
    <row r="15370" spans="25:26" x14ac:dyDescent="0.25">
      <c r="Y15370" s="63">
        <v>57903</v>
      </c>
      <c r="Z15370" s="61">
        <f>_xll.qlYieldTSDiscount($U$35,Y15370,,Trigger)</f>
        <v>0.44257634512855037</v>
      </c>
    </row>
    <row r="15371" spans="25:26" x14ac:dyDescent="0.25">
      <c r="Y15371" s="63">
        <v>57904</v>
      </c>
      <c r="Z15371" s="61">
        <f>_xll.qlYieldTSDiscount($U$35,Y15371,,Trigger)</f>
        <v>0.44254903137599599</v>
      </c>
    </row>
    <row r="15372" spans="25:26" x14ac:dyDescent="0.25">
      <c r="Y15372" s="63">
        <v>57905</v>
      </c>
      <c r="Z15372" s="61">
        <f>_xll.qlYieldTSDiscount($U$35,Y15372,,Trigger)</f>
        <v>0.44252172002974788</v>
      </c>
    </row>
    <row r="15373" spans="25:26" x14ac:dyDescent="0.25">
      <c r="Y15373" s="63">
        <v>57906</v>
      </c>
      <c r="Z15373" s="61">
        <f>_xll.qlYieldTSDiscount($U$35,Y15373,,Trigger)</f>
        <v>0.44249441108943999</v>
      </c>
    </row>
    <row r="15374" spans="25:26" x14ac:dyDescent="0.25">
      <c r="Y15374" s="63">
        <v>57907</v>
      </c>
      <c r="Z15374" s="61">
        <f>_xll.qlYieldTSDiscount($U$35,Y15374,,Trigger)</f>
        <v>0.44246710455470639</v>
      </c>
    </row>
    <row r="15375" spans="25:26" x14ac:dyDescent="0.25">
      <c r="Y15375" s="63">
        <v>57908</v>
      </c>
      <c r="Z15375" s="61">
        <f>_xll.qlYieldTSDiscount($U$35,Y15375,,Trigger)</f>
        <v>0.44243980042518111</v>
      </c>
    </row>
    <row r="15376" spans="25:26" x14ac:dyDescent="0.25">
      <c r="Y15376" s="63">
        <v>57909</v>
      </c>
      <c r="Z15376" s="61">
        <f>_xll.qlYieldTSDiscount($U$35,Y15376,,Trigger)</f>
        <v>0.44241249870049815</v>
      </c>
    </row>
    <row r="15377" spans="25:26" x14ac:dyDescent="0.25">
      <c r="Y15377" s="63">
        <v>57910</v>
      </c>
      <c r="Z15377" s="61">
        <f>_xll.qlYieldTSDiscount($U$35,Y15377,,Trigger)</f>
        <v>0.44238519938029153</v>
      </c>
    </row>
    <row r="15378" spans="25:26" x14ac:dyDescent="0.25">
      <c r="Y15378" s="63">
        <v>57911</v>
      </c>
      <c r="Z15378" s="61">
        <f>_xll.qlYieldTSDiscount($U$35,Y15378,,Trigger)</f>
        <v>0.44235790246419532</v>
      </c>
    </row>
    <row r="15379" spans="25:26" x14ac:dyDescent="0.25">
      <c r="Y15379" s="63">
        <v>57912</v>
      </c>
      <c r="Z15379" s="61">
        <f>_xll.qlYieldTSDiscount($U$35,Y15379,,Trigger)</f>
        <v>0.44233060795184354</v>
      </c>
    </row>
    <row r="15380" spans="25:26" x14ac:dyDescent="0.25">
      <c r="Y15380" s="63">
        <v>57913</v>
      </c>
      <c r="Z15380" s="61">
        <f>_xll.qlYieldTSDiscount($U$35,Y15380,,Trigger)</f>
        <v>0.44230331584287008</v>
      </c>
    </row>
    <row r="15381" spans="25:26" x14ac:dyDescent="0.25">
      <c r="Y15381" s="63">
        <v>57914</v>
      </c>
      <c r="Z15381" s="61">
        <f>_xll.qlYieldTSDiscount($U$35,Y15381,,Trigger)</f>
        <v>0.44227602613690908</v>
      </c>
    </row>
    <row r="15382" spans="25:26" x14ac:dyDescent="0.25">
      <c r="Y15382" s="63">
        <v>57915</v>
      </c>
      <c r="Z15382" s="61">
        <f>_xll.qlYieldTSDiscount($U$35,Y15382,,Trigger)</f>
        <v>0.4422487388335945</v>
      </c>
    </row>
    <row r="15383" spans="25:26" x14ac:dyDescent="0.25">
      <c r="Y15383" s="63">
        <v>57916</v>
      </c>
      <c r="Z15383" s="61">
        <f>_xll.qlYieldTSDiscount($U$35,Y15383,,Trigger)</f>
        <v>0.44222145393256052</v>
      </c>
    </row>
    <row r="15384" spans="25:26" x14ac:dyDescent="0.25">
      <c r="Y15384" s="63">
        <v>57917</v>
      </c>
      <c r="Z15384" s="61">
        <f>_xll.qlYieldTSDiscount($U$35,Y15384,,Trigger)</f>
        <v>0.44219417143344097</v>
      </c>
    </row>
    <row r="15385" spans="25:26" x14ac:dyDescent="0.25">
      <c r="Y15385" s="63">
        <v>57918</v>
      </c>
      <c r="Z15385" s="61">
        <f>_xll.qlYieldTSDiscount($U$35,Y15385,,Trigger)</f>
        <v>0.44216689133586989</v>
      </c>
    </row>
    <row r="15386" spans="25:26" x14ac:dyDescent="0.25">
      <c r="Y15386" s="63">
        <v>57919</v>
      </c>
      <c r="Z15386" s="61">
        <f>_xll.qlYieldTSDiscount($U$35,Y15386,,Trigger)</f>
        <v>0.44213961363948151</v>
      </c>
    </row>
    <row r="15387" spans="25:26" x14ac:dyDescent="0.25">
      <c r="Y15387" s="63">
        <v>57920</v>
      </c>
      <c r="Z15387" s="61">
        <f>_xll.qlYieldTSDiscount($U$35,Y15387,,Trigger)</f>
        <v>0.44211233834390956</v>
      </c>
    </row>
    <row r="15388" spans="25:26" x14ac:dyDescent="0.25">
      <c r="Y15388" s="63">
        <v>57921</v>
      </c>
      <c r="Z15388" s="61">
        <f>_xll.qlYieldTSDiscount($U$35,Y15388,,Trigger)</f>
        <v>0.44208506544878823</v>
      </c>
    </row>
    <row r="15389" spans="25:26" x14ac:dyDescent="0.25">
      <c r="Y15389" s="63">
        <v>57922</v>
      </c>
      <c r="Z15389" s="61">
        <f>_xll.qlYieldTSDiscount($U$35,Y15389,,Trigger)</f>
        <v>0.44205779495375153</v>
      </c>
    </row>
    <row r="15390" spans="25:26" x14ac:dyDescent="0.25">
      <c r="Y15390" s="63">
        <v>57923</v>
      </c>
      <c r="Z15390" s="61">
        <f>_xll.qlYieldTSDiscount($U$35,Y15390,,Trigger)</f>
        <v>0.44203052685843347</v>
      </c>
    </row>
    <row r="15391" spans="25:26" x14ac:dyDescent="0.25">
      <c r="Y15391" s="63">
        <v>57924</v>
      </c>
      <c r="Z15391" s="61">
        <f>_xll.qlYieldTSDiscount($U$35,Y15391,,Trigger)</f>
        <v>0.44200326116246802</v>
      </c>
    </row>
    <row r="15392" spans="25:26" x14ac:dyDescent="0.25">
      <c r="Y15392" s="63">
        <v>57925</v>
      </c>
      <c r="Z15392" s="61">
        <f>_xll.qlYieldTSDiscount($U$35,Y15392,,Trigger)</f>
        <v>0.44197599786548936</v>
      </c>
    </row>
    <row r="15393" spans="25:26" x14ac:dyDescent="0.25">
      <c r="Y15393" s="63">
        <v>57926</v>
      </c>
      <c r="Z15393" s="61">
        <f>_xll.qlYieldTSDiscount($U$35,Y15393,,Trigger)</f>
        <v>0.44194873696713133</v>
      </c>
    </row>
    <row r="15394" spans="25:26" x14ac:dyDescent="0.25">
      <c r="Y15394" s="63">
        <v>57927</v>
      </c>
      <c r="Z15394" s="61">
        <f>_xll.qlYieldTSDiscount($U$35,Y15394,,Trigger)</f>
        <v>0.44192147846702801</v>
      </c>
    </row>
    <row r="15395" spans="25:26" x14ac:dyDescent="0.25">
      <c r="Y15395" s="63">
        <v>57928</v>
      </c>
      <c r="Z15395" s="61">
        <f>_xll.qlYieldTSDiscount($U$35,Y15395,,Trigger)</f>
        <v>0.44189422236481346</v>
      </c>
    </row>
    <row r="15396" spans="25:26" x14ac:dyDescent="0.25">
      <c r="Y15396" s="63">
        <v>57929</v>
      </c>
      <c r="Z15396" s="61">
        <f>_xll.qlYieldTSDiscount($U$35,Y15396,,Trigger)</f>
        <v>0.44186696866012165</v>
      </c>
    </row>
    <row r="15397" spans="25:26" x14ac:dyDescent="0.25">
      <c r="Y15397" s="63">
        <v>57930</v>
      </c>
      <c r="Z15397" s="61">
        <f>_xll.qlYieldTSDiscount($U$35,Y15397,,Trigger)</f>
        <v>0.44183971735258654</v>
      </c>
    </row>
    <row r="15398" spans="25:26" x14ac:dyDescent="0.25">
      <c r="Y15398" s="63">
        <v>57931</v>
      </c>
      <c r="Z15398" s="61">
        <f>_xll.qlYieldTSDiscount($U$35,Y15398,,Trigger)</f>
        <v>0.4418124684418423</v>
      </c>
    </row>
    <row r="15399" spans="25:26" x14ac:dyDescent="0.25">
      <c r="Y15399" s="63">
        <v>57932</v>
      </c>
      <c r="Z15399" s="61">
        <f>_xll.qlYieldTSDiscount($U$35,Y15399,,Trigger)</f>
        <v>0.44178522192752301</v>
      </c>
    </row>
    <row r="15400" spans="25:26" x14ac:dyDescent="0.25">
      <c r="Y15400" s="63">
        <v>57933</v>
      </c>
      <c r="Z15400" s="61">
        <f>_xll.qlYieldTSDiscount($U$35,Y15400,,Trigger)</f>
        <v>0.44175797780926251</v>
      </c>
    </row>
    <row r="15401" spans="25:26" x14ac:dyDescent="0.25">
      <c r="Y15401" s="63">
        <v>57934</v>
      </c>
      <c r="Z15401" s="61">
        <f>_xll.qlYieldTSDiscount($U$35,Y15401,,Trigger)</f>
        <v>0.44173073608669478</v>
      </c>
    </row>
    <row r="15402" spans="25:26" x14ac:dyDescent="0.25">
      <c r="Y15402" s="63">
        <v>57935</v>
      </c>
      <c r="Z15402" s="61">
        <f>_xll.qlYieldTSDiscount($U$35,Y15402,,Trigger)</f>
        <v>0.44170349675945408</v>
      </c>
    </row>
    <row r="15403" spans="25:26" x14ac:dyDescent="0.25">
      <c r="Y15403" s="63">
        <v>57936</v>
      </c>
      <c r="Z15403" s="61">
        <f>_xll.qlYieldTSDiscount($U$35,Y15403,,Trigger)</f>
        <v>0.44167625982717423</v>
      </c>
    </row>
    <row r="15404" spans="25:26" x14ac:dyDescent="0.25">
      <c r="Y15404" s="63">
        <v>57937</v>
      </c>
      <c r="Z15404" s="61">
        <f>_xll.qlYieldTSDiscount($U$35,Y15404,,Trigger)</f>
        <v>0.44164902528948929</v>
      </c>
    </row>
    <row r="15405" spans="25:26" x14ac:dyDescent="0.25">
      <c r="Y15405" s="63">
        <v>57938</v>
      </c>
      <c r="Z15405" s="61">
        <f>_xll.qlYieldTSDiscount($U$35,Y15405,,Trigger)</f>
        <v>0.44162179314603345</v>
      </c>
    </row>
    <row r="15406" spans="25:26" x14ac:dyDescent="0.25">
      <c r="Y15406" s="63">
        <v>57939</v>
      </c>
      <c r="Z15406" s="61">
        <f>_xll.qlYieldTSDiscount($U$35,Y15406,,Trigger)</f>
        <v>0.44159456339644043</v>
      </c>
    </row>
    <row r="15407" spans="25:26" x14ac:dyDescent="0.25">
      <c r="Y15407" s="63">
        <v>57940</v>
      </c>
      <c r="Z15407" s="61">
        <f>_xll.qlYieldTSDiscount($U$35,Y15407,,Trigger)</f>
        <v>0.44156733604034448</v>
      </c>
    </row>
    <row r="15408" spans="25:26" x14ac:dyDescent="0.25">
      <c r="Y15408" s="63">
        <v>57941</v>
      </c>
      <c r="Z15408" s="61">
        <f>_xll.qlYieldTSDiscount($U$35,Y15408,,Trigger)</f>
        <v>0.44154011107737962</v>
      </c>
    </row>
    <row r="15409" spans="25:26" x14ac:dyDescent="0.25">
      <c r="Y15409" s="63">
        <v>57942</v>
      </c>
      <c r="Z15409" s="61">
        <f>_xll.qlYieldTSDiscount($U$35,Y15409,,Trigger)</f>
        <v>0.44151288850717973</v>
      </c>
    </row>
    <row r="15410" spans="25:26" x14ac:dyDescent="0.25">
      <c r="Y15410" s="63">
        <v>57943</v>
      </c>
      <c r="Z15410" s="61">
        <f>_xll.qlYieldTSDiscount($U$35,Y15410,,Trigger)</f>
        <v>0.44148566832937891</v>
      </c>
    </row>
    <row r="15411" spans="25:26" x14ac:dyDescent="0.25">
      <c r="Y15411" s="63">
        <v>57944</v>
      </c>
      <c r="Z15411" s="61">
        <f>_xll.qlYieldTSDiscount($U$35,Y15411,,Trigger)</f>
        <v>0.44145845054361127</v>
      </c>
    </row>
    <row r="15412" spans="25:26" x14ac:dyDescent="0.25">
      <c r="Y15412" s="63">
        <v>57945</v>
      </c>
      <c r="Z15412" s="61">
        <f>_xll.qlYieldTSDiscount($U$35,Y15412,,Trigger)</f>
        <v>0.44143123514951066</v>
      </c>
    </row>
    <row r="15413" spans="25:26" x14ac:dyDescent="0.25">
      <c r="Y15413" s="63">
        <v>57946</v>
      </c>
      <c r="Z15413" s="61">
        <f>_xll.qlYieldTSDiscount($U$35,Y15413,,Trigger)</f>
        <v>0.44140402214671115</v>
      </c>
    </row>
    <row r="15414" spans="25:26" x14ac:dyDescent="0.25">
      <c r="Y15414" s="63">
        <v>57947</v>
      </c>
      <c r="Z15414" s="61">
        <f>_xll.qlYieldTSDiscount($U$35,Y15414,,Trigger)</f>
        <v>0.44137681153484687</v>
      </c>
    </row>
    <row r="15415" spans="25:26" x14ac:dyDescent="0.25">
      <c r="Y15415" s="63">
        <v>57948</v>
      </c>
      <c r="Z15415" s="61">
        <f>_xll.qlYieldTSDiscount($U$35,Y15415,,Trigger)</f>
        <v>0.44134960331355177</v>
      </c>
    </row>
    <row r="15416" spans="25:26" x14ac:dyDescent="0.25">
      <c r="Y15416" s="63">
        <v>57949</v>
      </c>
      <c r="Z15416" s="61">
        <f>_xll.qlYieldTSDiscount($U$35,Y15416,,Trigger)</f>
        <v>0.44132239748245994</v>
      </c>
    </row>
    <row r="15417" spans="25:26" x14ac:dyDescent="0.25">
      <c r="Y15417" s="63">
        <v>57950</v>
      </c>
      <c r="Z15417" s="61">
        <f>_xll.qlYieldTSDiscount($U$35,Y15417,,Trigger)</f>
        <v>0.44129519404120521</v>
      </c>
    </row>
    <row r="15418" spans="25:26" x14ac:dyDescent="0.25">
      <c r="Y15418" s="63">
        <v>57951</v>
      </c>
      <c r="Z15418" s="61">
        <f>_xll.qlYieldTSDiscount($U$35,Y15418,,Trigger)</f>
        <v>0.44126799298942176</v>
      </c>
    </row>
    <row r="15419" spans="25:26" x14ac:dyDescent="0.25">
      <c r="Y15419" s="63">
        <v>57952</v>
      </c>
      <c r="Z15419" s="61">
        <f>_xll.qlYieldTSDiscount($U$35,Y15419,,Trigger)</f>
        <v>0.44124079432674357</v>
      </c>
    </row>
    <row r="15420" spans="25:26" x14ac:dyDescent="0.25">
      <c r="Y15420" s="63">
        <v>57953</v>
      </c>
      <c r="Z15420" s="61">
        <f>_xll.qlYieldTSDiscount($U$35,Y15420,,Trigger)</f>
        <v>0.44121359805280469</v>
      </c>
    </row>
    <row r="15421" spans="25:26" x14ac:dyDescent="0.25">
      <c r="Y15421" s="63">
        <v>57954</v>
      </c>
      <c r="Z15421" s="61">
        <f>_xll.qlYieldTSDiscount($U$35,Y15421,,Trigger)</f>
        <v>0.4411864041672392</v>
      </c>
    </row>
    <row r="15422" spans="25:26" x14ac:dyDescent="0.25">
      <c r="Y15422" s="63">
        <v>57955</v>
      </c>
      <c r="Z15422" s="61">
        <f>_xll.qlYieldTSDiscount($U$35,Y15422,,Trigger)</f>
        <v>0.44115921266968094</v>
      </c>
    </row>
    <row r="15423" spans="25:26" x14ac:dyDescent="0.25">
      <c r="Y15423" s="63">
        <v>57956</v>
      </c>
      <c r="Z15423" s="61">
        <f>_xll.qlYieldTSDiscount($U$35,Y15423,,Trigger)</f>
        <v>0.441132023559764</v>
      </c>
    </row>
    <row r="15424" spans="25:26" x14ac:dyDescent="0.25">
      <c r="Y15424" s="63">
        <v>57957</v>
      </c>
      <c r="Z15424" s="61">
        <f>_xll.qlYieldTSDiscount($U$35,Y15424,,Trigger)</f>
        <v>0.44110483683712259</v>
      </c>
    </row>
    <row r="15425" spans="25:26" x14ac:dyDescent="0.25">
      <c r="Y15425" s="63">
        <v>57958</v>
      </c>
      <c r="Z15425" s="61">
        <f>_xll.qlYieldTSDiscount($U$35,Y15425,,Trigger)</f>
        <v>0.44107765250139047</v>
      </c>
    </row>
    <row r="15426" spans="25:26" x14ac:dyDescent="0.25">
      <c r="Y15426" s="63">
        <v>57959</v>
      </c>
      <c r="Z15426" s="61">
        <f>_xll.qlYieldTSDiscount($U$35,Y15426,,Trigger)</f>
        <v>0.44105047055220176</v>
      </c>
    </row>
    <row r="15427" spans="25:26" x14ac:dyDescent="0.25">
      <c r="Y15427" s="63">
        <v>57960</v>
      </c>
      <c r="Z15427" s="61">
        <f>_xll.qlYieldTSDiscount($U$35,Y15427,,Trigger)</f>
        <v>0.44102329098919046</v>
      </c>
    </row>
    <row r="15428" spans="25:26" x14ac:dyDescent="0.25">
      <c r="Y15428" s="63">
        <v>57961</v>
      </c>
      <c r="Z15428" s="61">
        <f>_xll.qlYieldTSDiscount($U$35,Y15428,,Trigger)</f>
        <v>0.44099611381199078</v>
      </c>
    </row>
    <row r="15429" spans="25:26" x14ac:dyDescent="0.25">
      <c r="Y15429" s="63">
        <v>57962</v>
      </c>
      <c r="Z15429" s="61">
        <f>_xll.qlYieldTSDiscount($U$35,Y15429,,Trigger)</f>
        <v>0.44096893902023648</v>
      </c>
    </row>
    <row r="15430" spans="25:26" x14ac:dyDescent="0.25">
      <c r="Y15430" s="63">
        <v>57963</v>
      </c>
      <c r="Z15430" s="61">
        <f>_xll.qlYieldTSDiscount($U$35,Y15430,,Trigger)</f>
        <v>0.44094176661356166</v>
      </c>
    </row>
    <row r="15431" spans="25:26" x14ac:dyDescent="0.25">
      <c r="Y15431" s="63">
        <v>57964</v>
      </c>
      <c r="Z15431" s="61">
        <f>_xll.qlYieldTSDiscount($U$35,Y15431,,Trigger)</f>
        <v>0.44091459659160048</v>
      </c>
    </row>
    <row r="15432" spans="25:26" x14ac:dyDescent="0.25">
      <c r="Y15432" s="63">
        <v>57965</v>
      </c>
      <c r="Z15432" s="61">
        <f>_xll.qlYieldTSDiscount($U$35,Y15432,,Trigger)</f>
        <v>0.44088742895398675</v>
      </c>
    </row>
    <row r="15433" spans="25:26" x14ac:dyDescent="0.25">
      <c r="Y15433" s="63">
        <v>57966</v>
      </c>
      <c r="Z15433" s="61">
        <f>_xll.qlYieldTSDiscount($U$35,Y15433,,Trigger)</f>
        <v>0.44086026370035464</v>
      </c>
    </row>
    <row r="15434" spans="25:26" x14ac:dyDescent="0.25">
      <c r="Y15434" s="63">
        <v>57967</v>
      </c>
      <c r="Z15434" s="61">
        <f>_xll.qlYieldTSDiscount($U$35,Y15434,,Trigger)</f>
        <v>0.44083310083033811</v>
      </c>
    </row>
    <row r="15435" spans="25:26" x14ac:dyDescent="0.25">
      <c r="Y15435" s="63">
        <v>57968</v>
      </c>
      <c r="Z15435" s="61">
        <f>_xll.qlYieldTSDiscount($U$35,Y15435,,Trigger)</f>
        <v>0.44080594034357123</v>
      </c>
    </row>
    <row r="15436" spans="25:26" x14ac:dyDescent="0.25">
      <c r="Y15436" s="63">
        <v>57969</v>
      </c>
      <c r="Z15436" s="61">
        <f>_xll.qlYieldTSDiscount($U$35,Y15436,,Trigger)</f>
        <v>0.44077878223968792</v>
      </c>
    </row>
    <row r="15437" spans="25:26" x14ac:dyDescent="0.25">
      <c r="Y15437" s="63">
        <v>57970</v>
      </c>
      <c r="Z15437" s="61">
        <f>_xll.qlYieldTSDiscount($U$35,Y15437,,Trigger)</f>
        <v>0.44075162651832234</v>
      </c>
    </row>
    <row r="15438" spans="25:26" x14ac:dyDescent="0.25">
      <c r="Y15438" s="63">
        <v>57971</v>
      </c>
      <c r="Z15438" s="61">
        <f>_xll.qlYieldTSDiscount($U$35,Y15438,,Trigger)</f>
        <v>0.44072447317910846</v>
      </c>
    </row>
    <row r="15439" spans="25:26" x14ac:dyDescent="0.25">
      <c r="Y15439" s="63">
        <v>57972</v>
      </c>
      <c r="Z15439" s="61">
        <f>_xll.qlYieldTSDiscount($U$35,Y15439,,Trigger)</f>
        <v>0.44069732222168023</v>
      </c>
    </row>
    <row r="15440" spans="25:26" x14ac:dyDescent="0.25">
      <c r="Y15440" s="63">
        <v>57973</v>
      </c>
      <c r="Z15440" s="61">
        <f>_xll.qlYieldTSDiscount($U$35,Y15440,,Trigger)</f>
        <v>0.44067017364567174</v>
      </c>
    </row>
    <row r="15441" spans="25:26" x14ac:dyDescent="0.25">
      <c r="Y15441" s="63">
        <v>57974</v>
      </c>
      <c r="Z15441" s="61">
        <f>_xll.qlYieldTSDiscount($U$35,Y15441,,Trigger)</f>
        <v>0.44064302745071704</v>
      </c>
    </row>
    <row r="15442" spans="25:26" x14ac:dyDescent="0.25">
      <c r="Y15442" s="63">
        <v>57975</v>
      </c>
      <c r="Z15442" s="61">
        <f>_xll.qlYieldTSDiscount($U$35,Y15442,,Trigger)</f>
        <v>0.44061588363644999</v>
      </c>
    </row>
    <row r="15443" spans="25:26" x14ac:dyDescent="0.25">
      <c r="Y15443" s="63">
        <v>57976</v>
      </c>
      <c r="Z15443" s="61">
        <f>_xll.qlYieldTSDiscount($U$35,Y15443,,Trigger)</f>
        <v>0.44058874220250482</v>
      </c>
    </row>
    <row r="15444" spans="25:26" x14ac:dyDescent="0.25">
      <c r="Y15444" s="63">
        <v>57977</v>
      </c>
      <c r="Z15444" s="61">
        <f>_xll.qlYieldTSDiscount($U$35,Y15444,,Trigger)</f>
        <v>0.4405616031485155</v>
      </c>
    </row>
    <row r="15445" spans="25:26" x14ac:dyDescent="0.25">
      <c r="Y15445" s="63">
        <v>57978</v>
      </c>
      <c r="Z15445" s="61">
        <f>_xll.qlYieldTSDiscount($U$35,Y15445,,Trigger)</f>
        <v>0.44053446647411598</v>
      </c>
    </row>
    <row r="15446" spans="25:26" x14ac:dyDescent="0.25">
      <c r="Y15446" s="63">
        <v>57979</v>
      </c>
      <c r="Z15446" s="61">
        <f>_xll.qlYieldTSDiscount($U$35,Y15446,,Trigger)</f>
        <v>0.44050733217894023</v>
      </c>
    </row>
    <row r="15447" spans="25:26" x14ac:dyDescent="0.25">
      <c r="Y15447" s="63">
        <v>57980</v>
      </c>
      <c r="Z15447" s="61">
        <f>_xll.qlYieldTSDiscount($U$35,Y15447,,Trigger)</f>
        <v>0.44048020026262252</v>
      </c>
    </row>
    <row r="15448" spans="25:26" x14ac:dyDescent="0.25">
      <c r="Y15448" s="63">
        <v>57981</v>
      </c>
      <c r="Z15448" s="61">
        <f>_xll.qlYieldTSDiscount($U$35,Y15448,,Trigger)</f>
        <v>0.44045307072479667</v>
      </c>
    </row>
    <row r="15449" spans="25:26" x14ac:dyDescent="0.25">
      <c r="Y15449" s="63">
        <v>57982</v>
      </c>
      <c r="Z15449" s="61">
        <f>_xll.qlYieldTSDiscount($U$35,Y15449,,Trigger)</f>
        <v>0.44042594356509668</v>
      </c>
    </row>
    <row r="15450" spans="25:26" x14ac:dyDescent="0.25">
      <c r="Y15450" s="63">
        <v>57983</v>
      </c>
      <c r="Z15450" s="61">
        <f>_xll.qlYieldTSDiscount($U$35,Y15450,,Trigger)</f>
        <v>0.44039881878315668</v>
      </c>
    </row>
    <row r="15451" spans="25:26" x14ac:dyDescent="0.25">
      <c r="Y15451" s="63">
        <v>57984</v>
      </c>
      <c r="Z15451" s="61">
        <f>_xll.qlYieldTSDiscount($U$35,Y15451,,Trigger)</f>
        <v>0.44037169637861062</v>
      </c>
    </row>
    <row r="15452" spans="25:26" x14ac:dyDescent="0.25">
      <c r="Y15452" s="63">
        <v>57985</v>
      </c>
      <c r="Z15452" s="61">
        <f>_xll.qlYieldTSDiscount($U$35,Y15452,,Trigger)</f>
        <v>0.44034457635109259</v>
      </c>
    </row>
    <row r="15453" spans="25:26" x14ac:dyDescent="0.25">
      <c r="Y15453" s="63">
        <v>57986</v>
      </c>
      <c r="Z15453" s="61">
        <f>_xll.qlYieldTSDiscount($U$35,Y15453,,Trigger)</f>
        <v>0.44031745870023653</v>
      </c>
    </row>
    <row r="15454" spans="25:26" x14ac:dyDescent="0.25">
      <c r="Y15454" s="63">
        <v>57987</v>
      </c>
      <c r="Z15454" s="61">
        <f>_xll.qlYieldTSDiscount($U$35,Y15454,,Trigger)</f>
        <v>0.44029034342567652</v>
      </c>
    </row>
    <row r="15455" spans="25:26" x14ac:dyDescent="0.25">
      <c r="Y15455" s="63">
        <v>57988</v>
      </c>
      <c r="Z15455" s="61">
        <f>_xll.qlYieldTSDiscount($U$35,Y15455,,Trigger)</f>
        <v>0.44026323052704652</v>
      </c>
    </row>
    <row r="15456" spans="25:26" x14ac:dyDescent="0.25">
      <c r="Y15456" s="63">
        <v>57989</v>
      </c>
      <c r="Z15456" s="61">
        <f>_xll.qlYieldTSDiscount($U$35,Y15456,,Trigger)</f>
        <v>0.44023612000398071</v>
      </c>
    </row>
    <row r="15457" spans="25:26" x14ac:dyDescent="0.25">
      <c r="Y15457" s="63">
        <v>57990</v>
      </c>
      <c r="Z15457" s="61">
        <f>_xll.qlYieldTSDiscount($U$35,Y15457,,Trigger)</f>
        <v>0.44020901185611294</v>
      </c>
    </row>
    <row r="15458" spans="25:26" x14ac:dyDescent="0.25">
      <c r="Y15458" s="63">
        <v>57991</v>
      </c>
      <c r="Z15458" s="61">
        <f>_xll.qlYieldTSDiscount($U$35,Y15458,,Trigger)</f>
        <v>0.44018190608307728</v>
      </c>
    </row>
    <row r="15459" spans="25:26" x14ac:dyDescent="0.25">
      <c r="Y15459" s="63">
        <v>57992</v>
      </c>
      <c r="Z15459" s="61">
        <f>_xll.qlYieldTSDiscount($U$35,Y15459,,Trigger)</f>
        <v>0.44015480268450768</v>
      </c>
    </row>
    <row r="15460" spans="25:26" x14ac:dyDescent="0.25">
      <c r="Y15460" s="63">
        <v>57993</v>
      </c>
      <c r="Z15460" s="61">
        <f>_xll.qlYieldTSDiscount($U$35,Y15460,,Trigger)</f>
        <v>0.44012770166003845</v>
      </c>
    </row>
    <row r="15461" spans="25:26" x14ac:dyDescent="0.25">
      <c r="Y15461" s="63">
        <v>57994</v>
      </c>
      <c r="Z15461" s="61">
        <f>_xll.qlYieldTSDiscount($U$35,Y15461,,Trigger)</f>
        <v>0.4401006030093032</v>
      </c>
    </row>
    <row r="15462" spans="25:26" x14ac:dyDescent="0.25">
      <c r="Y15462" s="63">
        <v>57995</v>
      </c>
      <c r="Z15462" s="61">
        <f>_xll.qlYieldTSDiscount($U$35,Y15462,,Trigger)</f>
        <v>0.44007350673193624</v>
      </c>
    </row>
    <row r="15463" spans="25:26" x14ac:dyDescent="0.25">
      <c r="Y15463" s="63">
        <v>57996</v>
      </c>
      <c r="Z15463" s="61">
        <f>_xll.qlYieldTSDiscount($U$35,Y15463,,Trigger)</f>
        <v>0.44004641282757156</v>
      </c>
    </row>
    <row r="15464" spans="25:26" x14ac:dyDescent="0.25">
      <c r="Y15464" s="63">
        <v>57997</v>
      </c>
      <c r="Z15464" s="61">
        <f>_xll.qlYieldTSDiscount($U$35,Y15464,,Trigger)</f>
        <v>0.44001932129584309</v>
      </c>
    </row>
    <row r="15465" spans="25:26" x14ac:dyDescent="0.25">
      <c r="Y15465" s="63">
        <v>57998</v>
      </c>
      <c r="Z15465" s="61">
        <f>_xll.qlYieldTSDiscount($U$35,Y15465,,Trigger)</f>
        <v>0.43999223213638483</v>
      </c>
    </row>
    <row r="15466" spans="25:26" x14ac:dyDescent="0.25">
      <c r="Y15466" s="63">
        <v>57999</v>
      </c>
      <c r="Z15466" s="61">
        <f>_xll.qlYieldTSDiscount($U$35,Y15466,,Trigger)</f>
        <v>0.43996514534883102</v>
      </c>
    </row>
    <row r="15467" spans="25:26" x14ac:dyDescent="0.25">
      <c r="Y15467" s="63">
        <v>58000</v>
      </c>
      <c r="Z15467" s="61">
        <f>_xll.qlYieldTSDiscount($U$35,Y15467,,Trigger)</f>
        <v>0.4399380609328154</v>
      </c>
    </row>
    <row r="15468" spans="25:26" x14ac:dyDescent="0.25">
      <c r="Y15468" s="63">
        <v>58001</v>
      </c>
      <c r="Z15468" s="61">
        <f>_xll.qlYieldTSDiscount($U$35,Y15468,,Trigger)</f>
        <v>0.43991097888797215</v>
      </c>
    </row>
    <row r="15469" spans="25:26" x14ac:dyDescent="0.25">
      <c r="Y15469" s="63">
        <v>58002</v>
      </c>
      <c r="Z15469" s="61">
        <f>_xll.qlYieldTSDiscount($U$35,Y15469,,Trigger)</f>
        <v>0.43988389921393534</v>
      </c>
    </row>
    <row r="15470" spans="25:26" x14ac:dyDescent="0.25">
      <c r="Y15470" s="63">
        <v>58003</v>
      </c>
      <c r="Z15470" s="61">
        <f>_xll.qlYieldTSDiscount($U$35,Y15470,,Trigger)</f>
        <v>0.43985682191033881</v>
      </c>
    </row>
    <row r="15471" spans="25:26" x14ac:dyDescent="0.25">
      <c r="Y15471" s="63">
        <v>58004</v>
      </c>
      <c r="Z15471" s="61">
        <f>_xll.qlYieldTSDiscount($U$35,Y15471,,Trigger)</f>
        <v>0.43982974697681665</v>
      </c>
    </row>
    <row r="15472" spans="25:26" x14ac:dyDescent="0.25">
      <c r="Y15472" s="63">
        <v>58005</v>
      </c>
      <c r="Z15472" s="61">
        <f>_xll.qlYieldTSDiscount($U$35,Y15472,,Trigger)</f>
        <v>0.43980267441300297</v>
      </c>
    </row>
    <row r="15473" spans="25:26" x14ac:dyDescent="0.25">
      <c r="Y15473" s="63">
        <v>58006</v>
      </c>
      <c r="Z15473" s="61">
        <f>_xll.qlYieldTSDiscount($U$35,Y15473,,Trigger)</f>
        <v>0.43977560421853179</v>
      </c>
    </row>
    <row r="15474" spans="25:26" x14ac:dyDescent="0.25">
      <c r="Y15474" s="63">
        <v>58007</v>
      </c>
      <c r="Z15474" s="61">
        <f>_xll.qlYieldTSDiscount($U$35,Y15474,,Trigger)</f>
        <v>0.43974853639303702</v>
      </c>
    </row>
    <row r="15475" spans="25:26" x14ac:dyDescent="0.25">
      <c r="Y15475" s="63">
        <v>58008</v>
      </c>
      <c r="Z15475" s="61">
        <f>_xll.qlYieldTSDiscount($U$35,Y15475,,Trigger)</f>
        <v>0.43972147093615277</v>
      </c>
    </row>
    <row r="15476" spans="25:26" x14ac:dyDescent="0.25">
      <c r="Y15476" s="63">
        <v>58009</v>
      </c>
      <c r="Z15476" s="61">
        <f>_xll.qlYieldTSDiscount($U$35,Y15476,,Trigger)</f>
        <v>0.43969440784751307</v>
      </c>
    </row>
    <row r="15477" spans="25:26" x14ac:dyDescent="0.25">
      <c r="Y15477" s="63">
        <v>58010</v>
      </c>
      <c r="Z15477" s="61">
        <f>_xll.qlYieldTSDiscount($U$35,Y15477,,Trigger)</f>
        <v>0.43966734712675182</v>
      </c>
    </row>
    <row r="15478" spans="25:26" x14ac:dyDescent="0.25">
      <c r="Y15478" s="63">
        <v>58011</v>
      </c>
      <c r="Z15478" s="61">
        <f>_xll.qlYieldTSDiscount($U$35,Y15478,,Trigger)</f>
        <v>0.43964028877350314</v>
      </c>
    </row>
    <row r="15479" spans="25:26" x14ac:dyDescent="0.25">
      <c r="Y15479" s="63">
        <v>58012</v>
      </c>
      <c r="Z15479" s="61">
        <f>_xll.qlYieldTSDiscount($U$35,Y15479,,Trigger)</f>
        <v>0.43961323278740116</v>
      </c>
    </row>
    <row r="15480" spans="25:26" x14ac:dyDescent="0.25">
      <c r="Y15480" s="63">
        <v>58013</v>
      </c>
      <c r="Z15480" s="61">
        <f>_xll.qlYieldTSDiscount($U$35,Y15480,,Trigger)</f>
        <v>0.43958617916807963</v>
      </c>
    </row>
    <row r="15481" spans="25:26" x14ac:dyDescent="0.25">
      <c r="Y15481" s="63">
        <v>58014</v>
      </c>
      <c r="Z15481" s="61">
        <f>_xll.qlYieldTSDiscount($U$35,Y15481,,Trigger)</f>
        <v>0.43955912791517282</v>
      </c>
    </row>
    <row r="15482" spans="25:26" x14ac:dyDescent="0.25">
      <c r="Y15482" s="63">
        <v>58015</v>
      </c>
      <c r="Z15482" s="61">
        <f>_xll.qlYieldTSDiscount($U$35,Y15482,,Trigger)</f>
        <v>0.43953207902831465</v>
      </c>
    </row>
    <row r="15483" spans="25:26" x14ac:dyDescent="0.25">
      <c r="Y15483" s="63">
        <v>58016</v>
      </c>
      <c r="Z15483" s="61">
        <f>_xll.qlYieldTSDiscount($U$35,Y15483,,Trigger)</f>
        <v>0.43950503250713913</v>
      </c>
    </row>
    <row r="15484" spans="25:26" x14ac:dyDescent="0.25">
      <c r="Y15484" s="63">
        <v>58017</v>
      </c>
      <c r="Z15484" s="61">
        <f>_xll.qlYieldTSDiscount($U$35,Y15484,,Trigger)</f>
        <v>0.43947798835128027</v>
      </c>
    </row>
    <row r="15485" spans="25:26" x14ac:dyDescent="0.25">
      <c r="Y15485" s="63">
        <v>58018</v>
      </c>
      <c r="Z15485" s="61">
        <f>_xll.qlYieldTSDiscount($U$35,Y15485,,Trigger)</f>
        <v>0.43945094656037215</v>
      </c>
    </row>
    <row r="15486" spans="25:26" x14ac:dyDescent="0.25">
      <c r="Y15486" s="63">
        <v>58019</v>
      </c>
      <c r="Z15486" s="61">
        <f>_xll.qlYieldTSDiscount($U$35,Y15486,,Trigger)</f>
        <v>0.43942390713404872</v>
      </c>
    </row>
    <row r="15487" spans="25:26" x14ac:dyDescent="0.25">
      <c r="Y15487" s="63">
        <v>58020</v>
      </c>
      <c r="Z15487" s="61">
        <f>_xll.qlYieldTSDiscount($U$35,Y15487,,Trigger)</f>
        <v>0.43939687007194406</v>
      </c>
    </row>
    <row r="15488" spans="25:26" x14ac:dyDescent="0.25">
      <c r="Y15488" s="63">
        <v>58021</v>
      </c>
      <c r="Z15488" s="61">
        <f>_xll.qlYieldTSDiscount($U$35,Y15488,,Trigger)</f>
        <v>0.43936983537369223</v>
      </c>
    </row>
    <row r="15489" spans="25:26" x14ac:dyDescent="0.25">
      <c r="Y15489" s="63">
        <v>58022</v>
      </c>
      <c r="Z15489" s="61">
        <f>_xll.qlYieldTSDiscount($U$35,Y15489,,Trigger)</f>
        <v>0.4393428030389272</v>
      </c>
    </row>
    <row r="15490" spans="25:26" x14ac:dyDescent="0.25">
      <c r="Y15490" s="63">
        <v>58023</v>
      </c>
      <c r="Z15490" s="61">
        <f>_xll.qlYieldTSDiscount($U$35,Y15490,,Trigger)</f>
        <v>0.43931577306728292</v>
      </c>
    </row>
    <row r="15491" spans="25:26" x14ac:dyDescent="0.25">
      <c r="Y15491" s="63">
        <v>58024</v>
      </c>
      <c r="Z15491" s="61">
        <f>_xll.qlYieldTSDiscount($U$35,Y15491,,Trigger)</f>
        <v>0.43928874545839347</v>
      </c>
    </row>
    <row r="15492" spans="25:26" x14ac:dyDescent="0.25">
      <c r="Y15492" s="63">
        <v>58025</v>
      </c>
      <c r="Z15492" s="61">
        <f>_xll.qlYieldTSDiscount($U$35,Y15492,,Trigger)</f>
        <v>0.43926172021189303</v>
      </c>
    </row>
    <row r="15493" spans="25:26" x14ac:dyDescent="0.25">
      <c r="Y15493" s="63">
        <v>58026</v>
      </c>
      <c r="Z15493" s="61">
        <f>_xll.qlYieldTSDiscount($U$35,Y15493,,Trigger)</f>
        <v>0.43923469732741532</v>
      </c>
    </row>
    <row r="15494" spans="25:26" x14ac:dyDescent="0.25">
      <c r="Y15494" s="63">
        <v>58027</v>
      </c>
      <c r="Z15494" s="61">
        <f>_xll.qlYieldTSDiscount($U$35,Y15494,,Trigger)</f>
        <v>0.43920767680459455</v>
      </c>
    </row>
    <row r="15495" spans="25:26" x14ac:dyDescent="0.25">
      <c r="Y15495" s="63">
        <v>58028</v>
      </c>
      <c r="Z15495" s="61">
        <f>_xll.qlYieldTSDiscount($U$35,Y15495,,Trigger)</f>
        <v>0.43918065864306477</v>
      </c>
    </row>
    <row r="15496" spans="25:26" x14ac:dyDescent="0.25">
      <c r="Y15496" s="63">
        <v>58029</v>
      </c>
      <c r="Z15496" s="61">
        <f>_xll.qlYieldTSDiscount($U$35,Y15496,,Trigger)</f>
        <v>0.43915364284245995</v>
      </c>
    </row>
    <row r="15497" spans="25:26" x14ac:dyDescent="0.25">
      <c r="Y15497" s="63">
        <v>58030</v>
      </c>
      <c r="Z15497" s="61">
        <f>_xll.qlYieldTSDiscount($U$35,Y15497,,Trigger)</f>
        <v>0.43912662940241398</v>
      </c>
    </row>
    <row r="15498" spans="25:26" x14ac:dyDescent="0.25">
      <c r="Y15498" s="63">
        <v>58031</v>
      </c>
      <c r="Z15498" s="61">
        <f>_xll.qlYieldTSDiscount($U$35,Y15498,,Trigger)</f>
        <v>0.43909961832256117</v>
      </c>
    </row>
    <row r="15499" spans="25:26" x14ac:dyDescent="0.25">
      <c r="Y15499" s="63">
        <v>58032</v>
      </c>
      <c r="Z15499" s="61">
        <f>_xll.qlYieldTSDiscount($U$35,Y15499,,Trigger)</f>
        <v>0.43907260960253525</v>
      </c>
    </row>
    <row r="15500" spans="25:26" x14ac:dyDescent="0.25">
      <c r="Y15500" s="63">
        <v>58033</v>
      </c>
      <c r="Z15500" s="61">
        <f>_xll.qlYieldTSDiscount($U$35,Y15500,,Trigger)</f>
        <v>0.43904560324197039</v>
      </c>
    </row>
    <row r="15501" spans="25:26" x14ac:dyDescent="0.25">
      <c r="Y15501" s="63">
        <v>58034</v>
      </c>
      <c r="Z15501" s="61">
        <f>_xll.qlYieldTSDiscount($U$35,Y15501,,Trigger)</f>
        <v>0.43901859924050068</v>
      </c>
    </row>
    <row r="15502" spans="25:26" x14ac:dyDescent="0.25">
      <c r="Y15502" s="63">
        <v>58035</v>
      </c>
      <c r="Z15502" s="61">
        <f>_xll.qlYieldTSDiscount($U$35,Y15502,,Trigger)</f>
        <v>0.43899159759775996</v>
      </c>
    </row>
    <row r="15503" spans="25:26" x14ac:dyDescent="0.25">
      <c r="Y15503" s="63">
        <v>58036</v>
      </c>
      <c r="Z15503" s="61">
        <f>_xll.qlYieldTSDiscount($U$35,Y15503,,Trigger)</f>
        <v>0.43896459831338236</v>
      </c>
    </row>
    <row r="15504" spans="25:26" x14ac:dyDescent="0.25">
      <c r="Y15504" s="63">
        <v>58037</v>
      </c>
      <c r="Z15504" s="61">
        <f>_xll.qlYieldTSDiscount($U$35,Y15504,,Trigger)</f>
        <v>0.43893760138700189</v>
      </c>
    </row>
    <row r="15505" spans="25:26" x14ac:dyDescent="0.25">
      <c r="Y15505" s="63">
        <v>58038</v>
      </c>
      <c r="Z15505" s="61">
        <f>_xll.qlYieldTSDiscount($U$35,Y15505,,Trigger)</f>
        <v>0.43891060681825261</v>
      </c>
    </row>
    <row r="15506" spans="25:26" x14ac:dyDescent="0.25">
      <c r="Y15506" s="63">
        <v>58039</v>
      </c>
      <c r="Z15506" s="61">
        <f>_xll.qlYieldTSDiscount($U$35,Y15506,,Trigger)</f>
        <v>0.43888361460676845</v>
      </c>
    </row>
    <row r="15507" spans="25:26" x14ac:dyDescent="0.25">
      <c r="Y15507" s="63">
        <v>58040</v>
      </c>
      <c r="Z15507" s="61">
        <f>_xll.qlYieldTSDiscount($U$35,Y15507,,Trigger)</f>
        <v>0.43885662475218346</v>
      </c>
    </row>
    <row r="15508" spans="25:26" x14ac:dyDescent="0.25">
      <c r="Y15508" s="63">
        <v>58041</v>
      </c>
      <c r="Z15508" s="61">
        <f>_xll.qlYieldTSDiscount($U$35,Y15508,,Trigger)</f>
        <v>0.43882963725413182</v>
      </c>
    </row>
    <row r="15509" spans="25:26" x14ac:dyDescent="0.25">
      <c r="Y15509" s="63">
        <v>58042</v>
      </c>
      <c r="Z15509" s="61">
        <f>_xll.qlYieldTSDiscount($U$35,Y15509,,Trigger)</f>
        <v>0.43880265211224728</v>
      </c>
    </row>
    <row r="15510" spans="25:26" x14ac:dyDescent="0.25">
      <c r="Y15510" s="63">
        <v>58043</v>
      </c>
      <c r="Z15510" s="61">
        <f>_xll.qlYieldTSDiscount($U$35,Y15510,,Trigger)</f>
        <v>0.43877566932616402</v>
      </c>
    </row>
    <row r="15511" spans="25:26" x14ac:dyDescent="0.25">
      <c r="Y15511" s="63">
        <v>58044</v>
      </c>
      <c r="Z15511" s="61">
        <f>_xll.qlYieldTSDiscount($U$35,Y15511,,Trigger)</f>
        <v>0.4387486888955161</v>
      </c>
    </row>
    <row r="15512" spans="25:26" x14ac:dyDescent="0.25">
      <c r="Y15512" s="63">
        <v>58045</v>
      </c>
      <c r="Z15512" s="61">
        <f>_xll.qlYieldTSDiscount($U$35,Y15512,,Trigger)</f>
        <v>0.43872171081993738</v>
      </c>
    </row>
    <row r="15513" spans="25:26" x14ac:dyDescent="0.25">
      <c r="Y15513" s="63">
        <v>58046</v>
      </c>
      <c r="Z15513" s="61">
        <f>_xll.qlYieldTSDiscount($U$35,Y15513,,Trigger)</f>
        <v>0.43869473509906209</v>
      </c>
    </row>
    <row r="15514" spans="25:26" x14ac:dyDescent="0.25">
      <c r="Y15514" s="63">
        <v>58047</v>
      </c>
      <c r="Z15514" s="61">
        <f>_xll.qlYieldTSDiscount($U$35,Y15514,,Trigger)</f>
        <v>0.43866776173252409</v>
      </c>
    </row>
    <row r="15515" spans="25:26" x14ac:dyDescent="0.25">
      <c r="Y15515" s="63">
        <v>58048</v>
      </c>
      <c r="Z15515" s="61">
        <f>_xll.qlYieldTSDiscount($U$35,Y15515,,Trigger)</f>
        <v>0.43864079071995749</v>
      </c>
    </row>
    <row r="15516" spans="25:26" x14ac:dyDescent="0.25">
      <c r="Y15516" s="63">
        <v>58049</v>
      </c>
      <c r="Z15516" s="61">
        <f>_xll.qlYieldTSDiscount($U$35,Y15516,,Trigger)</f>
        <v>0.43861382206099619</v>
      </c>
    </row>
    <row r="15517" spans="25:26" x14ac:dyDescent="0.25">
      <c r="Y15517" s="63">
        <v>58050</v>
      </c>
      <c r="Z15517" s="61">
        <f>_xll.qlYieldTSDiscount($U$35,Y15517,,Trigger)</f>
        <v>0.43858685575527434</v>
      </c>
    </row>
    <row r="15518" spans="25:26" x14ac:dyDescent="0.25">
      <c r="Y15518" s="63">
        <v>58051</v>
      </c>
      <c r="Z15518" s="61">
        <f>_xll.qlYieldTSDiscount($U$35,Y15518,,Trigger)</f>
        <v>0.43855989180242605</v>
      </c>
    </row>
    <row r="15519" spans="25:26" x14ac:dyDescent="0.25">
      <c r="Y15519" s="63">
        <v>58052</v>
      </c>
      <c r="Z15519" s="61">
        <f>_xll.qlYieldTSDiscount($U$35,Y15519,,Trigger)</f>
        <v>0.43853293020208506</v>
      </c>
    </row>
    <row r="15520" spans="25:26" x14ac:dyDescent="0.25">
      <c r="Y15520" s="63">
        <v>58053</v>
      </c>
      <c r="Z15520" s="61">
        <f>_xll.qlYieldTSDiscount($U$35,Y15520,,Trigger)</f>
        <v>0.43850597095388555</v>
      </c>
    </row>
    <row r="15521" spans="25:26" x14ac:dyDescent="0.25">
      <c r="Y15521" s="63">
        <v>58054</v>
      </c>
      <c r="Z15521" s="61">
        <f>_xll.qlYieldTSDiscount($U$35,Y15521,,Trigger)</f>
        <v>0.43847901405746165</v>
      </c>
    </row>
    <row r="15522" spans="25:26" x14ac:dyDescent="0.25">
      <c r="Y15522" s="63">
        <v>58055</v>
      </c>
      <c r="Z15522" s="61">
        <f>_xll.qlYieldTSDiscount($U$35,Y15522,,Trigger)</f>
        <v>0.4384520595124472</v>
      </c>
    </row>
    <row r="15523" spans="25:26" x14ac:dyDescent="0.25">
      <c r="Y15523" s="63">
        <v>58056</v>
      </c>
      <c r="Z15523" s="61">
        <f>_xll.qlYieldTSDiscount($U$35,Y15523,,Trigger)</f>
        <v>0.43842510731847628</v>
      </c>
    </row>
    <row r="15524" spans="25:26" x14ac:dyDescent="0.25">
      <c r="Y15524" s="63">
        <v>58057</v>
      </c>
      <c r="Z15524" s="61">
        <f>_xll.qlYieldTSDiscount($U$35,Y15524,,Trigger)</f>
        <v>0.43839815747518296</v>
      </c>
    </row>
    <row r="15525" spans="25:26" x14ac:dyDescent="0.25">
      <c r="Y15525" s="63">
        <v>58058</v>
      </c>
      <c r="Z15525" s="61">
        <f>_xll.qlYieldTSDiscount($U$35,Y15525,,Trigger)</f>
        <v>0.43837120998220125</v>
      </c>
    </row>
    <row r="15526" spans="25:26" x14ac:dyDescent="0.25">
      <c r="Y15526" s="63">
        <v>58059</v>
      </c>
      <c r="Z15526" s="61">
        <f>_xll.qlYieldTSDiscount($U$35,Y15526,,Trigger)</f>
        <v>0.43834426483916505</v>
      </c>
    </row>
    <row r="15527" spans="25:26" x14ac:dyDescent="0.25">
      <c r="Y15527" s="63">
        <v>58060</v>
      </c>
      <c r="Z15527" s="61">
        <f>_xll.qlYieldTSDiscount($U$35,Y15527,,Trigger)</f>
        <v>0.43831732204570861</v>
      </c>
    </row>
    <row r="15528" spans="25:26" x14ac:dyDescent="0.25">
      <c r="Y15528" s="63">
        <v>58061</v>
      </c>
      <c r="Z15528" s="61">
        <f>_xll.qlYieldTSDiscount($U$35,Y15528,,Trigger)</f>
        <v>0.43829038160146572</v>
      </c>
    </row>
    <row r="15529" spans="25:26" x14ac:dyDescent="0.25">
      <c r="Y15529" s="63">
        <v>58062</v>
      </c>
      <c r="Z15529" s="61">
        <f>_xll.qlYieldTSDiscount($U$35,Y15529,,Trigger)</f>
        <v>0.43826344350607049</v>
      </c>
    </row>
    <row r="15530" spans="25:26" x14ac:dyDescent="0.25">
      <c r="Y15530" s="63">
        <v>58063</v>
      </c>
      <c r="Z15530" s="61">
        <f>_xll.qlYieldTSDiscount($U$35,Y15530,,Trigger)</f>
        <v>0.43823650775915701</v>
      </c>
    </row>
    <row r="15531" spans="25:26" x14ac:dyDescent="0.25">
      <c r="Y15531" s="63">
        <v>58064</v>
      </c>
      <c r="Z15531" s="61">
        <f>_xll.qlYieldTSDiscount($U$35,Y15531,,Trigger)</f>
        <v>0.43820957436035923</v>
      </c>
    </row>
    <row r="15532" spans="25:26" x14ac:dyDescent="0.25">
      <c r="Y15532" s="63">
        <v>58065</v>
      </c>
      <c r="Z15532" s="61">
        <f>_xll.qlYieldTSDiscount($U$35,Y15532,,Trigger)</f>
        <v>0.43818264330931123</v>
      </c>
    </row>
    <row r="15533" spans="25:26" x14ac:dyDescent="0.25">
      <c r="Y15533" s="63">
        <v>58066</v>
      </c>
      <c r="Z15533" s="61">
        <f>_xll.qlYieldTSDiscount($U$35,Y15533,,Trigger)</f>
        <v>0.4381557146056469</v>
      </c>
    </row>
    <row r="15534" spans="25:26" x14ac:dyDescent="0.25">
      <c r="Y15534" s="63">
        <v>58067</v>
      </c>
      <c r="Z15534" s="61">
        <f>_xll.qlYieldTSDiscount($U$35,Y15534,,Trigger)</f>
        <v>0.43812878824900042</v>
      </c>
    </row>
    <row r="15535" spans="25:26" x14ac:dyDescent="0.25">
      <c r="Y15535" s="63">
        <v>58068</v>
      </c>
      <c r="Z15535" s="61">
        <f>_xll.qlYieldTSDiscount($U$35,Y15535,,Trigger)</f>
        <v>0.43810186423900577</v>
      </c>
    </row>
    <row r="15536" spans="25:26" x14ac:dyDescent="0.25">
      <c r="Y15536" s="63">
        <v>58069</v>
      </c>
      <c r="Z15536" s="61">
        <f>_xll.qlYieldTSDiscount($U$35,Y15536,,Trigger)</f>
        <v>0.43807494257529689</v>
      </c>
    </row>
    <row r="15537" spans="25:26" x14ac:dyDescent="0.25">
      <c r="Y15537" s="63">
        <v>58070</v>
      </c>
      <c r="Z15537" s="61">
        <f>_xll.qlYieldTSDiscount($U$35,Y15537,,Trigger)</f>
        <v>0.43804802325750791</v>
      </c>
    </row>
    <row r="15538" spans="25:26" x14ac:dyDescent="0.25">
      <c r="Y15538" s="63">
        <v>58071</v>
      </c>
      <c r="Z15538" s="61">
        <f>_xll.qlYieldTSDiscount($U$35,Y15538,,Trigger)</f>
        <v>0.43802110628527269</v>
      </c>
    </row>
    <row r="15539" spans="25:26" x14ac:dyDescent="0.25">
      <c r="Y15539" s="63">
        <v>58072</v>
      </c>
      <c r="Z15539" s="61">
        <f>_xll.qlYieldTSDiscount($U$35,Y15539,,Trigger)</f>
        <v>0.43799419165822545</v>
      </c>
    </row>
    <row r="15540" spans="25:26" x14ac:dyDescent="0.25">
      <c r="Y15540" s="63">
        <v>58073</v>
      </c>
      <c r="Z15540" s="61">
        <f>_xll.qlYieldTSDiscount($U$35,Y15540,,Trigger)</f>
        <v>0.43796727937600011</v>
      </c>
    </row>
    <row r="15541" spans="25:26" x14ac:dyDescent="0.25">
      <c r="Y15541" s="63">
        <v>58074</v>
      </c>
      <c r="Z15541" s="61">
        <f>_xll.qlYieldTSDiscount($U$35,Y15541,,Trigger)</f>
        <v>0.43794036943823073</v>
      </c>
    </row>
    <row r="15542" spans="25:26" x14ac:dyDescent="0.25">
      <c r="Y15542" s="63">
        <v>58075</v>
      </c>
      <c r="Z15542" s="61">
        <f>_xll.qlYieldTSDiscount($U$35,Y15542,,Trigger)</f>
        <v>0.43791346184455127</v>
      </c>
    </row>
    <row r="15543" spans="25:26" x14ac:dyDescent="0.25">
      <c r="Y15543" s="63">
        <v>58076</v>
      </c>
      <c r="Z15543" s="61">
        <f>_xll.qlYieldTSDiscount($U$35,Y15543,,Trigger)</f>
        <v>0.43788655659459585</v>
      </c>
    </row>
    <row r="15544" spans="25:26" x14ac:dyDescent="0.25">
      <c r="Y15544" s="63">
        <v>58077</v>
      </c>
      <c r="Z15544" s="61">
        <f>_xll.qlYieldTSDiscount($U$35,Y15544,,Trigger)</f>
        <v>0.4378596536879984</v>
      </c>
    </row>
    <row r="15545" spans="25:26" x14ac:dyDescent="0.25">
      <c r="Y15545" s="63">
        <v>58078</v>
      </c>
      <c r="Z15545" s="61">
        <f>_xll.qlYieldTSDiscount($U$35,Y15545,,Trigger)</f>
        <v>0.43783275312439285</v>
      </c>
    </row>
    <row r="15546" spans="25:26" x14ac:dyDescent="0.25">
      <c r="Y15546" s="63">
        <v>58079</v>
      </c>
      <c r="Z15546" s="61">
        <f>_xll.qlYieldTSDiscount($U$35,Y15546,,Trigger)</f>
        <v>0.4378058549034135</v>
      </c>
    </row>
    <row r="15547" spans="25:26" x14ac:dyDescent="0.25">
      <c r="Y15547" s="63">
        <v>58080</v>
      </c>
      <c r="Z15547" s="61">
        <f>_xll.qlYieldTSDiscount($U$35,Y15547,,Trigger)</f>
        <v>0.43777895902469421</v>
      </c>
    </row>
    <row r="15548" spans="25:26" x14ac:dyDescent="0.25">
      <c r="Y15548" s="63">
        <v>58081</v>
      </c>
      <c r="Z15548" s="61">
        <f>_xll.qlYieldTSDiscount($U$35,Y15548,,Trigger)</f>
        <v>0.43775206548786894</v>
      </c>
    </row>
    <row r="15549" spans="25:26" x14ac:dyDescent="0.25">
      <c r="Y15549" s="63">
        <v>58082</v>
      </c>
      <c r="Z15549" s="61">
        <f>_xll.qlYieldTSDiscount($U$35,Y15549,,Trigger)</f>
        <v>0.43772517429257174</v>
      </c>
    </row>
    <row r="15550" spans="25:26" x14ac:dyDescent="0.25">
      <c r="Y15550" s="63">
        <v>58083</v>
      </c>
      <c r="Z15550" s="61">
        <f>_xll.qlYieldTSDiscount($U$35,Y15550,,Trigger)</f>
        <v>0.43769828543843681</v>
      </c>
    </row>
    <row r="15551" spans="25:26" x14ac:dyDescent="0.25">
      <c r="Y15551" s="63">
        <v>58084</v>
      </c>
      <c r="Z15551" s="61">
        <f>_xll.qlYieldTSDiscount($U$35,Y15551,,Trigger)</f>
        <v>0.43767139892509793</v>
      </c>
    </row>
    <row r="15552" spans="25:26" x14ac:dyDescent="0.25">
      <c r="Y15552" s="63">
        <v>58085</v>
      </c>
      <c r="Z15552" s="61">
        <f>_xll.qlYieldTSDiscount($U$35,Y15552,,Trigger)</f>
        <v>0.43764451475218924</v>
      </c>
    </row>
    <row r="15553" spans="25:26" x14ac:dyDescent="0.25">
      <c r="Y15553" s="63">
        <v>58086</v>
      </c>
      <c r="Z15553" s="61">
        <f>_xll.qlYieldTSDiscount($U$35,Y15553,,Trigger)</f>
        <v>0.43761763291934486</v>
      </c>
    </row>
    <row r="15554" spans="25:26" x14ac:dyDescent="0.25">
      <c r="Y15554" s="63">
        <v>58087</v>
      </c>
      <c r="Z15554" s="61">
        <f>_xll.qlYieldTSDiscount($U$35,Y15554,,Trigger)</f>
        <v>0.43759075342619858</v>
      </c>
    </row>
    <row r="15555" spans="25:26" x14ac:dyDescent="0.25">
      <c r="Y15555" s="63">
        <v>58088</v>
      </c>
      <c r="Z15555" s="61">
        <f>_xll.qlYieldTSDiscount($U$35,Y15555,,Trigger)</f>
        <v>0.43756387627238452</v>
      </c>
    </row>
    <row r="15556" spans="25:26" x14ac:dyDescent="0.25">
      <c r="Y15556" s="63">
        <v>58089</v>
      </c>
      <c r="Z15556" s="61">
        <f>_xll.qlYieldTSDiscount($U$35,Y15556,,Trigger)</f>
        <v>0.43753700145753682</v>
      </c>
    </row>
    <row r="15557" spans="25:26" x14ac:dyDescent="0.25">
      <c r="Y15557" s="63">
        <v>58090</v>
      </c>
      <c r="Z15557" s="61">
        <f>_xll.qlYieldTSDiscount($U$35,Y15557,,Trigger)</f>
        <v>0.43751012898128938</v>
      </c>
    </row>
    <row r="15558" spans="25:26" x14ac:dyDescent="0.25">
      <c r="Y15558" s="63">
        <v>58091</v>
      </c>
      <c r="Z15558" s="61">
        <f>_xll.qlYieldTSDiscount($U$35,Y15558,,Trigger)</f>
        <v>0.43748325884327621</v>
      </c>
    </row>
    <row r="15559" spans="25:26" x14ac:dyDescent="0.25">
      <c r="Y15559" s="63">
        <v>58092</v>
      </c>
      <c r="Z15559" s="61">
        <f>_xll.qlYieldTSDiscount($U$35,Y15559,,Trigger)</f>
        <v>0.43745639104313139</v>
      </c>
    </row>
    <row r="15560" spans="25:26" x14ac:dyDescent="0.25">
      <c r="Y15560" s="63">
        <v>58093</v>
      </c>
      <c r="Z15560" s="61">
        <f>_xll.qlYieldTSDiscount($U$35,Y15560,,Trigger)</f>
        <v>0.43742952558048886</v>
      </c>
    </row>
    <row r="15561" spans="25:26" x14ac:dyDescent="0.25">
      <c r="Y15561" s="63">
        <v>58094</v>
      </c>
      <c r="Z15561" s="61">
        <f>_xll.qlYieldTSDiscount($U$35,Y15561,,Trigger)</f>
        <v>0.43740266245498277</v>
      </c>
    </row>
    <row r="15562" spans="25:26" x14ac:dyDescent="0.25">
      <c r="Y15562" s="63">
        <v>58095</v>
      </c>
      <c r="Z15562" s="61">
        <f>_xll.qlYieldTSDiscount($U$35,Y15562,,Trigger)</f>
        <v>0.43737580166624707</v>
      </c>
    </row>
    <row r="15563" spans="25:26" x14ac:dyDescent="0.25">
      <c r="Y15563" s="63">
        <v>58096</v>
      </c>
      <c r="Z15563" s="61">
        <f>_xll.qlYieldTSDiscount($U$35,Y15563,,Trigger)</f>
        <v>0.43734894321391582</v>
      </c>
    </row>
    <row r="15564" spans="25:26" x14ac:dyDescent="0.25">
      <c r="Y15564" s="63">
        <v>58097</v>
      </c>
      <c r="Z15564" s="61">
        <f>_xll.qlYieldTSDiscount($U$35,Y15564,,Trigger)</f>
        <v>0.43732208709762299</v>
      </c>
    </row>
    <row r="15565" spans="25:26" x14ac:dyDescent="0.25">
      <c r="Y15565" s="63">
        <v>58098</v>
      </c>
      <c r="Z15565" s="61">
        <f>_xll.qlYieldTSDiscount($U$35,Y15565,,Trigger)</f>
        <v>0.43729523331700254</v>
      </c>
    </row>
    <row r="15566" spans="25:26" x14ac:dyDescent="0.25">
      <c r="Y15566" s="63">
        <v>58099</v>
      </c>
      <c r="Z15566" s="61">
        <f>_xll.qlYieldTSDiscount($U$35,Y15566,,Trigger)</f>
        <v>0.4372683818716887</v>
      </c>
    </row>
    <row r="15567" spans="25:26" x14ac:dyDescent="0.25">
      <c r="Y15567" s="63">
        <v>58100</v>
      </c>
      <c r="Z15567" s="61">
        <f>_xll.qlYieldTSDiscount($U$35,Y15567,,Trigger)</f>
        <v>0.43724153276131528</v>
      </c>
    </row>
    <row r="15568" spans="25:26" x14ac:dyDescent="0.25">
      <c r="Y15568" s="63">
        <v>58101</v>
      </c>
      <c r="Z15568" s="61">
        <f>_xll.qlYieldTSDiscount($U$35,Y15568,,Trigger)</f>
        <v>0.43721468598551638</v>
      </c>
    </row>
    <row r="15569" spans="25:26" x14ac:dyDescent="0.25">
      <c r="Y15569" s="63">
        <v>58102</v>
      </c>
      <c r="Z15569" s="61">
        <f>_xll.qlYieldTSDiscount($U$35,Y15569,,Trigger)</f>
        <v>0.43718784154392609</v>
      </c>
    </row>
    <row r="15570" spans="25:26" x14ac:dyDescent="0.25">
      <c r="Y15570" s="63">
        <v>58103</v>
      </c>
      <c r="Z15570" s="61">
        <f>_xll.qlYieldTSDiscount($U$35,Y15570,,Trigger)</f>
        <v>0.43716099943617831</v>
      </c>
    </row>
    <row r="15571" spans="25:26" x14ac:dyDescent="0.25">
      <c r="Y15571" s="63">
        <v>58104</v>
      </c>
      <c r="Z15571" s="61">
        <f>_xll.qlYieldTSDiscount($U$35,Y15571,,Trigger)</f>
        <v>0.43713415966190705</v>
      </c>
    </row>
    <row r="15572" spans="25:26" x14ac:dyDescent="0.25">
      <c r="Y15572" s="63">
        <v>58105</v>
      </c>
      <c r="Z15572" s="61">
        <f>_xll.qlYieldTSDiscount($U$35,Y15572,,Trigger)</f>
        <v>0.43710732222074655</v>
      </c>
    </row>
    <row r="15573" spans="25:26" x14ac:dyDescent="0.25">
      <c r="Y15573" s="63">
        <v>58106</v>
      </c>
      <c r="Z15573" s="61">
        <f>_xll.qlYieldTSDiscount($U$35,Y15573,,Trigger)</f>
        <v>0.43708048711233066</v>
      </c>
    </row>
    <row r="15574" spans="25:26" x14ac:dyDescent="0.25">
      <c r="Y15574" s="63">
        <v>58107</v>
      </c>
      <c r="Z15574" s="61">
        <f>_xll.qlYieldTSDiscount($U$35,Y15574,,Trigger)</f>
        <v>0.4370536543362934</v>
      </c>
    </row>
    <row r="15575" spans="25:26" x14ac:dyDescent="0.25">
      <c r="Y15575" s="63">
        <v>58108</v>
      </c>
      <c r="Z15575" s="61">
        <f>_xll.qlYieldTSDiscount($U$35,Y15575,,Trigger)</f>
        <v>0.43702682389226888</v>
      </c>
    </row>
    <row r="15576" spans="25:26" x14ac:dyDescent="0.25">
      <c r="Y15576" s="63">
        <v>58109</v>
      </c>
      <c r="Z15576" s="61">
        <f>_xll.qlYieldTSDiscount($U$35,Y15576,,Trigger)</f>
        <v>0.4369999957798909</v>
      </c>
    </row>
    <row r="15577" spans="25:26" x14ac:dyDescent="0.25">
      <c r="Y15577" s="63">
        <v>58110</v>
      </c>
      <c r="Z15577" s="61">
        <f>_xll.qlYieldTSDiscount($U$35,Y15577,,Trigger)</f>
        <v>0.43697316999879376</v>
      </c>
    </row>
    <row r="15578" spans="25:26" x14ac:dyDescent="0.25">
      <c r="Y15578" s="63">
        <v>58111</v>
      </c>
      <c r="Z15578" s="61">
        <f>_xll.qlYieldTSDiscount($U$35,Y15578,,Trigger)</f>
        <v>0.43694634654861131</v>
      </c>
    </row>
    <row r="15579" spans="25:26" x14ac:dyDescent="0.25">
      <c r="Y15579" s="63">
        <v>58112</v>
      </c>
      <c r="Z15579" s="61">
        <f>_xll.qlYieldTSDiscount($U$35,Y15579,,Trigger)</f>
        <v>0.43691952542897772</v>
      </c>
    </row>
    <row r="15580" spans="25:26" x14ac:dyDescent="0.25">
      <c r="Y15580" s="63">
        <v>58113</v>
      </c>
      <c r="Z15580" s="61">
        <f>_xll.qlYieldTSDiscount($U$35,Y15580,,Trigger)</f>
        <v>0.43689270663952684</v>
      </c>
    </row>
    <row r="15581" spans="25:26" x14ac:dyDescent="0.25">
      <c r="Y15581" s="63">
        <v>58114</v>
      </c>
      <c r="Z15581" s="61">
        <f>_xll.qlYieldTSDiscount($U$35,Y15581,,Trigger)</f>
        <v>0.43686589017989275</v>
      </c>
    </row>
    <row r="15582" spans="25:26" x14ac:dyDescent="0.25">
      <c r="Y15582" s="63">
        <v>58115</v>
      </c>
      <c r="Z15582" s="61">
        <f>_xll.qlYieldTSDiscount($U$35,Y15582,,Trigger)</f>
        <v>0.43683907604970962</v>
      </c>
    </row>
    <row r="15583" spans="25:26" x14ac:dyDescent="0.25">
      <c r="Y15583" s="63">
        <v>58116</v>
      </c>
      <c r="Z15583" s="61">
        <f>_xll.qlYieldTSDiscount($U$35,Y15583,,Trigger)</f>
        <v>0.43681226424861119</v>
      </c>
    </row>
    <row r="15584" spans="25:26" x14ac:dyDescent="0.25">
      <c r="Y15584" s="63">
        <v>58117</v>
      </c>
      <c r="Z15584" s="61">
        <f>_xll.qlYieldTSDiscount($U$35,Y15584,,Trigger)</f>
        <v>0.43678545477623171</v>
      </c>
    </row>
    <row r="15585" spans="25:26" x14ac:dyDescent="0.25">
      <c r="Y15585" s="63">
        <v>58118</v>
      </c>
      <c r="Z15585" s="61">
        <f>_xll.qlYieldTSDiscount($U$35,Y15585,,Trigger)</f>
        <v>0.43675864763220518</v>
      </c>
    </row>
    <row r="15586" spans="25:26" x14ac:dyDescent="0.25">
      <c r="Y15586" s="63">
        <v>58119</v>
      </c>
      <c r="Z15586" s="61">
        <f>_xll.qlYieldTSDiscount($U$35,Y15586,,Trigger)</f>
        <v>0.43673184281616551</v>
      </c>
    </row>
    <row r="15587" spans="25:26" x14ac:dyDescent="0.25">
      <c r="Y15587" s="63">
        <v>58120</v>
      </c>
      <c r="Z15587" s="61">
        <f>_xll.qlYieldTSDiscount($U$35,Y15587,,Trigger)</f>
        <v>0.43670504032774671</v>
      </c>
    </row>
    <row r="15588" spans="25:26" x14ac:dyDescent="0.25">
      <c r="Y15588" s="63">
        <v>58121</v>
      </c>
      <c r="Z15588" s="61">
        <f>_xll.qlYieldTSDiscount($U$35,Y15588,,Trigger)</f>
        <v>0.43667824016658296</v>
      </c>
    </row>
    <row r="15589" spans="25:26" x14ac:dyDescent="0.25">
      <c r="Y15589" s="63">
        <v>58122</v>
      </c>
      <c r="Z15589" s="61">
        <f>_xll.qlYieldTSDiscount($U$35,Y15589,,Trigger)</f>
        <v>0.43665144233230824</v>
      </c>
    </row>
    <row r="15590" spans="25:26" x14ac:dyDescent="0.25">
      <c r="Y15590" s="63">
        <v>58123</v>
      </c>
      <c r="Z15590" s="61">
        <f>_xll.qlYieldTSDiscount($U$35,Y15590,,Trigger)</f>
        <v>0.43662464682455637</v>
      </c>
    </row>
    <row r="15591" spans="25:26" x14ac:dyDescent="0.25">
      <c r="Y15591" s="63">
        <v>58124</v>
      </c>
      <c r="Z15591" s="61">
        <f>_xll.qlYieldTSDiscount($U$35,Y15591,,Trigger)</f>
        <v>0.43659785364296166</v>
      </c>
    </row>
    <row r="15592" spans="25:26" x14ac:dyDescent="0.25">
      <c r="Y15592" s="63">
        <v>58125</v>
      </c>
      <c r="Z15592" s="61">
        <f>_xll.qlYieldTSDiscount($U$35,Y15592,,Trigger)</f>
        <v>0.43657106278715796</v>
      </c>
    </row>
    <row r="15593" spans="25:26" x14ac:dyDescent="0.25">
      <c r="Y15593" s="63">
        <v>58126</v>
      </c>
      <c r="Z15593" s="61">
        <f>_xll.qlYieldTSDiscount($U$35,Y15593,,Trigger)</f>
        <v>0.43654427425677933</v>
      </c>
    </row>
    <row r="15594" spans="25:26" x14ac:dyDescent="0.25">
      <c r="Y15594" s="63">
        <v>58127</v>
      </c>
      <c r="Z15594" s="61">
        <f>_xll.qlYieldTSDiscount($U$35,Y15594,,Trigger)</f>
        <v>0.43651748805145979</v>
      </c>
    </row>
    <row r="15595" spans="25:26" x14ac:dyDescent="0.25">
      <c r="Y15595" s="63">
        <v>58128</v>
      </c>
      <c r="Z15595" s="61">
        <f>_xll.qlYieldTSDiscount($U$35,Y15595,,Trigger)</f>
        <v>0.43649070417083341</v>
      </c>
    </row>
    <row r="15596" spans="25:26" x14ac:dyDescent="0.25">
      <c r="Y15596" s="63">
        <v>58129</v>
      </c>
      <c r="Z15596" s="61">
        <f>_xll.qlYieldTSDiscount($U$35,Y15596,,Trigger)</f>
        <v>0.43646392261453415</v>
      </c>
    </row>
    <row r="15597" spans="25:26" x14ac:dyDescent="0.25">
      <c r="Y15597" s="63">
        <v>58130</v>
      </c>
      <c r="Z15597" s="61">
        <f>_xll.qlYieldTSDiscount($U$35,Y15597,,Trigger)</f>
        <v>0.43643714338219597</v>
      </c>
    </row>
    <row r="15598" spans="25:26" x14ac:dyDescent="0.25">
      <c r="Y15598" s="63">
        <v>58131</v>
      </c>
      <c r="Z15598" s="61">
        <f>_xll.qlYieldTSDiscount($U$35,Y15598,,Trigger)</f>
        <v>0.4364103664734531</v>
      </c>
    </row>
    <row r="15599" spans="25:26" x14ac:dyDescent="0.25">
      <c r="Y15599" s="63">
        <v>58132</v>
      </c>
      <c r="Z15599" s="61">
        <f>_xll.qlYieldTSDiscount($U$35,Y15599,,Trigger)</f>
        <v>0.4363835918879394</v>
      </c>
    </row>
    <row r="15600" spans="25:26" x14ac:dyDescent="0.25">
      <c r="Y15600" s="63">
        <v>58133</v>
      </c>
      <c r="Z15600" s="61">
        <f>_xll.qlYieldTSDiscount($U$35,Y15600,,Trigger)</f>
        <v>0.43635681962528883</v>
      </c>
    </row>
    <row r="15601" spans="25:26" x14ac:dyDescent="0.25">
      <c r="Y15601" s="63">
        <v>58134</v>
      </c>
      <c r="Z15601" s="61">
        <f>_xll.qlYieldTSDiscount($U$35,Y15601,,Trigger)</f>
        <v>0.43633004968513567</v>
      </c>
    </row>
    <row r="15602" spans="25:26" x14ac:dyDescent="0.25">
      <c r="Y15602" s="63">
        <v>58135</v>
      </c>
      <c r="Z15602" s="61">
        <f>_xll.qlYieldTSDiscount($U$35,Y15602,,Trigger)</f>
        <v>0.43630328206711366</v>
      </c>
    </row>
    <row r="15603" spans="25:26" x14ac:dyDescent="0.25">
      <c r="Y15603" s="63">
        <v>58136</v>
      </c>
      <c r="Z15603" s="61">
        <f>_xll.qlYieldTSDiscount($U$35,Y15603,,Trigger)</f>
        <v>0.43627651677085694</v>
      </c>
    </row>
    <row r="15604" spans="25:26" x14ac:dyDescent="0.25">
      <c r="Y15604" s="63">
        <v>58137</v>
      </c>
      <c r="Z15604" s="61">
        <f>_xll.qlYieldTSDiscount($U$35,Y15604,,Trigger)</f>
        <v>0.43624975379599962</v>
      </c>
    </row>
    <row r="15605" spans="25:26" x14ac:dyDescent="0.25">
      <c r="Y15605" s="63">
        <v>58138</v>
      </c>
      <c r="Z15605" s="61">
        <f>_xll.qlYieldTSDiscount($U$35,Y15605,,Trigger)</f>
        <v>0.4362229931421755</v>
      </c>
    </row>
    <row r="15606" spans="25:26" x14ac:dyDescent="0.25">
      <c r="Y15606" s="63">
        <v>58139</v>
      </c>
      <c r="Z15606" s="61">
        <f>_xll.qlYieldTSDiscount($U$35,Y15606,,Trigger)</f>
        <v>0.43619623480901881</v>
      </c>
    </row>
    <row r="15607" spans="25:26" x14ac:dyDescent="0.25">
      <c r="Y15607" s="63">
        <v>58140</v>
      </c>
      <c r="Z15607" s="61">
        <f>_xll.qlYieldTSDiscount($U$35,Y15607,,Trigger)</f>
        <v>0.43616947879616347</v>
      </c>
    </row>
    <row r="15608" spans="25:26" x14ac:dyDescent="0.25">
      <c r="Y15608" s="63">
        <v>58141</v>
      </c>
      <c r="Z15608" s="61">
        <f>_xll.qlYieldTSDiscount($U$35,Y15608,,Trigger)</f>
        <v>0.43614272510324359</v>
      </c>
    </row>
    <row r="15609" spans="25:26" x14ac:dyDescent="0.25">
      <c r="Y15609" s="63">
        <v>58142</v>
      </c>
      <c r="Z15609" s="61">
        <f>_xll.qlYieldTSDiscount($U$35,Y15609,,Trigger)</f>
        <v>0.43611597372989308</v>
      </c>
    </row>
    <row r="15610" spans="25:26" x14ac:dyDescent="0.25">
      <c r="Y15610" s="63">
        <v>58143</v>
      </c>
      <c r="Z15610" s="61">
        <f>_xll.qlYieldTSDiscount($U$35,Y15610,,Trigger)</f>
        <v>0.43608922467574607</v>
      </c>
    </row>
    <row r="15611" spans="25:26" x14ac:dyDescent="0.25">
      <c r="Y15611" s="63">
        <v>58144</v>
      </c>
      <c r="Z15611" s="61">
        <f>_xll.qlYieldTSDiscount($U$35,Y15611,,Trigger)</f>
        <v>0.43606247794043651</v>
      </c>
    </row>
    <row r="15612" spans="25:26" x14ac:dyDescent="0.25">
      <c r="Y15612" s="63">
        <v>58145</v>
      </c>
      <c r="Z15612" s="61">
        <f>_xll.qlYieldTSDiscount($U$35,Y15612,,Trigger)</f>
        <v>0.43603573352359837</v>
      </c>
    </row>
    <row r="15613" spans="25:26" x14ac:dyDescent="0.25">
      <c r="Y15613" s="63">
        <v>58146</v>
      </c>
      <c r="Z15613" s="61">
        <f>_xll.qlYieldTSDiscount($U$35,Y15613,,Trigger)</f>
        <v>0.43600899142486582</v>
      </c>
    </row>
    <row r="15614" spans="25:26" x14ac:dyDescent="0.25">
      <c r="Y15614" s="63">
        <v>58147</v>
      </c>
      <c r="Z15614" s="61">
        <f>_xll.qlYieldTSDiscount($U$35,Y15614,,Trigger)</f>
        <v>0.43598225164387283</v>
      </c>
    </row>
    <row r="15615" spans="25:26" x14ac:dyDescent="0.25">
      <c r="Y15615" s="63">
        <v>58148</v>
      </c>
      <c r="Z15615" s="61">
        <f>_xll.qlYieldTSDiscount($U$35,Y15615,,Trigger)</f>
        <v>0.4359555141802533</v>
      </c>
    </row>
    <row r="15616" spans="25:26" x14ac:dyDescent="0.25">
      <c r="Y15616" s="63">
        <v>58149</v>
      </c>
      <c r="Z15616" s="61">
        <f>_xll.qlYieldTSDiscount($U$35,Y15616,,Trigger)</f>
        <v>0.43592877903364136</v>
      </c>
    </row>
    <row r="15617" spans="25:26" x14ac:dyDescent="0.25">
      <c r="Y15617" s="63">
        <v>58150</v>
      </c>
      <c r="Z15617" s="61">
        <f>_xll.qlYieldTSDiscount($U$35,Y15617,,Trigger)</f>
        <v>0.43590204620367107</v>
      </c>
    </row>
    <row r="15618" spans="25:26" x14ac:dyDescent="0.25">
      <c r="Y15618" s="63">
        <v>58151</v>
      </c>
      <c r="Z15618" s="61">
        <f>_xll.qlYieldTSDiscount($U$35,Y15618,,Trigger)</f>
        <v>0.43587531568997639</v>
      </c>
    </row>
    <row r="15619" spans="25:26" x14ac:dyDescent="0.25">
      <c r="Y15619" s="63">
        <v>58152</v>
      </c>
      <c r="Z15619" s="61">
        <f>_xll.qlYieldTSDiscount($U$35,Y15619,,Trigger)</f>
        <v>0.4358485874921913</v>
      </c>
    </row>
    <row r="15620" spans="25:26" x14ac:dyDescent="0.25">
      <c r="Y15620" s="63">
        <v>58153</v>
      </c>
      <c r="Z15620" s="61">
        <f>_xll.qlYieldTSDiscount($U$35,Y15620,,Trigger)</f>
        <v>0.43582186160994996</v>
      </c>
    </row>
    <row r="15621" spans="25:26" x14ac:dyDescent="0.25">
      <c r="Y15621" s="63">
        <v>58154</v>
      </c>
      <c r="Z15621" s="61">
        <f>_xll.qlYieldTSDiscount($U$35,Y15621,,Trigger)</f>
        <v>0.43579513804288617</v>
      </c>
    </row>
    <row r="15622" spans="25:26" x14ac:dyDescent="0.25">
      <c r="Y15622" s="63">
        <v>58155</v>
      </c>
      <c r="Z15622" s="61">
        <f>_xll.qlYieldTSDiscount($U$35,Y15622,,Trigger)</f>
        <v>0.43576841679063416</v>
      </c>
    </row>
    <row r="15623" spans="25:26" x14ac:dyDescent="0.25">
      <c r="Y15623" s="63">
        <v>58156</v>
      </c>
      <c r="Z15623" s="61">
        <f>_xll.qlYieldTSDiscount($U$35,Y15623,,Trigger)</f>
        <v>0.4357416978528279</v>
      </c>
    </row>
    <row r="15624" spans="25:26" x14ac:dyDescent="0.25">
      <c r="Y15624" s="63">
        <v>58157</v>
      </c>
      <c r="Z15624" s="61">
        <f>_xll.qlYieldTSDiscount($U$35,Y15624,,Trigger)</f>
        <v>0.43571498122910135</v>
      </c>
    </row>
    <row r="15625" spans="25:26" x14ac:dyDescent="0.25">
      <c r="Y15625" s="63">
        <v>58158</v>
      </c>
      <c r="Z15625" s="61">
        <f>_xll.qlYieldTSDiscount($U$35,Y15625,,Trigger)</f>
        <v>0.43568826691908863</v>
      </c>
    </row>
    <row r="15626" spans="25:26" x14ac:dyDescent="0.25">
      <c r="Y15626" s="63">
        <v>58159</v>
      </c>
      <c r="Z15626" s="61">
        <f>_xll.qlYieldTSDiscount($U$35,Y15626,,Trigger)</f>
        <v>0.43566155492242364</v>
      </c>
    </row>
    <row r="15627" spans="25:26" x14ac:dyDescent="0.25">
      <c r="Y15627" s="63">
        <v>58160</v>
      </c>
      <c r="Z15627" s="61">
        <f>_xll.qlYieldTSDiscount($U$35,Y15627,,Trigger)</f>
        <v>0.43563484523874052</v>
      </c>
    </row>
    <row r="15628" spans="25:26" x14ac:dyDescent="0.25">
      <c r="Y15628" s="63">
        <v>58161</v>
      </c>
      <c r="Z15628" s="61">
        <f>_xll.qlYieldTSDiscount($U$35,Y15628,,Trigger)</f>
        <v>0.43560813786767322</v>
      </c>
    </row>
    <row r="15629" spans="25:26" x14ac:dyDescent="0.25">
      <c r="Y15629" s="63">
        <v>58162</v>
      </c>
      <c r="Z15629" s="61">
        <f>_xll.qlYieldTSDiscount($U$35,Y15629,,Trigger)</f>
        <v>0.43558143280885575</v>
      </c>
    </row>
    <row r="15630" spans="25:26" x14ac:dyDescent="0.25">
      <c r="Y15630" s="63">
        <v>58163</v>
      </c>
      <c r="Z15630" s="61">
        <f>_xll.qlYieldTSDiscount($U$35,Y15630,,Trigger)</f>
        <v>0.43555473006192225</v>
      </c>
    </row>
    <row r="15631" spans="25:26" x14ac:dyDescent="0.25">
      <c r="Y15631" s="63">
        <v>58164</v>
      </c>
      <c r="Z15631" s="61">
        <f>_xll.qlYieldTSDiscount($U$35,Y15631,,Trigger)</f>
        <v>0.43552802962650655</v>
      </c>
    </row>
    <row r="15632" spans="25:26" x14ac:dyDescent="0.25">
      <c r="Y15632" s="63">
        <v>58165</v>
      </c>
      <c r="Z15632" s="61">
        <f>_xll.qlYieldTSDiscount($U$35,Y15632,,Trigger)</f>
        <v>0.43550133150224279</v>
      </c>
    </row>
    <row r="15633" spans="25:26" x14ac:dyDescent="0.25">
      <c r="Y15633" s="63">
        <v>58166</v>
      </c>
      <c r="Z15633" s="61">
        <f>_xll.qlYieldTSDiscount($U$35,Y15633,,Trigger)</f>
        <v>0.43547463568876504</v>
      </c>
    </row>
    <row r="15634" spans="25:26" x14ac:dyDescent="0.25">
      <c r="Y15634" s="63">
        <v>58167</v>
      </c>
      <c r="Z15634" s="61">
        <f>_xll.qlYieldTSDiscount($U$35,Y15634,,Trigger)</f>
        <v>0.4354479421857072</v>
      </c>
    </row>
    <row r="15635" spans="25:26" x14ac:dyDescent="0.25">
      <c r="Y15635" s="63">
        <v>58168</v>
      </c>
      <c r="Z15635" s="61">
        <f>_xll.qlYieldTSDiscount($U$35,Y15635,,Trigger)</f>
        <v>0.43542125099270335</v>
      </c>
    </row>
    <row r="15636" spans="25:26" x14ac:dyDescent="0.25">
      <c r="Y15636" s="63">
        <v>58169</v>
      </c>
      <c r="Z15636" s="61">
        <f>_xll.qlYieldTSDiscount($U$35,Y15636,,Trigger)</f>
        <v>0.43539456210938754</v>
      </c>
    </row>
    <row r="15637" spans="25:26" x14ac:dyDescent="0.25">
      <c r="Y15637" s="63">
        <v>58170</v>
      </c>
      <c r="Z15637" s="61">
        <f>_xll.qlYieldTSDiscount($U$35,Y15637,,Trigger)</f>
        <v>0.4353678755353938</v>
      </c>
    </row>
    <row r="15638" spans="25:26" x14ac:dyDescent="0.25">
      <c r="Y15638" s="63">
        <v>58171</v>
      </c>
      <c r="Z15638" s="61">
        <f>_xll.qlYieldTSDiscount($U$35,Y15638,,Trigger)</f>
        <v>0.43534119127035603</v>
      </c>
    </row>
    <row r="15639" spans="25:26" x14ac:dyDescent="0.25">
      <c r="Y15639" s="63">
        <v>58172</v>
      </c>
      <c r="Z15639" s="61">
        <f>_xll.qlYieldTSDiscount($U$35,Y15639,,Trigger)</f>
        <v>0.43531450931390836</v>
      </c>
    </row>
    <row r="15640" spans="25:26" x14ac:dyDescent="0.25">
      <c r="Y15640" s="63">
        <v>58173</v>
      </c>
      <c r="Z15640" s="61">
        <f>_xll.qlYieldTSDiscount($U$35,Y15640,,Trigger)</f>
        <v>0.43528782966568486</v>
      </c>
    </row>
    <row r="15641" spans="25:26" x14ac:dyDescent="0.25">
      <c r="Y15641" s="63">
        <v>58174</v>
      </c>
      <c r="Z15641" s="61">
        <f>_xll.qlYieldTSDiscount($U$35,Y15641,,Trigger)</f>
        <v>0.43526115232531942</v>
      </c>
    </row>
    <row r="15642" spans="25:26" x14ac:dyDescent="0.25">
      <c r="Y15642" s="63">
        <v>58175</v>
      </c>
      <c r="Z15642" s="61">
        <f>_xll.qlYieldTSDiscount($U$35,Y15642,,Trigger)</f>
        <v>0.43523447729244613</v>
      </c>
    </row>
    <row r="15643" spans="25:26" x14ac:dyDescent="0.25">
      <c r="Y15643" s="63">
        <v>58176</v>
      </c>
      <c r="Z15643" s="61">
        <f>_xll.qlYieldTSDiscount($U$35,Y15643,,Trigger)</f>
        <v>0.43520780456669905</v>
      </c>
    </row>
    <row r="15644" spans="25:26" x14ac:dyDescent="0.25">
      <c r="Y15644" s="63">
        <v>58177</v>
      </c>
      <c r="Z15644" s="61">
        <f>_xll.qlYieldTSDiscount($U$35,Y15644,,Trigger)</f>
        <v>0.43518113414771209</v>
      </c>
    </row>
    <row r="15645" spans="25:26" x14ac:dyDescent="0.25">
      <c r="Y15645" s="63">
        <v>58178</v>
      </c>
      <c r="Z15645" s="61">
        <f>_xll.qlYieldTSDiscount($U$35,Y15645,,Trigger)</f>
        <v>0.43515446603511931</v>
      </c>
    </row>
    <row r="15646" spans="25:26" x14ac:dyDescent="0.25">
      <c r="Y15646" s="63">
        <v>58179</v>
      </c>
      <c r="Z15646" s="61">
        <f>_xll.qlYieldTSDiscount($U$35,Y15646,,Trigger)</f>
        <v>0.43512780022855491</v>
      </c>
    </row>
    <row r="15647" spans="25:26" x14ac:dyDescent="0.25">
      <c r="Y15647" s="63">
        <v>58180</v>
      </c>
      <c r="Z15647" s="61">
        <f>_xll.qlYieldTSDiscount($U$35,Y15647,,Trigger)</f>
        <v>0.43510113672765266</v>
      </c>
    </row>
    <row r="15648" spans="25:26" x14ac:dyDescent="0.25">
      <c r="Y15648" s="63">
        <v>58181</v>
      </c>
      <c r="Z15648" s="61">
        <f>_xll.qlYieldTSDiscount($U$35,Y15648,,Trigger)</f>
        <v>0.4350744755320467</v>
      </c>
    </row>
    <row r="15649" spans="25:26" x14ac:dyDescent="0.25">
      <c r="Y15649" s="63">
        <v>58182</v>
      </c>
      <c r="Z15649" s="61">
        <f>_xll.qlYieldTSDiscount($U$35,Y15649,,Trigger)</f>
        <v>0.43504781664137104</v>
      </c>
    </row>
    <row r="15650" spans="25:26" x14ac:dyDescent="0.25">
      <c r="Y15650" s="63">
        <v>58183</v>
      </c>
      <c r="Z15650" s="61">
        <f>_xll.qlYieldTSDiscount($U$35,Y15650,,Trigger)</f>
        <v>0.4350211600552597</v>
      </c>
    </row>
    <row r="15651" spans="25:26" x14ac:dyDescent="0.25">
      <c r="Y15651" s="63">
        <v>58184</v>
      </c>
      <c r="Z15651" s="61">
        <f>_xll.qlYieldTSDiscount($U$35,Y15651,,Trigger)</f>
        <v>0.4349945057733467</v>
      </c>
    </row>
    <row r="15652" spans="25:26" x14ac:dyDescent="0.25">
      <c r="Y15652" s="63">
        <v>58185</v>
      </c>
      <c r="Z15652" s="61">
        <f>_xll.qlYieldTSDiscount($U$35,Y15652,,Trigger)</f>
        <v>0.43496785379526604</v>
      </c>
    </row>
    <row r="15653" spans="25:26" x14ac:dyDescent="0.25">
      <c r="Y15653" s="63">
        <v>58186</v>
      </c>
      <c r="Z15653" s="61">
        <f>_xll.qlYieldTSDiscount($U$35,Y15653,,Trigger)</f>
        <v>0.43494120412065185</v>
      </c>
    </row>
    <row r="15654" spans="25:26" x14ac:dyDescent="0.25">
      <c r="Y15654" s="63">
        <v>58187</v>
      </c>
      <c r="Z15654" s="61">
        <f>_xll.qlYieldTSDiscount($U$35,Y15654,,Trigger)</f>
        <v>0.43491455674913793</v>
      </c>
    </row>
    <row r="15655" spans="25:26" x14ac:dyDescent="0.25">
      <c r="Y15655" s="63">
        <v>58188</v>
      </c>
      <c r="Z15655" s="61">
        <f>_xll.qlYieldTSDiscount($U$35,Y15655,,Trigger)</f>
        <v>0.43488791168035851</v>
      </c>
    </row>
    <row r="15656" spans="25:26" x14ac:dyDescent="0.25">
      <c r="Y15656" s="63">
        <v>58189</v>
      </c>
      <c r="Z15656" s="61">
        <f>_xll.qlYieldTSDiscount($U$35,Y15656,,Trigger)</f>
        <v>0.43486126891394761</v>
      </c>
    </row>
    <row r="15657" spans="25:26" x14ac:dyDescent="0.25">
      <c r="Y15657" s="63">
        <v>58190</v>
      </c>
      <c r="Z15657" s="61">
        <f>_xll.qlYieldTSDiscount($U$35,Y15657,,Trigger)</f>
        <v>0.43483462844953907</v>
      </c>
    </row>
    <row r="15658" spans="25:26" x14ac:dyDescent="0.25">
      <c r="Y15658" s="63">
        <v>58191</v>
      </c>
      <c r="Z15658" s="61">
        <f>_xll.qlYieldTSDiscount($U$35,Y15658,,Trigger)</f>
        <v>0.43480799028676703</v>
      </c>
    </row>
    <row r="15659" spans="25:26" x14ac:dyDescent="0.25">
      <c r="Y15659" s="63">
        <v>58192</v>
      </c>
      <c r="Z15659" s="61">
        <f>_xll.qlYieldTSDiscount($U$35,Y15659,,Trigger)</f>
        <v>0.43478135442526561</v>
      </c>
    </row>
    <row r="15660" spans="25:26" x14ac:dyDescent="0.25">
      <c r="Y15660" s="63">
        <v>58193</v>
      </c>
      <c r="Z15660" s="61">
        <f>_xll.qlYieldTSDiscount($U$35,Y15660,,Trigger)</f>
        <v>0.43475472086466865</v>
      </c>
    </row>
    <row r="15661" spans="25:26" x14ac:dyDescent="0.25">
      <c r="Y15661" s="63">
        <v>58194</v>
      </c>
      <c r="Z15661" s="61">
        <f>_xll.qlYieldTSDiscount($U$35,Y15661,,Trigger)</f>
        <v>0.43472808960461023</v>
      </c>
    </row>
    <row r="15662" spans="25:26" x14ac:dyDescent="0.25">
      <c r="Y15662" s="63">
        <v>58195</v>
      </c>
      <c r="Z15662" s="61">
        <f>_xll.qlYieldTSDiscount($U$35,Y15662,,Trigger)</f>
        <v>0.43470146064472448</v>
      </c>
    </row>
    <row r="15663" spans="25:26" x14ac:dyDescent="0.25">
      <c r="Y15663" s="63">
        <v>58196</v>
      </c>
      <c r="Z15663" s="61">
        <f>_xll.qlYieldTSDiscount($U$35,Y15663,,Trigger)</f>
        <v>0.43467483398464524</v>
      </c>
    </row>
    <row r="15664" spans="25:26" x14ac:dyDescent="0.25">
      <c r="Y15664" s="63">
        <v>58197</v>
      </c>
      <c r="Z15664" s="61">
        <f>_xll.qlYieldTSDiscount($U$35,Y15664,,Trigger)</f>
        <v>0.43464820962400663</v>
      </c>
    </row>
    <row r="15665" spans="25:26" x14ac:dyDescent="0.25">
      <c r="Y15665" s="63">
        <v>58198</v>
      </c>
      <c r="Z15665" s="61">
        <f>_xll.qlYieldTSDiscount($U$35,Y15665,,Trigger)</f>
        <v>0.43462158756244273</v>
      </c>
    </row>
    <row r="15666" spans="25:26" x14ac:dyDescent="0.25">
      <c r="Y15666" s="63">
        <v>58199</v>
      </c>
      <c r="Z15666" s="61">
        <f>_xll.qlYieldTSDiscount($U$35,Y15666,,Trigger)</f>
        <v>0.43459496779958745</v>
      </c>
    </row>
    <row r="15667" spans="25:26" x14ac:dyDescent="0.25">
      <c r="Y15667" s="63">
        <v>58200</v>
      </c>
      <c r="Z15667" s="61">
        <f>_xll.qlYieldTSDiscount($U$35,Y15667,,Trigger)</f>
        <v>0.43456835033507485</v>
      </c>
    </row>
    <row r="15668" spans="25:26" x14ac:dyDescent="0.25">
      <c r="Y15668" s="63">
        <v>58201</v>
      </c>
      <c r="Z15668" s="61">
        <f>_xll.qlYieldTSDiscount($U$35,Y15668,,Trigger)</f>
        <v>0.434541735168539</v>
      </c>
    </row>
    <row r="15669" spans="25:26" x14ac:dyDescent="0.25">
      <c r="Y15669" s="63">
        <v>58202</v>
      </c>
      <c r="Z15669" s="61">
        <f>_xll.qlYieldTSDiscount($U$35,Y15669,,Trigger)</f>
        <v>0.43451512229961387</v>
      </c>
    </row>
    <row r="15670" spans="25:26" x14ac:dyDescent="0.25">
      <c r="Y15670" s="63">
        <v>58203</v>
      </c>
      <c r="Z15670" s="61">
        <f>_xll.qlYieldTSDiscount($U$35,Y15670,,Trigger)</f>
        <v>0.43448851172793346</v>
      </c>
    </row>
    <row r="15671" spans="25:26" x14ac:dyDescent="0.25">
      <c r="Y15671" s="63">
        <v>58204</v>
      </c>
      <c r="Z15671" s="61">
        <f>_xll.qlYieldTSDiscount($U$35,Y15671,,Trigger)</f>
        <v>0.43446190345313185</v>
      </c>
    </row>
    <row r="15672" spans="25:26" x14ac:dyDescent="0.25">
      <c r="Y15672" s="63">
        <v>58205</v>
      </c>
      <c r="Z15672" s="61">
        <f>_xll.qlYieldTSDiscount($U$35,Y15672,,Trigger)</f>
        <v>0.43443529747484311</v>
      </c>
    </row>
    <row r="15673" spans="25:26" x14ac:dyDescent="0.25">
      <c r="Y15673" s="63">
        <v>58206</v>
      </c>
      <c r="Z15673" s="61">
        <f>_xll.qlYieldTSDiscount($U$35,Y15673,,Trigger)</f>
        <v>0.43440869379270114</v>
      </c>
    </row>
    <row r="15674" spans="25:26" x14ac:dyDescent="0.25">
      <c r="Y15674" s="63">
        <v>58207</v>
      </c>
      <c r="Z15674" s="61">
        <f>_xll.qlYieldTSDiscount($U$35,Y15674,,Trigger)</f>
        <v>0.43438209240633996</v>
      </c>
    </row>
    <row r="15675" spans="25:26" x14ac:dyDescent="0.25">
      <c r="Y15675" s="63">
        <v>58208</v>
      </c>
      <c r="Z15675" s="61">
        <f>_xll.qlYieldTSDiscount($U$35,Y15675,,Trigger)</f>
        <v>0.43435549331539375</v>
      </c>
    </row>
    <row r="15676" spans="25:26" x14ac:dyDescent="0.25">
      <c r="Y15676" s="63">
        <v>58209</v>
      </c>
      <c r="Z15676" s="61">
        <f>_xll.qlYieldTSDiscount($U$35,Y15676,,Trigger)</f>
        <v>0.43432889651949635</v>
      </c>
    </row>
    <row r="15677" spans="25:26" x14ac:dyDescent="0.25">
      <c r="Y15677" s="63">
        <v>58210</v>
      </c>
      <c r="Z15677" s="61">
        <f>_xll.qlYieldTSDiscount($U$35,Y15677,,Trigger)</f>
        <v>0.4343023020182819</v>
      </c>
    </row>
    <row r="15678" spans="25:26" x14ac:dyDescent="0.25">
      <c r="Y15678" s="63">
        <v>58211</v>
      </c>
      <c r="Z15678" s="61">
        <f>_xll.qlYieldTSDiscount($U$35,Y15678,,Trigger)</f>
        <v>0.43427570981138441</v>
      </c>
    </row>
    <row r="15679" spans="25:26" x14ac:dyDescent="0.25">
      <c r="Y15679" s="63">
        <v>58212</v>
      </c>
      <c r="Z15679" s="61">
        <f>_xll.qlYieldTSDiscount($U$35,Y15679,,Trigger)</f>
        <v>0.43424911989843773</v>
      </c>
    </row>
    <row r="15680" spans="25:26" x14ac:dyDescent="0.25">
      <c r="Y15680" s="63">
        <v>58213</v>
      </c>
      <c r="Z15680" s="61">
        <f>_xll.qlYieldTSDiscount($U$35,Y15680,,Trigger)</f>
        <v>0.43422253227907615</v>
      </c>
    </row>
    <row r="15681" spans="25:26" x14ac:dyDescent="0.25">
      <c r="Y15681" s="63">
        <v>58214</v>
      </c>
      <c r="Z15681" s="61">
        <f>_xll.qlYieldTSDiscount($U$35,Y15681,,Trigger)</f>
        <v>0.43419594695293362</v>
      </c>
    </row>
    <row r="15682" spans="25:26" x14ac:dyDescent="0.25">
      <c r="Y15682" s="63">
        <v>58215</v>
      </c>
      <c r="Z15682" s="61">
        <f>_xll.qlYieldTSDiscount($U$35,Y15682,,Trigger)</f>
        <v>0.434169363919644</v>
      </c>
    </row>
    <row r="15683" spans="25:26" x14ac:dyDescent="0.25">
      <c r="Y15683" s="63">
        <v>58216</v>
      </c>
      <c r="Z15683" s="61">
        <f>_xll.qlYieldTSDiscount($U$35,Y15683,,Trigger)</f>
        <v>0.43414278317884136</v>
      </c>
    </row>
    <row r="15684" spans="25:26" x14ac:dyDescent="0.25">
      <c r="Y15684" s="63">
        <v>58217</v>
      </c>
      <c r="Z15684" s="61">
        <f>_xll.qlYieldTSDiscount($U$35,Y15684,,Trigger)</f>
        <v>0.43411620473015988</v>
      </c>
    </row>
    <row r="15685" spans="25:26" x14ac:dyDescent="0.25">
      <c r="Y15685" s="63">
        <v>58218</v>
      </c>
      <c r="Z15685" s="61">
        <f>_xll.qlYieldTSDiscount($U$35,Y15685,,Trigger)</f>
        <v>0.43408962857323352</v>
      </c>
    </row>
    <row r="15686" spans="25:26" x14ac:dyDescent="0.25">
      <c r="Y15686" s="63">
        <v>58219</v>
      </c>
      <c r="Z15686" s="61">
        <f>_xll.qlYieldTSDiscount($U$35,Y15686,,Trigger)</f>
        <v>0.43406305470769624</v>
      </c>
    </row>
    <row r="15687" spans="25:26" x14ac:dyDescent="0.25">
      <c r="Y15687" s="63">
        <v>58220</v>
      </c>
      <c r="Z15687" s="61">
        <f>_xll.qlYieldTSDiscount($U$35,Y15687,,Trigger)</f>
        <v>0.43403648313318199</v>
      </c>
    </row>
    <row r="15688" spans="25:26" x14ac:dyDescent="0.25">
      <c r="Y15688" s="63">
        <v>58221</v>
      </c>
      <c r="Z15688" s="61">
        <f>_xll.qlYieldTSDiscount($U$35,Y15688,,Trigger)</f>
        <v>0.43400991384932502</v>
      </c>
    </row>
    <row r="15689" spans="25:26" x14ac:dyDescent="0.25">
      <c r="Y15689" s="63">
        <v>58222</v>
      </c>
      <c r="Z15689" s="61">
        <f>_xll.qlYieldTSDiscount($U$35,Y15689,,Trigger)</f>
        <v>0.43398334685575912</v>
      </c>
    </row>
    <row r="15690" spans="25:26" x14ac:dyDescent="0.25">
      <c r="Y15690" s="63">
        <v>58223</v>
      </c>
      <c r="Z15690" s="61">
        <f>_xll.qlYieldTSDiscount($U$35,Y15690,,Trigger)</f>
        <v>0.43395678215211853</v>
      </c>
    </row>
    <row r="15691" spans="25:26" x14ac:dyDescent="0.25">
      <c r="Y15691" s="63">
        <v>58224</v>
      </c>
      <c r="Z15691" s="61">
        <f>_xll.qlYieldTSDiscount($U$35,Y15691,,Trigger)</f>
        <v>0.43393021973803708</v>
      </c>
    </row>
    <row r="15692" spans="25:26" x14ac:dyDescent="0.25">
      <c r="Y15692" s="63">
        <v>58225</v>
      </c>
      <c r="Z15692" s="61">
        <f>_xll.qlYieldTSDiscount($U$35,Y15692,,Trigger)</f>
        <v>0.43390365961314886</v>
      </c>
    </row>
    <row r="15693" spans="25:26" x14ac:dyDescent="0.25">
      <c r="Y15693" s="63">
        <v>58226</v>
      </c>
      <c r="Z15693" s="61">
        <f>_xll.qlYieldTSDiscount($U$35,Y15693,,Trigger)</f>
        <v>0.43387710177708788</v>
      </c>
    </row>
    <row r="15694" spans="25:26" x14ac:dyDescent="0.25">
      <c r="Y15694" s="63">
        <v>58227</v>
      </c>
      <c r="Z15694" s="61">
        <f>_xll.qlYieldTSDiscount($U$35,Y15694,,Trigger)</f>
        <v>0.43385054622948827</v>
      </c>
    </row>
    <row r="15695" spans="25:26" x14ac:dyDescent="0.25">
      <c r="Y15695" s="63">
        <v>58228</v>
      </c>
      <c r="Z15695" s="61">
        <f>_xll.qlYieldTSDiscount($U$35,Y15695,,Trigger)</f>
        <v>0.43382399296998386</v>
      </c>
    </row>
    <row r="15696" spans="25:26" x14ac:dyDescent="0.25">
      <c r="Y15696" s="63">
        <v>58229</v>
      </c>
      <c r="Z15696" s="61">
        <f>_xll.qlYieldTSDiscount($U$35,Y15696,,Trigger)</f>
        <v>0.4337974419982088</v>
      </c>
    </row>
    <row r="15697" spans="25:26" x14ac:dyDescent="0.25">
      <c r="Y15697" s="63">
        <v>58230</v>
      </c>
      <c r="Z15697" s="61">
        <f>_xll.qlYieldTSDiscount($U$35,Y15697,,Trigger)</f>
        <v>0.43377089331379715</v>
      </c>
    </row>
    <row r="15698" spans="25:26" x14ac:dyDescent="0.25">
      <c r="Y15698" s="63">
        <v>58231</v>
      </c>
      <c r="Z15698" s="61">
        <f>_xll.qlYieldTSDiscount($U$35,Y15698,,Trigger)</f>
        <v>0.43374434691638286</v>
      </c>
    </row>
    <row r="15699" spans="25:26" x14ac:dyDescent="0.25">
      <c r="Y15699" s="63">
        <v>58232</v>
      </c>
      <c r="Z15699" s="61">
        <f>_xll.qlYieldTSDiscount($U$35,Y15699,,Trigger)</f>
        <v>0.43371780280559991</v>
      </c>
    </row>
    <row r="15700" spans="25:26" x14ac:dyDescent="0.25">
      <c r="Y15700" s="63">
        <v>58233</v>
      </c>
      <c r="Z15700" s="61">
        <f>_xll.qlYieldTSDiscount($U$35,Y15700,,Trigger)</f>
        <v>0.43369126098108235</v>
      </c>
    </row>
    <row r="15701" spans="25:26" x14ac:dyDescent="0.25">
      <c r="Y15701" s="63">
        <v>58234</v>
      </c>
      <c r="Z15701" s="61">
        <f>_xll.qlYieldTSDiscount($U$35,Y15701,,Trigger)</f>
        <v>0.43366472144246426</v>
      </c>
    </row>
    <row r="15702" spans="25:26" x14ac:dyDescent="0.25">
      <c r="Y15702" s="63">
        <v>58235</v>
      </c>
      <c r="Z15702" s="61">
        <f>_xll.qlYieldTSDiscount($U$35,Y15702,,Trigger)</f>
        <v>0.43363818418937966</v>
      </c>
    </row>
    <row r="15703" spans="25:26" x14ac:dyDescent="0.25">
      <c r="Y15703" s="63">
        <v>58236</v>
      </c>
      <c r="Z15703" s="61">
        <f>_xll.qlYieldTSDiscount($U$35,Y15703,,Trigger)</f>
        <v>0.43361164922146245</v>
      </c>
    </row>
    <row r="15704" spans="25:26" x14ac:dyDescent="0.25">
      <c r="Y15704" s="63">
        <v>58237</v>
      </c>
      <c r="Z15704" s="61">
        <f>_xll.qlYieldTSDiscount($U$35,Y15704,,Trigger)</f>
        <v>0.43358511653834686</v>
      </c>
    </row>
    <row r="15705" spans="25:26" x14ac:dyDescent="0.25">
      <c r="Y15705" s="63">
        <v>58238</v>
      </c>
      <c r="Z15705" s="61">
        <f>_xll.qlYieldTSDiscount($U$35,Y15705,,Trigger)</f>
        <v>0.43355858613966669</v>
      </c>
    </row>
    <row r="15706" spans="25:26" x14ac:dyDescent="0.25">
      <c r="Y15706" s="63">
        <v>58239</v>
      </c>
      <c r="Z15706" s="61">
        <f>_xll.qlYieldTSDiscount($U$35,Y15706,,Trigger)</f>
        <v>0.43353205802505612</v>
      </c>
    </row>
    <row r="15707" spans="25:26" x14ac:dyDescent="0.25">
      <c r="Y15707" s="63">
        <v>58240</v>
      </c>
      <c r="Z15707" s="61">
        <f>_xll.qlYieldTSDiscount($U$35,Y15707,,Trigger)</f>
        <v>0.43350553219414911</v>
      </c>
    </row>
    <row r="15708" spans="25:26" x14ac:dyDescent="0.25">
      <c r="Y15708" s="63">
        <v>58241</v>
      </c>
      <c r="Z15708" s="61">
        <f>_xll.qlYieldTSDiscount($U$35,Y15708,,Trigger)</f>
        <v>0.43347900864657968</v>
      </c>
    </row>
    <row r="15709" spans="25:26" x14ac:dyDescent="0.25">
      <c r="Y15709" s="63">
        <v>58242</v>
      </c>
      <c r="Z15709" s="61">
        <f>_xll.qlYieldTSDiscount($U$35,Y15709,,Trigger)</f>
        <v>0.43345248738198183</v>
      </c>
    </row>
    <row r="15710" spans="25:26" x14ac:dyDescent="0.25">
      <c r="Y15710" s="63">
        <v>58243</v>
      </c>
      <c r="Z15710" s="61">
        <f>_xll.qlYieldTSDiscount($U$35,Y15710,,Trigger)</f>
        <v>0.43342596839998965</v>
      </c>
    </row>
    <row r="15711" spans="25:26" x14ac:dyDescent="0.25">
      <c r="Y15711" s="63">
        <v>58244</v>
      </c>
      <c r="Z15711" s="61">
        <f>_xll.qlYieldTSDiscount($U$35,Y15711,,Trigger)</f>
        <v>0.43339945170023708</v>
      </c>
    </row>
    <row r="15712" spans="25:26" x14ac:dyDescent="0.25">
      <c r="Y15712" s="63">
        <v>58245</v>
      </c>
      <c r="Z15712" s="61">
        <f>_xll.qlYieldTSDiscount($U$35,Y15712,,Trigger)</f>
        <v>0.43337293728235821</v>
      </c>
    </row>
    <row r="15713" spans="25:26" x14ac:dyDescent="0.25">
      <c r="Y15713" s="63">
        <v>58246</v>
      </c>
      <c r="Z15713" s="61">
        <f>_xll.qlYieldTSDiscount($U$35,Y15713,,Trigger)</f>
        <v>0.43334642514598698</v>
      </c>
    </row>
    <row r="15714" spans="25:26" x14ac:dyDescent="0.25">
      <c r="Y15714" s="63">
        <v>58247</v>
      </c>
      <c r="Z15714" s="61">
        <f>_xll.qlYieldTSDiscount($U$35,Y15714,,Trigger)</f>
        <v>0.43331991529075764</v>
      </c>
    </row>
    <row r="15715" spans="25:26" x14ac:dyDescent="0.25">
      <c r="Y15715" s="63">
        <v>58248</v>
      </c>
      <c r="Z15715" s="61">
        <f>_xll.qlYieldTSDiscount($U$35,Y15715,,Trigger)</f>
        <v>0.43329340771630387</v>
      </c>
    </row>
    <row r="15716" spans="25:26" x14ac:dyDescent="0.25">
      <c r="Y15716" s="63">
        <v>58249</v>
      </c>
      <c r="Z15716" s="61">
        <f>_xll.qlYieldTSDiscount($U$35,Y15716,,Trigger)</f>
        <v>0.4332669024222599</v>
      </c>
    </row>
    <row r="15717" spans="25:26" x14ac:dyDescent="0.25">
      <c r="Y15717" s="63">
        <v>58250</v>
      </c>
      <c r="Z15717" s="61">
        <f>_xll.qlYieldTSDiscount($U$35,Y15717,,Trigger)</f>
        <v>0.43324039940825976</v>
      </c>
    </row>
    <row r="15718" spans="25:26" x14ac:dyDescent="0.25">
      <c r="Y15718" s="63">
        <v>58251</v>
      </c>
      <c r="Z15718" s="61">
        <f>_xll.qlYieldTSDiscount($U$35,Y15718,,Trigger)</f>
        <v>0.43321389867393734</v>
      </c>
    </row>
    <row r="15719" spans="25:26" x14ac:dyDescent="0.25">
      <c r="Y15719" s="63">
        <v>58252</v>
      </c>
      <c r="Z15719" s="61">
        <f>_xll.qlYieldTSDiscount($U$35,Y15719,,Trigger)</f>
        <v>0.43318740021892682</v>
      </c>
    </row>
    <row r="15720" spans="25:26" x14ac:dyDescent="0.25">
      <c r="Y15720" s="63">
        <v>58253</v>
      </c>
      <c r="Z15720" s="61">
        <f>_xll.qlYieldTSDiscount($U$35,Y15720,,Trigger)</f>
        <v>0.43316090404286223</v>
      </c>
    </row>
    <row r="15721" spans="25:26" x14ac:dyDescent="0.25">
      <c r="Y15721" s="63">
        <v>58254</v>
      </c>
      <c r="Z15721" s="61">
        <f>_xll.qlYieldTSDiscount($U$35,Y15721,,Trigger)</f>
        <v>0.43313441014537735</v>
      </c>
    </row>
    <row r="15722" spans="25:26" x14ac:dyDescent="0.25">
      <c r="Y15722" s="63">
        <v>58255</v>
      </c>
      <c r="Z15722" s="61">
        <f>_xll.qlYieldTSDiscount($U$35,Y15722,,Trigger)</f>
        <v>0.43310791852610642</v>
      </c>
    </row>
    <row r="15723" spans="25:26" x14ac:dyDescent="0.25">
      <c r="Y15723" s="63">
        <v>58256</v>
      </c>
      <c r="Z15723" s="61">
        <f>_xll.qlYieldTSDiscount($U$35,Y15723,,Trigger)</f>
        <v>0.43308142918468345</v>
      </c>
    </row>
    <row r="15724" spans="25:26" x14ac:dyDescent="0.25">
      <c r="Y15724" s="63">
        <v>58257</v>
      </c>
      <c r="Z15724" s="61">
        <f>_xll.qlYieldTSDiscount($U$35,Y15724,,Trigger)</f>
        <v>0.43305494212074236</v>
      </c>
    </row>
    <row r="15725" spans="25:26" x14ac:dyDescent="0.25">
      <c r="Y15725" s="63">
        <v>58258</v>
      </c>
      <c r="Z15725" s="61">
        <f>_xll.qlYieldTSDiscount($U$35,Y15725,,Trigger)</f>
        <v>0.4330284573339172</v>
      </c>
    </row>
    <row r="15726" spans="25:26" x14ac:dyDescent="0.25">
      <c r="Y15726" s="63">
        <v>58259</v>
      </c>
      <c r="Z15726" s="61">
        <f>_xll.qlYieldTSDiscount($U$35,Y15726,,Trigger)</f>
        <v>0.43300197482384212</v>
      </c>
    </row>
    <row r="15727" spans="25:26" x14ac:dyDescent="0.25">
      <c r="Y15727" s="63">
        <v>58260</v>
      </c>
      <c r="Z15727" s="61">
        <f>_xll.qlYieldTSDiscount($U$35,Y15727,,Trigger)</f>
        <v>0.43297549459015094</v>
      </c>
    </row>
    <row r="15728" spans="25:26" x14ac:dyDescent="0.25">
      <c r="Y15728" s="63">
        <v>58261</v>
      </c>
      <c r="Z15728" s="61">
        <f>_xll.qlYieldTSDiscount($U$35,Y15728,,Trigger)</f>
        <v>0.43294901663247787</v>
      </c>
    </row>
    <row r="15729" spans="25:26" x14ac:dyDescent="0.25">
      <c r="Y15729" s="63">
        <v>58262</v>
      </c>
      <c r="Z15729" s="61">
        <f>_xll.qlYieldTSDiscount($U$35,Y15729,,Trigger)</f>
        <v>0.43292254095045679</v>
      </c>
    </row>
    <row r="15730" spans="25:26" x14ac:dyDescent="0.25">
      <c r="Y15730" s="63">
        <v>58263</v>
      </c>
      <c r="Z15730" s="61">
        <f>_xll.qlYieldTSDiscount($U$35,Y15730,,Trigger)</f>
        <v>0.43289606754372184</v>
      </c>
    </row>
    <row r="15731" spans="25:26" x14ac:dyDescent="0.25">
      <c r="Y15731" s="63">
        <v>58264</v>
      </c>
      <c r="Z15731" s="61">
        <f>_xll.qlYieldTSDiscount($U$35,Y15731,,Trigger)</f>
        <v>0.43286959641190692</v>
      </c>
    </row>
    <row r="15732" spans="25:26" x14ac:dyDescent="0.25">
      <c r="Y15732" s="63">
        <v>58265</v>
      </c>
      <c r="Z15732" s="61">
        <f>_xll.qlYieldTSDiscount($U$35,Y15732,,Trigger)</f>
        <v>0.4328431275546461</v>
      </c>
    </row>
    <row r="15733" spans="25:26" x14ac:dyDescent="0.25">
      <c r="Y15733" s="63">
        <v>58266</v>
      </c>
      <c r="Z15733" s="61">
        <f>_xll.qlYieldTSDiscount($U$35,Y15733,,Trigger)</f>
        <v>0.43281666097157345</v>
      </c>
    </row>
    <row r="15734" spans="25:26" x14ac:dyDescent="0.25">
      <c r="Y15734" s="63">
        <v>58267</v>
      </c>
      <c r="Z15734" s="61">
        <f>_xll.qlYieldTSDiscount($U$35,Y15734,,Trigger)</f>
        <v>0.43279019666232299</v>
      </c>
    </row>
    <row r="15735" spans="25:26" x14ac:dyDescent="0.25">
      <c r="Y15735" s="63">
        <v>58268</v>
      </c>
      <c r="Z15735" s="61">
        <f>_xll.qlYieldTSDiscount($U$35,Y15735,,Trigger)</f>
        <v>0.43276373462652862</v>
      </c>
    </row>
    <row r="15736" spans="25:26" x14ac:dyDescent="0.25">
      <c r="Y15736" s="63">
        <v>58269</v>
      </c>
      <c r="Z15736" s="61">
        <f>_xll.qlYieldTSDiscount($U$35,Y15736,,Trigger)</f>
        <v>0.43273727486382452</v>
      </c>
    </row>
    <row r="15737" spans="25:26" x14ac:dyDescent="0.25">
      <c r="Y15737" s="63">
        <v>58270</v>
      </c>
      <c r="Z15737" s="61">
        <f>_xll.qlYieldTSDiscount($U$35,Y15737,,Trigger)</f>
        <v>0.43271081737384465</v>
      </c>
    </row>
    <row r="15738" spans="25:26" x14ac:dyDescent="0.25">
      <c r="Y15738" s="63">
        <v>58271</v>
      </c>
      <c r="Z15738" s="61">
        <f>_xll.qlYieldTSDiscount($U$35,Y15738,,Trigger)</f>
        <v>0.43268436215622297</v>
      </c>
    </row>
    <row r="15739" spans="25:26" x14ac:dyDescent="0.25">
      <c r="Y15739" s="63">
        <v>58272</v>
      </c>
      <c r="Z15739" s="61">
        <f>_xll.qlYieldTSDiscount($U$35,Y15739,,Trigger)</f>
        <v>0.43265790921059355</v>
      </c>
    </row>
    <row r="15740" spans="25:26" x14ac:dyDescent="0.25">
      <c r="Y15740" s="63">
        <v>58273</v>
      </c>
      <c r="Z15740" s="61">
        <f>_xll.qlYieldTSDiscount($U$35,Y15740,,Trigger)</f>
        <v>0.43263145853659046</v>
      </c>
    </row>
    <row r="15741" spans="25:26" x14ac:dyDescent="0.25">
      <c r="Y15741" s="63">
        <v>58274</v>
      </c>
      <c r="Z15741" s="61">
        <f>_xll.qlYieldTSDiscount($U$35,Y15741,,Trigger)</f>
        <v>0.43260501013384767</v>
      </c>
    </row>
    <row r="15742" spans="25:26" x14ac:dyDescent="0.25">
      <c r="Y15742" s="63">
        <v>58275</v>
      </c>
      <c r="Z15742" s="61">
        <f>_xll.qlYieldTSDiscount($U$35,Y15742,,Trigger)</f>
        <v>0.43257856400199912</v>
      </c>
    </row>
    <row r="15743" spans="25:26" x14ac:dyDescent="0.25">
      <c r="Y15743" s="63">
        <v>58276</v>
      </c>
      <c r="Z15743" s="61">
        <f>_xll.qlYieldTSDiscount($U$35,Y15743,,Trigger)</f>
        <v>0.43255212014067912</v>
      </c>
    </row>
    <row r="15744" spans="25:26" x14ac:dyDescent="0.25">
      <c r="Y15744" s="63">
        <v>58277</v>
      </c>
      <c r="Z15744" s="61">
        <f>_xll.qlYieldTSDiscount($U$35,Y15744,,Trigger)</f>
        <v>0.43252567854952129</v>
      </c>
    </row>
    <row r="15745" spans="25:26" x14ac:dyDescent="0.25">
      <c r="Y15745" s="63">
        <v>58278</v>
      </c>
      <c r="Z15745" s="61">
        <f>_xll.qlYieldTSDiscount($U$35,Y15745,,Trigger)</f>
        <v>0.43249923922815992</v>
      </c>
    </row>
    <row r="15746" spans="25:26" x14ac:dyDescent="0.25">
      <c r="Y15746" s="63">
        <v>58279</v>
      </c>
      <c r="Z15746" s="61">
        <f>_xll.qlYieldTSDiscount($U$35,Y15746,,Trigger)</f>
        <v>0.43247280217622908</v>
      </c>
    </row>
    <row r="15747" spans="25:26" x14ac:dyDescent="0.25">
      <c r="Y15747" s="63">
        <v>58280</v>
      </c>
      <c r="Z15747" s="61">
        <f>_xll.qlYieldTSDiscount($U$35,Y15747,,Trigger)</f>
        <v>0.43244636739336256</v>
      </c>
    </row>
    <row r="15748" spans="25:26" x14ac:dyDescent="0.25">
      <c r="Y15748" s="63">
        <v>58281</v>
      </c>
      <c r="Z15748" s="61">
        <f>_xll.qlYieldTSDiscount($U$35,Y15748,,Trigger)</f>
        <v>0.4324199348791945</v>
      </c>
    </row>
    <row r="15749" spans="25:26" x14ac:dyDescent="0.25">
      <c r="Y15749" s="63">
        <v>58282</v>
      </c>
      <c r="Z15749" s="61">
        <f>_xll.qlYieldTSDiscount($U$35,Y15749,,Trigger)</f>
        <v>0.43239350463335902</v>
      </c>
    </row>
    <row r="15750" spans="25:26" x14ac:dyDescent="0.25">
      <c r="Y15750" s="63">
        <v>58283</v>
      </c>
      <c r="Z15750" s="61">
        <f>_xll.qlYieldTSDiscount($U$35,Y15750,,Trigger)</f>
        <v>0.43236707665548996</v>
      </c>
    </row>
    <row r="15751" spans="25:26" x14ac:dyDescent="0.25">
      <c r="Y15751" s="63">
        <v>58284</v>
      </c>
      <c r="Z15751" s="61">
        <f>_xll.qlYieldTSDiscount($U$35,Y15751,,Trigger)</f>
        <v>0.43234065094522139</v>
      </c>
    </row>
    <row r="15752" spans="25:26" x14ac:dyDescent="0.25">
      <c r="Y15752" s="63">
        <v>58285</v>
      </c>
      <c r="Z15752" s="61">
        <f>_xll.qlYieldTSDiscount($U$35,Y15752,,Trigger)</f>
        <v>0.43231422750218751</v>
      </c>
    </row>
    <row r="15753" spans="25:26" x14ac:dyDescent="0.25">
      <c r="Y15753" s="63">
        <v>58286</v>
      </c>
      <c r="Z15753" s="61">
        <f>_xll.qlYieldTSDiscount($U$35,Y15753,,Trigger)</f>
        <v>0.43228780632602204</v>
      </c>
    </row>
    <row r="15754" spans="25:26" x14ac:dyDescent="0.25">
      <c r="Y15754" s="63">
        <v>58287</v>
      </c>
      <c r="Z15754" s="61">
        <f>_xll.qlYieldTSDiscount($U$35,Y15754,,Trigger)</f>
        <v>0.43226138741635922</v>
      </c>
    </row>
    <row r="15755" spans="25:26" x14ac:dyDescent="0.25">
      <c r="Y15755" s="63">
        <v>58288</v>
      </c>
      <c r="Z15755" s="61">
        <f>_xll.qlYieldTSDiscount($U$35,Y15755,,Trigger)</f>
        <v>0.43223497077283313</v>
      </c>
    </row>
    <row r="15756" spans="25:26" x14ac:dyDescent="0.25">
      <c r="Y15756" s="63">
        <v>58289</v>
      </c>
      <c r="Z15756" s="61">
        <f>_xll.qlYieldTSDiscount($U$35,Y15756,,Trigger)</f>
        <v>0.4322085563950776</v>
      </c>
    </row>
    <row r="15757" spans="25:26" x14ac:dyDescent="0.25">
      <c r="Y15757" s="63">
        <v>58290</v>
      </c>
      <c r="Z15757" s="61">
        <f>_xll.qlYieldTSDiscount($U$35,Y15757,,Trigger)</f>
        <v>0.43218214428272661</v>
      </c>
    </row>
    <row r="15758" spans="25:26" x14ac:dyDescent="0.25">
      <c r="Y15758" s="63">
        <v>58291</v>
      </c>
      <c r="Z15758" s="61">
        <f>_xll.qlYieldTSDiscount($U$35,Y15758,,Trigger)</f>
        <v>0.43215573443541444</v>
      </c>
    </row>
    <row r="15759" spans="25:26" x14ac:dyDescent="0.25">
      <c r="Y15759" s="63">
        <v>58292</v>
      </c>
      <c r="Z15759" s="61">
        <f>_xll.qlYieldTSDiscount($U$35,Y15759,,Trigger)</f>
        <v>0.43212932685277494</v>
      </c>
    </row>
    <row r="15760" spans="25:26" x14ac:dyDescent="0.25">
      <c r="Y15760" s="63">
        <v>58293</v>
      </c>
      <c r="Z15760" s="61">
        <f>_xll.qlYieldTSDiscount($U$35,Y15760,,Trigger)</f>
        <v>0.43210292153444219</v>
      </c>
    </row>
    <row r="15761" spans="25:26" x14ac:dyDescent="0.25">
      <c r="Y15761" s="63">
        <v>58294</v>
      </c>
      <c r="Z15761" s="61">
        <f>_xll.qlYieldTSDiscount($U$35,Y15761,,Trigger)</f>
        <v>0.43207651848005013</v>
      </c>
    </row>
    <row r="15762" spans="25:26" x14ac:dyDescent="0.25">
      <c r="Y15762" s="63">
        <v>58295</v>
      </c>
      <c r="Z15762" s="61">
        <f>_xll.qlYieldTSDiscount($U$35,Y15762,,Trigger)</f>
        <v>0.43205011768923285</v>
      </c>
    </row>
    <row r="15763" spans="25:26" x14ac:dyDescent="0.25">
      <c r="Y15763" s="63">
        <v>58296</v>
      </c>
      <c r="Z15763" s="61">
        <f>_xll.qlYieldTSDiscount($U$35,Y15763,,Trigger)</f>
        <v>0.43202371916162435</v>
      </c>
    </row>
    <row r="15764" spans="25:26" x14ac:dyDescent="0.25">
      <c r="Y15764" s="63">
        <v>58297</v>
      </c>
      <c r="Z15764" s="61">
        <f>_xll.qlYieldTSDiscount($U$35,Y15764,,Trigger)</f>
        <v>0.43199732289685866</v>
      </c>
    </row>
    <row r="15765" spans="25:26" x14ac:dyDescent="0.25">
      <c r="Y15765" s="63">
        <v>58298</v>
      </c>
      <c r="Z15765" s="61">
        <f>_xll.qlYieldTSDiscount($U$35,Y15765,,Trigger)</f>
        <v>0.43197092889456989</v>
      </c>
    </row>
    <row r="15766" spans="25:26" x14ac:dyDescent="0.25">
      <c r="Y15766" s="63">
        <v>58299</v>
      </c>
      <c r="Z15766" s="61">
        <f>_xll.qlYieldTSDiscount($U$35,Y15766,,Trigger)</f>
        <v>0.43194453715439191</v>
      </c>
    </row>
    <row r="15767" spans="25:26" x14ac:dyDescent="0.25">
      <c r="Y15767" s="63">
        <v>58300</v>
      </c>
      <c r="Z15767" s="61">
        <f>_xll.qlYieldTSDiscount($U$35,Y15767,,Trigger)</f>
        <v>0.43191814767595876</v>
      </c>
    </row>
    <row r="15768" spans="25:26" x14ac:dyDescent="0.25">
      <c r="Y15768" s="63">
        <v>58301</v>
      </c>
      <c r="Z15768" s="61">
        <f>_xll.qlYieldTSDiscount($U$35,Y15768,,Trigger)</f>
        <v>0.43189176045890459</v>
      </c>
    </row>
    <row r="15769" spans="25:26" x14ac:dyDescent="0.25">
      <c r="Y15769" s="63">
        <v>58302</v>
      </c>
      <c r="Z15769" s="61">
        <f>_xll.qlYieldTSDiscount($U$35,Y15769,,Trigger)</f>
        <v>0.4318653755028633</v>
      </c>
    </row>
    <row r="15770" spans="25:26" x14ac:dyDescent="0.25">
      <c r="Y15770" s="63">
        <v>58303</v>
      </c>
      <c r="Z15770" s="61">
        <f>_xll.qlYieldTSDiscount($U$35,Y15770,,Trigger)</f>
        <v>0.43183899280746896</v>
      </c>
    </row>
    <row r="15771" spans="25:26" x14ac:dyDescent="0.25">
      <c r="Y15771" s="63">
        <v>58304</v>
      </c>
      <c r="Z15771" s="61">
        <f>_xll.qlYieldTSDiscount($U$35,Y15771,,Trigger)</f>
        <v>0.43181261237235558</v>
      </c>
    </row>
    <row r="15772" spans="25:26" x14ac:dyDescent="0.25">
      <c r="Y15772" s="63">
        <v>58305</v>
      </c>
      <c r="Z15772" s="61">
        <f>_xll.qlYieldTSDiscount($U$35,Y15772,,Trigger)</f>
        <v>0.43178623419715723</v>
      </c>
    </row>
    <row r="15773" spans="25:26" x14ac:dyDescent="0.25">
      <c r="Y15773" s="63">
        <v>58306</v>
      </c>
      <c r="Z15773" s="61">
        <f>_xll.qlYieldTSDiscount($U$35,Y15773,,Trigger)</f>
        <v>0.43175985828150781</v>
      </c>
    </row>
    <row r="15774" spans="25:26" x14ac:dyDescent="0.25">
      <c r="Y15774" s="63">
        <v>58307</v>
      </c>
      <c r="Z15774" s="61">
        <f>_xll.qlYieldTSDiscount($U$35,Y15774,,Trigger)</f>
        <v>0.43173348462504146</v>
      </c>
    </row>
    <row r="15775" spans="25:26" x14ac:dyDescent="0.25">
      <c r="Y15775" s="63">
        <v>58308</v>
      </c>
      <c r="Z15775" s="61">
        <f>_xll.qlYieldTSDiscount($U$35,Y15775,,Trigger)</f>
        <v>0.43170711322739219</v>
      </c>
    </row>
    <row r="15776" spans="25:26" x14ac:dyDescent="0.25">
      <c r="Y15776" s="63">
        <v>58309</v>
      </c>
      <c r="Z15776" s="61">
        <f>_xll.qlYieldTSDiscount($U$35,Y15776,,Trigger)</f>
        <v>0.4316807440881939</v>
      </c>
    </row>
    <row r="15777" spans="25:26" x14ac:dyDescent="0.25">
      <c r="Y15777" s="63">
        <v>58310</v>
      </c>
      <c r="Z15777" s="61">
        <f>_xll.qlYieldTSDiscount($U$35,Y15777,,Trigger)</f>
        <v>0.43165437720708077</v>
      </c>
    </row>
    <row r="15778" spans="25:26" x14ac:dyDescent="0.25">
      <c r="Y15778" s="63">
        <v>58311</v>
      </c>
      <c r="Z15778" s="61">
        <f>_xll.qlYieldTSDiscount($U$35,Y15778,,Trigger)</f>
        <v>0.43162801258368677</v>
      </c>
    </row>
    <row r="15779" spans="25:26" x14ac:dyDescent="0.25">
      <c r="Y15779" s="63">
        <v>58312</v>
      </c>
      <c r="Z15779" s="61">
        <f>_xll.qlYieldTSDiscount($U$35,Y15779,,Trigger)</f>
        <v>0.4316016502176459</v>
      </c>
    </row>
    <row r="15780" spans="25:26" x14ac:dyDescent="0.25">
      <c r="Y15780" s="63">
        <v>58313</v>
      </c>
      <c r="Z15780" s="61">
        <f>_xll.qlYieldTSDiscount($U$35,Y15780,,Trigger)</f>
        <v>0.43157529010859219</v>
      </c>
    </row>
    <row r="15781" spans="25:26" x14ac:dyDescent="0.25">
      <c r="Y15781" s="63">
        <v>58314</v>
      </c>
      <c r="Z15781" s="61">
        <f>_xll.qlYieldTSDiscount($U$35,Y15781,,Trigger)</f>
        <v>0.43154893225615965</v>
      </c>
    </row>
    <row r="15782" spans="25:26" x14ac:dyDescent="0.25">
      <c r="Y15782" s="63">
        <v>58315</v>
      </c>
      <c r="Z15782" s="61">
        <f>_xll.qlYieldTSDiscount($U$35,Y15782,,Trigger)</f>
        <v>0.43152257665998239</v>
      </c>
    </row>
    <row r="15783" spans="25:26" x14ac:dyDescent="0.25">
      <c r="Y15783" s="63">
        <v>58316</v>
      </c>
      <c r="Z15783" s="61">
        <f>_xll.qlYieldTSDiscount($U$35,Y15783,,Trigger)</f>
        <v>0.43149622331969423</v>
      </c>
    </row>
    <row r="15784" spans="25:26" x14ac:dyDescent="0.25">
      <c r="Y15784" s="63">
        <v>58317</v>
      </c>
      <c r="Z15784" s="61">
        <f>_xll.qlYieldTSDiscount($U$35,Y15784,,Trigger)</f>
        <v>0.43146987223492944</v>
      </c>
    </row>
    <row r="15785" spans="25:26" x14ac:dyDescent="0.25">
      <c r="Y15785" s="63">
        <v>58318</v>
      </c>
      <c r="Z15785" s="61">
        <f>_xll.qlYieldTSDiscount($U$35,Y15785,,Trigger)</f>
        <v>0.43144352340532188</v>
      </c>
    </row>
    <row r="15786" spans="25:26" x14ac:dyDescent="0.25">
      <c r="Y15786" s="63">
        <v>58319</v>
      </c>
      <c r="Z15786" s="61">
        <f>_xll.qlYieldTSDiscount($U$35,Y15786,,Trigger)</f>
        <v>0.43141717683050551</v>
      </c>
    </row>
    <row r="15787" spans="25:26" x14ac:dyDescent="0.25">
      <c r="Y15787" s="63">
        <v>58320</v>
      </c>
      <c r="Z15787" s="61">
        <f>_xll.qlYieldTSDiscount($U$35,Y15787,,Trigger)</f>
        <v>0.43139083251011456</v>
      </c>
    </row>
    <row r="15788" spans="25:26" x14ac:dyDescent="0.25">
      <c r="Y15788" s="63">
        <v>58321</v>
      </c>
      <c r="Z15788" s="61">
        <f>_xll.qlYieldTSDiscount($U$35,Y15788,,Trigger)</f>
        <v>0.43136449044378294</v>
      </c>
    </row>
    <row r="15789" spans="25:26" x14ac:dyDescent="0.25">
      <c r="Y15789" s="63">
        <v>58322</v>
      </c>
      <c r="Z15789" s="61">
        <f>_xll.qlYieldTSDiscount($U$35,Y15789,,Trigger)</f>
        <v>0.43133815063114467</v>
      </c>
    </row>
    <row r="15790" spans="25:26" x14ac:dyDescent="0.25">
      <c r="Y15790" s="63">
        <v>58323</v>
      </c>
      <c r="Z15790" s="61">
        <f>_xll.qlYieldTSDiscount($U$35,Y15790,,Trigger)</f>
        <v>0.43131181307183375</v>
      </c>
    </row>
    <row r="15791" spans="25:26" x14ac:dyDescent="0.25">
      <c r="Y15791" s="63">
        <v>58324</v>
      </c>
      <c r="Z15791" s="61">
        <f>_xll.qlYieldTSDiscount($U$35,Y15791,,Trigger)</f>
        <v>0.43128547776548432</v>
      </c>
    </row>
    <row r="15792" spans="25:26" x14ac:dyDescent="0.25">
      <c r="Y15792" s="63">
        <v>58325</v>
      </c>
      <c r="Z15792" s="61">
        <f>_xll.qlYieldTSDiscount($U$35,Y15792,,Trigger)</f>
        <v>0.43125914471173021</v>
      </c>
    </row>
    <row r="15793" spans="25:26" x14ac:dyDescent="0.25">
      <c r="Y15793" s="63">
        <v>58326</v>
      </c>
      <c r="Z15793" s="61">
        <f>_xll.qlYieldTSDiscount($U$35,Y15793,,Trigger)</f>
        <v>0.43123281391020551</v>
      </c>
    </row>
    <row r="15794" spans="25:26" x14ac:dyDescent="0.25">
      <c r="Y15794" s="63">
        <v>58327</v>
      </c>
      <c r="Z15794" s="61">
        <f>_xll.qlYieldTSDiscount($U$35,Y15794,,Trigger)</f>
        <v>0.4312064853605444</v>
      </c>
    </row>
    <row r="15795" spans="25:26" x14ac:dyDescent="0.25">
      <c r="Y15795" s="63">
        <v>58328</v>
      </c>
      <c r="Z15795" s="61">
        <f>_xll.qlYieldTSDiscount($U$35,Y15795,,Trigger)</f>
        <v>0.43118015906238072</v>
      </c>
    </row>
    <row r="15796" spans="25:26" x14ac:dyDescent="0.25">
      <c r="Y15796" s="63">
        <v>58329</v>
      </c>
      <c r="Z15796" s="61">
        <f>_xll.qlYieldTSDiscount($U$35,Y15796,,Trigger)</f>
        <v>0.43115383501534854</v>
      </c>
    </row>
    <row r="15797" spans="25:26" x14ac:dyDescent="0.25">
      <c r="Y15797" s="63">
        <v>58330</v>
      </c>
      <c r="Z15797" s="61">
        <f>_xll.qlYieldTSDiscount($U$35,Y15797,,Trigger)</f>
        <v>0.43112751321908194</v>
      </c>
    </row>
    <row r="15798" spans="25:26" x14ac:dyDescent="0.25">
      <c r="Y15798" s="63">
        <v>58331</v>
      </c>
      <c r="Z15798" s="61">
        <f>_xll.qlYieldTSDiscount($U$35,Y15798,,Trigger)</f>
        <v>0.43110119367321487</v>
      </c>
    </row>
    <row r="15799" spans="25:26" x14ac:dyDescent="0.25">
      <c r="Y15799" s="63">
        <v>58332</v>
      </c>
      <c r="Z15799" s="61">
        <f>_xll.qlYieldTSDiscount($U$35,Y15799,,Trigger)</f>
        <v>0.4310748763773814</v>
      </c>
    </row>
    <row r="15800" spans="25:26" x14ac:dyDescent="0.25">
      <c r="Y15800" s="63">
        <v>58333</v>
      </c>
      <c r="Z15800" s="61">
        <f>_xll.qlYieldTSDiscount($U$35,Y15800,,Trigger)</f>
        <v>0.4310485613312155</v>
      </c>
    </row>
    <row r="15801" spans="25:26" x14ac:dyDescent="0.25">
      <c r="Y15801" s="63">
        <v>58334</v>
      </c>
      <c r="Z15801" s="61">
        <f>_xll.qlYieldTSDiscount($U$35,Y15801,,Trigger)</f>
        <v>0.43102224853435123</v>
      </c>
    </row>
    <row r="15802" spans="25:26" x14ac:dyDescent="0.25">
      <c r="Y15802" s="63">
        <v>58335</v>
      </c>
      <c r="Z15802" s="61">
        <f>_xll.qlYieldTSDiscount($U$35,Y15802,,Trigger)</f>
        <v>0.43099593798642255</v>
      </c>
    </row>
    <row r="15803" spans="25:26" x14ac:dyDescent="0.25">
      <c r="Y15803" s="63">
        <v>58336</v>
      </c>
      <c r="Z15803" s="61">
        <f>_xll.qlYieldTSDiscount($U$35,Y15803,,Trigger)</f>
        <v>0.43096962968706359</v>
      </c>
    </row>
    <row r="15804" spans="25:26" x14ac:dyDescent="0.25">
      <c r="Y15804" s="63">
        <v>58337</v>
      </c>
      <c r="Z15804" s="61">
        <f>_xll.qlYieldTSDiscount($U$35,Y15804,,Trigger)</f>
        <v>0.43094332363590837</v>
      </c>
    </row>
    <row r="15805" spans="25:26" x14ac:dyDescent="0.25">
      <c r="Y15805" s="63">
        <v>58338</v>
      </c>
      <c r="Z15805" s="61">
        <f>_xll.qlYieldTSDiscount($U$35,Y15805,,Trigger)</f>
        <v>0.43091701983259079</v>
      </c>
    </row>
    <row r="15806" spans="25:26" x14ac:dyDescent="0.25">
      <c r="Y15806" s="63">
        <v>58339</v>
      </c>
      <c r="Z15806" s="61">
        <f>_xll.qlYieldTSDiscount($U$35,Y15806,,Trigger)</f>
        <v>0.43089071827674486</v>
      </c>
    </row>
    <row r="15807" spans="25:26" x14ac:dyDescent="0.25">
      <c r="Y15807" s="63">
        <v>58340</v>
      </c>
      <c r="Z15807" s="61">
        <f>_xll.qlYieldTSDiscount($U$35,Y15807,,Trigger)</f>
        <v>0.43086441896800487</v>
      </c>
    </row>
    <row r="15808" spans="25:26" x14ac:dyDescent="0.25">
      <c r="Y15808" s="63">
        <v>58341</v>
      </c>
      <c r="Z15808" s="61">
        <f>_xll.qlYieldTSDiscount($U$35,Y15808,,Trigger)</f>
        <v>0.43083812190600446</v>
      </c>
    </row>
    <row r="15809" spans="25:26" x14ac:dyDescent="0.25">
      <c r="Y15809" s="63">
        <v>58342</v>
      </c>
      <c r="Z15809" s="61">
        <f>_xll.qlYieldTSDiscount($U$35,Y15809,,Trigger)</f>
        <v>0.43081182709037796</v>
      </c>
    </row>
    <row r="15810" spans="25:26" x14ac:dyDescent="0.25">
      <c r="Y15810" s="63">
        <v>58343</v>
      </c>
      <c r="Z15810" s="61">
        <f>_xll.qlYieldTSDiscount($U$35,Y15810,,Trigger)</f>
        <v>0.43078553452075929</v>
      </c>
    </row>
    <row r="15811" spans="25:26" x14ac:dyDescent="0.25">
      <c r="Y15811" s="63">
        <v>58344</v>
      </c>
      <c r="Z15811" s="61">
        <f>_xll.qlYieldTSDiscount($U$35,Y15811,,Trigger)</f>
        <v>0.43075924419678241</v>
      </c>
    </row>
    <row r="15812" spans="25:26" x14ac:dyDescent="0.25">
      <c r="Y15812" s="63">
        <v>58345</v>
      </c>
      <c r="Z15812" s="61">
        <f>_xll.qlYieldTSDiscount($U$35,Y15812,,Trigger)</f>
        <v>0.43073295611808138</v>
      </c>
    </row>
    <row r="15813" spans="25:26" x14ac:dyDescent="0.25">
      <c r="Y15813" s="63">
        <v>58346</v>
      </c>
      <c r="Z15813" s="61">
        <f>_xll.qlYieldTSDiscount($U$35,Y15813,,Trigger)</f>
        <v>0.43070667028429033</v>
      </c>
    </row>
    <row r="15814" spans="25:26" x14ac:dyDescent="0.25">
      <c r="Y15814" s="63">
        <v>58347</v>
      </c>
      <c r="Z15814" s="61">
        <f>_xll.qlYieldTSDiscount($U$35,Y15814,,Trigger)</f>
        <v>0.43068038669504305</v>
      </c>
    </row>
    <row r="15815" spans="25:26" x14ac:dyDescent="0.25">
      <c r="Y15815" s="63">
        <v>58348</v>
      </c>
      <c r="Z15815" s="61">
        <f>_xll.qlYieldTSDiscount($U$35,Y15815,,Trigger)</f>
        <v>0.43065410534997373</v>
      </c>
    </row>
    <row r="15816" spans="25:26" x14ac:dyDescent="0.25">
      <c r="Y15816" s="63">
        <v>58349</v>
      </c>
      <c r="Z15816" s="61">
        <f>_xll.qlYieldTSDiscount($U$35,Y15816,,Trigger)</f>
        <v>0.43062782624871643</v>
      </c>
    </row>
    <row r="15817" spans="25:26" x14ac:dyDescent="0.25">
      <c r="Y15817" s="63">
        <v>58350</v>
      </c>
      <c r="Z15817" s="61">
        <f>_xll.qlYieldTSDiscount($U$35,Y15817,,Trigger)</f>
        <v>0.43060154939090506</v>
      </c>
    </row>
    <row r="15818" spans="25:26" x14ac:dyDescent="0.25">
      <c r="Y15818" s="63">
        <v>58351</v>
      </c>
      <c r="Z15818" s="61">
        <f>_xll.qlYieldTSDiscount($U$35,Y15818,,Trigger)</f>
        <v>0.43057527477617363</v>
      </c>
    </row>
    <row r="15819" spans="25:26" x14ac:dyDescent="0.25">
      <c r="Y15819" s="63">
        <v>58352</v>
      </c>
      <c r="Z15819" s="61">
        <f>_xll.qlYieldTSDiscount($U$35,Y15819,,Trigger)</f>
        <v>0.43054900240415628</v>
      </c>
    </row>
    <row r="15820" spans="25:26" x14ac:dyDescent="0.25">
      <c r="Y15820" s="63">
        <v>58353</v>
      </c>
      <c r="Z15820" s="61">
        <f>_xll.qlYieldTSDiscount($U$35,Y15820,,Trigger)</f>
        <v>0.43052273227448695</v>
      </c>
    </row>
    <row r="15821" spans="25:26" x14ac:dyDescent="0.25">
      <c r="Y15821" s="63">
        <v>58354</v>
      </c>
      <c r="Z15821" s="61">
        <f>_xll.qlYieldTSDiscount($U$35,Y15821,,Trigger)</f>
        <v>0.43049646438679967</v>
      </c>
    </row>
    <row r="15822" spans="25:26" x14ac:dyDescent="0.25">
      <c r="Y15822" s="63">
        <v>58355</v>
      </c>
      <c r="Z15822" s="61">
        <f>_xll.qlYieldTSDiscount($U$35,Y15822,,Trigger)</f>
        <v>0.43047019874072845</v>
      </c>
    </row>
    <row r="15823" spans="25:26" x14ac:dyDescent="0.25">
      <c r="Y15823" s="63">
        <v>58356</v>
      </c>
      <c r="Z15823" s="61">
        <f>_xll.qlYieldTSDiscount($U$35,Y15823,,Trigger)</f>
        <v>0.43044393533590741</v>
      </c>
    </row>
    <row r="15824" spans="25:26" x14ac:dyDescent="0.25">
      <c r="Y15824" s="63">
        <v>58357</v>
      </c>
      <c r="Z15824" s="61">
        <f>_xll.qlYieldTSDiscount($U$35,Y15824,,Trigger)</f>
        <v>0.43041767417197041</v>
      </c>
    </row>
    <row r="15825" spans="25:26" x14ac:dyDescent="0.25">
      <c r="Y15825" s="63">
        <v>58358</v>
      </c>
      <c r="Z15825" s="61">
        <f>_xll.qlYieldTSDiscount($U$35,Y15825,,Trigger)</f>
        <v>0.43039141524855157</v>
      </c>
    </row>
    <row r="15826" spans="25:26" x14ac:dyDescent="0.25">
      <c r="Y15826" s="63">
        <v>58359</v>
      </c>
      <c r="Z15826" s="61">
        <f>_xll.qlYieldTSDiscount($U$35,Y15826,,Trigger)</f>
        <v>0.43036515856528496</v>
      </c>
    </row>
    <row r="15827" spans="25:26" x14ac:dyDescent="0.25">
      <c r="Y15827" s="63">
        <v>58360</v>
      </c>
      <c r="Z15827" s="61">
        <f>_xll.qlYieldTSDiscount($U$35,Y15827,,Trigger)</f>
        <v>0.43033890412180442</v>
      </c>
    </row>
    <row r="15828" spans="25:26" x14ac:dyDescent="0.25">
      <c r="Y15828" s="63">
        <v>58361</v>
      </c>
      <c r="Z15828" s="61">
        <f>_xll.qlYieldTSDiscount($U$35,Y15828,,Trigger)</f>
        <v>0.4303126519177442</v>
      </c>
    </row>
    <row r="15829" spans="25:26" x14ac:dyDescent="0.25">
      <c r="Y15829" s="63">
        <v>58362</v>
      </c>
      <c r="Z15829" s="61">
        <f>_xll.qlYieldTSDiscount($U$35,Y15829,,Trigger)</f>
        <v>0.43028640195273826</v>
      </c>
    </row>
    <row r="15830" spans="25:26" x14ac:dyDescent="0.25">
      <c r="Y15830" s="63">
        <v>58363</v>
      </c>
      <c r="Z15830" s="61">
        <f>_xll.qlYieldTSDiscount($U$35,Y15830,,Trigger)</f>
        <v>0.43026015422642039</v>
      </c>
    </row>
    <row r="15831" spans="25:26" x14ac:dyDescent="0.25">
      <c r="Y15831" s="63">
        <v>58364</v>
      </c>
      <c r="Z15831" s="61">
        <f>_xll.qlYieldTSDiscount($U$35,Y15831,,Trigger)</f>
        <v>0.43023390873842493</v>
      </c>
    </row>
    <row r="15832" spans="25:26" x14ac:dyDescent="0.25">
      <c r="Y15832" s="63">
        <v>58365</v>
      </c>
      <c r="Z15832" s="61">
        <f>_xll.qlYieldTSDiscount($U$35,Y15832,,Trigger)</f>
        <v>0.43020766548838563</v>
      </c>
    </row>
    <row r="15833" spans="25:26" x14ac:dyDescent="0.25">
      <c r="Y15833" s="63">
        <v>58366</v>
      </c>
      <c r="Z15833" s="61">
        <f>_xll.qlYieldTSDiscount($U$35,Y15833,,Trigger)</f>
        <v>0.43018142447593688</v>
      </c>
    </row>
    <row r="15834" spans="25:26" x14ac:dyDescent="0.25">
      <c r="Y15834" s="63">
        <v>58367</v>
      </c>
      <c r="Z15834" s="61">
        <f>_xll.qlYieldTSDiscount($U$35,Y15834,,Trigger)</f>
        <v>0.43015518570071232</v>
      </c>
    </row>
    <row r="15835" spans="25:26" x14ac:dyDescent="0.25">
      <c r="Y15835" s="63">
        <v>58368</v>
      </c>
      <c r="Z15835" s="61">
        <f>_xll.qlYieldTSDiscount($U$35,Y15835,,Trigger)</f>
        <v>0.43012894916234612</v>
      </c>
    </row>
    <row r="15836" spans="25:26" x14ac:dyDescent="0.25">
      <c r="Y15836" s="63">
        <v>58369</v>
      </c>
      <c r="Z15836" s="61">
        <f>_xll.qlYieldTSDiscount($U$35,Y15836,,Trigger)</f>
        <v>0.43010271486047236</v>
      </c>
    </row>
    <row r="15837" spans="25:26" x14ac:dyDescent="0.25">
      <c r="Y15837" s="63">
        <v>58370</v>
      </c>
      <c r="Z15837" s="61">
        <f>_xll.qlYieldTSDiscount($U$35,Y15837,,Trigger)</f>
        <v>0.43007648279472499</v>
      </c>
    </row>
    <row r="15838" spans="25:26" x14ac:dyDescent="0.25">
      <c r="Y15838" s="63">
        <v>58371</v>
      </c>
      <c r="Z15838" s="61">
        <f>_xll.qlYieldTSDiscount($U$35,Y15838,,Trigger)</f>
        <v>0.43005025296473798</v>
      </c>
    </row>
    <row r="15839" spans="25:26" x14ac:dyDescent="0.25">
      <c r="Y15839" s="63">
        <v>58372</v>
      </c>
      <c r="Z15839" s="61">
        <f>_xll.qlYieldTSDiscount($U$35,Y15839,,Trigger)</f>
        <v>0.4300240253701455</v>
      </c>
    </row>
    <row r="15840" spans="25:26" x14ac:dyDescent="0.25">
      <c r="Y15840" s="63">
        <v>58373</v>
      </c>
      <c r="Z15840" s="61">
        <f>_xll.qlYieldTSDiscount($U$35,Y15840,,Trigger)</f>
        <v>0.42999780001058152</v>
      </c>
    </row>
    <row r="15841" spans="25:26" x14ac:dyDescent="0.25">
      <c r="Y15841" s="63">
        <v>58374</v>
      </c>
      <c r="Z15841" s="61">
        <f>_xll.qlYieldTSDiscount($U$35,Y15841,,Trigger)</f>
        <v>0.42997157688567994</v>
      </c>
    </row>
    <row r="15842" spans="25:26" x14ac:dyDescent="0.25">
      <c r="Y15842" s="63">
        <v>58375</v>
      </c>
      <c r="Z15842" s="61">
        <f>_xll.qlYieldTSDiscount($U$35,Y15842,,Trigger)</f>
        <v>0.429945355995075</v>
      </c>
    </row>
    <row r="15843" spans="25:26" x14ac:dyDescent="0.25">
      <c r="Y15843" s="63">
        <v>58376</v>
      </c>
      <c r="Z15843" s="61">
        <f>_xll.qlYieldTSDiscount($U$35,Y15843,,Trigger)</f>
        <v>0.42991913733840048</v>
      </c>
    </row>
    <row r="15844" spans="25:26" x14ac:dyDescent="0.25">
      <c r="Y15844" s="63">
        <v>58377</v>
      </c>
      <c r="Z15844" s="61">
        <f>_xll.qlYieldTSDiscount($U$35,Y15844,,Trigger)</f>
        <v>0.42989292091529052</v>
      </c>
    </row>
    <row r="15845" spans="25:26" x14ac:dyDescent="0.25">
      <c r="Y15845" s="63">
        <v>58378</v>
      </c>
      <c r="Z15845" s="61">
        <f>_xll.qlYieldTSDiscount($U$35,Y15845,,Trigger)</f>
        <v>0.4298667067253793</v>
      </c>
    </row>
    <row r="15846" spans="25:26" x14ac:dyDescent="0.25">
      <c r="Y15846" s="63">
        <v>58379</v>
      </c>
      <c r="Z15846" s="61">
        <f>_xll.qlYieldTSDiscount($U$35,Y15846,,Trigger)</f>
        <v>0.42984049476830055</v>
      </c>
    </row>
    <row r="15847" spans="25:26" x14ac:dyDescent="0.25">
      <c r="Y15847" s="63">
        <v>58380</v>
      </c>
      <c r="Z15847" s="61">
        <f>_xll.qlYieldTSDiscount($U$35,Y15847,,Trigger)</f>
        <v>0.4298142850436884</v>
      </c>
    </row>
    <row r="15848" spans="25:26" x14ac:dyDescent="0.25">
      <c r="Y15848" s="63">
        <v>58381</v>
      </c>
      <c r="Z15848" s="61">
        <f>_xll.qlYieldTSDiscount($U$35,Y15848,,Trigger)</f>
        <v>0.42978807755117693</v>
      </c>
    </row>
    <row r="15849" spans="25:26" x14ac:dyDescent="0.25">
      <c r="Y15849" s="63">
        <v>58382</v>
      </c>
      <c r="Z15849" s="61">
        <f>_xll.qlYieldTSDiscount($U$35,Y15849,,Trigger)</f>
        <v>0.42976187229040019</v>
      </c>
    </row>
    <row r="15850" spans="25:26" x14ac:dyDescent="0.25">
      <c r="Y15850" s="63">
        <v>58383</v>
      </c>
      <c r="Z15850" s="61">
        <f>_xll.qlYieldTSDiscount($U$35,Y15850,,Trigger)</f>
        <v>0.42973566926099205</v>
      </c>
    </row>
    <row r="15851" spans="25:26" x14ac:dyDescent="0.25">
      <c r="Y15851" s="63">
        <v>58384</v>
      </c>
      <c r="Z15851" s="61">
        <f>_xll.qlYieldTSDiscount($U$35,Y15851,,Trigger)</f>
        <v>0.42970946846258667</v>
      </c>
    </row>
    <row r="15852" spans="25:26" x14ac:dyDescent="0.25">
      <c r="Y15852" s="63">
        <v>58385</v>
      </c>
      <c r="Z15852" s="61">
        <f>_xll.qlYieldTSDiscount($U$35,Y15852,,Trigger)</f>
        <v>0.42968326989481809</v>
      </c>
    </row>
    <row r="15853" spans="25:26" x14ac:dyDescent="0.25">
      <c r="Y15853" s="63">
        <v>58386</v>
      </c>
      <c r="Z15853" s="61">
        <f>_xll.qlYieldTSDiscount($U$35,Y15853,,Trigger)</f>
        <v>0.42965707355732019</v>
      </c>
    </row>
    <row r="15854" spans="25:26" x14ac:dyDescent="0.25">
      <c r="Y15854" s="63">
        <v>58387</v>
      </c>
      <c r="Z15854" s="61">
        <f>_xll.qlYieldTSDiscount($U$35,Y15854,,Trigger)</f>
        <v>0.42963087944972705</v>
      </c>
    </row>
    <row r="15855" spans="25:26" x14ac:dyDescent="0.25">
      <c r="Y15855" s="63">
        <v>58388</v>
      </c>
      <c r="Z15855" s="61">
        <f>_xll.qlYieldTSDiscount($U$35,Y15855,,Trigger)</f>
        <v>0.42960468757167281</v>
      </c>
    </row>
    <row r="15856" spans="25:26" x14ac:dyDescent="0.25">
      <c r="Y15856" s="63">
        <v>58389</v>
      </c>
      <c r="Z15856" s="61">
        <f>_xll.qlYieldTSDiscount($U$35,Y15856,,Trigger)</f>
        <v>0.42957849792279129</v>
      </c>
    </row>
    <row r="15857" spans="25:26" x14ac:dyDescent="0.25">
      <c r="Y15857" s="63">
        <v>58390</v>
      </c>
      <c r="Z15857" s="61">
        <f>_xll.qlYieldTSDiscount($U$35,Y15857,,Trigger)</f>
        <v>0.42955231050271669</v>
      </c>
    </row>
    <row r="15858" spans="25:26" x14ac:dyDescent="0.25">
      <c r="Y15858" s="63">
        <v>58391</v>
      </c>
      <c r="Z15858" s="61">
        <f>_xll.qlYieldTSDiscount($U$35,Y15858,,Trigger)</f>
        <v>0.42952612531108292</v>
      </c>
    </row>
    <row r="15859" spans="25:26" x14ac:dyDescent="0.25">
      <c r="Y15859" s="63">
        <v>58392</v>
      </c>
      <c r="Z15859" s="61">
        <f>_xll.qlYieldTSDiscount($U$35,Y15859,,Trigger)</f>
        <v>0.42949994234752398</v>
      </c>
    </row>
    <row r="15860" spans="25:26" x14ac:dyDescent="0.25">
      <c r="Y15860" s="63">
        <v>58393</v>
      </c>
      <c r="Z15860" s="61">
        <f>_xll.qlYieldTSDiscount($U$35,Y15860,,Trigger)</f>
        <v>0.42947376161167405</v>
      </c>
    </row>
    <row r="15861" spans="25:26" x14ac:dyDescent="0.25">
      <c r="Y15861" s="63">
        <v>58394</v>
      </c>
      <c r="Z15861" s="61">
        <f>_xll.qlYieldTSDiscount($U$35,Y15861,,Trigger)</f>
        <v>0.429447583103167</v>
      </c>
    </row>
    <row r="15862" spans="25:26" x14ac:dyDescent="0.25">
      <c r="Y15862" s="63">
        <v>58395</v>
      </c>
      <c r="Z15862" s="61">
        <f>_xll.qlYieldTSDiscount($U$35,Y15862,,Trigger)</f>
        <v>0.42942140682163693</v>
      </c>
    </row>
    <row r="15863" spans="25:26" x14ac:dyDescent="0.25">
      <c r="Y15863" s="63">
        <v>58396</v>
      </c>
      <c r="Z15863" s="61">
        <f>_xll.qlYieldTSDiscount($U$35,Y15863,,Trigger)</f>
        <v>0.42939523276671782</v>
      </c>
    </row>
    <row r="15864" spans="25:26" x14ac:dyDescent="0.25">
      <c r="Y15864" s="63">
        <v>58397</v>
      </c>
      <c r="Z15864" s="61">
        <f>_xll.qlYieldTSDiscount($U$35,Y15864,,Trigger)</f>
        <v>0.42936906093804367</v>
      </c>
    </row>
    <row r="15865" spans="25:26" x14ac:dyDescent="0.25">
      <c r="Y15865" s="63">
        <v>58398</v>
      </c>
      <c r="Z15865" s="61">
        <f>_xll.qlYieldTSDiscount($U$35,Y15865,,Trigger)</f>
        <v>0.42934289133524861</v>
      </c>
    </row>
    <row r="15866" spans="25:26" x14ac:dyDescent="0.25">
      <c r="Y15866" s="63">
        <v>58399</v>
      </c>
      <c r="Z15866" s="61">
        <f>_xll.qlYieldTSDiscount($U$35,Y15866,,Trigger)</f>
        <v>0.42931672395796655</v>
      </c>
    </row>
    <row r="15867" spans="25:26" x14ac:dyDescent="0.25">
      <c r="Y15867" s="63">
        <v>58400</v>
      </c>
      <c r="Z15867" s="61">
        <f>_xll.qlYieldTSDiscount($U$35,Y15867,,Trigger)</f>
        <v>0.42929055880583156</v>
      </c>
    </row>
    <row r="15868" spans="25:26" x14ac:dyDescent="0.25">
      <c r="Y15868" s="63">
        <v>58401</v>
      </c>
      <c r="Z15868" s="61">
        <f>_xll.qlYieldTSDiscount($U$35,Y15868,,Trigger)</f>
        <v>0.42926439587847764</v>
      </c>
    </row>
    <row r="15869" spans="25:26" x14ac:dyDescent="0.25">
      <c r="Y15869" s="63">
        <v>58402</v>
      </c>
      <c r="Z15869" s="61">
        <f>_xll.qlYieldTSDiscount($U$35,Y15869,,Trigger)</f>
        <v>0.42923823517553888</v>
      </c>
    </row>
    <row r="15870" spans="25:26" x14ac:dyDescent="0.25">
      <c r="Y15870" s="63">
        <v>58403</v>
      </c>
      <c r="Z15870" s="61">
        <f>_xll.qlYieldTSDiscount($U$35,Y15870,,Trigger)</f>
        <v>0.42921207669664918</v>
      </c>
    </row>
    <row r="15871" spans="25:26" x14ac:dyDescent="0.25">
      <c r="Y15871" s="63">
        <v>58404</v>
      </c>
      <c r="Z15871" s="61">
        <f>_xll.qlYieldTSDiscount($U$35,Y15871,,Trigger)</f>
        <v>0.42918592044144277</v>
      </c>
    </row>
    <row r="15872" spans="25:26" x14ac:dyDescent="0.25">
      <c r="Y15872" s="63">
        <v>58405</v>
      </c>
      <c r="Z15872" s="61">
        <f>_xll.qlYieldTSDiscount($U$35,Y15872,,Trigger)</f>
        <v>0.42915976640955333</v>
      </c>
    </row>
    <row r="15873" spans="25:26" x14ac:dyDescent="0.25">
      <c r="Y15873" s="63">
        <v>58406</v>
      </c>
      <c r="Z15873" s="61">
        <f>_xll.qlYieldTSDiscount($U$35,Y15873,,Trigger)</f>
        <v>0.42913361460061517</v>
      </c>
    </row>
    <row r="15874" spans="25:26" x14ac:dyDescent="0.25">
      <c r="Y15874" s="63">
        <v>58407</v>
      </c>
      <c r="Z15874" s="61">
        <f>_xll.qlYieldTSDiscount($U$35,Y15874,,Trigger)</f>
        <v>0.42910746501426233</v>
      </c>
    </row>
    <row r="15875" spans="25:26" x14ac:dyDescent="0.25">
      <c r="Y15875" s="63">
        <v>58408</v>
      </c>
      <c r="Z15875" s="61">
        <f>_xll.qlYieldTSDiscount($U$35,Y15875,,Trigger)</f>
        <v>0.42908131765012858</v>
      </c>
    </row>
    <row r="15876" spans="25:26" x14ac:dyDescent="0.25">
      <c r="Y15876" s="63">
        <v>58409</v>
      </c>
      <c r="Z15876" s="61">
        <f>_xll.qlYieldTSDiscount($U$35,Y15876,,Trigger)</f>
        <v>0.42905517250784819</v>
      </c>
    </row>
    <row r="15877" spans="25:26" x14ac:dyDescent="0.25">
      <c r="Y15877" s="63">
        <v>58410</v>
      </c>
      <c r="Z15877" s="61">
        <f>_xll.qlYieldTSDiscount($U$35,Y15877,,Trigger)</f>
        <v>0.42902902958705502</v>
      </c>
    </row>
    <row r="15878" spans="25:26" x14ac:dyDescent="0.25">
      <c r="Y15878" s="63">
        <v>58411</v>
      </c>
      <c r="Z15878" s="61">
        <f>_xll.qlYieldTSDiscount($U$35,Y15878,,Trigger)</f>
        <v>0.42900288888738319</v>
      </c>
    </row>
    <row r="15879" spans="25:26" x14ac:dyDescent="0.25">
      <c r="Y15879" s="63">
        <v>58412</v>
      </c>
      <c r="Z15879" s="61">
        <f>_xll.qlYieldTSDiscount($U$35,Y15879,,Trigger)</f>
        <v>0.42897675040846661</v>
      </c>
    </row>
    <row r="15880" spans="25:26" x14ac:dyDescent="0.25">
      <c r="Y15880" s="63">
        <v>58413</v>
      </c>
      <c r="Z15880" s="61">
        <f>_xll.qlYieldTSDiscount($U$35,Y15880,,Trigger)</f>
        <v>0.42895061414993951</v>
      </c>
    </row>
    <row r="15881" spans="25:26" x14ac:dyDescent="0.25">
      <c r="Y15881" s="63">
        <v>58414</v>
      </c>
      <c r="Z15881" s="61">
        <f>_xll.qlYieldTSDiscount($U$35,Y15881,,Trigger)</f>
        <v>0.42892448011143569</v>
      </c>
    </row>
    <row r="15882" spans="25:26" x14ac:dyDescent="0.25">
      <c r="Y15882" s="63">
        <v>58415</v>
      </c>
      <c r="Z15882" s="61">
        <f>_xll.qlYieldTSDiscount($U$35,Y15882,,Trigger)</f>
        <v>0.42889834829258933</v>
      </c>
    </row>
    <row r="15883" spans="25:26" x14ac:dyDescent="0.25">
      <c r="Y15883" s="63">
        <v>58416</v>
      </c>
      <c r="Z15883" s="61">
        <f>_xll.qlYieldTSDiscount($U$35,Y15883,,Trigger)</f>
        <v>0.42887221869303427</v>
      </c>
    </row>
    <row r="15884" spans="25:26" x14ac:dyDescent="0.25">
      <c r="Y15884" s="63">
        <v>58417</v>
      </c>
      <c r="Z15884" s="61">
        <f>_xll.qlYieldTSDiscount($U$35,Y15884,,Trigger)</f>
        <v>0.42884609131240475</v>
      </c>
    </row>
    <row r="15885" spans="25:26" x14ac:dyDescent="0.25">
      <c r="Y15885" s="63">
        <v>58418</v>
      </c>
      <c r="Z15885" s="61">
        <f>_xll.qlYieldTSDiscount($U$35,Y15885,,Trigger)</f>
        <v>0.42881996615033463</v>
      </c>
    </row>
    <row r="15886" spans="25:26" x14ac:dyDescent="0.25">
      <c r="Y15886" s="63">
        <v>58419</v>
      </c>
      <c r="Z15886" s="61">
        <f>_xll.qlYieldTSDiscount($U$35,Y15886,,Trigger)</f>
        <v>0.42879384320645797</v>
      </c>
    </row>
    <row r="15887" spans="25:26" x14ac:dyDescent="0.25">
      <c r="Y15887" s="63">
        <v>58420</v>
      </c>
      <c r="Z15887" s="61">
        <f>_xll.qlYieldTSDiscount($U$35,Y15887,,Trigger)</f>
        <v>0.4287677224804089</v>
      </c>
    </row>
    <row r="15888" spans="25:26" x14ac:dyDescent="0.25">
      <c r="Y15888" s="63">
        <v>58421</v>
      </c>
      <c r="Z15888" s="61">
        <f>_xll.qlYieldTSDiscount($U$35,Y15888,,Trigger)</f>
        <v>0.42874160397182126</v>
      </c>
    </row>
    <row r="15889" spans="25:26" x14ac:dyDescent="0.25">
      <c r="Y15889" s="63">
        <v>58422</v>
      </c>
      <c r="Z15889" s="61">
        <f>_xll.qlYieldTSDiscount($U$35,Y15889,,Trigger)</f>
        <v>0.42871548768032919</v>
      </c>
    </row>
    <row r="15890" spans="25:26" x14ac:dyDescent="0.25">
      <c r="Y15890" s="63">
        <v>58423</v>
      </c>
      <c r="Z15890" s="61">
        <f>_xll.qlYieldTSDiscount($U$35,Y15890,,Trigger)</f>
        <v>0.4286893736055668</v>
      </c>
    </row>
    <row r="15891" spans="25:26" x14ac:dyDescent="0.25">
      <c r="Y15891" s="63">
        <v>58424</v>
      </c>
      <c r="Z15891" s="61">
        <f>_xll.qlYieldTSDiscount($U$35,Y15891,,Trigger)</f>
        <v>0.42866326174716785</v>
      </c>
    </row>
    <row r="15892" spans="25:26" x14ac:dyDescent="0.25">
      <c r="Y15892" s="63">
        <v>58425</v>
      </c>
      <c r="Z15892" s="61">
        <f>_xll.qlYieldTSDiscount($U$35,Y15892,,Trigger)</f>
        <v>0.42863715210476649</v>
      </c>
    </row>
    <row r="15893" spans="25:26" x14ac:dyDescent="0.25">
      <c r="Y15893" s="63">
        <v>58426</v>
      </c>
      <c r="Z15893" s="61">
        <f>_xll.qlYieldTSDiscount($U$35,Y15893,,Trigger)</f>
        <v>0.42861104467799682</v>
      </c>
    </row>
    <row r="15894" spans="25:26" x14ac:dyDescent="0.25">
      <c r="Y15894" s="63">
        <v>58427</v>
      </c>
      <c r="Z15894" s="61">
        <f>_xll.qlYieldTSDiscount($U$35,Y15894,,Trigger)</f>
        <v>0.4285849394664929</v>
      </c>
    </row>
    <row r="15895" spans="25:26" x14ac:dyDescent="0.25">
      <c r="Y15895" s="63">
        <v>58428</v>
      </c>
      <c r="Z15895" s="61">
        <f>_xll.qlYieldTSDiscount($U$35,Y15895,,Trigger)</f>
        <v>0.42855883646988857</v>
      </c>
    </row>
    <row r="15896" spans="25:26" x14ac:dyDescent="0.25">
      <c r="Y15896" s="63">
        <v>58429</v>
      </c>
      <c r="Z15896" s="61">
        <f>_xll.qlYieldTSDiscount($U$35,Y15896,,Trigger)</f>
        <v>0.42853273568781791</v>
      </c>
    </row>
    <row r="15897" spans="25:26" x14ac:dyDescent="0.25">
      <c r="Y15897" s="63">
        <v>58430</v>
      </c>
      <c r="Z15897" s="61">
        <f>_xll.qlYieldTSDiscount($U$35,Y15897,,Trigger)</f>
        <v>0.42850663711991499</v>
      </c>
    </row>
    <row r="15898" spans="25:26" x14ac:dyDescent="0.25">
      <c r="Y15898" s="63">
        <v>58431</v>
      </c>
      <c r="Z15898" s="61">
        <f>_xll.qlYieldTSDiscount($U$35,Y15898,,Trigger)</f>
        <v>0.42848054076581382</v>
      </c>
    </row>
    <row r="15899" spans="25:26" x14ac:dyDescent="0.25">
      <c r="Y15899" s="63">
        <v>58432</v>
      </c>
      <c r="Z15899" s="61">
        <f>_xll.qlYieldTSDiscount($U$35,Y15899,,Trigger)</f>
        <v>0.42845444662514842</v>
      </c>
    </row>
    <row r="15900" spans="25:26" x14ac:dyDescent="0.25">
      <c r="Y15900" s="63">
        <v>58433</v>
      </c>
      <c r="Z15900" s="61">
        <f>_xll.qlYieldTSDiscount($U$35,Y15900,,Trigger)</f>
        <v>0.4284283546975528</v>
      </c>
    </row>
    <row r="15901" spans="25:26" x14ac:dyDescent="0.25">
      <c r="Y15901" s="63">
        <v>58434</v>
      </c>
      <c r="Z15901" s="61">
        <f>_xll.qlYieldTSDiscount($U$35,Y15901,,Trigger)</f>
        <v>0.42840226498266099</v>
      </c>
    </row>
    <row r="15902" spans="25:26" x14ac:dyDescent="0.25">
      <c r="Y15902" s="63">
        <v>58435</v>
      </c>
      <c r="Z15902" s="61">
        <f>_xll.qlYieldTSDiscount($U$35,Y15902,,Trigger)</f>
        <v>0.42837617748010692</v>
      </c>
    </row>
    <row r="15903" spans="25:26" x14ac:dyDescent="0.25">
      <c r="Y15903" s="63">
        <v>58436</v>
      </c>
      <c r="Z15903" s="61">
        <f>_xll.qlYieldTSDiscount($U$35,Y15903,,Trigger)</f>
        <v>0.42835009218952486</v>
      </c>
    </row>
    <row r="15904" spans="25:26" x14ac:dyDescent="0.25">
      <c r="Y15904" s="63">
        <v>58437</v>
      </c>
      <c r="Z15904" s="61">
        <f>_xll.qlYieldTSDiscount($U$35,Y15904,,Trigger)</f>
        <v>0.42832400911054858</v>
      </c>
    </row>
    <row r="15905" spans="25:26" x14ac:dyDescent="0.25">
      <c r="Y15905" s="63">
        <v>58438</v>
      </c>
      <c r="Z15905" s="61">
        <f>_xll.qlYieldTSDiscount($U$35,Y15905,,Trigger)</f>
        <v>0.42829792824281221</v>
      </c>
    </row>
    <row r="15906" spans="25:26" x14ac:dyDescent="0.25">
      <c r="Y15906" s="63">
        <v>58439</v>
      </c>
      <c r="Z15906" s="61">
        <f>_xll.qlYieldTSDiscount($U$35,Y15906,,Trigger)</f>
        <v>0.42827184958594977</v>
      </c>
    </row>
    <row r="15907" spans="25:26" x14ac:dyDescent="0.25">
      <c r="Y15907" s="63">
        <v>58440</v>
      </c>
      <c r="Z15907" s="61">
        <f>_xll.qlYieldTSDiscount($U$35,Y15907,,Trigger)</f>
        <v>0.42824577313959522</v>
      </c>
    </row>
    <row r="15908" spans="25:26" x14ac:dyDescent="0.25">
      <c r="Y15908" s="63">
        <v>58441</v>
      </c>
      <c r="Z15908" s="61">
        <f>_xll.qlYieldTSDiscount($U$35,Y15908,,Trigger)</f>
        <v>0.42821969890338263</v>
      </c>
    </row>
    <row r="15909" spans="25:26" x14ac:dyDescent="0.25">
      <c r="Y15909" s="63">
        <v>58442</v>
      </c>
      <c r="Z15909" s="61">
        <f>_xll.qlYieldTSDiscount($U$35,Y15909,,Trigger)</f>
        <v>0.42819362687694607</v>
      </c>
    </row>
    <row r="15910" spans="25:26" x14ac:dyDescent="0.25">
      <c r="Y15910" s="63">
        <v>58443</v>
      </c>
      <c r="Z15910" s="61">
        <f>_xll.qlYieldTSDiscount($U$35,Y15910,,Trigger)</f>
        <v>0.42816755705991955</v>
      </c>
    </row>
    <row r="15911" spans="25:26" x14ac:dyDescent="0.25">
      <c r="Y15911" s="63">
        <v>58444</v>
      </c>
      <c r="Z15911" s="61">
        <f>_xll.qlYieldTSDiscount($U$35,Y15911,,Trigger)</f>
        <v>0.42814148945193697</v>
      </c>
    </row>
    <row r="15912" spans="25:26" x14ac:dyDescent="0.25">
      <c r="Y15912" s="63">
        <v>58445</v>
      </c>
      <c r="Z15912" s="61">
        <f>_xll.qlYieldTSDiscount($U$35,Y15912,,Trigger)</f>
        <v>0.42811542405263248</v>
      </c>
    </row>
    <row r="15913" spans="25:26" x14ac:dyDescent="0.25">
      <c r="Y15913" s="63">
        <v>58446</v>
      </c>
      <c r="Z15913" s="61">
        <f>_xll.qlYieldTSDiscount($U$35,Y15913,,Trigger)</f>
        <v>0.42808936086164007</v>
      </c>
    </row>
    <row r="15914" spans="25:26" x14ac:dyDescent="0.25">
      <c r="Y15914" s="63">
        <v>58447</v>
      </c>
      <c r="Z15914" s="61">
        <f>_xll.qlYieldTSDiscount($U$35,Y15914,,Trigger)</f>
        <v>0.42806329987859371</v>
      </c>
    </row>
    <row r="15915" spans="25:26" x14ac:dyDescent="0.25">
      <c r="Y15915" s="63">
        <v>58448</v>
      </c>
      <c r="Z15915" s="61">
        <f>_xll.qlYieldTSDiscount($U$35,Y15915,,Trigger)</f>
        <v>0.42803724110312746</v>
      </c>
    </row>
    <row r="15916" spans="25:26" x14ac:dyDescent="0.25">
      <c r="Y15916" s="63">
        <v>58449</v>
      </c>
      <c r="Z15916" s="61">
        <f>_xll.qlYieldTSDiscount($U$35,Y15916,,Trigger)</f>
        <v>0.42801118453487541</v>
      </c>
    </row>
    <row r="15917" spans="25:26" x14ac:dyDescent="0.25">
      <c r="Y15917" s="63">
        <v>58450</v>
      </c>
      <c r="Z15917" s="61">
        <f>_xll.qlYieldTSDiscount($U$35,Y15917,,Trigger)</f>
        <v>0.42798513017347151</v>
      </c>
    </row>
    <row r="15918" spans="25:26" x14ac:dyDescent="0.25">
      <c r="Y15918" s="63">
        <v>58451</v>
      </c>
      <c r="Z15918" s="61">
        <f>_xll.qlYieldTSDiscount($U$35,Y15918,,Trigger)</f>
        <v>0.42795907801854971</v>
      </c>
    </row>
    <row r="15919" spans="25:26" x14ac:dyDescent="0.25">
      <c r="Y15919" s="63">
        <v>58452</v>
      </c>
      <c r="Z15919" s="61">
        <f>_xll.qlYieldTSDiscount($U$35,Y15919,,Trigger)</f>
        <v>0.4279330280697442</v>
      </c>
    </row>
    <row r="15920" spans="25:26" x14ac:dyDescent="0.25">
      <c r="Y15920" s="63">
        <v>58453</v>
      </c>
      <c r="Z15920" s="61">
        <f>_xll.qlYieldTSDiscount($U$35,Y15920,,Trigger)</f>
        <v>0.42790698032668883</v>
      </c>
    </row>
    <row r="15921" spans="25:26" x14ac:dyDescent="0.25">
      <c r="Y15921" s="63">
        <v>58454</v>
      </c>
      <c r="Z15921" s="61">
        <f>_xll.qlYieldTSDiscount($U$35,Y15921,,Trigger)</f>
        <v>0.42788093478901773</v>
      </c>
    </row>
    <row r="15922" spans="25:26" x14ac:dyDescent="0.25">
      <c r="Y15922" s="63">
        <v>58455</v>
      </c>
      <c r="Z15922" s="61">
        <f>_xll.qlYieldTSDiscount($U$35,Y15922,,Trigger)</f>
        <v>0.42785489145636491</v>
      </c>
    </row>
    <row r="15923" spans="25:26" x14ac:dyDescent="0.25">
      <c r="Y15923" s="63">
        <v>58456</v>
      </c>
      <c r="Z15923" s="61">
        <f>_xll.qlYieldTSDiscount($U$35,Y15923,,Trigger)</f>
        <v>0.42782885032836437</v>
      </c>
    </row>
    <row r="15924" spans="25:26" x14ac:dyDescent="0.25">
      <c r="Y15924" s="63">
        <v>58457</v>
      </c>
      <c r="Z15924" s="61">
        <f>_xll.qlYieldTSDiscount($U$35,Y15924,,Trigger)</f>
        <v>0.42780281140465015</v>
      </c>
    </row>
    <row r="15925" spans="25:26" x14ac:dyDescent="0.25">
      <c r="Y15925" s="63">
        <v>58458</v>
      </c>
      <c r="Z15925" s="61">
        <f>_xll.qlYieldTSDiscount($U$35,Y15925,,Trigger)</f>
        <v>0.4277767746848562</v>
      </c>
    </row>
    <row r="15926" spans="25:26" x14ac:dyDescent="0.25">
      <c r="Y15926" s="63">
        <v>58459</v>
      </c>
      <c r="Z15926" s="61">
        <f>_xll.qlYieldTSDiscount($U$35,Y15926,,Trigger)</f>
        <v>0.42775074016861675</v>
      </c>
    </row>
    <row r="15927" spans="25:26" x14ac:dyDescent="0.25">
      <c r="Y15927" s="63">
        <v>58460</v>
      </c>
      <c r="Z15927" s="61">
        <f>_xll.qlYieldTSDiscount($U$35,Y15927,,Trigger)</f>
        <v>0.4277247078555656</v>
      </c>
    </row>
    <row r="15928" spans="25:26" x14ac:dyDescent="0.25">
      <c r="Y15928" s="63">
        <v>58461</v>
      </c>
      <c r="Z15928" s="61">
        <f>_xll.qlYieldTSDiscount($U$35,Y15928,,Trigger)</f>
        <v>0.42769867774533676</v>
      </c>
    </row>
    <row r="15929" spans="25:26" x14ac:dyDescent="0.25">
      <c r="Y15929" s="63">
        <v>58462</v>
      </c>
      <c r="Z15929" s="61">
        <f>_xll.qlYieldTSDiscount($U$35,Y15929,,Trigger)</f>
        <v>0.42767264983756448</v>
      </c>
    </row>
    <row r="15930" spans="25:26" x14ac:dyDescent="0.25">
      <c r="Y15930" s="63">
        <v>58463</v>
      </c>
      <c r="Z15930" s="61">
        <f>_xll.qlYieldTSDiscount($U$35,Y15930,,Trigger)</f>
        <v>0.42764662413188259</v>
      </c>
    </row>
    <row r="15931" spans="25:26" x14ac:dyDescent="0.25">
      <c r="Y15931" s="63">
        <v>58464</v>
      </c>
      <c r="Z15931" s="61">
        <f>_xll.qlYieldTSDiscount($U$35,Y15931,,Trigger)</f>
        <v>0.42762060062792506</v>
      </c>
    </row>
    <row r="15932" spans="25:26" x14ac:dyDescent="0.25">
      <c r="Y15932" s="63">
        <v>58465</v>
      </c>
      <c r="Z15932" s="61">
        <f>_xll.qlYieldTSDiscount($U$35,Y15932,,Trigger)</f>
        <v>0.42759457932532619</v>
      </c>
    </row>
    <row r="15933" spans="25:26" x14ac:dyDescent="0.25">
      <c r="Y15933" s="63">
        <v>58466</v>
      </c>
      <c r="Z15933" s="61">
        <f>_xll.qlYieldTSDiscount($U$35,Y15933,,Trigger)</f>
        <v>0.4275685602237197</v>
      </c>
    </row>
    <row r="15934" spans="25:26" x14ac:dyDescent="0.25">
      <c r="Y15934" s="63">
        <v>58467</v>
      </c>
      <c r="Z15934" s="61">
        <f>_xll.qlYieldTSDiscount($U$35,Y15934,,Trigger)</f>
        <v>0.42754254332273978</v>
      </c>
    </row>
    <row r="15935" spans="25:26" x14ac:dyDescent="0.25">
      <c r="Y15935" s="63">
        <v>58468</v>
      </c>
      <c r="Z15935" s="61">
        <f>_xll.qlYieldTSDiscount($U$35,Y15935,,Trigger)</f>
        <v>0.42751652862202039</v>
      </c>
    </row>
    <row r="15936" spans="25:26" x14ac:dyDescent="0.25">
      <c r="Y15936" s="63">
        <v>58469</v>
      </c>
      <c r="Z15936" s="61">
        <f>_xll.qlYieldTSDiscount($U$35,Y15936,,Trigger)</f>
        <v>0.4274905161211956</v>
      </c>
    </row>
    <row r="15937" spans="25:26" x14ac:dyDescent="0.25">
      <c r="Y15937" s="63">
        <v>58470</v>
      </c>
      <c r="Z15937" s="61">
        <f>_xll.qlYieldTSDiscount($U$35,Y15937,,Trigger)</f>
        <v>0.42746450581989937</v>
      </c>
    </row>
    <row r="15938" spans="25:26" x14ac:dyDescent="0.25">
      <c r="Y15938" s="63">
        <v>58471</v>
      </c>
      <c r="Z15938" s="61">
        <f>_xll.qlYieldTSDiscount($U$35,Y15938,,Trigger)</f>
        <v>0.42743849771776576</v>
      </c>
    </row>
    <row r="15939" spans="25:26" x14ac:dyDescent="0.25">
      <c r="Y15939" s="63">
        <v>58472</v>
      </c>
      <c r="Z15939" s="61">
        <f>_xll.qlYieldTSDiscount($U$35,Y15939,,Trigger)</f>
        <v>0.42741249181442886</v>
      </c>
    </row>
    <row r="15940" spans="25:26" x14ac:dyDescent="0.25">
      <c r="Y15940" s="63">
        <v>58473</v>
      </c>
      <c r="Z15940" s="61">
        <f>_xll.qlYieldTSDiscount($U$35,Y15940,,Trigger)</f>
        <v>0.42738648810952251</v>
      </c>
    </row>
    <row r="15941" spans="25:26" x14ac:dyDescent="0.25">
      <c r="Y15941" s="63">
        <v>58474</v>
      </c>
      <c r="Z15941" s="61">
        <f>_xll.qlYieldTSDiscount($U$35,Y15941,,Trigger)</f>
        <v>0.42736048660268089</v>
      </c>
    </row>
    <row r="15942" spans="25:26" x14ac:dyDescent="0.25">
      <c r="Y15942" s="63">
        <v>58475</v>
      </c>
      <c r="Z15942" s="61">
        <f>_xll.qlYieldTSDiscount($U$35,Y15942,,Trigger)</f>
        <v>0.42733448729353807</v>
      </c>
    </row>
    <row r="15943" spans="25:26" x14ac:dyDescent="0.25">
      <c r="Y15943" s="63">
        <v>58476</v>
      </c>
      <c r="Z15943" s="61">
        <f>_xll.qlYieldTSDiscount($U$35,Y15943,,Trigger)</f>
        <v>0.42730849018172784</v>
      </c>
    </row>
    <row r="15944" spans="25:26" x14ac:dyDescent="0.25">
      <c r="Y15944" s="63">
        <v>58477</v>
      </c>
      <c r="Z15944" s="61">
        <f>_xll.qlYieldTSDiscount($U$35,Y15944,,Trigger)</f>
        <v>0.42728249526688433</v>
      </c>
    </row>
    <row r="15945" spans="25:26" x14ac:dyDescent="0.25">
      <c r="Y15945" s="63">
        <v>58478</v>
      </c>
      <c r="Z15945" s="61">
        <f>_xll.qlYieldTSDiscount($U$35,Y15945,,Trigger)</f>
        <v>0.42725650254864178</v>
      </c>
    </row>
    <row r="15946" spans="25:26" x14ac:dyDescent="0.25">
      <c r="Y15946" s="63">
        <v>58479</v>
      </c>
      <c r="Z15946" s="61">
        <f>_xll.qlYieldTSDiscount($U$35,Y15946,,Trigger)</f>
        <v>0.42723051202663387</v>
      </c>
    </row>
    <row r="15947" spans="25:26" x14ac:dyDescent="0.25">
      <c r="Y15947" s="63">
        <v>58480</v>
      </c>
      <c r="Z15947" s="61">
        <f>_xll.qlYieldTSDiscount($U$35,Y15947,,Trigger)</f>
        <v>0.42720452370049478</v>
      </c>
    </row>
    <row r="15948" spans="25:26" x14ac:dyDescent="0.25">
      <c r="Y15948" s="63">
        <v>58481</v>
      </c>
      <c r="Z15948" s="61">
        <f>_xll.qlYieldTSDiscount($U$35,Y15948,,Trigger)</f>
        <v>0.42717853756985857</v>
      </c>
    </row>
    <row r="15949" spans="25:26" x14ac:dyDescent="0.25">
      <c r="Y15949" s="63">
        <v>58482</v>
      </c>
      <c r="Z15949" s="61">
        <f>_xll.qlYieldTSDiscount($U$35,Y15949,,Trigger)</f>
        <v>0.42715255363435922</v>
      </c>
    </row>
    <row r="15950" spans="25:26" x14ac:dyDescent="0.25">
      <c r="Y15950" s="63">
        <v>58483</v>
      </c>
      <c r="Z15950" s="61">
        <f>_xll.qlYieldTSDiscount($U$35,Y15950,,Trigger)</f>
        <v>0.42712657189363068</v>
      </c>
    </row>
    <row r="15951" spans="25:26" x14ac:dyDescent="0.25">
      <c r="Y15951" s="63">
        <v>58484</v>
      </c>
      <c r="Z15951" s="61">
        <f>_xll.qlYieldTSDiscount($U$35,Y15951,,Trigger)</f>
        <v>0.42710059234730713</v>
      </c>
    </row>
    <row r="15952" spans="25:26" x14ac:dyDescent="0.25">
      <c r="Y15952" s="63">
        <v>58485</v>
      </c>
      <c r="Z15952" s="61">
        <f>_xll.qlYieldTSDiscount($U$35,Y15952,,Trigger)</f>
        <v>0.42707461499502242</v>
      </c>
    </row>
    <row r="15953" spans="25:26" x14ac:dyDescent="0.25">
      <c r="Y15953" s="63">
        <v>58486</v>
      </c>
      <c r="Z15953" s="61">
        <f>_xll.qlYieldTSDiscount($U$35,Y15953,,Trigger)</f>
        <v>0.42704863983641067</v>
      </c>
    </row>
    <row r="15954" spans="25:26" x14ac:dyDescent="0.25">
      <c r="Y15954" s="63">
        <v>58487</v>
      </c>
      <c r="Z15954" s="61">
        <f>_xll.qlYieldTSDiscount($U$35,Y15954,,Trigger)</f>
        <v>0.4270226668711059</v>
      </c>
    </row>
    <row r="15955" spans="25:26" x14ac:dyDescent="0.25">
      <c r="Y15955" s="63">
        <v>58488</v>
      </c>
      <c r="Z15955" s="61">
        <f>_xll.qlYieldTSDiscount($U$35,Y15955,,Trigger)</f>
        <v>0.42699669609874213</v>
      </c>
    </row>
    <row r="15956" spans="25:26" x14ac:dyDescent="0.25">
      <c r="Y15956" s="63">
        <v>58489</v>
      </c>
      <c r="Z15956" s="61">
        <f>_xll.qlYieldTSDiscount($U$35,Y15956,,Trigger)</f>
        <v>0.42697072751895337</v>
      </c>
    </row>
    <row r="15957" spans="25:26" x14ac:dyDescent="0.25">
      <c r="Y15957" s="63">
        <v>58490</v>
      </c>
      <c r="Z15957" s="61">
        <f>_xll.qlYieldTSDiscount($U$35,Y15957,,Trigger)</f>
        <v>0.42694476113137358</v>
      </c>
    </row>
    <row r="15958" spans="25:26" x14ac:dyDescent="0.25">
      <c r="Y15958" s="63">
        <v>58491</v>
      </c>
      <c r="Z15958" s="61">
        <f>_xll.qlYieldTSDiscount($U$35,Y15958,,Trigger)</f>
        <v>0.42691879693563695</v>
      </c>
    </row>
    <row r="15959" spans="25:26" x14ac:dyDescent="0.25">
      <c r="Y15959" s="63">
        <v>58492</v>
      </c>
      <c r="Z15959" s="61">
        <f>_xll.qlYieldTSDiscount($U$35,Y15959,,Trigger)</f>
        <v>0.42689283493137731</v>
      </c>
    </row>
    <row r="15960" spans="25:26" x14ac:dyDescent="0.25">
      <c r="Y15960" s="63">
        <v>58493</v>
      </c>
      <c r="Z15960" s="61">
        <f>_xll.qlYieldTSDiscount($U$35,Y15960,,Trigger)</f>
        <v>0.42686687511822885</v>
      </c>
    </row>
    <row r="15961" spans="25:26" x14ac:dyDescent="0.25">
      <c r="Y15961" s="63">
        <v>58494</v>
      </c>
      <c r="Z15961" s="61">
        <f>_xll.qlYieldTSDiscount($U$35,Y15961,,Trigger)</f>
        <v>0.42684091749582542</v>
      </c>
    </row>
    <row r="15962" spans="25:26" x14ac:dyDescent="0.25">
      <c r="Y15962" s="63">
        <v>58495</v>
      </c>
      <c r="Z15962" s="61">
        <f>_xll.qlYieldTSDiscount($U$35,Y15962,,Trigger)</f>
        <v>0.42681496206380121</v>
      </c>
    </row>
    <row r="15963" spans="25:26" x14ac:dyDescent="0.25">
      <c r="Y15963" s="63">
        <v>58496</v>
      </c>
      <c r="Z15963" s="61">
        <f>_xll.qlYieldTSDiscount($U$35,Y15963,,Trigger)</f>
        <v>0.42678900882179005</v>
      </c>
    </row>
    <row r="15964" spans="25:26" x14ac:dyDescent="0.25">
      <c r="Y15964" s="63">
        <v>58497</v>
      </c>
      <c r="Z15964" s="61">
        <f>_xll.qlYieldTSDiscount($U$35,Y15964,,Trigger)</f>
        <v>0.42676305776942625</v>
      </c>
    </row>
    <row r="15965" spans="25:26" x14ac:dyDescent="0.25">
      <c r="Y15965" s="63">
        <v>58498</v>
      </c>
      <c r="Z15965" s="61">
        <f>_xll.qlYieldTSDiscount($U$35,Y15965,,Trigger)</f>
        <v>0.42673710890634353</v>
      </c>
    </row>
    <row r="15966" spans="25:26" x14ac:dyDescent="0.25">
      <c r="Y15966" s="63">
        <v>58499</v>
      </c>
      <c r="Z15966" s="61">
        <f>_xll.qlYieldTSDiscount($U$35,Y15966,,Trigger)</f>
        <v>0.42671116223217598</v>
      </c>
    </row>
    <row r="15967" spans="25:26" x14ac:dyDescent="0.25">
      <c r="Y15967" s="63">
        <v>58500</v>
      </c>
      <c r="Z15967" s="61">
        <f>_xll.qlYieldTSDiscount($U$35,Y15967,,Trigger)</f>
        <v>0.42668521774655777</v>
      </c>
    </row>
    <row r="15968" spans="25:26" x14ac:dyDescent="0.25">
      <c r="Y15968" s="63">
        <v>58501</v>
      </c>
      <c r="Z15968" s="61">
        <f>_xll.qlYieldTSDiscount($U$35,Y15968,,Trigger)</f>
        <v>0.42665927544912285</v>
      </c>
    </row>
    <row r="15969" spans="25:26" x14ac:dyDescent="0.25">
      <c r="Y15969" s="63">
        <v>58502</v>
      </c>
      <c r="Z15969" s="61">
        <f>_xll.qlYieldTSDiscount($U$35,Y15969,,Trigger)</f>
        <v>0.4266333353395052</v>
      </c>
    </row>
    <row r="15970" spans="25:26" x14ac:dyDescent="0.25">
      <c r="Y15970" s="63">
        <v>58503</v>
      </c>
      <c r="Z15970" s="61">
        <f>_xll.qlYieldTSDiscount($U$35,Y15970,,Trigger)</f>
        <v>0.42660739741733883</v>
      </c>
    </row>
    <row r="15971" spans="25:26" x14ac:dyDescent="0.25">
      <c r="Y15971" s="63">
        <v>58504</v>
      </c>
      <c r="Z15971" s="61">
        <f>_xll.qlYieldTSDiscount($U$35,Y15971,,Trigger)</f>
        <v>0.42658146168225786</v>
      </c>
    </row>
    <row r="15972" spans="25:26" x14ac:dyDescent="0.25">
      <c r="Y15972" s="63">
        <v>58505</v>
      </c>
      <c r="Z15972" s="61">
        <f>_xll.qlYieldTSDiscount($U$35,Y15972,,Trigger)</f>
        <v>0.42655552813389619</v>
      </c>
    </row>
    <row r="15973" spans="25:26" x14ac:dyDescent="0.25">
      <c r="Y15973" s="63">
        <v>58506</v>
      </c>
      <c r="Z15973" s="61">
        <f>_xll.qlYieldTSDiscount($U$35,Y15973,,Trigger)</f>
        <v>0.42652959677188795</v>
      </c>
    </row>
    <row r="15974" spans="25:26" x14ac:dyDescent="0.25">
      <c r="Y15974" s="63">
        <v>58507</v>
      </c>
      <c r="Z15974" s="61">
        <f>_xll.qlYieldTSDiscount($U$35,Y15974,,Trigger)</f>
        <v>0.42650366759586711</v>
      </c>
    </row>
    <row r="15975" spans="25:26" x14ac:dyDescent="0.25">
      <c r="Y15975" s="63">
        <v>58508</v>
      </c>
      <c r="Z15975" s="61">
        <f>_xll.qlYieldTSDiscount($U$35,Y15975,,Trigger)</f>
        <v>0.42647774060546767</v>
      </c>
    </row>
    <row r="15976" spans="25:26" x14ac:dyDescent="0.25">
      <c r="Y15976" s="63">
        <v>58509</v>
      </c>
      <c r="Z15976" s="61">
        <f>_xll.qlYieldTSDiscount($U$35,Y15976,,Trigger)</f>
        <v>0.42645181580032365</v>
      </c>
    </row>
    <row r="15977" spans="25:26" x14ac:dyDescent="0.25">
      <c r="Y15977" s="63">
        <v>58510</v>
      </c>
      <c r="Z15977" s="61">
        <f>_xll.qlYieldTSDiscount($U$35,Y15977,,Trigger)</f>
        <v>0.42642589318006918</v>
      </c>
    </row>
    <row r="15978" spans="25:26" x14ac:dyDescent="0.25">
      <c r="Y15978" s="63">
        <v>58511</v>
      </c>
      <c r="Z15978" s="61">
        <f>_xll.qlYieldTSDiscount($U$35,Y15978,,Trigger)</f>
        <v>0.42639997274433811</v>
      </c>
    </row>
    <row r="15979" spans="25:26" x14ac:dyDescent="0.25">
      <c r="Y15979" s="63">
        <v>58512</v>
      </c>
      <c r="Z15979" s="61">
        <f>_xll.qlYieldTSDiscount($U$35,Y15979,,Trigger)</f>
        <v>0.42637405449276461</v>
      </c>
    </row>
    <row r="15980" spans="25:26" x14ac:dyDescent="0.25">
      <c r="Y15980" s="63">
        <v>58513</v>
      </c>
      <c r="Z15980" s="61">
        <f>_xll.qlYieldTSDiscount($U$35,Y15980,,Trigger)</f>
        <v>0.42634813842498265</v>
      </c>
    </row>
    <row r="15981" spans="25:26" x14ac:dyDescent="0.25">
      <c r="Y15981" s="63">
        <v>58514</v>
      </c>
      <c r="Z15981" s="61">
        <f>_xll.qlYieldTSDiscount($U$35,Y15981,,Trigger)</f>
        <v>0.42632222454062618</v>
      </c>
    </row>
    <row r="15982" spans="25:26" x14ac:dyDescent="0.25">
      <c r="Y15982" s="63">
        <v>58515</v>
      </c>
      <c r="Z15982" s="61">
        <f>_xll.qlYieldTSDiscount($U$35,Y15982,,Trigger)</f>
        <v>0.42629631283932934</v>
      </c>
    </row>
    <row r="15983" spans="25:26" x14ac:dyDescent="0.25">
      <c r="Y15983" s="63">
        <v>58516</v>
      </c>
      <c r="Z15983" s="61">
        <f>_xll.qlYieldTSDiscount($U$35,Y15983,,Trigger)</f>
        <v>0.42627040332072608</v>
      </c>
    </row>
    <row r="15984" spans="25:26" x14ac:dyDescent="0.25">
      <c r="Y15984" s="63">
        <v>58517</v>
      </c>
      <c r="Z15984" s="61">
        <f>_xll.qlYieldTSDiscount($U$35,Y15984,,Trigger)</f>
        <v>0.42624449598445047</v>
      </c>
    </row>
    <row r="15985" spans="25:26" x14ac:dyDescent="0.25">
      <c r="Y15985" s="63">
        <v>58518</v>
      </c>
      <c r="Z15985" s="61">
        <f>_xll.qlYieldTSDiscount($U$35,Y15985,,Trigger)</f>
        <v>0.42621859083013647</v>
      </c>
    </row>
    <row r="15986" spans="25:26" x14ac:dyDescent="0.25">
      <c r="Y15986" s="63">
        <v>58519</v>
      </c>
      <c r="Z15986" s="61">
        <f>_xll.qlYieldTSDiscount($U$35,Y15986,,Trigger)</f>
        <v>0.42619268785741815</v>
      </c>
    </row>
    <row r="15987" spans="25:26" x14ac:dyDescent="0.25">
      <c r="Y15987" s="63">
        <v>58520</v>
      </c>
      <c r="Z15987" s="61">
        <f>_xll.qlYieldTSDiscount($U$35,Y15987,,Trigger)</f>
        <v>0.42616678706592959</v>
      </c>
    </row>
    <row r="15988" spans="25:26" x14ac:dyDescent="0.25">
      <c r="Y15988" s="63">
        <v>58521</v>
      </c>
      <c r="Z15988" s="61">
        <f>_xll.qlYieldTSDiscount($U$35,Y15988,,Trigger)</f>
        <v>0.42614088845530462</v>
      </c>
    </row>
    <row r="15989" spans="25:26" x14ac:dyDescent="0.25">
      <c r="Y15989" s="63">
        <v>58522</v>
      </c>
      <c r="Z15989" s="61">
        <f>_xll.qlYieldTSDiscount($U$35,Y15989,,Trigger)</f>
        <v>0.42611499202517744</v>
      </c>
    </row>
    <row r="15990" spans="25:26" x14ac:dyDescent="0.25">
      <c r="Y15990" s="63">
        <v>58523</v>
      </c>
      <c r="Z15990" s="61">
        <f>_xll.qlYieldTSDiscount($U$35,Y15990,,Trigger)</f>
        <v>0.426089097775182</v>
      </c>
    </row>
    <row r="15991" spans="25:26" x14ac:dyDescent="0.25">
      <c r="Y15991" s="63">
        <v>58524</v>
      </c>
      <c r="Z15991" s="61">
        <f>_xll.qlYieldTSDiscount($U$35,Y15991,,Trigger)</f>
        <v>0.42606320570495237</v>
      </c>
    </row>
    <row r="15992" spans="25:26" x14ac:dyDescent="0.25">
      <c r="Y15992" s="63">
        <v>58525</v>
      </c>
      <c r="Z15992" s="61">
        <f>_xll.qlYieldTSDiscount($U$35,Y15992,,Trigger)</f>
        <v>0.42603731581412241</v>
      </c>
    </row>
    <row r="15993" spans="25:26" x14ac:dyDescent="0.25">
      <c r="Y15993" s="63">
        <v>58526</v>
      </c>
      <c r="Z15993" s="61">
        <f>_xll.qlYieldTSDiscount($U$35,Y15993,,Trigger)</f>
        <v>0.42601142810232645</v>
      </c>
    </row>
    <row r="15994" spans="25:26" x14ac:dyDescent="0.25">
      <c r="Y15994" s="63">
        <v>58527</v>
      </c>
      <c r="Z15994" s="61">
        <f>_xll.qlYieldTSDiscount($U$35,Y15994,,Trigger)</f>
        <v>0.42598554256919818</v>
      </c>
    </row>
    <row r="15995" spans="25:26" x14ac:dyDescent="0.25">
      <c r="Y15995" s="63">
        <v>58528</v>
      </c>
      <c r="Z15995" s="61">
        <f>_xll.qlYieldTSDiscount($U$35,Y15995,,Trigger)</f>
        <v>0.42595965921437184</v>
      </c>
    </row>
    <row r="15996" spans="25:26" x14ac:dyDescent="0.25">
      <c r="Y15996" s="63">
        <v>58529</v>
      </c>
      <c r="Z15996" s="61">
        <f>_xll.qlYieldTSDiscount($U$35,Y15996,,Trigger)</f>
        <v>0.42593377803748145</v>
      </c>
    </row>
    <row r="15997" spans="25:26" x14ac:dyDescent="0.25">
      <c r="Y15997" s="63">
        <v>58530</v>
      </c>
      <c r="Z15997" s="61">
        <f>_xll.qlYieldTSDiscount($U$35,Y15997,,Trigger)</f>
        <v>0.42590789903816084</v>
      </c>
    </row>
    <row r="15998" spans="25:26" x14ac:dyDescent="0.25">
      <c r="Y15998" s="63">
        <v>58531</v>
      </c>
      <c r="Z15998" s="61">
        <f>_xll.qlYieldTSDiscount($U$35,Y15998,,Trigger)</f>
        <v>0.42588202221604421</v>
      </c>
    </row>
    <row r="15999" spans="25:26" x14ac:dyDescent="0.25">
      <c r="Y15999" s="63">
        <v>58532</v>
      </c>
      <c r="Z15999" s="61">
        <f>_xll.qlYieldTSDiscount($U$35,Y15999,,Trigger)</f>
        <v>0.42585614757076551</v>
      </c>
    </row>
    <row r="16000" spans="25:26" x14ac:dyDescent="0.25">
      <c r="Y16000" s="63">
        <v>58533</v>
      </c>
      <c r="Z16000" s="61">
        <f>_xll.qlYieldTSDiscount($U$35,Y16000,,Trigger)</f>
        <v>0.42583027510195881</v>
      </c>
    </row>
    <row r="16001" spans="25:26" x14ac:dyDescent="0.25">
      <c r="Y16001" s="63">
        <v>58534</v>
      </c>
      <c r="Z16001" s="61">
        <f>_xll.qlYieldTSDiscount($U$35,Y16001,,Trigger)</f>
        <v>0.42580440480925807</v>
      </c>
    </row>
    <row r="16002" spans="25:26" x14ac:dyDescent="0.25">
      <c r="Y16002" s="63">
        <v>58535</v>
      </c>
      <c r="Z16002" s="61">
        <f>_xll.qlYieldTSDiscount($U$35,Y16002,,Trigger)</f>
        <v>0.42577853669229737</v>
      </c>
    </row>
    <row r="16003" spans="25:26" x14ac:dyDescent="0.25">
      <c r="Y16003" s="63">
        <v>58536</v>
      </c>
      <c r="Z16003" s="61">
        <f>_xll.qlYieldTSDiscount($U$35,Y16003,,Trigger)</f>
        <v>0.42575267075071077</v>
      </c>
    </row>
    <row r="16004" spans="25:26" x14ac:dyDescent="0.25">
      <c r="Y16004" s="63">
        <v>58537</v>
      </c>
      <c r="Z16004" s="61">
        <f>_xll.qlYieldTSDiscount($U$35,Y16004,,Trigger)</f>
        <v>0.42572680698413212</v>
      </c>
    </row>
    <row r="16005" spans="25:26" x14ac:dyDescent="0.25">
      <c r="Y16005" s="63">
        <v>58538</v>
      </c>
      <c r="Z16005" s="61">
        <f>_xll.qlYieldTSDiscount($U$35,Y16005,,Trigger)</f>
        <v>0.42570094539219561</v>
      </c>
    </row>
    <row r="16006" spans="25:26" x14ac:dyDescent="0.25">
      <c r="Y16006" s="63">
        <v>58539</v>
      </c>
      <c r="Z16006" s="61">
        <f>_xll.qlYieldTSDiscount($U$35,Y16006,,Trigger)</f>
        <v>0.42567508597453524</v>
      </c>
    </row>
    <row r="16007" spans="25:26" x14ac:dyDescent="0.25">
      <c r="Y16007" s="63">
        <v>58540</v>
      </c>
      <c r="Z16007" s="61">
        <f>_xll.qlYieldTSDiscount($U$35,Y16007,,Trigger)</f>
        <v>0.42564922873078492</v>
      </c>
    </row>
    <row r="16008" spans="25:26" x14ac:dyDescent="0.25">
      <c r="Y16008" s="63">
        <v>58541</v>
      </c>
      <c r="Z16008" s="61">
        <f>_xll.qlYieldTSDiscount($U$35,Y16008,,Trigger)</f>
        <v>0.42562337366057879</v>
      </c>
    </row>
    <row r="16009" spans="25:26" x14ac:dyDescent="0.25">
      <c r="Y16009" s="63">
        <v>58542</v>
      </c>
      <c r="Z16009" s="61">
        <f>_xll.qlYieldTSDiscount($U$35,Y16009,,Trigger)</f>
        <v>0.42559752076355084</v>
      </c>
    </row>
    <row r="16010" spans="25:26" x14ac:dyDescent="0.25">
      <c r="Y16010" s="63">
        <v>58543</v>
      </c>
      <c r="Z16010" s="61">
        <f>_xll.qlYieldTSDiscount($U$35,Y16010,,Trigger)</f>
        <v>0.42557167003933499</v>
      </c>
    </row>
    <row r="16011" spans="25:26" x14ac:dyDescent="0.25">
      <c r="Y16011" s="63">
        <v>58544</v>
      </c>
      <c r="Z16011" s="61">
        <f>_xll.qlYieldTSDiscount($U$35,Y16011,,Trigger)</f>
        <v>0.42554582148756542</v>
      </c>
    </row>
    <row r="16012" spans="25:26" x14ac:dyDescent="0.25">
      <c r="Y16012" s="63">
        <v>58545</v>
      </c>
      <c r="Z16012" s="61">
        <f>_xll.qlYieldTSDiscount($U$35,Y16012,,Trigger)</f>
        <v>0.42551997510787604</v>
      </c>
    </row>
    <row r="16013" spans="25:26" x14ac:dyDescent="0.25">
      <c r="Y16013" s="63">
        <v>58546</v>
      </c>
      <c r="Z16013" s="61">
        <f>_xll.qlYieldTSDiscount($U$35,Y16013,,Trigger)</f>
        <v>0.42549413089990096</v>
      </c>
    </row>
    <row r="16014" spans="25:26" x14ac:dyDescent="0.25">
      <c r="Y16014" s="63">
        <v>58547</v>
      </c>
      <c r="Z16014" s="61">
        <f>_xll.qlYieldTSDiscount($U$35,Y16014,,Trigger)</f>
        <v>0.42546828886327415</v>
      </c>
    </row>
    <row r="16015" spans="25:26" x14ac:dyDescent="0.25">
      <c r="Y16015" s="63">
        <v>58548</v>
      </c>
      <c r="Z16015" s="61">
        <f>_xll.qlYieldTSDiscount($U$35,Y16015,,Trigger)</f>
        <v>0.42544244899762962</v>
      </c>
    </row>
    <row r="16016" spans="25:26" x14ac:dyDescent="0.25">
      <c r="Y16016" s="63">
        <v>58549</v>
      </c>
      <c r="Z16016" s="61">
        <f>_xll.qlYieldTSDiscount($U$35,Y16016,,Trigger)</f>
        <v>0.4254166113026015</v>
      </c>
    </row>
    <row r="16017" spans="25:26" x14ac:dyDescent="0.25">
      <c r="Y16017" s="63">
        <v>58550</v>
      </c>
      <c r="Z16017" s="61">
        <f>_xll.qlYieldTSDiscount($U$35,Y16017,,Trigger)</f>
        <v>0.42539077577782358</v>
      </c>
    </row>
    <row r="16018" spans="25:26" x14ac:dyDescent="0.25">
      <c r="Y16018" s="63">
        <v>58551</v>
      </c>
      <c r="Z16018" s="61">
        <f>_xll.qlYieldTSDiscount($U$35,Y16018,,Trigger)</f>
        <v>0.4253649424229301</v>
      </c>
    </row>
    <row r="16019" spans="25:26" x14ac:dyDescent="0.25">
      <c r="Y16019" s="63">
        <v>58552</v>
      </c>
      <c r="Z16019" s="61">
        <f>_xll.qlYieldTSDiscount($U$35,Y16019,,Trigger)</f>
        <v>0.42533911123755508</v>
      </c>
    </row>
    <row r="16020" spans="25:26" x14ac:dyDescent="0.25">
      <c r="Y16020" s="63">
        <v>58553</v>
      </c>
      <c r="Z16020" s="61">
        <f>_xll.qlYieldTSDiscount($U$35,Y16020,,Trigger)</f>
        <v>0.42531328222133236</v>
      </c>
    </row>
    <row r="16021" spans="25:26" x14ac:dyDescent="0.25">
      <c r="Y16021" s="63">
        <v>58554</v>
      </c>
      <c r="Z16021" s="61">
        <f>_xll.qlYieldTSDiscount($U$35,Y16021,,Trigger)</f>
        <v>0.42528745537389612</v>
      </c>
    </row>
    <row r="16022" spans="25:26" x14ac:dyDescent="0.25">
      <c r="Y16022" s="63">
        <v>58555</v>
      </c>
      <c r="Z16022" s="61">
        <f>_xll.qlYieldTSDiscount($U$35,Y16022,,Trigger)</f>
        <v>0.42526163069488032</v>
      </c>
    </row>
    <row r="16023" spans="25:26" x14ac:dyDescent="0.25">
      <c r="Y16023" s="63">
        <v>58556</v>
      </c>
      <c r="Z16023" s="61">
        <f>_xll.qlYieldTSDiscount($U$35,Y16023,,Trigger)</f>
        <v>0.42523580818391898</v>
      </c>
    </row>
    <row r="16024" spans="25:26" x14ac:dyDescent="0.25">
      <c r="Y16024" s="63">
        <v>58557</v>
      </c>
      <c r="Z16024" s="61">
        <f>_xll.qlYieldTSDiscount($U$35,Y16024,,Trigger)</f>
        <v>0.42520998784064612</v>
      </c>
    </row>
    <row r="16025" spans="25:26" x14ac:dyDescent="0.25">
      <c r="Y16025" s="63">
        <v>58558</v>
      </c>
      <c r="Z16025" s="61">
        <f>_xll.qlYieldTSDiscount($U$35,Y16025,,Trigger)</f>
        <v>0.42518416966469585</v>
      </c>
    </row>
    <row r="16026" spans="25:26" x14ac:dyDescent="0.25">
      <c r="Y16026" s="63">
        <v>58559</v>
      </c>
      <c r="Z16026" s="61">
        <f>_xll.qlYieldTSDiscount($U$35,Y16026,,Trigger)</f>
        <v>0.42515835365570209</v>
      </c>
    </row>
    <row r="16027" spans="25:26" x14ac:dyDescent="0.25">
      <c r="Y16027" s="63">
        <v>58560</v>
      </c>
      <c r="Z16027" s="61">
        <f>_xll.qlYieldTSDiscount($U$35,Y16027,,Trigger)</f>
        <v>0.42513253981329879</v>
      </c>
    </row>
    <row r="16028" spans="25:26" x14ac:dyDescent="0.25">
      <c r="Y16028" s="63">
        <v>58561</v>
      </c>
      <c r="Z16028" s="61">
        <f>_xll.qlYieldTSDiscount($U$35,Y16028,,Trigger)</f>
        <v>0.42510672813712014</v>
      </c>
    </row>
    <row r="16029" spans="25:26" x14ac:dyDescent="0.25">
      <c r="Y16029" s="63">
        <v>58562</v>
      </c>
      <c r="Z16029" s="61">
        <f>_xll.qlYieldTSDiscount($U$35,Y16029,,Trigger)</f>
        <v>0.4250809186268002</v>
      </c>
    </row>
    <row r="16030" spans="25:26" x14ac:dyDescent="0.25">
      <c r="Y16030" s="63">
        <v>58563</v>
      </c>
      <c r="Z16030" s="61">
        <f>_xll.qlYieldTSDiscount($U$35,Y16030,,Trigger)</f>
        <v>0.42505511128197282</v>
      </c>
    </row>
    <row r="16031" spans="25:26" x14ac:dyDescent="0.25">
      <c r="Y16031" s="63">
        <v>58564</v>
      </c>
      <c r="Z16031" s="61">
        <f>_xll.qlYieldTSDiscount($U$35,Y16031,,Trigger)</f>
        <v>0.42502930610227202</v>
      </c>
    </row>
    <row r="16032" spans="25:26" x14ac:dyDescent="0.25">
      <c r="Y16032" s="63">
        <v>58565</v>
      </c>
      <c r="Z16032" s="61">
        <f>_xll.qlYieldTSDiscount($U$35,Y16032,,Trigger)</f>
        <v>0.42500350308733204</v>
      </c>
    </row>
    <row r="16033" spans="25:26" x14ac:dyDescent="0.25">
      <c r="Y16033" s="63">
        <v>58566</v>
      </c>
      <c r="Z16033" s="61">
        <f>_xll.qlYieldTSDiscount($U$35,Y16033,,Trigger)</f>
        <v>0.42497770223678655</v>
      </c>
    </row>
    <row r="16034" spans="25:26" x14ac:dyDescent="0.25">
      <c r="Y16034" s="63">
        <v>58567</v>
      </c>
      <c r="Z16034" s="61">
        <f>_xll.qlYieldTSDiscount($U$35,Y16034,,Trigger)</f>
        <v>0.4249519035502699</v>
      </c>
    </row>
    <row r="16035" spans="25:26" x14ac:dyDescent="0.25">
      <c r="Y16035" s="63">
        <v>58568</v>
      </c>
      <c r="Z16035" s="61">
        <f>_xll.qlYieldTSDiscount($U$35,Y16035,,Trigger)</f>
        <v>0.42492610702741601</v>
      </c>
    </row>
    <row r="16036" spans="25:26" x14ac:dyDescent="0.25">
      <c r="Y16036" s="63">
        <v>58569</v>
      </c>
      <c r="Z16036" s="61">
        <f>_xll.qlYieldTSDiscount($U$35,Y16036,,Trigger)</f>
        <v>0.42490031266785883</v>
      </c>
    </row>
    <row r="16037" spans="25:26" x14ac:dyDescent="0.25">
      <c r="Y16037" s="63">
        <v>58570</v>
      </c>
      <c r="Z16037" s="61">
        <f>_xll.qlYieldTSDiscount($U$35,Y16037,,Trigger)</f>
        <v>0.42487452047123242</v>
      </c>
    </row>
    <row r="16038" spans="25:26" x14ac:dyDescent="0.25">
      <c r="Y16038" s="63">
        <v>58571</v>
      </c>
      <c r="Z16038" s="61">
        <f>_xll.qlYieldTSDiscount($U$35,Y16038,,Trigger)</f>
        <v>0.42484873043717086</v>
      </c>
    </row>
    <row r="16039" spans="25:26" x14ac:dyDescent="0.25">
      <c r="Y16039" s="63">
        <v>58572</v>
      </c>
      <c r="Z16039" s="61">
        <f>_xll.qlYieldTSDiscount($U$35,Y16039,,Trigger)</f>
        <v>0.42482294256530806</v>
      </c>
    </row>
    <row r="16040" spans="25:26" x14ac:dyDescent="0.25">
      <c r="Y16040" s="63">
        <v>58573</v>
      </c>
      <c r="Z16040" s="61">
        <f>_xll.qlYieldTSDiscount($U$35,Y16040,,Trigger)</f>
        <v>0.42479715685527814</v>
      </c>
    </row>
    <row r="16041" spans="25:26" x14ac:dyDescent="0.25">
      <c r="Y16041" s="63">
        <v>58574</v>
      </c>
      <c r="Z16041" s="61">
        <f>_xll.qlYieldTSDiscount($U$35,Y16041,,Trigger)</f>
        <v>0.42477137330671511</v>
      </c>
    </row>
    <row r="16042" spans="25:26" x14ac:dyDescent="0.25">
      <c r="Y16042" s="63">
        <v>58575</v>
      </c>
      <c r="Z16042" s="61">
        <f>_xll.qlYieldTSDiscount($U$35,Y16042,,Trigger)</f>
        <v>0.42474559191925293</v>
      </c>
    </row>
    <row r="16043" spans="25:26" x14ac:dyDescent="0.25">
      <c r="Y16043" s="63">
        <v>58576</v>
      </c>
      <c r="Z16043" s="61">
        <f>_xll.qlYieldTSDiscount($U$35,Y16043,,Trigger)</f>
        <v>0.42471981269252568</v>
      </c>
    </row>
    <row r="16044" spans="25:26" x14ac:dyDescent="0.25">
      <c r="Y16044" s="63">
        <v>58577</v>
      </c>
      <c r="Z16044" s="61">
        <f>_xll.qlYieldTSDiscount($U$35,Y16044,,Trigger)</f>
        <v>0.42469403562616737</v>
      </c>
    </row>
    <row r="16045" spans="25:26" x14ac:dyDescent="0.25">
      <c r="Y16045" s="63">
        <v>58578</v>
      </c>
      <c r="Z16045" s="61">
        <f>_xll.qlYieldTSDiscount($U$35,Y16045,,Trigger)</f>
        <v>0.42466826071981201</v>
      </c>
    </row>
    <row r="16046" spans="25:26" x14ac:dyDescent="0.25">
      <c r="Y16046" s="63">
        <v>58579</v>
      </c>
      <c r="Z16046" s="61">
        <f>_xll.qlYieldTSDiscount($U$35,Y16046,,Trigger)</f>
        <v>0.42464248797309362</v>
      </c>
    </row>
    <row r="16047" spans="25:26" x14ac:dyDescent="0.25">
      <c r="Y16047" s="63">
        <v>58580</v>
      </c>
      <c r="Z16047" s="61">
        <f>_xll.qlYieldTSDiscount($U$35,Y16047,,Trigger)</f>
        <v>0.42461671738564621</v>
      </c>
    </row>
    <row r="16048" spans="25:26" x14ac:dyDescent="0.25">
      <c r="Y16048" s="63">
        <v>58581</v>
      </c>
      <c r="Z16048" s="61">
        <f>_xll.qlYieldTSDiscount($U$35,Y16048,,Trigger)</f>
        <v>0.42459094895710392</v>
      </c>
    </row>
    <row r="16049" spans="25:26" x14ac:dyDescent="0.25">
      <c r="Y16049" s="63">
        <v>58582</v>
      </c>
      <c r="Z16049" s="61">
        <f>_xll.qlYieldTSDiscount($U$35,Y16049,,Trigger)</f>
        <v>0.42456518268710053</v>
      </c>
    </row>
    <row r="16050" spans="25:26" x14ac:dyDescent="0.25">
      <c r="Y16050" s="63">
        <v>58583</v>
      </c>
      <c r="Z16050" s="61">
        <f>_xll.qlYieldTSDiscount($U$35,Y16050,,Trigger)</f>
        <v>0.42453941857527028</v>
      </c>
    </row>
    <row r="16051" spans="25:26" x14ac:dyDescent="0.25">
      <c r="Y16051" s="63">
        <v>58584</v>
      </c>
      <c r="Z16051" s="61">
        <f>_xll.qlYieldTSDiscount($U$35,Y16051,,Trigger)</f>
        <v>0.42451365662124718</v>
      </c>
    </row>
    <row r="16052" spans="25:26" x14ac:dyDescent="0.25">
      <c r="Y16052" s="63">
        <v>58585</v>
      </c>
      <c r="Z16052" s="61">
        <f>_xll.qlYieldTSDiscount($U$35,Y16052,,Trigger)</f>
        <v>0.42448789682466503</v>
      </c>
    </row>
    <row r="16053" spans="25:26" x14ac:dyDescent="0.25">
      <c r="Y16053" s="63">
        <v>58586</v>
      </c>
      <c r="Z16053" s="61">
        <f>_xll.qlYieldTSDiscount($U$35,Y16053,,Trigger)</f>
        <v>0.42446213918515807</v>
      </c>
    </row>
    <row r="16054" spans="25:26" x14ac:dyDescent="0.25">
      <c r="Y16054" s="63">
        <v>58587</v>
      </c>
      <c r="Z16054" s="61">
        <f>_xll.qlYieldTSDiscount($U$35,Y16054,,Trigger)</f>
        <v>0.42443638370236036</v>
      </c>
    </row>
    <row r="16055" spans="25:26" x14ac:dyDescent="0.25">
      <c r="Y16055" s="63">
        <v>58588</v>
      </c>
      <c r="Z16055" s="61">
        <f>_xll.qlYieldTSDiscount($U$35,Y16055,,Trigger)</f>
        <v>0.42441063037590576</v>
      </c>
    </row>
    <row r="16056" spans="25:26" x14ac:dyDescent="0.25">
      <c r="Y16056" s="63">
        <v>58589</v>
      </c>
      <c r="Z16056" s="61">
        <f>_xll.qlYieldTSDiscount($U$35,Y16056,,Trigger)</f>
        <v>0.42438487920542833</v>
      </c>
    </row>
    <row r="16057" spans="25:26" x14ac:dyDescent="0.25">
      <c r="Y16057" s="63">
        <v>58590</v>
      </c>
      <c r="Z16057" s="61">
        <f>_xll.qlYieldTSDiscount($U$35,Y16057,,Trigger)</f>
        <v>0.42435913019056215</v>
      </c>
    </row>
    <row r="16058" spans="25:26" x14ac:dyDescent="0.25">
      <c r="Y16058" s="63">
        <v>58591</v>
      </c>
      <c r="Z16058" s="61">
        <f>_xll.qlYieldTSDiscount($U$35,Y16058,,Trigger)</f>
        <v>0.42433338333094117</v>
      </c>
    </row>
    <row r="16059" spans="25:26" x14ac:dyDescent="0.25">
      <c r="Y16059" s="63">
        <v>58592</v>
      </c>
      <c r="Z16059" s="61">
        <f>_xll.qlYieldTSDiscount($U$35,Y16059,,Trigger)</f>
        <v>0.42430763862619947</v>
      </c>
    </row>
    <row r="16060" spans="25:26" x14ac:dyDescent="0.25">
      <c r="Y16060" s="63">
        <v>58593</v>
      </c>
      <c r="Z16060" s="61">
        <f>_xll.qlYieldTSDiscount($U$35,Y16060,,Trigger)</f>
        <v>0.42428189607597105</v>
      </c>
    </row>
    <row r="16061" spans="25:26" x14ac:dyDescent="0.25">
      <c r="Y16061" s="63">
        <v>58594</v>
      </c>
      <c r="Z16061" s="61">
        <f>_xll.qlYieldTSDiscount($U$35,Y16061,,Trigger)</f>
        <v>0.42425615567989</v>
      </c>
    </row>
    <row r="16062" spans="25:26" x14ac:dyDescent="0.25">
      <c r="Y16062" s="63">
        <v>58595</v>
      </c>
      <c r="Z16062" s="61">
        <f>_xll.qlYieldTSDiscount($U$35,Y16062,,Trigger)</f>
        <v>0.42423041743759021</v>
      </c>
    </row>
    <row r="16063" spans="25:26" x14ac:dyDescent="0.25">
      <c r="Y16063" s="63">
        <v>58596</v>
      </c>
      <c r="Z16063" s="61">
        <f>_xll.qlYieldTSDiscount($U$35,Y16063,,Trigger)</f>
        <v>0.42420468134870581</v>
      </c>
    </row>
    <row r="16064" spans="25:26" x14ac:dyDescent="0.25">
      <c r="Y16064" s="63">
        <v>58597</v>
      </c>
      <c r="Z16064" s="61">
        <f>_xll.qlYieldTSDiscount($U$35,Y16064,,Trigger)</f>
        <v>0.42417894741287077</v>
      </c>
    </row>
    <row r="16065" spans="25:26" x14ac:dyDescent="0.25">
      <c r="Y16065" s="63">
        <v>58598</v>
      </c>
      <c r="Z16065" s="61">
        <f>_xll.qlYieldTSDiscount($U$35,Y16065,,Trigger)</f>
        <v>0.42415321562971908</v>
      </c>
    </row>
    <row r="16066" spans="25:26" x14ac:dyDescent="0.25">
      <c r="Y16066" s="63">
        <v>58599</v>
      </c>
      <c r="Z16066" s="61">
        <f>_xll.qlYieldTSDiscount($U$35,Y16066,,Trigger)</f>
        <v>0.42412748599888483</v>
      </c>
    </row>
    <row r="16067" spans="25:26" x14ac:dyDescent="0.25">
      <c r="Y16067" s="63">
        <v>58600</v>
      </c>
      <c r="Z16067" s="61">
        <f>_xll.qlYieldTSDiscount($U$35,Y16067,,Trigger)</f>
        <v>0.42410175852000204</v>
      </c>
    </row>
    <row r="16068" spans="25:26" x14ac:dyDescent="0.25">
      <c r="Y16068" s="63">
        <v>58601</v>
      </c>
      <c r="Z16068" s="61">
        <f>_xll.qlYieldTSDiscount($U$35,Y16068,,Trigger)</f>
        <v>0.42407603319270465</v>
      </c>
    </row>
    <row r="16069" spans="25:26" x14ac:dyDescent="0.25">
      <c r="Y16069" s="63">
        <v>58602</v>
      </c>
      <c r="Z16069" s="61">
        <f>_xll.qlYieldTSDiscount($U$35,Y16069,,Trigger)</f>
        <v>0.42405031001662674</v>
      </c>
    </row>
    <row r="16070" spans="25:26" x14ac:dyDescent="0.25">
      <c r="Y16070" s="63">
        <v>58603</v>
      </c>
      <c r="Z16070" s="61">
        <f>_xll.qlYieldTSDiscount($U$35,Y16070,,Trigger)</f>
        <v>0.42402458899140244</v>
      </c>
    </row>
    <row r="16071" spans="25:26" x14ac:dyDescent="0.25">
      <c r="Y16071" s="63">
        <v>58604</v>
      </c>
      <c r="Z16071" s="61">
        <f>_xll.qlYieldTSDiscount($U$35,Y16071,,Trigger)</f>
        <v>0.42399887011666559</v>
      </c>
    </row>
    <row r="16072" spans="25:26" x14ac:dyDescent="0.25">
      <c r="Y16072" s="63">
        <v>58605</v>
      </c>
      <c r="Z16072" s="61">
        <f>_xll.qlYieldTSDiscount($U$35,Y16072,,Trigger)</f>
        <v>0.42397315339205027</v>
      </c>
    </row>
    <row r="16073" spans="25:26" x14ac:dyDescent="0.25">
      <c r="Y16073" s="63">
        <v>58606</v>
      </c>
      <c r="Z16073" s="61">
        <f>_xll.qlYieldTSDiscount($U$35,Y16073,,Trigger)</f>
        <v>0.42394743881719049</v>
      </c>
    </row>
    <row r="16074" spans="25:26" x14ac:dyDescent="0.25">
      <c r="Y16074" s="63">
        <v>58607</v>
      </c>
      <c r="Z16074" s="61">
        <f>_xll.qlYieldTSDiscount($U$35,Y16074,,Trigger)</f>
        <v>0.42392172639172043</v>
      </c>
    </row>
    <row r="16075" spans="25:26" x14ac:dyDescent="0.25">
      <c r="Y16075" s="63">
        <v>58608</v>
      </c>
      <c r="Z16075" s="61">
        <f>_xll.qlYieldTSDiscount($U$35,Y16075,,Trigger)</f>
        <v>0.42389601611527383</v>
      </c>
    </row>
    <row r="16076" spans="25:26" x14ac:dyDescent="0.25">
      <c r="Y16076" s="63">
        <v>58609</v>
      </c>
      <c r="Z16076" s="61">
        <f>_xll.qlYieldTSDiscount($U$35,Y16076,,Trigger)</f>
        <v>0.42387030798748493</v>
      </c>
    </row>
    <row r="16077" spans="25:26" x14ac:dyDescent="0.25">
      <c r="Y16077" s="63">
        <v>58610</v>
      </c>
      <c r="Z16077" s="61">
        <f>_xll.qlYieldTSDiscount($U$35,Y16077,,Trigger)</f>
        <v>0.42384460200798774</v>
      </c>
    </row>
    <row r="16078" spans="25:26" x14ac:dyDescent="0.25">
      <c r="Y16078" s="63">
        <v>58611</v>
      </c>
      <c r="Z16078" s="61">
        <f>_xll.qlYieldTSDiscount($U$35,Y16078,,Trigger)</f>
        <v>0.42381889817641616</v>
      </c>
    </row>
    <row r="16079" spans="25:26" x14ac:dyDescent="0.25">
      <c r="Y16079" s="63">
        <v>58612</v>
      </c>
      <c r="Z16079" s="61">
        <f>_xll.qlYieldTSDiscount($U$35,Y16079,,Trigger)</f>
        <v>0.42379319649240427</v>
      </c>
    </row>
    <row r="16080" spans="25:26" x14ac:dyDescent="0.25">
      <c r="Y16080" s="63">
        <v>58613</v>
      </c>
      <c r="Z16080" s="61">
        <f>_xll.qlYieldTSDiscount($U$35,Y16080,,Trigger)</f>
        <v>0.42376749695558613</v>
      </c>
    </row>
    <row r="16081" spans="25:26" x14ac:dyDescent="0.25">
      <c r="Y16081" s="63">
        <v>58614</v>
      </c>
      <c r="Z16081" s="61">
        <f>_xll.qlYieldTSDiscount($U$35,Y16081,,Trigger)</f>
        <v>0.42374179956559577</v>
      </c>
    </row>
    <row r="16082" spans="25:26" x14ac:dyDescent="0.25">
      <c r="Y16082" s="63">
        <v>58615</v>
      </c>
      <c r="Z16082" s="61">
        <f>_xll.qlYieldTSDiscount($U$35,Y16082,,Trigger)</f>
        <v>0.42371610432206708</v>
      </c>
    </row>
    <row r="16083" spans="25:26" x14ac:dyDescent="0.25">
      <c r="Y16083" s="63">
        <v>58616</v>
      </c>
      <c r="Z16083" s="61">
        <f>_xll.qlYieldTSDiscount($U$35,Y16083,,Trigger)</f>
        <v>0.42369041122463424</v>
      </c>
    </row>
    <row r="16084" spans="25:26" x14ac:dyDescent="0.25">
      <c r="Y16084" s="63">
        <v>58617</v>
      </c>
      <c r="Z16084" s="61">
        <f>_xll.qlYieldTSDiscount($U$35,Y16084,,Trigger)</f>
        <v>0.42366472027293117</v>
      </c>
    </row>
    <row r="16085" spans="25:26" x14ac:dyDescent="0.25">
      <c r="Y16085" s="63">
        <v>58618</v>
      </c>
      <c r="Z16085" s="61">
        <f>_xll.qlYieldTSDiscount($U$35,Y16085,,Trigger)</f>
        <v>0.42363903146659199</v>
      </c>
    </row>
    <row r="16086" spans="25:26" x14ac:dyDescent="0.25">
      <c r="Y16086" s="63">
        <v>58619</v>
      </c>
      <c r="Z16086" s="61">
        <f>_xll.qlYieldTSDiscount($U$35,Y16086,,Trigger)</f>
        <v>0.42361334480525059</v>
      </c>
    </row>
    <row r="16087" spans="25:26" x14ac:dyDescent="0.25">
      <c r="Y16087" s="63">
        <v>58620</v>
      </c>
      <c r="Z16087" s="61">
        <f>_xll.qlYieldTSDiscount($U$35,Y16087,,Trigger)</f>
        <v>0.42358766028854111</v>
      </c>
    </row>
    <row r="16088" spans="25:26" x14ac:dyDescent="0.25">
      <c r="Y16088" s="63">
        <v>58621</v>
      </c>
      <c r="Z16088" s="61">
        <f>_xll.qlYieldTSDiscount($U$35,Y16088,,Trigger)</f>
        <v>0.42356197791609751</v>
      </c>
    </row>
    <row r="16089" spans="25:26" x14ac:dyDescent="0.25">
      <c r="Y16089" s="63">
        <v>58622</v>
      </c>
      <c r="Z16089" s="61">
        <f>_xll.qlYieldTSDiscount($U$35,Y16089,,Trigger)</f>
        <v>0.4235362976875538</v>
      </c>
    </row>
    <row r="16090" spans="25:26" x14ac:dyDescent="0.25">
      <c r="Y16090" s="63">
        <v>58623</v>
      </c>
      <c r="Z16090" s="61">
        <f>_xll.qlYieldTSDiscount($U$35,Y16090,,Trigger)</f>
        <v>0.4235106196025441</v>
      </c>
    </row>
    <row r="16091" spans="25:26" x14ac:dyDescent="0.25">
      <c r="Y16091" s="63">
        <v>58624</v>
      </c>
      <c r="Z16091" s="61">
        <f>_xll.qlYieldTSDiscount($U$35,Y16091,,Trigger)</f>
        <v>0.42348494366070233</v>
      </c>
    </row>
    <row r="16092" spans="25:26" x14ac:dyDescent="0.25">
      <c r="Y16092" s="63">
        <v>58625</v>
      </c>
      <c r="Z16092" s="61">
        <f>_xll.qlYieldTSDiscount($U$35,Y16092,,Trigger)</f>
        <v>0.42345926986166249</v>
      </c>
    </row>
    <row r="16093" spans="25:26" x14ac:dyDescent="0.25">
      <c r="Y16093" s="63">
        <v>58626</v>
      </c>
      <c r="Z16093" s="61">
        <f>_xll.qlYieldTSDiscount($U$35,Y16093,,Trigger)</f>
        <v>0.42343359820505877</v>
      </c>
    </row>
    <row r="16094" spans="25:26" x14ac:dyDescent="0.25">
      <c r="Y16094" s="63">
        <v>58627</v>
      </c>
      <c r="Z16094" s="61">
        <f>_xll.qlYieldTSDiscount($U$35,Y16094,,Trigger)</f>
        <v>0.42340792869052496</v>
      </c>
    </row>
    <row r="16095" spans="25:26" x14ac:dyDescent="0.25">
      <c r="Y16095" s="63">
        <v>58628</v>
      </c>
      <c r="Z16095" s="61">
        <f>_xll.qlYieldTSDiscount($U$35,Y16095,,Trigger)</f>
        <v>0.42338226131769519</v>
      </c>
    </row>
    <row r="16096" spans="25:26" x14ac:dyDescent="0.25">
      <c r="Y16096" s="63">
        <v>58629</v>
      </c>
      <c r="Z16096" s="61">
        <f>_xll.qlYieldTSDiscount($U$35,Y16096,,Trigger)</f>
        <v>0.42335659608620357</v>
      </c>
    </row>
    <row r="16097" spans="25:26" x14ac:dyDescent="0.25">
      <c r="Y16097" s="63">
        <v>58630</v>
      </c>
      <c r="Z16097" s="61">
        <f>_xll.qlYieldTSDiscount($U$35,Y16097,,Trigger)</f>
        <v>0.42333093299568403</v>
      </c>
    </row>
    <row r="16098" spans="25:26" x14ac:dyDescent="0.25">
      <c r="Y16098" s="63">
        <v>58631</v>
      </c>
      <c r="Z16098" s="61">
        <f>_xll.qlYieldTSDiscount($U$35,Y16098,,Trigger)</f>
        <v>0.42330527204577062</v>
      </c>
    </row>
    <row r="16099" spans="25:26" x14ac:dyDescent="0.25">
      <c r="Y16099" s="63">
        <v>58632</v>
      </c>
      <c r="Z16099" s="61">
        <f>_xll.qlYieldTSDiscount($U$35,Y16099,,Trigger)</f>
        <v>0.42327961323609731</v>
      </c>
    </row>
    <row r="16100" spans="25:26" x14ac:dyDescent="0.25">
      <c r="Y16100" s="63">
        <v>58633</v>
      </c>
      <c r="Z16100" s="61">
        <f>_xll.qlYieldTSDiscount($U$35,Y16100,,Trigger)</f>
        <v>0.42325395656629816</v>
      </c>
    </row>
    <row r="16101" spans="25:26" x14ac:dyDescent="0.25">
      <c r="Y16101" s="63">
        <v>58634</v>
      </c>
      <c r="Z16101" s="61">
        <f>_xll.qlYieldTSDiscount($U$35,Y16101,,Trigger)</f>
        <v>0.42322830203600714</v>
      </c>
    </row>
    <row r="16102" spans="25:26" x14ac:dyDescent="0.25">
      <c r="Y16102" s="63">
        <v>58635</v>
      </c>
      <c r="Z16102" s="61">
        <f>_xll.qlYieldTSDiscount($U$35,Y16102,,Trigger)</f>
        <v>0.42320264964485838</v>
      </c>
    </row>
    <row r="16103" spans="25:26" x14ac:dyDescent="0.25">
      <c r="Y16103" s="63">
        <v>58636</v>
      </c>
      <c r="Z16103" s="61">
        <f>_xll.qlYieldTSDiscount($U$35,Y16103,,Trigger)</f>
        <v>0.42317699939248588</v>
      </c>
    </row>
    <row r="16104" spans="25:26" x14ac:dyDescent="0.25">
      <c r="Y16104" s="63">
        <v>58637</v>
      </c>
      <c r="Z16104" s="61">
        <f>_xll.qlYieldTSDiscount($U$35,Y16104,,Trigger)</f>
        <v>0.4231513512785236</v>
      </c>
    </row>
    <row r="16105" spans="25:26" x14ac:dyDescent="0.25">
      <c r="Y16105" s="63">
        <v>58638</v>
      </c>
      <c r="Z16105" s="61">
        <f>_xll.qlYieldTSDiscount($U$35,Y16105,,Trigger)</f>
        <v>0.42312570530260551</v>
      </c>
    </row>
    <row r="16106" spans="25:26" x14ac:dyDescent="0.25">
      <c r="Y16106" s="63">
        <v>58639</v>
      </c>
      <c r="Z16106" s="61">
        <f>_xll.qlYieldTSDiscount($U$35,Y16106,,Trigger)</f>
        <v>0.42310006146436585</v>
      </c>
    </row>
    <row r="16107" spans="25:26" x14ac:dyDescent="0.25">
      <c r="Y16107" s="63">
        <v>58640</v>
      </c>
      <c r="Z16107" s="61">
        <f>_xll.qlYieldTSDiscount($U$35,Y16107,,Trigger)</f>
        <v>0.4230744197634384</v>
      </c>
    </row>
    <row r="16108" spans="25:26" x14ac:dyDescent="0.25">
      <c r="Y16108" s="63">
        <v>58641</v>
      </c>
      <c r="Z16108" s="61">
        <f>_xll.qlYieldTSDiscount($U$35,Y16108,,Trigger)</f>
        <v>0.42304878019945724</v>
      </c>
    </row>
    <row r="16109" spans="25:26" x14ac:dyDescent="0.25">
      <c r="Y16109" s="63">
        <v>58642</v>
      </c>
      <c r="Z16109" s="61">
        <f>_xll.qlYieldTSDiscount($U$35,Y16109,,Trigger)</f>
        <v>0.42302314277205655</v>
      </c>
    </row>
    <row r="16110" spans="25:26" x14ac:dyDescent="0.25">
      <c r="Y16110" s="63">
        <v>58643</v>
      </c>
      <c r="Z16110" s="61">
        <f>_xll.qlYieldTSDiscount($U$35,Y16110,,Trigger)</f>
        <v>0.42299750748087017</v>
      </c>
    </row>
    <row r="16111" spans="25:26" x14ac:dyDescent="0.25">
      <c r="Y16111" s="63">
        <v>58644</v>
      </c>
      <c r="Z16111" s="61">
        <f>_xll.qlYieldTSDiscount($U$35,Y16111,,Trigger)</f>
        <v>0.42297187432553218</v>
      </c>
    </row>
    <row r="16112" spans="25:26" x14ac:dyDescent="0.25">
      <c r="Y16112" s="63">
        <v>58645</v>
      </c>
      <c r="Z16112" s="61">
        <f>_xll.qlYieldTSDiscount($U$35,Y16112,,Trigger)</f>
        <v>0.42294624330567671</v>
      </c>
    </row>
    <row r="16113" spans="25:26" x14ac:dyDescent="0.25">
      <c r="Y16113" s="63">
        <v>58646</v>
      </c>
      <c r="Z16113" s="61">
        <f>_xll.qlYieldTSDiscount($U$35,Y16113,,Trigger)</f>
        <v>0.42292061442093759</v>
      </c>
    </row>
    <row r="16114" spans="25:26" x14ac:dyDescent="0.25">
      <c r="Y16114" s="63">
        <v>58647</v>
      </c>
      <c r="Z16114" s="61">
        <f>_xll.qlYieldTSDiscount($U$35,Y16114,,Trigger)</f>
        <v>0.42289498767094896</v>
      </c>
    </row>
    <row r="16115" spans="25:26" x14ac:dyDescent="0.25">
      <c r="Y16115" s="63">
        <v>58648</v>
      </c>
      <c r="Z16115" s="61">
        <f>_xll.qlYieldTSDiscount($U$35,Y16115,,Trigger)</f>
        <v>0.42286936305534484</v>
      </c>
    </row>
    <row r="16116" spans="25:26" x14ac:dyDescent="0.25">
      <c r="Y16116" s="63">
        <v>58649</v>
      </c>
      <c r="Z16116" s="61">
        <f>_xll.qlYieldTSDiscount($U$35,Y16116,,Trigger)</f>
        <v>0.42284374057375917</v>
      </c>
    </row>
    <row r="16117" spans="25:26" x14ac:dyDescent="0.25">
      <c r="Y16117" s="63">
        <v>58650</v>
      </c>
      <c r="Z16117" s="61">
        <f>_xll.qlYieldTSDiscount($U$35,Y16117,,Trigger)</f>
        <v>0.42281812022582599</v>
      </c>
    </row>
    <row r="16118" spans="25:26" x14ac:dyDescent="0.25">
      <c r="Y16118" s="63">
        <v>58651</v>
      </c>
      <c r="Z16118" s="61">
        <f>_xll.qlYieldTSDiscount($U$35,Y16118,,Trigger)</f>
        <v>0.42279250201117946</v>
      </c>
    </row>
    <row r="16119" spans="25:26" x14ac:dyDescent="0.25">
      <c r="Y16119" s="63">
        <v>58652</v>
      </c>
      <c r="Z16119" s="61">
        <f>_xll.qlYieldTSDiscount($U$35,Y16119,,Trigger)</f>
        <v>0.42276688592945355</v>
      </c>
    </row>
    <row r="16120" spans="25:26" x14ac:dyDescent="0.25">
      <c r="Y16120" s="63">
        <v>58653</v>
      </c>
      <c r="Z16120" s="61">
        <f>_xll.qlYieldTSDiscount($U$35,Y16120,,Trigger)</f>
        <v>0.42274127198028211</v>
      </c>
    </row>
    <row r="16121" spans="25:26" x14ac:dyDescent="0.25">
      <c r="Y16121" s="63">
        <v>58654</v>
      </c>
      <c r="Z16121" s="61">
        <f>_xll.qlYieldTSDiscount($U$35,Y16121,,Trigger)</f>
        <v>0.42271566016329931</v>
      </c>
    </row>
    <row r="16122" spans="25:26" x14ac:dyDescent="0.25">
      <c r="Y16122" s="63">
        <v>58655</v>
      </c>
      <c r="Z16122" s="61">
        <f>_xll.qlYieldTSDiscount($U$35,Y16122,,Trigger)</f>
        <v>0.42269005047813923</v>
      </c>
    </row>
    <row r="16123" spans="25:26" x14ac:dyDescent="0.25">
      <c r="Y16123" s="63">
        <v>58656</v>
      </c>
      <c r="Z16123" s="61">
        <f>_xll.qlYieldTSDiscount($U$35,Y16123,,Trigger)</f>
        <v>0.42266444292443572</v>
      </c>
    </row>
    <row r="16124" spans="25:26" x14ac:dyDescent="0.25">
      <c r="Y16124" s="63">
        <v>58657</v>
      </c>
      <c r="Z16124" s="61">
        <f>_xll.qlYieldTSDiscount($U$35,Y16124,,Trigger)</f>
        <v>0.42263883750182285</v>
      </c>
    </row>
    <row r="16125" spans="25:26" x14ac:dyDescent="0.25">
      <c r="Y16125" s="63">
        <v>58658</v>
      </c>
      <c r="Z16125" s="61">
        <f>_xll.qlYieldTSDiscount($U$35,Y16125,,Trigger)</f>
        <v>0.42261323420993485</v>
      </c>
    </row>
    <row r="16126" spans="25:26" x14ac:dyDescent="0.25">
      <c r="Y16126" s="63">
        <v>58659</v>
      </c>
      <c r="Z16126" s="61">
        <f>_xll.qlYieldTSDiscount($U$35,Y16126,,Trigger)</f>
        <v>0.42258763304840546</v>
      </c>
    </row>
    <row r="16127" spans="25:26" x14ac:dyDescent="0.25">
      <c r="Y16127" s="63">
        <v>58660</v>
      </c>
      <c r="Z16127" s="61">
        <f>_xll.qlYieldTSDiscount($U$35,Y16127,,Trigger)</f>
        <v>0.42256203401686881</v>
      </c>
    </row>
    <row r="16128" spans="25:26" x14ac:dyDescent="0.25">
      <c r="Y16128" s="63">
        <v>58661</v>
      </c>
      <c r="Z16128" s="61">
        <f>_xll.qlYieldTSDiscount($U$35,Y16128,,Trigger)</f>
        <v>0.42253643711495903</v>
      </c>
    </row>
    <row r="16129" spans="25:26" x14ac:dyDescent="0.25">
      <c r="Y16129" s="63">
        <v>58662</v>
      </c>
      <c r="Z16129" s="61">
        <f>_xll.qlYieldTSDiscount($U$35,Y16129,,Trigger)</f>
        <v>0.42251084234230996</v>
      </c>
    </row>
    <row r="16130" spans="25:26" x14ac:dyDescent="0.25">
      <c r="Y16130" s="63">
        <v>58663</v>
      </c>
      <c r="Z16130" s="61">
        <f>_xll.qlYieldTSDiscount($U$35,Y16130,,Trigger)</f>
        <v>0.42248524969855572</v>
      </c>
    </row>
    <row r="16131" spans="25:26" x14ac:dyDescent="0.25">
      <c r="Y16131" s="63">
        <v>58664</v>
      </c>
      <c r="Z16131" s="61">
        <f>_xll.qlYieldTSDiscount($U$35,Y16131,,Trigger)</f>
        <v>0.42245965918333034</v>
      </c>
    </row>
    <row r="16132" spans="25:26" x14ac:dyDescent="0.25">
      <c r="Y16132" s="63">
        <v>58665</v>
      </c>
      <c r="Z16132" s="61">
        <f>_xll.qlYieldTSDiscount($U$35,Y16132,,Trigger)</f>
        <v>0.42243407079626777</v>
      </c>
    </row>
    <row r="16133" spans="25:26" x14ac:dyDescent="0.25">
      <c r="Y16133" s="63">
        <v>58666</v>
      </c>
      <c r="Z16133" s="61">
        <f>_xll.qlYieldTSDiscount($U$35,Y16133,,Trigger)</f>
        <v>0.42240848453700208</v>
      </c>
    </row>
    <row r="16134" spans="25:26" x14ac:dyDescent="0.25">
      <c r="Y16134" s="63">
        <v>58667</v>
      </c>
      <c r="Z16134" s="61">
        <f>_xll.qlYieldTSDiscount($U$35,Y16134,,Trigger)</f>
        <v>0.42238290040516729</v>
      </c>
    </row>
    <row r="16135" spans="25:26" x14ac:dyDescent="0.25">
      <c r="Y16135" s="63">
        <v>58668</v>
      </c>
      <c r="Z16135" s="61">
        <f>_xll.qlYieldTSDiscount($U$35,Y16135,,Trigger)</f>
        <v>0.42235731840039747</v>
      </c>
    </row>
    <row r="16136" spans="25:26" x14ac:dyDescent="0.25">
      <c r="Y16136" s="63">
        <v>58669</v>
      </c>
      <c r="Z16136" s="61">
        <f>_xll.qlYieldTSDiscount($U$35,Y16136,,Trigger)</f>
        <v>0.42233173852232653</v>
      </c>
    </row>
    <row r="16137" spans="25:26" x14ac:dyDescent="0.25">
      <c r="Y16137" s="63">
        <v>58670</v>
      </c>
      <c r="Z16137" s="61">
        <f>_xll.qlYieldTSDiscount($U$35,Y16137,,Trigger)</f>
        <v>0.42230616077058858</v>
      </c>
    </row>
    <row r="16138" spans="25:26" x14ac:dyDescent="0.25">
      <c r="Y16138" s="63">
        <v>58671</v>
      </c>
      <c r="Z16138" s="61">
        <f>_xll.qlYieldTSDiscount($U$35,Y16138,,Trigger)</f>
        <v>0.4222805851448177</v>
      </c>
    </row>
    <row r="16139" spans="25:26" x14ac:dyDescent="0.25">
      <c r="Y16139" s="63">
        <v>58672</v>
      </c>
      <c r="Z16139" s="61">
        <f>_xll.qlYieldTSDiscount($U$35,Y16139,,Trigger)</f>
        <v>0.42225501164464774</v>
      </c>
    </row>
    <row r="16140" spans="25:26" x14ac:dyDescent="0.25">
      <c r="Y16140" s="63">
        <v>58673</v>
      </c>
      <c r="Z16140" s="61">
        <f>_xll.qlYieldTSDiscount($U$35,Y16140,,Trigger)</f>
        <v>0.42222944026971287</v>
      </c>
    </row>
    <row r="16141" spans="25:26" x14ac:dyDescent="0.25">
      <c r="Y16141" s="63">
        <v>58674</v>
      </c>
      <c r="Z16141" s="61">
        <f>_xll.qlYieldTSDiscount($U$35,Y16141,,Trigger)</f>
        <v>0.42220387101964707</v>
      </c>
    </row>
    <row r="16142" spans="25:26" x14ac:dyDescent="0.25">
      <c r="Y16142" s="63">
        <v>58675</v>
      </c>
      <c r="Z16142" s="61">
        <f>_xll.qlYieldTSDiscount($U$35,Y16142,,Trigger)</f>
        <v>0.42217830389408428</v>
      </c>
    </row>
    <row r="16143" spans="25:26" x14ac:dyDescent="0.25">
      <c r="Y16143" s="63">
        <v>58676</v>
      </c>
      <c r="Z16143" s="61">
        <f>_xll.qlYieldTSDiscount($U$35,Y16143,,Trigger)</f>
        <v>0.42215273889265859</v>
      </c>
    </row>
    <row r="16144" spans="25:26" x14ac:dyDescent="0.25">
      <c r="Y16144" s="63">
        <v>58677</v>
      </c>
      <c r="Z16144" s="61">
        <f>_xll.qlYieldTSDiscount($U$35,Y16144,,Trigger)</f>
        <v>0.42212717601500405</v>
      </c>
    </row>
    <row r="16145" spans="25:26" x14ac:dyDescent="0.25">
      <c r="Y16145" s="63">
        <v>58678</v>
      </c>
      <c r="Z16145" s="61">
        <f>_xll.qlYieldTSDiscount($U$35,Y16145,,Trigger)</f>
        <v>0.42210161526075463</v>
      </c>
    </row>
    <row r="16146" spans="25:26" x14ac:dyDescent="0.25">
      <c r="Y16146" s="63">
        <v>58679</v>
      </c>
      <c r="Z16146" s="61">
        <f>_xll.qlYieldTSDiscount($U$35,Y16146,,Trigger)</f>
        <v>0.42207605662954439</v>
      </c>
    </row>
    <row r="16147" spans="25:26" x14ac:dyDescent="0.25">
      <c r="Y16147" s="63">
        <v>58680</v>
      </c>
      <c r="Z16147" s="61">
        <f>_xll.qlYieldTSDiscount($U$35,Y16147,,Trigger)</f>
        <v>0.42205050012100731</v>
      </c>
    </row>
    <row r="16148" spans="25:26" x14ac:dyDescent="0.25">
      <c r="Y16148" s="63">
        <v>58681</v>
      </c>
      <c r="Z16148" s="61">
        <f>_xll.qlYieldTSDiscount($U$35,Y16148,,Trigger)</f>
        <v>0.4220249457347775</v>
      </c>
    </row>
    <row r="16149" spans="25:26" x14ac:dyDescent="0.25">
      <c r="Y16149" s="63">
        <v>58682</v>
      </c>
      <c r="Z16149" s="61">
        <f>_xll.qlYieldTSDiscount($U$35,Y16149,,Trigger)</f>
        <v>0.42199939347048887</v>
      </c>
    </row>
    <row r="16150" spans="25:26" x14ac:dyDescent="0.25">
      <c r="Y16150" s="63">
        <v>58683</v>
      </c>
      <c r="Z16150" s="61">
        <f>_xll.qlYieldTSDiscount($U$35,Y16150,,Trigger)</f>
        <v>0.42197384332777543</v>
      </c>
    </row>
    <row r="16151" spans="25:26" x14ac:dyDescent="0.25">
      <c r="Y16151" s="63">
        <v>58684</v>
      </c>
      <c r="Z16151" s="61">
        <f>_xll.qlYieldTSDiscount($U$35,Y16151,,Trigger)</f>
        <v>0.42194829530627143</v>
      </c>
    </row>
    <row r="16152" spans="25:26" x14ac:dyDescent="0.25">
      <c r="Y16152" s="63">
        <v>58685</v>
      </c>
      <c r="Z16152" s="61">
        <f>_xll.qlYieldTSDiscount($U$35,Y16152,,Trigger)</f>
        <v>0.42192274940561059</v>
      </c>
    </row>
    <row r="16153" spans="25:26" x14ac:dyDescent="0.25">
      <c r="Y16153" s="63">
        <v>58686</v>
      </c>
      <c r="Z16153" s="61">
        <f>_xll.qlYieldTSDiscount($U$35,Y16153,,Trigger)</f>
        <v>0.4218972056254271</v>
      </c>
    </row>
    <row r="16154" spans="25:26" x14ac:dyDescent="0.25">
      <c r="Y16154" s="63">
        <v>58687</v>
      </c>
      <c r="Z16154" s="61">
        <f>_xll.qlYieldTSDiscount($U$35,Y16154,,Trigger)</f>
        <v>0.42187166396535497</v>
      </c>
    </row>
    <row r="16155" spans="25:26" x14ac:dyDescent="0.25">
      <c r="Y16155" s="63">
        <v>58688</v>
      </c>
      <c r="Z16155" s="61">
        <f>_xll.qlYieldTSDiscount($U$35,Y16155,,Trigger)</f>
        <v>0.42184612442502811</v>
      </c>
    </row>
    <row r="16156" spans="25:26" x14ac:dyDescent="0.25">
      <c r="Y16156" s="63">
        <v>58689</v>
      </c>
      <c r="Z16156" s="61">
        <f>_xll.qlYieldTSDiscount($U$35,Y16156,,Trigger)</f>
        <v>0.42182058700408076</v>
      </c>
    </row>
    <row r="16157" spans="25:26" x14ac:dyDescent="0.25">
      <c r="Y16157" s="63">
        <v>58690</v>
      </c>
      <c r="Z16157" s="61">
        <f>_xll.qlYieldTSDiscount($U$35,Y16157,,Trigger)</f>
        <v>0.42179505170214676</v>
      </c>
    </row>
    <row r="16158" spans="25:26" x14ac:dyDescent="0.25">
      <c r="Y16158" s="63">
        <v>58691</v>
      </c>
      <c r="Z16158" s="61">
        <f>_xll.qlYieldTSDiscount($U$35,Y16158,,Trigger)</f>
        <v>0.42176951851886019</v>
      </c>
    </row>
    <row r="16159" spans="25:26" x14ac:dyDescent="0.25">
      <c r="Y16159" s="63">
        <v>58692</v>
      </c>
      <c r="Z16159" s="61">
        <f>_xll.qlYieldTSDiscount($U$35,Y16159,,Trigger)</f>
        <v>0.42174398745385505</v>
      </c>
    </row>
    <row r="16160" spans="25:26" x14ac:dyDescent="0.25">
      <c r="Y16160" s="63">
        <v>58693</v>
      </c>
      <c r="Z16160" s="61">
        <f>_xll.qlYieldTSDiscount($U$35,Y16160,,Trigger)</f>
        <v>0.42171845850676543</v>
      </c>
    </row>
    <row r="16161" spans="25:26" x14ac:dyDescent="0.25">
      <c r="Y16161" s="63">
        <v>58694</v>
      </c>
      <c r="Z16161" s="61">
        <f>_xll.qlYieldTSDiscount($U$35,Y16161,,Trigger)</f>
        <v>0.42169293167722521</v>
      </c>
    </row>
    <row r="16162" spans="25:26" x14ac:dyDescent="0.25">
      <c r="Y16162" s="63">
        <v>58695</v>
      </c>
      <c r="Z16162" s="61">
        <f>_xll.qlYieldTSDiscount($U$35,Y16162,,Trigger)</f>
        <v>0.4216674069648686</v>
      </c>
    </row>
    <row r="16163" spans="25:26" x14ac:dyDescent="0.25">
      <c r="Y16163" s="63">
        <v>58696</v>
      </c>
      <c r="Z16163" s="61">
        <f>_xll.qlYieldTSDiscount($U$35,Y16163,,Trigger)</f>
        <v>0.42164188436932942</v>
      </c>
    </row>
    <row r="16164" spans="25:26" x14ac:dyDescent="0.25">
      <c r="Y16164" s="63">
        <v>58697</v>
      </c>
      <c r="Z16164" s="61">
        <f>_xll.qlYieldTSDiscount($U$35,Y16164,,Trigger)</f>
        <v>0.42161636389024193</v>
      </c>
    </row>
    <row r="16165" spans="25:26" x14ac:dyDescent="0.25">
      <c r="Y16165" s="63">
        <v>58698</v>
      </c>
      <c r="Z16165" s="61">
        <f>_xll.qlYieldTSDiscount($U$35,Y16165,,Trigger)</f>
        <v>0.42159084552723991</v>
      </c>
    </row>
    <row r="16166" spans="25:26" x14ac:dyDescent="0.25">
      <c r="Y16166" s="63">
        <v>58699</v>
      </c>
      <c r="Z16166" s="61">
        <f>_xll.qlYieldTSDiscount($U$35,Y16166,,Trigger)</f>
        <v>0.42156532927995749</v>
      </c>
    </row>
    <row r="16167" spans="25:26" x14ac:dyDescent="0.25">
      <c r="Y16167" s="63">
        <v>58700</v>
      </c>
      <c r="Z16167" s="61">
        <f>_xll.qlYieldTSDiscount($U$35,Y16167,,Trigger)</f>
        <v>0.4215398151480288</v>
      </c>
    </row>
    <row r="16168" spans="25:26" x14ac:dyDescent="0.25">
      <c r="Y16168" s="63">
        <v>58701</v>
      </c>
      <c r="Z16168" s="61">
        <f>_xll.qlYieldTSDiscount($U$35,Y16168,,Trigger)</f>
        <v>0.42151430313108762</v>
      </c>
    </row>
    <row r="16169" spans="25:26" x14ac:dyDescent="0.25">
      <c r="Y16169" s="63">
        <v>58702</v>
      </c>
      <c r="Z16169" s="61">
        <f>_xll.qlYieldTSDiscount($U$35,Y16169,,Trigger)</f>
        <v>0.4214887932287682</v>
      </c>
    </row>
    <row r="16170" spans="25:26" x14ac:dyDescent="0.25">
      <c r="Y16170" s="63">
        <v>58703</v>
      </c>
      <c r="Z16170" s="61">
        <f>_xll.qlYieldTSDiscount($U$35,Y16170,,Trigger)</f>
        <v>0.42146328544070449</v>
      </c>
    </row>
    <row r="16171" spans="25:26" x14ac:dyDescent="0.25">
      <c r="Y16171" s="63">
        <v>58704</v>
      </c>
      <c r="Z16171" s="61">
        <f>_xll.qlYieldTSDiscount($U$35,Y16171,,Trigger)</f>
        <v>0.42143777976653041</v>
      </c>
    </row>
    <row r="16172" spans="25:26" x14ac:dyDescent="0.25">
      <c r="Y16172" s="63">
        <v>58705</v>
      </c>
      <c r="Z16172" s="61">
        <f>_xll.qlYieldTSDiscount($U$35,Y16172,,Trigger)</f>
        <v>0.42141227620588007</v>
      </c>
    </row>
    <row r="16173" spans="25:26" x14ac:dyDescent="0.25">
      <c r="Y16173" s="63">
        <v>58706</v>
      </c>
      <c r="Z16173" s="61">
        <f>_xll.qlYieldTSDiscount($U$35,Y16173,,Trigger)</f>
        <v>0.42138677475838759</v>
      </c>
    </row>
    <row r="16174" spans="25:26" x14ac:dyDescent="0.25">
      <c r="Y16174" s="63">
        <v>58707</v>
      </c>
      <c r="Z16174" s="61">
        <f>_xll.qlYieldTSDiscount($U$35,Y16174,,Trigger)</f>
        <v>0.42136127542368673</v>
      </c>
    </row>
    <row r="16175" spans="25:26" x14ac:dyDescent="0.25">
      <c r="Y16175" s="63">
        <v>58708</v>
      </c>
      <c r="Z16175" s="61">
        <f>_xll.qlYieldTSDiscount($U$35,Y16175,,Trigger)</f>
        <v>0.42133577820141177</v>
      </c>
    </row>
    <row r="16176" spans="25:26" x14ac:dyDescent="0.25">
      <c r="Y16176" s="63">
        <v>58709</v>
      </c>
      <c r="Z16176" s="61">
        <f>_xll.qlYieldTSDiscount($U$35,Y16176,,Trigger)</f>
        <v>0.42131028309119667</v>
      </c>
    </row>
    <row r="16177" spans="25:26" x14ac:dyDescent="0.25">
      <c r="Y16177" s="63">
        <v>58710</v>
      </c>
      <c r="Z16177" s="61">
        <f>_xll.qlYieldTSDiscount($U$35,Y16177,,Trigger)</f>
        <v>0.42128479009267528</v>
      </c>
    </row>
    <row r="16178" spans="25:26" x14ac:dyDescent="0.25">
      <c r="Y16178" s="63">
        <v>58711</v>
      </c>
      <c r="Z16178" s="61">
        <f>_xll.qlYieldTSDiscount($U$35,Y16178,,Trigger)</f>
        <v>0.42125929920548183</v>
      </c>
    </row>
    <row r="16179" spans="25:26" x14ac:dyDescent="0.25">
      <c r="Y16179" s="63">
        <v>58712</v>
      </c>
      <c r="Z16179" s="61">
        <f>_xll.qlYieldTSDiscount($U$35,Y16179,,Trigger)</f>
        <v>0.42123381042925023</v>
      </c>
    </row>
    <row r="16180" spans="25:26" x14ac:dyDescent="0.25">
      <c r="Y16180" s="63">
        <v>58713</v>
      </c>
      <c r="Z16180" s="61">
        <f>_xll.qlYieldTSDiscount($U$35,Y16180,,Trigger)</f>
        <v>0.42120832376361461</v>
      </c>
    </row>
    <row r="16181" spans="25:26" x14ac:dyDescent="0.25">
      <c r="Y16181" s="63">
        <v>58714</v>
      </c>
      <c r="Z16181" s="61">
        <f>_xll.qlYieldTSDiscount($U$35,Y16181,,Trigger)</f>
        <v>0.42118283920820887</v>
      </c>
    </row>
    <row r="16182" spans="25:26" x14ac:dyDescent="0.25">
      <c r="Y16182" s="63">
        <v>58715</v>
      </c>
      <c r="Z16182" s="61">
        <f>_xll.qlYieldTSDiscount($U$35,Y16182,,Trigger)</f>
        <v>0.42115735676266702</v>
      </c>
    </row>
    <row r="16183" spans="25:26" x14ac:dyDescent="0.25">
      <c r="Y16183" s="63">
        <v>58716</v>
      </c>
      <c r="Z16183" s="61">
        <f>_xll.qlYieldTSDiscount($U$35,Y16183,,Trigger)</f>
        <v>0.42113187642662325</v>
      </c>
    </row>
    <row r="16184" spans="25:26" x14ac:dyDescent="0.25">
      <c r="Y16184" s="63">
        <v>58717</v>
      </c>
      <c r="Z16184" s="61">
        <f>_xll.qlYieldTSDiscount($U$35,Y16184,,Trigger)</f>
        <v>0.42110639819971141</v>
      </c>
    </row>
    <row r="16185" spans="25:26" x14ac:dyDescent="0.25">
      <c r="Y16185" s="63">
        <v>58718</v>
      </c>
      <c r="Z16185" s="61">
        <f>_xll.qlYieldTSDiscount($U$35,Y16185,,Trigger)</f>
        <v>0.42108092208156556</v>
      </c>
    </row>
    <row r="16186" spans="25:26" x14ac:dyDescent="0.25">
      <c r="Y16186" s="63">
        <v>58719</v>
      </c>
      <c r="Z16186" s="61">
        <f>_xll.qlYieldTSDiscount($U$35,Y16186,,Trigger)</f>
        <v>0.42105544807181983</v>
      </c>
    </row>
    <row r="16187" spans="25:26" x14ac:dyDescent="0.25">
      <c r="Y16187" s="63">
        <v>58720</v>
      </c>
      <c r="Z16187" s="61">
        <f>_xll.qlYieldTSDiscount($U$35,Y16187,,Trigger)</f>
        <v>0.42102997617010812</v>
      </c>
    </row>
    <row r="16188" spans="25:26" x14ac:dyDescent="0.25">
      <c r="Y16188" s="63">
        <v>58721</v>
      </c>
      <c r="Z16188" s="61">
        <f>_xll.qlYieldTSDiscount($U$35,Y16188,,Trigger)</f>
        <v>0.42100450637606446</v>
      </c>
    </row>
    <row r="16189" spans="25:26" x14ac:dyDescent="0.25">
      <c r="Y16189" s="63">
        <v>58722</v>
      </c>
      <c r="Z16189" s="61">
        <f>_xll.qlYieldTSDiscount($U$35,Y16189,,Trigger)</f>
        <v>0.42097903868932302</v>
      </c>
    </row>
    <row r="16190" spans="25:26" x14ac:dyDescent="0.25">
      <c r="Y16190" s="63">
        <v>58723</v>
      </c>
      <c r="Z16190" s="61">
        <f>_xll.qlYieldTSDiscount($U$35,Y16190,,Trigger)</f>
        <v>0.42095357310951759</v>
      </c>
    </row>
    <row r="16191" spans="25:26" x14ac:dyDescent="0.25">
      <c r="Y16191" s="63">
        <v>58724</v>
      </c>
      <c r="Z16191" s="61">
        <f>_xll.qlYieldTSDiscount($U$35,Y16191,,Trigger)</f>
        <v>0.42092810963628235</v>
      </c>
    </row>
    <row r="16192" spans="25:26" x14ac:dyDescent="0.25">
      <c r="Y16192" s="63">
        <v>58725</v>
      </c>
      <c r="Z16192" s="61">
        <f>_xll.qlYieldTSDiscount($U$35,Y16192,,Trigger)</f>
        <v>0.42090264826925122</v>
      </c>
    </row>
    <row r="16193" spans="25:26" x14ac:dyDescent="0.25">
      <c r="Y16193" s="63">
        <v>58726</v>
      </c>
      <c r="Z16193" s="61">
        <f>_xll.qlYieldTSDiscount($U$35,Y16193,,Trigger)</f>
        <v>0.42087718900805837</v>
      </c>
    </row>
    <row r="16194" spans="25:26" x14ac:dyDescent="0.25">
      <c r="Y16194" s="63">
        <v>58727</v>
      </c>
      <c r="Z16194" s="61">
        <f>_xll.qlYieldTSDiscount($U$35,Y16194,,Trigger)</f>
        <v>0.42085173185233771</v>
      </c>
    </row>
    <row r="16195" spans="25:26" x14ac:dyDescent="0.25">
      <c r="Y16195" s="63">
        <v>58728</v>
      </c>
      <c r="Z16195" s="61">
        <f>_xll.qlYieldTSDiscount($U$35,Y16195,,Trigger)</f>
        <v>0.42082627680172324</v>
      </c>
    </row>
    <row r="16196" spans="25:26" x14ac:dyDescent="0.25">
      <c r="Y16196" s="63">
        <v>58729</v>
      </c>
      <c r="Z16196" s="61">
        <f>_xll.qlYieldTSDiscount($U$35,Y16196,,Trigger)</f>
        <v>0.4208008238558491</v>
      </c>
    </row>
    <row r="16197" spans="25:26" x14ac:dyDescent="0.25">
      <c r="Y16197" s="63">
        <v>58730</v>
      </c>
      <c r="Z16197" s="61">
        <f>_xll.qlYieldTSDiscount($U$35,Y16197,,Trigger)</f>
        <v>0.42077537301434914</v>
      </c>
    </row>
    <row r="16198" spans="25:26" x14ac:dyDescent="0.25">
      <c r="Y16198" s="63">
        <v>58731</v>
      </c>
      <c r="Z16198" s="61">
        <f>_xll.qlYieldTSDiscount($U$35,Y16198,,Trigger)</f>
        <v>0.42074992427685753</v>
      </c>
    </row>
    <row r="16199" spans="25:26" x14ac:dyDescent="0.25">
      <c r="Y16199" s="63">
        <v>58732</v>
      </c>
      <c r="Z16199" s="61">
        <f>_xll.qlYieldTSDiscount($U$35,Y16199,,Trigger)</f>
        <v>0.4207244776430083</v>
      </c>
    </row>
    <row r="16200" spans="25:26" x14ac:dyDescent="0.25">
      <c r="Y16200" s="63">
        <v>58733</v>
      </c>
      <c r="Z16200" s="61">
        <f>_xll.qlYieldTSDiscount($U$35,Y16200,,Trigger)</f>
        <v>0.42069903311243534</v>
      </c>
    </row>
    <row r="16201" spans="25:26" x14ac:dyDescent="0.25">
      <c r="Y16201" s="63">
        <v>58734</v>
      </c>
      <c r="Z16201" s="61">
        <f>_xll.qlYieldTSDiscount($U$35,Y16201,,Trigger)</f>
        <v>0.42067359068477272</v>
      </c>
    </row>
    <row r="16202" spans="25:26" x14ac:dyDescent="0.25">
      <c r="Y16202" s="63">
        <v>58735</v>
      </c>
      <c r="Z16202" s="61">
        <f>_xll.qlYieldTSDiscount($U$35,Y16202,,Trigger)</f>
        <v>0.42064815035965464</v>
      </c>
    </row>
    <row r="16203" spans="25:26" x14ac:dyDescent="0.25">
      <c r="Y16203" s="63">
        <v>58736</v>
      </c>
      <c r="Z16203" s="61">
        <f>_xll.qlYieldTSDiscount($U$35,Y16203,,Trigger)</f>
        <v>0.42062271213671482</v>
      </c>
    </row>
    <row r="16204" spans="25:26" x14ac:dyDescent="0.25">
      <c r="Y16204" s="63">
        <v>58737</v>
      </c>
      <c r="Z16204" s="61">
        <f>_xll.qlYieldTSDiscount($U$35,Y16204,,Trigger)</f>
        <v>0.4205972760155875</v>
      </c>
    </row>
    <row r="16205" spans="25:26" x14ac:dyDescent="0.25">
      <c r="Y16205" s="63">
        <v>58738</v>
      </c>
      <c r="Z16205" s="61">
        <f>_xll.qlYieldTSDiscount($U$35,Y16205,,Trigger)</f>
        <v>0.42057184199590658</v>
      </c>
    </row>
    <row r="16206" spans="25:26" x14ac:dyDescent="0.25">
      <c r="Y16206" s="63">
        <v>58739</v>
      </c>
      <c r="Z16206" s="61">
        <f>_xll.qlYieldTSDiscount($U$35,Y16206,,Trigger)</f>
        <v>0.4205464100773062</v>
      </c>
    </row>
    <row r="16207" spans="25:26" x14ac:dyDescent="0.25">
      <c r="Y16207" s="63">
        <v>58740</v>
      </c>
      <c r="Z16207" s="61">
        <f>_xll.qlYieldTSDiscount($U$35,Y16207,,Trigger)</f>
        <v>0.42052098025942025</v>
      </c>
    </row>
    <row r="16208" spans="25:26" x14ac:dyDescent="0.25">
      <c r="Y16208" s="63">
        <v>58741</v>
      </c>
      <c r="Z16208" s="61">
        <f>_xll.qlYieldTSDiscount($U$35,Y16208,,Trigger)</f>
        <v>0.42049555254188287</v>
      </c>
    </row>
    <row r="16209" spans="25:26" x14ac:dyDescent="0.25">
      <c r="Y16209" s="63">
        <v>58742</v>
      </c>
      <c r="Z16209" s="61">
        <f>_xll.qlYieldTSDiscount($U$35,Y16209,,Trigger)</f>
        <v>0.42047012692432806</v>
      </c>
    </row>
    <row r="16210" spans="25:26" x14ac:dyDescent="0.25">
      <c r="Y16210" s="63">
        <v>58743</v>
      </c>
      <c r="Z16210" s="61">
        <f>_xll.qlYieldTSDiscount($U$35,Y16210,,Trigger)</f>
        <v>0.42044470340638973</v>
      </c>
    </row>
    <row r="16211" spans="25:26" x14ac:dyDescent="0.25">
      <c r="Y16211" s="63">
        <v>58744</v>
      </c>
      <c r="Z16211" s="61">
        <f>_xll.qlYieldTSDiscount($U$35,Y16211,,Trigger)</f>
        <v>0.42041928198770195</v>
      </c>
    </row>
    <row r="16212" spans="25:26" x14ac:dyDescent="0.25">
      <c r="Y16212" s="63">
        <v>58745</v>
      </c>
      <c r="Z16212" s="61">
        <f>_xll.qlYieldTSDiscount($U$35,Y16212,,Trigger)</f>
        <v>0.42039386266789891</v>
      </c>
    </row>
    <row r="16213" spans="25:26" x14ac:dyDescent="0.25">
      <c r="Y16213" s="63">
        <v>58746</v>
      </c>
      <c r="Z16213" s="61">
        <f>_xll.qlYieldTSDiscount($U$35,Y16213,,Trigger)</f>
        <v>0.42036844544661445</v>
      </c>
    </row>
    <row r="16214" spans="25:26" x14ac:dyDescent="0.25">
      <c r="Y16214" s="63">
        <v>58747</v>
      </c>
      <c r="Z16214" s="61">
        <f>_xll.qlYieldTSDiscount($U$35,Y16214,,Trigger)</f>
        <v>0.42034303032348264</v>
      </c>
    </row>
    <row r="16215" spans="25:26" x14ac:dyDescent="0.25">
      <c r="Y16215" s="63">
        <v>58748</v>
      </c>
      <c r="Z16215" s="61">
        <f>_xll.qlYieldTSDiscount($U$35,Y16215,,Trigger)</f>
        <v>0.42031761729813749</v>
      </c>
    </row>
    <row r="16216" spans="25:26" x14ac:dyDescent="0.25">
      <c r="Y16216" s="63">
        <v>58749</v>
      </c>
      <c r="Z16216" s="61">
        <f>_xll.qlYieldTSDiscount($U$35,Y16216,,Trigger)</f>
        <v>0.42029220637021303</v>
      </c>
    </row>
    <row r="16217" spans="25:26" x14ac:dyDescent="0.25">
      <c r="Y16217" s="63">
        <v>58750</v>
      </c>
      <c r="Z16217" s="61">
        <f>_xll.qlYieldTSDiscount($U$35,Y16217,,Trigger)</f>
        <v>0.42026679753934326</v>
      </c>
    </row>
    <row r="16218" spans="25:26" x14ac:dyDescent="0.25">
      <c r="Y16218" s="63">
        <v>58751</v>
      </c>
      <c r="Z16218" s="61">
        <f>_xll.qlYieldTSDiscount($U$35,Y16218,,Trigger)</f>
        <v>0.42024139080516232</v>
      </c>
    </row>
    <row r="16219" spans="25:26" x14ac:dyDescent="0.25">
      <c r="Y16219" s="63">
        <v>58752</v>
      </c>
      <c r="Z16219" s="61">
        <f>_xll.qlYieldTSDiscount($U$35,Y16219,,Trigger)</f>
        <v>0.42021598616730405</v>
      </c>
    </row>
    <row r="16220" spans="25:26" x14ac:dyDescent="0.25">
      <c r="Y16220" s="63">
        <v>58753</v>
      </c>
      <c r="Z16220" s="61">
        <f>_xll.qlYieldTSDiscount($U$35,Y16220,,Trigger)</f>
        <v>0.42019058362540262</v>
      </c>
    </row>
    <row r="16221" spans="25:26" x14ac:dyDescent="0.25">
      <c r="Y16221" s="63">
        <v>58754</v>
      </c>
      <c r="Z16221" s="61">
        <f>_xll.qlYieldTSDiscount($U$35,Y16221,,Trigger)</f>
        <v>0.42016518317909202</v>
      </c>
    </row>
    <row r="16222" spans="25:26" x14ac:dyDescent="0.25">
      <c r="Y16222" s="63">
        <v>58755</v>
      </c>
      <c r="Z16222" s="61">
        <f>_xll.qlYieldTSDiscount($U$35,Y16222,,Trigger)</f>
        <v>0.42013978482800618</v>
      </c>
    </row>
    <row r="16223" spans="25:26" x14ac:dyDescent="0.25">
      <c r="Y16223" s="63">
        <v>58756</v>
      </c>
      <c r="Z16223" s="61">
        <f>_xll.qlYieldTSDiscount($U$35,Y16223,,Trigger)</f>
        <v>0.42011438857177913</v>
      </c>
    </row>
    <row r="16224" spans="25:26" x14ac:dyDescent="0.25">
      <c r="Y16224" s="63">
        <v>58757</v>
      </c>
      <c r="Z16224" s="61">
        <f>_xll.qlYieldTSDiscount($U$35,Y16224,,Trigger)</f>
        <v>0.42008899441004499</v>
      </c>
    </row>
    <row r="16225" spans="25:26" x14ac:dyDescent="0.25">
      <c r="Y16225" s="63">
        <v>58758</v>
      </c>
      <c r="Z16225" s="61">
        <f>_xll.qlYieldTSDiscount($U$35,Y16225,,Trigger)</f>
        <v>0.42006360234243778</v>
      </c>
    </row>
    <row r="16226" spans="25:26" x14ac:dyDescent="0.25">
      <c r="Y16226" s="63">
        <v>58759</v>
      </c>
      <c r="Z16226" s="61">
        <f>_xll.qlYieldTSDiscount($U$35,Y16226,,Trigger)</f>
        <v>0.42003821236859151</v>
      </c>
    </row>
    <row r="16227" spans="25:26" x14ac:dyDescent="0.25">
      <c r="Y16227" s="63">
        <v>58760</v>
      </c>
      <c r="Z16227" s="61">
        <f>_xll.qlYieldTSDiscount($U$35,Y16227,,Trigger)</f>
        <v>0.42001282448814009</v>
      </c>
    </row>
    <row r="16228" spans="25:26" x14ac:dyDescent="0.25">
      <c r="Y16228" s="63">
        <v>58761</v>
      </c>
      <c r="Z16228" s="61">
        <f>_xll.qlYieldTSDiscount($U$35,Y16228,,Trigger)</f>
        <v>0.41998743870071775</v>
      </c>
    </row>
    <row r="16229" spans="25:26" x14ac:dyDescent="0.25">
      <c r="Y16229" s="63">
        <v>58762</v>
      </c>
      <c r="Z16229" s="61">
        <f>_xll.qlYieldTSDiscount($U$35,Y16229,,Trigger)</f>
        <v>0.41996205500595829</v>
      </c>
    </row>
    <row r="16230" spans="25:26" x14ac:dyDescent="0.25">
      <c r="Y16230" s="63">
        <v>58763</v>
      </c>
      <c r="Z16230" s="61">
        <f>_xll.qlYieldTSDiscount($U$35,Y16230,,Trigger)</f>
        <v>0.41993667340349583</v>
      </c>
    </row>
    <row r="16231" spans="25:26" x14ac:dyDescent="0.25">
      <c r="Y16231" s="63">
        <v>58764</v>
      </c>
      <c r="Z16231" s="61">
        <f>_xll.qlYieldTSDiscount($U$35,Y16231,,Trigger)</f>
        <v>0.41991129389296444</v>
      </c>
    </row>
    <row r="16232" spans="25:26" x14ac:dyDescent="0.25">
      <c r="Y16232" s="63">
        <v>58765</v>
      </c>
      <c r="Z16232" s="61">
        <f>_xll.qlYieldTSDiscount($U$35,Y16232,,Trigger)</f>
        <v>0.41988591647399809</v>
      </c>
    </row>
    <row r="16233" spans="25:26" x14ac:dyDescent="0.25">
      <c r="Y16233" s="63">
        <v>58766</v>
      </c>
      <c r="Z16233" s="61">
        <f>_xll.qlYieldTSDiscount($U$35,Y16233,,Trigger)</f>
        <v>0.41986054114623073</v>
      </c>
    </row>
    <row r="16234" spans="25:26" x14ac:dyDescent="0.25">
      <c r="Y16234" s="63">
        <v>58767</v>
      </c>
      <c r="Z16234" s="61">
        <f>_xll.qlYieldTSDiscount($U$35,Y16234,,Trigger)</f>
        <v>0.41983516790929654</v>
      </c>
    </row>
    <row r="16235" spans="25:26" x14ac:dyDescent="0.25">
      <c r="Y16235" s="63">
        <v>58768</v>
      </c>
      <c r="Z16235" s="61">
        <f>_xll.qlYieldTSDiscount($U$35,Y16235,,Trigger)</f>
        <v>0.41980979676282942</v>
      </c>
    </row>
    <row r="16236" spans="25:26" x14ac:dyDescent="0.25">
      <c r="Y16236" s="63">
        <v>58769</v>
      </c>
      <c r="Z16236" s="61">
        <f>_xll.qlYieldTSDiscount($U$35,Y16236,,Trigger)</f>
        <v>0.4197844277064634</v>
      </c>
    </row>
    <row r="16237" spans="25:26" x14ac:dyDescent="0.25">
      <c r="Y16237" s="63">
        <v>58770</v>
      </c>
      <c r="Z16237" s="61">
        <f>_xll.qlYieldTSDiscount($U$35,Y16237,,Trigger)</f>
        <v>0.4197590607398326</v>
      </c>
    </row>
    <row r="16238" spans="25:26" x14ac:dyDescent="0.25">
      <c r="Y16238" s="63">
        <v>58771</v>
      </c>
      <c r="Z16238" s="61">
        <f>_xll.qlYieldTSDiscount($U$35,Y16238,,Trigger)</f>
        <v>0.41973369586257098</v>
      </c>
    </row>
    <row r="16239" spans="25:26" x14ac:dyDescent="0.25">
      <c r="Y16239" s="63">
        <v>58772</v>
      </c>
      <c r="Z16239" s="61">
        <f>_xll.qlYieldTSDiscount($U$35,Y16239,,Trigger)</f>
        <v>0.41970833307431249</v>
      </c>
    </row>
    <row r="16240" spans="25:26" x14ac:dyDescent="0.25">
      <c r="Y16240" s="63">
        <v>58773</v>
      </c>
      <c r="Z16240" s="61">
        <f>_xll.qlYieldTSDiscount($U$35,Y16240,,Trigger)</f>
        <v>0.41968297237469121</v>
      </c>
    </row>
    <row r="16241" spans="25:26" x14ac:dyDescent="0.25">
      <c r="Y16241" s="63">
        <v>58774</v>
      </c>
      <c r="Z16241" s="61">
        <f>_xll.qlYieldTSDiscount($U$35,Y16241,,Trigger)</f>
        <v>0.41965761376334132</v>
      </c>
    </row>
    <row r="16242" spans="25:26" x14ac:dyDescent="0.25">
      <c r="Y16242" s="63">
        <v>58775</v>
      </c>
      <c r="Z16242" s="61">
        <f>_xll.qlYieldTSDiscount($U$35,Y16242,,Trigger)</f>
        <v>0.41963225723989656</v>
      </c>
    </row>
    <row r="16243" spans="25:26" x14ac:dyDescent="0.25">
      <c r="Y16243" s="63">
        <v>58776</v>
      </c>
      <c r="Z16243" s="61">
        <f>_xll.qlYieldTSDiscount($U$35,Y16243,,Trigger)</f>
        <v>0.4196069028039911</v>
      </c>
    </row>
    <row r="16244" spans="25:26" x14ac:dyDescent="0.25">
      <c r="Y16244" s="63">
        <v>58777</v>
      </c>
      <c r="Z16244" s="61">
        <f>_xll.qlYieldTSDiscount($U$35,Y16244,,Trigger)</f>
        <v>0.41958155045525902</v>
      </c>
    </row>
    <row r="16245" spans="25:26" x14ac:dyDescent="0.25">
      <c r="Y16245" s="63">
        <v>58778</v>
      </c>
      <c r="Z16245" s="61">
        <f>_xll.qlYieldTSDiscount($U$35,Y16245,,Trigger)</f>
        <v>0.41955620019333417</v>
      </c>
    </row>
    <row r="16246" spans="25:26" x14ac:dyDescent="0.25">
      <c r="Y16246" s="63">
        <v>58779</v>
      </c>
      <c r="Z16246" s="61">
        <f>_xll.qlYieldTSDiscount($U$35,Y16246,,Trigger)</f>
        <v>0.41953085201785068</v>
      </c>
    </row>
    <row r="16247" spans="25:26" x14ac:dyDescent="0.25">
      <c r="Y16247" s="63">
        <v>58780</v>
      </c>
      <c r="Z16247" s="61">
        <f>_xll.qlYieldTSDiscount($U$35,Y16247,,Trigger)</f>
        <v>0.41950550592844266</v>
      </c>
    </row>
    <row r="16248" spans="25:26" x14ac:dyDescent="0.25">
      <c r="Y16248" s="63">
        <v>58781</v>
      </c>
      <c r="Z16248" s="61">
        <f>_xll.qlYieldTSDiscount($U$35,Y16248,,Trigger)</f>
        <v>0.41948016192474391</v>
      </c>
    </row>
    <row r="16249" spans="25:26" x14ac:dyDescent="0.25">
      <c r="Y16249" s="63">
        <v>58782</v>
      </c>
      <c r="Z16249" s="61">
        <f>_xll.qlYieldTSDiscount($U$35,Y16249,,Trigger)</f>
        <v>0.41945482000638862</v>
      </c>
    </row>
    <row r="16250" spans="25:26" x14ac:dyDescent="0.25">
      <c r="Y16250" s="63">
        <v>58783</v>
      </c>
      <c r="Z16250" s="61">
        <f>_xll.qlYieldTSDiscount($U$35,Y16250,,Trigger)</f>
        <v>0.41942948017301085</v>
      </c>
    </row>
    <row r="16251" spans="25:26" x14ac:dyDescent="0.25">
      <c r="Y16251" s="63">
        <v>58784</v>
      </c>
      <c r="Z16251" s="61">
        <f>_xll.qlYieldTSDiscount($U$35,Y16251,,Trigger)</f>
        <v>0.4194041424242444</v>
      </c>
    </row>
    <row r="16252" spans="25:26" x14ac:dyDescent="0.25">
      <c r="Y16252" s="63">
        <v>58785</v>
      </c>
      <c r="Z16252" s="61">
        <f>_xll.qlYieldTSDiscount($U$35,Y16252,,Trigger)</f>
        <v>0.4193788067597235</v>
      </c>
    </row>
    <row r="16253" spans="25:26" x14ac:dyDescent="0.25">
      <c r="Y16253" s="63">
        <v>58786</v>
      </c>
      <c r="Z16253" s="61">
        <f>_xll.qlYieldTSDiscount($U$35,Y16253,,Trigger)</f>
        <v>0.41935347317908211</v>
      </c>
    </row>
    <row r="16254" spans="25:26" x14ac:dyDescent="0.25">
      <c r="Y16254" s="63">
        <v>58787</v>
      </c>
      <c r="Z16254" s="61">
        <f>_xll.qlYieldTSDiscount($U$35,Y16254,,Trigger)</f>
        <v>0.41932814168195426</v>
      </c>
    </row>
    <row r="16255" spans="25:26" x14ac:dyDescent="0.25">
      <c r="Y16255" s="63">
        <v>58788</v>
      </c>
      <c r="Z16255" s="61">
        <f>_xll.qlYieldTSDiscount($U$35,Y16255,,Trigger)</f>
        <v>0.41930281226797395</v>
      </c>
    </row>
    <row r="16256" spans="25:26" x14ac:dyDescent="0.25">
      <c r="Y16256" s="63">
        <v>58789</v>
      </c>
      <c r="Z16256" s="61">
        <f>_xll.qlYieldTSDiscount($U$35,Y16256,,Trigger)</f>
        <v>0.41927748493677514</v>
      </c>
    </row>
    <row r="16257" spans="25:26" x14ac:dyDescent="0.25">
      <c r="Y16257" s="63">
        <v>58790</v>
      </c>
      <c r="Z16257" s="61">
        <f>_xll.qlYieldTSDiscount($U$35,Y16257,,Trigger)</f>
        <v>0.41925215968799201</v>
      </c>
    </row>
    <row r="16258" spans="25:26" x14ac:dyDescent="0.25">
      <c r="Y16258" s="63">
        <v>58791</v>
      </c>
      <c r="Z16258" s="61">
        <f>_xll.qlYieldTSDiscount($U$35,Y16258,,Trigger)</f>
        <v>0.41922683652125847</v>
      </c>
    </row>
    <row r="16259" spans="25:26" x14ac:dyDescent="0.25">
      <c r="Y16259" s="63">
        <v>58792</v>
      </c>
      <c r="Z16259" s="61">
        <f>_xll.qlYieldTSDiscount($U$35,Y16259,,Trigger)</f>
        <v>0.41920151543620854</v>
      </c>
    </row>
    <row r="16260" spans="25:26" x14ac:dyDescent="0.25">
      <c r="Y16260" s="63">
        <v>58793</v>
      </c>
      <c r="Z16260" s="61">
        <f>_xll.qlYieldTSDiscount($U$35,Y16260,,Trigger)</f>
        <v>0.41917619643247628</v>
      </c>
    </row>
    <row r="16261" spans="25:26" x14ac:dyDescent="0.25">
      <c r="Y16261" s="63">
        <v>58794</v>
      </c>
      <c r="Z16261" s="61">
        <f>_xll.qlYieldTSDiscount($U$35,Y16261,,Trigger)</f>
        <v>0.41915087950969571</v>
      </c>
    </row>
    <row r="16262" spans="25:26" x14ac:dyDescent="0.25">
      <c r="Y16262" s="63">
        <v>58795</v>
      </c>
      <c r="Z16262" s="61">
        <f>_xll.qlYieldTSDiscount($U$35,Y16262,,Trigger)</f>
        <v>0.41912556466750084</v>
      </c>
    </row>
    <row r="16263" spans="25:26" x14ac:dyDescent="0.25">
      <c r="Y16263" s="63">
        <v>58796</v>
      </c>
      <c r="Z16263" s="61">
        <f>_xll.qlYieldTSDiscount($U$35,Y16263,,Trigger)</f>
        <v>0.41910025190552569</v>
      </c>
    </row>
    <row r="16264" spans="25:26" x14ac:dyDescent="0.25">
      <c r="Y16264" s="63">
        <v>58797</v>
      </c>
      <c r="Z16264" s="61">
        <f>_xll.qlYieldTSDiscount($U$35,Y16264,,Trigger)</f>
        <v>0.41907494122340427</v>
      </c>
    </row>
    <row r="16265" spans="25:26" x14ac:dyDescent="0.25">
      <c r="Y16265" s="63">
        <v>58798</v>
      </c>
      <c r="Z16265" s="61">
        <f>_xll.qlYieldTSDiscount($U$35,Y16265,,Trigger)</f>
        <v>0.41904963262077055</v>
      </c>
    </row>
    <row r="16266" spans="25:26" x14ac:dyDescent="0.25">
      <c r="Y16266" s="63">
        <v>58799</v>
      </c>
      <c r="Z16266" s="61">
        <f>_xll.qlYieldTSDiscount($U$35,Y16266,,Trigger)</f>
        <v>0.4190243260972587</v>
      </c>
    </row>
    <row r="16267" spans="25:26" x14ac:dyDescent="0.25">
      <c r="Y16267" s="63">
        <v>58800</v>
      </c>
      <c r="Z16267" s="61">
        <f>_xll.qlYieldTSDiscount($U$35,Y16267,,Trigger)</f>
        <v>0.41899902165250269</v>
      </c>
    </row>
    <row r="16268" spans="25:26" x14ac:dyDescent="0.25">
      <c r="Y16268" s="63">
        <v>58801</v>
      </c>
      <c r="Z16268" s="61">
        <f>_xll.qlYieldTSDiscount($U$35,Y16268,,Trigger)</f>
        <v>0.41897371928613641</v>
      </c>
    </row>
    <row r="16269" spans="25:26" x14ac:dyDescent="0.25">
      <c r="Y16269" s="63">
        <v>58802</v>
      </c>
      <c r="Z16269" s="61">
        <f>_xll.qlYieldTSDiscount($U$35,Y16269,,Trigger)</f>
        <v>0.418948418997794</v>
      </c>
    </row>
    <row r="16270" spans="25:26" x14ac:dyDescent="0.25">
      <c r="Y16270" s="63">
        <v>58803</v>
      </c>
      <c r="Z16270" s="61">
        <f>_xll.qlYieldTSDiscount($U$35,Y16270,,Trigger)</f>
        <v>0.41892312078710958</v>
      </c>
    </row>
    <row r="16271" spans="25:26" x14ac:dyDescent="0.25">
      <c r="Y16271" s="63">
        <v>58804</v>
      </c>
      <c r="Z16271" s="61">
        <f>_xll.qlYieldTSDiscount($U$35,Y16271,,Trigger)</f>
        <v>0.41889782465371694</v>
      </c>
    </row>
    <row r="16272" spans="25:26" x14ac:dyDescent="0.25">
      <c r="Y16272" s="63">
        <v>58805</v>
      </c>
      <c r="Z16272" s="61">
        <f>_xll.qlYieldTSDiscount($U$35,Y16272,,Trigger)</f>
        <v>0.41887253059725027</v>
      </c>
    </row>
    <row r="16273" spans="25:26" x14ac:dyDescent="0.25">
      <c r="Y16273" s="63">
        <v>58806</v>
      </c>
      <c r="Z16273" s="61">
        <f>_xll.qlYieldTSDiscount($U$35,Y16273,,Trigger)</f>
        <v>0.41884723861734352</v>
      </c>
    </row>
    <row r="16274" spans="25:26" x14ac:dyDescent="0.25">
      <c r="Y16274" s="63">
        <v>58807</v>
      </c>
      <c r="Z16274" s="61">
        <f>_xll.qlYieldTSDiscount($U$35,Y16274,,Trigger)</f>
        <v>0.41882194871363077</v>
      </c>
    </row>
    <row r="16275" spans="25:26" x14ac:dyDescent="0.25">
      <c r="Y16275" s="63">
        <v>58808</v>
      </c>
      <c r="Z16275" s="61">
        <f>_xll.qlYieldTSDiscount($U$35,Y16275,,Trigger)</f>
        <v>0.41879666088574596</v>
      </c>
    </row>
    <row r="16276" spans="25:26" x14ac:dyDescent="0.25">
      <c r="Y16276" s="63">
        <v>58809</v>
      </c>
      <c r="Z16276" s="61">
        <f>_xll.qlYieldTSDiscount($U$35,Y16276,,Trigger)</f>
        <v>0.41877137513332319</v>
      </c>
    </row>
    <row r="16277" spans="25:26" x14ac:dyDescent="0.25">
      <c r="Y16277" s="63">
        <v>58810</v>
      </c>
      <c r="Z16277" s="61">
        <f>_xll.qlYieldTSDiscount($U$35,Y16277,,Trigger)</f>
        <v>0.41874609145599645</v>
      </c>
    </row>
    <row r="16278" spans="25:26" x14ac:dyDescent="0.25">
      <c r="Y16278" s="63">
        <v>58811</v>
      </c>
      <c r="Z16278" s="61">
        <f>_xll.qlYieldTSDiscount($U$35,Y16278,,Trigger)</f>
        <v>0.41872080985339966</v>
      </c>
    </row>
    <row r="16279" spans="25:26" x14ac:dyDescent="0.25">
      <c r="Y16279" s="63">
        <v>58812</v>
      </c>
      <c r="Z16279" s="61">
        <f>_xll.qlYieldTSDiscount($U$35,Y16279,,Trigger)</f>
        <v>0.4186955303251671</v>
      </c>
    </row>
    <row r="16280" spans="25:26" x14ac:dyDescent="0.25">
      <c r="Y16280" s="63">
        <v>58813</v>
      </c>
      <c r="Z16280" s="61">
        <f>_xll.qlYieldTSDiscount($U$35,Y16280,,Trigger)</f>
        <v>0.41867025287093251</v>
      </c>
    </row>
    <row r="16281" spans="25:26" x14ac:dyDescent="0.25">
      <c r="Y16281" s="63">
        <v>58814</v>
      </c>
      <c r="Z16281" s="61">
        <f>_xll.qlYieldTSDiscount($U$35,Y16281,,Trigger)</f>
        <v>0.41864497749033008</v>
      </c>
    </row>
    <row r="16282" spans="25:26" x14ac:dyDescent="0.25">
      <c r="Y16282" s="63">
        <v>58815</v>
      </c>
      <c r="Z16282" s="61">
        <f>_xll.qlYieldTSDiscount($U$35,Y16282,,Trigger)</f>
        <v>0.41861970418299377</v>
      </c>
    </row>
    <row r="16283" spans="25:26" x14ac:dyDescent="0.25">
      <c r="Y16283" s="63">
        <v>58816</v>
      </c>
      <c r="Z16283" s="61">
        <f>_xll.qlYieldTSDiscount($U$35,Y16283,,Trigger)</f>
        <v>0.41859443294855769</v>
      </c>
    </row>
    <row r="16284" spans="25:26" x14ac:dyDescent="0.25">
      <c r="Y16284" s="63">
        <v>58817</v>
      </c>
      <c r="Z16284" s="61">
        <f>_xll.qlYieldTSDiscount($U$35,Y16284,,Trigger)</f>
        <v>0.41856916378665571</v>
      </c>
    </row>
    <row r="16285" spans="25:26" x14ac:dyDescent="0.25">
      <c r="Y16285" s="63">
        <v>58818</v>
      </c>
      <c r="Z16285" s="61">
        <f>_xll.qlYieldTSDiscount($U$35,Y16285,,Trigger)</f>
        <v>0.41854389669692194</v>
      </c>
    </row>
    <row r="16286" spans="25:26" x14ac:dyDescent="0.25">
      <c r="Y16286" s="63">
        <v>58819</v>
      </c>
      <c r="Z16286" s="61">
        <f>_xll.qlYieldTSDiscount($U$35,Y16286,,Trigger)</f>
        <v>0.4185186316789905</v>
      </c>
    </row>
    <row r="16287" spans="25:26" x14ac:dyDescent="0.25">
      <c r="Y16287" s="63">
        <v>58820</v>
      </c>
      <c r="Z16287" s="61">
        <f>_xll.qlYieldTSDiscount($U$35,Y16287,,Trigger)</f>
        <v>0.41849336873249521</v>
      </c>
    </row>
    <row r="16288" spans="25:26" x14ac:dyDescent="0.25">
      <c r="Y16288" s="63">
        <v>58821</v>
      </c>
      <c r="Z16288" s="61">
        <f>_xll.qlYieldTSDiscount($U$35,Y16288,,Trigger)</f>
        <v>0.41846810785707012</v>
      </c>
    </row>
    <row r="16289" spans="25:26" x14ac:dyDescent="0.25">
      <c r="Y16289" s="63">
        <v>58822</v>
      </c>
      <c r="Z16289" s="61">
        <f>_xll.qlYieldTSDiscount($U$35,Y16289,,Trigger)</f>
        <v>0.41844284905234946</v>
      </c>
    </row>
    <row r="16290" spans="25:26" x14ac:dyDescent="0.25">
      <c r="Y16290" s="63">
        <v>58823</v>
      </c>
      <c r="Z16290" s="61">
        <f>_xll.qlYieldTSDiscount($U$35,Y16290,,Trigger)</f>
        <v>0.41841759231796705</v>
      </c>
    </row>
    <row r="16291" spans="25:26" x14ac:dyDescent="0.25">
      <c r="Y16291" s="63">
        <v>58824</v>
      </c>
      <c r="Z16291" s="61">
        <f>_xll.qlYieldTSDiscount($U$35,Y16291,,Trigger)</f>
        <v>0.41839233765355699</v>
      </c>
    </row>
    <row r="16292" spans="25:26" x14ac:dyDescent="0.25">
      <c r="Y16292" s="63">
        <v>58825</v>
      </c>
      <c r="Z16292" s="61">
        <f>_xll.qlYieldTSDiscount($U$35,Y16292,,Trigger)</f>
        <v>0.41836708505875331</v>
      </c>
    </row>
    <row r="16293" spans="25:26" x14ac:dyDescent="0.25">
      <c r="Y16293" s="63">
        <v>58826</v>
      </c>
      <c r="Z16293" s="61">
        <f>_xll.qlYieldTSDiscount($U$35,Y16293,,Trigger)</f>
        <v>0.4183418345331899</v>
      </c>
    </row>
    <row r="16294" spans="25:26" x14ac:dyDescent="0.25">
      <c r="Y16294" s="63">
        <v>58827</v>
      </c>
      <c r="Z16294" s="61">
        <f>_xll.qlYieldTSDiscount($U$35,Y16294,,Trigger)</f>
        <v>0.41831658607650091</v>
      </c>
    </row>
    <row r="16295" spans="25:26" x14ac:dyDescent="0.25">
      <c r="Y16295" s="63">
        <v>58828</v>
      </c>
      <c r="Z16295" s="61">
        <f>_xll.qlYieldTSDiscount($U$35,Y16295,,Trigger)</f>
        <v>0.4182913396883205</v>
      </c>
    </row>
    <row r="16296" spans="25:26" x14ac:dyDescent="0.25">
      <c r="Y16296" s="63">
        <v>58829</v>
      </c>
      <c r="Z16296" s="61">
        <f>_xll.qlYieldTSDiscount($U$35,Y16296,,Trigger)</f>
        <v>0.41826609536828241</v>
      </c>
    </row>
    <row r="16297" spans="25:26" x14ac:dyDescent="0.25">
      <c r="Y16297" s="63">
        <v>58830</v>
      </c>
      <c r="Z16297" s="61">
        <f>_xll.qlYieldTSDiscount($U$35,Y16297,,Trigger)</f>
        <v>0.41824085311602077</v>
      </c>
    </row>
    <row r="16298" spans="25:26" x14ac:dyDescent="0.25">
      <c r="Y16298" s="63">
        <v>58831</v>
      </c>
      <c r="Z16298" s="61">
        <f>_xll.qlYieldTSDiscount($U$35,Y16298,,Trigger)</f>
        <v>0.4182156129311696</v>
      </c>
    </row>
    <row r="16299" spans="25:26" x14ac:dyDescent="0.25">
      <c r="Y16299" s="63">
        <v>58832</v>
      </c>
      <c r="Z16299" s="61">
        <f>_xll.qlYieldTSDiscount($U$35,Y16299,,Trigger)</f>
        <v>0.41819037481336302</v>
      </c>
    </row>
    <row r="16300" spans="25:26" x14ac:dyDescent="0.25">
      <c r="Y16300" s="63">
        <v>58833</v>
      </c>
      <c r="Z16300" s="61">
        <f>_xll.qlYieldTSDiscount($U$35,Y16300,,Trigger)</f>
        <v>0.41816513876223493</v>
      </c>
    </row>
    <row r="16301" spans="25:26" x14ac:dyDescent="0.25">
      <c r="Y16301" s="63">
        <v>58834</v>
      </c>
      <c r="Z16301" s="61">
        <f>_xll.qlYieldTSDiscount($U$35,Y16301,,Trigger)</f>
        <v>0.41813990477741936</v>
      </c>
    </row>
    <row r="16302" spans="25:26" x14ac:dyDescent="0.25">
      <c r="Y16302" s="63">
        <v>58835</v>
      </c>
      <c r="Z16302" s="61">
        <f>_xll.qlYieldTSDiscount($U$35,Y16302,,Trigger)</f>
        <v>0.41811467285855047</v>
      </c>
    </row>
    <row r="16303" spans="25:26" x14ac:dyDescent="0.25">
      <c r="Y16303" s="63">
        <v>58836</v>
      </c>
      <c r="Z16303" s="61">
        <f>_xll.qlYieldTSDiscount($U$35,Y16303,,Trigger)</f>
        <v>0.41808944300526207</v>
      </c>
    </row>
    <row r="16304" spans="25:26" x14ac:dyDescent="0.25">
      <c r="Y16304" s="63">
        <v>58837</v>
      </c>
      <c r="Z16304" s="61">
        <f>_xll.qlYieldTSDiscount($U$35,Y16304,,Trigger)</f>
        <v>0.41806421521718828</v>
      </c>
    </row>
    <row r="16305" spans="25:26" x14ac:dyDescent="0.25">
      <c r="Y16305" s="63">
        <v>58838</v>
      </c>
      <c r="Z16305" s="61">
        <f>_xll.qlYieldTSDiscount($U$35,Y16305,,Trigger)</f>
        <v>0.41803898949396329</v>
      </c>
    </row>
    <row r="16306" spans="25:26" x14ac:dyDescent="0.25">
      <c r="Y16306" s="63">
        <v>58839</v>
      </c>
      <c r="Z16306" s="61">
        <f>_xll.qlYieldTSDiscount($U$35,Y16306,,Trigger)</f>
        <v>0.41801376583522087</v>
      </c>
    </row>
    <row r="16307" spans="25:26" x14ac:dyDescent="0.25">
      <c r="Y16307" s="63">
        <v>58840</v>
      </c>
      <c r="Z16307" s="61">
        <f>_xll.qlYieldTSDiscount($U$35,Y16307,,Trigger)</f>
        <v>0.41798854424059506</v>
      </c>
    </row>
    <row r="16308" spans="25:26" x14ac:dyDescent="0.25">
      <c r="Y16308" s="63">
        <v>58841</v>
      </c>
      <c r="Z16308" s="61">
        <f>_xll.qlYieldTSDiscount($U$35,Y16308,,Trigger)</f>
        <v>0.41796332470972009</v>
      </c>
    </row>
    <row r="16309" spans="25:26" x14ac:dyDescent="0.25">
      <c r="Y16309" s="63">
        <v>58842</v>
      </c>
      <c r="Z16309" s="61">
        <f>_xll.qlYieldTSDiscount($U$35,Y16309,,Trigger)</f>
        <v>0.41793810724222968</v>
      </c>
    </row>
    <row r="16310" spans="25:26" x14ac:dyDescent="0.25">
      <c r="Y16310" s="63">
        <v>58843</v>
      </c>
      <c r="Z16310" s="61">
        <f>_xll.qlYieldTSDiscount($U$35,Y16310,,Trigger)</f>
        <v>0.41791289183775815</v>
      </c>
    </row>
    <row r="16311" spans="25:26" x14ac:dyDescent="0.25">
      <c r="Y16311" s="63">
        <v>58844</v>
      </c>
      <c r="Z16311" s="61">
        <f>_xll.qlYieldTSDiscount($U$35,Y16311,,Trigger)</f>
        <v>0.41788767849593933</v>
      </c>
    </row>
    <row r="16312" spans="25:26" x14ac:dyDescent="0.25">
      <c r="Y16312" s="63">
        <v>58845</v>
      </c>
      <c r="Z16312" s="61">
        <f>_xll.qlYieldTSDiscount($U$35,Y16312,,Trigger)</f>
        <v>0.4178624672164073</v>
      </c>
    </row>
    <row r="16313" spans="25:26" x14ac:dyDescent="0.25">
      <c r="Y16313" s="63">
        <v>58846</v>
      </c>
      <c r="Z16313" s="61">
        <f>_xll.qlYieldTSDiscount($U$35,Y16313,,Trigger)</f>
        <v>0.41783725799879612</v>
      </c>
    </row>
    <row r="16314" spans="25:26" x14ac:dyDescent="0.25">
      <c r="Y16314" s="63">
        <v>58847</v>
      </c>
      <c r="Z16314" s="61">
        <f>_xll.qlYieldTSDiscount($U$35,Y16314,,Trigger)</f>
        <v>0.41781205084273976</v>
      </c>
    </row>
    <row r="16315" spans="25:26" x14ac:dyDescent="0.25">
      <c r="Y16315" s="63">
        <v>58848</v>
      </c>
      <c r="Z16315" s="61">
        <f>_xll.qlYieldTSDiscount($U$35,Y16315,,Trigger)</f>
        <v>0.41778684574787228</v>
      </c>
    </row>
    <row r="16316" spans="25:26" x14ac:dyDescent="0.25">
      <c r="Y16316" s="63">
        <v>58849</v>
      </c>
      <c r="Z16316" s="61">
        <f>_xll.qlYieldTSDiscount($U$35,Y16316,,Trigger)</f>
        <v>0.41776164271382765</v>
      </c>
    </row>
    <row r="16317" spans="25:26" x14ac:dyDescent="0.25">
      <c r="Y16317" s="63">
        <v>58850</v>
      </c>
      <c r="Z16317" s="61">
        <f>_xll.qlYieldTSDiscount($U$35,Y16317,,Trigger)</f>
        <v>0.41773644174023994</v>
      </c>
    </row>
    <row r="16318" spans="25:26" x14ac:dyDescent="0.25">
      <c r="Y16318" s="63">
        <v>58851</v>
      </c>
      <c r="Z16318" s="61">
        <f>_xll.qlYieldTSDiscount($U$35,Y16318,,Trigger)</f>
        <v>0.41771124282674316</v>
      </c>
    </row>
    <row r="16319" spans="25:26" x14ac:dyDescent="0.25">
      <c r="Y16319" s="63">
        <v>58852</v>
      </c>
      <c r="Z16319" s="61">
        <f>_xll.qlYieldTSDiscount($U$35,Y16319,,Trigger)</f>
        <v>0.41768604597297132</v>
      </c>
    </row>
    <row r="16320" spans="25:26" x14ac:dyDescent="0.25">
      <c r="Y16320" s="63">
        <v>58853</v>
      </c>
      <c r="Z16320" s="61">
        <f>_xll.qlYieldTSDiscount($U$35,Y16320,,Trigger)</f>
        <v>0.41766085117855845</v>
      </c>
    </row>
    <row r="16321" spans="25:26" x14ac:dyDescent="0.25">
      <c r="Y16321" s="63">
        <v>58854</v>
      </c>
      <c r="Z16321" s="61">
        <f>_xll.qlYieldTSDiscount($U$35,Y16321,,Trigger)</f>
        <v>0.41763565844313855</v>
      </c>
    </row>
    <row r="16322" spans="25:26" x14ac:dyDescent="0.25">
      <c r="Y16322" s="63">
        <v>58855</v>
      </c>
      <c r="Z16322" s="61">
        <f>_xll.qlYieldTSDiscount($U$35,Y16322,,Trigger)</f>
        <v>0.41761046776634569</v>
      </c>
    </row>
    <row r="16323" spans="25:26" x14ac:dyDescent="0.25">
      <c r="Y16323" s="63">
        <v>58856</v>
      </c>
      <c r="Z16323" s="61">
        <f>_xll.qlYieldTSDiscount($U$35,Y16323,,Trigger)</f>
        <v>0.41758527914781385</v>
      </c>
    </row>
    <row r="16324" spans="25:26" x14ac:dyDescent="0.25">
      <c r="Y16324" s="63">
        <v>58857</v>
      </c>
      <c r="Z16324" s="61">
        <f>_xll.qlYieldTSDiscount($U$35,Y16324,,Trigger)</f>
        <v>0.41756009258717708</v>
      </c>
    </row>
    <row r="16325" spans="25:26" x14ac:dyDescent="0.25">
      <c r="Y16325" s="63">
        <v>58858</v>
      </c>
      <c r="Z16325" s="61">
        <f>_xll.qlYieldTSDiscount($U$35,Y16325,,Trigger)</f>
        <v>0.41753490808406934</v>
      </c>
    </row>
    <row r="16326" spans="25:26" x14ac:dyDescent="0.25">
      <c r="Y16326" s="63">
        <v>58859</v>
      </c>
      <c r="Z16326" s="61">
        <f>_xll.qlYieldTSDiscount($U$35,Y16326,,Trigger)</f>
        <v>0.41750972563812472</v>
      </c>
    </row>
    <row r="16327" spans="25:26" x14ac:dyDescent="0.25">
      <c r="Y16327" s="63">
        <v>58860</v>
      </c>
      <c r="Z16327" s="61">
        <f>_xll.qlYieldTSDiscount($U$35,Y16327,,Trigger)</f>
        <v>0.41748454524897727</v>
      </c>
    </row>
    <row r="16328" spans="25:26" x14ac:dyDescent="0.25">
      <c r="Y16328" s="63">
        <v>58861</v>
      </c>
      <c r="Z16328" s="61">
        <f>_xll.qlYieldTSDiscount($U$35,Y16328,,Trigger)</f>
        <v>0.41745936691626095</v>
      </c>
    </row>
    <row r="16329" spans="25:26" x14ac:dyDescent="0.25">
      <c r="Y16329" s="63">
        <v>58862</v>
      </c>
      <c r="Z16329" s="61">
        <f>_xll.qlYieldTSDiscount($U$35,Y16329,,Trigger)</f>
        <v>0.41743419063960974</v>
      </c>
    </row>
    <row r="16330" spans="25:26" x14ac:dyDescent="0.25">
      <c r="Y16330" s="63">
        <v>58863</v>
      </c>
      <c r="Z16330" s="61">
        <f>_xll.qlYieldTSDiscount($U$35,Y16330,,Trigger)</f>
        <v>0.41740901641865769</v>
      </c>
    </row>
    <row r="16331" spans="25:26" x14ac:dyDescent="0.25">
      <c r="Y16331" s="63">
        <v>58864</v>
      </c>
      <c r="Z16331" s="61">
        <f>_xll.qlYieldTSDiscount($U$35,Y16331,,Trigger)</f>
        <v>0.41738384425303898</v>
      </c>
    </row>
    <row r="16332" spans="25:26" x14ac:dyDescent="0.25">
      <c r="Y16332" s="63">
        <v>58865</v>
      </c>
      <c r="Z16332" s="61">
        <f>_xll.qlYieldTSDiscount($U$35,Y16332,,Trigger)</f>
        <v>0.41735867414238736</v>
      </c>
    </row>
    <row r="16333" spans="25:26" x14ac:dyDescent="0.25">
      <c r="Y16333" s="63">
        <v>58866</v>
      </c>
      <c r="Z16333" s="61">
        <f>_xll.qlYieldTSDiscount($U$35,Y16333,,Trigger)</f>
        <v>0.41733350608633712</v>
      </c>
    </row>
    <row r="16334" spans="25:26" x14ac:dyDescent="0.25">
      <c r="Y16334" s="63">
        <v>58867</v>
      </c>
      <c r="Z16334" s="61">
        <f>_xll.qlYieldTSDiscount($U$35,Y16334,,Trigger)</f>
        <v>0.41730834008452211</v>
      </c>
    </row>
    <row r="16335" spans="25:26" x14ac:dyDescent="0.25">
      <c r="Y16335" s="63">
        <v>58868</v>
      </c>
      <c r="Z16335" s="61">
        <f>_xll.qlYieldTSDiscount($U$35,Y16335,,Trigger)</f>
        <v>0.41728317613657634</v>
      </c>
    </row>
    <row r="16336" spans="25:26" x14ac:dyDescent="0.25">
      <c r="Y16336" s="63">
        <v>58869</v>
      </c>
      <c r="Z16336" s="61">
        <f>_xll.qlYieldTSDiscount($U$35,Y16336,,Trigger)</f>
        <v>0.41725801424213393</v>
      </c>
    </row>
    <row r="16337" spans="25:26" x14ac:dyDescent="0.25">
      <c r="Y16337" s="63">
        <v>58870</v>
      </c>
      <c r="Z16337" s="61">
        <f>_xll.qlYieldTSDiscount($U$35,Y16337,,Trigger)</f>
        <v>0.41723285440082891</v>
      </c>
    </row>
    <row r="16338" spans="25:26" x14ac:dyDescent="0.25">
      <c r="Y16338" s="63">
        <v>58871</v>
      </c>
      <c r="Z16338" s="61">
        <f>_xll.qlYieldTSDiscount($U$35,Y16338,,Trigger)</f>
        <v>0.41720769661229518</v>
      </c>
    </row>
    <row r="16339" spans="25:26" x14ac:dyDescent="0.25">
      <c r="Y16339" s="63">
        <v>58872</v>
      </c>
      <c r="Z16339" s="61">
        <f>_xll.qlYieldTSDiscount($U$35,Y16339,,Trigger)</f>
        <v>0.4171825408761668</v>
      </c>
    </row>
    <row r="16340" spans="25:26" x14ac:dyDescent="0.25">
      <c r="Y16340" s="63">
        <v>58873</v>
      </c>
      <c r="Z16340" s="61">
        <f>_xll.qlYieldTSDiscount($U$35,Y16340,,Trigger)</f>
        <v>0.41715738719207796</v>
      </c>
    </row>
    <row r="16341" spans="25:26" x14ac:dyDescent="0.25">
      <c r="Y16341" s="63">
        <v>58874</v>
      </c>
      <c r="Z16341" s="61">
        <f>_xll.qlYieldTSDiscount($U$35,Y16341,,Trigger)</f>
        <v>0.41713223555966239</v>
      </c>
    </row>
    <row r="16342" spans="25:26" x14ac:dyDescent="0.25">
      <c r="Y16342" s="63">
        <v>58875</v>
      </c>
      <c r="Z16342" s="61">
        <f>_xll.qlYieldTSDiscount($U$35,Y16342,,Trigger)</f>
        <v>0.41710708597855439</v>
      </c>
    </row>
    <row r="16343" spans="25:26" x14ac:dyDescent="0.25">
      <c r="Y16343" s="63">
        <v>58876</v>
      </c>
      <c r="Z16343" s="61">
        <f>_xll.qlYieldTSDiscount($U$35,Y16343,,Trigger)</f>
        <v>0.41708193844838776</v>
      </c>
    </row>
    <row r="16344" spans="25:26" x14ac:dyDescent="0.25">
      <c r="Y16344" s="63">
        <v>58877</v>
      </c>
      <c r="Z16344" s="61">
        <f>_xll.qlYieldTSDiscount($U$35,Y16344,,Trigger)</f>
        <v>0.41705679296879672</v>
      </c>
    </row>
    <row r="16345" spans="25:26" x14ac:dyDescent="0.25">
      <c r="Y16345" s="63">
        <v>58878</v>
      </c>
      <c r="Z16345" s="61">
        <f>_xll.qlYieldTSDiscount($U$35,Y16345,,Trigger)</f>
        <v>0.41703164953941518</v>
      </c>
    </row>
    <row r="16346" spans="25:26" x14ac:dyDescent="0.25">
      <c r="Y16346" s="63">
        <v>58879</v>
      </c>
      <c r="Z16346" s="61">
        <f>_xll.qlYieldTSDiscount($U$35,Y16346,,Trigger)</f>
        <v>0.41700650815987711</v>
      </c>
    </row>
    <row r="16347" spans="25:26" x14ac:dyDescent="0.25">
      <c r="Y16347" s="63">
        <v>58880</v>
      </c>
      <c r="Z16347" s="61">
        <f>_xll.qlYieldTSDiscount($U$35,Y16347,,Trigger)</f>
        <v>0.41698136882981673</v>
      </c>
    </row>
    <row r="16348" spans="25:26" x14ac:dyDescent="0.25">
      <c r="Y16348" s="63">
        <v>58881</v>
      </c>
      <c r="Z16348" s="61">
        <f>_xll.qlYieldTSDiscount($U$35,Y16348,,Trigger)</f>
        <v>0.41695623154886774</v>
      </c>
    </row>
    <row r="16349" spans="25:26" x14ac:dyDescent="0.25">
      <c r="Y16349" s="63">
        <v>58882</v>
      </c>
      <c r="Z16349" s="61">
        <f>_xll.qlYieldTSDiscount($U$35,Y16349,,Trigger)</f>
        <v>0.41693109631666447</v>
      </c>
    </row>
    <row r="16350" spans="25:26" x14ac:dyDescent="0.25">
      <c r="Y16350" s="63">
        <v>58883</v>
      </c>
      <c r="Z16350" s="61">
        <f>_xll.qlYieldTSDiscount($U$35,Y16350,,Trigger)</f>
        <v>0.41690596313284084</v>
      </c>
    </row>
    <row r="16351" spans="25:26" x14ac:dyDescent="0.25">
      <c r="Y16351" s="63">
        <v>58884</v>
      </c>
      <c r="Z16351" s="61">
        <f>_xll.qlYieldTSDiscount($U$35,Y16351,,Trigger)</f>
        <v>0.41688083199703085</v>
      </c>
    </row>
    <row r="16352" spans="25:26" x14ac:dyDescent="0.25">
      <c r="Y16352" s="63">
        <v>58885</v>
      </c>
      <c r="Z16352" s="61">
        <f>_xll.qlYieldTSDiscount($U$35,Y16352,,Trigger)</f>
        <v>0.41685570290886842</v>
      </c>
    </row>
    <row r="16353" spans="25:26" x14ac:dyDescent="0.25">
      <c r="Y16353" s="63">
        <v>58886</v>
      </c>
      <c r="Z16353" s="61">
        <f>_xll.qlYieldTSDiscount($U$35,Y16353,,Trigger)</f>
        <v>0.41683057586798783</v>
      </c>
    </row>
    <row r="16354" spans="25:26" x14ac:dyDescent="0.25">
      <c r="Y16354" s="63">
        <v>58887</v>
      </c>
      <c r="Z16354" s="61">
        <f>_xll.qlYieldTSDiscount($U$35,Y16354,,Trigger)</f>
        <v>0.41680545087402288</v>
      </c>
    </row>
    <row r="16355" spans="25:26" x14ac:dyDescent="0.25">
      <c r="Y16355" s="63">
        <v>58888</v>
      </c>
      <c r="Z16355" s="61">
        <f>_xll.qlYieldTSDiscount($U$35,Y16355,,Trigger)</f>
        <v>0.41678032792660763</v>
      </c>
    </row>
    <row r="16356" spans="25:26" x14ac:dyDescent="0.25">
      <c r="Y16356" s="63">
        <v>58889</v>
      </c>
      <c r="Z16356" s="61">
        <f>_xll.qlYieldTSDiscount($U$35,Y16356,,Trigger)</f>
        <v>0.41675520702537622</v>
      </c>
    </row>
    <row r="16357" spans="25:26" x14ac:dyDescent="0.25">
      <c r="Y16357" s="63">
        <v>58890</v>
      </c>
      <c r="Z16357" s="61">
        <f>_xll.qlYieldTSDiscount($U$35,Y16357,,Trigger)</f>
        <v>0.41673008816996249</v>
      </c>
    </row>
    <row r="16358" spans="25:26" x14ac:dyDescent="0.25">
      <c r="Y16358" s="63">
        <v>58891</v>
      </c>
      <c r="Z16358" s="61">
        <f>_xll.qlYieldTSDiscount($U$35,Y16358,,Trigger)</f>
        <v>0.41670497136000062</v>
      </c>
    </row>
    <row r="16359" spans="25:26" x14ac:dyDescent="0.25">
      <c r="Y16359" s="63">
        <v>58892</v>
      </c>
      <c r="Z16359" s="61">
        <f>_xll.qlYieldTSDiscount($U$35,Y16359,,Trigger)</f>
        <v>0.41667985659512452</v>
      </c>
    </row>
    <row r="16360" spans="25:26" x14ac:dyDescent="0.25">
      <c r="Y16360" s="63">
        <v>58893</v>
      </c>
      <c r="Z16360" s="61">
        <f>_xll.qlYieldTSDiscount($U$35,Y16360,,Trigger)</f>
        <v>0.41665474387496837</v>
      </c>
    </row>
    <row r="16361" spans="25:26" x14ac:dyDescent="0.25">
      <c r="Y16361" s="63">
        <v>58894</v>
      </c>
      <c r="Z16361" s="61">
        <f>_xll.qlYieldTSDiscount($U$35,Y16361,,Trigger)</f>
        <v>0.41662963319916596</v>
      </c>
    </row>
    <row r="16362" spans="25:26" x14ac:dyDescent="0.25">
      <c r="Y16362" s="63">
        <v>58895</v>
      </c>
      <c r="Z16362" s="61">
        <f>_xll.qlYieldTSDiscount($U$35,Y16362,,Trigger)</f>
        <v>0.41660452456735148</v>
      </c>
    </row>
    <row r="16363" spans="25:26" x14ac:dyDescent="0.25">
      <c r="Y16363" s="63">
        <v>58896</v>
      </c>
      <c r="Z16363" s="61">
        <f>_xll.qlYieldTSDiscount($U$35,Y16363,,Trigger)</f>
        <v>0.41657941797915898</v>
      </c>
    </row>
    <row r="16364" spans="25:26" x14ac:dyDescent="0.25">
      <c r="Y16364" s="63">
        <v>58897</v>
      </c>
      <c r="Z16364" s="61">
        <f>_xll.qlYieldTSDiscount($U$35,Y16364,,Trigger)</f>
        <v>0.41655431343422233</v>
      </c>
    </row>
    <row r="16365" spans="25:26" x14ac:dyDescent="0.25">
      <c r="Y16365" s="63">
        <v>58898</v>
      </c>
      <c r="Z16365" s="61">
        <f>_xll.qlYieldTSDiscount($U$35,Y16365,,Trigger)</f>
        <v>0.4165292109321756</v>
      </c>
    </row>
    <row r="16366" spans="25:26" x14ac:dyDescent="0.25">
      <c r="Y16366" s="63">
        <v>58899</v>
      </c>
      <c r="Z16366" s="61">
        <f>_xll.qlYieldTSDiscount($U$35,Y16366,,Trigger)</f>
        <v>0.41650411047265296</v>
      </c>
    </row>
    <row r="16367" spans="25:26" x14ac:dyDescent="0.25">
      <c r="Y16367" s="63">
        <v>58900</v>
      </c>
      <c r="Z16367" s="61">
        <f>_xll.qlYieldTSDiscount($U$35,Y16367,,Trigger)</f>
        <v>0.41647901205528826</v>
      </c>
    </row>
    <row r="16368" spans="25:26" x14ac:dyDescent="0.25">
      <c r="Y16368" s="63">
        <v>58901</v>
      </c>
      <c r="Z16368" s="61">
        <f>_xll.qlYieldTSDiscount($U$35,Y16368,,Trigger)</f>
        <v>0.41645391567971551</v>
      </c>
    </row>
    <row r="16369" spans="25:26" x14ac:dyDescent="0.25">
      <c r="Y16369" s="63">
        <v>58902</v>
      </c>
      <c r="Z16369" s="61">
        <f>_xll.qlYieldTSDiscount($U$35,Y16369,,Trigger)</f>
        <v>0.41642882134556891</v>
      </c>
    </row>
    <row r="16370" spans="25:26" x14ac:dyDescent="0.25">
      <c r="Y16370" s="63">
        <v>58903</v>
      </c>
      <c r="Z16370" s="61">
        <f>_xll.qlYieldTSDiscount($U$35,Y16370,,Trigger)</f>
        <v>0.41640372905248224</v>
      </c>
    </row>
    <row r="16371" spans="25:26" x14ac:dyDescent="0.25">
      <c r="Y16371" s="63">
        <v>58904</v>
      </c>
      <c r="Z16371" s="61">
        <f>_xll.qlYieldTSDiscount($U$35,Y16371,,Trigger)</f>
        <v>0.41637863880008974</v>
      </c>
    </row>
    <row r="16372" spans="25:26" x14ac:dyDescent="0.25">
      <c r="Y16372" s="63">
        <v>58905</v>
      </c>
      <c r="Z16372" s="61">
        <f>_xll.qlYieldTSDiscount($U$35,Y16372,,Trigger)</f>
        <v>0.41635355058802537</v>
      </c>
    </row>
    <row r="16373" spans="25:26" x14ac:dyDescent="0.25">
      <c r="Y16373" s="63">
        <v>58906</v>
      </c>
      <c r="Z16373" s="61">
        <f>_xll.qlYieldTSDiscount($U$35,Y16373,,Trigger)</f>
        <v>0.41632846441592308</v>
      </c>
    </row>
    <row r="16374" spans="25:26" x14ac:dyDescent="0.25">
      <c r="Y16374" s="63">
        <v>58907</v>
      </c>
      <c r="Z16374" s="61">
        <f>_xll.qlYieldTSDiscount($U$35,Y16374,,Trigger)</f>
        <v>0.41630338028341696</v>
      </c>
    </row>
    <row r="16375" spans="25:26" x14ac:dyDescent="0.25">
      <c r="Y16375" s="63">
        <v>58908</v>
      </c>
      <c r="Z16375" s="61">
        <f>_xll.qlYieldTSDiscount($U$35,Y16375,,Trigger)</f>
        <v>0.41627829819014095</v>
      </c>
    </row>
    <row r="16376" spans="25:26" x14ac:dyDescent="0.25">
      <c r="Y16376" s="63">
        <v>58909</v>
      </c>
      <c r="Z16376" s="61">
        <f>_xll.qlYieldTSDiscount($U$35,Y16376,,Trigger)</f>
        <v>0.41625321813572924</v>
      </c>
    </row>
    <row r="16377" spans="25:26" x14ac:dyDescent="0.25">
      <c r="Y16377" s="63">
        <v>58910</v>
      </c>
      <c r="Z16377" s="61">
        <f>_xll.qlYieldTSDiscount($U$35,Y16377,,Trigger)</f>
        <v>0.41622814011981568</v>
      </c>
    </row>
    <row r="16378" spans="25:26" x14ac:dyDescent="0.25">
      <c r="Y16378" s="63">
        <v>58911</v>
      </c>
      <c r="Z16378" s="61">
        <f>_xll.qlYieldTSDiscount($U$35,Y16378,,Trigger)</f>
        <v>0.41620306414203434</v>
      </c>
    </row>
    <row r="16379" spans="25:26" x14ac:dyDescent="0.25">
      <c r="Y16379" s="63">
        <v>58912</v>
      </c>
      <c r="Z16379" s="61">
        <f>_xll.qlYieldTSDiscount($U$35,Y16379,,Trigger)</f>
        <v>0.4161779902020194</v>
      </c>
    </row>
    <row r="16380" spans="25:26" x14ac:dyDescent="0.25">
      <c r="Y16380" s="63">
        <v>58913</v>
      </c>
      <c r="Z16380" s="61">
        <f>_xll.qlYieldTSDiscount($U$35,Y16380,,Trigger)</f>
        <v>0.4161529182994046</v>
      </c>
    </row>
    <row r="16381" spans="25:26" x14ac:dyDescent="0.25">
      <c r="Y16381" s="63">
        <v>58914</v>
      </c>
      <c r="Z16381" s="61">
        <f>_xll.qlYieldTSDiscount($U$35,Y16381,,Trigger)</f>
        <v>0.41612784843382405</v>
      </c>
    </row>
    <row r="16382" spans="25:26" x14ac:dyDescent="0.25">
      <c r="Y16382" s="63">
        <v>58915</v>
      </c>
      <c r="Z16382" s="61">
        <f>_xll.qlYieldTSDiscount($U$35,Y16382,,Trigger)</f>
        <v>0.41610278060491196</v>
      </c>
    </row>
    <row r="16383" spans="25:26" x14ac:dyDescent="0.25">
      <c r="Y16383" s="63">
        <v>58916</v>
      </c>
      <c r="Z16383" s="61">
        <f>_xll.qlYieldTSDiscount($U$35,Y16383,,Trigger)</f>
        <v>0.41607771481230216</v>
      </c>
    </row>
    <row r="16384" spans="25:26" x14ac:dyDescent="0.25">
      <c r="Y16384" s="63">
        <v>58917</v>
      </c>
      <c r="Z16384" s="61">
        <f>_xll.qlYieldTSDiscount($U$35,Y16384,,Trigger)</f>
        <v>0.41605265105562866</v>
      </c>
    </row>
    <row r="16385" spans="25:26" x14ac:dyDescent="0.25">
      <c r="Y16385" s="63">
        <v>58918</v>
      </c>
      <c r="Z16385" s="61">
        <f>_xll.qlYieldTSDiscount($U$35,Y16385,,Trigger)</f>
        <v>0.41602758933452566</v>
      </c>
    </row>
    <row r="16386" spans="25:26" x14ac:dyDescent="0.25">
      <c r="Y16386" s="63">
        <v>58919</v>
      </c>
      <c r="Z16386" s="61">
        <f>_xll.qlYieldTSDiscount($U$35,Y16386,,Trigger)</f>
        <v>0.416002529648627</v>
      </c>
    </row>
    <row r="16387" spans="25:26" x14ac:dyDescent="0.25">
      <c r="Y16387" s="63">
        <v>58920</v>
      </c>
      <c r="Z16387" s="61">
        <f>_xll.qlYieldTSDiscount($U$35,Y16387,,Trigger)</f>
        <v>0.41597747199756679</v>
      </c>
    </row>
    <row r="16388" spans="25:26" x14ac:dyDescent="0.25">
      <c r="Y16388" s="63">
        <v>58921</v>
      </c>
      <c r="Z16388" s="61">
        <f>_xll.qlYieldTSDiscount($U$35,Y16388,,Trigger)</f>
        <v>0.41595241638097902</v>
      </c>
    </row>
    <row r="16389" spans="25:26" x14ac:dyDescent="0.25">
      <c r="Y16389" s="63">
        <v>58922</v>
      </c>
      <c r="Z16389" s="61">
        <f>_xll.qlYieldTSDiscount($U$35,Y16389,,Trigger)</f>
        <v>0.41592736279849779</v>
      </c>
    </row>
    <row r="16390" spans="25:26" x14ac:dyDescent="0.25">
      <c r="Y16390" s="63">
        <v>58923</v>
      </c>
      <c r="Z16390" s="61">
        <f>_xll.qlYieldTSDiscount($U$35,Y16390,,Trigger)</f>
        <v>0.41590231124975696</v>
      </c>
    </row>
    <row r="16391" spans="25:26" x14ac:dyDescent="0.25">
      <c r="Y16391" s="63">
        <v>58924</v>
      </c>
      <c r="Z16391" s="61">
        <f>_xll.qlYieldTSDiscount($U$35,Y16391,,Trigger)</f>
        <v>0.41587726173439071</v>
      </c>
    </row>
    <row r="16392" spans="25:26" x14ac:dyDescent="0.25">
      <c r="Y16392" s="63">
        <v>58925</v>
      </c>
      <c r="Z16392" s="61">
        <f>_xll.qlYieldTSDiscount($U$35,Y16392,,Trigger)</f>
        <v>0.41585221425203306</v>
      </c>
    </row>
    <row r="16393" spans="25:26" x14ac:dyDescent="0.25">
      <c r="Y16393" s="63">
        <v>58926</v>
      </c>
      <c r="Z16393" s="61">
        <f>_xll.qlYieldTSDiscount($U$35,Y16393,,Trigger)</f>
        <v>0.4158271688023179</v>
      </c>
    </row>
    <row r="16394" spans="25:26" x14ac:dyDescent="0.25">
      <c r="Y16394" s="63">
        <v>58927</v>
      </c>
      <c r="Z16394" s="61">
        <f>_xll.qlYieldTSDiscount($U$35,Y16394,,Trigger)</f>
        <v>0.41580212538487932</v>
      </c>
    </row>
    <row r="16395" spans="25:26" x14ac:dyDescent="0.25">
      <c r="Y16395" s="63">
        <v>58928</v>
      </c>
      <c r="Z16395" s="61">
        <f>_xll.qlYieldTSDiscount($U$35,Y16395,,Trigger)</f>
        <v>0.41577708399935143</v>
      </c>
    </row>
    <row r="16396" spans="25:26" x14ac:dyDescent="0.25">
      <c r="Y16396" s="63">
        <v>58929</v>
      </c>
      <c r="Z16396" s="61">
        <f>_xll.qlYieldTSDiscount($U$35,Y16396,,Trigger)</f>
        <v>0.41575204464536808</v>
      </c>
    </row>
    <row r="16397" spans="25:26" x14ac:dyDescent="0.25">
      <c r="Y16397" s="63">
        <v>58930</v>
      </c>
      <c r="Z16397" s="61">
        <f>_xll.qlYieldTSDiscount($U$35,Y16397,,Trigger)</f>
        <v>0.4157270073225634</v>
      </c>
    </row>
    <row r="16398" spans="25:26" x14ac:dyDescent="0.25">
      <c r="Y16398" s="63">
        <v>58931</v>
      </c>
      <c r="Z16398" s="61">
        <f>_xll.qlYieldTSDiscount($U$35,Y16398,,Trigger)</f>
        <v>0.41570197203057146</v>
      </c>
    </row>
    <row r="16399" spans="25:26" x14ac:dyDescent="0.25">
      <c r="Y16399" s="63">
        <v>58932</v>
      </c>
      <c r="Z16399" s="61">
        <f>_xll.qlYieldTSDiscount($U$35,Y16399,,Trigger)</f>
        <v>0.41567693876902612</v>
      </c>
    </row>
    <row r="16400" spans="25:26" x14ac:dyDescent="0.25">
      <c r="Y16400" s="63">
        <v>58933</v>
      </c>
      <c r="Z16400" s="61">
        <f>_xll.qlYieldTSDiscount($U$35,Y16400,,Trigger)</f>
        <v>0.41565190753756154</v>
      </c>
    </row>
    <row r="16401" spans="25:26" x14ac:dyDescent="0.25">
      <c r="Y16401" s="63">
        <v>58934</v>
      </c>
      <c r="Z16401" s="61">
        <f>_xll.qlYieldTSDiscount($U$35,Y16401,,Trigger)</f>
        <v>0.41562687833581169</v>
      </c>
    </row>
    <row r="16402" spans="25:26" x14ac:dyDescent="0.25">
      <c r="Y16402" s="63">
        <v>58935</v>
      </c>
      <c r="Z16402" s="61">
        <f>_xll.qlYieldTSDiscount($U$35,Y16402,,Trigger)</f>
        <v>0.41560185116341058</v>
      </c>
    </row>
    <row r="16403" spans="25:26" x14ac:dyDescent="0.25">
      <c r="Y16403" s="63">
        <v>58936</v>
      </c>
      <c r="Z16403" s="61">
        <f>_xll.qlYieldTSDiscount($U$35,Y16403,,Trigger)</f>
        <v>0.41557682601999224</v>
      </c>
    </row>
    <row r="16404" spans="25:26" x14ac:dyDescent="0.25">
      <c r="Y16404" s="63">
        <v>58937</v>
      </c>
      <c r="Z16404" s="61">
        <f>_xll.qlYieldTSDiscount($U$35,Y16404,,Trigger)</f>
        <v>0.41555180290519078</v>
      </c>
    </row>
    <row r="16405" spans="25:26" x14ac:dyDescent="0.25">
      <c r="Y16405" s="63">
        <v>58938</v>
      </c>
      <c r="Z16405" s="61">
        <f>_xll.qlYieldTSDiscount($U$35,Y16405,,Trigger)</f>
        <v>0.41552678181864011</v>
      </c>
    </row>
    <row r="16406" spans="25:26" x14ac:dyDescent="0.25">
      <c r="Y16406" s="63">
        <v>58939</v>
      </c>
      <c r="Z16406" s="61">
        <f>_xll.qlYieldTSDiscount($U$35,Y16406,,Trigger)</f>
        <v>0.4155017627599743</v>
      </c>
    </row>
    <row r="16407" spans="25:26" x14ac:dyDescent="0.25">
      <c r="Y16407" s="63">
        <v>58940</v>
      </c>
      <c r="Z16407" s="61">
        <f>_xll.qlYieldTSDiscount($U$35,Y16407,,Trigger)</f>
        <v>0.41547674572882731</v>
      </c>
    </row>
    <row r="16408" spans="25:26" x14ac:dyDescent="0.25">
      <c r="Y16408" s="63">
        <v>58941</v>
      </c>
      <c r="Z16408" s="61">
        <f>_xll.qlYieldTSDiscount($U$35,Y16408,,Trigger)</f>
        <v>0.41545173072483332</v>
      </c>
    </row>
    <row r="16409" spans="25:26" x14ac:dyDescent="0.25">
      <c r="Y16409" s="63">
        <v>58942</v>
      </c>
      <c r="Z16409" s="61">
        <f>_xll.qlYieldTSDiscount($U$35,Y16409,,Trigger)</f>
        <v>0.41542671774762618</v>
      </c>
    </row>
    <row r="16410" spans="25:26" x14ac:dyDescent="0.25">
      <c r="Y16410" s="63">
        <v>58943</v>
      </c>
      <c r="Z16410" s="61">
        <f>_xll.qlYieldTSDiscount($U$35,Y16410,,Trigger)</f>
        <v>0.41540170679683991</v>
      </c>
    </row>
    <row r="16411" spans="25:26" x14ac:dyDescent="0.25">
      <c r="Y16411" s="63">
        <v>58944</v>
      </c>
      <c r="Z16411" s="61">
        <f>_xll.qlYieldTSDiscount($U$35,Y16411,,Trigger)</f>
        <v>0.41537669787210874</v>
      </c>
    </row>
    <row r="16412" spans="25:26" x14ac:dyDescent="0.25">
      <c r="Y16412" s="63">
        <v>58945</v>
      </c>
      <c r="Z16412" s="61">
        <f>_xll.qlYieldTSDiscount($U$35,Y16412,,Trigger)</f>
        <v>0.41535169097306646</v>
      </c>
    </row>
    <row r="16413" spans="25:26" x14ac:dyDescent="0.25">
      <c r="Y16413" s="63">
        <v>58946</v>
      </c>
      <c r="Z16413" s="61">
        <f>_xll.qlYieldTSDiscount($U$35,Y16413,,Trigger)</f>
        <v>0.41532668609934714</v>
      </c>
    </row>
    <row r="16414" spans="25:26" x14ac:dyDescent="0.25">
      <c r="Y16414" s="63">
        <v>58947</v>
      </c>
      <c r="Z16414" s="61">
        <f>_xll.qlYieldTSDiscount($U$35,Y16414,,Trigger)</f>
        <v>0.41530168325058492</v>
      </c>
    </row>
    <row r="16415" spans="25:26" x14ac:dyDescent="0.25">
      <c r="Y16415" s="63">
        <v>58948</v>
      </c>
      <c r="Z16415" s="61">
        <f>_xll.qlYieldTSDiscount($U$35,Y16415,,Trigger)</f>
        <v>0.41527668242641369</v>
      </c>
    </row>
    <row r="16416" spans="25:26" x14ac:dyDescent="0.25">
      <c r="Y16416" s="63">
        <v>58949</v>
      </c>
      <c r="Z16416" s="61">
        <f>_xll.qlYieldTSDiscount($U$35,Y16416,,Trigger)</f>
        <v>0.41525168362646758</v>
      </c>
    </row>
    <row r="16417" spans="25:26" x14ac:dyDescent="0.25">
      <c r="Y16417" s="63">
        <v>58950</v>
      </c>
      <c r="Z16417" s="61">
        <f>_xll.qlYieldTSDiscount($U$35,Y16417,,Trigger)</f>
        <v>0.4152266868503805</v>
      </c>
    </row>
    <row r="16418" spans="25:26" x14ac:dyDescent="0.25">
      <c r="Y16418" s="63">
        <v>58951</v>
      </c>
      <c r="Z16418" s="61">
        <f>_xll.qlYieldTSDiscount($U$35,Y16418,,Trigger)</f>
        <v>0.41520169209778657</v>
      </c>
    </row>
    <row r="16419" spans="25:26" x14ac:dyDescent="0.25">
      <c r="Y16419" s="63">
        <v>58952</v>
      </c>
      <c r="Z16419" s="61">
        <f>_xll.qlYieldTSDiscount($U$35,Y16419,,Trigger)</f>
        <v>0.4151766993683198</v>
      </c>
    </row>
    <row r="16420" spans="25:26" x14ac:dyDescent="0.25">
      <c r="Y16420" s="63">
        <v>58953</v>
      </c>
      <c r="Z16420" s="61">
        <f>_xll.qlYieldTSDiscount($U$35,Y16420,,Trigger)</f>
        <v>0.41515170866161411</v>
      </c>
    </row>
    <row r="16421" spans="25:26" x14ac:dyDescent="0.25">
      <c r="Y16421" s="63">
        <v>58954</v>
      </c>
      <c r="Z16421" s="61">
        <f>_xll.qlYieldTSDiscount($U$35,Y16421,,Trigger)</f>
        <v>0.41512671997730366</v>
      </c>
    </row>
    <row r="16422" spans="25:26" x14ac:dyDescent="0.25">
      <c r="Y16422" s="63">
        <v>58955</v>
      </c>
      <c r="Z16422" s="61">
        <f>_xll.qlYieldTSDiscount($U$35,Y16422,,Trigger)</f>
        <v>0.41510173331502243</v>
      </c>
    </row>
    <row r="16423" spans="25:26" x14ac:dyDescent="0.25">
      <c r="Y16423" s="63">
        <v>58956</v>
      </c>
      <c r="Z16423" s="61">
        <f>_xll.qlYieldTSDiscount($U$35,Y16423,,Trigger)</f>
        <v>0.41507674867440436</v>
      </c>
    </row>
    <row r="16424" spans="25:26" x14ac:dyDescent="0.25">
      <c r="Y16424" s="63">
        <v>58957</v>
      </c>
      <c r="Z16424" s="61">
        <f>_xll.qlYieldTSDiscount($U$35,Y16424,,Trigger)</f>
        <v>0.41505176605508354</v>
      </c>
    </row>
    <row r="16425" spans="25:26" x14ac:dyDescent="0.25">
      <c r="Y16425" s="63">
        <v>58958</v>
      </c>
      <c r="Z16425" s="61">
        <f>_xll.qlYieldTSDiscount($U$35,Y16425,,Trigger)</f>
        <v>0.41502678545669403</v>
      </c>
    </row>
    <row r="16426" spans="25:26" x14ac:dyDescent="0.25">
      <c r="Y16426" s="63">
        <v>58959</v>
      </c>
      <c r="Z16426" s="61">
        <f>_xll.qlYieldTSDiscount($U$35,Y16426,,Trigger)</f>
        <v>0.41500180687886973</v>
      </c>
    </row>
    <row r="16427" spans="25:26" x14ac:dyDescent="0.25">
      <c r="Y16427" s="63">
        <v>58960</v>
      </c>
      <c r="Z16427" s="61">
        <f>_xll.qlYieldTSDiscount($U$35,Y16427,,Trigger)</f>
        <v>0.41497683032124483</v>
      </c>
    </row>
    <row r="16428" spans="25:26" x14ac:dyDescent="0.25">
      <c r="Y16428" s="63">
        <v>58961</v>
      </c>
      <c r="Z16428" s="61">
        <f>_xll.qlYieldTSDiscount($U$35,Y16428,,Trigger)</f>
        <v>0.41495185578345317</v>
      </c>
    </row>
    <row r="16429" spans="25:26" x14ac:dyDescent="0.25">
      <c r="Y16429" s="63">
        <v>58962</v>
      </c>
      <c r="Z16429" s="61">
        <f>_xll.qlYieldTSDiscount($U$35,Y16429,,Trigger)</f>
        <v>0.41492688326512889</v>
      </c>
    </row>
    <row r="16430" spans="25:26" x14ac:dyDescent="0.25">
      <c r="Y16430" s="63">
        <v>58963</v>
      </c>
      <c r="Z16430" s="61">
        <f>_xll.qlYieldTSDiscount($U$35,Y16430,,Trigger)</f>
        <v>0.41490191276590604</v>
      </c>
    </row>
    <row r="16431" spans="25:26" x14ac:dyDescent="0.25">
      <c r="Y16431" s="63">
        <v>58964</v>
      </c>
      <c r="Z16431" s="61">
        <f>_xll.qlYieldTSDiscount($U$35,Y16431,,Trigger)</f>
        <v>0.41487694428541849</v>
      </c>
    </row>
    <row r="16432" spans="25:26" x14ac:dyDescent="0.25">
      <c r="Y16432" s="63">
        <v>58965</v>
      </c>
      <c r="Z16432" s="61">
        <f>_xll.qlYieldTSDiscount($U$35,Y16432,,Trigger)</f>
        <v>0.41485197782330041</v>
      </c>
    </row>
    <row r="16433" spans="25:26" x14ac:dyDescent="0.25">
      <c r="Y16433" s="63">
        <v>58966</v>
      </c>
      <c r="Z16433" s="61">
        <f>_xll.qlYieldTSDiscount($U$35,Y16433,,Trigger)</f>
        <v>0.41482701337918571</v>
      </c>
    </row>
    <row r="16434" spans="25:26" x14ac:dyDescent="0.25">
      <c r="Y16434" s="63">
        <v>58967</v>
      </c>
      <c r="Z16434" s="61">
        <f>_xll.qlYieldTSDiscount($U$35,Y16434,,Trigger)</f>
        <v>0.41480205095270861</v>
      </c>
    </row>
    <row r="16435" spans="25:26" x14ac:dyDescent="0.25">
      <c r="Y16435" s="63">
        <v>58968</v>
      </c>
      <c r="Z16435" s="61">
        <f>_xll.qlYieldTSDiscount($U$35,Y16435,,Trigger)</f>
        <v>0.41477709054350287</v>
      </c>
    </row>
    <row r="16436" spans="25:26" x14ac:dyDescent="0.25">
      <c r="Y16436" s="63">
        <v>58969</v>
      </c>
      <c r="Z16436" s="61">
        <f>_xll.qlYieldTSDiscount($U$35,Y16436,,Trigger)</f>
        <v>0.41475213215120266</v>
      </c>
    </row>
    <row r="16437" spans="25:26" x14ac:dyDescent="0.25">
      <c r="Y16437" s="63">
        <v>58970</v>
      </c>
      <c r="Z16437" s="61">
        <f>_xll.qlYieldTSDiscount($U$35,Y16437,,Trigger)</f>
        <v>0.41472717577544205</v>
      </c>
    </row>
    <row r="16438" spans="25:26" x14ac:dyDescent="0.25">
      <c r="Y16438" s="63">
        <v>58971</v>
      </c>
      <c r="Z16438" s="61">
        <f>_xll.qlYieldTSDiscount($U$35,Y16438,,Trigger)</f>
        <v>0.41470222141585489</v>
      </c>
    </row>
    <row r="16439" spans="25:26" x14ac:dyDescent="0.25">
      <c r="Y16439" s="63">
        <v>58972</v>
      </c>
      <c r="Z16439" s="61">
        <f>_xll.qlYieldTSDiscount($U$35,Y16439,,Trigger)</f>
        <v>0.41467726907207536</v>
      </c>
    </row>
    <row r="16440" spans="25:26" x14ac:dyDescent="0.25">
      <c r="Y16440" s="63">
        <v>58973</v>
      </c>
      <c r="Z16440" s="61">
        <f>_xll.qlYieldTSDiscount($U$35,Y16440,,Trigger)</f>
        <v>0.41465231874373742</v>
      </c>
    </row>
    <row r="16441" spans="25:26" x14ac:dyDescent="0.25">
      <c r="Y16441" s="63">
        <v>58974</v>
      </c>
      <c r="Z16441" s="61">
        <f>_xll.qlYieldTSDiscount($U$35,Y16441,,Trigger)</f>
        <v>0.41462737043047504</v>
      </c>
    </row>
    <row r="16442" spans="25:26" x14ac:dyDescent="0.25">
      <c r="Y16442" s="63">
        <v>58975</v>
      </c>
      <c r="Z16442" s="61">
        <f>_xll.qlYieldTSDiscount($U$35,Y16442,,Trigger)</f>
        <v>0.41460242413192228</v>
      </c>
    </row>
    <row r="16443" spans="25:26" x14ac:dyDescent="0.25">
      <c r="Y16443" s="63">
        <v>58976</v>
      </c>
      <c r="Z16443" s="61">
        <f>_xll.qlYieldTSDiscount($U$35,Y16443,,Trigger)</f>
        <v>0.41457747984771326</v>
      </c>
    </row>
    <row r="16444" spans="25:26" x14ac:dyDescent="0.25">
      <c r="Y16444" s="63">
        <v>58977</v>
      </c>
      <c r="Z16444" s="61">
        <f>_xll.qlYieldTSDiscount($U$35,Y16444,,Trigger)</f>
        <v>0.41455253757748189</v>
      </c>
    </row>
    <row r="16445" spans="25:26" x14ac:dyDescent="0.25">
      <c r="Y16445" s="63">
        <v>58978</v>
      </c>
      <c r="Z16445" s="61">
        <f>_xll.qlYieldTSDiscount($U$35,Y16445,,Trigger)</f>
        <v>0.4145275973208622</v>
      </c>
    </row>
    <row r="16446" spans="25:26" x14ac:dyDescent="0.25">
      <c r="Y16446" s="63">
        <v>58979</v>
      </c>
      <c r="Z16446" s="61">
        <f>_xll.qlYieldTSDiscount($U$35,Y16446,,Trigger)</f>
        <v>0.41450265907748829</v>
      </c>
    </row>
    <row r="16447" spans="25:26" x14ac:dyDescent="0.25">
      <c r="Y16447" s="63">
        <v>58980</v>
      </c>
      <c r="Z16447" s="61">
        <f>_xll.qlYieldTSDiscount($U$35,Y16447,,Trigger)</f>
        <v>0.41447772284699402</v>
      </c>
    </row>
    <row r="16448" spans="25:26" x14ac:dyDescent="0.25">
      <c r="Y16448" s="63">
        <v>58981</v>
      </c>
      <c r="Z16448" s="61">
        <f>_xll.qlYieldTSDiscount($U$35,Y16448,,Trigger)</f>
        <v>0.41445278862901358</v>
      </c>
    </row>
    <row r="16449" spans="25:26" x14ac:dyDescent="0.25">
      <c r="Y16449" s="63">
        <v>58982</v>
      </c>
      <c r="Z16449" s="61">
        <f>_xll.qlYieldTSDiscount($U$35,Y16449,,Trigger)</f>
        <v>0.41442785642318092</v>
      </c>
    </row>
    <row r="16450" spans="25:26" x14ac:dyDescent="0.25">
      <c r="Y16450" s="63">
        <v>58983</v>
      </c>
      <c r="Z16450" s="61">
        <f>_xll.qlYieldTSDiscount($U$35,Y16450,,Trigger)</f>
        <v>0.41440292622913011</v>
      </c>
    </row>
    <row r="16451" spans="25:26" x14ac:dyDescent="0.25">
      <c r="Y16451" s="63">
        <v>58984</v>
      </c>
      <c r="Z16451" s="61">
        <f>_xll.qlYieldTSDiscount($U$35,Y16451,,Trigger)</f>
        <v>0.41437799804649511</v>
      </c>
    </row>
    <row r="16452" spans="25:26" x14ac:dyDescent="0.25">
      <c r="Y16452" s="63">
        <v>58985</v>
      </c>
      <c r="Z16452" s="61">
        <f>_xll.qlYieldTSDiscount($U$35,Y16452,,Trigger)</f>
        <v>0.41435307187490988</v>
      </c>
    </row>
    <row r="16453" spans="25:26" x14ac:dyDescent="0.25">
      <c r="Y16453" s="63">
        <v>58986</v>
      </c>
      <c r="Z16453" s="61">
        <f>_xll.qlYieldTSDiscount($U$35,Y16453,,Trigger)</f>
        <v>0.41432814771400867</v>
      </c>
    </row>
    <row r="16454" spans="25:26" x14ac:dyDescent="0.25">
      <c r="Y16454" s="63">
        <v>58987</v>
      </c>
      <c r="Z16454" s="61">
        <f>_xll.qlYieldTSDiscount($U$35,Y16454,,Trigger)</f>
        <v>0.41430322556342525</v>
      </c>
    </row>
    <row r="16455" spans="25:26" x14ac:dyDescent="0.25">
      <c r="Y16455" s="63">
        <v>58988</v>
      </c>
      <c r="Z16455" s="61">
        <f>_xll.qlYieldTSDiscount($U$35,Y16455,,Trigger)</f>
        <v>0.41427830542279376</v>
      </c>
    </row>
    <row r="16456" spans="25:26" x14ac:dyDescent="0.25">
      <c r="Y16456" s="63">
        <v>58989</v>
      </c>
      <c r="Z16456" s="61">
        <f>_xll.qlYieldTSDiscount($U$35,Y16456,,Trigger)</f>
        <v>0.41425338729174832</v>
      </c>
    </row>
    <row r="16457" spans="25:26" x14ac:dyDescent="0.25">
      <c r="Y16457" s="63">
        <v>58990</v>
      </c>
      <c r="Z16457" s="61">
        <f>_xll.qlYieldTSDiscount($U$35,Y16457,,Trigger)</f>
        <v>0.41422847116992273</v>
      </c>
    </row>
    <row r="16458" spans="25:26" x14ac:dyDescent="0.25">
      <c r="Y16458" s="63">
        <v>58991</v>
      </c>
      <c r="Z16458" s="61">
        <f>_xll.qlYieldTSDiscount($U$35,Y16458,,Trigger)</f>
        <v>0.41420355705695111</v>
      </c>
    </row>
    <row r="16459" spans="25:26" x14ac:dyDescent="0.25">
      <c r="Y16459" s="63">
        <v>58992</v>
      </c>
      <c r="Z16459" s="61">
        <f>_xll.qlYieldTSDiscount($U$35,Y16459,,Trigger)</f>
        <v>0.41417864495246765</v>
      </c>
    </row>
    <row r="16460" spans="25:26" x14ac:dyDescent="0.25">
      <c r="Y16460" s="63">
        <v>58993</v>
      </c>
      <c r="Z16460" s="61">
        <f>_xll.qlYieldTSDiscount($U$35,Y16460,,Trigger)</f>
        <v>0.41415373485610607</v>
      </c>
    </row>
    <row r="16461" spans="25:26" x14ac:dyDescent="0.25">
      <c r="Y16461" s="63">
        <v>58994</v>
      </c>
      <c r="Z16461" s="61">
        <f>_xll.qlYieldTSDiscount($U$35,Y16461,,Trigger)</f>
        <v>0.41412882676750057</v>
      </c>
    </row>
    <row r="16462" spans="25:26" x14ac:dyDescent="0.25">
      <c r="Y16462" s="63">
        <v>58995</v>
      </c>
      <c r="Z16462" s="61">
        <f>_xll.qlYieldTSDiscount($U$35,Y16462,,Trigger)</f>
        <v>0.41410392068628515</v>
      </c>
    </row>
    <row r="16463" spans="25:26" x14ac:dyDescent="0.25">
      <c r="Y16463" s="63">
        <v>58996</v>
      </c>
      <c r="Z16463" s="61">
        <f>_xll.qlYieldTSDiscount($U$35,Y16463,,Trigger)</f>
        <v>0.4140790166120939</v>
      </c>
    </row>
    <row r="16464" spans="25:26" x14ac:dyDescent="0.25">
      <c r="Y16464" s="63">
        <v>58997</v>
      </c>
      <c r="Z16464" s="61">
        <f>_xll.qlYieldTSDiscount($U$35,Y16464,,Trigger)</f>
        <v>0.41405411454456065</v>
      </c>
    </row>
    <row r="16465" spans="25:26" x14ac:dyDescent="0.25">
      <c r="Y16465" s="63">
        <v>58998</v>
      </c>
      <c r="Z16465" s="61">
        <f>_xll.qlYieldTSDiscount($U$35,Y16465,,Trigger)</f>
        <v>0.41402921448331953</v>
      </c>
    </row>
    <row r="16466" spans="25:26" x14ac:dyDescent="0.25">
      <c r="Y16466" s="63">
        <v>58999</v>
      </c>
      <c r="Z16466" s="61">
        <f>_xll.qlYieldTSDiscount($U$35,Y16466,,Trigger)</f>
        <v>0.41400431642800473</v>
      </c>
    </row>
    <row r="16467" spans="25:26" x14ac:dyDescent="0.25">
      <c r="Y16467" s="63">
        <v>59000</v>
      </c>
      <c r="Z16467" s="61">
        <f>_xll.qlYieldTSDiscount($U$35,Y16467,,Trigger)</f>
        <v>0.41397942037824997</v>
      </c>
    </row>
    <row r="16468" spans="25:26" x14ac:dyDescent="0.25">
      <c r="Y16468" s="63">
        <v>59001</v>
      </c>
      <c r="Z16468" s="61">
        <f>_xll.qlYieldTSDiscount($U$35,Y16468,,Trigger)</f>
        <v>0.41395452633368945</v>
      </c>
    </row>
    <row r="16469" spans="25:26" x14ac:dyDescent="0.25">
      <c r="Y16469" s="63">
        <v>59002</v>
      </c>
      <c r="Z16469" s="61">
        <f>_xll.qlYieldTSDiscount($U$35,Y16469,,Trigger)</f>
        <v>0.41392963429395724</v>
      </c>
    </row>
    <row r="16470" spans="25:26" x14ac:dyDescent="0.25">
      <c r="Y16470" s="63">
        <v>59003</v>
      </c>
      <c r="Z16470" s="61">
        <f>_xll.qlYieldTSDiscount($U$35,Y16470,,Trigger)</f>
        <v>0.41390474425868717</v>
      </c>
    </row>
    <row r="16471" spans="25:26" x14ac:dyDescent="0.25">
      <c r="Y16471" s="63">
        <v>59004</v>
      </c>
      <c r="Z16471" s="61">
        <f>_xll.qlYieldTSDiscount($U$35,Y16471,,Trigger)</f>
        <v>0.41387985622751333</v>
      </c>
    </row>
    <row r="16472" spans="25:26" x14ac:dyDescent="0.25">
      <c r="Y16472" s="63">
        <v>59005</v>
      </c>
      <c r="Z16472" s="61">
        <f>_xll.qlYieldTSDiscount($U$35,Y16472,,Trigger)</f>
        <v>0.41385497020006989</v>
      </c>
    </row>
    <row r="16473" spans="25:26" x14ac:dyDescent="0.25">
      <c r="Y16473" s="63">
        <v>59006</v>
      </c>
      <c r="Z16473" s="61">
        <f>_xll.qlYieldTSDiscount($U$35,Y16473,,Trigger)</f>
        <v>0.41383008617599071</v>
      </c>
    </row>
    <row r="16474" spans="25:26" x14ac:dyDescent="0.25">
      <c r="Y16474" s="63">
        <v>59007</v>
      </c>
      <c r="Z16474" s="61">
        <f>_xll.qlYieldTSDiscount($U$35,Y16474,,Trigger)</f>
        <v>0.4138052041549099</v>
      </c>
    </row>
    <row r="16475" spans="25:26" x14ac:dyDescent="0.25">
      <c r="Y16475" s="63">
        <v>59008</v>
      </c>
      <c r="Z16475" s="61">
        <f>_xll.qlYieldTSDiscount($U$35,Y16475,,Trigger)</f>
        <v>0.41378032413646149</v>
      </c>
    </row>
    <row r="16476" spans="25:26" x14ac:dyDescent="0.25">
      <c r="Y16476" s="63">
        <v>59009</v>
      </c>
      <c r="Z16476" s="61">
        <f>_xll.qlYieldTSDiscount($U$35,Y16476,,Trigger)</f>
        <v>0.41375544612027937</v>
      </c>
    </row>
    <row r="16477" spans="25:26" x14ac:dyDescent="0.25">
      <c r="Y16477" s="63">
        <v>59010</v>
      </c>
      <c r="Z16477" s="61">
        <f>_xll.qlYieldTSDiscount($U$35,Y16477,,Trigger)</f>
        <v>0.41373057010599762</v>
      </c>
    </row>
    <row r="16478" spans="25:26" x14ac:dyDescent="0.25">
      <c r="Y16478" s="63">
        <v>59011</v>
      </c>
      <c r="Z16478" s="61">
        <f>_xll.qlYieldTSDiscount($U$35,Y16478,,Trigger)</f>
        <v>0.41370569609325036</v>
      </c>
    </row>
    <row r="16479" spans="25:26" x14ac:dyDescent="0.25">
      <c r="Y16479" s="63">
        <v>59012</v>
      </c>
      <c r="Z16479" s="61">
        <f>_xll.qlYieldTSDiscount($U$35,Y16479,,Trigger)</f>
        <v>0.41368082408167151</v>
      </c>
    </row>
    <row r="16480" spans="25:26" x14ac:dyDescent="0.25">
      <c r="Y16480" s="63">
        <v>59013</v>
      </c>
      <c r="Z16480" s="61">
        <f>_xll.qlYieldTSDiscount($U$35,Y16480,,Trigger)</f>
        <v>0.41365595407089517</v>
      </c>
    </row>
    <row r="16481" spans="25:26" x14ac:dyDescent="0.25">
      <c r="Y16481" s="63">
        <v>59014</v>
      </c>
      <c r="Z16481" s="61">
        <f>_xll.qlYieldTSDiscount($U$35,Y16481,,Trigger)</f>
        <v>0.41363108606055532</v>
      </c>
    </row>
    <row r="16482" spans="25:26" x14ac:dyDescent="0.25">
      <c r="Y16482" s="63">
        <v>59015</v>
      </c>
      <c r="Z16482" s="61">
        <f>_xll.qlYieldTSDiscount($U$35,Y16482,,Trigger)</f>
        <v>0.41360622005028597</v>
      </c>
    </row>
    <row r="16483" spans="25:26" x14ac:dyDescent="0.25">
      <c r="Y16483" s="63">
        <v>59016</v>
      </c>
      <c r="Z16483" s="61">
        <f>_xll.qlYieldTSDiscount($U$35,Y16483,,Trigger)</f>
        <v>0.41358135603972113</v>
      </c>
    </row>
    <row r="16484" spans="25:26" x14ac:dyDescent="0.25">
      <c r="Y16484" s="63">
        <v>59017</v>
      </c>
      <c r="Z16484" s="61">
        <f>_xll.qlYieldTSDiscount($U$35,Y16484,,Trigger)</f>
        <v>0.41355649402849481</v>
      </c>
    </row>
    <row r="16485" spans="25:26" x14ac:dyDescent="0.25">
      <c r="Y16485" s="63">
        <v>59018</v>
      </c>
      <c r="Z16485" s="61">
        <f>_xll.qlYieldTSDiscount($U$35,Y16485,,Trigger)</f>
        <v>0.41353163401624116</v>
      </c>
    </row>
    <row r="16486" spans="25:26" x14ac:dyDescent="0.25">
      <c r="Y16486" s="63">
        <v>59019</v>
      </c>
      <c r="Z16486" s="61">
        <f>_xll.qlYieldTSDiscount($U$35,Y16486,,Trigger)</f>
        <v>0.41350677600259406</v>
      </c>
    </row>
    <row r="16487" spans="25:26" x14ac:dyDescent="0.25">
      <c r="Y16487" s="63">
        <v>59020</v>
      </c>
      <c r="Z16487" s="61">
        <f>_xll.qlYieldTSDiscount($U$35,Y16487,,Trigger)</f>
        <v>0.41348191998718753</v>
      </c>
    </row>
    <row r="16488" spans="25:26" x14ac:dyDescent="0.25">
      <c r="Y16488" s="63">
        <v>59021</v>
      </c>
      <c r="Z16488" s="61">
        <f>_xll.qlYieldTSDiscount($U$35,Y16488,,Trigger)</f>
        <v>0.41345706596965576</v>
      </c>
    </row>
    <row r="16489" spans="25:26" x14ac:dyDescent="0.25">
      <c r="Y16489" s="63">
        <v>59022</v>
      </c>
      <c r="Z16489" s="61">
        <f>_xll.qlYieldTSDiscount($U$35,Y16489,,Trigger)</f>
        <v>0.41343221394963259</v>
      </c>
    </row>
    <row r="16490" spans="25:26" x14ac:dyDescent="0.25">
      <c r="Y16490" s="63">
        <v>59023</v>
      </c>
      <c r="Z16490" s="61">
        <f>_xll.qlYieldTSDiscount($U$35,Y16490,,Trigger)</f>
        <v>0.41340736392675204</v>
      </c>
    </row>
    <row r="16491" spans="25:26" x14ac:dyDescent="0.25">
      <c r="Y16491" s="63">
        <v>59024</v>
      </c>
      <c r="Z16491" s="61">
        <f>_xll.qlYieldTSDiscount($U$35,Y16491,,Trigger)</f>
        <v>0.41338251590064834</v>
      </c>
    </row>
    <row r="16492" spans="25:26" x14ac:dyDescent="0.25">
      <c r="Y16492" s="63">
        <v>59025</v>
      </c>
      <c r="Z16492" s="61">
        <f>_xll.qlYieldTSDiscount($U$35,Y16492,,Trigger)</f>
        <v>0.41335766987095524</v>
      </c>
    </row>
    <row r="16493" spans="25:26" x14ac:dyDescent="0.25">
      <c r="Y16493" s="63">
        <v>59026</v>
      </c>
      <c r="Z16493" s="61">
        <f>_xll.qlYieldTSDiscount($U$35,Y16493,,Trigger)</f>
        <v>0.41333282583730691</v>
      </c>
    </row>
    <row r="16494" spans="25:26" x14ac:dyDescent="0.25">
      <c r="Y16494" s="63">
        <v>59027</v>
      </c>
      <c r="Z16494" s="61">
        <f>_xll.qlYieldTSDiscount($U$35,Y16494,,Trigger)</f>
        <v>0.41330798379933736</v>
      </c>
    </row>
    <row r="16495" spans="25:26" x14ac:dyDescent="0.25">
      <c r="Y16495" s="63">
        <v>59028</v>
      </c>
      <c r="Z16495" s="61">
        <f>_xll.qlYieldTSDiscount($U$35,Y16495,,Trigger)</f>
        <v>0.41328314375668063</v>
      </c>
    </row>
    <row r="16496" spans="25:26" x14ac:dyDescent="0.25">
      <c r="Y16496" s="63">
        <v>59029</v>
      </c>
      <c r="Z16496" s="61">
        <f>_xll.qlYieldTSDiscount($U$35,Y16496,,Trigger)</f>
        <v>0.41325830570897071</v>
      </c>
    </row>
    <row r="16497" spans="25:26" x14ac:dyDescent="0.25">
      <c r="Y16497" s="63">
        <v>59030</v>
      </c>
      <c r="Z16497" s="61">
        <f>_xll.qlYieldTSDiscount($U$35,Y16497,,Trigger)</f>
        <v>0.41323346965584162</v>
      </c>
    </row>
    <row r="16498" spans="25:26" x14ac:dyDescent="0.25">
      <c r="Y16498" s="63">
        <v>59031</v>
      </c>
      <c r="Z16498" s="61">
        <f>_xll.qlYieldTSDiscount($U$35,Y16498,,Trigger)</f>
        <v>0.41320863559692744</v>
      </c>
    </row>
    <row r="16499" spans="25:26" x14ac:dyDescent="0.25">
      <c r="Y16499" s="63">
        <v>59032</v>
      </c>
      <c r="Z16499" s="61">
        <f>_xll.qlYieldTSDiscount($U$35,Y16499,,Trigger)</f>
        <v>0.41318380353186207</v>
      </c>
    </row>
    <row r="16500" spans="25:26" x14ac:dyDescent="0.25">
      <c r="Y16500" s="63">
        <v>59033</v>
      </c>
      <c r="Z16500" s="61">
        <f>_xll.qlYieldTSDiscount($U$35,Y16500,,Trigger)</f>
        <v>0.41315897346027963</v>
      </c>
    </row>
    <row r="16501" spans="25:26" x14ac:dyDescent="0.25">
      <c r="Y16501" s="63">
        <v>59034</v>
      </c>
      <c r="Z16501" s="61">
        <f>_xll.qlYieldTSDiscount($U$35,Y16501,,Trigger)</f>
        <v>0.41313414538181414</v>
      </c>
    </row>
    <row r="16502" spans="25:26" x14ac:dyDescent="0.25">
      <c r="Y16502" s="63">
        <v>59035</v>
      </c>
      <c r="Z16502" s="61">
        <f>_xll.qlYieldTSDiscount($U$35,Y16502,,Trigger)</f>
        <v>0.41310931929609951</v>
      </c>
    </row>
    <row r="16503" spans="25:26" x14ac:dyDescent="0.25">
      <c r="Y16503" s="63">
        <v>59036</v>
      </c>
      <c r="Z16503" s="61">
        <f>_xll.qlYieldTSDiscount($U$35,Y16503,,Trigger)</f>
        <v>0.41308449520276991</v>
      </c>
    </row>
    <row r="16504" spans="25:26" x14ac:dyDescent="0.25">
      <c r="Y16504" s="63">
        <v>59037</v>
      </c>
      <c r="Z16504" s="61">
        <f>_xll.qlYieldTSDiscount($U$35,Y16504,,Trigger)</f>
        <v>0.41305967310145941</v>
      </c>
    </row>
    <row r="16505" spans="25:26" x14ac:dyDescent="0.25">
      <c r="Y16505" s="63">
        <v>59038</v>
      </c>
      <c r="Z16505" s="61">
        <f>_xll.qlYieldTSDiscount($U$35,Y16505,,Trigger)</f>
        <v>0.41303485299180176</v>
      </c>
    </row>
    <row r="16506" spans="25:26" x14ac:dyDescent="0.25">
      <c r="Y16506" s="63">
        <v>59039</v>
      </c>
      <c r="Z16506" s="61">
        <f>_xll.qlYieldTSDiscount($U$35,Y16506,,Trigger)</f>
        <v>0.41301003487343119</v>
      </c>
    </row>
    <row r="16507" spans="25:26" x14ac:dyDescent="0.25">
      <c r="Y16507" s="63">
        <v>59040</v>
      </c>
      <c r="Z16507" s="61">
        <f>_xll.qlYieldTSDiscount($U$35,Y16507,,Trigger)</f>
        <v>0.41298521874598165</v>
      </c>
    </row>
    <row r="16508" spans="25:26" x14ac:dyDescent="0.25">
      <c r="Y16508" s="63">
        <v>59041</v>
      </c>
      <c r="Z16508" s="61">
        <f>_xll.qlYieldTSDiscount($U$35,Y16508,,Trigger)</f>
        <v>0.41296040460908728</v>
      </c>
    </row>
    <row r="16509" spans="25:26" x14ac:dyDescent="0.25">
      <c r="Y16509" s="63">
        <v>59042</v>
      </c>
      <c r="Z16509" s="61">
        <f>_xll.qlYieldTSDiscount($U$35,Y16509,,Trigger)</f>
        <v>0.41293559246238198</v>
      </c>
    </row>
    <row r="16510" spans="25:26" x14ac:dyDescent="0.25">
      <c r="Y16510" s="63">
        <v>59043</v>
      </c>
      <c r="Z16510" s="61">
        <f>_xll.qlYieldTSDiscount($U$35,Y16510,,Trigger)</f>
        <v>0.41291078230549971</v>
      </c>
    </row>
    <row r="16511" spans="25:26" x14ac:dyDescent="0.25">
      <c r="Y16511" s="63">
        <v>59044</v>
      </c>
      <c r="Z16511" s="61">
        <f>_xll.qlYieldTSDiscount($U$35,Y16511,,Trigger)</f>
        <v>0.41288597413807471</v>
      </c>
    </row>
    <row r="16512" spans="25:26" x14ac:dyDescent="0.25">
      <c r="Y16512" s="63">
        <v>59045</v>
      </c>
      <c r="Z16512" s="61">
        <f>_xll.qlYieldTSDiscount($U$35,Y16512,,Trigger)</f>
        <v>0.41286116795974082</v>
      </c>
    </row>
    <row r="16513" spans="25:26" x14ac:dyDescent="0.25">
      <c r="Y16513" s="63">
        <v>59046</v>
      </c>
      <c r="Z16513" s="61">
        <f>_xll.qlYieldTSDiscount($U$35,Y16513,,Trigger)</f>
        <v>0.41283636377013211</v>
      </c>
    </row>
    <row r="16514" spans="25:26" x14ac:dyDescent="0.25">
      <c r="Y16514" s="63">
        <v>59047</v>
      </c>
      <c r="Z16514" s="61">
        <f>_xll.qlYieldTSDiscount($U$35,Y16514,,Trigger)</f>
        <v>0.41281156156888266</v>
      </c>
    </row>
    <row r="16515" spans="25:26" x14ac:dyDescent="0.25">
      <c r="Y16515" s="63">
        <v>59048</v>
      </c>
      <c r="Z16515" s="61">
        <f>_xll.qlYieldTSDiscount($U$35,Y16515,,Trigger)</f>
        <v>0.41278676135562636</v>
      </c>
    </row>
    <row r="16516" spans="25:26" x14ac:dyDescent="0.25">
      <c r="Y16516" s="63">
        <v>59049</v>
      </c>
      <c r="Z16516" s="61">
        <f>_xll.qlYieldTSDiscount($U$35,Y16516,,Trigger)</f>
        <v>0.41276196312999736</v>
      </c>
    </row>
    <row r="16517" spans="25:26" x14ac:dyDescent="0.25">
      <c r="Y16517" s="63">
        <v>59050</v>
      </c>
      <c r="Z16517" s="61">
        <f>_xll.qlYieldTSDiscount($U$35,Y16517,,Trigger)</f>
        <v>0.41273716689162965</v>
      </c>
    </row>
    <row r="16518" spans="25:26" x14ac:dyDescent="0.25">
      <c r="Y16518" s="63">
        <v>59051</v>
      </c>
      <c r="Z16518" s="61">
        <f>_xll.qlYieldTSDiscount($U$35,Y16518,,Trigger)</f>
        <v>0.4127123726401572</v>
      </c>
    </row>
    <row r="16519" spans="25:26" x14ac:dyDescent="0.25">
      <c r="Y16519" s="63">
        <v>59052</v>
      </c>
      <c r="Z16519" s="61">
        <f>_xll.qlYieldTSDiscount($U$35,Y16519,,Trigger)</f>
        <v>0.41268758037521402</v>
      </c>
    </row>
    <row r="16520" spans="25:26" x14ac:dyDescent="0.25">
      <c r="Y16520" s="63">
        <v>59053</v>
      </c>
      <c r="Z16520" s="61">
        <f>_xll.qlYieldTSDiscount($U$35,Y16520,,Trigger)</f>
        <v>0.41266279009643436</v>
      </c>
    </row>
    <row r="16521" spans="25:26" x14ac:dyDescent="0.25">
      <c r="Y16521" s="63">
        <v>59054</v>
      </c>
      <c r="Z16521" s="61">
        <f>_xll.qlYieldTSDiscount($U$35,Y16521,,Trigger)</f>
        <v>0.41263800180345189</v>
      </c>
    </row>
    <row r="16522" spans="25:26" x14ac:dyDescent="0.25">
      <c r="Y16522" s="63">
        <v>59055</v>
      </c>
      <c r="Z16522" s="61">
        <f>_xll.qlYieldTSDiscount($U$35,Y16522,,Trigger)</f>
        <v>0.41261321549590085</v>
      </c>
    </row>
    <row r="16523" spans="25:26" x14ac:dyDescent="0.25">
      <c r="Y16523" s="63">
        <v>59056</v>
      </c>
      <c r="Z16523" s="61">
        <f>_xll.qlYieldTSDiscount($U$35,Y16523,,Trigger)</f>
        <v>0.41258843117341526</v>
      </c>
    </row>
    <row r="16524" spans="25:26" x14ac:dyDescent="0.25">
      <c r="Y16524" s="63">
        <v>59057</v>
      </c>
      <c r="Z16524" s="61">
        <f>_xll.qlYieldTSDiscount($U$35,Y16524,,Trigger)</f>
        <v>0.41256364883562907</v>
      </c>
    </row>
    <row r="16525" spans="25:26" x14ac:dyDescent="0.25">
      <c r="Y16525" s="63">
        <v>59058</v>
      </c>
      <c r="Z16525" s="61">
        <f>_xll.qlYieldTSDiscount($U$35,Y16525,,Trigger)</f>
        <v>0.41253886848217636</v>
      </c>
    </row>
    <row r="16526" spans="25:26" x14ac:dyDescent="0.25">
      <c r="Y16526" s="63">
        <v>59059</v>
      </c>
      <c r="Z16526" s="61">
        <f>_xll.qlYieldTSDiscount($U$35,Y16526,,Trigger)</f>
        <v>0.41251409011269102</v>
      </c>
    </row>
    <row r="16527" spans="25:26" x14ac:dyDescent="0.25">
      <c r="Y16527" s="63">
        <v>59060</v>
      </c>
      <c r="Z16527" s="61">
        <f>_xll.qlYieldTSDiscount($U$35,Y16527,,Trigger)</f>
        <v>0.41248931372680731</v>
      </c>
    </row>
    <row r="16528" spans="25:26" x14ac:dyDescent="0.25">
      <c r="Y16528" s="63">
        <v>59061</v>
      </c>
      <c r="Z16528" s="61">
        <f>_xll.qlYieldTSDiscount($U$35,Y16528,,Trigger)</f>
        <v>0.41246453932415905</v>
      </c>
    </row>
    <row r="16529" spans="25:26" x14ac:dyDescent="0.25">
      <c r="Y16529" s="63">
        <v>59062</v>
      </c>
      <c r="Z16529" s="61">
        <f>_xll.qlYieldTSDiscount($U$35,Y16529,,Trigger)</f>
        <v>0.41243976690438028</v>
      </c>
    </row>
    <row r="16530" spans="25:26" x14ac:dyDescent="0.25">
      <c r="Y16530" s="63">
        <v>59063</v>
      </c>
      <c r="Z16530" s="61">
        <f>_xll.qlYieldTSDiscount($U$35,Y16530,,Trigger)</f>
        <v>0.41241499646710522</v>
      </c>
    </row>
    <row r="16531" spans="25:26" x14ac:dyDescent="0.25">
      <c r="Y16531" s="63">
        <v>59064</v>
      </c>
      <c r="Z16531" s="61">
        <f>_xll.qlYieldTSDiscount($U$35,Y16531,,Trigger)</f>
        <v>0.41239022801196756</v>
      </c>
    </row>
    <row r="16532" spans="25:26" x14ac:dyDescent="0.25">
      <c r="Y16532" s="63">
        <v>59065</v>
      </c>
      <c r="Z16532" s="61">
        <f>_xll.qlYieldTSDiscount($U$35,Y16532,,Trigger)</f>
        <v>0.41236546153860154</v>
      </c>
    </row>
    <row r="16533" spans="25:26" x14ac:dyDescent="0.25">
      <c r="Y16533" s="63">
        <v>59066</v>
      </c>
      <c r="Z16533" s="61">
        <f>_xll.qlYieldTSDiscount($U$35,Y16533,,Trigger)</f>
        <v>0.41234069704664134</v>
      </c>
    </row>
    <row r="16534" spans="25:26" x14ac:dyDescent="0.25">
      <c r="Y16534" s="63">
        <v>59067</v>
      </c>
      <c r="Z16534" s="61">
        <f>_xll.qlYieldTSDiscount($U$35,Y16534,,Trigger)</f>
        <v>0.41231593453572057</v>
      </c>
    </row>
    <row r="16535" spans="25:26" x14ac:dyDescent="0.25">
      <c r="Y16535" s="63">
        <v>59068</v>
      </c>
      <c r="Z16535" s="61">
        <f>_xll.qlYieldTSDiscount($U$35,Y16535,,Trigger)</f>
        <v>0.41229117400547355</v>
      </c>
    </row>
    <row r="16536" spans="25:26" x14ac:dyDescent="0.25">
      <c r="Y16536" s="63">
        <v>59069</v>
      </c>
      <c r="Z16536" s="61">
        <f>_xll.qlYieldTSDiscount($U$35,Y16536,,Trigger)</f>
        <v>0.41226641545553422</v>
      </c>
    </row>
    <row r="16537" spans="25:26" x14ac:dyDescent="0.25">
      <c r="Y16537" s="63">
        <v>59070</v>
      </c>
      <c r="Z16537" s="61">
        <f>_xll.qlYieldTSDiscount($U$35,Y16537,,Trigger)</f>
        <v>0.41224165888553654</v>
      </c>
    </row>
    <row r="16538" spans="25:26" x14ac:dyDescent="0.25">
      <c r="Y16538" s="63">
        <v>59071</v>
      </c>
      <c r="Z16538" s="61">
        <f>_xll.qlYieldTSDiscount($U$35,Y16538,,Trigger)</f>
        <v>0.41221690429511465</v>
      </c>
    </row>
    <row r="16539" spans="25:26" x14ac:dyDescent="0.25">
      <c r="Y16539" s="63">
        <v>59072</v>
      </c>
      <c r="Z16539" s="61">
        <f>_xll.qlYieldTSDiscount($U$35,Y16539,,Trigger)</f>
        <v>0.4121921516839025</v>
      </c>
    </row>
    <row r="16540" spans="25:26" x14ac:dyDescent="0.25">
      <c r="Y16540" s="63">
        <v>59073</v>
      </c>
      <c r="Z16540" s="61">
        <f>_xll.qlYieldTSDiscount($U$35,Y16540,,Trigger)</f>
        <v>0.41216740105153415</v>
      </c>
    </row>
    <row r="16541" spans="25:26" x14ac:dyDescent="0.25">
      <c r="Y16541" s="63">
        <v>59074</v>
      </c>
      <c r="Z16541" s="61">
        <f>_xll.qlYieldTSDiscount($U$35,Y16541,,Trigger)</f>
        <v>0.41214265239764358</v>
      </c>
    </row>
    <row r="16542" spans="25:26" x14ac:dyDescent="0.25">
      <c r="Y16542" s="63">
        <v>59075</v>
      </c>
      <c r="Z16542" s="61">
        <f>_xll.qlYieldTSDiscount($U$35,Y16542,,Trigger)</f>
        <v>0.41211790572186485</v>
      </c>
    </row>
    <row r="16543" spans="25:26" x14ac:dyDescent="0.25">
      <c r="Y16543" s="63">
        <v>59076</v>
      </c>
      <c r="Z16543" s="61">
        <f>_xll.qlYieldTSDiscount($U$35,Y16543,,Trigger)</f>
        <v>0.41209316102383198</v>
      </c>
    </row>
    <row r="16544" spans="25:26" x14ac:dyDescent="0.25">
      <c r="Y16544" s="63">
        <v>59077</v>
      </c>
      <c r="Z16544" s="61">
        <f>_xll.qlYieldTSDiscount($U$35,Y16544,,Trigger)</f>
        <v>0.41206841830317897</v>
      </c>
    </row>
    <row r="16545" spans="25:26" x14ac:dyDescent="0.25">
      <c r="Y16545" s="63">
        <v>59078</v>
      </c>
      <c r="Z16545" s="61">
        <f>_xll.qlYieldTSDiscount($U$35,Y16545,,Trigger)</f>
        <v>0.41204367755953974</v>
      </c>
    </row>
    <row r="16546" spans="25:26" x14ac:dyDescent="0.25">
      <c r="Y16546" s="63">
        <v>59079</v>
      </c>
      <c r="Z16546" s="61">
        <f>_xll.qlYieldTSDiscount($U$35,Y16546,,Trigger)</f>
        <v>0.41201893879254858</v>
      </c>
    </row>
    <row r="16547" spans="25:26" x14ac:dyDescent="0.25">
      <c r="Y16547" s="63">
        <v>59080</v>
      </c>
      <c r="Z16547" s="61">
        <f>_xll.qlYieldTSDiscount($U$35,Y16547,,Trigger)</f>
        <v>0.41199420200183928</v>
      </c>
    </row>
    <row r="16548" spans="25:26" x14ac:dyDescent="0.25">
      <c r="Y16548" s="63">
        <v>59081</v>
      </c>
      <c r="Z16548" s="61">
        <f>_xll.qlYieldTSDiscount($U$35,Y16548,,Trigger)</f>
        <v>0.41196946718704591</v>
      </c>
    </row>
    <row r="16549" spans="25:26" x14ac:dyDescent="0.25">
      <c r="Y16549" s="63">
        <v>59082</v>
      </c>
      <c r="Z16549" s="61">
        <f>_xll.qlYieldTSDiscount($U$35,Y16549,,Trigger)</f>
        <v>0.41194473434780254</v>
      </c>
    </row>
    <row r="16550" spans="25:26" x14ac:dyDescent="0.25">
      <c r="Y16550" s="63">
        <v>59083</v>
      </c>
      <c r="Z16550" s="61">
        <f>_xll.qlYieldTSDiscount($U$35,Y16550,,Trigger)</f>
        <v>0.41192000348374319</v>
      </c>
    </row>
    <row r="16551" spans="25:26" x14ac:dyDescent="0.25">
      <c r="Y16551" s="63">
        <v>59084</v>
      </c>
      <c r="Z16551" s="61">
        <f>_xll.qlYieldTSDiscount($U$35,Y16551,,Trigger)</f>
        <v>0.41189527459450181</v>
      </c>
    </row>
    <row r="16552" spans="25:26" x14ac:dyDescent="0.25">
      <c r="Y16552" s="63">
        <v>59085</v>
      </c>
      <c r="Z16552" s="61">
        <f>_xll.qlYieldTSDiscount($U$35,Y16552,,Trigger)</f>
        <v>0.41187054767971248</v>
      </c>
    </row>
    <row r="16553" spans="25:26" x14ac:dyDescent="0.25">
      <c r="Y16553" s="63">
        <v>59086</v>
      </c>
      <c r="Z16553" s="61">
        <f>_xll.qlYieldTSDiscount($U$35,Y16553,,Trigger)</f>
        <v>0.41184582273900927</v>
      </c>
    </row>
    <row r="16554" spans="25:26" x14ac:dyDescent="0.25">
      <c r="Y16554" s="63">
        <v>59087</v>
      </c>
      <c r="Z16554" s="61">
        <f>_xll.qlYieldTSDiscount($U$35,Y16554,,Trigger)</f>
        <v>0.41182109977202608</v>
      </c>
    </row>
    <row r="16555" spans="25:26" x14ac:dyDescent="0.25">
      <c r="Y16555" s="63">
        <v>59088</v>
      </c>
      <c r="Z16555" s="61">
        <f>_xll.qlYieldTSDiscount($U$35,Y16555,,Trigger)</f>
        <v>0.41179637877839703</v>
      </c>
    </row>
    <row r="16556" spans="25:26" x14ac:dyDescent="0.25">
      <c r="Y16556" s="63">
        <v>59089</v>
      </c>
      <c r="Z16556" s="61">
        <f>_xll.qlYieldTSDiscount($U$35,Y16556,,Trigger)</f>
        <v>0.41177165975775609</v>
      </c>
    </row>
    <row r="16557" spans="25:26" x14ac:dyDescent="0.25">
      <c r="Y16557" s="63">
        <v>59090</v>
      </c>
      <c r="Z16557" s="61">
        <f>_xll.qlYieldTSDiscount($U$35,Y16557,,Trigger)</f>
        <v>0.41174694270973733</v>
      </c>
    </row>
    <row r="16558" spans="25:26" x14ac:dyDescent="0.25">
      <c r="Y16558" s="63">
        <v>59091</v>
      </c>
      <c r="Z16558" s="61">
        <f>_xll.qlYieldTSDiscount($U$35,Y16558,,Trigger)</f>
        <v>0.4117222276339747</v>
      </c>
    </row>
    <row r="16559" spans="25:26" x14ac:dyDescent="0.25">
      <c r="Y16559" s="63">
        <v>59092</v>
      </c>
      <c r="Z16559" s="61">
        <f>_xll.qlYieldTSDiscount($U$35,Y16559,,Trigger)</f>
        <v>0.41169751453010228</v>
      </c>
    </row>
    <row r="16560" spans="25:26" x14ac:dyDescent="0.25">
      <c r="Y16560" s="63">
        <v>59093</v>
      </c>
      <c r="Z16560" s="61">
        <f>_xll.qlYieldTSDiscount($U$35,Y16560,,Trigger)</f>
        <v>0.41167280339775414</v>
      </c>
    </row>
    <row r="16561" spans="25:26" x14ac:dyDescent="0.25">
      <c r="Y16561" s="63">
        <v>59094</v>
      </c>
      <c r="Z16561" s="61">
        <f>_xll.qlYieldTSDiscount($U$35,Y16561,,Trigger)</f>
        <v>0.41164809423656412</v>
      </c>
    </row>
    <row r="16562" spans="25:26" x14ac:dyDescent="0.25">
      <c r="Y16562" s="63">
        <v>59095</v>
      </c>
      <c r="Z16562" s="61">
        <f>_xll.qlYieldTSDiscount($U$35,Y16562,,Trigger)</f>
        <v>0.41162338704616641</v>
      </c>
    </row>
    <row r="16563" spans="25:26" x14ac:dyDescent="0.25">
      <c r="Y16563" s="63">
        <v>59096</v>
      </c>
      <c r="Z16563" s="61">
        <f>_xll.qlYieldTSDiscount($U$35,Y16563,,Trigger)</f>
        <v>0.41159868182619497</v>
      </c>
    </row>
    <row r="16564" spans="25:26" x14ac:dyDescent="0.25">
      <c r="Y16564" s="63">
        <v>59097</v>
      </c>
      <c r="Z16564" s="61">
        <f>_xll.qlYieldTSDiscount($U$35,Y16564,,Trigger)</f>
        <v>0.41157397857628386</v>
      </c>
    </row>
    <row r="16565" spans="25:26" x14ac:dyDescent="0.25">
      <c r="Y16565" s="63">
        <v>59098</v>
      </c>
      <c r="Z16565" s="61">
        <f>_xll.qlYieldTSDiscount($U$35,Y16565,,Trigger)</f>
        <v>0.41154927729606711</v>
      </c>
    </row>
    <row r="16566" spans="25:26" x14ac:dyDescent="0.25">
      <c r="Y16566" s="63">
        <v>59099</v>
      </c>
      <c r="Z16566" s="61">
        <f>_xll.qlYieldTSDiscount($U$35,Y16566,,Trigger)</f>
        <v>0.41152457798517861</v>
      </c>
    </row>
    <row r="16567" spans="25:26" x14ac:dyDescent="0.25">
      <c r="Y16567" s="63">
        <v>59100</v>
      </c>
      <c r="Z16567" s="61">
        <f>_xll.qlYieldTSDiscount($U$35,Y16567,,Trigger)</f>
        <v>0.41149988064325255</v>
      </c>
    </row>
    <row r="16568" spans="25:26" x14ac:dyDescent="0.25">
      <c r="Y16568" s="63">
        <v>59101</v>
      </c>
      <c r="Z16568" s="61">
        <f>_xll.qlYieldTSDiscount($U$35,Y16568,,Trigger)</f>
        <v>0.41147518526992283</v>
      </c>
    </row>
    <row r="16569" spans="25:26" x14ac:dyDescent="0.25">
      <c r="Y16569" s="63">
        <v>59102</v>
      </c>
      <c r="Z16569" s="61">
        <f>_xll.qlYieldTSDiscount($U$35,Y16569,,Trigger)</f>
        <v>0.41145049186482358</v>
      </c>
    </row>
    <row r="16570" spans="25:26" x14ac:dyDescent="0.25">
      <c r="Y16570" s="63">
        <v>59103</v>
      </c>
      <c r="Z16570" s="61">
        <f>_xll.qlYieldTSDiscount($U$35,Y16570,,Trigger)</f>
        <v>0.41142580042758875</v>
      </c>
    </row>
    <row r="16571" spans="25:26" x14ac:dyDescent="0.25">
      <c r="Y16571" s="63">
        <v>59104</v>
      </c>
      <c r="Z16571" s="61">
        <f>_xll.qlYieldTSDiscount($U$35,Y16571,,Trigger)</f>
        <v>0.41140111095785237</v>
      </c>
    </row>
    <row r="16572" spans="25:26" x14ac:dyDescent="0.25">
      <c r="Y16572" s="63">
        <v>59105</v>
      </c>
      <c r="Z16572" s="61">
        <f>_xll.qlYieldTSDiscount($U$35,Y16572,,Trigger)</f>
        <v>0.41137642345524844</v>
      </c>
    </row>
    <row r="16573" spans="25:26" x14ac:dyDescent="0.25">
      <c r="Y16573" s="63">
        <v>59106</v>
      </c>
      <c r="Z16573" s="61">
        <f>_xll.qlYieldTSDiscount($U$35,Y16573,,Trigger)</f>
        <v>0.41135173791941104</v>
      </c>
    </row>
    <row r="16574" spans="25:26" x14ac:dyDescent="0.25">
      <c r="Y16574" s="63">
        <v>59107</v>
      </c>
      <c r="Z16574" s="61">
        <f>_xll.qlYieldTSDiscount($U$35,Y16574,,Trigger)</f>
        <v>0.41132705434997413</v>
      </c>
    </row>
    <row r="16575" spans="25:26" x14ac:dyDescent="0.25">
      <c r="Y16575" s="63">
        <v>59108</v>
      </c>
      <c r="Z16575" s="61">
        <f>_xll.qlYieldTSDiscount($U$35,Y16575,,Trigger)</f>
        <v>0.41130237274657183</v>
      </c>
    </row>
    <row r="16576" spans="25:26" x14ac:dyDescent="0.25">
      <c r="Y16576" s="63">
        <v>59109</v>
      </c>
      <c r="Z16576" s="61">
        <f>_xll.qlYieldTSDiscount($U$35,Y16576,,Trigger)</f>
        <v>0.41127769310883799</v>
      </c>
    </row>
    <row r="16577" spans="25:26" x14ac:dyDescent="0.25">
      <c r="Y16577" s="63">
        <v>59110</v>
      </c>
      <c r="Z16577" s="61">
        <f>_xll.qlYieldTSDiscount($U$35,Y16577,,Trigger)</f>
        <v>0.4112530154364068</v>
      </c>
    </row>
    <row r="16578" spans="25:26" x14ac:dyDescent="0.25">
      <c r="Y16578" s="63">
        <v>59111</v>
      </c>
      <c r="Z16578" s="61">
        <f>_xll.qlYieldTSDiscount($U$35,Y16578,,Trigger)</f>
        <v>0.41122833972891226</v>
      </c>
    </row>
    <row r="16579" spans="25:26" x14ac:dyDescent="0.25">
      <c r="Y16579" s="63">
        <v>59112</v>
      </c>
      <c r="Z16579" s="61">
        <f>_xll.qlYieldTSDiscount($U$35,Y16579,,Trigger)</f>
        <v>0.41120366598598829</v>
      </c>
    </row>
    <row r="16580" spans="25:26" x14ac:dyDescent="0.25">
      <c r="Y16580" s="63">
        <v>59113</v>
      </c>
      <c r="Z16580" s="61">
        <f>_xll.qlYieldTSDiscount($U$35,Y16580,,Trigger)</f>
        <v>0.411178994207269</v>
      </c>
    </row>
    <row r="16581" spans="25:26" x14ac:dyDescent="0.25">
      <c r="Y16581" s="63">
        <v>59114</v>
      </c>
      <c r="Z16581" s="61">
        <f>_xll.qlYieldTSDiscount($U$35,Y16581,,Trigger)</f>
        <v>0.41115432439238841</v>
      </c>
    </row>
    <row r="16582" spans="25:26" x14ac:dyDescent="0.25">
      <c r="Y16582" s="63">
        <v>59115</v>
      </c>
      <c r="Z16582" s="61">
        <f>_xll.qlYieldTSDiscount($U$35,Y16582,,Trigger)</f>
        <v>0.41112965654098044</v>
      </c>
    </row>
    <row r="16583" spans="25:26" x14ac:dyDescent="0.25">
      <c r="Y16583" s="63">
        <v>59116</v>
      </c>
      <c r="Z16583" s="61">
        <f>_xll.qlYieldTSDiscount($U$35,Y16583,,Trigger)</f>
        <v>0.41110499065267925</v>
      </c>
    </row>
    <row r="16584" spans="25:26" x14ac:dyDescent="0.25">
      <c r="Y16584" s="63">
        <v>59117</v>
      </c>
      <c r="Z16584" s="61">
        <f>_xll.qlYieldTSDiscount($U$35,Y16584,,Trigger)</f>
        <v>0.41108032672711875</v>
      </c>
    </row>
    <row r="16585" spans="25:26" x14ac:dyDescent="0.25">
      <c r="Y16585" s="63">
        <v>59118</v>
      </c>
      <c r="Z16585" s="61">
        <f>_xll.qlYieldTSDiscount($U$35,Y16585,,Trigger)</f>
        <v>0.41105566476393307</v>
      </c>
    </row>
    <row r="16586" spans="25:26" x14ac:dyDescent="0.25">
      <c r="Y16586" s="63">
        <v>59119</v>
      </c>
      <c r="Z16586" s="61">
        <f>_xll.qlYieldTSDiscount($U$35,Y16586,,Trigger)</f>
        <v>0.41103100476275611</v>
      </c>
    </row>
    <row r="16587" spans="25:26" x14ac:dyDescent="0.25">
      <c r="Y16587" s="63">
        <v>59120</v>
      </c>
      <c r="Z16587" s="61">
        <f>_xll.qlYieldTSDiscount($U$35,Y16587,,Trigger)</f>
        <v>0.411006346723222</v>
      </c>
    </row>
    <row r="16588" spans="25:26" x14ac:dyDescent="0.25">
      <c r="Y16588" s="63">
        <v>59121</v>
      </c>
      <c r="Z16588" s="61">
        <f>_xll.qlYieldTSDiscount($U$35,Y16588,,Trigger)</f>
        <v>0.41098169064496481</v>
      </c>
    </row>
    <row r="16589" spans="25:26" x14ac:dyDescent="0.25">
      <c r="Y16589" s="63">
        <v>59122</v>
      </c>
      <c r="Z16589" s="61">
        <f>_xll.qlYieldTSDiscount($U$35,Y16589,,Trigger)</f>
        <v>0.41095703652761828</v>
      </c>
    </row>
    <row r="16590" spans="25:26" x14ac:dyDescent="0.25">
      <c r="Y16590" s="63">
        <v>59123</v>
      </c>
      <c r="Z16590" s="61">
        <f>_xll.qlYieldTSDiscount($U$35,Y16590,,Trigger)</f>
        <v>0.41093238437081669</v>
      </c>
    </row>
    <row r="16591" spans="25:26" x14ac:dyDescent="0.25">
      <c r="Y16591" s="63">
        <v>59124</v>
      </c>
      <c r="Z16591" s="61">
        <f>_xll.qlYieldTSDiscount($U$35,Y16591,,Trigger)</f>
        <v>0.41090773417419413</v>
      </c>
    </row>
    <row r="16592" spans="25:26" x14ac:dyDescent="0.25">
      <c r="Y16592" s="63">
        <v>59125</v>
      </c>
      <c r="Z16592" s="61">
        <f>_xll.qlYieldTSDiscount($U$35,Y16592,,Trigger)</f>
        <v>0.41088308593738432</v>
      </c>
    </row>
    <row r="16593" spans="25:26" x14ac:dyDescent="0.25">
      <c r="Y16593" s="63">
        <v>59126</v>
      </c>
      <c r="Z16593" s="61">
        <f>_xll.qlYieldTSDiscount($U$35,Y16593,,Trigger)</f>
        <v>0.41085843966002145</v>
      </c>
    </row>
    <row r="16594" spans="25:26" x14ac:dyDescent="0.25">
      <c r="Y16594" s="63">
        <v>59127</v>
      </c>
      <c r="Z16594" s="61">
        <f>_xll.qlYieldTSDiscount($U$35,Y16594,,Trigger)</f>
        <v>0.41083379534173969</v>
      </c>
    </row>
    <row r="16595" spans="25:26" x14ac:dyDescent="0.25">
      <c r="Y16595" s="63">
        <v>59128</v>
      </c>
      <c r="Z16595" s="61">
        <f>_xll.qlYieldTSDiscount($U$35,Y16595,,Trigger)</f>
        <v>0.41080915298217274</v>
      </c>
    </row>
    <row r="16596" spans="25:26" x14ac:dyDescent="0.25">
      <c r="Y16596" s="63">
        <v>59129</v>
      </c>
      <c r="Z16596" s="61">
        <f>_xll.qlYieldTSDiscount($U$35,Y16596,,Trigger)</f>
        <v>0.41078451258095489</v>
      </c>
    </row>
    <row r="16597" spans="25:26" x14ac:dyDescent="0.25">
      <c r="Y16597" s="63">
        <v>59130</v>
      </c>
      <c r="Z16597" s="61">
        <f>_xll.qlYieldTSDiscount($U$35,Y16597,,Trigger)</f>
        <v>0.41075987413771997</v>
      </c>
    </row>
    <row r="16598" spans="25:26" x14ac:dyDescent="0.25">
      <c r="Y16598" s="63">
        <v>59131</v>
      </c>
      <c r="Z16598" s="61">
        <f>_xll.qlYieldTSDiscount($U$35,Y16598,,Trigger)</f>
        <v>0.41073523765210218</v>
      </c>
    </row>
    <row r="16599" spans="25:26" x14ac:dyDescent="0.25">
      <c r="Y16599" s="63">
        <v>59132</v>
      </c>
      <c r="Z16599" s="61">
        <f>_xll.qlYieldTSDiscount($U$35,Y16599,,Trigger)</f>
        <v>0.41071060312373547</v>
      </c>
    </row>
    <row r="16600" spans="25:26" x14ac:dyDescent="0.25">
      <c r="Y16600" s="63">
        <v>59133</v>
      </c>
      <c r="Z16600" s="61">
        <f>_xll.qlYieldTSDiscount($U$35,Y16600,,Trigger)</f>
        <v>0.41068597055225381</v>
      </c>
    </row>
    <row r="16601" spans="25:26" x14ac:dyDescent="0.25">
      <c r="Y16601" s="63">
        <v>59134</v>
      </c>
      <c r="Z16601" s="61">
        <f>_xll.qlYieldTSDiscount($U$35,Y16601,,Trigger)</f>
        <v>0.41066133993729126</v>
      </c>
    </row>
    <row r="16602" spans="25:26" x14ac:dyDescent="0.25">
      <c r="Y16602" s="63">
        <v>59135</v>
      </c>
      <c r="Z16602" s="61">
        <f>_xll.qlYieldTSDiscount($U$35,Y16602,,Trigger)</f>
        <v>0.41063671127848189</v>
      </c>
    </row>
    <row r="16603" spans="25:26" x14ac:dyDescent="0.25">
      <c r="Y16603" s="63">
        <v>59136</v>
      </c>
      <c r="Z16603" s="61">
        <f>_xll.qlYieldTSDiscount($U$35,Y16603,,Trigger)</f>
        <v>0.41061208457545961</v>
      </c>
    </row>
    <row r="16604" spans="25:26" x14ac:dyDescent="0.25">
      <c r="Y16604" s="63">
        <v>59137</v>
      </c>
      <c r="Z16604" s="61">
        <f>_xll.qlYieldTSDiscount($U$35,Y16604,,Trigger)</f>
        <v>0.4105874598278586</v>
      </c>
    </row>
    <row r="16605" spans="25:26" x14ac:dyDescent="0.25">
      <c r="Y16605" s="63">
        <v>59138</v>
      </c>
      <c r="Z16605" s="61">
        <f>_xll.qlYieldTSDiscount($U$35,Y16605,,Trigger)</f>
        <v>0.41056283703531271</v>
      </c>
    </row>
    <row r="16606" spans="25:26" x14ac:dyDescent="0.25">
      <c r="Y16606" s="63">
        <v>59139</v>
      </c>
      <c r="Z16606" s="61">
        <f>_xll.qlYieldTSDiscount($U$35,Y16606,,Trigger)</f>
        <v>0.41053821619745601</v>
      </c>
    </row>
    <row r="16607" spans="25:26" x14ac:dyDescent="0.25">
      <c r="Y16607" s="63">
        <v>59140</v>
      </c>
      <c r="Z16607" s="61">
        <f>_xll.qlYieldTSDiscount($U$35,Y16607,,Trigger)</f>
        <v>0.41051359731392267</v>
      </c>
    </row>
    <row r="16608" spans="25:26" x14ac:dyDescent="0.25">
      <c r="Y16608" s="63">
        <v>59141</v>
      </c>
      <c r="Z16608" s="61">
        <f>_xll.qlYieldTSDiscount($U$35,Y16608,,Trigger)</f>
        <v>0.41048898038434656</v>
      </c>
    </row>
    <row r="16609" spans="25:26" x14ac:dyDescent="0.25">
      <c r="Y16609" s="63">
        <v>59142</v>
      </c>
      <c r="Z16609" s="61">
        <f>_xll.qlYieldTSDiscount($U$35,Y16609,,Trigger)</f>
        <v>0.41046436540836162</v>
      </c>
    </row>
    <row r="16610" spans="25:26" x14ac:dyDescent="0.25">
      <c r="Y16610" s="63">
        <v>59143</v>
      </c>
      <c r="Z16610" s="61">
        <f>_xll.qlYieldTSDiscount($U$35,Y16610,,Trigger)</f>
        <v>0.41043975238560215</v>
      </c>
    </row>
    <row r="16611" spans="25:26" x14ac:dyDescent="0.25">
      <c r="Y16611" s="63">
        <v>59144</v>
      </c>
      <c r="Z16611" s="61">
        <f>_xll.qlYieldTSDiscount($U$35,Y16611,,Trigger)</f>
        <v>0.41041514131570189</v>
      </c>
    </row>
    <row r="16612" spans="25:26" x14ac:dyDescent="0.25">
      <c r="Y16612" s="63">
        <v>59145</v>
      </c>
      <c r="Z16612" s="61">
        <f>_xll.qlYieldTSDiscount($U$35,Y16612,,Trigger)</f>
        <v>0.41039053219829502</v>
      </c>
    </row>
    <row r="16613" spans="25:26" x14ac:dyDescent="0.25">
      <c r="Y16613" s="63">
        <v>59146</v>
      </c>
      <c r="Z16613" s="61">
        <f>_xll.qlYieldTSDiscount($U$35,Y16613,,Trigger)</f>
        <v>0.4103659250330155</v>
      </c>
    </row>
    <row r="16614" spans="25:26" x14ac:dyDescent="0.25">
      <c r="Y16614" s="63">
        <v>59147</v>
      </c>
      <c r="Z16614" s="61">
        <f>_xll.qlYieldTSDiscount($U$35,Y16614,,Trigger)</f>
        <v>0.41034131981949751</v>
      </c>
    </row>
    <row r="16615" spans="25:26" x14ac:dyDescent="0.25">
      <c r="Y16615" s="63">
        <v>59148</v>
      </c>
      <c r="Z16615" s="61">
        <f>_xll.qlYieldTSDiscount($U$35,Y16615,,Trigger)</f>
        <v>0.41031671655737478</v>
      </c>
    </row>
    <row r="16616" spans="25:26" x14ac:dyDescent="0.25">
      <c r="Y16616" s="63">
        <v>59149</v>
      </c>
      <c r="Z16616" s="61">
        <f>_xll.qlYieldTSDiscount($U$35,Y16616,,Trigger)</f>
        <v>0.41029211524628151</v>
      </c>
    </row>
    <row r="16617" spans="25:26" x14ac:dyDescent="0.25">
      <c r="Y16617" s="63">
        <v>59150</v>
      </c>
      <c r="Z16617" s="61">
        <f>_xll.qlYieldTSDiscount($U$35,Y16617,,Trigger)</f>
        <v>0.41026751588585181</v>
      </c>
    </row>
    <row r="16618" spans="25:26" x14ac:dyDescent="0.25">
      <c r="Y16618" s="63">
        <v>59151</v>
      </c>
      <c r="Z16618" s="61">
        <f>_xll.qlYieldTSDiscount($U$35,Y16618,,Trigger)</f>
        <v>0.41024291847571953</v>
      </c>
    </row>
    <row r="16619" spans="25:26" x14ac:dyDescent="0.25">
      <c r="Y16619" s="63">
        <v>59152</v>
      </c>
      <c r="Z16619" s="61">
        <f>_xll.qlYieldTSDiscount($U$35,Y16619,,Trigger)</f>
        <v>0.41021832301551869</v>
      </c>
    </row>
    <row r="16620" spans="25:26" x14ac:dyDescent="0.25">
      <c r="Y16620" s="63">
        <v>59153</v>
      </c>
      <c r="Z16620" s="61">
        <f>_xll.qlYieldTSDiscount($U$35,Y16620,,Trigger)</f>
        <v>0.41019372950488353</v>
      </c>
    </row>
    <row r="16621" spans="25:26" x14ac:dyDescent="0.25">
      <c r="Y16621" s="63">
        <v>59154</v>
      </c>
      <c r="Z16621" s="61">
        <f>_xll.qlYieldTSDiscount($U$35,Y16621,,Trigger)</f>
        <v>0.41016913794344778</v>
      </c>
    </row>
    <row r="16622" spans="25:26" x14ac:dyDescent="0.25">
      <c r="Y16622" s="63">
        <v>59155</v>
      </c>
      <c r="Z16622" s="61">
        <f>_xll.qlYieldTSDiscount($U$35,Y16622,,Trigger)</f>
        <v>0.41014454833084563</v>
      </c>
    </row>
    <row r="16623" spans="25:26" x14ac:dyDescent="0.25">
      <c r="Y16623" s="63">
        <v>59156</v>
      </c>
      <c r="Z16623" s="61">
        <f>_xll.qlYieldTSDiscount($U$35,Y16623,,Trigger)</f>
        <v>0.41011996066671114</v>
      </c>
    </row>
    <row r="16624" spans="25:26" x14ac:dyDescent="0.25">
      <c r="Y16624" s="63">
        <v>59157</v>
      </c>
      <c r="Z16624" s="61">
        <f>_xll.qlYieldTSDiscount($U$35,Y16624,,Trigger)</f>
        <v>0.41009537495067816</v>
      </c>
    </row>
    <row r="16625" spans="25:26" x14ac:dyDescent="0.25">
      <c r="Y16625" s="63">
        <v>59158</v>
      </c>
      <c r="Z16625" s="61">
        <f>_xll.qlYieldTSDiscount($U$35,Y16625,,Trigger)</f>
        <v>0.41007079118238088</v>
      </c>
    </row>
    <row r="16626" spans="25:26" x14ac:dyDescent="0.25">
      <c r="Y16626" s="63">
        <v>59159</v>
      </c>
      <c r="Z16626" s="61">
        <f>_xll.qlYieldTSDiscount($U$35,Y16626,,Trigger)</f>
        <v>0.41004620936145331</v>
      </c>
    </row>
    <row r="16627" spans="25:26" x14ac:dyDescent="0.25">
      <c r="Y16627" s="63">
        <v>59160</v>
      </c>
      <c r="Z16627" s="61">
        <f>_xll.qlYieldTSDiscount($U$35,Y16627,,Trigger)</f>
        <v>0.41002162948752929</v>
      </c>
    </row>
    <row r="16628" spans="25:26" x14ac:dyDescent="0.25">
      <c r="Y16628" s="63">
        <v>59161</v>
      </c>
      <c r="Z16628" s="61">
        <f>_xll.qlYieldTSDiscount($U$35,Y16628,,Trigger)</f>
        <v>0.40999705156024308</v>
      </c>
    </row>
    <row r="16629" spans="25:26" x14ac:dyDescent="0.25">
      <c r="Y16629" s="63">
        <v>59162</v>
      </c>
      <c r="Z16629" s="61">
        <f>_xll.qlYieldTSDiscount($U$35,Y16629,,Trigger)</f>
        <v>0.40997247557922856</v>
      </c>
    </row>
    <row r="16630" spans="25:26" x14ac:dyDescent="0.25">
      <c r="Y16630" s="63">
        <v>59163</v>
      </c>
      <c r="Z16630" s="61">
        <f>_xll.qlYieldTSDiscount($U$35,Y16630,,Trigger)</f>
        <v>0.40994790154411975</v>
      </c>
    </row>
    <row r="16631" spans="25:26" x14ac:dyDescent="0.25">
      <c r="Y16631" s="63">
        <v>59164</v>
      </c>
      <c r="Z16631" s="61">
        <f>_xll.qlYieldTSDiscount($U$35,Y16631,,Trigger)</f>
        <v>0.40992332945455079</v>
      </c>
    </row>
    <row r="16632" spans="25:26" x14ac:dyDescent="0.25">
      <c r="Y16632" s="63">
        <v>59165</v>
      </c>
      <c r="Z16632" s="61">
        <f>_xll.qlYieldTSDiscount($U$35,Y16632,,Trigger)</f>
        <v>0.40989875931015551</v>
      </c>
    </row>
    <row r="16633" spans="25:26" x14ac:dyDescent="0.25">
      <c r="Y16633" s="63">
        <v>59166</v>
      </c>
      <c r="Z16633" s="61">
        <f>_xll.qlYieldTSDiscount($U$35,Y16633,,Trigger)</f>
        <v>0.40987419111056816</v>
      </c>
    </row>
    <row r="16634" spans="25:26" x14ac:dyDescent="0.25">
      <c r="Y16634" s="63">
        <v>59167</v>
      </c>
      <c r="Z16634" s="61">
        <f>_xll.qlYieldTSDiscount($U$35,Y16634,,Trigger)</f>
        <v>0.40984962485542259</v>
      </c>
    </row>
    <row r="16635" spans="25:26" x14ac:dyDescent="0.25">
      <c r="Y16635" s="63">
        <v>59168</v>
      </c>
      <c r="Z16635" s="61">
        <f>_xll.qlYieldTSDiscount($U$35,Y16635,,Trigger)</f>
        <v>0.40982506054435286</v>
      </c>
    </row>
    <row r="16636" spans="25:26" x14ac:dyDescent="0.25">
      <c r="Y16636" s="63">
        <v>59169</v>
      </c>
      <c r="Z16636" s="61">
        <f>_xll.qlYieldTSDiscount($U$35,Y16636,,Trigger)</f>
        <v>0.40980049817699304</v>
      </c>
    </row>
    <row r="16637" spans="25:26" x14ac:dyDescent="0.25">
      <c r="Y16637" s="63">
        <v>59170</v>
      </c>
      <c r="Z16637" s="61">
        <f>_xll.qlYieldTSDiscount($U$35,Y16637,,Trigger)</f>
        <v>0.4097759377529771</v>
      </c>
    </row>
    <row r="16638" spans="25:26" x14ac:dyDescent="0.25">
      <c r="Y16638" s="63">
        <v>59171</v>
      </c>
      <c r="Z16638" s="61">
        <f>_xll.qlYieldTSDiscount($U$35,Y16638,,Trigger)</f>
        <v>0.40975137927193905</v>
      </c>
    </row>
    <row r="16639" spans="25:26" x14ac:dyDescent="0.25">
      <c r="Y16639" s="63">
        <v>59172</v>
      </c>
      <c r="Z16639" s="61">
        <f>_xll.qlYieldTSDiscount($U$35,Y16639,,Trigger)</f>
        <v>0.40972682273351302</v>
      </c>
    </row>
    <row r="16640" spans="25:26" x14ac:dyDescent="0.25">
      <c r="Y16640" s="63">
        <v>59173</v>
      </c>
      <c r="Z16640" s="61">
        <f>_xll.qlYieldTSDiscount($U$35,Y16640,,Trigger)</f>
        <v>0.4097022681373329</v>
      </c>
    </row>
    <row r="16641" spans="25:26" x14ac:dyDescent="0.25">
      <c r="Y16641" s="63">
        <v>59174</v>
      </c>
      <c r="Z16641" s="61">
        <f>_xll.qlYieldTSDiscount($U$35,Y16641,,Trigger)</f>
        <v>0.40967771548303278</v>
      </c>
    </row>
    <row r="16642" spans="25:26" x14ac:dyDescent="0.25">
      <c r="Y16642" s="63">
        <v>59175</v>
      </c>
      <c r="Z16642" s="61">
        <f>_xll.qlYieldTSDiscount($U$35,Y16642,,Trigger)</f>
        <v>0.4096531647702466</v>
      </c>
    </row>
    <row r="16643" spans="25:26" x14ac:dyDescent="0.25">
      <c r="Y16643" s="63">
        <v>59176</v>
      </c>
      <c r="Z16643" s="61">
        <f>_xll.qlYieldTSDiscount($U$35,Y16643,,Trigger)</f>
        <v>0.40962861599860856</v>
      </c>
    </row>
    <row r="16644" spans="25:26" x14ac:dyDescent="0.25">
      <c r="Y16644" s="63">
        <v>59177</v>
      </c>
      <c r="Z16644" s="61">
        <f>_xll.qlYieldTSDiscount($U$35,Y16644,,Trigger)</f>
        <v>0.40960406916775249</v>
      </c>
    </row>
    <row r="16645" spans="25:26" x14ac:dyDescent="0.25">
      <c r="Y16645" s="63">
        <v>59178</v>
      </c>
      <c r="Z16645" s="61">
        <f>_xll.qlYieldTSDiscount($U$35,Y16645,,Trigger)</f>
        <v>0.40957952427731253</v>
      </c>
    </row>
    <row r="16646" spans="25:26" x14ac:dyDescent="0.25">
      <c r="Y16646" s="63">
        <v>59179</v>
      </c>
      <c r="Z16646" s="61">
        <f>_xll.qlYieldTSDiscount($U$35,Y16646,,Trigger)</f>
        <v>0.4095549813269227</v>
      </c>
    </row>
    <row r="16647" spans="25:26" x14ac:dyDescent="0.25">
      <c r="Y16647" s="63">
        <v>59180</v>
      </c>
      <c r="Z16647" s="61">
        <f>_xll.qlYieldTSDiscount($U$35,Y16647,,Trigger)</f>
        <v>0.40953044031621694</v>
      </c>
    </row>
    <row r="16648" spans="25:26" x14ac:dyDescent="0.25">
      <c r="Y16648" s="63">
        <v>59181</v>
      </c>
      <c r="Z16648" s="61">
        <f>_xll.qlYieldTSDiscount($U$35,Y16648,,Trigger)</f>
        <v>0.40950590124482933</v>
      </c>
    </row>
    <row r="16649" spans="25:26" x14ac:dyDescent="0.25">
      <c r="Y16649" s="63">
        <v>59182</v>
      </c>
      <c r="Z16649" s="61">
        <f>_xll.qlYieldTSDiscount($U$35,Y16649,,Trigger)</f>
        <v>0.40948136411239389</v>
      </c>
    </row>
    <row r="16650" spans="25:26" x14ac:dyDescent="0.25">
      <c r="Y16650" s="63">
        <v>59183</v>
      </c>
      <c r="Z16650" s="61">
        <f>_xll.qlYieldTSDiscount($U$35,Y16650,,Trigger)</f>
        <v>0.40945682891854462</v>
      </c>
    </row>
    <row r="16651" spans="25:26" x14ac:dyDescent="0.25">
      <c r="Y16651" s="63">
        <v>59184</v>
      </c>
      <c r="Z16651" s="61">
        <f>_xll.qlYieldTSDiscount($U$35,Y16651,,Trigger)</f>
        <v>0.40943229566291556</v>
      </c>
    </row>
    <row r="16652" spans="25:26" x14ac:dyDescent="0.25">
      <c r="Y16652" s="63">
        <v>59185</v>
      </c>
      <c r="Z16652" s="61">
        <f>_xll.qlYieldTSDiscount($U$35,Y16652,,Trigger)</f>
        <v>0.40940776434514076</v>
      </c>
    </row>
    <row r="16653" spans="25:26" x14ac:dyDescent="0.25">
      <c r="Y16653" s="63">
        <v>59186</v>
      </c>
      <c r="Z16653" s="61">
        <f>_xll.qlYieldTSDiscount($U$35,Y16653,,Trigger)</f>
        <v>0.40938323496485418</v>
      </c>
    </row>
    <row r="16654" spans="25:26" x14ac:dyDescent="0.25">
      <c r="Y16654" s="63">
        <v>59187</v>
      </c>
      <c r="Z16654" s="61">
        <f>_xll.qlYieldTSDiscount($U$35,Y16654,,Trigger)</f>
        <v>0.4093587075216899</v>
      </c>
    </row>
    <row r="16655" spans="25:26" x14ac:dyDescent="0.25">
      <c r="Y16655" s="63">
        <v>59188</v>
      </c>
      <c r="Z16655" s="61">
        <f>_xll.qlYieldTSDiscount($U$35,Y16655,,Trigger)</f>
        <v>0.40933418201528188</v>
      </c>
    </row>
    <row r="16656" spans="25:26" x14ac:dyDescent="0.25">
      <c r="Y16656" s="63">
        <v>59189</v>
      </c>
      <c r="Z16656" s="61">
        <f>_xll.qlYieldTSDiscount($U$35,Y16656,,Trigger)</f>
        <v>0.40930965844526418</v>
      </c>
    </row>
    <row r="16657" spans="25:26" x14ac:dyDescent="0.25">
      <c r="Y16657" s="63">
        <v>59190</v>
      </c>
      <c r="Z16657" s="61">
        <f>_xll.qlYieldTSDiscount($U$35,Y16657,,Trigger)</f>
        <v>0.40928513681127077</v>
      </c>
    </row>
    <row r="16658" spans="25:26" x14ac:dyDescent="0.25">
      <c r="Y16658" s="63">
        <v>59191</v>
      </c>
      <c r="Z16658" s="61">
        <f>_xll.qlYieldTSDiscount($U$35,Y16658,,Trigger)</f>
        <v>0.40926061711293577</v>
      </c>
    </row>
    <row r="16659" spans="25:26" x14ac:dyDescent="0.25">
      <c r="Y16659" s="63">
        <v>59192</v>
      </c>
      <c r="Z16659" s="61">
        <f>_xll.qlYieldTSDiscount($U$35,Y16659,,Trigger)</f>
        <v>0.40923609934989319</v>
      </c>
    </row>
    <row r="16660" spans="25:26" x14ac:dyDescent="0.25">
      <c r="Y16660" s="63">
        <v>59193</v>
      </c>
      <c r="Z16660" s="61">
        <f>_xll.qlYieldTSDiscount($U$35,Y16660,,Trigger)</f>
        <v>0.40921158352177694</v>
      </c>
    </row>
    <row r="16661" spans="25:26" x14ac:dyDescent="0.25">
      <c r="Y16661" s="63">
        <v>59194</v>
      </c>
      <c r="Z16661" s="61">
        <f>_xll.qlYieldTSDiscount($U$35,Y16661,,Trigger)</f>
        <v>0.4091870696282211</v>
      </c>
    </row>
    <row r="16662" spans="25:26" x14ac:dyDescent="0.25">
      <c r="Y16662" s="63">
        <v>59195</v>
      </c>
      <c r="Z16662" s="61">
        <f>_xll.qlYieldTSDiscount($U$35,Y16662,,Trigger)</f>
        <v>0.40916255766885978</v>
      </c>
    </row>
    <row r="16663" spans="25:26" x14ac:dyDescent="0.25">
      <c r="Y16663" s="63">
        <v>59196</v>
      </c>
      <c r="Z16663" s="61">
        <f>_xll.qlYieldTSDiscount($U$35,Y16663,,Trigger)</f>
        <v>0.4091380476433269</v>
      </c>
    </row>
    <row r="16664" spans="25:26" x14ac:dyDescent="0.25">
      <c r="Y16664" s="63">
        <v>59197</v>
      </c>
      <c r="Z16664" s="61">
        <f>_xll.qlYieldTSDiscount($U$35,Y16664,,Trigger)</f>
        <v>0.40911353955125646</v>
      </c>
    </row>
    <row r="16665" spans="25:26" x14ac:dyDescent="0.25">
      <c r="Y16665" s="63">
        <v>59198</v>
      </c>
      <c r="Z16665" s="61">
        <f>_xll.qlYieldTSDiscount($U$35,Y16665,,Trigger)</f>
        <v>0.40908903339228264</v>
      </c>
    </row>
    <row r="16666" spans="25:26" x14ac:dyDescent="0.25">
      <c r="Y16666" s="63">
        <v>59199</v>
      </c>
      <c r="Z16666" s="61">
        <f>_xll.qlYieldTSDiscount($U$35,Y16666,,Trigger)</f>
        <v>0.4090645291660393</v>
      </c>
    </row>
    <row r="16667" spans="25:26" x14ac:dyDescent="0.25">
      <c r="Y16667" s="63">
        <v>59200</v>
      </c>
      <c r="Z16667" s="61">
        <f>_xll.qlYieldTSDiscount($U$35,Y16667,,Trigger)</f>
        <v>0.40904002687216046</v>
      </c>
    </row>
    <row r="16668" spans="25:26" x14ac:dyDescent="0.25">
      <c r="Y16668" s="63">
        <v>59201</v>
      </c>
      <c r="Z16668" s="61">
        <f>_xll.qlYieldTSDiscount($U$35,Y16668,,Trigger)</f>
        <v>0.40901552651028028</v>
      </c>
    </row>
    <row r="16669" spans="25:26" x14ac:dyDescent="0.25">
      <c r="Y16669" s="63">
        <v>59202</v>
      </c>
      <c r="Z16669" s="61">
        <f>_xll.qlYieldTSDiscount($U$35,Y16669,,Trigger)</f>
        <v>0.40899102808003263</v>
      </c>
    </row>
    <row r="16670" spans="25:26" x14ac:dyDescent="0.25">
      <c r="Y16670" s="63">
        <v>59203</v>
      </c>
      <c r="Z16670" s="61">
        <f>_xll.qlYieldTSDiscount($U$35,Y16670,,Trigger)</f>
        <v>0.40896653158105156</v>
      </c>
    </row>
    <row r="16671" spans="25:26" x14ac:dyDescent="0.25">
      <c r="Y16671" s="63">
        <v>59204</v>
      </c>
      <c r="Z16671" s="61">
        <f>_xll.qlYieldTSDiscount($U$35,Y16671,,Trigger)</f>
        <v>0.40894203701297127</v>
      </c>
    </row>
    <row r="16672" spans="25:26" x14ac:dyDescent="0.25">
      <c r="Y16672" s="63">
        <v>59205</v>
      </c>
      <c r="Z16672" s="61">
        <f>_xll.qlYieldTSDiscount($U$35,Y16672,,Trigger)</f>
        <v>0.4089175443754256</v>
      </c>
    </row>
    <row r="16673" spans="25:26" x14ac:dyDescent="0.25">
      <c r="Y16673" s="63">
        <v>59206</v>
      </c>
      <c r="Z16673" s="61">
        <f>_xll.qlYieldTSDiscount($U$35,Y16673,,Trigger)</f>
        <v>0.40889305366804851</v>
      </c>
    </row>
    <row r="16674" spans="25:26" x14ac:dyDescent="0.25">
      <c r="Y16674" s="63">
        <v>59207</v>
      </c>
      <c r="Z16674" s="61">
        <f>_xll.qlYieldTSDiscount($U$35,Y16674,,Trigger)</f>
        <v>0.40886856489047418</v>
      </c>
    </row>
    <row r="16675" spans="25:26" x14ac:dyDescent="0.25">
      <c r="Y16675" s="63">
        <v>59208</v>
      </c>
      <c r="Z16675" s="61">
        <f>_xll.qlYieldTSDiscount($U$35,Y16675,,Trigger)</f>
        <v>0.40884407804233669</v>
      </c>
    </row>
    <row r="16676" spans="25:26" x14ac:dyDescent="0.25">
      <c r="Y16676" s="63">
        <v>59209</v>
      </c>
      <c r="Z16676" s="61">
        <f>_xll.qlYieldTSDiscount($U$35,Y16676,,Trigger)</f>
        <v>0.40881959312326988</v>
      </c>
    </row>
    <row r="16677" spans="25:26" x14ac:dyDescent="0.25">
      <c r="Y16677" s="63">
        <v>59210</v>
      </c>
      <c r="Z16677" s="61">
        <f>_xll.qlYieldTSDiscount($U$35,Y16677,,Trigger)</f>
        <v>0.40879511013290781</v>
      </c>
    </row>
    <row r="16678" spans="25:26" x14ac:dyDescent="0.25">
      <c r="Y16678" s="63">
        <v>59211</v>
      </c>
      <c r="Z16678" s="61">
        <f>_xll.qlYieldTSDiscount($U$35,Y16678,,Trigger)</f>
        <v>0.40877062907088463</v>
      </c>
    </row>
    <row r="16679" spans="25:26" x14ac:dyDescent="0.25">
      <c r="Y16679" s="63">
        <v>59212</v>
      </c>
      <c r="Z16679" s="61">
        <f>_xll.qlYieldTSDiscount($U$35,Y16679,,Trigger)</f>
        <v>0.40874614993683411</v>
      </c>
    </row>
    <row r="16680" spans="25:26" x14ac:dyDescent="0.25">
      <c r="Y16680" s="63">
        <v>59213</v>
      </c>
      <c r="Z16680" s="61">
        <f>_xll.qlYieldTSDiscount($U$35,Y16680,,Trigger)</f>
        <v>0.40872167273039051</v>
      </c>
    </row>
    <row r="16681" spans="25:26" x14ac:dyDescent="0.25">
      <c r="Y16681" s="63">
        <v>59214</v>
      </c>
      <c r="Z16681" s="61">
        <f>_xll.qlYieldTSDiscount($U$35,Y16681,,Trigger)</f>
        <v>0.40869719745118788</v>
      </c>
    </row>
    <row r="16682" spans="25:26" x14ac:dyDescent="0.25">
      <c r="Y16682" s="63">
        <v>59215</v>
      </c>
      <c r="Z16682" s="61">
        <f>_xll.qlYieldTSDiscount($U$35,Y16682,,Trigger)</f>
        <v>0.40867272409886002</v>
      </c>
    </row>
    <row r="16683" spans="25:26" x14ac:dyDescent="0.25">
      <c r="Y16683" s="63">
        <v>59216</v>
      </c>
      <c r="Z16683" s="61">
        <f>_xll.qlYieldTSDiscount($U$35,Y16683,,Trigger)</f>
        <v>0.40864825267304106</v>
      </c>
    </row>
    <row r="16684" spans="25:26" x14ac:dyDescent="0.25">
      <c r="Y16684" s="63">
        <v>59217</v>
      </c>
      <c r="Z16684" s="61">
        <f>_xll.qlYieldTSDiscount($U$35,Y16684,,Trigger)</f>
        <v>0.40862378317336506</v>
      </c>
    </row>
    <row r="16685" spans="25:26" x14ac:dyDescent="0.25">
      <c r="Y16685" s="63">
        <v>59218</v>
      </c>
      <c r="Z16685" s="61">
        <f>_xll.qlYieldTSDiscount($U$35,Y16685,,Trigger)</f>
        <v>0.40859931559946594</v>
      </c>
    </row>
    <row r="16686" spans="25:26" x14ac:dyDescent="0.25">
      <c r="Y16686" s="63">
        <v>59219</v>
      </c>
      <c r="Z16686" s="61">
        <f>_xll.qlYieldTSDiscount($U$35,Y16686,,Trigger)</f>
        <v>0.40857484995097787</v>
      </c>
    </row>
    <row r="16687" spans="25:26" x14ac:dyDescent="0.25">
      <c r="Y16687" s="63">
        <v>59220</v>
      </c>
      <c r="Z16687" s="61">
        <f>_xll.qlYieldTSDiscount($U$35,Y16687,,Trigger)</f>
        <v>0.4085503862275347</v>
      </c>
    </row>
    <row r="16688" spans="25:26" x14ac:dyDescent="0.25">
      <c r="Y16688" s="63">
        <v>59221</v>
      </c>
      <c r="Z16688" s="61">
        <f>_xll.qlYieldTSDiscount($U$35,Y16688,,Trigger)</f>
        <v>0.40852592442877067</v>
      </c>
    </row>
    <row r="16689" spans="25:26" x14ac:dyDescent="0.25">
      <c r="Y16689" s="63">
        <v>59222</v>
      </c>
      <c r="Z16689" s="61">
        <f>_xll.qlYieldTSDiscount($U$35,Y16689,,Trigger)</f>
        <v>0.40850146455431963</v>
      </c>
    </row>
    <row r="16690" spans="25:26" x14ac:dyDescent="0.25">
      <c r="Y16690" s="63">
        <v>59223</v>
      </c>
      <c r="Z16690" s="61">
        <f>_xll.qlYieldTSDiscount($U$35,Y16690,,Trigger)</f>
        <v>0.40847700660381558</v>
      </c>
    </row>
    <row r="16691" spans="25:26" x14ac:dyDescent="0.25">
      <c r="Y16691" s="63">
        <v>59224</v>
      </c>
      <c r="Z16691" s="61">
        <f>_xll.qlYieldTSDiscount($U$35,Y16691,,Trigger)</f>
        <v>0.40845255057689273</v>
      </c>
    </row>
    <row r="16692" spans="25:26" x14ac:dyDescent="0.25">
      <c r="Y16692" s="63">
        <v>59225</v>
      </c>
      <c r="Z16692" s="61">
        <f>_xll.qlYieldTSDiscount($U$35,Y16692,,Trigger)</f>
        <v>0.4084280964731849</v>
      </c>
    </row>
    <row r="16693" spans="25:26" x14ac:dyDescent="0.25">
      <c r="Y16693" s="63">
        <v>59226</v>
      </c>
      <c r="Z16693" s="61">
        <f>_xll.qlYieldTSDiscount($U$35,Y16693,,Trigger)</f>
        <v>0.40840364429232617</v>
      </c>
    </row>
    <row r="16694" spans="25:26" x14ac:dyDescent="0.25">
      <c r="Y16694" s="63">
        <v>59227</v>
      </c>
      <c r="Z16694" s="61">
        <f>_xll.qlYieldTSDiscount($U$35,Y16694,,Trigger)</f>
        <v>0.40837919403395068</v>
      </c>
    </row>
    <row r="16695" spans="25:26" x14ac:dyDescent="0.25">
      <c r="Y16695" s="63">
        <v>59228</v>
      </c>
      <c r="Z16695" s="61">
        <f>_xll.qlYieldTSDiscount($U$35,Y16695,,Trigger)</f>
        <v>0.40835474569769231</v>
      </c>
    </row>
    <row r="16696" spans="25:26" x14ac:dyDescent="0.25">
      <c r="Y16696" s="63">
        <v>59229</v>
      </c>
      <c r="Z16696" s="61">
        <f>_xll.qlYieldTSDiscount($U$35,Y16696,,Trigger)</f>
        <v>0.40833029928318509</v>
      </c>
    </row>
    <row r="16697" spans="25:26" x14ac:dyDescent="0.25">
      <c r="Y16697" s="63">
        <v>59230</v>
      </c>
      <c r="Z16697" s="61">
        <f>_xll.qlYieldTSDiscount($U$35,Y16697,,Trigger)</f>
        <v>0.40830585479006315</v>
      </c>
    </row>
    <row r="16698" spans="25:26" x14ac:dyDescent="0.25">
      <c r="Y16698" s="63">
        <v>59231</v>
      </c>
      <c r="Z16698" s="61">
        <f>_xll.qlYieldTSDiscount($U$35,Y16698,,Trigger)</f>
        <v>0.40828141221796038</v>
      </c>
    </row>
    <row r="16699" spans="25:26" x14ac:dyDescent="0.25">
      <c r="Y16699" s="63">
        <v>59232</v>
      </c>
      <c r="Z16699" s="61">
        <f>_xll.qlYieldTSDiscount($U$35,Y16699,,Trigger)</f>
        <v>0.40825697156651086</v>
      </c>
    </row>
    <row r="16700" spans="25:26" x14ac:dyDescent="0.25">
      <c r="Y16700" s="63">
        <v>59233</v>
      </c>
      <c r="Z16700" s="61">
        <f>_xll.qlYieldTSDiscount($U$35,Y16700,,Trigger)</f>
        <v>0.40823253283534872</v>
      </c>
    </row>
    <row r="16701" spans="25:26" x14ac:dyDescent="0.25">
      <c r="Y16701" s="63">
        <v>59234</v>
      </c>
      <c r="Z16701" s="61">
        <f>_xll.qlYieldTSDiscount($U$35,Y16701,,Trigger)</f>
        <v>0.40820809602410779</v>
      </c>
    </row>
    <row r="16702" spans="25:26" x14ac:dyDescent="0.25">
      <c r="Y16702" s="63">
        <v>59235</v>
      </c>
      <c r="Z16702" s="61">
        <f>_xll.qlYieldTSDiscount($U$35,Y16702,,Trigger)</f>
        <v>0.40818366113242216</v>
      </c>
    </row>
    <row r="16703" spans="25:26" x14ac:dyDescent="0.25">
      <c r="Y16703" s="63">
        <v>59236</v>
      </c>
      <c r="Z16703" s="61">
        <f>_xll.qlYieldTSDiscount($U$35,Y16703,,Trigger)</f>
        <v>0.40815922815992589</v>
      </c>
    </row>
    <row r="16704" spans="25:26" x14ac:dyDescent="0.25">
      <c r="Y16704" s="63">
        <v>59237</v>
      </c>
      <c r="Z16704" s="61">
        <f>_xll.qlYieldTSDiscount($U$35,Y16704,,Trigger)</f>
        <v>0.40813479710625306</v>
      </c>
    </row>
    <row r="16705" spans="25:26" x14ac:dyDescent="0.25">
      <c r="Y16705" s="63">
        <v>59238</v>
      </c>
      <c r="Z16705" s="61">
        <f>_xll.qlYieldTSDiscount($U$35,Y16705,,Trigger)</f>
        <v>0.4081103679710375</v>
      </c>
    </row>
    <row r="16706" spans="25:26" x14ac:dyDescent="0.25">
      <c r="Y16706" s="63">
        <v>59239</v>
      </c>
      <c r="Z16706" s="61">
        <f>_xll.qlYieldTSDiscount($U$35,Y16706,,Trigger)</f>
        <v>0.40808594075391341</v>
      </c>
    </row>
    <row r="16707" spans="25:26" x14ac:dyDescent="0.25">
      <c r="Y16707" s="63">
        <v>59240</v>
      </c>
      <c r="Z16707" s="61">
        <f>_xll.qlYieldTSDiscount($U$35,Y16707,,Trigger)</f>
        <v>0.4080615154545148</v>
      </c>
    </row>
    <row r="16708" spans="25:26" x14ac:dyDescent="0.25">
      <c r="Y16708" s="63">
        <v>59241</v>
      </c>
      <c r="Z16708" s="61">
        <f>_xll.qlYieldTSDiscount($U$35,Y16708,,Trigger)</f>
        <v>0.40803709207247557</v>
      </c>
    </row>
    <row r="16709" spans="25:26" x14ac:dyDescent="0.25">
      <c r="Y16709" s="63">
        <v>59242</v>
      </c>
      <c r="Z16709" s="61">
        <f>_xll.qlYieldTSDiscount($U$35,Y16709,,Trigger)</f>
        <v>0.40801267060742985</v>
      </c>
    </row>
    <row r="16710" spans="25:26" x14ac:dyDescent="0.25">
      <c r="Y16710" s="63">
        <v>59243</v>
      </c>
      <c r="Z16710" s="61">
        <f>_xll.qlYieldTSDiscount($U$35,Y16710,,Trigger)</f>
        <v>0.4079882510590116</v>
      </c>
    </row>
    <row r="16711" spans="25:26" x14ac:dyDescent="0.25">
      <c r="Y16711" s="63">
        <v>59244</v>
      </c>
      <c r="Z16711" s="61">
        <f>_xll.qlYieldTSDiscount($U$35,Y16711,,Trigger)</f>
        <v>0.40796383342685483</v>
      </c>
    </row>
    <row r="16712" spans="25:26" x14ac:dyDescent="0.25">
      <c r="Y16712" s="63">
        <v>59245</v>
      </c>
      <c r="Z16712" s="61">
        <f>_xll.qlYieldTSDiscount($U$35,Y16712,,Trigger)</f>
        <v>0.40793941771059367</v>
      </c>
    </row>
    <row r="16713" spans="25:26" x14ac:dyDescent="0.25">
      <c r="Y16713" s="63">
        <v>59246</v>
      </c>
      <c r="Z16713" s="61">
        <f>_xll.qlYieldTSDiscount($U$35,Y16713,,Trigger)</f>
        <v>0.40791500390986207</v>
      </c>
    </row>
    <row r="16714" spans="25:26" x14ac:dyDescent="0.25">
      <c r="Y16714" s="63">
        <v>59247</v>
      </c>
      <c r="Z16714" s="61">
        <f>_xll.qlYieldTSDiscount($U$35,Y16714,,Trigger)</f>
        <v>0.40789059202429401</v>
      </c>
    </row>
    <row r="16715" spans="25:26" x14ac:dyDescent="0.25">
      <c r="Y16715" s="63">
        <v>59248</v>
      </c>
      <c r="Z16715" s="61">
        <f>_xll.qlYieldTSDiscount($U$35,Y16715,,Trigger)</f>
        <v>0.40786618205352354</v>
      </c>
    </row>
    <row r="16716" spans="25:26" x14ac:dyDescent="0.25">
      <c r="Y16716" s="63">
        <v>59249</v>
      </c>
      <c r="Z16716" s="61">
        <f>_xll.qlYieldTSDiscount($U$35,Y16716,,Trigger)</f>
        <v>0.4078417739971848</v>
      </c>
    </row>
    <row r="16717" spans="25:26" x14ac:dyDescent="0.25">
      <c r="Y16717" s="63">
        <v>59250</v>
      </c>
      <c r="Z16717" s="61">
        <f>_xll.qlYieldTSDiscount($U$35,Y16717,,Trigger)</f>
        <v>0.40781736785491163</v>
      </c>
    </row>
    <row r="16718" spans="25:26" x14ac:dyDescent="0.25">
      <c r="Y16718" s="63">
        <v>59251</v>
      </c>
      <c r="Z16718" s="61">
        <f>_xll.qlYieldTSDiscount($U$35,Y16718,,Trigger)</f>
        <v>0.4077929636263381</v>
      </c>
    </row>
    <row r="16719" spans="25:26" x14ac:dyDescent="0.25">
      <c r="Y16719" s="63">
        <v>59252</v>
      </c>
      <c r="Z16719" s="61">
        <f>_xll.qlYieldTSDiscount($U$35,Y16719,,Trigger)</f>
        <v>0.40776856131109829</v>
      </c>
    </row>
    <row r="16720" spans="25:26" x14ac:dyDescent="0.25">
      <c r="Y16720" s="63">
        <v>59253</v>
      </c>
      <c r="Z16720" s="61">
        <f>_xll.qlYieldTSDiscount($U$35,Y16720,,Trigger)</f>
        <v>0.4077441609088262</v>
      </c>
    </row>
    <row r="16721" spans="25:26" x14ac:dyDescent="0.25">
      <c r="Y16721" s="63">
        <v>59254</v>
      </c>
      <c r="Z16721" s="61">
        <f>_xll.qlYieldTSDiscount($U$35,Y16721,,Trigger)</f>
        <v>0.40771976241915586</v>
      </c>
    </row>
    <row r="16722" spans="25:26" x14ac:dyDescent="0.25">
      <c r="Y16722" s="63">
        <v>59255</v>
      </c>
      <c r="Z16722" s="61">
        <f>_xll.qlYieldTSDiscount($U$35,Y16722,,Trigger)</f>
        <v>0.40769536584172128</v>
      </c>
    </row>
    <row r="16723" spans="25:26" x14ac:dyDescent="0.25">
      <c r="Y16723" s="63">
        <v>59256</v>
      </c>
      <c r="Z16723" s="61">
        <f>_xll.qlYieldTSDiscount($U$35,Y16723,,Trigger)</f>
        <v>0.40767097117615647</v>
      </c>
    </row>
    <row r="16724" spans="25:26" x14ac:dyDescent="0.25">
      <c r="Y16724" s="63">
        <v>59257</v>
      </c>
      <c r="Z16724" s="61">
        <f>_xll.qlYieldTSDiscount($U$35,Y16724,,Trigger)</f>
        <v>0.40764657842209545</v>
      </c>
    </row>
    <row r="16725" spans="25:26" x14ac:dyDescent="0.25">
      <c r="Y16725" s="63">
        <v>59258</v>
      </c>
      <c r="Z16725" s="61">
        <f>_xll.qlYieldTSDiscount($U$35,Y16725,,Trigger)</f>
        <v>0.40762218757917223</v>
      </c>
    </row>
    <row r="16726" spans="25:26" x14ac:dyDescent="0.25">
      <c r="Y16726" s="63">
        <v>59259</v>
      </c>
      <c r="Z16726" s="61">
        <f>_xll.qlYieldTSDiscount($U$35,Y16726,,Trigger)</f>
        <v>0.40759779864702095</v>
      </c>
    </row>
    <row r="16727" spans="25:26" x14ac:dyDescent="0.25">
      <c r="Y16727" s="63">
        <v>59260</v>
      </c>
      <c r="Z16727" s="61">
        <f>_xll.qlYieldTSDiscount($U$35,Y16727,,Trigger)</f>
        <v>0.40757341162527544</v>
      </c>
    </row>
    <row r="16728" spans="25:26" x14ac:dyDescent="0.25">
      <c r="Y16728" s="63">
        <v>59261</v>
      </c>
      <c r="Z16728" s="61">
        <f>_xll.qlYieldTSDiscount($U$35,Y16728,,Trigger)</f>
        <v>0.40754902651356983</v>
      </c>
    </row>
    <row r="16729" spans="25:26" x14ac:dyDescent="0.25">
      <c r="Y16729" s="63">
        <v>59262</v>
      </c>
      <c r="Z16729" s="61">
        <f>_xll.qlYieldTSDiscount($U$35,Y16729,,Trigger)</f>
        <v>0.4075246433115382</v>
      </c>
    </row>
    <row r="16730" spans="25:26" x14ac:dyDescent="0.25">
      <c r="Y16730" s="63">
        <v>59263</v>
      </c>
      <c r="Z16730" s="61">
        <f>_xll.qlYieldTSDiscount($U$35,Y16730,,Trigger)</f>
        <v>0.4075002620188144</v>
      </c>
    </row>
    <row r="16731" spans="25:26" x14ac:dyDescent="0.25">
      <c r="Y16731" s="63">
        <v>59264</v>
      </c>
      <c r="Z16731" s="61">
        <f>_xll.qlYieldTSDiscount($U$35,Y16731,,Trigger)</f>
        <v>0.40747588263503265</v>
      </c>
    </row>
    <row r="16732" spans="25:26" x14ac:dyDescent="0.25">
      <c r="Y16732" s="63">
        <v>59265</v>
      </c>
      <c r="Z16732" s="61">
        <f>_xll.qlYieldTSDiscount($U$35,Y16732,,Trigger)</f>
        <v>0.40745150515982675</v>
      </c>
    </row>
    <row r="16733" spans="25:26" x14ac:dyDescent="0.25">
      <c r="Y16733" s="63">
        <v>59266</v>
      </c>
      <c r="Z16733" s="61">
        <f>_xll.qlYieldTSDiscount($U$35,Y16733,,Trigger)</f>
        <v>0.40742712959283101</v>
      </c>
    </row>
    <row r="16734" spans="25:26" x14ac:dyDescent="0.25">
      <c r="Y16734" s="63">
        <v>59267</v>
      </c>
      <c r="Z16734" s="61">
        <f>_xll.qlYieldTSDiscount($U$35,Y16734,,Trigger)</f>
        <v>0.40740275593367919</v>
      </c>
    </row>
    <row r="16735" spans="25:26" x14ac:dyDescent="0.25">
      <c r="Y16735" s="63">
        <v>59268</v>
      </c>
      <c r="Z16735" s="61">
        <f>_xll.qlYieldTSDiscount($U$35,Y16735,,Trigger)</f>
        <v>0.40737838418200539</v>
      </c>
    </row>
    <row r="16736" spans="25:26" x14ac:dyDescent="0.25">
      <c r="Y16736" s="63">
        <v>59269</v>
      </c>
      <c r="Z16736" s="61">
        <f>_xll.qlYieldTSDiscount($U$35,Y16736,,Trigger)</f>
        <v>0.40735401433744378</v>
      </c>
    </row>
    <row r="16737" spans="25:26" x14ac:dyDescent="0.25">
      <c r="Y16737" s="63">
        <v>59270</v>
      </c>
      <c r="Z16737" s="61">
        <f>_xll.qlYieldTSDiscount($U$35,Y16737,,Trigger)</f>
        <v>0.40732964639962815</v>
      </c>
    </row>
    <row r="16738" spans="25:26" x14ac:dyDescent="0.25">
      <c r="Y16738" s="63">
        <v>59271</v>
      </c>
      <c r="Z16738" s="61">
        <f>_xll.qlYieldTSDiscount($U$35,Y16738,,Trigger)</f>
        <v>0.40730528036819263</v>
      </c>
    </row>
    <row r="16739" spans="25:26" x14ac:dyDescent="0.25">
      <c r="Y16739" s="63">
        <v>59272</v>
      </c>
      <c r="Z16739" s="61">
        <f>_xll.qlYieldTSDiscount($U$35,Y16739,,Trigger)</f>
        <v>0.4072809162427713</v>
      </c>
    </row>
    <row r="16740" spans="25:26" x14ac:dyDescent="0.25">
      <c r="Y16740" s="63">
        <v>59273</v>
      </c>
      <c r="Z16740" s="61">
        <f>_xll.qlYieldTSDiscount($U$35,Y16740,,Trigger)</f>
        <v>0.4072565540229981</v>
      </c>
    </row>
    <row r="16741" spans="25:26" x14ac:dyDescent="0.25">
      <c r="Y16741" s="63">
        <v>59274</v>
      </c>
      <c r="Z16741" s="61">
        <f>_xll.qlYieldTSDiscount($U$35,Y16741,,Trigger)</f>
        <v>0.40723219370850705</v>
      </c>
    </row>
    <row r="16742" spans="25:26" x14ac:dyDescent="0.25">
      <c r="Y16742" s="63">
        <v>59275</v>
      </c>
      <c r="Z16742" s="61">
        <f>_xll.qlYieldTSDiscount($U$35,Y16742,,Trigger)</f>
        <v>0.40720783529893223</v>
      </c>
    </row>
    <row r="16743" spans="25:26" x14ac:dyDescent="0.25">
      <c r="Y16743" s="63">
        <v>59276</v>
      </c>
      <c r="Z16743" s="61">
        <f>_xll.qlYieldTSDiscount($U$35,Y16743,,Trigger)</f>
        <v>0.40718347879390759</v>
      </c>
    </row>
    <row r="16744" spans="25:26" x14ac:dyDescent="0.25">
      <c r="Y16744" s="63">
        <v>59277</v>
      </c>
      <c r="Z16744" s="61">
        <f>_xll.qlYieldTSDiscount($U$35,Y16744,,Trigger)</f>
        <v>0.4071591241930671</v>
      </c>
    </row>
    <row r="16745" spans="25:26" x14ac:dyDescent="0.25">
      <c r="Y16745" s="63">
        <v>59278</v>
      </c>
      <c r="Z16745" s="61">
        <f>_xll.qlYieldTSDiscount($U$35,Y16745,,Trigger)</f>
        <v>0.40713477149604504</v>
      </c>
    </row>
    <row r="16746" spans="25:26" x14ac:dyDescent="0.25">
      <c r="Y16746" s="63">
        <v>59279</v>
      </c>
      <c r="Z16746" s="61">
        <f>_xll.qlYieldTSDiscount($U$35,Y16746,,Trigger)</f>
        <v>0.40711042070247516</v>
      </c>
    </row>
    <row r="16747" spans="25:26" x14ac:dyDescent="0.25">
      <c r="Y16747" s="63">
        <v>59280</v>
      </c>
      <c r="Z16747" s="61">
        <f>_xll.qlYieldTSDiscount($U$35,Y16747,,Trigger)</f>
        <v>0.40708607181199163</v>
      </c>
    </row>
    <row r="16748" spans="25:26" x14ac:dyDescent="0.25">
      <c r="Y16748" s="63">
        <v>59281</v>
      </c>
      <c r="Z16748" s="61">
        <f>_xll.qlYieldTSDiscount($U$35,Y16748,,Trigger)</f>
        <v>0.40706172482422842</v>
      </c>
    </row>
    <row r="16749" spans="25:26" x14ac:dyDescent="0.25">
      <c r="Y16749" s="63">
        <v>59282</v>
      </c>
      <c r="Z16749" s="61">
        <f>_xll.qlYieldTSDiscount($U$35,Y16749,,Trigger)</f>
        <v>0.40703737973881954</v>
      </c>
    </row>
    <row r="16750" spans="25:26" x14ac:dyDescent="0.25">
      <c r="Y16750" s="63">
        <v>59283</v>
      </c>
      <c r="Z16750" s="61">
        <f>_xll.qlYieldTSDiscount($U$35,Y16750,,Trigger)</f>
        <v>0.407013036555399</v>
      </c>
    </row>
    <row r="16751" spans="25:26" x14ac:dyDescent="0.25">
      <c r="Y16751" s="63">
        <v>59284</v>
      </c>
      <c r="Z16751" s="61">
        <f>_xll.qlYieldTSDiscount($U$35,Y16751,,Trigger)</f>
        <v>0.40698869527360093</v>
      </c>
    </row>
    <row r="16752" spans="25:26" x14ac:dyDescent="0.25">
      <c r="Y16752" s="63">
        <v>59285</v>
      </c>
      <c r="Z16752" s="61">
        <f>_xll.qlYieldTSDiscount($U$35,Y16752,,Trigger)</f>
        <v>0.40696435589305924</v>
      </c>
    </row>
    <row r="16753" spans="25:26" x14ac:dyDescent="0.25">
      <c r="Y16753" s="63">
        <v>59286</v>
      </c>
      <c r="Z16753" s="61">
        <f>_xll.qlYieldTSDiscount($U$35,Y16753,,Trigger)</f>
        <v>0.40694001841340799</v>
      </c>
    </row>
    <row r="16754" spans="25:26" x14ac:dyDescent="0.25">
      <c r="Y16754" s="63">
        <v>59287</v>
      </c>
      <c r="Z16754" s="61">
        <f>_xll.qlYieldTSDiscount($U$35,Y16754,,Trigger)</f>
        <v>0.40691568283428114</v>
      </c>
    </row>
    <row r="16755" spans="25:26" x14ac:dyDescent="0.25">
      <c r="Y16755" s="63">
        <v>59288</v>
      </c>
      <c r="Z16755" s="61">
        <f>_xll.qlYieldTSDiscount($U$35,Y16755,,Trigger)</f>
        <v>0.40689134915531289</v>
      </c>
    </row>
    <row r="16756" spans="25:26" x14ac:dyDescent="0.25">
      <c r="Y16756" s="63">
        <v>59289</v>
      </c>
      <c r="Z16756" s="61">
        <f>_xll.qlYieldTSDiscount($U$35,Y16756,,Trigger)</f>
        <v>0.40686701737613701</v>
      </c>
    </row>
    <row r="16757" spans="25:26" x14ac:dyDescent="0.25">
      <c r="Y16757" s="63">
        <v>59290</v>
      </c>
      <c r="Z16757" s="61">
        <f>_xll.qlYieldTSDiscount($U$35,Y16757,,Trigger)</f>
        <v>0.40684268749638769</v>
      </c>
    </row>
    <row r="16758" spans="25:26" x14ac:dyDescent="0.25">
      <c r="Y16758" s="63">
        <v>59291</v>
      </c>
      <c r="Z16758" s="61">
        <f>_xll.qlYieldTSDiscount($U$35,Y16758,,Trigger)</f>
        <v>0.406818359515699</v>
      </c>
    </row>
    <row r="16759" spans="25:26" x14ac:dyDescent="0.25">
      <c r="Y16759" s="63">
        <v>59292</v>
      </c>
      <c r="Z16759" s="61">
        <f>_xll.qlYieldTSDiscount($U$35,Y16759,,Trigger)</f>
        <v>0.40679403343370479</v>
      </c>
    </row>
    <row r="16760" spans="25:26" x14ac:dyDescent="0.25">
      <c r="Y16760" s="63">
        <v>59293</v>
      </c>
      <c r="Z16760" s="61">
        <f>_xll.qlYieldTSDiscount($U$35,Y16760,,Trigger)</f>
        <v>0.40676970925003919</v>
      </c>
    </row>
    <row r="16761" spans="25:26" x14ac:dyDescent="0.25">
      <c r="Y16761" s="63">
        <v>59294</v>
      </c>
      <c r="Z16761" s="61">
        <f>_xll.qlYieldTSDiscount($U$35,Y16761,,Trigger)</f>
        <v>0.40674538696433621</v>
      </c>
    </row>
    <row r="16762" spans="25:26" x14ac:dyDescent="0.25">
      <c r="Y16762" s="63">
        <v>59295</v>
      </c>
      <c r="Z16762" s="61">
        <f>_xll.qlYieldTSDiscount($U$35,Y16762,,Trigger)</f>
        <v>0.40672106657622986</v>
      </c>
    </row>
    <row r="16763" spans="25:26" x14ac:dyDescent="0.25">
      <c r="Y16763" s="63">
        <v>59296</v>
      </c>
      <c r="Z16763" s="61">
        <f>_xll.qlYieldTSDiscount($U$35,Y16763,,Trigger)</f>
        <v>0.40669674808535411</v>
      </c>
    </row>
    <row r="16764" spans="25:26" x14ac:dyDescent="0.25">
      <c r="Y16764" s="63">
        <v>59297</v>
      </c>
      <c r="Z16764" s="61">
        <f>_xll.qlYieldTSDiscount($U$35,Y16764,,Trigger)</f>
        <v>0.40667243149134302</v>
      </c>
    </row>
    <row r="16765" spans="25:26" x14ac:dyDescent="0.25">
      <c r="Y16765" s="63">
        <v>59298</v>
      </c>
      <c r="Z16765" s="61">
        <f>_xll.qlYieldTSDiscount($U$35,Y16765,,Trigger)</f>
        <v>0.40664811679383073</v>
      </c>
    </row>
    <row r="16766" spans="25:26" x14ac:dyDescent="0.25">
      <c r="Y16766" s="63">
        <v>59299</v>
      </c>
      <c r="Z16766" s="61">
        <f>_xll.qlYieldTSDiscount($U$35,Y16766,,Trigger)</f>
        <v>0.40662380399245113</v>
      </c>
    </row>
    <row r="16767" spans="25:26" x14ac:dyDescent="0.25">
      <c r="Y16767" s="63">
        <v>59300</v>
      </c>
      <c r="Z16767" s="61">
        <f>_xll.qlYieldTSDiscount($U$35,Y16767,,Trigger)</f>
        <v>0.40659949308683829</v>
      </c>
    </row>
    <row r="16768" spans="25:26" x14ac:dyDescent="0.25">
      <c r="Y16768" s="63">
        <v>59301</v>
      </c>
      <c r="Z16768" s="61">
        <f>_xll.qlYieldTSDiscount($U$35,Y16768,,Trigger)</f>
        <v>0.40657518407662618</v>
      </c>
    </row>
    <row r="16769" spans="25:26" x14ac:dyDescent="0.25">
      <c r="Y16769" s="63">
        <v>59302</v>
      </c>
      <c r="Z16769" s="61">
        <f>_xll.qlYieldTSDiscount($U$35,Y16769,,Trigger)</f>
        <v>0.40655087696144887</v>
      </c>
    </row>
    <row r="16770" spans="25:26" x14ac:dyDescent="0.25">
      <c r="Y16770" s="63">
        <v>59303</v>
      </c>
      <c r="Z16770" s="61">
        <f>_xll.qlYieldTSDiscount($U$35,Y16770,,Trigger)</f>
        <v>0.40652657174094031</v>
      </c>
    </row>
    <row r="16771" spans="25:26" x14ac:dyDescent="0.25">
      <c r="Y16771" s="63">
        <v>59304</v>
      </c>
      <c r="Z16771" s="61">
        <f>_xll.qlYieldTSDiscount($U$35,Y16771,,Trigger)</f>
        <v>0.40650226841473469</v>
      </c>
    </row>
    <row r="16772" spans="25:26" x14ac:dyDescent="0.25">
      <c r="Y16772" s="63">
        <v>59305</v>
      </c>
      <c r="Z16772" s="61">
        <f>_xll.qlYieldTSDiscount($U$35,Y16772,,Trigger)</f>
        <v>0.40647796698246585</v>
      </c>
    </row>
    <row r="16773" spans="25:26" x14ac:dyDescent="0.25">
      <c r="Y16773" s="63">
        <v>59306</v>
      </c>
      <c r="Z16773" s="61">
        <f>_xll.qlYieldTSDiscount($U$35,Y16773,,Trigger)</f>
        <v>0.40645366744376787</v>
      </c>
    </row>
    <row r="16774" spans="25:26" x14ac:dyDescent="0.25">
      <c r="Y16774" s="63">
        <v>59307</v>
      </c>
      <c r="Z16774" s="61">
        <f>_xll.qlYieldTSDiscount($U$35,Y16774,,Trigger)</f>
        <v>0.40642936979827482</v>
      </c>
    </row>
    <row r="16775" spans="25:26" x14ac:dyDescent="0.25">
      <c r="Y16775" s="63">
        <v>59308</v>
      </c>
      <c r="Z16775" s="61">
        <f>_xll.qlYieldTSDiscount($U$35,Y16775,,Trigger)</f>
        <v>0.40640507404562065</v>
      </c>
    </row>
    <row r="16776" spans="25:26" x14ac:dyDescent="0.25">
      <c r="Y16776" s="63">
        <v>59309</v>
      </c>
      <c r="Z16776" s="61">
        <f>_xll.qlYieldTSDiscount($U$35,Y16776,,Trigger)</f>
        <v>0.40638078018543944</v>
      </c>
    </row>
    <row r="16777" spans="25:26" x14ac:dyDescent="0.25">
      <c r="Y16777" s="63">
        <v>59310</v>
      </c>
      <c r="Z16777" s="61">
        <f>_xll.qlYieldTSDiscount($U$35,Y16777,,Trigger)</f>
        <v>0.40635648821736514</v>
      </c>
    </row>
    <row r="16778" spans="25:26" x14ac:dyDescent="0.25">
      <c r="Y16778" s="63">
        <v>59311</v>
      </c>
      <c r="Z16778" s="61">
        <f>_xll.qlYieldTSDiscount($U$35,Y16778,,Trigger)</f>
        <v>0.40633219814103194</v>
      </c>
    </row>
    <row r="16779" spans="25:26" x14ac:dyDescent="0.25">
      <c r="Y16779" s="63">
        <v>59312</v>
      </c>
      <c r="Z16779" s="61">
        <f>_xll.qlYieldTSDiscount($U$35,Y16779,,Trigger)</f>
        <v>0.40630790995607369</v>
      </c>
    </row>
    <row r="16780" spans="25:26" x14ac:dyDescent="0.25">
      <c r="Y16780" s="63">
        <v>59313</v>
      </c>
      <c r="Z16780" s="61">
        <f>_xll.qlYieldTSDiscount($U$35,Y16780,,Trigger)</f>
        <v>0.40628362366212439</v>
      </c>
    </row>
    <row r="16781" spans="25:26" x14ac:dyDescent="0.25">
      <c r="Y16781" s="63">
        <v>59314</v>
      </c>
      <c r="Z16781" s="61">
        <f>_xll.qlYieldTSDiscount($U$35,Y16781,,Trigger)</f>
        <v>0.4062593392588183</v>
      </c>
    </row>
    <row r="16782" spans="25:26" x14ac:dyDescent="0.25">
      <c r="Y16782" s="63">
        <v>59315</v>
      </c>
      <c r="Z16782" s="61">
        <f>_xll.qlYieldTSDiscount($U$35,Y16782,,Trigger)</f>
        <v>0.40623505674578908</v>
      </c>
    </row>
    <row r="16783" spans="25:26" x14ac:dyDescent="0.25">
      <c r="Y16783" s="63">
        <v>59316</v>
      </c>
      <c r="Z16783" s="61">
        <f>_xll.qlYieldTSDiscount($U$35,Y16783,,Trigger)</f>
        <v>0.40621077612267109</v>
      </c>
    </row>
    <row r="16784" spans="25:26" x14ac:dyDescent="0.25">
      <c r="Y16784" s="63">
        <v>59317</v>
      </c>
      <c r="Z16784" s="61">
        <f>_xll.qlYieldTSDiscount($U$35,Y16784,,Trigger)</f>
        <v>0.40618649738909818</v>
      </c>
    </row>
    <row r="16785" spans="25:26" x14ac:dyDescent="0.25">
      <c r="Y16785" s="63">
        <v>59318</v>
      </c>
      <c r="Z16785" s="61">
        <f>_xll.qlYieldTSDiscount($U$35,Y16785,,Trigger)</f>
        <v>0.40616222054470441</v>
      </c>
    </row>
    <row r="16786" spans="25:26" x14ac:dyDescent="0.25">
      <c r="Y16786" s="63">
        <v>59319</v>
      </c>
      <c r="Z16786" s="61">
        <f>_xll.qlYieldTSDiscount($U$35,Y16786,,Trigger)</f>
        <v>0.40613794558912375</v>
      </c>
    </row>
    <row r="16787" spans="25:26" x14ac:dyDescent="0.25">
      <c r="Y16787" s="63">
        <v>59320</v>
      </c>
      <c r="Z16787" s="61">
        <f>_xll.qlYieldTSDiscount($U$35,Y16787,,Trigger)</f>
        <v>0.40611367252199032</v>
      </c>
    </row>
    <row r="16788" spans="25:26" x14ac:dyDescent="0.25">
      <c r="Y16788" s="63">
        <v>59321</v>
      </c>
      <c r="Z16788" s="61">
        <f>_xll.qlYieldTSDiscount($U$35,Y16788,,Trigger)</f>
        <v>0.40608940134293803</v>
      </c>
    </row>
    <row r="16789" spans="25:26" x14ac:dyDescent="0.25">
      <c r="Y16789" s="63">
        <v>59322</v>
      </c>
      <c r="Z16789" s="61">
        <f>_xll.qlYieldTSDiscount($U$35,Y16789,,Trigger)</f>
        <v>0.40606513205160105</v>
      </c>
    </row>
    <row r="16790" spans="25:26" x14ac:dyDescent="0.25">
      <c r="Y16790" s="63">
        <v>59323</v>
      </c>
      <c r="Z16790" s="61">
        <f>_xll.qlYieldTSDiscount($U$35,Y16790,,Trigger)</f>
        <v>0.4060408646476133</v>
      </c>
    </row>
    <row r="16791" spans="25:26" x14ac:dyDescent="0.25">
      <c r="Y16791" s="63">
        <v>59324</v>
      </c>
      <c r="Z16791" s="61">
        <f>_xll.qlYieldTSDiscount($U$35,Y16791,,Trigger)</f>
        <v>0.40601659913060872</v>
      </c>
    </row>
    <row r="16792" spans="25:26" x14ac:dyDescent="0.25">
      <c r="Y16792" s="63">
        <v>59325</v>
      </c>
      <c r="Z16792" s="61">
        <f>_xll.qlYieldTSDiscount($U$35,Y16792,,Trigger)</f>
        <v>0.40599233550022151</v>
      </c>
    </row>
    <row r="16793" spans="25:26" x14ac:dyDescent="0.25">
      <c r="Y16793" s="63">
        <v>59326</v>
      </c>
      <c r="Z16793" s="61">
        <f>_xll.qlYieldTSDiscount($U$35,Y16793,,Trigger)</f>
        <v>0.40596807375608557</v>
      </c>
    </row>
    <row r="16794" spans="25:26" x14ac:dyDescent="0.25">
      <c r="Y16794" s="63">
        <v>59327</v>
      </c>
      <c r="Z16794" s="61">
        <f>_xll.qlYieldTSDiscount($U$35,Y16794,,Trigger)</f>
        <v>0.40594381389783507</v>
      </c>
    </row>
    <row r="16795" spans="25:26" x14ac:dyDescent="0.25">
      <c r="Y16795" s="63">
        <v>59328</v>
      </c>
      <c r="Z16795" s="61">
        <f>_xll.qlYieldTSDiscount($U$35,Y16795,,Trigger)</f>
        <v>0.40591955592510381</v>
      </c>
    </row>
    <row r="16796" spans="25:26" x14ac:dyDescent="0.25">
      <c r="Y16796" s="63">
        <v>59329</v>
      </c>
      <c r="Z16796" s="61">
        <f>_xll.qlYieldTSDiscount($U$35,Y16796,,Trigger)</f>
        <v>0.40589529983752592</v>
      </c>
    </row>
    <row r="16797" spans="25:26" x14ac:dyDescent="0.25">
      <c r="Y16797" s="63">
        <v>59330</v>
      </c>
      <c r="Z16797" s="61">
        <f>_xll.qlYieldTSDiscount($U$35,Y16797,,Trigger)</f>
        <v>0.40587104563473553</v>
      </c>
    </row>
    <row r="16798" spans="25:26" x14ac:dyDescent="0.25">
      <c r="Y16798" s="63">
        <v>59331</v>
      </c>
      <c r="Z16798" s="61">
        <f>_xll.qlYieldTSDiscount($U$35,Y16798,,Trigger)</f>
        <v>0.40584679331636647</v>
      </c>
    </row>
    <row r="16799" spans="25:26" x14ac:dyDescent="0.25">
      <c r="Y16799" s="63">
        <v>59332</v>
      </c>
      <c r="Z16799" s="61">
        <f>_xll.qlYieldTSDiscount($U$35,Y16799,,Trigger)</f>
        <v>0.40582254288205288</v>
      </c>
    </row>
    <row r="16800" spans="25:26" x14ac:dyDescent="0.25">
      <c r="Y16800" s="63">
        <v>59333</v>
      </c>
      <c r="Z16800" s="61">
        <f>_xll.qlYieldTSDiscount($U$35,Y16800,,Trigger)</f>
        <v>0.40579829433142878</v>
      </c>
    </row>
    <row r="16801" spans="25:26" x14ac:dyDescent="0.25">
      <c r="Y16801" s="63">
        <v>59334</v>
      </c>
      <c r="Z16801" s="61">
        <f>_xll.qlYieldTSDiscount($U$35,Y16801,,Trigger)</f>
        <v>0.40577404766412806</v>
      </c>
    </row>
    <row r="16802" spans="25:26" x14ac:dyDescent="0.25">
      <c r="Y16802" s="63">
        <v>59335</v>
      </c>
      <c r="Z16802" s="61">
        <f>_xll.qlYieldTSDiscount($U$35,Y16802,,Trigger)</f>
        <v>0.4057498028797849</v>
      </c>
    </row>
    <row r="16803" spans="25:26" x14ac:dyDescent="0.25">
      <c r="Y16803" s="63">
        <v>59336</v>
      </c>
      <c r="Z16803" s="61">
        <f>_xll.qlYieldTSDiscount($U$35,Y16803,,Trigger)</f>
        <v>0.40572555997803339</v>
      </c>
    </row>
    <row r="16804" spans="25:26" x14ac:dyDescent="0.25">
      <c r="Y16804" s="63">
        <v>59337</v>
      </c>
      <c r="Z16804" s="61">
        <f>_xll.qlYieldTSDiscount($U$35,Y16804,,Trigger)</f>
        <v>0.40570131895850731</v>
      </c>
    </row>
    <row r="16805" spans="25:26" x14ac:dyDescent="0.25">
      <c r="Y16805" s="63">
        <v>59338</v>
      </c>
      <c r="Z16805" s="61">
        <f>_xll.qlYieldTSDiscount($U$35,Y16805,,Trigger)</f>
        <v>0.40567707982084078</v>
      </c>
    </row>
    <row r="16806" spans="25:26" x14ac:dyDescent="0.25">
      <c r="Y16806" s="63">
        <v>59339</v>
      </c>
      <c r="Z16806" s="61">
        <f>_xll.qlYieldTSDiscount($U$35,Y16806,,Trigger)</f>
        <v>0.40565284256466794</v>
      </c>
    </row>
    <row r="16807" spans="25:26" x14ac:dyDescent="0.25">
      <c r="Y16807" s="63">
        <v>59340</v>
      </c>
      <c r="Z16807" s="61">
        <f>_xll.qlYieldTSDiscount($U$35,Y16807,,Trigger)</f>
        <v>0.40562860718962268</v>
      </c>
    </row>
    <row r="16808" spans="25:26" x14ac:dyDescent="0.25">
      <c r="Y16808" s="63">
        <v>59341</v>
      </c>
      <c r="Z16808" s="61">
        <f>_xll.qlYieldTSDiscount($U$35,Y16808,,Trigger)</f>
        <v>0.40560437369533897</v>
      </c>
    </row>
    <row r="16809" spans="25:26" x14ac:dyDescent="0.25">
      <c r="Y16809" s="63">
        <v>59342</v>
      </c>
      <c r="Z16809" s="61">
        <f>_xll.qlYieldTSDiscount($U$35,Y16809,,Trigger)</f>
        <v>0.40558014208145099</v>
      </c>
    </row>
    <row r="16810" spans="25:26" x14ac:dyDescent="0.25">
      <c r="Y16810" s="63">
        <v>59343</v>
      </c>
      <c r="Z16810" s="61">
        <f>_xll.qlYieldTSDiscount($U$35,Y16810,,Trigger)</f>
        <v>0.40555591234759275</v>
      </c>
    </row>
    <row r="16811" spans="25:26" x14ac:dyDescent="0.25">
      <c r="Y16811" s="63">
        <v>59344</v>
      </c>
      <c r="Z16811" s="61">
        <f>_xll.qlYieldTSDiscount($U$35,Y16811,,Trigger)</f>
        <v>0.40553168449339816</v>
      </c>
    </row>
    <row r="16812" spans="25:26" x14ac:dyDescent="0.25">
      <c r="Y16812" s="63">
        <v>59345</v>
      </c>
      <c r="Z16812" s="61">
        <f>_xll.qlYieldTSDiscount($U$35,Y16812,,Trigger)</f>
        <v>0.40550745851850123</v>
      </c>
    </row>
    <row r="16813" spans="25:26" x14ac:dyDescent="0.25">
      <c r="Y16813" s="63">
        <v>59346</v>
      </c>
      <c r="Z16813" s="61">
        <f>_xll.qlYieldTSDiscount($U$35,Y16813,,Trigger)</f>
        <v>0.4054832344225362</v>
      </c>
    </row>
    <row r="16814" spans="25:26" x14ac:dyDescent="0.25">
      <c r="Y16814" s="63">
        <v>59347</v>
      </c>
      <c r="Z16814" s="61">
        <f>_xll.qlYieldTSDiscount($U$35,Y16814,,Trigger)</f>
        <v>0.4054590122051368</v>
      </c>
    </row>
    <row r="16815" spans="25:26" x14ac:dyDescent="0.25">
      <c r="Y16815" s="63">
        <v>59348</v>
      </c>
      <c r="Z16815" s="61">
        <f>_xll.qlYieldTSDiscount($U$35,Y16815,,Trigger)</f>
        <v>0.40543479186593723</v>
      </c>
    </row>
    <row r="16816" spans="25:26" x14ac:dyDescent="0.25">
      <c r="Y16816" s="63">
        <v>59349</v>
      </c>
      <c r="Z16816" s="61">
        <f>_xll.qlYieldTSDiscount($U$35,Y16816,,Trigger)</f>
        <v>0.40541057340457154</v>
      </c>
    </row>
    <row r="16817" spans="25:26" x14ac:dyDescent="0.25">
      <c r="Y16817" s="63">
        <v>59350</v>
      </c>
      <c r="Z16817" s="61">
        <f>_xll.qlYieldTSDiscount($U$35,Y16817,,Trigger)</f>
        <v>0.40538635682067359</v>
      </c>
    </row>
    <row r="16818" spans="25:26" x14ac:dyDescent="0.25">
      <c r="Y16818" s="63">
        <v>59351</v>
      </c>
      <c r="Z16818" s="61">
        <f>_xll.qlYieldTSDiscount($U$35,Y16818,,Trigger)</f>
        <v>0.4053621421138775</v>
      </c>
    </row>
    <row r="16819" spans="25:26" x14ac:dyDescent="0.25">
      <c r="Y16819" s="63">
        <v>59352</v>
      </c>
      <c r="Z16819" s="61">
        <f>_xll.qlYieldTSDiscount($U$35,Y16819,,Trigger)</f>
        <v>0.40533792928381734</v>
      </c>
    </row>
    <row r="16820" spans="25:26" x14ac:dyDescent="0.25">
      <c r="Y16820" s="63">
        <v>59353</v>
      </c>
      <c r="Z16820" s="61">
        <f>_xll.qlYieldTSDiscount($U$35,Y16820,,Trigger)</f>
        <v>0.40531371833012708</v>
      </c>
    </row>
    <row r="16821" spans="25:26" x14ac:dyDescent="0.25">
      <c r="Y16821" s="63">
        <v>59354</v>
      </c>
      <c r="Z16821" s="61">
        <f>_xll.qlYieldTSDiscount($U$35,Y16821,,Trigger)</f>
        <v>0.40528950925244067</v>
      </c>
    </row>
    <row r="16822" spans="25:26" x14ac:dyDescent="0.25">
      <c r="Y16822" s="63">
        <v>59355</v>
      </c>
      <c r="Z16822" s="61">
        <f>_xll.qlYieldTSDiscount($U$35,Y16822,,Trigger)</f>
        <v>0.4052653020503923</v>
      </c>
    </row>
    <row r="16823" spans="25:26" x14ac:dyDescent="0.25">
      <c r="Y16823" s="63">
        <v>59356</v>
      </c>
      <c r="Z16823" s="61">
        <f>_xll.qlYieldTSDiscount($U$35,Y16823,,Trigger)</f>
        <v>0.40524109672361586</v>
      </c>
    </row>
    <row r="16824" spans="25:26" x14ac:dyDescent="0.25">
      <c r="Y16824" s="63">
        <v>59357</v>
      </c>
      <c r="Z16824" s="61">
        <f>_xll.qlYieldTSDiscount($U$35,Y16824,,Trigger)</f>
        <v>0.40521689327174537</v>
      </c>
    </row>
    <row r="16825" spans="25:26" x14ac:dyDescent="0.25">
      <c r="Y16825" s="63">
        <v>59358</v>
      </c>
      <c r="Z16825" s="61">
        <f>_xll.qlYieldTSDiscount($U$35,Y16825,,Trigger)</f>
        <v>0.40519269169441496</v>
      </c>
    </row>
    <row r="16826" spans="25:26" x14ac:dyDescent="0.25">
      <c r="Y16826" s="63">
        <v>59359</v>
      </c>
      <c r="Z16826" s="61">
        <f>_xll.qlYieldTSDiscount($U$35,Y16826,,Trigger)</f>
        <v>0.40516849199125859</v>
      </c>
    </row>
    <row r="16827" spans="25:26" x14ac:dyDescent="0.25">
      <c r="Y16827" s="63">
        <v>59360</v>
      </c>
      <c r="Z16827" s="61">
        <f>_xll.qlYieldTSDiscount($U$35,Y16827,,Trigger)</f>
        <v>0.40514429416191022</v>
      </c>
    </row>
    <row r="16828" spans="25:26" x14ac:dyDescent="0.25">
      <c r="Y16828" s="63">
        <v>59361</v>
      </c>
      <c r="Z16828" s="61">
        <f>_xll.qlYieldTSDiscount($U$35,Y16828,,Trigger)</f>
        <v>0.40512009820600386</v>
      </c>
    </row>
    <row r="16829" spans="25:26" x14ac:dyDescent="0.25">
      <c r="Y16829" s="63">
        <v>59362</v>
      </c>
      <c r="Z16829" s="61">
        <f>_xll.qlYieldTSDiscount($U$35,Y16829,,Trigger)</f>
        <v>0.40509590412317376</v>
      </c>
    </row>
    <row r="16830" spans="25:26" x14ac:dyDescent="0.25">
      <c r="Y16830" s="63">
        <v>59363</v>
      </c>
      <c r="Z16830" s="61">
        <f>_xll.qlYieldTSDiscount($U$35,Y16830,,Trigger)</f>
        <v>0.40507171191305363</v>
      </c>
    </row>
    <row r="16831" spans="25:26" x14ac:dyDescent="0.25">
      <c r="Y16831" s="63">
        <v>59364</v>
      </c>
      <c r="Z16831" s="61">
        <f>_xll.qlYieldTSDiscount($U$35,Y16831,,Trigger)</f>
        <v>0.40504752157527768</v>
      </c>
    </row>
    <row r="16832" spans="25:26" x14ac:dyDescent="0.25">
      <c r="Y16832" s="63">
        <v>59365</v>
      </c>
      <c r="Z16832" s="61">
        <f>_xll.qlYieldTSDiscount($U$35,Y16832,,Trigger)</f>
        <v>0.40502333310947991</v>
      </c>
    </row>
    <row r="16833" spans="25:26" x14ac:dyDescent="0.25">
      <c r="Y16833" s="63">
        <v>59366</v>
      </c>
      <c r="Z16833" s="61">
        <f>_xll.qlYieldTSDiscount($U$35,Y16833,,Trigger)</f>
        <v>0.40499914651529434</v>
      </c>
    </row>
    <row r="16834" spans="25:26" x14ac:dyDescent="0.25">
      <c r="Y16834" s="63">
        <v>59367</v>
      </c>
      <c r="Z16834" s="61">
        <f>_xll.qlYieldTSDiscount($U$35,Y16834,,Trigger)</f>
        <v>0.40497496179235498</v>
      </c>
    </row>
    <row r="16835" spans="25:26" x14ac:dyDescent="0.25">
      <c r="Y16835" s="63">
        <v>59368</v>
      </c>
      <c r="Z16835" s="61">
        <f>_xll.qlYieldTSDiscount($U$35,Y16835,,Trigger)</f>
        <v>0.40495077894029585</v>
      </c>
    </row>
    <row r="16836" spans="25:26" x14ac:dyDescent="0.25">
      <c r="Y16836" s="63">
        <v>59369</v>
      </c>
      <c r="Z16836" s="61">
        <f>_xll.qlYieldTSDiscount($U$35,Y16836,,Trigger)</f>
        <v>0.40492659795875097</v>
      </c>
    </row>
    <row r="16837" spans="25:26" x14ac:dyDescent="0.25">
      <c r="Y16837" s="63">
        <v>59370</v>
      </c>
      <c r="Z16837" s="61">
        <f>_xll.qlYieldTSDiscount($U$35,Y16837,,Trigger)</f>
        <v>0.40490241884735428</v>
      </c>
    </row>
    <row r="16838" spans="25:26" x14ac:dyDescent="0.25">
      <c r="Y16838" s="63">
        <v>59371</v>
      </c>
      <c r="Z16838" s="61">
        <f>_xll.qlYieldTSDiscount($U$35,Y16838,,Trigger)</f>
        <v>0.40487824160573993</v>
      </c>
    </row>
    <row r="16839" spans="25:26" x14ac:dyDescent="0.25">
      <c r="Y16839" s="63">
        <v>59372</v>
      </c>
      <c r="Z16839" s="61">
        <f>_xll.qlYieldTSDiscount($U$35,Y16839,,Trigger)</f>
        <v>0.40485406623354203</v>
      </c>
    </row>
    <row r="16840" spans="25:26" x14ac:dyDescent="0.25">
      <c r="Y16840" s="63">
        <v>59373</v>
      </c>
      <c r="Z16840" s="61">
        <f>_xll.qlYieldTSDiscount($U$35,Y16840,,Trigger)</f>
        <v>0.40482989273039427</v>
      </c>
    </row>
    <row r="16841" spans="25:26" x14ac:dyDescent="0.25">
      <c r="Y16841" s="63">
        <v>59374</v>
      </c>
      <c r="Z16841" s="61">
        <f>_xll.qlYieldTSDiscount($U$35,Y16841,,Trigger)</f>
        <v>0.40480572109593094</v>
      </c>
    </row>
    <row r="16842" spans="25:26" x14ac:dyDescent="0.25">
      <c r="Y16842" s="63">
        <v>59375</v>
      </c>
      <c r="Z16842" s="61">
        <f>_xll.qlYieldTSDiscount($U$35,Y16842,,Trigger)</f>
        <v>0.4047815513297861</v>
      </c>
    </row>
    <row r="16843" spans="25:26" x14ac:dyDescent="0.25">
      <c r="Y16843" s="63">
        <v>59376</v>
      </c>
      <c r="Z16843" s="61">
        <f>_xll.qlYieldTSDiscount($U$35,Y16843,,Trigger)</f>
        <v>0.40475738343159351</v>
      </c>
    </row>
    <row r="16844" spans="25:26" x14ac:dyDescent="0.25">
      <c r="Y16844" s="63">
        <v>59377</v>
      </c>
      <c r="Z16844" s="61">
        <f>_xll.qlYieldTSDiscount($U$35,Y16844,,Trigger)</f>
        <v>0.40473321740098739</v>
      </c>
    </row>
    <row r="16845" spans="25:26" x14ac:dyDescent="0.25">
      <c r="Y16845" s="63">
        <v>59378</v>
      </c>
      <c r="Z16845" s="61">
        <f>_xll.qlYieldTSDiscount($U$35,Y16845,,Trigger)</f>
        <v>0.40470905323760176</v>
      </c>
    </row>
    <row r="16846" spans="25:26" x14ac:dyDescent="0.25">
      <c r="Y16846" s="63">
        <v>59379</v>
      </c>
      <c r="Z16846" s="61">
        <f>_xll.qlYieldTSDiscount($U$35,Y16846,,Trigger)</f>
        <v>0.40468489094107052</v>
      </c>
    </row>
    <row r="16847" spans="25:26" x14ac:dyDescent="0.25">
      <c r="Y16847" s="63">
        <v>59380</v>
      </c>
      <c r="Z16847" s="61">
        <f>_xll.qlYieldTSDiscount($U$35,Y16847,,Trigger)</f>
        <v>0.4046607305110278</v>
      </c>
    </row>
    <row r="16848" spans="25:26" x14ac:dyDescent="0.25">
      <c r="Y16848" s="63">
        <v>59381</v>
      </c>
      <c r="Z16848" s="61">
        <f>_xll.qlYieldTSDiscount($U$35,Y16848,,Trigger)</f>
        <v>0.40463657194710767</v>
      </c>
    </row>
    <row r="16849" spans="25:26" x14ac:dyDescent="0.25">
      <c r="Y16849" s="63">
        <v>59382</v>
      </c>
      <c r="Z16849" s="61">
        <f>_xll.qlYieldTSDiscount($U$35,Y16849,,Trigger)</f>
        <v>0.40461241524894398</v>
      </c>
    </row>
    <row r="16850" spans="25:26" x14ac:dyDescent="0.25">
      <c r="Y16850" s="63">
        <v>59383</v>
      </c>
      <c r="Z16850" s="61">
        <f>_xll.qlYieldTSDiscount($U$35,Y16850,,Trigger)</f>
        <v>0.40458826041617091</v>
      </c>
    </row>
    <row r="16851" spans="25:26" x14ac:dyDescent="0.25">
      <c r="Y16851" s="63">
        <v>59384</v>
      </c>
      <c r="Z16851" s="61">
        <f>_xll.qlYieldTSDiscount($U$35,Y16851,,Trigger)</f>
        <v>0.40456410744842242</v>
      </c>
    </row>
    <row r="16852" spans="25:26" x14ac:dyDescent="0.25">
      <c r="Y16852" s="63">
        <v>59385</v>
      </c>
      <c r="Z16852" s="61">
        <f>_xll.qlYieldTSDiscount($U$35,Y16852,,Trigger)</f>
        <v>0.40453995634533246</v>
      </c>
    </row>
    <row r="16853" spans="25:26" x14ac:dyDescent="0.25">
      <c r="Y16853" s="63">
        <v>59386</v>
      </c>
      <c r="Z16853" s="61">
        <f>_xll.qlYieldTSDiscount($U$35,Y16853,,Trigger)</f>
        <v>0.40451580710653517</v>
      </c>
    </row>
    <row r="16854" spans="25:26" x14ac:dyDescent="0.25">
      <c r="Y16854" s="63">
        <v>59387</v>
      </c>
      <c r="Z16854" s="61">
        <f>_xll.qlYieldTSDiscount($U$35,Y16854,,Trigger)</f>
        <v>0.40449165973166451</v>
      </c>
    </row>
    <row r="16855" spans="25:26" x14ac:dyDescent="0.25">
      <c r="Y16855" s="63">
        <v>59388</v>
      </c>
      <c r="Z16855" s="61">
        <f>_xll.qlYieldTSDiscount($U$35,Y16855,,Trigger)</f>
        <v>0.40446751422035454</v>
      </c>
    </row>
    <row r="16856" spans="25:26" x14ac:dyDescent="0.25">
      <c r="Y16856" s="63">
        <v>59389</v>
      </c>
      <c r="Z16856" s="61">
        <f>_xll.qlYieldTSDiscount($U$35,Y16856,,Trigger)</f>
        <v>0.40444337057223922</v>
      </c>
    </row>
    <row r="16857" spans="25:26" x14ac:dyDescent="0.25">
      <c r="Y16857" s="63">
        <v>59390</v>
      </c>
      <c r="Z16857" s="61">
        <f>_xll.qlYieldTSDiscount($U$35,Y16857,,Trigger)</f>
        <v>0.40441922878695263</v>
      </c>
    </row>
    <row r="16858" spans="25:26" x14ac:dyDescent="0.25">
      <c r="Y16858" s="63">
        <v>59391</v>
      </c>
      <c r="Z16858" s="61">
        <f>_xll.qlYieldTSDiscount($U$35,Y16858,,Trigger)</f>
        <v>0.40439508886412878</v>
      </c>
    </row>
    <row r="16859" spans="25:26" x14ac:dyDescent="0.25">
      <c r="Y16859" s="63">
        <v>59392</v>
      </c>
      <c r="Z16859" s="61">
        <f>_xll.qlYieldTSDiscount($U$35,Y16859,,Trigger)</f>
        <v>0.40437095080340169</v>
      </c>
    </row>
    <row r="16860" spans="25:26" x14ac:dyDescent="0.25">
      <c r="Y16860" s="63">
        <v>59393</v>
      </c>
      <c r="Z16860" s="61">
        <f>_xll.qlYieldTSDiscount($U$35,Y16860,,Trigger)</f>
        <v>0.40434681460440536</v>
      </c>
    </row>
    <row r="16861" spans="25:26" x14ac:dyDescent="0.25">
      <c r="Y16861" s="63">
        <v>59394</v>
      </c>
      <c r="Z16861" s="61">
        <f>_xll.qlYieldTSDiscount($U$35,Y16861,,Trigger)</f>
        <v>0.40432268026677387</v>
      </c>
    </row>
    <row r="16862" spans="25:26" x14ac:dyDescent="0.25">
      <c r="Y16862" s="63">
        <v>59395</v>
      </c>
      <c r="Z16862" s="61">
        <f>_xll.qlYieldTSDiscount($U$35,Y16862,,Trigger)</f>
        <v>0.40429854779014107</v>
      </c>
    </row>
    <row r="16863" spans="25:26" x14ac:dyDescent="0.25">
      <c r="Y16863" s="63">
        <v>59396</v>
      </c>
      <c r="Z16863" s="61">
        <f>_xll.qlYieldTSDiscount($U$35,Y16863,,Trigger)</f>
        <v>0.4042744171741412</v>
      </c>
    </row>
    <row r="16864" spans="25:26" x14ac:dyDescent="0.25">
      <c r="Y16864" s="63">
        <v>59397</v>
      </c>
      <c r="Z16864" s="61">
        <f>_xll.qlYieldTSDiscount($U$35,Y16864,,Trigger)</f>
        <v>0.40425028841840827</v>
      </c>
    </row>
    <row r="16865" spans="25:26" x14ac:dyDescent="0.25">
      <c r="Y16865" s="63">
        <v>59398</v>
      </c>
      <c r="Z16865" s="61">
        <f>_xll.qlYieldTSDiscount($U$35,Y16865,,Trigger)</f>
        <v>0.40422616152257607</v>
      </c>
    </row>
    <row r="16866" spans="25:26" x14ac:dyDescent="0.25">
      <c r="Y16866" s="63">
        <v>59399</v>
      </c>
      <c r="Z16866" s="61">
        <f>_xll.qlYieldTSDiscount($U$35,Y16866,,Trigger)</f>
        <v>0.40420203648627884</v>
      </c>
    </row>
    <row r="16867" spans="25:26" x14ac:dyDescent="0.25">
      <c r="Y16867" s="63">
        <v>59400</v>
      </c>
      <c r="Z16867" s="61">
        <f>_xll.qlYieldTSDiscount($U$35,Y16867,,Trigger)</f>
        <v>0.40417791330915054</v>
      </c>
    </row>
    <row r="16868" spans="25:26" x14ac:dyDescent="0.25">
      <c r="Y16868" s="63">
        <v>59401</v>
      </c>
      <c r="Z16868" s="61">
        <f>_xll.qlYieldTSDiscount($U$35,Y16868,,Trigger)</f>
        <v>0.40415379199082524</v>
      </c>
    </row>
    <row r="16869" spans="25:26" x14ac:dyDescent="0.25">
      <c r="Y16869" s="63">
        <v>59402</v>
      </c>
      <c r="Z16869" s="61">
        <f>_xll.qlYieldTSDiscount($U$35,Y16869,,Trigger)</f>
        <v>0.40412967253093685</v>
      </c>
    </row>
    <row r="16870" spans="25:26" x14ac:dyDescent="0.25">
      <c r="Y16870" s="63">
        <v>59403</v>
      </c>
      <c r="Z16870" s="61">
        <f>_xll.qlYieldTSDiscount($U$35,Y16870,,Trigger)</f>
        <v>0.40410555492911948</v>
      </c>
    </row>
    <row r="16871" spans="25:26" x14ac:dyDescent="0.25">
      <c r="Y16871" s="63">
        <v>59404</v>
      </c>
      <c r="Z16871" s="61">
        <f>_xll.qlYieldTSDiscount($U$35,Y16871,,Trigger)</f>
        <v>0.40408143918500716</v>
      </c>
    </row>
    <row r="16872" spans="25:26" x14ac:dyDescent="0.25">
      <c r="Y16872" s="63">
        <v>59405</v>
      </c>
      <c r="Z16872" s="61">
        <f>_xll.qlYieldTSDiscount($U$35,Y16872,,Trigger)</f>
        <v>0.40405732529823379</v>
      </c>
    </row>
    <row r="16873" spans="25:26" x14ac:dyDescent="0.25">
      <c r="Y16873" s="63">
        <v>59406</v>
      </c>
      <c r="Z16873" s="61">
        <f>_xll.qlYieldTSDiscount($U$35,Y16873,,Trigger)</f>
        <v>0.40403321326843344</v>
      </c>
    </row>
    <row r="16874" spans="25:26" x14ac:dyDescent="0.25">
      <c r="Y16874" s="63">
        <v>59407</v>
      </c>
      <c r="Z16874" s="61">
        <f>_xll.qlYieldTSDiscount($U$35,Y16874,,Trigger)</f>
        <v>0.40400910309524035</v>
      </c>
    </row>
    <row r="16875" spans="25:26" x14ac:dyDescent="0.25">
      <c r="Y16875" s="63">
        <v>59408</v>
      </c>
      <c r="Z16875" s="61">
        <f>_xll.qlYieldTSDiscount($U$35,Y16875,,Trigger)</f>
        <v>0.40398499477828825</v>
      </c>
    </row>
    <row r="16876" spans="25:26" x14ac:dyDescent="0.25">
      <c r="Y16876" s="63">
        <v>59409</v>
      </c>
      <c r="Z16876" s="61">
        <f>_xll.qlYieldTSDiscount($U$35,Y16876,,Trigger)</f>
        <v>0.40396088831721128</v>
      </c>
    </row>
    <row r="16877" spans="25:26" x14ac:dyDescent="0.25">
      <c r="Y16877" s="63">
        <v>59410</v>
      </c>
      <c r="Z16877" s="61">
        <f>_xll.qlYieldTSDiscount($U$35,Y16877,,Trigger)</f>
        <v>0.40393678371164354</v>
      </c>
    </row>
    <row r="16878" spans="25:26" x14ac:dyDescent="0.25">
      <c r="Y16878" s="63">
        <v>59411</v>
      </c>
      <c r="Z16878" s="61">
        <f>_xll.qlYieldTSDiscount($U$35,Y16878,,Trigger)</f>
        <v>0.4039126809612188</v>
      </c>
    </row>
    <row r="16879" spans="25:26" x14ac:dyDescent="0.25">
      <c r="Y16879" s="63">
        <v>59412</v>
      </c>
      <c r="Z16879" s="61">
        <f>_xll.qlYieldTSDiscount($U$35,Y16879,,Trigger)</f>
        <v>0.40388858006557138</v>
      </c>
    </row>
    <row r="16880" spans="25:26" x14ac:dyDescent="0.25">
      <c r="Y16880" s="63">
        <v>59413</v>
      </c>
      <c r="Z16880" s="61">
        <f>_xll.qlYieldTSDiscount($U$35,Y16880,,Trigger)</f>
        <v>0.40386448102433514</v>
      </c>
    </row>
    <row r="16881" spans="25:26" x14ac:dyDescent="0.25">
      <c r="Y16881" s="63">
        <v>59414</v>
      </c>
      <c r="Z16881" s="61">
        <f>_xll.qlYieldTSDiscount($U$35,Y16881,,Trigger)</f>
        <v>0.40384038383714416</v>
      </c>
    </row>
    <row r="16882" spans="25:26" x14ac:dyDescent="0.25">
      <c r="Y16882" s="63">
        <v>59415</v>
      </c>
      <c r="Z16882" s="61">
        <f>_xll.qlYieldTSDiscount($U$35,Y16882,,Trigger)</f>
        <v>0.40381628850363238</v>
      </c>
    </row>
    <row r="16883" spans="25:26" x14ac:dyDescent="0.25">
      <c r="Y16883" s="63">
        <v>59416</v>
      </c>
      <c r="Z16883" s="61">
        <f>_xll.qlYieldTSDiscount($U$35,Y16883,,Trigger)</f>
        <v>0.40379219502343389</v>
      </c>
    </row>
    <row r="16884" spans="25:26" x14ac:dyDescent="0.25">
      <c r="Y16884" s="63">
        <v>59417</v>
      </c>
      <c r="Z16884" s="61">
        <f>_xll.qlYieldTSDiscount($U$35,Y16884,,Trigger)</f>
        <v>0.40376810339618274</v>
      </c>
    </row>
    <row r="16885" spans="25:26" x14ac:dyDescent="0.25">
      <c r="Y16885" s="63">
        <v>59418</v>
      </c>
      <c r="Z16885" s="61">
        <f>_xll.qlYieldTSDiscount($U$35,Y16885,,Trigger)</f>
        <v>0.40374401362151291</v>
      </c>
    </row>
    <row r="16886" spans="25:26" x14ac:dyDescent="0.25">
      <c r="Y16886" s="63">
        <v>59419</v>
      </c>
      <c r="Z16886" s="61">
        <f>_xll.qlYieldTSDiscount($U$35,Y16886,,Trigger)</f>
        <v>0.40371992569905835</v>
      </c>
    </row>
    <row r="16887" spans="25:26" x14ac:dyDescent="0.25">
      <c r="Y16887" s="63">
        <v>59420</v>
      </c>
      <c r="Z16887" s="61">
        <f>_xll.qlYieldTSDiscount($U$35,Y16887,,Trigger)</f>
        <v>0.40369583962845323</v>
      </c>
    </row>
    <row r="16888" spans="25:26" x14ac:dyDescent="0.25">
      <c r="Y16888" s="63">
        <v>59421</v>
      </c>
      <c r="Z16888" s="61">
        <f>_xll.qlYieldTSDiscount($U$35,Y16888,,Trigger)</f>
        <v>0.40367175540933148</v>
      </c>
    </row>
    <row r="16889" spans="25:26" x14ac:dyDescent="0.25">
      <c r="Y16889" s="63">
        <v>59422</v>
      </c>
      <c r="Z16889" s="61">
        <f>_xll.qlYieldTSDiscount($U$35,Y16889,,Trigger)</f>
        <v>0.40364767304132709</v>
      </c>
    </row>
    <row r="16890" spans="25:26" x14ac:dyDescent="0.25">
      <c r="Y16890" s="63">
        <v>59423</v>
      </c>
      <c r="Z16890" s="61">
        <f>_xll.qlYieldTSDiscount($U$35,Y16890,,Trigger)</f>
        <v>0.4036235925240742</v>
      </c>
    </row>
    <row r="16891" spans="25:26" x14ac:dyDescent="0.25">
      <c r="Y16891" s="63">
        <v>59424</v>
      </c>
      <c r="Z16891" s="61">
        <f>_xll.qlYieldTSDiscount($U$35,Y16891,,Trigger)</f>
        <v>0.40359951385720672</v>
      </c>
    </row>
    <row r="16892" spans="25:26" x14ac:dyDescent="0.25">
      <c r="Y16892" s="63">
        <v>59425</v>
      </c>
      <c r="Z16892" s="61">
        <f>_xll.qlYieldTSDiscount($U$35,Y16892,,Trigger)</f>
        <v>0.40357543704035875</v>
      </c>
    </row>
    <row r="16893" spans="25:26" x14ac:dyDescent="0.25">
      <c r="Y16893" s="63">
        <v>59426</v>
      </c>
      <c r="Z16893" s="61">
        <f>_xll.qlYieldTSDiscount($U$35,Y16893,,Trigger)</f>
        <v>0.40355136207316433</v>
      </c>
    </row>
    <row r="16894" spans="25:26" x14ac:dyDescent="0.25">
      <c r="Y16894" s="63">
        <v>59427</v>
      </c>
      <c r="Z16894" s="61">
        <f>_xll.qlYieldTSDiscount($U$35,Y16894,,Trigger)</f>
        <v>0.4035272889552573</v>
      </c>
    </row>
    <row r="16895" spans="25:26" x14ac:dyDescent="0.25">
      <c r="Y16895" s="63">
        <v>59428</v>
      </c>
      <c r="Z16895" s="61">
        <f>_xll.qlYieldTSDiscount($U$35,Y16895,,Trigger)</f>
        <v>0.40350321768627184</v>
      </c>
    </row>
    <row r="16896" spans="25:26" x14ac:dyDescent="0.25">
      <c r="Y16896" s="63">
        <v>59429</v>
      </c>
      <c r="Z16896" s="61">
        <f>_xll.qlYieldTSDiscount($U$35,Y16896,,Trigger)</f>
        <v>0.40347914826584202</v>
      </c>
    </row>
    <row r="16897" spans="25:26" x14ac:dyDescent="0.25">
      <c r="Y16897" s="63">
        <v>59430</v>
      </c>
      <c r="Z16897" s="61">
        <f>_xll.qlYieldTSDiscount($U$35,Y16897,,Trigger)</f>
        <v>0.40345508069360175</v>
      </c>
    </row>
    <row r="16898" spans="25:26" x14ac:dyDescent="0.25">
      <c r="Y16898" s="63">
        <v>59431</v>
      </c>
      <c r="Z16898" s="61">
        <f>_xll.qlYieldTSDiscount($U$35,Y16898,,Trigger)</f>
        <v>0.40343101496918504</v>
      </c>
    </row>
    <row r="16899" spans="25:26" x14ac:dyDescent="0.25">
      <c r="Y16899" s="63">
        <v>59432</v>
      </c>
      <c r="Z16899" s="61">
        <f>_xll.qlYieldTSDiscount($U$35,Y16899,,Trigger)</f>
        <v>0.40340695109222602</v>
      </c>
    </row>
    <row r="16900" spans="25:26" x14ac:dyDescent="0.25">
      <c r="Y16900" s="63">
        <v>59433</v>
      </c>
      <c r="Z16900" s="61">
        <f>_xll.qlYieldTSDiscount($U$35,Y16900,,Trigger)</f>
        <v>0.40338288906235864</v>
      </c>
    </row>
    <row r="16901" spans="25:26" x14ac:dyDescent="0.25">
      <c r="Y16901" s="63">
        <v>59434</v>
      </c>
      <c r="Z16901" s="61">
        <f>_xll.qlYieldTSDiscount($U$35,Y16901,,Trigger)</f>
        <v>0.40335882887921681</v>
      </c>
    </row>
    <row r="16902" spans="25:26" x14ac:dyDescent="0.25">
      <c r="Y16902" s="63">
        <v>59435</v>
      </c>
      <c r="Z16902" s="61">
        <f>_xll.qlYieldTSDiscount($U$35,Y16902,,Trigger)</f>
        <v>0.40333477054243483</v>
      </c>
    </row>
    <row r="16903" spans="25:26" x14ac:dyDescent="0.25">
      <c r="Y16903" s="63">
        <v>59436</v>
      </c>
      <c r="Z16903" s="61">
        <f>_xll.qlYieldTSDiscount($U$35,Y16903,,Trigger)</f>
        <v>0.40331071405164653</v>
      </c>
    </row>
    <row r="16904" spans="25:26" x14ac:dyDescent="0.25">
      <c r="Y16904" s="63">
        <v>59437</v>
      </c>
      <c r="Z16904" s="61">
        <f>_xll.qlYieldTSDiscount($U$35,Y16904,,Trigger)</f>
        <v>0.40328665940648589</v>
      </c>
    </row>
    <row r="16905" spans="25:26" x14ac:dyDescent="0.25">
      <c r="Y16905" s="63">
        <v>59438</v>
      </c>
      <c r="Z16905" s="61">
        <f>_xll.qlYieldTSDiscount($U$35,Y16905,,Trigger)</f>
        <v>0.40326260660658708</v>
      </c>
    </row>
    <row r="16906" spans="25:26" x14ac:dyDescent="0.25">
      <c r="Y16906" s="63">
        <v>59439</v>
      </c>
      <c r="Z16906" s="61">
        <f>_xll.qlYieldTSDiscount($U$35,Y16906,,Trigger)</f>
        <v>0.40323855565158406</v>
      </c>
    </row>
    <row r="16907" spans="25:26" x14ac:dyDescent="0.25">
      <c r="Y16907" s="63">
        <v>59440</v>
      </c>
      <c r="Z16907" s="61">
        <f>_xll.qlYieldTSDiscount($U$35,Y16907,,Trigger)</f>
        <v>0.4032145065411108</v>
      </c>
    </row>
    <row r="16908" spans="25:26" x14ac:dyDescent="0.25">
      <c r="Y16908" s="63">
        <v>59441</v>
      </c>
      <c r="Z16908" s="61">
        <f>_xll.qlYieldTSDiscount($U$35,Y16908,,Trigger)</f>
        <v>0.40319045927480135</v>
      </c>
    </row>
    <row r="16909" spans="25:26" x14ac:dyDescent="0.25">
      <c r="Y16909" s="63">
        <v>59442</v>
      </c>
      <c r="Z16909" s="61">
        <f>_xll.qlYieldTSDiscount($U$35,Y16909,,Trigger)</f>
        <v>0.4031664138522898</v>
      </c>
    </row>
    <row r="16910" spans="25:26" x14ac:dyDescent="0.25">
      <c r="Y16910" s="63">
        <v>59443</v>
      </c>
      <c r="Z16910" s="61">
        <f>_xll.qlYieldTSDiscount($U$35,Y16910,,Trigger)</f>
        <v>0.40314237027321009</v>
      </c>
    </row>
    <row r="16911" spans="25:26" x14ac:dyDescent="0.25">
      <c r="Y16911" s="63">
        <v>59444</v>
      </c>
      <c r="Z16911" s="61">
        <f>_xll.qlYieldTSDiscount($U$35,Y16911,,Trigger)</f>
        <v>0.40311832853719626</v>
      </c>
    </row>
    <row r="16912" spans="25:26" x14ac:dyDescent="0.25">
      <c r="Y16912" s="63">
        <v>59445</v>
      </c>
      <c r="Z16912" s="61">
        <f>_xll.qlYieldTSDiscount($U$35,Y16912,,Trigger)</f>
        <v>0.4030942886438823</v>
      </c>
    </row>
    <row r="16913" spans="25:26" x14ac:dyDescent="0.25">
      <c r="Y16913" s="63">
        <v>59446</v>
      </c>
      <c r="Z16913" s="61">
        <f>_xll.qlYieldTSDiscount($U$35,Y16913,,Trigger)</f>
        <v>0.40307025059290247</v>
      </c>
    </row>
    <row r="16914" spans="25:26" x14ac:dyDescent="0.25">
      <c r="Y16914" s="63">
        <v>59447</v>
      </c>
      <c r="Z16914" s="61">
        <f>_xll.qlYieldTSDiscount($U$35,Y16914,,Trigger)</f>
        <v>0.40304621438389038</v>
      </c>
    </row>
    <row r="16915" spans="25:26" x14ac:dyDescent="0.25">
      <c r="Y16915" s="63">
        <v>59448</v>
      </c>
      <c r="Z16915" s="61">
        <f>_xll.qlYieldTSDiscount($U$35,Y16915,,Trigger)</f>
        <v>0.40302218001648032</v>
      </c>
    </row>
    <row r="16916" spans="25:26" x14ac:dyDescent="0.25">
      <c r="Y16916" s="63">
        <v>59449</v>
      </c>
      <c r="Z16916" s="61">
        <f>_xll.qlYieldTSDiscount($U$35,Y16916,,Trigger)</f>
        <v>0.40299814749030632</v>
      </c>
    </row>
    <row r="16917" spans="25:26" x14ac:dyDescent="0.25">
      <c r="Y16917" s="63">
        <v>59450</v>
      </c>
      <c r="Z16917" s="61">
        <f>_xll.qlYieldTSDiscount($U$35,Y16917,,Trigger)</f>
        <v>0.40297411680500228</v>
      </c>
    </row>
    <row r="16918" spans="25:26" x14ac:dyDescent="0.25">
      <c r="Y16918" s="63">
        <v>59451</v>
      </c>
      <c r="Z16918" s="61">
        <f>_xll.qlYieldTSDiscount($U$35,Y16918,,Trigger)</f>
        <v>0.40295008796020232</v>
      </c>
    </row>
    <row r="16919" spans="25:26" x14ac:dyDescent="0.25">
      <c r="Y16919" s="63">
        <v>59452</v>
      </c>
      <c r="Z16919" s="61">
        <f>_xll.qlYieldTSDiscount($U$35,Y16919,,Trigger)</f>
        <v>0.4029260609555404</v>
      </c>
    </row>
    <row r="16920" spans="25:26" x14ac:dyDescent="0.25">
      <c r="Y16920" s="63">
        <v>59453</v>
      </c>
      <c r="Z16920" s="61">
        <f>_xll.qlYieldTSDiscount($U$35,Y16920,,Trigger)</f>
        <v>0.40290203579065059</v>
      </c>
    </row>
    <row r="16921" spans="25:26" x14ac:dyDescent="0.25">
      <c r="Y16921" s="63">
        <v>59454</v>
      </c>
      <c r="Z16921" s="61">
        <f>_xll.qlYieldTSDiscount($U$35,Y16921,,Trigger)</f>
        <v>0.40287801246516686</v>
      </c>
    </row>
    <row r="16922" spans="25:26" x14ac:dyDescent="0.25">
      <c r="Y16922" s="63">
        <v>59455</v>
      </c>
      <c r="Z16922" s="61">
        <f>_xll.qlYieldTSDiscount($U$35,Y16922,,Trigger)</f>
        <v>0.40285399097872332</v>
      </c>
    </row>
    <row r="16923" spans="25:26" x14ac:dyDescent="0.25">
      <c r="Y16923" s="63">
        <v>59456</v>
      </c>
      <c r="Z16923" s="61">
        <f>_xll.qlYieldTSDiscount($U$35,Y16923,,Trigger)</f>
        <v>0.40282997133095388</v>
      </c>
    </row>
    <row r="16924" spans="25:26" x14ac:dyDescent="0.25">
      <c r="Y16924" s="63">
        <v>59457</v>
      </c>
      <c r="Z16924" s="61">
        <f>_xll.qlYieldTSDiscount($U$35,Y16924,,Trigger)</f>
        <v>0.40280595352149262</v>
      </c>
    </row>
    <row r="16925" spans="25:26" x14ac:dyDescent="0.25">
      <c r="Y16925" s="63">
        <v>59458</v>
      </c>
      <c r="Z16925" s="61">
        <f>_xll.qlYieldTSDiscount($U$35,Y16925,,Trigger)</f>
        <v>0.4027819375499736</v>
      </c>
    </row>
    <row r="16926" spans="25:26" x14ac:dyDescent="0.25">
      <c r="Y16926" s="63">
        <v>59459</v>
      </c>
      <c r="Z16926" s="61">
        <f>_xll.qlYieldTSDiscount($U$35,Y16926,,Trigger)</f>
        <v>0.40275792341603073</v>
      </c>
    </row>
    <row r="16927" spans="25:26" x14ac:dyDescent="0.25">
      <c r="Y16927" s="63">
        <v>59460</v>
      </c>
      <c r="Z16927" s="61">
        <f>_xll.qlYieldTSDiscount($U$35,Y16927,,Trigger)</f>
        <v>0.40273391111929813</v>
      </c>
    </row>
    <row r="16928" spans="25:26" x14ac:dyDescent="0.25">
      <c r="Y16928" s="63">
        <v>59461</v>
      </c>
      <c r="Z16928" s="61">
        <f>_xll.qlYieldTSDiscount($U$35,Y16928,,Trigger)</f>
        <v>0.40270990065940976</v>
      </c>
    </row>
    <row r="16929" spans="25:26" x14ac:dyDescent="0.25">
      <c r="Y16929" s="63">
        <v>59462</v>
      </c>
      <c r="Z16929" s="61">
        <f>_xll.qlYieldTSDiscount($U$35,Y16929,,Trigger)</f>
        <v>0.40268589203599975</v>
      </c>
    </row>
    <row r="16930" spans="25:26" x14ac:dyDescent="0.25">
      <c r="Y16930" s="63">
        <v>59463</v>
      </c>
      <c r="Z16930" s="61">
        <f>_xll.qlYieldTSDiscount($U$35,Y16930,,Trigger)</f>
        <v>0.402661885248702</v>
      </c>
    </row>
    <row r="16931" spans="25:26" x14ac:dyDescent="0.25">
      <c r="Y16931" s="63">
        <v>59464</v>
      </c>
      <c r="Z16931" s="61">
        <f>_xll.qlYieldTSDiscount($U$35,Y16931,,Trigger)</f>
        <v>0.40263788029715053</v>
      </c>
    </row>
    <row r="16932" spans="25:26" x14ac:dyDescent="0.25">
      <c r="Y16932" s="63">
        <v>59465</v>
      </c>
      <c r="Z16932" s="61">
        <f>_xll.qlYieldTSDiscount($U$35,Y16932,,Trigger)</f>
        <v>0.40261387718097952</v>
      </c>
    </row>
    <row r="16933" spans="25:26" x14ac:dyDescent="0.25">
      <c r="Y16933" s="63">
        <v>59466</v>
      </c>
      <c r="Z16933" s="61">
        <f>_xll.qlYieldTSDiscount($U$35,Y16933,,Trigger)</f>
        <v>0.40258987589982276</v>
      </c>
    </row>
    <row r="16934" spans="25:26" x14ac:dyDescent="0.25">
      <c r="Y16934" s="63">
        <v>59467</v>
      </c>
      <c r="Z16934" s="61">
        <f>_xll.qlYieldTSDiscount($U$35,Y16934,,Trigger)</f>
        <v>0.40256587645331449</v>
      </c>
    </row>
    <row r="16935" spans="25:26" x14ac:dyDescent="0.25">
      <c r="Y16935" s="63">
        <v>59468</v>
      </c>
      <c r="Z16935" s="61">
        <f>_xll.qlYieldTSDiscount($U$35,Y16935,,Trigger)</f>
        <v>0.40254187884108861</v>
      </c>
    </row>
    <row r="16936" spans="25:26" x14ac:dyDescent="0.25">
      <c r="Y16936" s="63">
        <v>59469</v>
      </c>
      <c r="Z16936" s="61">
        <f>_xll.qlYieldTSDiscount($U$35,Y16936,,Trigger)</f>
        <v>0.40251788306277914</v>
      </c>
    </row>
    <row r="16937" spans="25:26" x14ac:dyDescent="0.25">
      <c r="Y16937" s="63">
        <v>59470</v>
      </c>
      <c r="Z16937" s="61">
        <f>_xll.qlYieldTSDiscount($U$35,Y16937,,Trigger)</f>
        <v>0.40249388911802009</v>
      </c>
    </row>
    <row r="16938" spans="25:26" x14ac:dyDescent="0.25">
      <c r="Y16938" s="63">
        <v>59471</v>
      </c>
      <c r="Z16938" s="61">
        <f>_xll.qlYieldTSDiscount($U$35,Y16938,,Trigger)</f>
        <v>0.40246989700644564</v>
      </c>
    </row>
    <row r="16939" spans="25:26" x14ac:dyDescent="0.25">
      <c r="Y16939" s="63">
        <v>59472</v>
      </c>
      <c r="Z16939" s="61">
        <f>_xll.qlYieldTSDiscount($U$35,Y16939,,Trigger)</f>
        <v>0.4024459067276896</v>
      </c>
    </row>
    <row r="16940" spans="25:26" x14ac:dyDescent="0.25">
      <c r="Y16940" s="63">
        <v>59473</v>
      </c>
      <c r="Z16940" s="61">
        <f>_xll.qlYieldTSDiscount($U$35,Y16940,,Trigger)</f>
        <v>0.40242191828138607</v>
      </c>
    </row>
    <row r="16941" spans="25:26" x14ac:dyDescent="0.25">
      <c r="Y16941" s="63">
        <v>59474</v>
      </c>
      <c r="Z16941" s="61">
        <f>_xll.qlYieldTSDiscount($U$35,Y16941,,Trigger)</f>
        <v>0.4023979316671692</v>
      </c>
    </row>
    <row r="16942" spans="25:26" x14ac:dyDescent="0.25">
      <c r="Y16942" s="63">
        <v>59475</v>
      </c>
      <c r="Z16942" s="61">
        <f>_xll.qlYieldTSDiscount($U$35,Y16942,,Trigger)</f>
        <v>0.40237394688467276</v>
      </c>
    </row>
    <row r="16943" spans="25:26" x14ac:dyDescent="0.25">
      <c r="Y16943" s="63">
        <v>59476</v>
      </c>
      <c r="Z16943" s="61">
        <f>_xll.qlYieldTSDiscount($U$35,Y16943,,Trigger)</f>
        <v>0.40234996393353101</v>
      </c>
    </row>
    <row r="16944" spans="25:26" x14ac:dyDescent="0.25">
      <c r="Y16944" s="63">
        <v>59477</v>
      </c>
      <c r="Z16944" s="61">
        <f>_xll.qlYieldTSDiscount($U$35,Y16944,,Trigger)</f>
        <v>0.40232598281337784</v>
      </c>
    </row>
    <row r="16945" spans="25:26" x14ac:dyDescent="0.25">
      <c r="Y16945" s="63">
        <v>59478</v>
      </c>
      <c r="Z16945" s="61">
        <f>_xll.qlYieldTSDiscount($U$35,Y16945,,Trigger)</f>
        <v>0.40230200352384726</v>
      </c>
    </row>
    <row r="16946" spans="25:26" x14ac:dyDescent="0.25">
      <c r="Y16946" s="63">
        <v>59479</v>
      </c>
      <c r="Z16946" s="61">
        <f>_xll.qlYieldTSDiscount($U$35,Y16946,,Trigger)</f>
        <v>0.40227802606457341</v>
      </c>
    </row>
    <row r="16947" spans="25:26" x14ac:dyDescent="0.25">
      <c r="Y16947" s="63">
        <v>59480</v>
      </c>
      <c r="Z16947" s="61">
        <f>_xll.qlYieldTSDiscount($U$35,Y16947,,Trigger)</f>
        <v>0.40225405043519019</v>
      </c>
    </row>
    <row r="16948" spans="25:26" x14ac:dyDescent="0.25">
      <c r="Y16948" s="63">
        <v>59481</v>
      </c>
      <c r="Z16948" s="61">
        <f>_xll.qlYieldTSDiscount($U$35,Y16948,,Trigger)</f>
        <v>0.40223007663533172</v>
      </c>
    </row>
    <row r="16949" spans="25:26" x14ac:dyDescent="0.25">
      <c r="Y16949" s="63">
        <v>59482</v>
      </c>
      <c r="Z16949" s="61">
        <f>_xll.qlYieldTSDiscount($U$35,Y16949,,Trigger)</f>
        <v>0.40220610466463191</v>
      </c>
    </row>
    <row r="16950" spans="25:26" x14ac:dyDescent="0.25">
      <c r="Y16950" s="63">
        <v>59483</v>
      </c>
      <c r="Z16950" s="61">
        <f>_xll.qlYieldTSDiscount($U$35,Y16950,,Trigger)</f>
        <v>0.40218213452272478</v>
      </c>
    </row>
    <row r="16951" spans="25:26" x14ac:dyDescent="0.25">
      <c r="Y16951" s="63">
        <v>59484</v>
      </c>
      <c r="Z16951" s="61">
        <f>_xll.qlYieldTSDiscount($U$35,Y16951,,Trigger)</f>
        <v>0.40215816620924461</v>
      </c>
    </row>
    <row r="16952" spans="25:26" x14ac:dyDescent="0.25">
      <c r="Y16952" s="63">
        <v>59485</v>
      </c>
      <c r="Z16952" s="61">
        <f>_xll.qlYieldTSDiscount($U$35,Y16952,,Trigger)</f>
        <v>0.40213419972382503</v>
      </c>
    </row>
    <row r="16953" spans="25:26" x14ac:dyDescent="0.25">
      <c r="Y16953" s="63">
        <v>59486</v>
      </c>
      <c r="Z16953" s="61">
        <f>_xll.qlYieldTSDiscount($U$35,Y16953,,Trigger)</f>
        <v>0.40211023506610039</v>
      </c>
    </row>
    <row r="16954" spans="25:26" x14ac:dyDescent="0.25">
      <c r="Y16954" s="63">
        <v>59487</v>
      </c>
      <c r="Z16954" s="61">
        <f>_xll.qlYieldTSDiscount($U$35,Y16954,,Trigger)</f>
        <v>0.40208627223570453</v>
      </c>
    </row>
    <row r="16955" spans="25:26" x14ac:dyDescent="0.25">
      <c r="Y16955" s="63">
        <v>59488</v>
      </c>
      <c r="Z16955" s="61">
        <f>_xll.qlYieldTSDiscount($U$35,Y16955,,Trigger)</f>
        <v>0.40206231123227154</v>
      </c>
    </row>
    <row r="16956" spans="25:26" x14ac:dyDescent="0.25">
      <c r="Y16956" s="63">
        <v>59489</v>
      </c>
      <c r="Z16956" s="61">
        <f>_xll.qlYieldTSDiscount($U$35,Y16956,,Trigger)</f>
        <v>0.40203835205543537</v>
      </c>
    </row>
    <row r="16957" spans="25:26" x14ac:dyDescent="0.25">
      <c r="Y16957" s="63">
        <v>59490</v>
      </c>
      <c r="Z16957" s="61">
        <f>_xll.qlYieldTSDiscount($U$35,Y16957,,Trigger)</f>
        <v>0.40201439470483014</v>
      </c>
    </row>
    <row r="16958" spans="25:26" x14ac:dyDescent="0.25">
      <c r="Y16958" s="63">
        <v>59491</v>
      </c>
      <c r="Z16958" s="61">
        <f>_xll.qlYieldTSDiscount($U$35,Y16958,,Trigger)</f>
        <v>0.40199043918008981</v>
      </c>
    </row>
    <row r="16959" spans="25:26" x14ac:dyDescent="0.25">
      <c r="Y16959" s="63">
        <v>59492</v>
      </c>
      <c r="Z16959" s="61">
        <f>_xll.qlYieldTSDiscount($U$35,Y16959,,Trigger)</f>
        <v>0.40196648548084846</v>
      </c>
    </row>
    <row r="16960" spans="25:26" x14ac:dyDescent="0.25">
      <c r="Y16960" s="63">
        <v>59493</v>
      </c>
      <c r="Z16960" s="61">
        <f>_xll.qlYieldTSDiscount($U$35,Y16960,,Trigger)</f>
        <v>0.40194253360674004</v>
      </c>
    </row>
    <row r="16961" spans="25:26" x14ac:dyDescent="0.25">
      <c r="Y16961" s="63">
        <v>59494</v>
      </c>
      <c r="Z16961" s="61">
        <f>_xll.qlYieldTSDiscount($U$35,Y16961,,Trigger)</f>
        <v>0.40191858355739862</v>
      </c>
    </row>
    <row r="16962" spans="25:26" x14ac:dyDescent="0.25">
      <c r="Y16962" s="63">
        <v>59495</v>
      </c>
      <c r="Z16962" s="61">
        <f>_xll.qlYieldTSDiscount($U$35,Y16962,,Trigger)</f>
        <v>0.40189463533245817</v>
      </c>
    </row>
    <row r="16963" spans="25:26" x14ac:dyDescent="0.25">
      <c r="Y16963" s="63">
        <v>59496</v>
      </c>
      <c r="Z16963" s="61">
        <f>_xll.qlYieldTSDiscount($U$35,Y16963,,Trigger)</f>
        <v>0.40187068893155276</v>
      </c>
    </row>
    <row r="16964" spans="25:26" x14ac:dyDescent="0.25">
      <c r="Y16964" s="63">
        <v>59497</v>
      </c>
      <c r="Z16964" s="61">
        <f>_xll.qlYieldTSDiscount($U$35,Y16964,,Trigger)</f>
        <v>0.40184674435431644</v>
      </c>
    </row>
    <row r="16965" spans="25:26" x14ac:dyDescent="0.25">
      <c r="Y16965" s="63">
        <v>59498</v>
      </c>
      <c r="Z16965" s="61">
        <f>_xll.qlYieldTSDiscount($U$35,Y16965,,Trigger)</f>
        <v>0.40182280160038319</v>
      </c>
    </row>
    <row r="16966" spans="25:26" x14ac:dyDescent="0.25">
      <c r="Y16966" s="63">
        <v>59499</v>
      </c>
      <c r="Z16966" s="61">
        <f>_xll.qlYieldTSDiscount($U$35,Y16966,,Trigger)</f>
        <v>0.40179886066938697</v>
      </c>
    </row>
    <row r="16967" spans="25:26" x14ac:dyDescent="0.25">
      <c r="Y16967" s="63">
        <v>59500</v>
      </c>
      <c r="Z16967" s="61">
        <f>_xll.qlYieldTSDiscount($U$35,Y16967,,Trigger)</f>
        <v>0.4017749215609619</v>
      </c>
    </row>
    <row r="16968" spans="25:26" x14ac:dyDescent="0.25">
      <c r="Y16968" s="63">
        <v>59501</v>
      </c>
      <c r="Z16968" s="61">
        <f>_xll.qlYieldTSDiscount($U$35,Y16968,,Trigger)</f>
        <v>0.40175098427474198</v>
      </c>
    </row>
    <row r="16969" spans="25:26" x14ac:dyDescent="0.25">
      <c r="Y16969" s="63">
        <v>59502</v>
      </c>
      <c r="Z16969" s="61">
        <f>_xll.qlYieldTSDiscount($U$35,Y16969,,Trigger)</f>
        <v>0.40172704881036114</v>
      </c>
    </row>
    <row r="16970" spans="25:26" x14ac:dyDescent="0.25">
      <c r="Y16970" s="63">
        <v>59503</v>
      </c>
      <c r="Z16970" s="61">
        <f>_xll.qlYieldTSDiscount($U$35,Y16970,,Trigger)</f>
        <v>0.40170311516745361</v>
      </c>
    </row>
    <row r="16971" spans="25:26" x14ac:dyDescent="0.25">
      <c r="Y16971" s="63">
        <v>59504</v>
      </c>
      <c r="Z16971" s="61">
        <f>_xll.qlYieldTSDiscount($U$35,Y16971,,Trigger)</f>
        <v>0.40167918334565317</v>
      </c>
    </row>
    <row r="16972" spans="25:26" x14ac:dyDescent="0.25">
      <c r="Y16972" s="63">
        <v>59505</v>
      </c>
      <c r="Z16972" s="61">
        <f>_xll.qlYieldTSDiscount($U$35,Y16972,,Trigger)</f>
        <v>0.40165525334459395</v>
      </c>
    </row>
    <row r="16973" spans="25:26" x14ac:dyDescent="0.25">
      <c r="Y16973" s="63">
        <v>59506</v>
      </c>
      <c r="Z16973" s="61">
        <f>_xll.qlYieldTSDiscount($U$35,Y16973,,Trigger)</f>
        <v>0.40163132516391004</v>
      </c>
    </row>
    <row r="16974" spans="25:26" x14ac:dyDescent="0.25">
      <c r="Y16974" s="63">
        <v>59507</v>
      </c>
      <c r="Z16974" s="61">
        <f>_xll.qlYieldTSDiscount($U$35,Y16974,,Trigger)</f>
        <v>0.40160739880323537</v>
      </c>
    </row>
    <row r="16975" spans="25:26" x14ac:dyDescent="0.25">
      <c r="Y16975" s="63">
        <v>59508</v>
      </c>
      <c r="Z16975" s="61">
        <f>_xll.qlYieldTSDiscount($U$35,Y16975,,Trigger)</f>
        <v>0.40158347426220403</v>
      </c>
    </row>
    <row r="16976" spans="25:26" x14ac:dyDescent="0.25">
      <c r="Y16976" s="63">
        <v>59509</v>
      </c>
      <c r="Z16976" s="61">
        <f>_xll.qlYieldTSDiscount($U$35,Y16976,,Trigger)</f>
        <v>0.40155955154044998</v>
      </c>
    </row>
    <row r="16977" spans="25:26" x14ac:dyDescent="0.25">
      <c r="Y16977" s="63">
        <v>59510</v>
      </c>
      <c r="Z16977" s="61">
        <f>_xll.qlYieldTSDiscount($U$35,Y16977,,Trigger)</f>
        <v>0.40153563063760722</v>
      </c>
    </row>
    <row r="16978" spans="25:26" x14ac:dyDescent="0.25">
      <c r="Y16978" s="63">
        <v>59511</v>
      </c>
      <c r="Z16978" s="61">
        <f>_xll.qlYieldTSDiscount($U$35,Y16978,,Trigger)</f>
        <v>0.40151171155330989</v>
      </c>
    </row>
    <row r="16979" spans="25:26" x14ac:dyDescent="0.25">
      <c r="Y16979" s="63">
        <v>59512</v>
      </c>
      <c r="Z16979" s="61">
        <f>_xll.qlYieldTSDiscount($U$35,Y16979,,Trigger)</f>
        <v>0.40148779428719183</v>
      </c>
    </row>
    <row r="16980" spans="25:26" x14ac:dyDescent="0.25">
      <c r="Y16980" s="63">
        <v>59513</v>
      </c>
      <c r="Z16980" s="61">
        <f>_xll.qlYieldTSDiscount($U$35,Y16980,,Trigger)</f>
        <v>0.40146387883888729</v>
      </c>
    </row>
    <row r="16981" spans="25:26" x14ac:dyDescent="0.25">
      <c r="Y16981" s="63">
        <v>59514</v>
      </c>
      <c r="Z16981" s="61">
        <f>_xll.qlYieldTSDiscount($U$35,Y16981,,Trigger)</f>
        <v>0.4014399652080301</v>
      </c>
    </row>
    <row r="16982" spans="25:26" x14ac:dyDescent="0.25">
      <c r="Y16982" s="63">
        <v>59515</v>
      </c>
      <c r="Z16982" s="61">
        <f>_xll.qlYieldTSDiscount($U$35,Y16982,,Trigger)</f>
        <v>0.40141605339425435</v>
      </c>
    </row>
    <row r="16983" spans="25:26" x14ac:dyDescent="0.25">
      <c r="Y16983" s="63">
        <v>59516</v>
      </c>
      <c r="Z16983" s="61">
        <f>_xll.qlYieldTSDiscount($U$35,Y16983,,Trigger)</f>
        <v>0.40139214339719409</v>
      </c>
    </row>
    <row r="16984" spans="25:26" x14ac:dyDescent="0.25">
      <c r="Y16984" s="63">
        <v>59517</v>
      </c>
      <c r="Z16984" s="61">
        <f>_xll.qlYieldTSDiscount($U$35,Y16984,,Trigger)</f>
        <v>0.40136823521648335</v>
      </c>
    </row>
    <row r="16985" spans="25:26" x14ac:dyDescent="0.25">
      <c r="Y16985" s="63">
        <v>59518</v>
      </c>
      <c r="Z16985" s="61">
        <f>_xll.qlYieldTSDiscount($U$35,Y16985,,Trigger)</f>
        <v>0.40134432885175603</v>
      </c>
    </row>
    <row r="16986" spans="25:26" x14ac:dyDescent="0.25">
      <c r="Y16986" s="63">
        <v>59519</v>
      </c>
      <c r="Z16986" s="61">
        <f>_xll.qlYieldTSDiscount($U$35,Y16986,,Trigger)</f>
        <v>0.40132042430264636</v>
      </c>
    </row>
    <row r="16987" spans="25:26" x14ac:dyDescent="0.25">
      <c r="Y16987" s="63">
        <v>59520</v>
      </c>
      <c r="Z16987" s="61">
        <f>_xll.qlYieldTSDiscount($U$35,Y16987,,Trigger)</f>
        <v>0.40129652156878814</v>
      </c>
    </row>
    <row r="16988" spans="25:26" x14ac:dyDescent="0.25">
      <c r="Y16988" s="63">
        <v>59521</v>
      </c>
      <c r="Z16988" s="61">
        <f>_xll.qlYieldTSDiscount($U$35,Y16988,,Trigger)</f>
        <v>0.4012726206498155</v>
      </c>
    </row>
    <row r="16989" spans="25:26" x14ac:dyDescent="0.25">
      <c r="Y16989" s="63">
        <v>59522</v>
      </c>
      <c r="Z16989" s="61">
        <f>_xll.qlYieldTSDiscount($U$35,Y16989,,Trigger)</f>
        <v>0.4012487215453624</v>
      </c>
    </row>
    <row r="16990" spans="25:26" x14ac:dyDescent="0.25">
      <c r="Y16990" s="63">
        <v>59523</v>
      </c>
      <c r="Z16990" s="61">
        <f>_xll.qlYieldTSDiscount($U$35,Y16990,,Trigger)</f>
        <v>0.40122482425506306</v>
      </c>
    </row>
    <row r="16991" spans="25:26" x14ac:dyDescent="0.25">
      <c r="Y16991" s="63">
        <v>59524</v>
      </c>
      <c r="Z16991" s="61">
        <f>_xll.qlYieldTSDiscount($U$35,Y16991,,Trigger)</f>
        <v>0.40120092877855129</v>
      </c>
    </row>
    <row r="16992" spans="25:26" x14ac:dyDescent="0.25">
      <c r="Y16992" s="63">
        <v>59525</v>
      </c>
      <c r="Z16992" s="61">
        <f>_xll.qlYieldTSDiscount($U$35,Y16992,,Trigger)</f>
        <v>0.40117703511546116</v>
      </c>
    </row>
    <row r="16993" spans="25:26" x14ac:dyDescent="0.25">
      <c r="Y16993" s="63">
        <v>59526</v>
      </c>
      <c r="Z16993" s="61">
        <f>_xll.qlYieldTSDiscount($U$35,Y16993,,Trigger)</f>
        <v>0.40115314326542678</v>
      </c>
    </row>
    <row r="16994" spans="25:26" x14ac:dyDescent="0.25">
      <c r="Y16994" s="63">
        <v>59527</v>
      </c>
      <c r="Z16994" s="61">
        <f>_xll.qlYieldTSDiscount($U$35,Y16994,,Trigger)</f>
        <v>0.40112925322808202</v>
      </c>
    </row>
    <row r="16995" spans="25:26" x14ac:dyDescent="0.25">
      <c r="Y16995" s="63">
        <v>59528</v>
      </c>
      <c r="Z16995" s="61">
        <f>_xll.qlYieldTSDiscount($U$35,Y16995,,Trigger)</f>
        <v>0.40110536500306104</v>
      </c>
    </row>
    <row r="16996" spans="25:26" x14ac:dyDescent="0.25">
      <c r="Y16996" s="63">
        <v>59529</v>
      </c>
      <c r="Z16996" s="61">
        <f>_xll.qlYieldTSDiscount($U$35,Y16996,,Trigger)</f>
        <v>0.40108147858999782</v>
      </c>
    </row>
    <row r="16997" spans="25:26" x14ac:dyDescent="0.25">
      <c r="Y16997" s="63">
        <v>59530</v>
      </c>
      <c r="Z16997" s="61">
        <f>_xll.qlYieldTSDiscount($U$35,Y16997,,Trigger)</f>
        <v>0.40105759398852636</v>
      </c>
    </row>
    <row r="16998" spans="25:26" x14ac:dyDescent="0.25">
      <c r="Y16998" s="63">
        <v>59531</v>
      </c>
      <c r="Z16998" s="61">
        <f>_xll.qlYieldTSDiscount($U$35,Y16998,,Trigger)</f>
        <v>0.40103371119828063</v>
      </c>
    </row>
    <row r="16999" spans="25:26" x14ac:dyDescent="0.25">
      <c r="Y16999" s="63">
        <v>59532</v>
      </c>
      <c r="Z16999" s="61">
        <f>_xll.qlYieldTSDiscount($U$35,Y16999,,Trigger)</f>
        <v>0.4010098302188948</v>
      </c>
    </row>
    <row r="17000" spans="25:26" x14ac:dyDescent="0.25">
      <c r="Y17000" s="63">
        <v>59533</v>
      </c>
      <c r="Z17000" s="61">
        <f>_xll.qlYieldTSDiscount($U$35,Y17000,,Trigger)</f>
        <v>0.40098595105000279</v>
      </c>
    </row>
    <row r="17001" spans="25:26" x14ac:dyDescent="0.25">
      <c r="Y17001" s="63">
        <v>59534</v>
      </c>
      <c r="Z17001" s="61">
        <f>_xll.qlYieldTSDiscount($U$35,Y17001,,Trigger)</f>
        <v>0.4009620736912386</v>
      </c>
    </row>
    <row r="17002" spans="25:26" x14ac:dyDescent="0.25">
      <c r="Y17002" s="63">
        <v>59535</v>
      </c>
      <c r="Z17002" s="61">
        <f>_xll.qlYieldTSDiscount($U$35,Y17002,,Trigger)</f>
        <v>0.4009381981422363</v>
      </c>
    </row>
    <row r="17003" spans="25:26" x14ac:dyDescent="0.25">
      <c r="Y17003" s="63">
        <v>59536</v>
      </c>
      <c r="Z17003" s="61">
        <f>_xll.qlYieldTSDiscount($U$35,Y17003,,Trigger)</f>
        <v>0.40091432440262992</v>
      </c>
    </row>
    <row r="17004" spans="25:26" x14ac:dyDescent="0.25">
      <c r="Y17004" s="63">
        <v>59537</v>
      </c>
      <c r="Z17004" s="61">
        <f>_xll.qlYieldTSDiscount($U$35,Y17004,,Trigger)</f>
        <v>0.40089045247205346</v>
      </c>
    </row>
    <row r="17005" spans="25:26" x14ac:dyDescent="0.25">
      <c r="Y17005" s="63">
        <v>59538</v>
      </c>
      <c r="Z17005" s="61">
        <f>_xll.qlYieldTSDiscount($U$35,Y17005,,Trigger)</f>
        <v>0.40086658235014089</v>
      </c>
    </row>
    <row r="17006" spans="25:26" x14ac:dyDescent="0.25">
      <c r="Y17006" s="63">
        <v>59539</v>
      </c>
      <c r="Z17006" s="61">
        <f>_xll.qlYieldTSDiscount($U$35,Y17006,,Trigger)</f>
        <v>0.40084271403652638</v>
      </c>
    </row>
    <row r="17007" spans="25:26" x14ac:dyDescent="0.25">
      <c r="Y17007" s="63">
        <v>59540</v>
      </c>
      <c r="Z17007" s="61">
        <f>_xll.qlYieldTSDiscount($U$35,Y17007,,Trigger)</f>
        <v>0.40081884753084379</v>
      </c>
    </row>
    <row r="17008" spans="25:26" x14ac:dyDescent="0.25">
      <c r="Y17008" s="63">
        <v>59541</v>
      </c>
      <c r="Z17008" s="61">
        <f>_xll.qlYieldTSDiscount($U$35,Y17008,,Trigger)</f>
        <v>0.40079498283272719</v>
      </c>
    </row>
    <row r="17009" spans="25:26" x14ac:dyDescent="0.25">
      <c r="Y17009" s="63">
        <v>59542</v>
      </c>
      <c r="Z17009" s="61">
        <f>_xll.qlYieldTSDiscount($U$35,Y17009,,Trigger)</f>
        <v>0.40077111994181069</v>
      </c>
    </row>
    <row r="17010" spans="25:26" x14ac:dyDescent="0.25">
      <c r="Y17010" s="63">
        <v>59543</v>
      </c>
      <c r="Z17010" s="61">
        <f>_xll.qlYieldTSDiscount($U$35,Y17010,,Trigger)</f>
        <v>0.40074725885772822</v>
      </c>
    </row>
    <row r="17011" spans="25:26" x14ac:dyDescent="0.25">
      <c r="Y17011" s="63">
        <v>59544</v>
      </c>
      <c r="Z17011" s="61">
        <f>_xll.qlYieldTSDiscount($U$35,Y17011,,Trigger)</f>
        <v>0.40072339958011383</v>
      </c>
    </row>
    <row r="17012" spans="25:26" x14ac:dyDescent="0.25">
      <c r="Y17012" s="63">
        <v>59545</v>
      </c>
      <c r="Z17012" s="61">
        <f>_xll.qlYieldTSDiscount($U$35,Y17012,,Trigger)</f>
        <v>0.40069954210860159</v>
      </c>
    </row>
    <row r="17013" spans="25:26" x14ac:dyDescent="0.25">
      <c r="Y17013" s="63">
        <v>59546</v>
      </c>
      <c r="Z17013" s="61">
        <f>_xll.qlYieldTSDiscount($U$35,Y17013,,Trigger)</f>
        <v>0.40067568644282542</v>
      </c>
    </row>
    <row r="17014" spans="25:26" x14ac:dyDescent="0.25">
      <c r="Y17014" s="63">
        <v>59547</v>
      </c>
      <c r="Z17014" s="61">
        <f>_xll.qlYieldTSDiscount($U$35,Y17014,,Trigger)</f>
        <v>0.40065183258241932</v>
      </c>
    </row>
    <row r="17015" spans="25:26" x14ac:dyDescent="0.25">
      <c r="Y17015" s="63">
        <v>59548</v>
      </c>
      <c r="Z17015" s="61">
        <f>_xll.qlYieldTSDiscount($U$35,Y17015,,Trigger)</f>
        <v>0.40062798052701754</v>
      </c>
    </row>
    <row r="17016" spans="25:26" x14ac:dyDescent="0.25">
      <c r="Y17016" s="63">
        <v>59549</v>
      </c>
      <c r="Z17016" s="61">
        <f>_xll.qlYieldTSDiscount($U$35,Y17016,,Trigger)</f>
        <v>0.40060413027625386</v>
      </c>
    </row>
    <row r="17017" spans="25:26" x14ac:dyDescent="0.25">
      <c r="Y17017" s="63">
        <v>59550</v>
      </c>
      <c r="Z17017" s="61">
        <f>_xll.qlYieldTSDiscount($U$35,Y17017,,Trigger)</f>
        <v>0.40058028182976235</v>
      </c>
    </row>
    <row r="17018" spans="25:26" x14ac:dyDescent="0.25">
      <c r="Y17018" s="63">
        <v>59551</v>
      </c>
      <c r="Z17018" s="61">
        <f>_xll.qlYieldTSDiscount($U$35,Y17018,,Trigger)</f>
        <v>0.4005564351871771</v>
      </c>
    </row>
    <row r="17019" spans="25:26" x14ac:dyDescent="0.25">
      <c r="Y17019" s="63">
        <v>59552</v>
      </c>
      <c r="Z17019" s="61">
        <f>_xll.qlYieldTSDiscount($U$35,Y17019,,Trigger)</f>
        <v>0.40053259034813216</v>
      </c>
    </row>
    <row r="17020" spans="25:26" x14ac:dyDescent="0.25">
      <c r="Y17020" s="63">
        <v>59553</v>
      </c>
      <c r="Z17020" s="61">
        <f>_xll.qlYieldTSDiscount($U$35,Y17020,,Trigger)</f>
        <v>0.40050874731226138</v>
      </c>
    </row>
    <row r="17021" spans="25:26" x14ac:dyDescent="0.25">
      <c r="Y17021" s="63">
        <v>59554</v>
      </c>
      <c r="Z17021" s="61">
        <f>_xll.qlYieldTSDiscount($U$35,Y17021,,Trigger)</f>
        <v>0.40048490607919895</v>
      </c>
    </row>
    <row r="17022" spans="25:26" x14ac:dyDescent="0.25">
      <c r="Y17022" s="63">
        <v>59555</v>
      </c>
      <c r="Z17022" s="61">
        <f>_xll.qlYieldTSDiscount($U$35,Y17022,,Trigger)</f>
        <v>0.40046106664857889</v>
      </c>
    </row>
    <row r="17023" spans="25:26" x14ac:dyDescent="0.25">
      <c r="Y17023" s="63">
        <v>59556</v>
      </c>
      <c r="Z17023" s="61">
        <f>_xll.qlYieldTSDiscount($U$35,Y17023,,Trigger)</f>
        <v>0.40043722902003509</v>
      </c>
    </row>
    <row r="17024" spans="25:26" x14ac:dyDescent="0.25">
      <c r="Y17024" s="63">
        <v>59557</v>
      </c>
      <c r="Z17024" s="61">
        <f>_xll.qlYieldTSDiscount($U$35,Y17024,,Trigger)</f>
        <v>0.40041339319320168</v>
      </c>
    </row>
    <row r="17025" spans="25:26" x14ac:dyDescent="0.25">
      <c r="Y17025" s="63">
        <v>59558</v>
      </c>
      <c r="Z17025" s="61">
        <f>_xll.qlYieldTSDiscount($U$35,Y17025,,Trigger)</f>
        <v>0.40038955916771268</v>
      </c>
    </row>
    <row r="17026" spans="25:26" x14ac:dyDescent="0.25">
      <c r="Y17026" s="63">
        <v>59559</v>
      </c>
      <c r="Z17026" s="61">
        <f>_xll.qlYieldTSDiscount($U$35,Y17026,,Trigger)</f>
        <v>0.40036572694320205</v>
      </c>
    </row>
    <row r="17027" spans="25:26" x14ac:dyDescent="0.25">
      <c r="Y17027" s="63">
        <v>59560</v>
      </c>
      <c r="Z17027" s="61">
        <f>_xll.qlYieldTSDiscount($U$35,Y17027,,Trigger)</f>
        <v>0.40034189651930385</v>
      </c>
    </row>
    <row r="17028" spans="25:26" x14ac:dyDescent="0.25">
      <c r="Y17028" s="63">
        <v>59561</v>
      </c>
      <c r="Z17028" s="61">
        <f>_xll.qlYieldTSDiscount($U$35,Y17028,,Trigger)</f>
        <v>0.40031806789565216</v>
      </c>
    </row>
    <row r="17029" spans="25:26" x14ac:dyDescent="0.25">
      <c r="Y17029" s="63">
        <v>59562</v>
      </c>
      <c r="Z17029" s="61">
        <f>_xll.qlYieldTSDiscount($U$35,Y17029,,Trigger)</f>
        <v>0.40029424107188083</v>
      </c>
    </row>
    <row r="17030" spans="25:26" x14ac:dyDescent="0.25">
      <c r="Y17030" s="63">
        <v>59563</v>
      </c>
      <c r="Z17030" s="61">
        <f>_xll.qlYieldTSDiscount($U$35,Y17030,,Trigger)</f>
        <v>0.40027041604762403</v>
      </c>
    </row>
    <row r="17031" spans="25:26" x14ac:dyDescent="0.25">
      <c r="Y17031" s="63">
        <v>59564</v>
      </c>
      <c r="Z17031" s="61">
        <f>_xll.qlYieldTSDiscount($U$35,Y17031,,Trigger)</f>
        <v>0.40024659282251585</v>
      </c>
    </row>
    <row r="17032" spans="25:26" x14ac:dyDescent="0.25">
      <c r="Y17032" s="63">
        <v>59565</v>
      </c>
      <c r="Z17032" s="61">
        <f>_xll.qlYieldTSDiscount($U$35,Y17032,,Trigger)</f>
        <v>0.40022277139619006</v>
      </c>
    </row>
    <row r="17033" spans="25:26" x14ac:dyDescent="0.25">
      <c r="Y17033" s="63">
        <v>59566</v>
      </c>
      <c r="Z17033" s="61">
        <f>_xll.qlYieldTSDiscount($U$35,Y17033,,Trigger)</f>
        <v>0.40019895176828085</v>
      </c>
    </row>
    <row r="17034" spans="25:26" x14ac:dyDescent="0.25">
      <c r="Y17034" s="63">
        <v>59567</v>
      </c>
      <c r="Z17034" s="61">
        <f>_xll.qlYieldTSDiscount($U$35,Y17034,,Trigger)</f>
        <v>0.40017513393842225</v>
      </c>
    </row>
    <row r="17035" spans="25:26" x14ac:dyDescent="0.25">
      <c r="Y17035" s="63">
        <v>59568</v>
      </c>
      <c r="Z17035" s="61">
        <f>_xll.qlYieldTSDiscount($U$35,Y17035,,Trigger)</f>
        <v>0.4001513179062483</v>
      </c>
    </row>
    <row r="17036" spans="25:26" x14ac:dyDescent="0.25">
      <c r="Y17036" s="63">
        <v>59569</v>
      </c>
      <c r="Z17036" s="61">
        <f>_xll.qlYieldTSDiscount($U$35,Y17036,,Trigger)</f>
        <v>0.40012750367139294</v>
      </c>
    </row>
    <row r="17037" spans="25:26" x14ac:dyDescent="0.25">
      <c r="Y17037" s="63">
        <v>59570</v>
      </c>
      <c r="Z17037" s="61">
        <f>_xll.qlYieldTSDiscount($U$35,Y17037,,Trigger)</f>
        <v>0.40010369123349016</v>
      </c>
    </row>
    <row r="17038" spans="25:26" x14ac:dyDescent="0.25">
      <c r="Y17038" s="63">
        <v>59571</v>
      </c>
      <c r="Z17038" s="61">
        <f>_xll.qlYieldTSDiscount($U$35,Y17038,,Trigger)</f>
        <v>0.40007988059217414</v>
      </c>
    </row>
    <row r="17039" spans="25:26" x14ac:dyDescent="0.25">
      <c r="Y17039" s="63">
        <v>59572</v>
      </c>
      <c r="Z17039" s="61">
        <f>_xll.qlYieldTSDiscount($U$35,Y17039,,Trigger)</f>
        <v>0.40005607174707875</v>
      </c>
    </row>
    <row r="17040" spans="25:26" x14ac:dyDescent="0.25">
      <c r="Y17040" s="63">
        <v>59573</v>
      </c>
      <c r="Z17040" s="61">
        <f>_xll.qlYieldTSDiscount($U$35,Y17040,,Trigger)</f>
        <v>0.40003226469783804</v>
      </c>
    </row>
    <row r="17041" spans="25:26" x14ac:dyDescent="0.25">
      <c r="Y17041" s="63">
        <v>59574</v>
      </c>
      <c r="Z17041" s="61">
        <f>_xll.qlYieldTSDiscount($U$35,Y17041,,Trigger)</f>
        <v>0.4000084594440862</v>
      </c>
    </row>
    <row r="17042" spans="25:26" x14ac:dyDescent="0.25">
      <c r="Y17042" s="63">
        <v>59575</v>
      </c>
      <c r="Z17042" s="61">
        <f>_xll.qlYieldTSDiscount($U$35,Y17042,,Trigger)</f>
        <v>0.39998465598545702</v>
      </c>
    </row>
    <row r="17043" spans="25:26" x14ac:dyDescent="0.25">
      <c r="Y17043" s="63">
        <v>59576</v>
      </c>
      <c r="Z17043" s="61">
        <f>_xll.qlYieldTSDiscount($U$35,Y17043,,Trigger)</f>
        <v>0.39996085432158457</v>
      </c>
    </row>
    <row r="17044" spans="25:26" x14ac:dyDescent="0.25">
      <c r="Y17044" s="63">
        <v>59577</v>
      </c>
      <c r="Z17044" s="61">
        <f>_xll.qlYieldTSDiscount($U$35,Y17044,,Trigger)</f>
        <v>0.39993705445210304</v>
      </c>
    </row>
    <row r="17045" spans="25:26" x14ac:dyDescent="0.25">
      <c r="Y17045" s="63">
        <v>59578</v>
      </c>
      <c r="Z17045" s="61">
        <f>_xll.qlYieldTSDiscount($U$35,Y17045,,Trigger)</f>
        <v>0.39991325637664621</v>
      </c>
    </row>
    <row r="17046" spans="25:26" x14ac:dyDescent="0.25">
      <c r="Y17046" s="63">
        <v>59579</v>
      </c>
      <c r="Z17046" s="61">
        <f>_xll.qlYieldTSDiscount($U$35,Y17046,,Trigger)</f>
        <v>0.39988946009484827</v>
      </c>
    </row>
    <row r="17047" spans="25:26" x14ac:dyDescent="0.25">
      <c r="Y17047" s="63">
        <v>59580</v>
      </c>
      <c r="Z17047" s="61">
        <f>_xll.qlYieldTSDiscount($U$35,Y17047,,Trigger)</f>
        <v>0.39986566560634318</v>
      </c>
    </row>
    <row r="17048" spans="25:26" x14ac:dyDescent="0.25">
      <c r="Y17048" s="63">
        <v>59581</v>
      </c>
      <c r="Z17048" s="61">
        <f>_xll.qlYieldTSDiscount($U$35,Y17048,,Trigger)</f>
        <v>0.39984187291076501</v>
      </c>
    </row>
    <row r="17049" spans="25:26" x14ac:dyDescent="0.25">
      <c r="Y17049" s="63">
        <v>59582</v>
      </c>
      <c r="Z17049" s="61">
        <f>_xll.qlYieldTSDiscount($U$35,Y17049,,Trigger)</f>
        <v>0.39981808200774771</v>
      </c>
    </row>
    <row r="17050" spans="25:26" x14ac:dyDescent="0.25">
      <c r="Y17050" s="63">
        <v>59583</v>
      </c>
      <c r="Z17050" s="61">
        <f>_xll.qlYieldTSDiscount($U$35,Y17050,,Trigger)</f>
        <v>0.39979429289692536</v>
      </c>
    </row>
    <row r="17051" spans="25:26" x14ac:dyDescent="0.25">
      <c r="Y17051" s="63">
        <v>59584</v>
      </c>
      <c r="Z17051" s="61">
        <f>_xll.qlYieldTSDiscount($U$35,Y17051,,Trigger)</f>
        <v>0.39977050557793203</v>
      </c>
    </row>
    <row r="17052" spans="25:26" x14ac:dyDescent="0.25">
      <c r="Y17052" s="63">
        <v>59585</v>
      </c>
      <c r="Z17052" s="61">
        <f>_xll.qlYieldTSDiscount($U$35,Y17052,,Trigger)</f>
        <v>0.39974672005040157</v>
      </c>
    </row>
    <row r="17053" spans="25:26" x14ac:dyDescent="0.25">
      <c r="Y17053" s="63">
        <v>59586</v>
      </c>
      <c r="Z17053" s="61">
        <f>_xll.qlYieldTSDiscount($U$35,Y17053,,Trigger)</f>
        <v>0.39972293631396816</v>
      </c>
    </row>
    <row r="17054" spans="25:26" x14ac:dyDescent="0.25">
      <c r="Y17054" s="63">
        <v>59587</v>
      </c>
      <c r="Z17054" s="61">
        <f>_xll.qlYieldTSDiscount($U$35,Y17054,,Trigger)</f>
        <v>0.39969915436826575</v>
      </c>
    </row>
    <row r="17055" spans="25:26" x14ac:dyDescent="0.25">
      <c r="Y17055" s="63">
        <v>59588</v>
      </c>
      <c r="Z17055" s="61">
        <f>_xll.qlYieldTSDiscount($U$35,Y17055,,Trigger)</f>
        <v>0.39967537421292831</v>
      </c>
    </row>
    <row r="17056" spans="25:26" x14ac:dyDescent="0.25">
      <c r="Y17056" s="63">
        <v>59589</v>
      </c>
      <c r="Z17056" s="61">
        <f>_xll.qlYieldTSDiscount($U$35,Y17056,,Trigger)</f>
        <v>0.39965159584759002</v>
      </c>
    </row>
    <row r="17057" spans="25:26" x14ac:dyDescent="0.25">
      <c r="Y17057" s="63">
        <v>59590</v>
      </c>
      <c r="Z17057" s="61">
        <f>_xll.qlYieldTSDiscount($U$35,Y17057,,Trigger)</f>
        <v>0.39962781927188484</v>
      </c>
    </row>
    <row r="17058" spans="25:26" x14ac:dyDescent="0.25">
      <c r="Y17058" s="63">
        <v>59591</v>
      </c>
      <c r="Z17058" s="61">
        <f>_xll.qlYieldTSDiscount($U$35,Y17058,,Trigger)</f>
        <v>0.39960404448544662</v>
      </c>
    </row>
    <row r="17059" spans="25:26" x14ac:dyDescent="0.25">
      <c r="Y17059" s="63">
        <v>59592</v>
      </c>
      <c r="Z17059" s="61">
        <f>_xll.qlYieldTSDiscount($U$35,Y17059,,Trigger)</f>
        <v>0.39958027148790964</v>
      </c>
    </row>
    <row r="17060" spans="25:26" x14ac:dyDescent="0.25">
      <c r="Y17060" s="63">
        <v>59593</v>
      </c>
      <c r="Z17060" s="61">
        <f>_xll.qlYieldTSDiscount($U$35,Y17060,,Trigger)</f>
        <v>0.39955650027890777</v>
      </c>
    </row>
    <row r="17061" spans="25:26" x14ac:dyDescent="0.25">
      <c r="Y17061" s="63">
        <v>59594</v>
      </c>
      <c r="Z17061" s="61">
        <f>_xll.qlYieldTSDiscount($U$35,Y17061,,Trigger)</f>
        <v>0.39953273085807511</v>
      </c>
    </row>
    <row r="17062" spans="25:26" x14ac:dyDescent="0.25">
      <c r="Y17062" s="63">
        <v>59595</v>
      </c>
      <c r="Z17062" s="61">
        <f>_xll.qlYieldTSDiscount($U$35,Y17062,,Trigger)</f>
        <v>0.39950896322504559</v>
      </c>
    </row>
    <row r="17063" spans="25:26" x14ac:dyDescent="0.25">
      <c r="Y17063" s="63">
        <v>59596</v>
      </c>
      <c r="Z17063" s="61">
        <f>_xll.qlYieldTSDiscount($U$35,Y17063,,Trigger)</f>
        <v>0.39948519737945332</v>
      </c>
    </row>
    <row r="17064" spans="25:26" x14ac:dyDescent="0.25">
      <c r="Y17064" s="63">
        <v>59597</v>
      </c>
      <c r="Z17064" s="61">
        <f>_xll.qlYieldTSDiscount($U$35,Y17064,,Trigger)</f>
        <v>0.39946143332093231</v>
      </c>
    </row>
    <row r="17065" spans="25:26" x14ac:dyDescent="0.25">
      <c r="Y17065" s="63">
        <v>59598</v>
      </c>
      <c r="Z17065" s="61">
        <f>_xll.qlYieldTSDiscount($U$35,Y17065,,Trigger)</f>
        <v>0.39943767104911648</v>
      </c>
    </row>
    <row r="17066" spans="25:26" x14ac:dyDescent="0.25">
      <c r="Y17066" s="63">
        <v>59599</v>
      </c>
      <c r="Z17066" s="61">
        <f>_xll.qlYieldTSDiscount($U$35,Y17066,,Trigger)</f>
        <v>0.39941391056363995</v>
      </c>
    </row>
    <row r="17067" spans="25:26" x14ac:dyDescent="0.25">
      <c r="Y17067" s="63">
        <v>59600</v>
      </c>
      <c r="Z17067" s="61">
        <f>_xll.qlYieldTSDiscount($U$35,Y17067,,Trigger)</f>
        <v>0.39939015186413679</v>
      </c>
    </row>
    <row r="17068" spans="25:26" x14ac:dyDescent="0.25">
      <c r="Y17068" s="63">
        <v>59601</v>
      </c>
      <c r="Z17068" s="61">
        <f>_xll.qlYieldTSDiscount($U$35,Y17068,,Trigger)</f>
        <v>0.3993663949502409</v>
      </c>
    </row>
    <row r="17069" spans="25:26" x14ac:dyDescent="0.25">
      <c r="Y17069" s="63">
        <v>59602</v>
      </c>
      <c r="Z17069" s="61">
        <f>_xll.qlYieldTSDiscount($U$35,Y17069,,Trigger)</f>
        <v>0.39934263982158635</v>
      </c>
    </row>
    <row r="17070" spans="25:26" x14ac:dyDescent="0.25">
      <c r="Y17070" s="63">
        <v>59603</v>
      </c>
      <c r="Z17070" s="61">
        <f>_xll.qlYieldTSDiscount($U$35,Y17070,,Trigger)</f>
        <v>0.39931888647780722</v>
      </c>
    </row>
    <row r="17071" spans="25:26" x14ac:dyDescent="0.25">
      <c r="Y17071" s="63">
        <v>59604</v>
      </c>
      <c r="Z17071" s="61">
        <f>_xll.qlYieldTSDiscount($U$35,Y17071,,Trigger)</f>
        <v>0.39929513491853741</v>
      </c>
    </row>
    <row r="17072" spans="25:26" x14ac:dyDescent="0.25">
      <c r="Y17072" s="63">
        <v>59605</v>
      </c>
      <c r="Z17072" s="61">
        <f>_xll.qlYieldTSDiscount($U$35,Y17072,,Trigger)</f>
        <v>0.39927138514341098</v>
      </c>
    </row>
    <row r="17073" spans="25:26" x14ac:dyDescent="0.25">
      <c r="Y17073" s="63">
        <v>59606</v>
      </c>
      <c r="Z17073" s="61">
        <f>_xll.qlYieldTSDiscount($U$35,Y17073,,Trigger)</f>
        <v>0.39924763715206213</v>
      </c>
    </row>
    <row r="17074" spans="25:26" x14ac:dyDescent="0.25">
      <c r="Y17074" s="63">
        <v>59607</v>
      </c>
      <c r="Z17074" s="61">
        <f>_xll.qlYieldTSDiscount($U$35,Y17074,,Trigger)</f>
        <v>0.39922389094412458</v>
      </c>
    </row>
    <row r="17075" spans="25:26" x14ac:dyDescent="0.25">
      <c r="Y17075" s="63">
        <v>59608</v>
      </c>
      <c r="Z17075" s="61">
        <f>_xll.qlYieldTSDiscount($U$35,Y17075,,Trigger)</f>
        <v>0.39920014651923252</v>
      </c>
    </row>
    <row r="17076" spans="25:26" x14ac:dyDescent="0.25">
      <c r="Y17076" s="63">
        <v>59609</v>
      </c>
      <c r="Z17076" s="61">
        <f>_xll.qlYieldTSDiscount($U$35,Y17076,,Trigger)</f>
        <v>0.39917640387702008</v>
      </c>
    </row>
    <row r="17077" spans="25:26" x14ac:dyDescent="0.25">
      <c r="Y17077" s="63">
        <v>59610</v>
      </c>
      <c r="Z17077" s="61">
        <f>_xll.qlYieldTSDiscount($U$35,Y17077,,Trigger)</f>
        <v>0.39915266301712105</v>
      </c>
    </row>
    <row r="17078" spans="25:26" x14ac:dyDescent="0.25">
      <c r="Y17078" s="63">
        <v>59611</v>
      </c>
      <c r="Z17078" s="61">
        <f>_xll.qlYieldTSDiscount($U$35,Y17078,,Trigger)</f>
        <v>0.3991289239391696</v>
      </c>
    </row>
    <row r="17079" spans="25:26" x14ac:dyDescent="0.25">
      <c r="Y17079" s="63">
        <v>59612</v>
      </c>
      <c r="Z17079" s="61">
        <f>_xll.qlYieldTSDiscount($U$35,Y17079,,Trigger)</f>
        <v>0.3991051866427997</v>
      </c>
    </row>
    <row r="17080" spans="25:26" x14ac:dyDescent="0.25">
      <c r="Y17080" s="63">
        <v>59613</v>
      </c>
      <c r="Z17080" s="61">
        <f>_xll.qlYieldTSDiscount($U$35,Y17080,,Trigger)</f>
        <v>0.39908145112764543</v>
      </c>
    </row>
    <row r="17081" spans="25:26" x14ac:dyDescent="0.25">
      <c r="Y17081" s="63">
        <v>59614</v>
      </c>
      <c r="Z17081" s="61">
        <f>_xll.qlYieldTSDiscount($U$35,Y17081,,Trigger)</f>
        <v>0.39905771739334067</v>
      </c>
    </row>
    <row r="17082" spans="25:26" x14ac:dyDescent="0.25">
      <c r="Y17082" s="63">
        <v>59615</v>
      </c>
      <c r="Z17082" s="61">
        <f>_xll.qlYieldTSDiscount($U$35,Y17082,,Trigger)</f>
        <v>0.39903398543951962</v>
      </c>
    </row>
    <row r="17083" spans="25:26" x14ac:dyDescent="0.25">
      <c r="Y17083" s="63">
        <v>59616</v>
      </c>
      <c r="Z17083" s="61">
        <f>_xll.qlYieldTSDiscount($U$35,Y17083,,Trigger)</f>
        <v>0.39901025526581624</v>
      </c>
    </row>
    <row r="17084" spans="25:26" x14ac:dyDescent="0.25">
      <c r="Y17084" s="63">
        <v>59617</v>
      </c>
      <c r="Z17084" s="61">
        <f>_xll.qlYieldTSDiscount($U$35,Y17084,,Trigger)</f>
        <v>0.39898652687186442</v>
      </c>
    </row>
    <row r="17085" spans="25:26" x14ac:dyDescent="0.25">
      <c r="Y17085" s="63">
        <v>59618</v>
      </c>
      <c r="Z17085" s="61">
        <f>_xll.qlYieldTSDiscount($U$35,Y17085,,Trigger)</f>
        <v>0.39896280025729836</v>
      </c>
    </row>
    <row r="17086" spans="25:26" x14ac:dyDescent="0.25">
      <c r="Y17086" s="63">
        <v>59619</v>
      </c>
      <c r="Z17086" s="61">
        <f>_xll.qlYieldTSDiscount($U$35,Y17086,,Trigger)</f>
        <v>0.39893907542175211</v>
      </c>
    </row>
    <row r="17087" spans="25:26" x14ac:dyDescent="0.25">
      <c r="Y17087" s="63">
        <v>59620</v>
      </c>
      <c r="Z17087" s="61">
        <f>_xll.qlYieldTSDiscount($U$35,Y17087,,Trigger)</f>
        <v>0.39891535236485948</v>
      </c>
    </row>
    <row r="17088" spans="25:26" x14ac:dyDescent="0.25">
      <c r="Y17088" s="63">
        <v>59621</v>
      </c>
      <c r="Z17088" s="61">
        <f>_xll.qlYieldTSDiscount($U$35,Y17088,,Trigger)</f>
        <v>0.39889163108625458</v>
      </c>
    </row>
    <row r="17089" spans="25:26" x14ac:dyDescent="0.25">
      <c r="Y17089" s="63">
        <v>59622</v>
      </c>
      <c r="Z17089" s="61">
        <f>_xll.qlYieldTSDiscount($U$35,Y17089,,Trigger)</f>
        <v>0.39886791158557156</v>
      </c>
    </row>
    <row r="17090" spans="25:26" x14ac:dyDescent="0.25">
      <c r="Y17090" s="63">
        <v>59623</v>
      </c>
      <c r="Z17090" s="61">
        <f>_xll.qlYieldTSDiscount($U$35,Y17090,,Trigger)</f>
        <v>0.3988441938624443</v>
      </c>
    </row>
    <row r="17091" spans="25:26" x14ac:dyDescent="0.25">
      <c r="Y17091" s="63">
        <v>59624</v>
      </c>
      <c r="Z17091" s="61">
        <f>_xll.qlYieldTSDiscount($U$35,Y17091,,Trigger)</f>
        <v>0.39882047791650688</v>
      </c>
    </row>
    <row r="17092" spans="25:26" x14ac:dyDescent="0.25">
      <c r="Y17092" s="63">
        <v>59625</v>
      </c>
      <c r="Z17092" s="61">
        <f>_xll.qlYieldTSDiscount($U$35,Y17092,,Trigger)</f>
        <v>0.39879676374739326</v>
      </c>
    </row>
    <row r="17093" spans="25:26" x14ac:dyDescent="0.25">
      <c r="Y17093" s="63">
        <v>59626</v>
      </c>
      <c r="Z17093" s="61">
        <f>_xll.qlYieldTSDiscount($U$35,Y17093,,Trigger)</f>
        <v>0.39877305135473762</v>
      </c>
    </row>
    <row r="17094" spans="25:26" x14ac:dyDescent="0.25">
      <c r="Y17094" s="63">
        <v>59627</v>
      </c>
      <c r="Z17094" s="61">
        <f>_xll.qlYieldTSDiscount($U$35,Y17094,,Trigger)</f>
        <v>0.39874934073817381</v>
      </c>
    </row>
    <row r="17095" spans="25:26" x14ac:dyDescent="0.25">
      <c r="Y17095" s="63">
        <v>59628</v>
      </c>
      <c r="Z17095" s="61">
        <f>_xll.qlYieldTSDiscount($U$35,Y17095,,Trigger)</f>
        <v>0.39872563189733584</v>
      </c>
    </row>
    <row r="17096" spans="25:26" x14ac:dyDescent="0.25">
      <c r="Y17096" s="63">
        <v>59629</v>
      </c>
      <c r="Z17096" s="61">
        <f>_xll.qlYieldTSDiscount($U$35,Y17096,,Trigger)</f>
        <v>0.39870192483185796</v>
      </c>
    </row>
    <row r="17097" spans="25:26" x14ac:dyDescent="0.25">
      <c r="Y17097" s="63">
        <v>59630</v>
      </c>
      <c r="Z17097" s="61">
        <f>_xll.qlYieldTSDiscount($U$35,Y17097,,Trigger)</f>
        <v>0.39867821954137383</v>
      </c>
    </row>
    <row r="17098" spans="25:26" x14ac:dyDescent="0.25">
      <c r="Y17098" s="63">
        <v>59631</v>
      </c>
      <c r="Z17098" s="61">
        <f>_xll.qlYieldTSDiscount($U$35,Y17098,,Trigger)</f>
        <v>0.39865451602551782</v>
      </c>
    </row>
    <row r="17099" spans="25:26" x14ac:dyDescent="0.25">
      <c r="Y17099" s="63">
        <v>59632</v>
      </c>
      <c r="Z17099" s="61">
        <f>_xll.qlYieldTSDiscount($U$35,Y17099,,Trigger)</f>
        <v>0.39863081428392388</v>
      </c>
    </row>
    <row r="17100" spans="25:26" x14ac:dyDescent="0.25">
      <c r="Y17100" s="63">
        <v>59633</v>
      </c>
      <c r="Z17100" s="61">
        <f>_xll.qlYieldTSDiscount($U$35,Y17100,,Trigger)</f>
        <v>0.39860711431622581</v>
      </c>
    </row>
    <row r="17101" spans="25:26" x14ac:dyDescent="0.25">
      <c r="Y17101" s="63">
        <v>59634</v>
      </c>
      <c r="Z17101" s="61">
        <f>_xll.qlYieldTSDiscount($U$35,Y17101,,Trigger)</f>
        <v>0.39858341612205783</v>
      </c>
    </row>
    <row r="17102" spans="25:26" x14ac:dyDescent="0.25">
      <c r="Y17102" s="63">
        <v>59635</v>
      </c>
      <c r="Z17102" s="61">
        <f>_xll.qlYieldTSDiscount($U$35,Y17102,,Trigger)</f>
        <v>0.39855971970105397</v>
      </c>
    </row>
    <row r="17103" spans="25:26" x14ac:dyDescent="0.25">
      <c r="Y17103" s="63">
        <v>59636</v>
      </c>
      <c r="Z17103" s="61">
        <f>_xll.qlYieldTSDiscount($U$35,Y17103,,Trigger)</f>
        <v>0.39853602505284813</v>
      </c>
    </row>
    <row r="17104" spans="25:26" x14ac:dyDescent="0.25">
      <c r="Y17104" s="63">
        <v>59637</v>
      </c>
      <c r="Z17104" s="61">
        <f>_xll.qlYieldTSDiscount($U$35,Y17104,,Trigger)</f>
        <v>0.39851233217707438</v>
      </c>
    </row>
    <row r="17105" spans="25:26" x14ac:dyDescent="0.25">
      <c r="Y17105" s="63">
        <v>59638</v>
      </c>
      <c r="Z17105" s="61">
        <f>_xll.qlYieldTSDiscount($U$35,Y17105,,Trigger)</f>
        <v>0.3984886410733669</v>
      </c>
    </row>
    <row r="17106" spans="25:26" x14ac:dyDescent="0.25">
      <c r="Y17106" s="63">
        <v>59639</v>
      </c>
      <c r="Z17106" s="61">
        <f>_xll.qlYieldTSDiscount($U$35,Y17106,,Trigger)</f>
        <v>0.39846495174135943</v>
      </c>
    </row>
    <row r="17107" spans="25:26" x14ac:dyDescent="0.25">
      <c r="Y17107" s="63">
        <v>59640</v>
      </c>
      <c r="Z17107" s="61">
        <f>_xll.qlYieldTSDiscount($U$35,Y17107,,Trigger)</f>
        <v>0.39844126418068621</v>
      </c>
    </row>
    <row r="17108" spans="25:26" x14ac:dyDescent="0.25">
      <c r="Y17108" s="63">
        <v>59641</v>
      </c>
      <c r="Z17108" s="61">
        <f>_xll.qlYieldTSDiscount($U$35,Y17108,,Trigger)</f>
        <v>0.39841757839098113</v>
      </c>
    </row>
    <row r="17109" spans="25:26" x14ac:dyDescent="0.25">
      <c r="Y17109" s="63">
        <v>59642</v>
      </c>
      <c r="Z17109" s="61">
        <f>_xll.qlYieldTSDiscount($U$35,Y17109,,Trigger)</f>
        <v>0.39839389437187833</v>
      </c>
    </row>
    <row r="17110" spans="25:26" x14ac:dyDescent="0.25">
      <c r="Y17110" s="63">
        <v>59643</v>
      </c>
      <c r="Z17110" s="61">
        <f>_xll.qlYieldTSDiscount($U$35,Y17110,,Trigger)</f>
        <v>0.39837021212301171</v>
      </c>
    </row>
    <row r="17111" spans="25:26" x14ac:dyDescent="0.25">
      <c r="Y17111" s="63">
        <v>59644</v>
      </c>
      <c r="Z17111" s="61">
        <f>_xll.qlYieldTSDiscount($U$35,Y17111,,Trigger)</f>
        <v>0.3983465316440154</v>
      </c>
    </row>
    <row r="17112" spans="25:26" x14ac:dyDescent="0.25">
      <c r="Y17112" s="63">
        <v>59645</v>
      </c>
      <c r="Z17112" s="61">
        <f>_xll.qlYieldTSDiscount($U$35,Y17112,,Trigger)</f>
        <v>0.39832285293452341</v>
      </c>
    </row>
    <row r="17113" spans="25:26" x14ac:dyDescent="0.25">
      <c r="Y17113" s="63">
        <v>59646</v>
      </c>
      <c r="Z17113" s="61">
        <f>_xll.qlYieldTSDiscount($U$35,Y17113,,Trigger)</f>
        <v>0.39829917599416964</v>
      </c>
    </row>
    <row r="17114" spans="25:26" x14ac:dyDescent="0.25">
      <c r="Y17114" s="63">
        <v>59647</v>
      </c>
      <c r="Z17114" s="61">
        <f>_xll.qlYieldTSDiscount($U$35,Y17114,,Trigger)</f>
        <v>0.39827550082258822</v>
      </c>
    </row>
    <row r="17115" spans="25:26" x14ac:dyDescent="0.25">
      <c r="Y17115" s="63">
        <v>59648</v>
      </c>
      <c r="Z17115" s="61">
        <f>_xll.qlYieldTSDiscount($U$35,Y17115,,Trigger)</f>
        <v>0.39825182741941323</v>
      </c>
    </row>
    <row r="17116" spans="25:26" x14ac:dyDescent="0.25">
      <c r="Y17116" s="63">
        <v>59649</v>
      </c>
      <c r="Z17116" s="61">
        <f>_xll.qlYieldTSDiscount($U$35,Y17116,,Trigger)</f>
        <v>0.3982281557842785</v>
      </c>
    </row>
    <row r="17117" spans="25:26" x14ac:dyDescent="0.25">
      <c r="Y17117" s="63">
        <v>59650</v>
      </c>
      <c r="Z17117" s="61">
        <f>_xll.qlYieldTSDiscount($U$35,Y17117,,Trigger)</f>
        <v>0.39820448591681823</v>
      </c>
    </row>
    <row r="17118" spans="25:26" x14ac:dyDescent="0.25">
      <c r="Y17118" s="63">
        <v>59651</v>
      </c>
      <c r="Z17118" s="61">
        <f>_xll.qlYieldTSDiscount($U$35,Y17118,,Trigger)</f>
        <v>0.39818081781666637</v>
      </c>
    </row>
    <row r="17119" spans="25:26" x14ac:dyDescent="0.25">
      <c r="Y17119" s="63">
        <v>59652</v>
      </c>
      <c r="Z17119" s="61">
        <f>_xll.qlYieldTSDiscount($U$35,Y17119,,Trigger)</f>
        <v>0.39815715148345698</v>
      </c>
    </row>
    <row r="17120" spans="25:26" x14ac:dyDescent="0.25">
      <c r="Y17120" s="63">
        <v>59653</v>
      </c>
      <c r="Z17120" s="61">
        <f>_xll.qlYieldTSDiscount($U$35,Y17120,,Trigger)</f>
        <v>0.39813348691682393</v>
      </c>
    </row>
    <row r="17121" spans="25:26" x14ac:dyDescent="0.25">
      <c r="Y17121" s="63">
        <v>59654</v>
      </c>
      <c r="Z17121" s="61">
        <f>_xll.qlYieldTSDiscount($U$35,Y17121,,Trigger)</f>
        <v>0.3981098241164015</v>
      </c>
    </row>
    <row r="17122" spans="25:26" x14ac:dyDescent="0.25">
      <c r="Y17122" s="63">
        <v>59655</v>
      </c>
      <c r="Z17122" s="61">
        <f>_xll.qlYieldTSDiscount($U$35,Y17122,,Trigger)</f>
        <v>0.39808616308182354</v>
      </c>
    </row>
    <row r="17123" spans="25:26" x14ac:dyDescent="0.25">
      <c r="Y17123" s="63">
        <v>59656</v>
      </c>
      <c r="Z17123" s="61">
        <f>_xll.qlYieldTSDiscount($U$35,Y17123,,Trigger)</f>
        <v>0.39806250381272401</v>
      </c>
    </row>
    <row r="17124" spans="25:26" x14ac:dyDescent="0.25">
      <c r="Y17124" s="63">
        <v>59657</v>
      </c>
      <c r="Z17124" s="61">
        <f>_xll.qlYieldTSDiscount($U$35,Y17124,,Trigger)</f>
        <v>0.39803884630873709</v>
      </c>
    </row>
    <row r="17125" spans="25:26" x14ac:dyDescent="0.25">
      <c r="Y17125" s="63">
        <v>59658</v>
      </c>
      <c r="Z17125" s="61">
        <f>_xll.qlYieldTSDiscount($U$35,Y17125,,Trigger)</f>
        <v>0.3980151905694968</v>
      </c>
    </row>
    <row r="17126" spans="25:26" x14ac:dyDescent="0.25">
      <c r="Y17126" s="63">
        <v>59659</v>
      </c>
      <c r="Z17126" s="61">
        <f>_xll.qlYieldTSDiscount($U$35,Y17126,,Trigger)</f>
        <v>0.39799153659463704</v>
      </c>
    </row>
    <row r="17127" spans="25:26" x14ac:dyDescent="0.25">
      <c r="Y17127" s="63">
        <v>59660</v>
      </c>
      <c r="Z17127" s="61">
        <f>_xll.qlYieldTSDiscount($U$35,Y17127,,Trigger)</f>
        <v>0.39796788438379183</v>
      </c>
    </row>
    <row r="17128" spans="25:26" x14ac:dyDescent="0.25">
      <c r="Y17128" s="63">
        <v>59661</v>
      </c>
      <c r="Z17128" s="61">
        <f>_xll.qlYieldTSDiscount($U$35,Y17128,,Trigger)</f>
        <v>0.39794423393659539</v>
      </c>
    </row>
    <row r="17129" spans="25:26" x14ac:dyDescent="0.25">
      <c r="Y17129" s="63">
        <v>59662</v>
      </c>
      <c r="Z17129" s="61">
        <f>_xll.qlYieldTSDiscount($U$35,Y17129,,Trigger)</f>
        <v>0.39792058525268154</v>
      </c>
    </row>
    <row r="17130" spans="25:26" x14ac:dyDescent="0.25">
      <c r="Y17130" s="63">
        <v>59663</v>
      </c>
      <c r="Z17130" s="61">
        <f>_xll.qlYieldTSDiscount($U$35,Y17130,,Trigger)</f>
        <v>0.39789693833168438</v>
      </c>
    </row>
    <row r="17131" spans="25:26" x14ac:dyDescent="0.25">
      <c r="Y17131" s="63">
        <v>59664</v>
      </c>
      <c r="Z17131" s="61">
        <f>_xll.qlYieldTSDiscount($U$35,Y17131,,Trigger)</f>
        <v>0.39787329317323794</v>
      </c>
    </row>
    <row r="17132" spans="25:26" x14ac:dyDescent="0.25">
      <c r="Y17132" s="63">
        <v>59665</v>
      </c>
      <c r="Z17132" s="61">
        <f>_xll.qlYieldTSDiscount($U$35,Y17132,,Trigger)</f>
        <v>0.39784964977697612</v>
      </c>
    </row>
    <row r="17133" spans="25:26" x14ac:dyDescent="0.25">
      <c r="Y17133" s="63">
        <v>59666</v>
      </c>
      <c r="Z17133" s="61">
        <f>_xll.qlYieldTSDiscount($U$35,Y17133,,Trigger)</f>
        <v>0.39782600814253311</v>
      </c>
    </row>
    <row r="17134" spans="25:26" x14ac:dyDescent="0.25">
      <c r="Y17134" s="63">
        <v>59667</v>
      </c>
      <c r="Z17134" s="61">
        <f>_xll.qlYieldTSDiscount($U$35,Y17134,,Trigger)</f>
        <v>0.39780236826954296</v>
      </c>
    </row>
    <row r="17135" spans="25:26" x14ac:dyDescent="0.25">
      <c r="Y17135" s="63">
        <v>59668</v>
      </c>
      <c r="Z17135" s="61">
        <f>_xll.qlYieldTSDiscount($U$35,Y17135,,Trigger)</f>
        <v>0.39777873015763948</v>
      </c>
    </row>
    <row r="17136" spans="25:26" x14ac:dyDescent="0.25">
      <c r="Y17136" s="63">
        <v>59669</v>
      </c>
      <c r="Z17136" s="61">
        <f>_xll.qlYieldTSDiscount($U$35,Y17136,,Trigger)</f>
        <v>0.39775509380645679</v>
      </c>
    </row>
    <row r="17137" spans="25:26" x14ac:dyDescent="0.25">
      <c r="Y17137" s="63">
        <v>59670</v>
      </c>
      <c r="Z17137" s="61">
        <f>_xll.qlYieldTSDiscount($U$35,Y17137,,Trigger)</f>
        <v>0.39773145921562902</v>
      </c>
    </row>
    <row r="17138" spans="25:26" x14ac:dyDescent="0.25">
      <c r="Y17138" s="63">
        <v>59671</v>
      </c>
      <c r="Z17138" s="61">
        <f>_xll.qlYieldTSDiscount($U$35,Y17138,,Trigger)</f>
        <v>0.39770782638479008</v>
      </c>
    </row>
    <row r="17139" spans="25:26" x14ac:dyDescent="0.25">
      <c r="Y17139" s="63">
        <v>59672</v>
      </c>
      <c r="Z17139" s="61">
        <f>_xll.qlYieldTSDiscount($U$35,Y17139,,Trigger)</f>
        <v>0.39768419531357396</v>
      </c>
    </row>
    <row r="17140" spans="25:26" x14ac:dyDescent="0.25">
      <c r="Y17140" s="63">
        <v>59673</v>
      </c>
      <c r="Z17140" s="61">
        <f>_xll.qlYieldTSDiscount($U$35,Y17140,,Trigger)</f>
        <v>0.39766056600161481</v>
      </c>
    </row>
    <row r="17141" spans="25:26" x14ac:dyDescent="0.25">
      <c r="Y17141" s="63">
        <v>59674</v>
      </c>
      <c r="Z17141" s="61">
        <f>_xll.qlYieldTSDiscount($U$35,Y17141,,Trigger)</f>
        <v>0.39763693844854653</v>
      </c>
    </row>
    <row r="17142" spans="25:26" x14ac:dyDescent="0.25">
      <c r="Y17142" s="63">
        <v>59675</v>
      </c>
      <c r="Z17142" s="61">
        <f>_xll.qlYieldTSDiscount($U$35,Y17142,,Trigger)</f>
        <v>0.39761331265400324</v>
      </c>
    </row>
    <row r="17143" spans="25:26" x14ac:dyDescent="0.25">
      <c r="Y17143" s="63">
        <v>59676</v>
      </c>
      <c r="Z17143" s="61">
        <f>_xll.qlYieldTSDiscount($U$35,Y17143,,Trigger)</f>
        <v>0.39758968861761879</v>
      </c>
    </row>
    <row r="17144" spans="25:26" x14ac:dyDescent="0.25">
      <c r="Y17144" s="63">
        <v>59677</v>
      </c>
      <c r="Z17144" s="61">
        <f>_xll.qlYieldTSDiscount($U$35,Y17144,,Trigger)</f>
        <v>0.39756606633902747</v>
      </c>
    </row>
    <row r="17145" spans="25:26" x14ac:dyDescent="0.25">
      <c r="Y17145" s="63">
        <v>59678</v>
      </c>
      <c r="Z17145" s="61">
        <f>_xll.qlYieldTSDiscount($U$35,Y17145,,Trigger)</f>
        <v>0.39754244581786313</v>
      </c>
    </row>
    <row r="17146" spans="25:26" x14ac:dyDescent="0.25">
      <c r="Y17146" s="63">
        <v>59679</v>
      </c>
      <c r="Z17146" s="61">
        <f>_xll.qlYieldTSDiscount($U$35,Y17146,,Trigger)</f>
        <v>0.39751882705375974</v>
      </c>
    </row>
    <row r="17147" spans="25:26" x14ac:dyDescent="0.25">
      <c r="Y17147" s="63">
        <v>59680</v>
      </c>
      <c r="Z17147" s="61">
        <f>_xll.qlYieldTSDiscount($U$35,Y17147,,Trigger)</f>
        <v>0.39749521004635147</v>
      </c>
    </row>
    <row r="17148" spans="25:26" x14ac:dyDescent="0.25">
      <c r="Y17148" s="63">
        <v>59681</v>
      </c>
      <c r="Z17148" s="61">
        <f>_xll.qlYieldTSDiscount($U$35,Y17148,,Trigger)</f>
        <v>0.39747159479527228</v>
      </c>
    </row>
    <row r="17149" spans="25:26" x14ac:dyDescent="0.25">
      <c r="Y17149" s="63">
        <v>59682</v>
      </c>
      <c r="Z17149" s="61">
        <f>_xll.qlYieldTSDiscount($U$35,Y17149,,Trigger)</f>
        <v>0.39744798130015613</v>
      </c>
    </row>
    <row r="17150" spans="25:26" x14ac:dyDescent="0.25">
      <c r="Y17150" s="63">
        <v>59683</v>
      </c>
      <c r="Z17150" s="61">
        <f>_xll.qlYieldTSDiscount($U$35,Y17150,,Trigger)</f>
        <v>0.39742436956063709</v>
      </c>
    </row>
    <row r="17151" spans="25:26" x14ac:dyDescent="0.25">
      <c r="Y17151" s="63">
        <v>59684</v>
      </c>
      <c r="Z17151" s="61">
        <f>_xll.qlYieldTSDiscount($U$35,Y17151,,Trigger)</f>
        <v>0.39740075957634924</v>
      </c>
    </row>
    <row r="17152" spans="25:26" x14ac:dyDescent="0.25">
      <c r="Y17152" s="63">
        <v>59685</v>
      </c>
      <c r="Z17152" s="61">
        <f>_xll.qlYieldTSDiscount($U$35,Y17152,,Trigger)</f>
        <v>0.39737715134692653</v>
      </c>
    </row>
    <row r="17153" spans="25:26" x14ac:dyDescent="0.25">
      <c r="Y17153" s="63">
        <v>59686</v>
      </c>
      <c r="Z17153" s="61">
        <f>_xll.qlYieldTSDiscount($U$35,Y17153,,Trigger)</f>
        <v>0.39735354487200292</v>
      </c>
    </row>
    <row r="17154" spans="25:26" x14ac:dyDescent="0.25">
      <c r="Y17154" s="63">
        <v>59687</v>
      </c>
      <c r="Z17154" s="61">
        <f>_xll.qlYieldTSDiscount($U$35,Y17154,,Trigger)</f>
        <v>0.3973299401512127</v>
      </c>
    </row>
    <row r="17155" spans="25:26" x14ac:dyDescent="0.25">
      <c r="Y17155" s="63">
        <v>59688</v>
      </c>
      <c r="Z17155" s="61">
        <f>_xll.qlYieldTSDiscount($U$35,Y17155,,Trigger)</f>
        <v>0.39730633718418951</v>
      </c>
    </row>
    <row r="17156" spans="25:26" x14ac:dyDescent="0.25">
      <c r="Y17156" s="63">
        <v>59689</v>
      </c>
      <c r="Z17156" s="61">
        <f>_xll.qlYieldTSDiscount($U$35,Y17156,,Trigger)</f>
        <v>0.39728273597056768</v>
      </c>
    </row>
    <row r="17157" spans="25:26" x14ac:dyDescent="0.25">
      <c r="Y17157" s="63">
        <v>59690</v>
      </c>
      <c r="Z17157" s="61">
        <f>_xll.qlYieldTSDiscount($U$35,Y17157,,Trigger)</f>
        <v>0.39725913650998113</v>
      </c>
    </row>
    <row r="17158" spans="25:26" x14ac:dyDescent="0.25">
      <c r="Y17158" s="63">
        <v>59691</v>
      </c>
      <c r="Z17158" s="61">
        <f>_xll.qlYieldTSDiscount($U$35,Y17158,,Trigger)</f>
        <v>0.3972355388020638</v>
      </c>
    </row>
    <row r="17159" spans="25:26" x14ac:dyDescent="0.25">
      <c r="Y17159" s="63">
        <v>59692</v>
      </c>
      <c r="Z17159" s="61">
        <f>_xll.qlYieldTSDiscount($U$35,Y17159,,Trigger)</f>
        <v>0.39721194284644978</v>
      </c>
    </row>
    <row r="17160" spans="25:26" x14ac:dyDescent="0.25">
      <c r="Y17160" s="63">
        <v>59693</v>
      </c>
      <c r="Z17160" s="61">
        <f>_xll.qlYieldTSDiscount($U$35,Y17160,,Trigger)</f>
        <v>0.39718834864277319</v>
      </c>
    </row>
    <row r="17161" spans="25:26" x14ac:dyDescent="0.25">
      <c r="Y17161" s="63">
        <v>59694</v>
      </c>
      <c r="Z17161" s="61">
        <f>_xll.qlYieldTSDiscount($U$35,Y17161,,Trigger)</f>
        <v>0.39716475619066788</v>
      </c>
    </row>
    <row r="17162" spans="25:26" x14ac:dyDescent="0.25">
      <c r="Y17162" s="63">
        <v>59695</v>
      </c>
      <c r="Z17162" s="61">
        <f>_xll.qlYieldTSDiscount($U$35,Y17162,,Trigger)</f>
        <v>0.39714116548976797</v>
      </c>
    </row>
    <row r="17163" spans="25:26" x14ac:dyDescent="0.25">
      <c r="Y17163" s="63">
        <v>59696</v>
      </c>
      <c r="Z17163" s="61">
        <f>_xll.qlYieldTSDiscount($U$35,Y17163,,Trigger)</f>
        <v>0.39711757653970747</v>
      </c>
    </row>
    <row r="17164" spans="25:26" x14ac:dyDescent="0.25">
      <c r="Y17164" s="63">
        <v>59697</v>
      </c>
      <c r="Z17164" s="61">
        <f>_xll.qlYieldTSDiscount($U$35,Y17164,,Trigger)</f>
        <v>0.39709398934012036</v>
      </c>
    </row>
    <row r="17165" spans="25:26" x14ac:dyDescent="0.25">
      <c r="Y17165" s="63">
        <v>59698</v>
      </c>
      <c r="Z17165" s="61">
        <f>_xll.qlYieldTSDiscount($U$35,Y17165,,Trigger)</f>
        <v>0.39707040389064069</v>
      </c>
    </row>
    <row r="17166" spans="25:26" x14ac:dyDescent="0.25">
      <c r="Y17166" s="63">
        <v>59699</v>
      </c>
      <c r="Z17166" s="61">
        <f>_xll.qlYieldTSDiscount($U$35,Y17166,,Trigger)</f>
        <v>0.39704682019090254</v>
      </c>
    </row>
    <row r="17167" spans="25:26" x14ac:dyDescent="0.25">
      <c r="Y17167" s="63">
        <v>59700</v>
      </c>
      <c r="Z17167" s="61">
        <f>_xll.qlYieldTSDiscount($U$35,Y17167,,Trigger)</f>
        <v>0.39702323824053987</v>
      </c>
    </row>
    <row r="17168" spans="25:26" x14ac:dyDescent="0.25">
      <c r="Y17168" s="63">
        <v>59701</v>
      </c>
      <c r="Z17168" s="61">
        <f>_xll.qlYieldTSDiscount($U$35,Y17168,,Trigger)</f>
        <v>0.39699965803918663</v>
      </c>
    </row>
    <row r="17169" spans="25:26" x14ac:dyDescent="0.25">
      <c r="Y17169" s="63">
        <v>59702</v>
      </c>
      <c r="Z17169" s="61">
        <f>_xll.qlYieldTSDiscount($U$35,Y17169,,Trigger)</f>
        <v>0.39697607958647696</v>
      </c>
    </row>
    <row r="17170" spans="25:26" x14ac:dyDescent="0.25">
      <c r="Y17170" s="63">
        <v>59703</v>
      </c>
      <c r="Z17170" s="61">
        <f>_xll.qlYieldTSDiscount($U$35,Y17170,,Trigger)</f>
        <v>0.39695250288204487</v>
      </c>
    </row>
    <row r="17171" spans="25:26" x14ac:dyDescent="0.25">
      <c r="Y17171" s="63">
        <v>59704</v>
      </c>
      <c r="Z17171" s="61">
        <f>_xll.qlYieldTSDiscount($U$35,Y17171,,Trigger)</f>
        <v>0.39692892792552437</v>
      </c>
    </row>
    <row r="17172" spans="25:26" x14ac:dyDescent="0.25">
      <c r="Y17172" s="63">
        <v>59705</v>
      </c>
      <c r="Z17172" s="61">
        <f>_xll.qlYieldTSDiscount($U$35,Y17172,,Trigger)</f>
        <v>0.39690535471654942</v>
      </c>
    </row>
    <row r="17173" spans="25:26" x14ac:dyDescent="0.25">
      <c r="Y17173" s="63">
        <v>59706</v>
      </c>
      <c r="Z17173" s="61">
        <f>_xll.qlYieldTSDiscount($U$35,Y17173,,Trigger)</f>
        <v>0.39688178325475409</v>
      </c>
    </row>
    <row r="17174" spans="25:26" x14ac:dyDescent="0.25">
      <c r="Y17174" s="63">
        <v>59707</v>
      </c>
      <c r="Z17174" s="61">
        <f>_xll.qlYieldTSDiscount($U$35,Y17174,,Trigger)</f>
        <v>0.39685821353977241</v>
      </c>
    </row>
    <row r="17175" spans="25:26" x14ac:dyDescent="0.25">
      <c r="Y17175" s="63">
        <v>59708</v>
      </c>
      <c r="Z17175" s="61">
        <f>_xll.qlYieldTSDiscount($U$35,Y17175,,Trigger)</f>
        <v>0.39683464557123838</v>
      </c>
    </row>
    <row r="17176" spans="25:26" x14ac:dyDescent="0.25">
      <c r="Y17176" s="63">
        <v>59709</v>
      </c>
      <c r="Z17176" s="61">
        <f>_xll.qlYieldTSDiscount($U$35,Y17176,,Trigger)</f>
        <v>0.39681107934878612</v>
      </c>
    </row>
    <row r="17177" spans="25:26" x14ac:dyDescent="0.25">
      <c r="Y17177" s="63">
        <v>59710</v>
      </c>
      <c r="Z17177" s="61">
        <f>_xll.qlYieldTSDiscount($U$35,Y17177,,Trigger)</f>
        <v>0.39678751487204944</v>
      </c>
    </row>
    <row r="17178" spans="25:26" x14ac:dyDescent="0.25">
      <c r="Y17178" s="63">
        <v>59711</v>
      </c>
      <c r="Z17178" s="61">
        <f>_xll.qlYieldTSDiscount($U$35,Y17178,,Trigger)</f>
        <v>0.39676395214066251</v>
      </c>
    </row>
    <row r="17179" spans="25:26" x14ac:dyDescent="0.25">
      <c r="Y17179" s="63">
        <v>59712</v>
      </c>
      <c r="Z17179" s="61">
        <f>_xll.qlYieldTSDiscount($U$35,Y17179,,Trigger)</f>
        <v>0.39674039115425941</v>
      </c>
    </row>
    <row r="17180" spans="25:26" x14ac:dyDescent="0.25">
      <c r="Y17180" s="63">
        <v>59713</v>
      </c>
      <c r="Z17180" s="61">
        <f>_xll.qlYieldTSDiscount($U$35,Y17180,,Trigger)</f>
        <v>0.39671683191247409</v>
      </c>
    </row>
    <row r="17181" spans="25:26" x14ac:dyDescent="0.25">
      <c r="Y17181" s="63">
        <v>59714</v>
      </c>
      <c r="Z17181" s="61">
        <f>_xll.qlYieldTSDiscount($U$35,Y17181,,Trigger)</f>
        <v>0.39669327441494046</v>
      </c>
    </row>
    <row r="17182" spans="25:26" x14ac:dyDescent="0.25">
      <c r="Y17182" s="63">
        <v>59715</v>
      </c>
      <c r="Z17182" s="61">
        <f>_xll.qlYieldTSDiscount($U$35,Y17182,,Trigger)</f>
        <v>0.39666971866129269</v>
      </c>
    </row>
    <row r="17183" spans="25:26" x14ac:dyDescent="0.25">
      <c r="Y17183" s="63">
        <v>59716</v>
      </c>
      <c r="Z17183" s="61">
        <f>_xll.qlYieldTSDiscount($U$35,Y17183,,Trigger)</f>
        <v>0.39664616465116481</v>
      </c>
    </row>
    <row r="17184" spans="25:26" x14ac:dyDescent="0.25">
      <c r="Y17184" s="63">
        <v>59717</v>
      </c>
      <c r="Z17184" s="61">
        <f>_xll.qlYieldTSDiscount($U$35,Y17184,,Trigger)</f>
        <v>0.39662261238419072</v>
      </c>
    </row>
    <row r="17185" spans="25:26" x14ac:dyDescent="0.25">
      <c r="Y17185" s="63">
        <v>59718</v>
      </c>
      <c r="Z17185" s="61">
        <f>_xll.qlYieldTSDiscount($U$35,Y17185,,Trigger)</f>
        <v>0.39659906186000449</v>
      </c>
    </row>
    <row r="17186" spans="25:26" x14ac:dyDescent="0.25">
      <c r="Y17186" s="63">
        <v>59719</v>
      </c>
      <c r="Z17186" s="61">
        <f>_xll.qlYieldTSDiscount($U$35,Y17186,,Trigger)</f>
        <v>0.39657551307824024</v>
      </c>
    </row>
    <row r="17187" spans="25:26" x14ac:dyDescent="0.25">
      <c r="Y17187" s="63">
        <v>59720</v>
      </c>
      <c r="Z17187" s="61">
        <f>_xll.qlYieldTSDiscount($U$35,Y17187,,Trigger)</f>
        <v>0.39655196603853193</v>
      </c>
    </row>
    <row r="17188" spans="25:26" x14ac:dyDescent="0.25">
      <c r="Y17188" s="63">
        <v>59721</v>
      </c>
      <c r="Z17188" s="61">
        <f>_xll.qlYieldTSDiscount($U$35,Y17188,,Trigger)</f>
        <v>0.39652842074051342</v>
      </c>
    </row>
    <row r="17189" spans="25:26" x14ac:dyDescent="0.25">
      <c r="Y17189" s="63">
        <v>59722</v>
      </c>
      <c r="Z17189" s="61">
        <f>_xll.qlYieldTSDiscount($U$35,Y17189,,Trigger)</f>
        <v>0.39650487718381905</v>
      </c>
    </row>
    <row r="17190" spans="25:26" x14ac:dyDescent="0.25">
      <c r="Y17190" s="63">
        <v>59723</v>
      </c>
      <c r="Z17190" s="61">
        <f>_xll.qlYieldTSDiscount($U$35,Y17190,,Trigger)</f>
        <v>0.39648133536808255</v>
      </c>
    </row>
    <row r="17191" spans="25:26" x14ac:dyDescent="0.25">
      <c r="Y17191" s="63">
        <v>59724</v>
      </c>
      <c r="Z17191" s="61">
        <f>_xll.qlYieldTSDiscount($U$35,Y17191,,Trigger)</f>
        <v>0.39645779529293812</v>
      </c>
    </row>
    <row r="17192" spans="25:26" x14ac:dyDescent="0.25">
      <c r="Y17192" s="63">
        <v>59725</v>
      </c>
      <c r="Z17192" s="61">
        <f>_xll.qlYieldTSDiscount($U$35,Y17192,,Trigger)</f>
        <v>0.39643425695801976</v>
      </c>
    </row>
    <row r="17193" spans="25:26" x14ac:dyDescent="0.25">
      <c r="Y17193" s="63">
        <v>59726</v>
      </c>
      <c r="Z17193" s="61">
        <f>_xll.qlYieldTSDiscount($U$35,Y17193,,Trigger)</f>
        <v>0.39641072036296143</v>
      </c>
    </row>
    <row r="17194" spans="25:26" x14ac:dyDescent="0.25">
      <c r="Y17194" s="63">
        <v>59727</v>
      </c>
      <c r="Z17194" s="61">
        <f>_xll.qlYieldTSDiscount($U$35,Y17194,,Trigger)</f>
        <v>0.3963871855073971</v>
      </c>
    </row>
    <row r="17195" spans="25:26" x14ac:dyDescent="0.25">
      <c r="Y17195" s="63">
        <v>59728</v>
      </c>
      <c r="Z17195" s="61">
        <f>_xll.qlYieldTSDiscount($U$35,Y17195,,Trigger)</f>
        <v>0.39636365239096094</v>
      </c>
    </row>
    <row r="17196" spans="25:26" x14ac:dyDescent="0.25">
      <c r="Y17196" s="63">
        <v>59729</v>
      </c>
      <c r="Z17196" s="61">
        <f>_xll.qlYieldTSDiscount($U$35,Y17196,,Trigger)</f>
        <v>0.39634012101328686</v>
      </c>
    </row>
    <row r="17197" spans="25:26" x14ac:dyDescent="0.25">
      <c r="Y17197" s="63">
        <v>59730</v>
      </c>
      <c r="Z17197" s="61">
        <f>_xll.qlYieldTSDiscount($U$35,Y17197,,Trigger)</f>
        <v>0.39631659137400899</v>
      </c>
    </row>
    <row r="17198" spans="25:26" x14ac:dyDescent="0.25">
      <c r="Y17198" s="63">
        <v>59731</v>
      </c>
      <c r="Z17198" s="61">
        <f>_xll.qlYieldTSDiscount($U$35,Y17198,,Trigger)</f>
        <v>0.39629306347276122</v>
      </c>
    </row>
    <row r="17199" spans="25:26" x14ac:dyDescent="0.25">
      <c r="Y17199" s="63">
        <v>59732</v>
      </c>
      <c r="Z17199" s="61">
        <f>_xll.qlYieldTSDiscount($U$35,Y17199,,Trigger)</f>
        <v>0.39626953730917769</v>
      </c>
    </row>
    <row r="17200" spans="25:26" x14ac:dyDescent="0.25">
      <c r="Y17200" s="63">
        <v>59733</v>
      </c>
      <c r="Z17200" s="61">
        <f>_xll.qlYieldTSDiscount($U$35,Y17200,,Trigger)</f>
        <v>0.3962460128828923</v>
      </c>
    </row>
    <row r="17201" spans="25:26" x14ac:dyDescent="0.25">
      <c r="Y17201" s="63">
        <v>59734</v>
      </c>
      <c r="Z17201" s="61">
        <f>_xll.qlYieldTSDiscount($U$35,Y17201,,Trigger)</f>
        <v>0.39622249019353917</v>
      </c>
    </row>
    <row r="17202" spans="25:26" x14ac:dyDescent="0.25">
      <c r="Y17202" s="63">
        <v>59735</v>
      </c>
      <c r="Z17202" s="61">
        <f>_xll.qlYieldTSDiscount($U$35,Y17202,,Trigger)</f>
        <v>0.39619896924075237</v>
      </c>
    </row>
    <row r="17203" spans="25:26" x14ac:dyDescent="0.25">
      <c r="Y17203" s="63">
        <v>59736</v>
      </c>
      <c r="Z17203" s="61">
        <f>_xll.qlYieldTSDiscount($U$35,Y17203,,Trigger)</f>
        <v>0.39617545002416577</v>
      </c>
    </row>
    <row r="17204" spans="25:26" x14ac:dyDescent="0.25">
      <c r="Y17204" s="63">
        <v>59737</v>
      </c>
      <c r="Z17204" s="61">
        <f>_xll.qlYieldTSDiscount($U$35,Y17204,,Trigger)</f>
        <v>0.39615193254341341</v>
      </c>
    </row>
    <row r="17205" spans="25:26" x14ac:dyDescent="0.25">
      <c r="Y17205" s="63">
        <v>59738</v>
      </c>
      <c r="Z17205" s="61">
        <f>_xll.qlYieldTSDiscount($U$35,Y17205,,Trigger)</f>
        <v>0.39612841679812949</v>
      </c>
    </row>
    <row r="17206" spans="25:26" x14ac:dyDescent="0.25">
      <c r="Y17206" s="63">
        <v>59739</v>
      </c>
      <c r="Z17206" s="61">
        <f>_xll.qlYieldTSDiscount($U$35,Y17206,,Trigger)</f>
        <v>0.39610490278794785</v>
      </c>
    </row>
    <row r="17207" spans="25:26" x14ac:dyDescent="0.25">
      <c r="Y17207" s="63">
        <v>59740</v>
      </c>
      <c r="Z17207" s="61">
        <f>_xll.qlYieldTSDiscount($U$35,Y17207,,Trigger)</f>
        <v>0.39608139051250257</v>
      </c>
    </row>
    <row r="17208" spans="25:26" x14ac:dyDescent="0.25">
      <c r="Y17208" s="63">
        <v>59741</v>
      </c>
      <c r="Z17208" s="61">
        <f>_xll.qlYieldTSDiscount($U$35,Y17208,,Trigger)</f>
        <v>0.39605787997142772</v>
      </c>
    </row>
    <row r="17209" spans="25:26" x14ac:dyDescent="0.25">
      <c r="Y17209" s="63">
        <v>59742</v>
      </c>
      <c r="Z17209" s="61">
        <f>_xll.qlYieldTSDiscount($U$35,Y17209,,Trigger)</f>
        <v>0.39603437116435725</v>
      </c>
    </row>
    <row r="17210" spans="25:26" x14ac:dyDescent="0.25">
      <c r="Y17210" s="63">
        <v>59743</v>
      </c>
      <c r="Z17210" s="61">
        <f>_xll.qlYieldTSDiscount($U$35,Y17210,,Trigger)</f>
        <v>0.39601086409092512</v>
      </c>
    </row>
    <row r="17211" spans="25:26" x14ac:dyDescent="0.25">
      <c r="Y17211" s="63">
        <v>59744</v>
      </c>
      <c r="Z17211" s="61">
        <f>_xll.qlYieldTSDiscount($U$35,Y17211,,Trigger)</f>
        <v>0.39598735875076563</v>
      </c>
    </row>
    <row r="17212" spans="25:26" x14ac:dyDescent="0.25">
      <c r="Y17212" s="63">
        <v>59745</v>
      </c>
      <c r="Z17212" s="61">
        <f>_xll.qlYieldTSDiscount($U$35,Y17212,,Trigger)</f>
        <v>0.3959638551435124</v>
      </c>
    </row>
    <row r="17213" spans="25:26" x14ac:dyDescent="0.25">
      <c r="Y17213" s="63">
        <v>59746</v>
      </c>
      <c r="Z17213" s="61">
        <f>_xll.qlYieldTSDiscount($U$35,Y17213,,Trigger)</f>
        <v>0.39594035326879973</v>
      </c>
    </row>
    <row r="17214" spans="25:26" x14ac:dyDescent="0.25">
      <c r="Y17214" s="63">
        <v>59747</v>
      </c>
      <c r="Z17214" s="61">
        <f>_xll.qlYieldTSDiscount($U$35,Y17214,,Trigger)</f>
        <v>0.39591685312626157</v>
      </c>
    </row>
    <row r="17215" spans="25:26" x14ac:dyDescent="0.25">
      <c r="Y17215" s="63">
        <v>59748</v>
      </c>
      <c r="Z17215" s="61">
        <f>_xll.qlYieldTSDiscount($U$35,Y17215,,Trigger)</f>
        <v>0.39589335471553211</v>
      </c>
    </row>
    <row r="17216" spans="25:26" x14ac:dyDescent="0.25">
      <c r="Y17216" s="63">
        <v>59749</v>
      </c>
      <c r="Z17216" s="61">
        <f>_xll.qlYieldTSDiscount($U$35,Y17216,,Trigger)</f>
        <v>0.39586985803624497</v>
      </c>
    </row>
    <row r="17217" spans="25:26" x14ac:dyDescent="0.25">
      <c r="Y17217" s="63">
        <v>59750</v>
      </c>
      <c r="Z17217" s="61">
        <f>_xll.qlYieldTSDiscount($U$35,Y17217,,Trigger)</f>
        <v>0.39584636308803456</v>
      </c>
    </row>
    <row r="17218" spans="25:26" x14ac:dyDescent="0.25">
      <c r="Y17218" s="63">
        <v>59751</v>
      </c>
      <c r="Z17218" s="61">
        <f>_xll.qlYieldTSDiscount($U$35,Y17218,,Trigger)</f>
        <v>0.39582286987053472</v>
      </c>
    </row>
    <row r="17219" spans="25:26" x14ac:dyDescent="0.25">
      <c r="Y17219" s="63">
        <v>59752</v>
      </c>
      <c r="Z17219" s="61">
        <f>_xll.qlYieldTSDiscount($U$35,Y17219,,Trigger)</f>
        <v>0.39579937838337953</v>
      </c>
    </row>
    <row r="17220" spans="25:26" x14ac:dyDescent="0.25">
      <c r="Y17220" s="63">
        <v>59753</v>
      </c>
      <c r="Z17220" s="61">
        <f>_xll.qlYieldTSDiscount($U$35,Y17220,,Trigger)</f>
        <v>0.39577588862620294</v>
      </c>
    </row>
    <row r="17221" spans="25:26" x14ac:dyDescent="0.25">
      <c r="Y17221" s="63">
        <v>59754</v>
      </c>
      <c r="Z17221" s="61">
        <f>_xll.qlYieldTSDiscount($U$35,Y17221,,Trigger)</f>
        <v>0.39575240059863903</v>
      </c>
    </row>
    <row r="17222" spans="25:26" x14ac:dyDescent="0.25">
      <c r="Y17222" s="63">
        <v>59755</v>
      </c>
      <c r="Z17222" s="61">
        <f>_xll.qlYieldTSDiscount($U$35,Y17222,,Trigger)</f>
        <v>0.39572891430032175</v>
      </c>
    </row>
    <row r="17223" spans="25:26" x14ac:dyDescent="0.25">
      <c r="Y17223" s="63">
        <v>59756</v>
      </c>
      <c r="Z17223" s="61">
        <f>_xll.qlYieldTSDiscount($U$35,Y17223,,Trigger)</f>
        <v>0.39570542973088529</v>
      </c>
    </row>
    <row r="17224" spans="25:26" x14ac:dyDescent="0.25">
      <c r="Y17224" s="63">
        <v>59757</v>
      </c>
      <c r="Z17224" s="61">
        <f>_xll.qlYieldTSDiscount($U$35,Y17224,,Trigger)</f>
        <v>0.3956819468899635</v>
      </c>
    </row>
    <row r="17225" spans="25:26" x14ac:dyDescent="0.25">
      <c r="Y17225" s="63">
        <v>59758</v>
      </c>
      <c r="Z17225" s="61">
        <f>_xll.qlYieldTSDiscount($U$35,Y17225,,Trigger)</f>
        <v>0.39565846577719049</v>
      </c>
    </row>
    <row r="17226" spans="25:26" x14ac:dyDescent="0.25">
      <c r="Y17226" s="63">
        <v>59759</v>
      </c>
      <c r="Z17226" s="61">
        <f>_xll.qlYieldTSDiscount($U$35,Y17226,,Trigger)</f>
        <v>0.39563498639220024</v>
      </c>
    </row>
    <row r="17227" spans="25:26" x14ac:dyDescent="0.25">
      <c r="Y17227" s="63">
        <v>59760</v>
      </c>
      <c r="Z17227" s="61">
        <f>_xll.qlYieldTSDiscount($U$35,Y17227,,Trigger)</f>
        <v>0.3956115087346268</v>
      </c>
    </row>
    <row r="17228" spans="25:26" x14ac:dyDescent="0.25">
      <c r="Y17228" s="63">
        <v>59761</v>
      </c>
      <c r="Z17228" s="61">
        <f>_xll.qlYieldTSDiscount($U$35,Y17228,,Trigger)</f>
        <v>0.39558803280410415</v>
      </c>
    </row>
    <row r="17229" spans="25:26" x14ac:dyDescent="0.25">
      <c r="Y17229" s="63">
        <v>59762</v>
      </c>
      <c r="Z17229" s="61">
        <f>_xll.qlYieldTSDiscount($U$35,Y17229,,Trigger)</f>
        <v>0.3955645586002664</v>
      </c>
    </row>
    <row r="17230" spans="25:26" x14ac:dyDescent="0.25">
      <c r="Y17230" s="63">
        <v>59763</v>
      </c>
      <c r="Z17230" s="61">
        <f>_xll.qlYieldTSDiscount($U$35,Y17230,,Trigger)</f>
        <v>0.39554108612274752</v>
      </c>
    </row>
    <row r="17231" spans="25:26" x14ac:dyDescent="0.25">
      <c r="Y17231" s="63">
        <v>59764</v>
      </c>
      <c r="Z17231" s="61">
        <f>_xll.qlYieldTSDiscount($U$35,Y17231,,Trigger)</f>
        <v>0.39551761537118146</v>
      </c>
    </row>
    <row r="17232" spans="25:26" x14ac:dyDescent="0.25">
      <c r="Y17232" s="63">
        <v>59765</v>
      </c>
      <c r="Z17232" s="61">
        <f>_xll.qlYieldTSDiscount($U$35,Y17232,,Trigger)</f>
        <v>0.39549414634520241</v>
      </c>
    </row>
    <row r="17233" spans="25:26" x14ac:dyDescent="0.25">
      <c r="Y17233" s="63">
        <v>59766</v>
      </c>
      <c r="Z17233" s="61">
        <f>_xll.qlYieldTSDiscount($U$35,Y17233,,Trigger)</f>
        <v>0.39547067904444411</v>
      </c>
    </row>
    <row r="17234" spans="25:26" x14ac:dyDescent="0.25">
      <c r="Y17234" s="63">
        <v>59767</v>
      </c>
      <c r="Z17234" s="61">
        <f>_xll.qlYieldTSDiscount($U$35,Y17234,,Trigger)</f>
        <v>0.39544721346854095</v>
      </c>
    </row>
    <row r="17235" spans="25:26" x14ac:dyDescent="0.25">
      <c r="Y17235" s="63">
        <v>59768</v>
      </c>
      <c r="Z17235" s="61">
        <f>_xll.qlYieldTSDiscount($U$35,Y17235,,Trigger)</f>
        <v>0.39542374961712667</v>
      </c>
    </row>
    <row r="17236" spans="25:26" x14ac:dyDescent="0.25">
      <c r="Y17236" s="63">
        <v>59769</v>
      </c>
      <c r="Z17236" s="61">
        <f>_xll.qlYieldTSDiscount($U$35,Y17236,,Trigger)</f>
        <v>0.39540028748983536</v>
      </c>
    </row>
    <row r="17237" spans="25:26" x14ac:dyDescent="0.25">
      <c r="Y17237" s="63">
        <v>59770</v>
      </c>
      <c r="Z17237" s="61">
        <f>_xll.qlYieldTSDiscount($U$35,Y17237,,Trigger)</f>
        <v>0.39537682708630117</v>
      </c>
    </row>
    <row r="17238" spans="25:26" x14ac:dyDescent="0.25">
      <c r="Y17238" s="63">
        <v>59771</v>
      </c>
      <c r="Z17238" s="61">
        <f>_xll.qlYieldTSDiscount($U$35,Y17238,,Trigger)</f>
        <v>0.39535336840615798</v>
      </c>
    </row>
    <row r="17239" spans="25:26" x14ac:dyDescent="0.25">
      <c r="Y17239" s="63">
        <v>59772</v>
      </c>
      <c r="Z17239" s="61">
        <f>_xll.qlYieldTSDiscount($U$35,Y17239,,Trigger)</f>
        <v>0.39532991144903984</v>
      </c>
    </row>
    <row r="17240" spans="25:26" x14ac:dyDescent="0.25">
      <c r="Y17240" s="63">
        <v>59773</v>
      </c>
      <c r="Z17240" s="61">
        <f>_xll.qlYieldTSDiscount($U$35,Y17240,,Trigger)</f>
        <v>0.39530645621458083</v>
      </c>
    </row>
    <row r="17241" spans="25:26" x14ac:dyDescent="0.25">
      <c r="Y17241" s="63">
        <v>59774</v>
      </c>
      <c r="Z17241" s="61">
        <f>_xll.qlYieldTSDiscount($U$35,Y17241,,Trigger)</f>
        <v>0.39528300270241479</v>
      </c>
    </row>
    <row r="17242" spans="25:26" x14ac:dyDescent="0.25">
      <c r="Y17242" s="63">
        <v>59775</v>
      </c>
      <c r="Z17242" s="61">
        <f>_xll.qlYieldTSDiscount($U$35,Y17242,,Trigger)</f>
        <v>0.39525955091217596</v>
      </c>
    </row>
    <row r="17243" spans="25:26" x14ac:dyDescent="0.25">
      <c r="Y17243" s="63">
        <v>59776</v>
      </c>
      <c r="Z17243" s="61">
        <f>_xll.qlYieldTSDiscount($U$35,Y17243,,Trigger)</f>
        <v>0.39523610084349825</v>
      </c>
    </row>
    <row r="17244" spans="25:26" x14ac:dyDescent="0.25">
      <c r="Y17244" s="63">
        <v>59777</v>
      </c>
      <c r="Z17244" s="61">
        <f>_xll.qlYieldTSDiscount($U$35,Y17244,,Trigger)</f>
        <v>0.39521265249601578</v>
      </c>
    </row>
    <row r="17245" spans="25:26" x14ac:dyDescent="0.25">
      <c r="Y17245" s="63">
        <v>59778</v>
      </c>
      <c r="Z17245" s="61">
        <f>_xll.qlYieldTSDiscount($U$35,Y17245,,Trigger)</f>
        <v>0.39518920586936246</v>
      </c>
    </row>
    <row r="17246" spans="25:26" x14ac:dyDescent="0.25">
      <c r="Y17246" s="63">
        <v>59779</v>
      </c>
      <c r="Z17246" s="61">
        <f>_xll.qlYieldTSDiscount($U$35,Y17246,,Trigger)</f>
        <v>0.39516576096317235</v>
      </c>
    </row>
    <row r="17247" spans="25:26" x14ac:dyDescent="0.25">
      <c r="Y17247" s="63">
        <v>59780</v>
      </c>
      <c r="Z17247" s="61">
        <f>_xll.qlYieldTSDiscount($U$35,Y17247,,Trigger)</f>
        <v>0.39514231777707953</v>
      </c>
    </row>
    <row r="17248" spans="25:26" x14ac:dyDescent="0.25">
      <c r="Y17248" s="63">
        <v>59781</v>
      </c>
      <c r="Z17248" s="61">
        <f>_xll.qlYieldTSDiscount($U$35,Y17248,,Trigger)</f>
        <v>0.39511887631071785</v>
      </c>
    </row>
    <row r="17249" spans="25:26" x14ac:dyDescent="0.25">
      <c r="Y17249" s="63">
        <v>59782</v>
      </c>
      <c r="Z17249" s="61">
        <f>_xll.qlYieldTSDiscount($U$35,Y17249,,Trigger)</f>
        <v>0.39509543656372154</v>
      </c>
    </row>
    <row r="17250" spans="25:26" x14ac:dyDescent="0.25">
      <c r="Y17250" s="63">
        <v>59783</v>
      </c>
      <c r="Z17250" s="61">
        <f>_xll.qlYieldTSDiscount($U$35,Y17250,,Trigger)</f>
        <v>0.39507199853572461</v>
      </c>
    </row>
    <row r="17251" spans="25:26" x14ac:dyDescent="0.25">
      <c r="Y17251" s="63">
        <v>59784</v>
      </c>
      <c r="Z17251" s="61">
        <f>_xll.qlYieldTSDiscount($U$35,Y17251,,Trigger)</f>
        <v>0.39504856222636087</v>
      </c>
    </row>
    <row r="17252" spans="25:26" x14ac:dyDescent="0.25">
      <c r="Y17252" s="63">
        <v>59785</v>
      </c>
      <c r="Z17252" s="61">
        <f>_xll.qlYieldTSDiscount($U$35,Y17252,,Trigger)</f>
        <v>0.39502512763526448</v>
      </c>
    </row>
    <row r="17253" spans="25:26" x14ac:dyDescent="0.25">
      <c r="Y17253" s="63">
        <v>59786</v>
      </c>
      <c r="Z17253" s="61">
        <f>_xll.qlYieldTSDiscount($U$35,Y17253,,Trigger)</f>
        <v>0.39500169476206953</v>
      </c>
    </row>
    <row r="17254" spans="25:26" x14ac:dyDescent="0.25">
      <c r="Y17254" s="63">
        <v>59787</v>
      </c>
      <c r="Z17254" s="61">
        <f>_xll.qlYieldTSDiscount($U$35,Y17254,,Trigger)</f>
        <v>0.39497826360640986</v>
      </c>
    </row>
    <row r="17255" spans="25:26" x14ac:dyDescent="0.25">
      <c r="Y17255" s="63">
        <v>59788</v>
      </c>
      <c r="Z17255" s="61">
        <f>_xll.qlYieldTSDiscount($U$35,Y17255,,Trigger)</f>
        <v>0.39495483416791971</v>
      </c>
    </row>
    <row r="17256" spans="25:26" x14ac:dyDescent="0.25">
      <c r="Y17256" s="63">
        <v>59789</v>
      </c>
      <c r="Z17256" s="61">
        <f>_xll.qlYieldTSDiscount($U$35,Y17256,,Trigger)</f>
        <v>0.39493140644623304</v>
      </c>
    </row>
    <row r="17257" spans="25:26" x14ac:dyDescent="0.25">
      <c r="Y17257" s="63">
        <v>59790</v>
      </c>
      <c r="Z17257" s="61">
        <f>_xll.qlYieldTSDiscount($U$35,Y17257,,Trigger)</f>
        <v>0.39490798044098369</v>
      </c>
    </row>
    <row r="17258" spans="25:26" x14ac:dyDescent="0.25">
      <c r="Y17258" s="63">
        <v>59791</v>
      </c>
      <c r="Z17258" s="61">
        <f>_xll.qlYieldTSDiscount($U$35,Y17258,,Trigger)</f>
        <v>0.39488455615180584</v>
      </c>
    </row>
    <row r="17259" spans="25:26" x14ac:dyDescent="0.25">
      <c r="Y17259" s="63">
        <v>59792</v>
      </c>
      <c r="Z17259" s="61">
        <f>_xll.qlYieldTSDiscount($U$35,Y17259,,Trigger)</f>
        <v>0.39486113357833352</v>
      </c>
    </row>
    <row r="17260" spans="25:26" x14ac:dyDescent="0.25">
      <c r="Y17260" s="63">
        <v>59793</v>
      </c>
      <c r="Z17260" s="61">
        <f>_xll.qlYieldTSDiscount($U$35,Y17260,,Trigger)</f>
        <v>0.39483771272020074</v>
      </c>
    </row>
    <row r="17261" spans="25:26" x14ac:dyDescent="0.25">
      <c r="Y17261" s="63">
        <v>59794</v>
      </c>
      <c r="Z17261" s="61">
        <f>_xll.qlYieldTSDiscount($U$35,Y17261,,Trigger)</f>
        <v>0.39481429357704145</v>
      </c>
    </row>
    <row r="17262" spans="25:26" x14ac:dyDescent="0.25">
      <c r="Y17262" s="63">
        <v>59795</v>
      </c>
      <c r="Z17262" s="61">
        <f>_xll.qlYieldTSDiscount($U$35,Y17262,,Trigger)</f>
        <v>0.39479087614848979</v>
      </c>
    </row>
    <row r="17263" spans="25:26" x14ac:dyDescent="0.25">
      <c r="Y17263" s="63">
        <v>59796</v>
      </c>
      <c r="Z17263" s="61">
        <f>_xll.qlYieldTSDiscount($U$35,Y17263,,Trigger)</f>
        <v>0.39476746043417965</v>
      </c>
    </row>
    <row r="17264" spans="25:26" x14ac:dyDescent="0.25">
      <c r="Y17264" s="63">
        <v>59797</v>
      </c>
      <c r="Z17264" s="61">
        <f>_xll.qlYieldTSDiscount($U$35,Y17264,,Trigger)</f>
        <v>0.39474404643374517</v>
      </c>
    </row>
    <row r="17265" spans="25:26" x14ac:dyDescent="0.25">
      <c r="Y17265" s="63">
        <v>59798</v>
      </c>
      <c r="Z17265" s="61">
        <f>_xll.qlYieldTSDiscount($U$35,Y17265,,Trigger)</f>
        <v>0.39472063414682029</v>
      </c>
    </row>
    <row r="17266" spans="25:26" x14ac:dyDescent="0.25">
      <c r="Y17266" s="63">
        <v>59799</v>
      </c>
      <c r="Z17266" s="61">
        <f>_xll.qlYieldTSDiscount($U$35,Y17266,,Trigger)</f>
        <v>0.39469722357303916</v>
      </c>
    </row>
    <row r="17267" spans="25:26" x14ac:dyDescent="0.25">
      <c r="Y17267" s="63">
        <v>59800</v>
      </c>
      <c r="Z17267" s="61">
        <f>_xll.qlYieldTSDiscount($U$35,Y17267,,Trigger)</f>
        <v>0.39467381471203555</v>
      </c>
    </row>
    <row r="17268" spans="25:26" x14ac:dyDescent="0.25">
      <c r="Y17268" s="63">
        <v>59801</v>
      </c>
      <c r="Z17268" s="61">
        <f>_xll.qlYieldTSDiscount($U$35,Y17268,,Trigger)</f>
        <v>0.39465040756344372</v>
      </c>
    </row>
    <row r="17269" spans="25:26" x14ac:dyDescent="0.25">
      <c r="Y17269" s="63">
        <v>59802</v>
      </c>
      <c r="Z17269" s="61">
        <f>_xll.qlYieldTSDiscount($U$35,Y17269,,Trigger)</f>
        <v>0.39462700212689761</v>
      </c>
    </row>
    <row r="17270" spans="25:26" x14ac:dyDescent="0.25">
      <c r="Y17270" s="63">
        <v>59803</v>
      </c>
      <c r="Z17270" s="61">
        <f>_xll.qlYieldTSDiscount($U$35,Y17270,,Trigger)</f>
        <v>0.39460359840203119</v>
      </c>
    </row>
    <row r="17271" spans="25:26" x14ac:dyDescent="0.25">
      <c r="Y17271" s="63">
        <v>59804</v>
      </c>
      <c r="Z17271" s="61">
        <f>_xll.qlYieldTSDiscount($U$35,Y17271,,Trigger)</f>
        <v>0.39458019638847852</v>
      </c>
    </row>
    <row r="17272" spans="25:26" x14ac:dyDescent="0.25">
      <c r="Y17272" s="63">
        <v>59805</v>
      </c>
      <c r="Z17272" s="61">
        <f>_xll.qlYieldTSDiscount($U$35,Y17272,,Trigger)</f>
        <v>0.39455679608587368</v>
      </c>
    </row>
    <row r="17273" spans="25:26" x14ac:dyDescent="0.25">
      <c r="Y17273" s="63">
        <v>59806</v>
      </c>
      <c r="Z17273" s="61">
        <f>_xll.qlYieldTSDiscount($U$35,Y17273,,Trigger)</f>
        <v>0.39453339749385069</v>
      </c>
    </row>
    <row r="17274" spans="25:26" x14ac:dyDescent="0.25">
      <c r="Y17274" s="63">
        <v>59807</v>
      </c>
      <c r="Z17274" s="61">
        <f>_xll.qlYieldTSDiscount($U$35,Y17274,,Trigger)</f>
        <v>0.39451000061204344</v>
      </c>
    </row>
    <row r="17275" spans="25:26" x14ac:dyDescent="0.25">
      <c r="Y17275" s="63">
        <v>59808</v>
      </c>
      <c r="Z17275" s="61">
        <f>_xll.qlYieldTSDiscount($U$35,Y17275,,Trigger)</f>
        <v>0.39448660544008607</v>
      </c>
    </row>
    <row r="17276" spans="25:26" x14ac:dyDescent="0.25">
      <c r="Y17276" s="63">
        <v>59809</v>
      </c>
      <c r="Z17276" s="61">
        <f>_xll.qlYieldTSDiscount($U$35,Y17276,,Trigger)</f>
        <v>0.39446321197761264</v>
      </c>
    </row>
    <row r="17277" spans="25:26" x14ac:dyDescent="0.25">
      <c r="Y17277" s="63">
        <v>59810</v>
      </c>
      <c r="Z17277" s="61">
        <f>_xll.qlYieldTSDiscount($U$35,Y17277,,Trigger)</f>
        <v>0.39443982022425705</v>
      </c>
    </row>
    <row r="17278" spans="25:26" x14ac:dyDescent="0.25">
      <c r="Y17278" s="63">
        <v>59811</v>
      </c>
      <c r="Z17278" s="61">
        <f>_xll.qlYieldTSDiscount($U$35,Y17278,,Trigger)</f>
        <v>0.39441643017965333</v>
      </c>
    </row>
    <row r="17279" spans="25:26" x14ac:dyDescent="0.25">
      <c r="Y17279" s="63">
        <v>59812</v>
      </c>
      <c r="Z17279" s="61">
        <f>_xll.qlYieldTSDiscount($U$35,Y17279,,Trigger)</f>
        <v>0.3943930418434356</v>
      </c>
    </row>
    <row r="17280" spans="25:26" x14ac:dyDescent="0.25">
      <c r="Y17280" s="63">
        <v>59813</v>
      </c>
      <c r="Z17280" s="61">
        <f>_xll.qlYieldTSDiscount($U$35,Y17280,,Trigger)</f>
        <v>0.39436965521523781</v>
      </c>
    </row>
    <row r="17281" spans="25:26" x14ac:dyDescent="0.25">
      <c r="Y17281" s="63">
        <v>59814</v>
      </c>
      <c r="Z17281" s="61">
        <f>_xll.qlYieldTSDiscount($U$35,Y17281,,Trigger)</f>
        <v>0.39434627029469393</v>
      </c>
    </row>
    <row r="17282" spans="25:26" x14ac:dyDescent="0.25">
      <c r="Y17282" s="63">
        <v>59815</v>
      </c>
      <c r="Z17282" s="61">
        <f>_xll.qlYieldTSDiscount($U$35,Y17282,,Trigger)</f>
        <v>0.3943228870814382</v>
      </c>
    </row>
    <row r="17283" spans="25:26" x14ac:dyDescent="0.25">
      <c r="Y17283" s="63">
        <v>59816</v>
      </c>
      <c r="Z17283" s="61">
        <f>_xll.qlYieldTSDiscount($U$35,Y17283,,Trigger)</f>
        <v>0.3942995055751044</v>
      </c>
    </row>
    <row r="17284" spans="25:26" x14ac:dyDescent="0.25">
      <c r="Y17284" s="63">
        <v>59817</v>
      </c>
      <c r="Z17284" s="61">
        <f>_xll.qlYieldTSDiscount($U$35,Y17284,,Trigger)</f>
        <v>0.39427612577532667</v>
      </c>
    </row>
    <row r="17285" spans="25:26" x14ac:dyDescent="0.25">
      <c r="Y17285" s="63">
        <v>59818</v>
      </c>
      <c r="Z17285" s="61">
        <f>_xll.qlYieldTSDiscount($U$35,Y17285,,Trigger)</f>
        <v>0.39425274768173901</v>
      </c>
    </row>
    <row r="17286" spans="25:26" x14ac:dyDescent="0.25">
      <c r="Y17286" s="63">
        <v>59819</v>
      </c>
      <c r="Z17286" s="61">
        <f>_xll.qlYieldTSDiscount($U$35,Y17286,,Trigger)</f>
        <v>0.39422937129397539</v>
      </c>
    </row>
    <row r="17287" spans="25:26" x14ac:dyDescent="0.25">
      <c r="Y17287" s="63">
        <v>59820</v>
      </c>
      <c r="Z17287" s="61">
        <f>_xll.qlYieldTSDiscount($U$35,Y17287,,Trigger)</f>
        <v>0.39420599661166988</v>
      </c>
    </row>
    <row r="17288" spans="25:26" x14ac:dyDescent="0.25">
      <c r="Y17288" s="63">
        <v>59821</v>
      </c>
      <c r="Z17288" s="61">
        <f>_xll.qlYieldTSDiscount($U$35,Y17288,,Trigger)</f>
        <v>0.39418262363445655</v>
      </c>
    </row>
    <row r="17289" spans="25:26" x14ac:dyDescent="0.25">
      <c r="Y17289" s="63">
        <v>59822</v>
      </c>
      <c r="Z17289" s="61">
        <f>_xll.qlYieldTSDiscount($U$35,Y17289,,Trigger)</f>
        <v>0.39415925236196941</v>
      </c>
    </row>
    <row r="17290" spans="25:26" x14ac:dyDescent="0.25">
      <c r="Y17290" s="63">
        <v>59823</v>
      </c>
      <c r="Z17290" s="61">
        <f>_xll.qlYieldTSDiscount($U$35,Y17290,,Trigger)</f>
        <v>0.39413588279384237</v>
      </c>
    </row>
    <row r="17291" spans="25:26" x14ac:dyDescent="0.25">
      <c r="Y17291" s="63">
        <v>59824</v>
      </c>
      <c r="Z17291" s="61">
        <f>_xll.qlYieldTSDiscount($U$35,Y17291,,Trigger)</f>
        <v>0.39411251492970956</v>
      </c>
    </row>
    <row r="17292" spans="25:26" x14ac:dyDescent="0.25">
      <c r="Y17292" s="63">
        <v>59825</v>
      </c>
      <c r="Z17292" s="61">
        <f>_xll.qlYieldTSDiscount($U$35,Y17292,,Trigger)</f>
        <v>0.39408914876920498</v>
      </c>
    </row>
    <row r="17293" spans="25:26" x14ac:dyDescent="0.25">
      <c r="Y17293" s="63">
        <v>59826</v>
      </c>
      <c r="Z17293" s="61">
        <f>_xll.qlYieldTSDiscount($U$35,Y17293,,Trigger)</f>
        <v>0.39406578431196265</v>
      </c>
    </row>
    <row r="17294" spans="25:26" x14ac:dyDescent="0.25">
      <c r="Y17294" s="63">
        <v>59827</v>
      </c>
      <c r="Z17294" s="61">
        <f>_xll.qlYieldTSDiscount($U$35,Y17294,,Trigger)</f>
        <v>0.39404242155761654</v>
      </c>
    </row>
    <row r="17295" spans="25:26" x14ac:dyDescent="0.25">
      <c r="Y17295" s="63">
        <v>59828</v>
      </c>
      <c r="Z17295" s="61">
        <f>_xll.qlYieldTSDiscount($U$35,Y17295,,Trigger)</f>
        <v>0.39401906050580082</v>
      </c>
    </row>
    <row r="17296" spans="25:26" x14ac:dyDescent="0.25">
      <c r="Y17296" s="63">
        <v>59829</v>
      </c>
      <c r="Z17296" s="61">
        <f>_xll.qlYieldTSDiscount($U$35,Y17296,,Trigger)</f>
        <v>0.39399570115614929</v>
      </c>
    </row>
    <row r="17297" spans="25:26" x14ac:dyDescent="0.25">
      <c r="Y17297" s="63">
        <v>59830</v>
      </c>
      <c r="Z17297" s="61">
        <f>_xll.qlYieldTSDiscount($U$35,Y17297,,Trigger)</f>
        <v>0.39397234350829613</v>
      </c>
    </row>
    <row r="17298" spans="25:26" x14ac:dyDescent="0.25">
      <c r="Y17298" s="63">
        <v>59831</v>
      </c>
      <c r="Z17298" s="61">
        <f>_xll.qlYieldTSDiscount($U$35,Y17298,,Trigger)</f>
        <v>0.39394898756187535</v>
      </c>
    </row>
    <row r="17299" spans="25:26" x14ac:dyDescent="0.25">
      <c r="Y17299" s="63">
        <v>59832</v>
      </c>
      <c r="Z17299" s="61">
        <f>_xll.qlYieldTSDiscount($U$35,Y17299,,Trigger)</f>
        <v>0.39392563331652086</v>
      </c>
    </row>
    <row r="17300" spans="25:26" x14ac:dyDescent="0.25">
      <c r="Y17300" s="63">
        <v>59833</v>
      </c>
      <c r="Z17300" s="61">
        <f>_xll.qlYieldTSDiscount($U$35,Y17300,,Trigger)</f>
        <v>0.39390228077186684</v>
      </c>
    </row>
    <row r="17301" spans="25:26" x14ac:dyDescent="0.25">
      <c r="Y17301" s="63">
        <v>59834</v>
      </c>
      <c r="Z17301" s="61">
        <f>_xll.qlYieldTSDiscount($U$35,Y17301,,Trigger)</f>
        <v>0.39387892992754725</v>
      </c>
    </row>
    <row r="17302" spans="25:26" x14ac:dyDescent="0.25">
      <c r="Y17302" s="63">
        <v>59835</v>
      </c>
      <c r="Z17302" s="61">
        <f>_xll.qlYieldTSDiscount($U$35,Y17302,,Trigger)</f>
        <v>0.39385558078319605</v>
      </c>
    </row>
    <row r="17303" spans="25:26" x14ac:dyDescent="0.25">
      <c r="Y17303" s="63">
        <v>59836</v>
      </c>
      <c r="Z17303" s="61">
        <f>_xll.qlYieldTSDiscount($U$35,Y17303,,Trigger)</f>
        <v>0.3938322333384473</v>
      </c>
    </row>
    <row r="17304" spans="25:26" x14ac:dyDescent="0.25">
      <c r="Y17304" s="63">
        <v>59837</v>
      </c>
      <c r="Z17304" s="61">
        <f>_xll.qlYieldTSDiscount($U$35,Y17304,,Trigger)</f>
        <v>0.39380888759293509</v>
      </c>
    </row>
    <row r="17305" spans="25:26" x14ac:dyDescent="0.25">
      <c r="Y17305" s="63">
        <v>59838</v>
      </c>
      <c r="Z17305" s="61">
        <f>_xll.qlYieldTSDiscount($U$35,Y17305,,Trigger)</f>
        <v>0.39378554354629336</v>
      </c>
    </row>
    <row r="17306" spans="25:26" x14ac:dyDescent="0.25">
      <c r="Y17306" s="63">
        <v>59839</v>
      </c>
      <c r="Z17306" s="61">
        <f>_xll.qlYieldTSDiscount($U$35,Y17306,,Trigger)</f>
        <v>0.39376220119815614</v>
      </c>
    </row>
    <row r="17307" spans="25:26" x14ac:dyDescent="0.25">
      <c r="Y17307" s="63">
        <v>59840</v>
      </c>
      <c r="Z17307" s="61">
        <f>_xll.qlYieldTSDiscount($U$35,Y17307,,Trigger)</f>
        <v>0.39373886054815743</v>
      </c>
    </row>
    <row r="17308" spans="25:26" x14ac:dyDescent="0.25">
      <c r="Y17308" s="63">
        <v>59841</v>
      </c>
      <c r="Z17308" s="61">
        <f>_xll.qlYieldTSDiscount($U$35,Y17308,,Trigger)</f>
        <v>0.39371552159593143</v>
      </c>
    </row>
    <row r="17309" spans="25:26" x14ac:dyDescent="0.25">
      <c r="Y17309" s="63">
        <v>59842</v>
      </c>
      <c r="Z17309" s="61">
        <f>_xll.qlYieldTSDiscount($U$35,Y17309,,Trigger)</f>
        <v>0.39369218434111192</v>
      </c>
    </row>
    <row r="17310" spans="25:26" x14ac:dyDescent="0.25">
      <c r="Y17310" s="63">
        <v>59843</v>
      </c>
      <c r="Z17310" s="61">
        <f>_xll.qlYieldTSDiscount($U$35,Y17310,,Trigger)</f>
        <v>0.39366884878333297</v>
      </c>
    </row>
    <row r="17311" spans="25:26" x14ac:dyDescent="0.25">
      <c r="Y17311" s="63">
        <v>59844</v>
      </c>
      <c r="Z17311" s="61">
        <f>_xll.qlYieldTSDiscount($U$35,Y17311,,Trigger)</f>
        <v>0.39364551492222877</v>
      </c>
    </row>
    <row r="17312" spans="25:26" x14ac:dyDescent="0.25">
      <c r="Y17312" s="63">
        <v>59845</v>
      </c>
      <c r="Z17312" s="61">
        <f>_xll.qlYieldTSDiscount($U$35,Y17312,,Trigger)</f>
        <v>0.39362218275743321</v>
      </c>
    </row>
    <row r="17313" spans="25:26" x14ac:dyDescent="0.25">
      <c r="Y17313" s="63">
        <v>59846</v>
      </c>
      <c r="Z17313" s="61">
        <f>_xll.qlYieldTSDiscount($U$35,Y17313,,Trigger)</f>
        <v>0.39359885228858027</v>
      </c>
    </row>
    <row r="17314" spans="25:26" x14ac:dyDescent="0.25">
      <c r="Y17314" s="63">
        <v>59847</v>
      </c>
      <c r="Z17314" s="61">
        <f>_xll.qlYieldTSDiscount($U$35,Y17314,,Trigger)</f>
        <v>0.39357552351530412</v>
      </c>
    </row>
    <row r="17315" spans="25:26" x14ac:dyDescent="0.25">
      <c r="Y17315" s="63">
        <v>59848</v>
      </c>
      <c r="Z17315" s="61">
        <f>_xll.qlYieldTSDiscount($U$35,Y17315,,Trigger)</f>
        <v>0.3935521964372386</v>
      </c>
    </row>
    <row r="17316" spans="25:26" x14ac:dyDescent="0.25">
      <c r="Y17316" s="63">
        <v>59849</v>
      </c>
      <c r="Z17316" s="61">
        <f>_xll.qlYieldTSDiscount($U$35,Y17316,,Trigger)</f>
        <v>0.39352887105401785</v>
      </c>
    </row>
    <row r="17317" spans="25:26" x14ac:dyDescent="0.25">
      <c r="Y17317" s="63">
        <v>59850</v>
      </c>
      <c r="Z17317" s="61">
        <f>_xll.qlYieldTSDiscount($U$35,Y17317,,Trigger)</f>
        <v>0.39350554736527588</v>
      </c>
    </row>
    <row r="17318" spans="25:26" x14ac:dyDescent="0.25">
      <c r="Y17318" s="63">
        <v>59851</v>
      </c>
      <c r="Z17318" s="61">
        <f>_xll.qlYieldTSDiscount($U$35,Y17318,,Trigger)</f>
        <v>0.3934822253706467</v>
      </c>
    </row>
    <row r="17319" spans="25:26" x14ac:dyDescent="0.25">
      <c r="Y17319" s="63">
        <v>59852</v>
      </c>
      <c r="Z17319" s="61">
        <f>_xll.qlYieldTSDiscount($U$35,Y17319,,Trigger)</f>
        <v>0.39345890506976433</v>
      </c>
    </row>
    <row r="17320" spans="25:26" x14ac:dyDescent="0.25">
      <c r="Y17320" s="63">
        <v>59853</v>
      </c>
      <c r="Z17320" s="61">
        <f>_xll.qlYieldTSDiscount($U$35,Y17320,,Trigger)</f>
        <v>0.39343558646226273</v>
      </c>
    </row>
    <row r="17321" spans="25:26" x14ac:dyDescent="0.25">
      <c r="Y17321" s="63">
        <v>59854</v>
      </c>
      <c r="Z17321" s="61">
        <f>_xll.qlYieldTSDiscount($U$35,Y17321,,Trigger)</f>
        <v>0.39341226954777608</v>
      </c>
    </row>
    <row r="17322" spans="25:26" x14ac:dyDescent="0.25">
      <c r="Y17322" s="63">
        <v>59855</v>
      </c>
      <c r="Z17322" s="61">
        <f>_xll.qlYieldTSDiscount($U$35,Y17322,,Trigger)</f>
        <v>0.39338895432593829</v>
      </c>
    </row>
    <row r="17323" spans="25:26" x14ac:dyDescent="0.25">
      <c r="Y17323" s="63">
        <v>59856</v>
      </c>
      <c r="Z17323" s="61">
        <f>_xll.qlYieldTSDiscount($U$35,Y17323,,Trigger)</f>
        <v>0.39336564079638336</v>
      </c>
    </row>
    <row r="17324" spans="25:26" x14ac:dyDescent="0.25">
      <c r="Y17324" s="63">
        <v>59857</v>
      </c>
      <c r="Z17324" s="61">
        <f>_xll.qlYieldTSDiscount($U$35,Y17324,,Trigger)</f>
        <v>0.39334232895874544</v>
      </c>
    </row>
    <row r="17325" spans="25:26" x14ac:dyDescent="0.25">
      <c r="Y17325" s="63">
        <v>59858</v>
      </c>
      <c r="Z17325" s="61">
        <f>_xll.qlYieldTSDiscount($U$35,Y17325,,Trigger)</f>
        <v>0.39331901881265835</v>
      </c>
    </row>
    <row r="17326" spans="25:26" x14ac:dyDescent="0.25">
      <c r="Y17326" s="63">
        <v>59859</v>
      </c>
      <c r="Z17326" s="61">
        <f>_xll.qlYieldTSDiscount($U$35,Y17326,,Trigger)</f>
        <v>0.39329571035775623</v>
      </c>
    </row>
    <row r="17327" spans="25:26" x14ac:dyDescent="0.25">
      <c r="Y17327" s="63">
        <v>59860</v>
      </c>
      <c r="Z17327" s="61">
        <f>_xll.qlYieldTSDiscount($U$35,Y17327,,Trigger)</f>
        <v>0.39327240359367321</v>
      </c>
    </row>
    <row r="17328" spans="25:26" x14ac:dyDescent="0.25">
      <c r="Y17328" s="63">
        <v>59861</v>
      </c>
      <c r="Z17328" s="61">
        <f>_xll.qlYieldTSDiscount($U$35,Y17328,,Trigger)</f>
        <v>0.39324909852004308</v>
      </c>
    </row>
    <row r="17329" spans="25:26" x14ac:dyDescent="0.25">
      <c r="Y17329" s="63">
        <v>59862</v>
      </c>
      <c r="Z17329" s="61">
        <f>_xll.qlYieldTSDiscount($U$35,Y17329,,Trigger)</f>
        <v>0.39322579513650002</v>
      </c>
    </row>
    <row r="17330" spans="25:26" x14ac:dyDescent="0.25">
      <c r="Y17330" s="63">
        <v>59863</v>
      </c>
      <c r="Z17330" s="61">
        <f>_xll.qlYieldTSDiscount($U$35,Y17330,,Trigger)</f>
        <v>0.39320249344267799</v>
      </c>
    </row>
    <row r="17331" spans="25:26" x14ac:dyDescent="0.25">
      <c r="Y17331" s="63">
        <v>59864</v>
      </c>
      <c r="Z17331" s="61">
        <f>_xll.qlYieldTSDiscount($U$35,Y17331,,Trigger)</f>
        <v>0.39317919343821106</v>
      </c>
    </row>
    <row r="17332" spans="25:26" x14ac:dyDescent="0.25">
      <c r="Y17332" s="63">
        <v>59865</v>
      </c>
      <c r="Z17332" s="61">
        <f>_xll.qlYieldTSDiscount($U$35,Y17332,,Trigger)</f>
        <v>0.39315589512273319</v>
      </c>
    </row>
    <row r="17333" spans="25:26" x14ac:dyDescent="0.25">
      <c r="Y17333" s="63">
        <v>59866</v>
      </c>
      <c r="Z17333" s="61">
        <f>_xll.qlYieldTSDiscount($U$35,Y17333,,Trigger)</f>
        <v>0.39313259849587845</v>
      </c>
    </row>
    <row r="17334" spans="25:26" x14ac:dyDescent="0.25">
      <c r="Y17334" s="63">
        <v>59867</v>
      </c>
      <c r="Z17334" s="61">
        <f>_xll.qlYieldTSDiscount($U$35,Y17334,,Trigger)</f>
        <v>0.39310930355728091</v>
      </c>
    </row>
    <row r="17335" spans="25:26" x14ac:dyDescent="0.25">
      <c r="Y17335" s="63">
        <v>59868</v>
      </c>
      <c r="Z17335" s="61">
        <f>_xll.qlYieldTSDiscount($U$35,Y17335,,Trigger)</f>
        <v>0.39308601030657453</v>
      </c>
    </row>
    <row r="17336" spans="25:26" x14ac:dyDescent="0.25">
      <c r="Y17336" s="63">
        <v>59869</v>
      </c>
      <c r="Z17336" s="61">
        <f>_xll.qlYieldTSDiscount($U$35,Y17336,,Trigger)</f>
        <v>0.39306271874339321</v>
      </c>
    </row>
    <row r="17337" spans="25:26" x14ac:dyDescent="0.25">
      <c r="Y17337" s="63">
        <v>59870</v>
      </c>
      <c r="Z17337" s="61">
        <f>_xll.qlYieldTSDiscount($U$35,Y17337,,Trigger)</f>
        <v>0.39303942886737125</v>
      </c>
    </row>
    <row r="17338" spans="25:26" x14ac:dyDescent="0.25">
      <c r="Y17338" s="63">
        <v>59871</v>
      </c>
      <c r="Z17338" s="61">
        <f>_xll.qlYieldTSDiscount($U$35,Y17338,,Trigger)</f>
        <v>0.39301614067814239</v>
      </c>
    </row>
    <row r="17339" spans="25:26" x14ac:dyDescent="0.25">
      <c r="Y17339" s="63">
        <v>59872</v>
      </c>
      <c r="Z17339" s="61">
        <f>_xll.qlYieldTSDiscount($U$35,Y17339,,Trigger)</f>
        <v>0.39299285417534086</v>
      </c>
    </row>
    <row r="17340" spans="25:26" x14ac:dyDescent="0.25">
      <c r="Y17340" s="63">
        <v>59873</v>
      </c>
      <c r="Z17340" s="61">
        <f>_xll.qlYieldTSDiscount($U$35,Y17340,,Trigger)</f>
        <v>0.39296956935860056</v>
      </c>
    </row>
    <row r="17341" spans="25:26" x14ac:dyDescent="0.25">
      <c r="Y17341" s="63">
        <v>59874</v>
      </c>
      <c r="Z17341" s="61">
        <f>_xll.qlYieldTSDiscount($U$35,Y17341,,Trigger)</f>
        <v>0.39294628622755556</v>
      </c>
    </row>
    <row r="17342" spans="25:26" x14ac:dyDescent="0.25">
      <c r="Y17342" s="63">
        <v>59875</v>
      </c>
      <c r="Z17342" s="61">
        <f>_xll.qlYieldTSDiscount($U$35,Y17342,,Trigger)</f>
        <v>0.39292300478183984</v>
      </c>
    </row>
    <row r="17343" spans="25:26" x14ac:dyDescent="0.25">
      <c r="Y17343" s="63">
        <v>59876</v>
      </c>
      <c r="Z17343" s="61">
        <f>_xll.qlYieldTSDiscount($U$35,Y17343,,Trigger)</f>
        <v>0.3928997250210875</v>
      </c>
    </row>
    <row r="17344" spans="25:26" x14ac:dyDescent="0.25">
      <c r="Y17344" s="63">
        <v>59877</v>
      </c>
      <c r="Z17344" s="61">
        <f>_xll.qlYieldTSDiscount($U$35,Y17344,,Trigger)</f>
        <v>0.39287644694493251</v>
      </c>
    </row>
    <row r="17345" spans="25:26" x14ac:dyDescent="0.25">
      <c r="Y17345" s="63">
        <v>59878</v>
      </c>
      <c r="Z17345" s="61">
        <f>_xll.qlYieldTSDiscount($U$35,Y17345,,Trigger)</f>
        <v>0.39285317055300889</v>
      </c>
    </row>
    <row r="17346" spans="25:26" x14ac:dyDescent="0.25">
      <c r="Y17346" s="63">
        <v>59879</v>
      </c>
      <c r="Z17346" s="61">
        <f>_xll.qlYieldTSDiscount($U$35,Y17346,,Trigger)</f>
        <v>0.39282989584495076</v>
      </c>
    </row>
    <row r="17347" spans="25:26" x14ac:dyDescent="0.25">
      <c r="Y17347" s="63">
        <v>59880</v>
      </c>
      <c r="Z17347" s="61">
        <f>_xll.qlYieldTSDiscount($U$35,Y17347,,Trigger)</f>
        <v>0.39280662282039192</v>
      </c>
    </row>
    <row r="17348" spans="25:26" x14ac:dyDescent="0.25">
      <c r="Y17348" s="63">
        <v>59881</v>
      </c>
      <c r="Z17348" s="61">
        <f>_xll.qlYieldTSDiscount($U$35,Y17348,,Trigger)</f>
        <v>0.39278335147896659</v>
      </c>
    </row>
    <row r="17349" spans="25:26" x14ac:dyDescent="0.25">
      <c r="Y17349" s="63">
        <v>59882</v>
      </c>
      <c r="Z17349" s="61">
        <f>_xll.qlYieldTSDiscount($U$35,Y17349,,Trigger)</f>
        <v>0.39276008182030864</v>
      </c>
    </row>
    <row r="17350" spans="25:26" x14ac:dyDescent="0.25">
      <c r="Y17350" s="63">
        <v>59883</v>
      </c>
      <c r="Z17350" s="61">
        <f>_xll.qlYieldTSDiscount($U$35,Y17350,,Trigger)</f>
        <v>0.39273681384405229</v>
      </c>
    </row>
    <row r="17351" spans="25:26" x14ac:dyDescent="0.25">
      <c r="Y17351" s="63">
        <v>59884</v>
      </c>
      <c r="Z17351" s="61">
        <f>_xll.qlYieldTSDiscount($U$35,Y17351,,Trigger)</f>
        <v>0.3927135475498314</v>
      </c>
    </row>
    <row r="17352" spans="25:26" x14ac:dyDescent="0.25">
      <c r="Y17352" s="63">
        <v>59885</v>
      </c>
      <c r="Z17352" s="61">
        <f>_xll.qlYieldTSDiscount($U$35,Y17352,,Trigger)</f>
        <v>0.39269028293728003</v>
      </c>
    </row>
    <row r="17353" spans="25:26" x14ac:dyDescent="0.25">
      <c r="Y17353" s="63">
        <v>59886</v>
      </c>
      <c r="Z17353" s="61">
        <f>_xll.qlYieldTSDiscount($U$35,Y17353,,Trigger)</f>
        <v>0.39266702000603226</v>
      </c>
    </row>
    <row r="17354" spans="25:26" x14ac:dyDescent="0.25">
      <c r="Y17354" s="63">
        <v>59887</v>
      </c>
      <c r="Z17354" s="61">
        <f>_xll.qlYieldTSDiscount($U$35,Y17354,,Trigger)</f>
        <v>0.39264375875572205</v>
      </c>
    </row>
    <row r="17355" spans="25:26" x14ac:dyDescent="0.25">
      <c r="Y17355" s="63">
        <v>59888</v>
      </c>
      <c r="Z17355" s="61">
        <f>_xll.qlYieldTSDiscount($U$35,Y17355,,Trigger)</f>
        <v>0.39262049918598341</v>
      </c>
    </row>
    <row r="17356" spans="25:26" x14ac:dyDescent="0.25">
      <c r="Y17356" s="63">
        <v>59889</v>
      </c>
      <c r="Z17356" s="61">
        <f>_xll.qlYieldTSDiscount($U$35,Y17356,,Trigger)</f>
        <v>0.39259724129645046</v>
      </c>
    </row>
    <row r="17357" spans="25:26" x14ac:dyDescent="0.25">
      <c r="Y17357" s="63">
        <v>59890</v>
      </c>
      <c r="Z17357" s="61">
        <f>_xll.qlYieldTSDiscount($U$35,Y17357,,Trigger)</f>
        <v>0.39257398508675706</v>
      </c>
    </row>
    <row r="17358" spans="25:26" x14ac:dyDescent="0.25">
      <c r="Y17358" s="63">
        <v>59891</v>
      </c>
      <c r="Z17358" s="61">
        <f>_xll.qlYieldTSDiscount($U$35,Y17358,,Trigger)</f>
        <v>0.39255073055653733</v>
      </c>
    </row>
    <row r="17359" spans="25:26" x14ac:dyDescent="0.25">
      <c r="Y17359" s="63">
        <v>59892</v>
      </c>
      <c r="Z17359" s="61">
        <f>_xll.qlYieldTSDiscount($U$35,Y17359,,Trigger)</f>
        <v>0.3925274777054254</v>
      </c>
    </row>
    <row r="17360" spans="25:26" x14ac:dyDescent="0.25">
      <c r="Y17360" s="63">
        <v>59893</v>
      </c>
      <c r="Z17360" s="61">
        <f>_xll.qlYieldTSDiscount($U$35,Y17360,,Trigger)</f>
        <v>0.39250422653305506</v>
      </c>
    </row>
    <row r="17361" spans="25:26" x14ac:dyDescent="0.25">
      <c r="Y17361" s="63">
        <v>59894</v>
      </c>
      <c r="Z17361" s="61">
        <f>_xll.qlYieldTSDiscount($U$35,Y17361,,Trigger)</f>
        <v>0.39248097703906049</v>
      </c>
    </row>
    <row r="17362" spans="25:26" x14ac:dyDescent="0.25">
      <c r="Y17362" s="63">
        <v>59895</v>
      </c>
      <c r="Z17362" s="61">
        <f>_xll.qlYieldTSDiscount($U$35,Y17362,,Trigger)</f>
        <v>0.39245772922307565</v>
      </c>
    </row>
    <row r="17363" spans="25:26" x14ac:dyDescent="0.25">
      <c r="Y17363" s="63">
        <v>59896</v>
      </c>
      <c r="Z17363" s="61">
        <f>_xll.qlYieldTSDiscount($U$35,Y17363,,Trigger)</f>
        <v>0.39243448308473461</v>
      </c>
    </row>
    <row r="17364" spans="25:26" x14ac:dyDescent="0.25">
      <c r="Y17364" s="63">
        <v>59897</v>
      </c>
      <c r="Z17364" s="61">
        <f>_xll.qlYieldTSDiscount($U$35,Y17364,,Trigger)</f>
        <v>0.39241123862367133</v>
      </c>
    </row>
    <row r="17365" spans="25:26" x14ac:dyDescent="0.25">
      <c r="Y17365" s="63">
        <v>59898</v>
      </c>
      <c r="Z17365" s="61">
        <f>_xll.qlYieldTSDiscount($U$35,Y17365,,Trigger)</f>
        <v>0.39238799583951989</v>
      </c>
    </row>
    <row r="17366" spans="25:26" x14ac:dyDescent="0.25">
      <c r="Y17366" s="63">
        <v>59899</v>
      </c>
      <c r="Z17366" s="61">
        <f>_xll.qlYieldTSDiscount($U$35,Y17366,,Trigger)</f>
        <v>0.39236475473191434</v>
      </c>
    </row>
    <row r="17367" spans="25:26" x14ac:dyDescent="0.25">
      <c r="Y17367" s="63">
        <v>59900</v>
      </c>
      <c r="Z17367" s="61">
        <f>_xll.qlYieldTSDiscount($U$35,Y17367,,Trigger)</f>
        <v>0.39234151530048855</v>
      </c>
    </row>
    <row r="17368" spans="25:26" x14ac:dyDescent="0.25">
      <c r="Y17368" s="63">
        <v>59901</v>
      </c>
      <c r="Z17368" s="61">
        <f>_xll.qlYieldTSDiscount($U$35,Y17368,,Trigger)</f>
        <v>0.39231827754487669</v>
      </c>
    </row>
    <row r="17369" spans="25:26" x14ac:dyDescent="0.25">
      <c r="Y17369" s="63">
        <v>59902</v>
      </c>
      <c r="Z17369" s="61">
        <f>_xll.qlYieldTSDiscount($U$35,Y17369,,Trigger)</f>
        <v>0.39229504146471278</v>
      </c>
    </row>
    <row r="17370" spans="25:26" x14ac:dyDescent="0.25">
      <c r="Y17370" s="63">
        <v>59903</v>
      </c>
      <c r="Z17370" s="61">
        <f>_xll.qlYieldTSDiscount($U$35,Y17370,,Trigger)</f>
        <v>0.39227180705963072</v>
      </c>
    </row>
    <row r="17371" spans="25:26" x14ac:dyDescent="0.25">
      <c r="Y17371" s="63">
        <v>59904</v>
      </c>
      <c r="Z17371" s="61">
        <f>_xll.qlYieldTSDiscount($U$35,Y17371,,Trigger)</f>
        <v>0.39224857432926463</v>
      </c>
    </row>
    <row r="17372" spans="25:26" x14ac:dyDescent="0.25">
      <c r="Y17372" s="63">
        <v>59905</v>
      </c>
      <c r="Z17372" s="61">
        <f>_xll.qlYieldTSDiscount($U$35,Y17372,,Trigger)</f>
        <v>0.39222534327324854</v>
      </c>
    </row>
    <row r="17373" spans="25:26" x14ac:dyDescent="0.25">
      <c r="Y17373" s="63">
        <v>59906</v>
      </c>
      <c r="Z17373" s="61">
        <f>_xll.qlYieldTSDiscount($U$35,Y17373,,Trigger)</f>
        <v>0.39220211389121645</v>
      </c>
    </row>
    <row r="17374" spans="25:26" x14ac:dyDescent="0.25">
      <c r="Y17374" s="63">
        <v>59907</v>
      </c>
      <c r="Z17374" s="61">
        <f>_xll.qlYieldTSDiscount($U$35,Y17374,,Trigger)</f>
        <v>0.39217888618280233</v>
      </c>
    </row>
    <row r="17375" spans="25:26" x14ac:dyDescent="0.25">
      <c r="Y17375" s="63">
        <v>59908</v>
      </c>
      <c r="Z17375" s="61">
        <f>_xll.qlYieldTSDiscount($U$35,Y17375,,Trigger)</f>
        <v>0.39215566014764025</v>
      </c>
    </row>
    <row r="17376" spans="25:26" x14ac:dyDescent="0.25">
      <c r="Y17376" s="63">
        <v>59909</v>
      </c>
      <c r="Z17376" s="61">
        <f>_xll.qlYieldTSDiscount($U$35,Y17376,,Trigger)</f>
        <v>0.39213243578536428</v>
      </c>
    </row>
    <row r="17377" spans="25:26" x14ac:dyDescent="0.25">
      <c r="Y17377" s="63">
        <v>59910</v>
      </c>
      <c r="Z17377" s="61">
        <f>_xll.qlYieldTSDiscount($U$35,Y17377,,Trigger)</f>
        <v>0.39210921309560831</v>
      </c>
    </row>
    <row r="17378" spans="25:26" x14ac:dyDescent="0.25">
      <c r="Y17378" s="63">
        <v>59911</v>
      </c>
      <c r="Z17378" s="61">
        <f>_xll.qlYieldTSDiscount($U$35,Y17378,,Trigger)</f>
        <v>0.39208599207800643</v>
      </c>
    </row>
    <row r="17379" spans="25:26" x14ac:dyDescent="0.25">
      <c r="Y17379" s="63">
        <v>59912</v>
      </c>
      <c r="Z17379" s="61">
        <f>_xll.qlYieldTSDiscount($U$35,Y17379,,Trigger)</f>
        <v>0.39206277273219281</v>
      </c>
    </row>
    <row r="17380" spans="25:26" x14ac:dyDescent="0.25">
      <c r="Y17380" s="63">
        <v>59913</v>
      </c>
      <c r="Z17380" s="61">
        <f>_xll.qlYieldTSDiscount($U$35,Y17380,,Trigger)</f>
        <v>0.39203955505780119</v>
      </c>
    </row>
    <row r="17381" spans="25:26" x14ac:dyDescent="0.25">
      <c r="Y17381" s="63">
        <v>59914</v>
      </c>
      <c r="Z17381" s="61">
        <f>_xll.qlYieldTSDiscount($U$35,Y17381,,Trigger)</f>
        <v>0.39201633905446576</v>
      </c>
    </row>
    <row r="17382" spans="25:26" x14ac:dyDescent="0.25">
      <c r="Y17382" s="63">
        <v>59915</v>
      </c>
      <c r="Z17382" s="61">
        <f>_xll.qlYieldTSDiscount($U$35,Y17382,,Trigger)</f>
        <v>0.39199312472182057</v>
      </c>
    </row>
    <row r="17383" spans="25:26" x14ac:dyDescent="0.25">
      <c r="Y17383" s="63">
        <v>59916</v>
      </c>
      <c r="Z17383" s="61">
        <f>_xll.qlYieldTSDiscount($U$35,Y17383,,Trigger)</f>
        <v>0.3919699120594996</v>
      </c>
    </row>
    <row r="17384" spans="25:26" x14ac:dyDescent="0.25">
      <c r="Y17384" s="63">
        <v>59917</v>
      </c>
      <c r="Z17384" s="61">
        <f>_xll.qlYieldTSDiscount($U$35,Y17384,,Trigger)</f>
        <v>0.3919467010671368</v>
      </c>
    </row>
    <row r="17385" spans="25:26" x14ac:dyDescent="0.25">
      <c r="Y17385" s="63">
        <v>59918</v>
      </c>
      <c r="Z17385" s="61">
        <f>_xll.qlYieldTSDiscount($U$35,Y17385,,Trigger)</f>
        <v>0.39192349174436636</v>
      </c>
    </row>
    <row r="17386" spans="25:26" x14ac:dyDescent="0.25">
      <c r="Y17386" s="63">
        <v>59919</v>
      </c>
      <c r="Z17386" s="61">
        <f>_xll.qlYieldTSDiscount($U$35,Y17386,,Trigger)</f>
        <v>0.39190028409082212</v>
      </c>
    </row>
    <row r="17387" spans="25:26" x14ac:dyDescent="0.25">
      <c r="Y17387" s="63">
        <v>59920</v>
      </c>
      <c r="Z17387" s="61">
        <f>_xll.qlYieldTSDiscount($U$35,Y17387,,Trigger)</f>
        <v>0.39187707810613814</v>
      </c>
    </row>
    <row r="17388" spans="25:26" x14ac:dyDescent="0.25">
      <c r="Y17388" s="63">
        <v>59921</v>
      </c>
      <c r="Z17388" s="61">
        <f>_xll.qlYieldTSDiscount($U$35,Y17388,,Trigger)</f>
        <v>0.39185387378994851</v>
      </c>
    </row>
    <row r="17389" spans="25:26" x14ac:dyDescent="0.25">
      <c r="Y17389" s="63">
        <v>59922</v>
      </c>
      <c r="Z17389" s="61">
        <f>_xll.qlYieldTSDiscount($U$35,Y17389,,Trigger)</f>
        <v>0.39183067114188724</v>
      </c>
    </row>
    <row r="17390" spans="25:26" x14ac:dyDescent="0.25">
      <c r="Y17390" s="63">
        <v>59923</v>
      </c>
      <c r="Z17390" s="61">
        <f>_xll.qlYieldTSDiscount($U$35,Y17390,,Trigger)</f>
        <v>0.39180747016158834</v>
      </c>
    </row>
    <row r="17391" spans="25:26" x14ac:dyDescent="0.25">
      <c r="Y17391" s="63">
        <v>59924</v>
      </c>
      <c r="Z17391" s="61">
        <f>_xll.qlYieldTSDiscount($U$35,Y17391,,Trigger)</f>
        <v>0.39178427084868583</v>
      </c>
    </row>
    <row r="17392" spans="25:26" x14ac:dyDescent="0.25">
      <c r="Y17392" s="63">
        <v>59925</v>
      </c>
      <c r="Z17392" s="61">
        <f>_xll.qlYieldTSDiscount($U$35,Y17392,,Trigger)</f>
        <v>0.39176107320281367</v>
      </c>
    </row>
    <row r="17393" spans="25:26" x14ac:dyDescent="0.25">
      <c r="Y17393" s="63">
        <v>59926</v>
      </c>
      <c r="Z17393" s="61">
        <f>_xll.qlYieldTSDiscount($U$35,Y17393,,Trigger)</f>
        <v>0.39173787722360598</v>
      </c>
    </row>
    <row r="17394" spans="25:26" x14ac:dyDescent="0.25">
      <c r="Y17394" s="63">
        <v>59927</v>
      </c>
      <c r="Z17394" s="61">
        <f>_xll.qlYieldTSDiscount($U$35,Y17394,,Trigger)</f>
        <v>0.39171468291069667</v>
      </c>
    </row>
    <row r="17395" spans="25:26" x14ac:dyDescent="0.25">
      <c r="Y17395" s="63">
        <v>59928</v>
      </c>
      <c r="Z17395" s="61">
        <f>_xll.qlYieldTSDiscount($U$35,Y17395,,Trigger)</f>
        <v>0.39169149026371997</v>
      </c>
    </row>
    <row r="17396" spans="25:26" x14ac:dyDescent="0.25">
      <c r="Y17396" s="63">
        <v>59929</v>
      </c>
      <c r="Z17396" s="61">
        <f>_xll.qlYieldTSDiscount($U$35,Y17396,,Trigger)</f>
        <v>0.39166829928230967</v>
      </c>
    </row>
    <row r="17397" spans="25:26" x14ac:dyDescent="0.25">
      <c r="Y17397" s="63">
        <v>59930</v>
      </c>
      <c r="Z17397" s="61">
        <f>_xll.qlYieldTSDiscount($U$35,Y17397,,Trigger)</f>
        <v>0.39164510996609991</v>
      </c>
    </row>
    <row r="17398" spans="25:26" x14ac:dyDescent="0.25">
      <c r="Y17398" s="63">
        <v>59931</v>
      </c>
      <c r="Z17398" s="61">
        <f>_xll.qlYieldTSDiscount($U$35,Y17398,,Trigger)</f>
        <v>0.3916219223147247</v>
      </c>
    </row>
    <row r="17399" spans="25:26" x14ac:dyDescent="0.25">
      <c r="Y17399" s="63">
        <v>59932</v>
      </c>
      <c r="Z17399" s="61">
        <f>_xll.qlYieldTSDiscount($U$35,Y17399,,Trigger)</f>
        <v>0.39159873632781805</v>
      </c>
    </row>
    <row r="17400" spans="25:26" x14ac:dyDescent="0.25">
      <c r="Y17400" s="63">
        <v>59933</v>
      </c>
      <c r="Z17400" s="61">
        <f>_xll.qlYieldTSDiscount($U$35,Y17400,,Trigger)</f>
        <v>0.39157555200501393</v>
      </c>
    </row>
    <row r="17401" spans="25:26" x14ac:dyDescent="0.25">
      <c r="Y17401" s="63">
        <v>59934</v>
      </c>
      <c r="Z17401" s="61">
        <f>_xll.qlYieldTSDiscount($U$35,Y17401,,Trigger)</f>
        <v>0.39155236934594645</v>
      </c>
    </row>
    <row r="17402" spans="25:26" x14ac:dyDescent="0.25">
      <c r="Y17402" s="63">
        <v>59935</v>
      </c>
      <c r="Z17402" s="61">
        <f>_xll.qlYieldTSDiscount($U$35,Y17402,,Trigger)</f>
        <v>0.39152918835024958</v>
      </c>
    </row>
    <row r="17403" spans="25:26" x14ac:dyDescent="0.25">
      <c r="Y17403" s="63">
        <v>59936</v>
      </c>
      <c r="Z17403" s="61">
        <f>_xll.qlYieldTSDiscount($U$35,Y17403,,Trigger)</f>
        <v>0.39150600901755739</v>
      </c>
    </row>
    <row r="17404" spans="25:26" x14ac:dyDescent="0.25">
      <c r="Y17404" s="63">
        <v>59937</v>
      </c>
      <c r="Z17404" s="61">
        <f>_xll.qlYieldTSDiscount($U$35,Y17404,,Trigger)</f>
        <v>0.39148283134750389</v>
      </c>
    </row>
    <row r="17405" spans="25:26" x14ac:dyDescent="0.25">
      <c r="Y17405" s="63">
        <v>59938</v>
      </c>
      <c r="Z17405" s="61">
        <f>_xll.qlYieldTSDiscount($U$35,Y17405,,Trigger)</f>
        <v>0.39145965533972304</v>
      </c>
    </row>
    <row r="17406" spans="25:26" x14ac:dyDescent="0.25">
      <c r="Y17406" s="63">
        <v>59939</v>
      </c>
      <c r="Z17406" s="61">
        <f>_xll.qlYieldTSDiscount($U$35,Y17406,,Trigger)</f>
        <v>0.39143648099384887</v>
      </c>
    </row>
    <row r="17407" spans="25:26" x14ac:dyDescent="0.25">
      <c r="Y17407" s="63">
        <v>59940</v>
      </c>
      <c r="Z17407" s="61">
        <f>_xll.qlYieldTSDiscount($U$35,Y17407,,Trigger)</f>
        <v>0.39141330830951548</v>
      </c>
    </row>
    <row r="17408" spans="25:26" x14ac:dyDescent="0.25">
      <c r="Y17408" s="63">
        <v>59941</v>
      </c>
      <c r="Z17408" s="61">
        <f>_xll.qlYieldTSDiscount($U$35,Y17408,,Trigger)</f>
        <v>0.39139013728635685</v>
      </c>
    </row>
    <row r="17409" spans="25:26" x14ac:dyDescent="0.25">
      <c r="Y17409" s="63">
        <v>59942</v>
      </c>
      <c r="Z17409" s="61">
        <f>_xll.qlYieldTSDiscount($U$35,Y17409,,Trigger)</f>
        <v>0.39136696792400694</v>
      </c>
    </row>
    <row r="17410" spans="25:26" x14ac:dyDescent="0.25">
      <c r="Y17410" s="63">
        <v>59943</v>
      </c>
      <c r="Z17410" s="61">
        <f>_xll.qlYieldTSDiscount($U$35,Y17410,,Trigger)</f>
        <v>0.39134380022209991</v>
      </c>
    </row>
    <row r="17411" spans="25:26" x14ac:dyDescent="0.25">
      <c r="Y17411" s="63">
        <v>59944</v>
      </c>
      <c r="Z17411" s="61">
        <f>_xll.qlYieldTSDiscount($U$35,Y17411,,Trigger)</f>
        <v>0.39132063418026969</v>
      </c>
    </row>
    <row r="17412" spans="25:26" x14ac:dyDescent="0.25">
      <c r="Y17412" s="63">
        <v>59945</v>
      </c>
      <c r="Z17412" s="61">
        <f>_xll.qlYieldTSDiscount($U$35,Y17412,,Trigger)</f>
        <v>0.39129746979815028</v>
      </c>
    </row>
    <row r="17413" spans="25:26" x14ac:dyDescent="0.25">
      <c r="Y17413" s="63">
        <v>59946</v>
      </c>
      <c r="Z17413" s="61">
        <f>_xll.qlYieldTSDiscount($U$35,Y17413,,Trigger)</f>
        <v>0.39127430707537569</v>
      </c>
    </row>
    <row r="17414" spans="25:26" x14ac:dyDescent="0.25">
      <c r="Y17414" s="63">
        <v>59947</v>
      </c>
      <c r="Z17414" s="61">
        <f>_xll.qlYieldTSDiscount($U$35,Y17414,,Trigger)</f>
        <v>0.39125114601158012</v>
      </c>
    </row>
    <row r="17415" spans="25:26" x14ac:dyDescent="0.25">
      <c r="Y17415" s="63">
        <v>59948</v>
      </c>
      <c r="Z17415" s="61">
        <f>_xll.qlYieldTSDiscount($U$35,Y17415,,Trigger)</f>
        <v>0.39122798660639735</v>
      </c>
    </row>
    <row r="17416" spans="25:26" x14ac:dyDescent="0.25">
      <c r="Y17416" s="63">
        <v>59949</v>
      </c>
      <c r="Z17416" s="61">
        <f>_xll.qlYieldTSDiscount($U$35,Y17416,,Trigger)</f>
        <v>0.39120482885946156</v>
      </c>
    </row>
    <row r="17417" spans="25:26" x14ac:dyDescent="0.25">
      <c r="Y17417" s="63">
        <v>59950</v>
      </c>
      <c r="Z17417" s="61">
        <f>_xll.qlYieldTSDiscount($U$35,Y17417,,Trigger)</f>
        <v>0.39118167277040672</v>
      </c>
    </row>
    <row r="17418" spans="25:26" x14ac:dyDescent="0.25">
      <c r="Y17418" s="63">
        <v>59951</v>
      </c>
      <c r="Z17418" s="61">
        <f>_xll.qlYieldTSDiscount($U$35,Y17418,,Trigger)</f>
        <v>0.39115851833886683</v>
      </c>
    </row>
    <row r="17419" spans="25:26" x14ac:dyDescent="0.25">
      <c r="Y17419" s="63">
        <v>59952</v>
      </c>
      <c r="Z17419" s="61">
        <f>_xll.qlYieldTSDiscount($U$35,Y17419,,Trigger)</f>
        <v>0.39113536556447598</v>
      </c>
    </row>
    <row r="17420" spans="25:26" x14ac:dyDescent="0.25">
      <c r="Y17420" s="63">
        <v>59953</v>
      </c>
      <c r="Z17420" s="61">
        <f>_xll.qlYieldTSDiscount($U$35,Y17420,,Trigger)</f>
        <v>0.39111221444686817</v>
      </c>
    </row>
    <row r="17421" spans="25:26" x14ac:dyDescent="0.25">
      <c r="Y17421" s="63">
        <v>59954</v>
      </c>
      <c r="Z17421" s="61">
        <f>_xll.qlYieldTSDiscount($U$35,Y17421,,Trigger)</f>
        <v>0.3910890649856773</v>
      </c>
    </row>
    <row r="17422" spans="25:26" x14ac:dyDescent="0.25">
      <c r="Y17422" s="63">
        <v>59955</v>
      </c>
      <c r="Z17422" s="61">
        <f>_xll.qlYieldTSDiscount($U$35,Y17422,,Trigger)</f>
        <v>0.39106591718053751</v>
      </c>
    </row>
    <row r="17423" spans="25:26" x14ac:dyDescent="0.25">
      <c r="Y17423" s="63">
        <v>59956</v>
      </c>
      <c r="Z17423" s="61">
        <f>_xll.qlYieldTSDiscount($U$35,Y17423,,Trigger)</f>
        <v>0.39104277103108287</v>
      </c>
    </row>
    <row r="17424" spans="25:26" x14ac:dyDescent="0.25">
      <c r="Y17424" s="63">
        <v>59957</v>
      </c>
      <c r="Z17424" s="61">
        <f>_xll.qlYieldTSDiscount($U$35,Y17424,,Trigger)</f>
        <v>0.39101962653694733</v>
      </c>
    </row>
    <row r="17425" spans="25:26" x14ac:dyDescent="0.25">
      <c r="Y17425" s="63">
        <v>59958</v>
      </c>
      <c r="Z17425" s="61">
        <f>_xll.qlYieldTSDiscount($U$35,Y17425,,Trigger)</f>
        <v>0.39099648369776491</v>
      </c>
    </row>
    <row r="17426" spans="25:26" x14ac:dyDescent="0.25">
      <c r="Y17426" s="63">
        <v>59959</v>
      </c>
      <c r="Z17426" s="61">
        <f>_xll.qlYieldTSDiscount($U$35,Y17426,,Trigger)</f>
        <v>0.39097334251316962</v>
      </c>
    </row>
    <row r="17427" spans="25:26" x14ac:dyDescent="0.25">
      <c r="Y17427" s="63">
        <v>59960</v>
      </c>
      <c r="Z17427" s="61">
        <f>_xll.qlYieldTSDiscount($U$35,Y17427,,Trigger)</f>
        <v>0.39095020298279559</v>
      </c>
    </row>
    <row r="17428" spans="25:26" x14ac:dyDescent="0.25">
      <c r="Y17428" s="63">
        <v>59961</v>
      </c>
      <c r="Z17428" s="61">
        <f>_xll.qlYieldTSDiscount($U$35,Y17428,,Trigger)</f>
        <v>0.39092706510627662</v>
      </c>
    </row>
    <row r="17429" spans="25:26" x14ac:dyDescent="0.25">
      <c r="Y17429" s="63">
        <v>59962</v>
      </c>
      <c r="Z17429" s="61">
        <f>_xll.qlYieldTSDiscount($U$35,Y17429,,Trigger)</f>
        <v>0.39090392888324688</v>
      </c>
    </row>
    <row r="17430" spans="25:26" x14ac:dyDescent="0.25">
      <c r="Y17430" s="63">
        <v>59963</v>
      </c>
      <c r="Z17430" s="61">
        <f>_xll.qlYieldTSDiscount($U$35,Y17430,,Trigger)</f>
        <v>0.3908807943133405</v>
      </c>
    </row>
    <row r="17431" spans="25:26" x14ac:dyDescent="0.25">
      <c r="Y17431" s="63">
        <v>59964</v>
      </c>
      <c r="Z17431" s="61">
        <f>_xll.qlYieldTSDiscount($U$35,Y17431,,Trigger)</f>
        <v>0.39085766139619127</v>
      </c>
    </row>
    <row r="17432" spans="25:26" x14ac:dyDescent="0.25">
      <c r="Y17432" s="63">
        <v>59965</v>
      </c>
      <c r="Z17432" s="61">
        <f>_xll.qlYieldTSDiscount($U$35,Y17432,,Trigger)</f>
        <v>0.39083453013143332</v>
      </c>
    </row>
    <row r="17433" spans="25:26" x14ac:dyDescent="0.25">
      <c r="Y17433" s="63">
        <v>59966</v>
      </c>
      <c r="Z17433" s="61">
        <f>_xll.qlYieldTSDiscount($U$35,Y17433,,Trigger)</f>
        <v>0.39081140051870078</v>
      </c>
    </row>
    <row r="17434" spans="25:26" x14ac:dyDescent="0.25">
      <c r="Y17434" s="63">
        <v>59967</v>
      </c>
      <c r="Z17434" s="61">
        <f>_xll.qlYieldTSDiscount($U$35,Y17434,,Trigger)</f>
        <v>0.39078827255762744</v>
      </c>
    </row>
    <row r="17435" spans="25:26" x14ac:dyDescent="0.25">
      <c r="Y17435" s="63">
        <v>59968</v>
      </c>
      <c r="Z17435" s="61">
        <f>_xll.qlYieldTSDiscount($U$35,Y17435,,Trigger)</f>
        <v>0.39076514624784747</v>
      </c>
    </row>
    <row r="17436" spans="25:26" x14ac:dyDescent="0.25">
      <c r="Y17436" s="63">
        <v>59969</v>
      </c>
      <c r="Z17436" s="61">
        <f>_xll.qlYieldTSDiscount($U$35,Y17436,,Trigger)</f>
        <v>0.39074202158899496</v>
      </c>
    </row>
    <row r="17437" spans="25:26" x14ac:dyDescent="0.25">
      <c r="Y17437" s="63">
        <v>59970</v>
      </c>
      <c r="Z17437" s="61">
        <f>_xll.qlYieldTSDiscount($U$35,Y17437,,Trigger)</f>
        <v>0.39071889858070374</v>
      </c>
    </row>
    <row r="17438" spans="25:26" x14ac:dyDescent="0.25">
      <c r="Y17438" s="63">
        <v>59971</v>
      </c>
      <c r="Z17438" s="61">
        <f>_xll.qlYieldTSDiscount($U$35,Y17438,,Trigger)</f>
        <v>0.39069577722260795</v>
      </c>
    </row>
    <row r="17439" spans="25:26" x14ac:dyDescent="0.25">
      <c r="Y17439" s="63">
        <v>59972</v>
      </c>
      <c r="Z17439" s="61">
        <f>_xll.qlYieldTSDiscount($U$35,Y17439,,Trigger)</f>
        <v>0.39067265751434155</v>
      </c>
    </row>
    <row r="17440" spans="25:26" x14ac:dyDescent="0.25">
      <c r="Y17440" s="63">
        <v>59973</v>
      </c>
      <c r="Z17440" s="61">
        <f>_xll.qlYieldTSDiscount($U$35,Y17440,,Trigger)</f>
        <v>0.39064953945553871</v>
      </c>
    </row>
    <row r="17441" spans="25:26" x14ac:dyDescent="0.25">
      <c r="Y17441" s="63">
        <v>59974</v>
      </c>
      <c r="Z17441" s="61">
        <f>_xll.qlYieldTSDiscount($U$35,Y17441,,Trigger)</f>
        <v>0.39062642304583334</v>
      </c>
    </row>
    <row r="17442" spans="25:26" x14ac:dyDescent="0.25">
      <c r="Y17442" s="63">
        <v>59975</v>
      </c>
      <c r="Z17442" s="61">
        <f>_xll.qlYieldTSDiscount($U$35,Y17442,,Trigger)</f>
        <v>0.39060330828485945</v>
      </c>
    </row>
    <row r="17443" spans="25:26" x14ac:dyDescent="0.25">
      <c r="Y17443" s="63">
        <v>59976</v>
      </c>
      <c r="Z17443" s="61">
        <f>_xll.qlYieldTSDiscount($U$35,Y17443,,Trigger)</f>
        <v>0.39058019517225107</v>
      </c>
    </row>
    <row r="17444" spans="25:26" x14ac:dyDescent="0.25">
      <c r="Y17444" s="63">
        <v>59977</v>
      </c>
      <c r="Z17444" s="61">
        <f>_xll.qlYieldTSDiscount($U$35,Y17444,,Trigger)</f>
        <v>0.39055708370764219</v>
      </c>
    </row>
    <row r="17445" spans="25:26" x14ac:dyDescent="0.25">
      <c r="Y17445" s="63">
        <v>59978</v>
      </c>
      <c r="Z17445" s="61">
        <f>_xll.qlYieldTSDiscount($U$35,Y17445,,Trigger)</f>
        <v>0.39053397389066691</v>
      </c>
    </row>
    <row r="17446" spans="25:26" x14ac:dyDescent="0.25">
      <c r="Y17446" s="63">
        <v>59979</v>
      </c>
      <c r="Z17446" s="61">
        <f>_xll.qlYieldTSDiscount($U$35,Y17446,,Trigger)</f>
        <v>0.39051086572095928</v>
      </c>
    </row>
    <row r="17447" spans="25:26" x14ac:dyDescent="0.25">
      <c r="Y17447" s="63">
        <v>59980</v>
      </c>
      <c r="Z17447" s="61">
        <f>_xll.qlYieldTSDiscount($U$35,Y17447,,Trigger)</f>
        <v>0.39048775919815321</v>
      </c>
    </row>
    <row r="17448" spans="25:26" x14ac:dyDescent="0.25">
      <c r="Y17448" s="63">
        <v>59981</v>
      </c>
      <c r="Z17448" s="61">
        <f>_xll.qlYieldTSDiscount($U$35,Y17448,,Trigger)</f>
        <v>0.39046465432188271</v>
      </c>
    </row>
    <row r="17449" spans="25:26" x14ac:dyDescent="0.25">
      <c r="Y17449" s="63">
        <v>59982</v>
      </c>
      <c r="Z17449" s="61">
        <f>_xll.qlYieldTSDiscount($U$35,Y17449,,Trigger)</f>
        <v>0.39044155109178202</v>
      </c>
    </row>
    <row r="17450" spans="25:26" x14ac:dyDescent="0.25">
      <c r="Y17450" s="63">
        <v>59983</v>
      </c>
      <c r="Z17450" s="61">
        <f>_xll.qlYieldTSDiscount($U$35,Y17450,,Trigger)</f>
        <v>0.39041844950748483</v>
      </c>
    </row>
    <row r="17451" spans="25:26" x14ac:dyDescent="0.25">
      <c r="Y17451" s="63">
        <v>59984</v>
      </c>
      <c r="Z17451" s="61">
        <f>_xll.qlYieldTSDiscount($U$35,Y17451,,Trigger)</f>
        <v>0.39039534956862543</v>
      </c>
    </row>
    <row r="17452" spans="25:26" x14ac:dyDescent="0.25">
      <c r="Y17452" s="63">
        <v>59985</v>
      </c>
      <c r="Z17452" s="61">
        <f>_xll.qlYieldTSDiscount($U$35,Y17452,,Trigger)</f>
        <v>0.39037225127483777</v>
      </c>
    </row>
    <row r="17453" spans="25:26" x14ac:dyDescent="0.25">
      <c r="Y17453" s="63">
        <v>59986</v>
      </c>
      <c r="Z17453" s="61">
        <f>_xll.qlYieldTSDiscount($U$35,Y17453,,Trigger)</f>
        <v>0.39034915462575581</v>
      </c>
    </row>
    <row r="17454" spans="25:26" x14ac:dyDescent="0.25">
      <c r="Y17454" s="63">
        <v>59987</v>
      </c>
      <c r="Z17454" s="61">
        <f>_xll.qlYieldTSDiscount($U$35,Y17454,,Trigger)</f>
        <v>0.39032605962101358</v>
      </c>
    </row>
    <row r="17455" spans="25:26" x14ac:dyDescent="0.25">
      <c r="Y17455" s="63">
        <v>59988</v>
      </c>
      <c r="Z17455" s="61">
        <f>_xll.qlYieldTSDiscount($U$35,Y17455,,Trigger)</f>
        <v>0.39030296626024519</v>
      </c>
    </row>
    <row r="17456" spans="25:26" x14ac:dyDescent="0.25">
      <c r="Y17456" s="63">
        <v>59989</v>
      </c>
      <c r="Z17456" s="61">
        <f>_xll.qlYieldTSDiscount($U$35,Y17456,,Trigger)</f>
        <v>0.39027987454308455</v>
      </c>
    </row>
    <row r="17457" spans="25:26" x14ac:dyDescent="0.25">
      <c r="Y17457" s="63">
        <v>59990</v>
      </c>
      <c r="Z17457" s="61">
        <f>_xll.qlYieldTSDiscount($U$35,Y17457,,Trigger)</f>
        <v>0.39025678446916579</v>
      </c>
    </row>
    <row r="17458" spans="25:26" x14ac:dyDescent="0.25">
      <c r="Y17458" s="63">
        <v>59991</v>
      </c>
      <c r="Z17458" s="61">
        <f>_xll.qlYieldTSDiscount($U$35,Y17458,,Trigger)</f>
        <v>0.39023369603812286</v>
      </c>
    </row>
    <row r="17459" spans="25:26" x14ac:dyDescent="0.25">
      <c r="Y17459" s="63">
        <v>59992</v>
      </c>
      <c r="Z17459" s="61">
        <f>_xll.qlYieldTSDiscount($U$35,Y17459,,Trigger)</f>
        <v>0.39021060924958983</v>
      </c>
    </row>
    <row r="17460" spans="25:26" x14ac:dyDescent="0.25">
      <c r="Y17460" s="63">
        <v>59993</v>
      </c>
      <c r="Z17460" s="61">
        <f>_xll.qlYieldTSDiscount($U$35,Y17460,,Trigger)</f>
        <v>0.39018752410320068</v>
      </c>
    </row>
    <row r="17461" spans="25:26" x14ac:dyDescent="0.25">
      <c r="Y17461" s="63">
        <v>59994</v>
      </c>
      <c r="Z17461" s="61">
        <f>_xll.qlYieldTSDiscount($U$35,Y17461,,Trigger)</f>
        <v>0.3901644405985894</v>
      </c>
    </row>
    <row r="17462" spans="25:26" x14ac:dyDescent="0.25">
      <c r="Y17462" s="63">
        <v>59995</v>
      </c>
      <c r="Z17462" s="61">
        <f>_xll.qlYieldTSDiscount($U$35,Y17462,,Trigger)</f>
        <v>0.39014135873539013</v>
      </c>
    </row>
    <row r="17463" spans="25:26" x14ac:dyDescent="0.25">
      <c r="Y17463" s="63">
        <v>59996</v>
      </c>
      <c r="Z17463" s="61">
        <f>_xll.qlYieldTSDiscount($U$35,Y17463,,Trigger)</f>
        <v>0.39011827851323677</v>
      </c>
    </row>
    <row r="17464" spans="25:26" x14ac:dyDescent="0.25">
      <c r="Y17464" s="63">
        <v>59997</v>
      </c>
      <c r="Z17464" s="61">
        <f>_xll.qlYieldTSDiscount($U$35,Y17464,,Trigger)</f>
        <v>0.39009519993176339</v>
      </c>
    </row>
    <row r="17465" spans="25:26" x14ac:dyDescent="0.25">
      <c r="Y17465" s="63">
        <v>59998</v>
      </c>
      <c r="Z17465" s="61">
        <f>_xll.qlYieldTSDiscount($U$35,Y17465,,Trigger)</f>
        <v>0.39007212299060412</v>
      </c>
    </row>
    <row r="17466" spans="25:26" x14ac:dyDescent="0.25">
      <c r="Y17466" s="63">
        <v>59999</v>
      </c>
      <c r="Z17466" s="61">
        <f>_xll.qlYieldTSDiscount($U$35,Y17466,,Trigger)</f>
        <v>0.39004904768939275</v>
      </c>
    </row>
    <row r="17467" spans="25:26" x14ac:dyDescent="0.25">
      <c r="Y17467" s="63">
        <v>60000</v>
      </c>
      <c r="Z17467" s="61">
        <f>_xll.qlYieldTSDiscount($U$35,Y17467,,Trigger)</f>
        <v>0.3900259740277634</v>
      </c>
    </row>
    <row r="17468" spans="25:26" x14ac:dyDescent="0.25">
      <c r="Y17468" s="63">
        <v>60001</v>
      </c>
      <c r="Z17468" s="61">
        <f>_xll.qlYieldTSDiscount($U$35,Y17468,,Trigger)</f>
        <v>0.39000290200535015</v>
      </c>
    </row>
    <row r="17469" spans="25:26" x14ac:dyDescent="0.25">
      <c r="Y17469" s="63">
        <v>60002</v>
      </c>
      <c r="Z17469" s="61">
        <f>_xll.qlYieldTSDiscount($U$35,Y17469,,Trigger)</f>
        <v>0.38997983162178707</v>
      </c>
    </row>
    <row r="17470" spans="25:26" x14ac:dyDescent="0.25">
      <c r="Y17470" s="63">
        <v>60003</v>
      </c>
      <c r="Z17470" s="61">
        <f>_xll.qlYieldTSDiscount($U$35,Y17470,,Trigger)</f>
        <v>0.389956762876708</v>
      </c>
    </row>
    <row r="17471" spans="25:26" x14ac:dyDescent="0.25">
      <c r="Y17471" s="63">
        <v>60004</v>
      </c>
      <c r="Z17471" s="61">
        <f>_xll.qlYieldTSDiscount($U$35,Y17471,,Trigger)</f>
        <v>0.38993369576974712</v>
      </c>
    </row>
    <row r="17472" spans="25:26" x14ac:dyDescent="0.25">
      <c r="Y17472" s="63">
        <v>60005</v>
      </c>
      <c r="Z17472" s="61">
        <f>_xll.qlYieldTSDiscount($U$35,Y17472,,Trigger)</f>
        <v>0.38991063030053841</v>
      </c>
    </row>
    <row r="17473" spans="25:26" x14ac:dyDescent="0.25">
      <c r="Y17473" s="63">
        <v>60006</v>
      </c>
      <c r="Z17473" s="61">
        <f>_xll.qlYieldTSDiscount($U$35,Y17473,,Trigger)</f>
        <v>0.38988756646871586</v>
      </c>
    </row>
    <row r="17474" spans="25:26" x14ac:dyDescent="0.25">
      <c r="Y17474" s="63">
        <v>60007</v>
      </c>
      <c r="Z17474" s="61">
        <f>_xll.qlYieldTSDiscount($U$35,Y17474,,Trigger)</f>
        <v>0.3898645042739135</v>
      </c>
    </row>
    <row r="17475" spans="25:26" x14ac:dyDescent="0.25">
      <c r="Y17475" s="63">
        <v>60008</v>
      </c>
      <c r="Z17475" s="61">
        <f>_xll.qlYieldTSDiscount($U$35,Y17475,,Trigger)</f>
        <v>0.3898414437157654</v>
      </c>
    </row>
    <row r="17476" spans="25:26" x14ac:dyDescent="0.25">
      <c r="Y17476" s="63">
        <v>60009</v>
      </c>
      <c r="Z17476" s="61">
        <f>_xll.qlYieldTSDiscount($U$35,Y17476,,Trigger)</f>
        <v>0.38981838479390551</v>
      </c>
    </row>
    <row r="17477" spans="25:26" x14ac:dyDescent="0.25">
      <c r="Y17477" s="63">
        <v>60010</v>
      </c>
      <c r="Z17477" s="61">
        <f>_xll.qlYieldTSDiscount($U$35,Y17477,,Trigger)</f>
        <v>0.38979532750796786</v>
      </c>
    </row>
    <row r="17478" spans="25:26" x14ac:dyDescent="0.25">
      <c r="Y17478" s="63">
        <v>60011</v>
      </c>
      <c r="Z17478" s="61">
        <f>_xll.qlYieldTSDiscount($U$35,Y17478,,Trigger)</f>
        <v>0.38977227185758656</v>
      </c>
    </row>
    <row r="17479" spans="25:26" x14ac:dyDescent="0.25">
      <c r="Y17479" s="63">
        <v>60012</v>
      </c>
      <c r="Z17479" s="61">
        <f>_xll.qlYieldTSDiscount($U$35,Y17479,,Trigger)</f>
        <v>0.38974921784239558</v>
      </c>
    </row>
    <row r="17480" spans="25:26" x14ac:dyDescent="0.25">
      <c r="Y17480" s="63">
        <v>60013</v>
      </c>
      <c r="Z17480" s="61">
        <f>_xll.qlYieldTSDiscount($U$35,Y17480,,Trigger)</f>
        <v>0.38972616546202887</v>
      </c>
    </row>
    <row r="17481" spans="25:26" x14ac:dyDescent="0.25">
      <c r="Y17481" s="63">
        <v>60014</v>
      </c>
      <c r="Z17481" s="61">
        <f>_xll.qlYieldTSDiscount($U$35,Y17481,,Trigger)</f>
        <v>0.38970311471612051</v>
      </c>
    </row>
    <row r="17482" spans="25:26" x14ac:dyDescent="0.25">
      <c r="Y17482" s="63">
        <v>60015</v>
      </c>
      <c r="Z17482" s="61">
        <f>_xll.qlYieldTSDiscount($U$35,Y17482,,Trigger)</f>
        <v>0.38968006560430452</v>
      </c>
    </row>
    <row r="17483" spans="25:26" x14ac:dyDescent="0.25">
      <c r="Y17483" s="63">
        <v>60016</v>
      </c>
      <c r="Z17483" s="61">
        <f>_xll.qlYieldTSDiscount($U$35,Y17483,,Trigger)</f>
        <v>0.38965701812621495</v>
      </c>
    </row>
    <row r="17484" spans="25:26" x14ac:dyDescent="0.25">
      <c r="Y17484" s="63">
        <v>60017</v>
      </c>
      <c r="Z17484" s="61">
        <f>_xll.qlYieldTSDiscount($U$35,Y17484,,Trigger)</f>
        <v>0.38963397228148577</v>
      </c>
    </row>
    <row r="17485" spans="25:26" x14ac:dyDescent="0.25">
      <c r="Y17485" s="63">
        <v>60018</v>
      </c>
      <c r="Z17485" s="61">
        <f>_xll.qlYieldTSDiscount($U$35,Y17485,,Trigger)</f>
        <v>0.38961092806975112</v>
      </c>
    </row>
    <row r="17486" spans="25:26" x14ac:dyDescent="0.25">
      <c r="Y17486" s="63">
        <v>60019</v>
      </c>
      <c r="Z17486" s="61">
        <f>_xll.qlYieldTSDiscount($U$35,Y17486,,Trigger)</f>
        <v>0.38958788549064483</v>
      </c>
    </row>
    <row r="17487" spans="25:26" x14ac:dyDescent="0.25">
      <c r="Y17487" s="63">
        <v>60020</v>
      </c>
      <c r="Z17487" s="61">
        <f>_xll.qlYieldTSDiscount($U$35,Y17487,,Trigger)</f>
        <v>0.38956484454380103</v>
      </c>
    </row>
    <row r="17488" spans="25:26" x14ac:dyDescent="0.25">
      <c r="Y17488" s="63">
        <v>60021</v>
      </c>
      <c r="Z17488" s="61">
        <f>_xll.qlYieldTSDiscount($U$35,Y17488,,Trigger)</f>
        <v>0.38954180522885384</v>
      </c>
    </row>
    <row r="17489" spans="25:26" x14ac:dyDescent="0.25">
      <c r="Y17489" s="63">
        <v>60022</v>
      </c>
      <c r="Z17489" s="61">
        <f>_xll.qlYieldTSDiscount($U$35,Y17489,,Trigger)</f>
        <v>0.38951876754543713</v>
      </c>
    </row>
    <row r="17490" spans="25:26" x14ac:dyDescent="0.25">
      <c r="Y17490" s="63">
        <v>60023</v>
      </c>
      <c r="Z17490" s="61">
        <f>_xll.qlYieldTSDiscount($U$35,Y17490,,Trigger)</f>
        <v>0.38949573149318489</v>
      </c>
    </row>
    <row r="17491" spans="25:26" x14ac:dyDescent="0.25">
      <c r="Y17491" s="63">
        <v>60024</v>
      </c>
      <c r="Z17491" s="61">
        <f>_xll.qlYieldTSDiscount($U$35,Y17491,,Trigger)</f>
        <v>0.38947269707173132</v>
      </c>
    </row>
    <row r="17492" spans="25:26" x14ac:dyDescent="0.25">
      <c r="Y17492" s="63">
        <v>60025</v>
      </c>
      <c r="Z17492" s="61">
        <f>_xll.qlYieldTSDiscount($U$35,Y17492,,Trigger)</f>
        <v>0.38944966428071026</v>
      </c>
    </row>
    <row r="17493" spans="25:26" x14ac:dyDescent="0.25">
      <c r="Y17493" s="63">
        <v>60026</v>
      </c>
      <c r="Z17493" s="61">
        <f>_xll.qlYieldTSDiscount($U$35,Y17493,,Trigger)</f>
        <v>0.38942663311975589</v>
      </c>
    </row>
    <row r="17494" spans="25:26" x14ac:dyDescent="0.25">
      <c r="Y17494" s="63">
        <v>60027</v>
      </c>
      <c r="Z17494" s="61">
        <f>_xll.qlYieldTSDiscount($U$35,Y17494,,Trigger)</f>
        <v>0.38940360358850212</v>
      </c>
    </row>
    <row r="17495" spans="25:26" x14ac:dyDescent="0.25">
      <c r="Y17495" s="63">
        <v>60028</v>
      </c>
      <c r="Z17495" s="61">
        <f>_xll.qlYieldTSDiscount($U$35,Y17495,,Trigger)</f>
        <v>0.38938057568658302</v>
      </c>
    </row>
    <row r="17496" spans="25:26" x14ac:dyDescent="0.25">
      <c r="Y17496" s="63">
        <v>60029</v>
      </c>
      <c r="Z17496" s="61">
        <f>_xll.qlYieldTSDiscount($U$35,Y17496,,Trigger)</f>
        <v>0.3893575494136326</v>
      </c>
    </row>
    <row r="17497" spans="25:26" x14ac:dyDescent="0.25">
      <c r="Y17497" s="63">
        <v>60030</v>
      </c>
      <c r="Z17497" s="61">
        <f>_xll.qlYieldTSDiscount($U$35,Y17497,,Trigger)</f>
        <v>0.38933452476928487</v>
      </c>
    </row>
    <row r="17498" spans="25:26" x14ac:dyDescent="0.25">
      <c r="Y17498" s="63">
        <v>60031</v>
      </c>
      <c r="Z17498" s="61">
        <f>_xll.qlYieldTSDiscount($U$35,Y17498,,Trigger)</f>
        <v>0.38931150175317386</v>
      </c>
    </row>
    <row r="17499" spans="25:26" x14ac:dyDescent="0.25">
      <c r="Y17499" s="63">
        <v>60032</v>
      </c>
      <c r="Z17499" s="61">
        <f>_xll.qlYieldTSDiscount($U$35,Y17499,,Trigger)</f>
        <v>0.38928848036493363</v>
      </c>
    </row>
    <row r="17500" spans="25:26" x14ac:dyDescent="0.25">
      <c r="Y17500" s="63">
        <v>60033</v>
      </c>
      <c r="Z17500" s="61">
        <f>_xll.qlYieldTSDiscount($U$35,Y17500,,Trigger)</f>
        <v>0.38926546060419809</v>
      </c>
    </row>
    <row r="17501" spans="25:26" x14ac:dyDescent="0.25">
      <c r="Y17501" s="63">
        <v>60034</v>
      </c>
      <c r="Z17501" s="61">
        <f>_xll.qlYieldTSDiscount($U$35,Y17501,,Trigger)</f>
        <v>0.38924244247060147</v>
      </c>
    </row>
    <row r="17502" spans="25:26" x14ac:dyDescent="0.25">
      <c r="Y17502" s="63">
        <v>60035</v>
      </c>
      <c r="Z17502" s="61">
        <f>_xll.qlYieldTSDiscount($U$35,Y17502,,Trigger)</f>
        <v>0.38921942596377757</v>
      </c>
    </row>
    <row r="17503" spans="25:26" x14ac:dyDescent="0.25">
      <c r="Y17503" s="63">
        <v>60036</v>
      </c>
      <c r="Z17503" s="61">
        <f>_xll.qlYieldTSDiscount($U$35,Y17503,,Trigger)</f>
        <v>0.38919641108336051</v>
      </c>
    </row>
    <row r="17504" spans="25:26" x14ac:dyDescent="0.25">
      <c r="Y17504" s="63">
        <v>60037</v>
      </c>
      <c r="Z17504" s="61">
        <f>_xll.qlYieldTSDiscount($U$35,Y17504,,Trigger)</f>
        <v>0.38917339782898436</v>
      </c>
    </row>
    <row r="17505" spans="25:26" x14ac:dyDescent="0.25">
      <c r="Y17505" s="63">
        <v>60038</v>
      </c>
      <c r="Z17505" s="61">
        <f>_xll.qlYieldTSDiscount($U$35,Y17505,,Trigger)</f>
        <v>0.38915038620028303</v>
      </c>
    </row>
    <row r="17506" spans="25:26" x14ac:dyDescent="0.25">
      <c r="Y17506" s="63">
        <v>60039</v>
      </c>
      <c r="Z17506" s="61">
        <f>_xll.qlYieldTSDiscount($U$35,Y17506,,Trigger)</f>
        <v>0.38912737619689058</v>
      </c>
    </row>
    <row r="17507" spans="25:26" x14ac:dyDescent="0.25">
      <c r="Y17507" s="63">
        <v>60040</v>
      </c>
      <c r="Z17507" s="61">
        <f>_xll.qlYieldTSDiscount($U$35,Y17507,,Trigger)</f>
        <v>0.38910436781844115</v>
      </c>
    </row>
    <row r="17508" spans="25:26" x14ac:dyDescent="0.25">
      <c r="Y17508" s="63">
        <v>60041</v>
      </c>
      <c r="Z17508" s="61">
        <f>_xll.qlYieldTSDiscount($U$35,Y17508,,Trigger)</f>
        <v>0.38908136106456859</v>
      </c>
    </row>
    <row r="17509" spans="25:26" x14ac:dyDescent="0.25">
      <c r="Y17509" s="63">
        <v>60042</v>
      </c>
      <c r="Z17509" s="61">
        <f>_xll.qlYieldTSDiscount($U$35,Y17509,,Trigger)</f>
        <v>0.38905835593490695</v>
      </c>
    </row>
    <row r="17510" spans="25:26" x14ac:dyDescent="0.25">
      <c r="Y17510" s="63">
        <v>60043</v>
      </c>
      <c r="Z17510" s="61">
        <f>_xll.qlYieldTSDiscount($U$35,Y17510,,Trigger)</f>
        <v>0.38903535242909038</v>
      </c>
    </row>
    <row r="17511" spans="25:26" x14ac:dyDescent="0.25">
      <c r="Y17511" s="63">
        <v>60044</v>
      </c>
      <c r="Z17511" s="61">
        <f>_xll.qlYieldTSDiscount($U$35,Y17511,,Trigger)</f>
        <v>0.38901235054675276</v>
      </c>
    </row>
    <row r="17512" spans="25:26" x14ac:dyDescent="0.25">
      <c r="Y17512" s="63">
        <v>60045</v>
      </c>
      <c r="Z17512" s="61">
        <f>_xll.qlYieldTSDiscount($U$35,Y17512,,Trigger)</f>
        <v>0.38898935028752823</v>
      </c>
    </row>
    <row r="17513" spans="25:26" x14ac:dyDescent="0.25">
      <c r="Y17513" s="63">
        <v>60046</v>
      </c>
      <c r="Z17513" s="61">
        <f>_xll.qlYieldTSDiscount($U$35,Y17513,,Trigger)</f>
        <v>0.3889663516510507</v>
      </c>
    </row>
    <row r="17514" spans="25:26" x14ac:dyDescent="0.25">
      <c r="Y17514" s="63">
        <v>60047</v>
      </c>
      <c r="Z17514" s="61">
        <f>_xll.qlYieldTSDiscount($U$35,Y17514,,Trigger)</f>
        <v>0.38894335463695434</v>
      </c>
    </row>
    <row r="17515" spans="25:26" x14ac:dyDescent="0.25">
      <c r="Y17515" s="63">
        <v>60048</v>
      </c>
      <c r="Z17515" s="61">
        <f>_xll.qlYieldTSDiscount($U$35,Y17515,,Trigger)</f>
        <v>0.388920359244873</v>
      </c>
    </row>
    <row r="17516" spans="25:26" x14ac:dyDescent="0.25">
      <c r="Y17516" s="63">
        <v>60049</v>
      </c>
      <c r="Z17516" s="61">
        <f>_xll.qlYieldTSDiscount($U$35,Y17516,,Trigger)</f>
        <v>0.38889736547444076</v>
      </c>
    </row>
    <row r="17517" spans="25:26" x14ac:dyDescent="0.25">
      <c r="Y17517" s="63">
        <v>60050</v>
      </c>
      <c r="Z17517" s="61">
        <f>_xll.qlYieldTSDiscount($U$35,Y17517,,Trigger)</f>
        <v>0.38887437332529173</v>
      </c>
    </row>
    <row r="17518" spans="25:26" x14ac:dyDescent="0.25">
      <c r="Y17518" s="63">
        <v>60051</v>
      </c>
      <c r="Z17518" s="61">
        <f>_xll.qlYieldTSDiscount($U$35,Y17518,,Trigger)</f>
        <v>0.38885138279705977</v>
      </c>
    </row>
    <row r="17519" spans="25:26" x14ac:dyDescent="0.25">
      <c r="Y17519" s="63">
        <v>60052</v>
      </c>
      <c r="Z17519" s="61">
        <f>_xll.qlYieldTSDiscount($U$35,Y17519,,Trigger)</f>
        <v>0.38882839388937906</v>
      </c>
    </row>
    <row r="17520" spans="25:26" x14ac:dyDescent="0.25">
      <c r="Y17520" s="63">
        <v>60053</v>
      </c>
      <c r="Z17520" s="61">
        <f>_xll.qlYieldTSDiscount($U$35,Y17520,,Trigger)</f>
        <v>0.38880540660188356</v>
      </c>
    </row>
    <row r="17521" spans="25:26" x14ac:dyDescent="0.25">
      <c r="Y17521" s="63">
        <v>60054</v>
      </c>
      <c r="Z17521" s="61">
        <f>_xll.qlYieldTSDiscount($U$35,Y17521,,Trigger)</f>
        <v>0.38878242093420723</v>
      </c>
    </row>
    <row r="17522" spans="25:26" x14ac:dyDescent="0.25">
      <c r="Y17522" s="63">
        <v>60055</v>
      </c>
      <c r="Z17522" s="61">
        <f>_xll.qlYieldTSDiscount($U$35,Y17522,,Trigger)</f>
        <v>0.38875943688598413</v>
      </c>
    </row>
    <row r="17523" spans="25:26" x14ac:dyDescent="0.25">
      <c r="Y17523" s="63">
        <v>60056</v>
      </c>
      <c r="Z17523" s="61">
        <f>_xll.qlYieldTSDiscount($U$35,Y17523,,Trigger)</f>
        <v>0.3887364544568484</v>
      </c>
    </row>
    <row r="17524" spans="25:26" x14ac:dyDescent="0.25">
      <c r="Y17524" s="63">
        <v>60057</v>
      </c>
      <c r="Z17524" s="61">
        <f>_xll.qlYieldTSDiscount($U$35,Y17524,,Trigger)</f>
        <v>0.38871347364643394</v>
      </c>
    </row>
    <row r="17525" spans="25:26" x14ac:dyDescent="0.25">
      <c r="Y17525" s="63">
        <v>60058</v>
      </c>
      <c r="Z17525" s="61">
        <f>_xll.qlYieldTSDiscount($U$35,Y17525,,Trigger)</f>
        <v>0.38869049445437476</v>
      </c>
    </row>
    <row r="17526" spans="25:26" x14ac:dyDescent="0.25">
      <c r="Y17526" s="63">
        <v>60059</v>
      </c>
      <c r="Z17526" s="61">
        <f>_xll.qlYieldTSDiscount($U$35,Y17526,,Trigger)</f>
        <v>0.38866751688030499</v>
      </c>
    </row>
    <row r="17527" spans="25:26" x14ac:dyDescent="0.25">
      <c r="Y17527" s="63">
        <v>60060</v>
      </c>
      <c r="Z17527" s="61">
        <f>_xll.qlYieldTSDiscount($U$35,Y17527,,Trigger)</f>
        <v>0.38864454092385847</v>
      </c>
    </row>
    <row r="17528" spans="25:26" x14ac:dyDescent="0.25">
      <c r="Y17528" s="63">
        <v>60061</v>
      </c>
      <c r="Z17528" s="61">
        <f>_xll.qlYieldTSDiscount($U$35,Y17528,,Trigger)</f>
        <v>0.38862156658466934</v>
      </c>
    </row>
    <row r="17529" spans="25:26" x14ac:dyDescent="0.25">
      <c r="Y17529" s="63">
        <v>60062</v>
      </c>
      <c r="Z17529" s="61">
        <f>_xll.qlYieldTSDiscount($U$35,Y17529,,Trigger)</f>
        <v>0.38859859386237167</v>
      </c>
    </row>
    <row r="17530" spans="25:26" x14ac:dyDescent="0.25">
      <c r="Y17530" s="63">
        <v>60063</v>
      </c>
      <c r="Z17530" s="61">
        <f>_xll.qlYieldTSDiscount($U$35,Y17530,,Trigger)</f>
        <v>0.3885756227565994</v>
      </c>
    </row>
    <row r="17531" spans="25:26" x14ac:dyDescent="0.25">
      <c r="Y17531" s="63">
        <v>60064</v>
      </c>
      <c r="Z17531" s="61">
        <f>_xll.qlYieldTSDiscount($U$35,Y17531,,Trigger)</f>
        <v>0.38855265326698657</v>
      </c>
    </row>
    <row r="17532" spans="25:26" x14ac:dyDescent="0.25">
      <c r="Y17532" s="63">
        <v>60065</v>
      </c>
      <c r="Z17532" s="61">
        <f>_xll.qlYieldTSDiscount($U$35,Y17532,,Trigger)</f>
        <v>0.38852968539316723</v>
      </c>
    </row>
    <row r="17533" spans="25:26" x14ac:dyDescent="0.25">
      <c r="Y17533" s="63">
        <v>60066</v>
      </c>
      <c r="Z17533" s="61">
        <f>_xll.qlYieldTSDiscount($U$35,Y17533,,Trigger)</f>
        <v>0.38850671913477541</v>
      </c>
    </row>
    <row r="17534" spans="25:26" x14ac:dyDescent="0.25">
      <c r="Y17534" s="63">
        <v>60067</v>
      </c>
      <c r="Z17534" s="61">
        <f>_xll.qlYieldTSDiscount($U$35,Y17534,,Trigger)</f>
        <v>0.38848375449144501</v>
      </c>
    </row>
    <row r="17535" spans="25:26" x14ac:dyDescent="0.25">
      <c r="Y17535" s="63">
        <v>60068</v>
      </c>
      <c r="Z17535" s="61">
        <f>_xll.qlYieldTSDiscount($U$35,Y17535,,Trigger)</f>
        <v>0.38846079146281015</v>
      </c>
    </row>
    <row r="17536" spans="25:26" x14ac:dyDescent="0.25">
      <c r="Y17536" s="63">
        <v>60069</v>
      </c>
      <c r="Z17536" s="61">
        <f>_xll.qlYieldTSDiscount($U$35,Y17536,,Trigger)</f>
        <v>0.38843783004850496</v>
      </c>
    </row>
    <row r="17537" spans="25:26" x14ac:dyDescent="0.25">
      <c r="Y17537" s="63">
        <v>60070</v>
      </c>
      <c r="Z17537" s="61">
        <f>_xll.qlYieldTSDiscount($U$35,Y17537,,Trigger)</f>
        <v>0.38841487024816324</v>
      </c>
    </row>
    <row r="17538" spans="25:26" x14ac:dyDescent="0.25">
      <c r="Y17538" s="63">
        <v>60071</v>
      </c>
      <c r="Z17538" s="61">
        <f>_xll.qlYieldTSDiscount($U$35,Y17538,,Trigger)</f>
        <v>0.38839191206141915</v>
      </c>
    </row>
    <row r="17539" spans="25:26" x14ac:dyDescent="0.25">
      <c r="Y17539" s="63">
        <v>60072</v>
      </c>
      <c r="Z17539" s="61">
        <f>_xll.qlYieldTSDiscount($U$35,Y17539,,Trigger)</f>
        <v>0.38836895548790673</v>
      </c>
    </row>
    <row r="17540" spans="25:26" x14ac:dyDescent="0.25">
      <c r="Y17540" s="63">
        <v>60073</v>
      </c>
      <c r="Z17540" s="61">
        <f>_xll.qlYieldTSDiscount($U$35,Y17540,,Trigger)</f>
        <v>0.38834600052725987</v>
      </c>
    </row>
    <row r="17541" spans="25:26" x14ac:dyDescent="0.25">
      <c r="Y17541" s="63">
        <v>60074</v>
      </c>
      <c r="Z17541" s="61">
        <f>_xll.qlYieldTSDiscount($U$35,Y17541,,Trigger)</f>
        <v>0.3883230471791127</v>
      </c>
    </row>
    <row r="17542" spans="25:26" x14ac:dyDescent="0.25">
      <c r="Y17542" s="63">
        <v>60075</v>
      </c>
      <c r="Z17542" s="61">
        <f>_xll.qlYieldTSDiscount($U$35,Y17542,,Trigger)</f>
        <v>0.38830009544309918</v>
      </c>
    </row>
    <row r="17543" spans="25:26" x14ac:dyDescent="0.25">
      <c r="Y17543" s="63">
        <v>60076</v>
      </c>
      <c r="Z17543" s="61">
        <f>_xll.qlYieldTSDiscount($U$35,Y17543,,Trigger)</f>
        <v>0.38827714531885349</v>
      </c>
    </row>
    <row r="17544" spans="25:26" x14ac:dyDescent="0.25">
      <c r="Y17544" s="63">
        <v>60077</v>
      </c>
      <c r="Z17544" s="61">
        <f>_xll.qlYieldTSDiscount($U$35,Y17544,,Trigger)</f>
        <v>0.38825419680600948</v>
      </c>
    </row>
    <row r="17545" spans="25:26" x14ac:dyDescent="0.25">
      <c r="Y17545" s="63">
        <v>60078</v>
      </c>
      <c r="Z17545" s="61">
        <f>_xll.qlYieldTSDiscount($U$35,Y17545,,Trigger)</f>
        <v>0.38823124990420121</v>
      </c>
    </row>
    <row r="17546" spans="25:26" x14ac:dyDescent="0.25">
      <c r="Y17546" s="63">
        <v>60079</v>
      </c>
      <c r="Z17546" s="61">
        <f>_xll.qlYieldTSDiscount($U$35,Y17546,,Trigger)</f>
        <v>0.38820830461306266</v>
      </c>
    </row>
    <row r="17547" spans="25:26" x14ac:dyDescent="0.25">
      <c r="Y17547" s="63">
        <v>60080</v>
      </c>
      <c r="Z17547" s="61">
        <f>_xll.qlYieldTSDiscount($U$35,Y17547,,Trigger)</f>
        <v>0.388185360932228</v>
      </c>
    </row>
    <row r="17548" spans="25:26" x14ac:dyDescent="0.25">
      <c r="Y17548" s="63">
        <v>60081</v>
      </c>
      <c r="Z17548" s="61">
        <f>_xll.qlYieldTSDiscount($U$35,Y17548,,Trigger)</f>
        <v>0.38816241886133107</v>
      </c>
    </row>
    <row r="17549" spans="25:26" x14ac:dyDescent="0.25">
      <c r="Y17549" s="63">
        <v>60082</v>
      </c>
      <c r="Z17549" s="61">
        <f>_xll.qlYieldTSDiscount($U$35,Y17549,,Trigger)</f>
        <v>0.38813947840000607</v>
      </c>
    </row>
    <row r="17550" spans="25:26" x14ac:dyDescent="0.25">
      <c r="Y17550" s="63">
        <v>60083</v>
      </c>
      <c r="Z17550" s="61">
        <f>_xll.qlYieldTSDiscount($U$35,Y17550,,Trigger)</f>
        <v>0.38811653954788683</v>
      </c>
    </row>
    <row r="17551" spans="25:26" x14ac:dyDescent="0.25">
      <c r="Y17551" s="63">
        <v>60084</v>
      </c>
      <c r="Z17551" s="61">
        <f>_xll.qlYieldTSDiscount($U$35,Y17551,,Trigger)</f>
        <v>0.38809360230460754</v>
      </c>
    </row>
    <row r="17552" spans="25:26" x14ac:dyDescent="0.25">
      <c r="Y17552" s="63">
        <v>60085</v>
      </c>
      <c r="Z17552" s="61">
        <f>_xll.qlYieldTSDiscount($U$35,Y17552,,Trigger)</f>
        <v>0.38807066666980217</v>
      </c>
    </row>
    <row r="17553" spans="25:26" x14ac:dyDescent="0.25">
      <c r="Y17553" s="63">
        <v>60086</v>
      </c>
      <c r="Z17553" s="61">
        <f>_xll.qlYieldTSDiscount($U$35,Y17553,,Trigger)</f>
        <v>0.38804773264310466</v>
      </c>
    </row>
    <row r="17554" spans="25:26" x14ac:dyDescent="0.25">
      <c r="Y17554" s="63">
        <v>60087</v>
      </c>
      <c r="Z17554" s="61">
        <f>_xll.qlYieldTSDiscount($U$35,Y17554,,Trigger)</f>
        <v>0.38802480022414909</v>
      </c>
    </row>
    <row r="17555" spans="25:26" x14ac:dyDescent="0.25">
      <c r="Y17555" s="63">
        <v>60088</v>
      </c>
      <c r="Z17555" s="61">
        <f>_xll.qlYieldTSDiscount($U$35,Y17555,,Trigger)</f>
        <v>0.38800186941256964</v>
      </c>
    </row>
    <row r="17556" spans="25:26" x14ac:dyDescent="0.25">
      <c r="Y17556" s="63">
        <v>60089</v>
      </c>
      <c r="Z17556" s="61">
        <f>_xll.qlYieldTSDiscount($U$35,Y17556,,Trigger)</f>
        <v>0.38797894020800006</v>
      </c>
    </row>
    <row r="17557" spans="25:26" x14ac:dyDescent="0.25">
      <c r="Y17557" s="63">
        <v>60090</v>
      </c>
      <c r="Z17557" s="61">
        <f>_xll.qlYieldTSDiscount($U$35,Y17557,,Trigger)</f>
        <v>0.38795601261007451</v>
      </c>
    </row>
    <row r="17558" spans="25:26" x14ac:dyDescent="0.25">
      <c r="Y17558" s="63">
        <v>60091</v>
      </c>
      <c r="Z17558" s="61">
        <f>_xll.qlYieldTSDiscount($U$35,Y17558,,Trigger)</f>
        <v>0.38793308661842696</v>
      </c>
    </row>
    <row r="17559" spans="25:26" x14ac:dyDescent="0.25">
      <c r="Y17559" s="63">
        <v>60092</v>
      </c>
      <c r="Z17559" s="61">
        <f>_xll.qlYieldTSDiscount($U$35,Y17559,,Trigger)</f>
        <v>0.38791016223269154</v>
      </c>
    </row>
    <row r="17560" spans="25:26" x14ac:dyDescent="0.25">
      <c r="Y17560" s="63">
        <v>60093</v>
      </c>
      <c r="Z17560" s="61">
        <f>_xll.qlYieldTSDiscount($U$35,Y17560,,Trigger)</f>
        <v>0.38788723945250214</v>
      </c>
    </row>
    <row r="17561" spans="25:26" x14ac:dyDescent="0.25">
      <c r="Y17561" s="63">
        <v>60094</v>
      </c>
      <c r="Z17561" s="61">
        <f>_xll.qlYieldTSDiscount($U$35,Y17561,,Trigger)</f>
        <v>0.38786431827749285</v>
      </c>
    </row>
    <row r="17562" spans="25:26" x14ac:dyDescent="0.25">
      <c r="Y17562" s="63">
        <v>60095</v>
      </c>
      <c r="Z17562" s="61">
        <f>_xll.qlYieldTSDiscount($U$35,Y17562,,Trigger)</f>
        <v>0.38784139870729772</v>
      </c>
    </row>
    <row r="17563" spans="25:26" x14ac:dyDescent="0.25">
      <c r="Y17563" s="63">
        <v>60096</v>
      </c>
      <c r="Z17563" s="61">
        <f>_xll.qlYieldTSDiscount($U$35,Y17563,,Trigger)</f>
        <v>0.38781848074155073</v>
      </c>
    </row>
    <row r="17564" spans="25:26" x14ac:dyDescent="0.25">
      <c r="Y17564" s="63">
        <v>60097</v>
      </c>
      <c r="Z17564" s="61">
        <f>_xll.qlYieldTSDiscount($U$35,Y17564,,Trigger)</f>
        <v>0.38779556437988588</v>
      </c>
    </row>
    <row r="17565" spans="25:26" x14ac:dyDescent="0.25">
      <c r="Y17565" s="63">
        <v>60098</v>
      </c>
      <c r="Z17565" s="61">
        <f>_xll.qlYieldTSDiscount($U$35,Y17565,,Trigger)</f>
        <v>0.38777264962193725</v>
      </c>
    </row>
    <row r="17566" spans="25:26" x14ac:dyDescent="0.25">
      <c r="Y17566" s="63">
        <v>60099</v>
      </c>
      <c r="Z17566" s="61">
        <f>_xll.qlYieldTSDiscount($U$35,Y17566,,Trigger)</f>
        <v>0.38774973646733879</v>
      </c>
    </row>
    <row r="17567" spans="25:26" x14ac:dyDescent="0.25">
      <c r="Y17567" s="63">
        <v>60100</v>
      </c>
      <c r="Z17567" s="61">
        <f>_xll.qlYieldTSDiscount($U$35,Y17567,,Trigger)</f>
        <v>0.38772682491572463</v>
      </c>
    </row>
    <row r="17568" spans="25:26" x14ac:dyDescent="0.25">
      <c r="Y17568" s="63">
        <v>60101</v>
      </c>
      <c r="Z17568" s="61">
        <f>_xll.qlYieldTSDiscount($U$35,Y17568,,Trigger)</f>
        <v>0.38770391496672874</v>
      </c>
    </row>
    <row r="17569" spans="25:26" x14ac:dyDescent="0.25">
      <c r="Y17569" s="63">
        <v>60102</v>
      </c>
      <c r="Z17569" s="61">
        <f>_xll.qlYieldTSDiscount($U$35,Y17569,,Trigger)</f>
        <v>0.38768100661998506</v>
      </c>
    </row>
    <row r="17570" spans="25:26" x14ac:dyDescent="0.25">
      <c r="Y17570" s="63">
        <v>60103</v>
      </c>
      <c r="Z17570" s="61">
        <f>_xll.qlYieldTSDiscount($U$35,Y17570,,Trigger)</f>
        <v>0.38765809987512767</v>
      </c>
    </row>
    <row r="17571" spans="25:26" x14ac:dyDescent="0.25">
      <c r="Y17571" s="63">
        <v>60104</v>
      </c>
      <c r="Z17571" s="61">
        <f>_xll.qlYieldTSDiscount($U$35,Y17571,,Trigger)</f>
        <v>0.38763519473179064</v>
      </c>
    </row>
    <row r="17572" spans="25:26" x14ac:dyDescent="0.25">
      <c r="Y17572" s="63">
        <v>60105</v>
      </c>
      <c r="Z17572" s="61">
        <f>_xll.qlYieldTSDiscount($U$35,Y17572,,Trigger)</f>
        <v>0.38761229118960794</v>
      </c>
    </row>
    <row r="17573" spans="25:26" x14ac:dyDescent="0.25">
      <c r="Y17573" s="63">
        <v>60106</v>
      </c>
      <c r="Z17573" s="61">
        <f>_xll.qlYieldTSDiscount($U$35,Y17573,,Trigger)</f>
        <v>0.38758938924821351</v>
      </c>
    </row>
    <row r="17574" spans="25:26" x14ac:dyDescent="0.25">
      <c r="Y17574" s="63">
        <v>60107</v>
      </c>
      <c r="Z17574" s="61">
        <f>_xll.qlYieldTSDiscount($U$35,Y17574,,Trigger)</f>
        <v>0.38756648890724155</v>
      </c>
    </row>
    <row r="17575" spans="25:26" x14ac:dyDescent="0.25">
      <c r="Y17575" s="63">
        <v>60108</v>
      </c>
      <c r="Z17575" s="61">
        <f>_xll.qlYieldTSDiscount($U$35,Y17575,,Trigger)</f>
        <v>0.38754359016632611</v>
      </c>
    </row>
    <row r="17576" spans="25:26" x14ac:dyDescent="0.25">
      <c r="Y17576" s="63">
        <v>60109</v>
      </c>
      <c r="Z17576" s="61">
        <f>_xll.qlYieldTSDiscount($U$35,Y17576,,Trigger)</f>
        <v>0.38752069302510095</v>
      </c>
    </row>
    <row r="17577" spans="25:26" x14ac:dyDescent="0.25">
      <c r="Y17577" s="63">
        <v>60110</v>
      </c>
      <c r="Z17577" s="61">
        <f>_xll.qlYieldTSDiscount($U$35,Y17577,,Trigger)</f>
        <v>0.38749779748320023</v>
      </c>
    </row>
    <row r="17578" spans="25:26" x14ac:dyDescent="0.25">
      <c r="Y17578" s="63">
        <v>60111</v>
      </c>
      <c r="Z17578" s="61">
        <f>_xll.qlYieldTSDiscount($U$35,Y17578,,Trigger)</f>
        <v>0.3874749035402581</v>
      </c>
    </row>
    <row r="17579" spans="25:26" x14ac:dyDescent="0.25">
      <c r="Y17579" s="63">
        <v>60112</v>
      </c>
      <c r="Z17579" s="61">
        <f>_xll.qlYieldTSDiscount($U$35,Y17579,,Trigger)</f>
        <v>0.38745201119590844</v>
      </c>
    </row>
    <row r="17580" spans="25:26" x14ac:dyDescent="0.25">
      <c r="Y17580" s="63">
        <v>60113</v>
      </c>
      <c r="Z17580" s="61">
        <f>_xll.qlYieldTSDiscount($U$35,Y17580,,Trigger)</f>
        <v>0.38742912044978517</v>
      </c>
    </row>
    <row r="17581" spans="25:26" x14ac:dyDescent="0.25">
      <c r="Y17581" s="63">
        <v>60114</v>
      </c>
      <c r="Z17581" s="61">
        <f>_xll.qlYieldTSDiscount($U$35,Y17581,,Trigger)</f>
        <v>0.38740623130152263</v>
      </c>
    </row>
    <row r="17582" spans="25:26" x14ac:dyDescent="0.25">
      <c r="Y17582" s="63">
        <v>60115</v>
      </c>
      <c r="Z17582" s="61">
        <f>_xll.qlYieldTSDiscount($U$35,Y17582,,Trigger)</f>
        <v>0.38738334375075456</v>
      </c>
    </row>
    <row r="17583" spans="25:26" x14ac:dyDescent="0.25">
      <c r="Y17583" s="63">
        <v>60116</v>
      </c>
      <c r="Z17583" s="61">
        <f>_xll.qlYieldTSDiscount($U$35,Y17583,,Trigger)</f>
        <v>0.38736045779711503</v>
      </c>
    </row>
    <row r="17584" spans="25:26" x14ac:dyDescent="0.25">
      <c r="Y17584" s="63">
        <v>60117</v>
      </c>
      <c r="Z17584" s="61">
        <f>_xll.qlYieldTSDiscount($U$35,Y17584,,Trigger)</f>
        <v>0.38733757344023817</v>
      </c>
    </row>
    <row r="17585" spans="25:26" x14ac:dyDescent="0.25">
      <c r="Y17585" s="63">
        <v>60118</v>
      </c>
      <c r="Z17585" s="61">
        <f>_xll.qlYieldTSDiscount($U$35,Y17585,,Trigger)</f>
        <v>0.38731469067975788</v>
      </c>
    </row>
    <row r="17586" spans="25:26" x14ac:dyDescent="0.25">
      <c r="Y17586" s="63">
        <v>60119</v>
      </c>
      <c r="Z17586" s="61">
        <f>_xll.qlYieldTSDiscount($U$35,Y17586,,Trigger)</f>
        <v>0.38729180951530823</v>
      </c>
    </row>
    <row r="17587" spans="25:26" x14ac:dyDescent="0.25">
      <c r="Y17587" s="63">
        <v>60120</v>
      </c>
      <c r="Z17587" s="61">
        <f>_xll.qlYieldTSDiscount($U$35,Y17587,,Trigger)</f>
        <v>0.38726892994652329</v>
      </c>
    </row>
    <row r="17588" spans="25:26" x14ac:dyDescent="0.25">
      <c r="Y17588" s="63">
        <v>60121</v>
      </c>
      <c r="Z17588" s="61">
        <f>_xll.qlYieldTSDiscount($U$35,Y17588,,Trigger)</f>
        <v>0.38724605197303708</v>
      </c>
    </row>
    <row r="17589" spans="25:26" x14ac:dyDescent="0.25">
      <c r="Y17589" s="63">
        <v>60122</v>
      </c>
      <c r="Z17589" s="61">
        <f>_xll.qlYieldTSDiscount($U$35,Y17589,,Trigger)</f>
        <v>0.38722317559448349</v>
      </c>
    </row>
    <row r="17590" spans="25:26" x14ac:dyDescent="0.25">
      <c r="Y17590" s="63">
        <v>60123</v>
      </c>
      <c r="Z17590" s="61">
        <f>_xll.qlYieldTSDiscount($U$35,Y17590,,Trigger)</f>
        <v>0.38720030081049672</v>
      </c>
    </row>
    <row r="17591" spans="25:26" x14ac:dyDescent="0.25">
      <c r="Y17591" s="63">
        <v>60124</v>
      </c>
      <c r="Z17591" s="61">
        <f>_xll.qlYieldTSDiscount($U$35,Y17591,,Trigger)</f>
        <v>0.38717742762071072</v>
      </c>
    </row>
    <row r="17592" spans="25:26" x14ac:dyDescent="0.25">
      <c r="Y17592" s="63">
        <v>60125</v>
      </c>
      <c r="Z17592" s="61">
        <f>_xll.qlYieldTSDiscount($U$35,Y17592,,Trigger)</f>
        <v>0.38715455602475946</v>
      </c>
    </row>
    <row r="17593" spans="25:26" x14ac:dyDescent="0.25">
      <c r="Y17593" s="63">
        <v>60126</v>
      </c>
      <c r="Z17593" s="61">
        <f>_xll.qlYieldTSDiscount($U$35,Y17593,,Trigger)</f>
        <v>0.38713168602227693</v>
      </c>
    </row>
    <row r="17594" spans="25:26" x14ac:dyDescent="0.25">
      <c r="Y17594" s="63">
        <v>60127</v>
      </c>
      <c r="Z17594" s="61">
        <f>_xll.qlYieldTSDiscount($U$35,Y17594,,Trigger)</f>
        <v>0.38710881761289734</v>
      </c>
    </row>
    <row r="17595" spans="25:26" x14ac:dyDescent="0.25">
      <c r="Y17595" s="63">
        <v>60128</v>
      </c>
      <c r="Z17595" s="61">
        <f>_xll.qlYieldTSDiscount($U$35,Y17595,,Trigger)</f>
        <v>0.38708595079625452</v>
      </c>
    </row>
    <row r="17596" spans="25:26" x14ac:dyDescent="0.25">
      <c r="Y17596" s="63">
        <v>60129</v>
      </c>
      <c r="Z17596" s="61">
        <f>_xll.qlYieldTSDiscount($U$35,Y17596,,Trigger)</f>
        <v>0.3870630855719826</v>
      </c>
    </row>
    <row r="17597" spans="25:26" x14ac:dyDescent="0.25">
      <c r="Y17597" s="63">
        <v>60130</v>
      </c>
      <c r="Z17597" s="61">
        <f>_xll.qlYieldTSDiscount($U$35,Y17597,,Trigger)</f>
        <v>0.3870402219397156</v>
      </c>
    </row>
    <row r="17598" spans="25:26" x14ac:dyDescent="0.25">
      <c r="Y17598" s="63">
        <v>60131</v>
      </c>
      <c r="Z17598" s="61">
        <f>_xll.qlYieldTSDiscount($U$35,Y17598,,Trigger)</f>
        <v>0.38701735989908748</v>
      </c>
    </row>
    <row r="17599" spans="25:26" x14ac:dyDescent="0.25">
      <c r="Y17599" s="63">
        <v>60132</v>
      </c>
      <c r="Z17599" s="61">
        <f>_xll.qlYieldTSDiscount($U$35,Y17599,,Trigger)</f>
        <v>0.3869944994497323</v>
      </c>
    </row>
    <row r="17600" spans="25:26" x14ac:dyDescent="0.25">
      <c r="Y17600" s="63">
        <v>60133</v>
      </c>
      <c r="Z17600" s="61">
        <f>_xll.qlYieldTSDiscount($U$35,Y17600,,Trigger)</f>
        <v>0.38697164059128408</v>
      </c>
    </row>
    <row r="17601" spans="25:26" x14ac:dyDescent="0.25">
      <c r="Y17601" s="63">
        <v>60134</v>
      </c>
      <c r="Z17601" s="61">
        <f>_xll.qlYieldTSDiscount($U$35,Y17601,,Trigger)</f>
        <v>0.38694878332337679</v>
      </c>
    </row>
    <row r="17602" spans="25:26" x14ac:dyDescent="0.25">
      <c r="Y17602" s="63">
        <v>60135</v>
      </c>
      <c r="Z17602" s="61">
        <f>_xll.qlYieldTSDiscount($U$35,Y17602,,Trigger)</f>
        <v>0.38692592764564449</v>
      </c>
    </row>
    <row r="17603" spans="25:26" x14ac:dyDescent="0.25">
      <c r="Y17603" s="63">
        <v>60136</v>
      </c>
      <c r="Z17603" s="61">
        <f>_xll.qlYieldTSDiscount($U$35,Y17603,,Trigger)</f>
        <v>0.38690307355772124</v>
      </c>
    </row>
    <row r="17604" spans="25:26" x14ac:dyDescent="0.25">
      <c r="Y17604" s="63">
        <v>60137</v>
      </c>
      <c r="Z17604" s="61">
        <f>_xll.qlYieldTSDiscount($U$35,Y17604,,Trigger)</f>
        <v>0.38688022105924114</v>
      </c>
    </row>
    <row r="17605" spans="25:26" x14ac:dyDescent="0.25">
      <c r="Y17605" s="63">
        <v>60138</v>
      </c>
      <c r="Z17605" s="61">
        <f>_xll.qlYieldTSDiscount($U$35,Y17605,,Trigger)</f>
        <v>0.3868573701498379</v>
      </c>
    </row>
    <row r="17606" spans="25:26" x14ac:dyDescent="0.25">
      <c r="Y17606" s="63">
        <v>60139</v>
      </c>
      <c r="Z17606" s="61">
        <f>_xll.qlYieldTSDiscount($U$35,Y17606,,Trigger)</f>
        <v>0.38683452082914588</v>
      </c>
    </row>
    <row r="17607" spans="25:26" x14ac:dyDescent="0.25">
      <c r="Y17607" s="63">
        <v>60140</v>
      </c>
      <c r="Z17607" s="61">
        <f>_xll.qlYieldTSDiscount($U$35,Y17607,,Trigger)</f>
        <v>0.38681167309679898</v>
      </c>
    </row>
    <row r="17608" spans="25:26" x14ac:dyDescent="0.25">
      <c r="Y17608" s="63">
        <v>60141</v>
      </c>
      <c r="Z17608" s="61">
        <f>_xll.qlYieldTSDiscount($U$35,Y17608,,Trigger)</f>
        <v>0.38678882695243116</v>
      </c>
    </row>
    <row r="17609" spans="25:26" x14ac:dyDescent="0.25">
      <c r="Y17609" s="63">
        <v>60142</v>
      </c>
      <c r="Z17609" s="61">
        <f>_xll.qlYieldTSDiscount($U$35,Y17609,,Trigger)</f>
        <v>0.3867659823956765</v>
      </c>
    </row>
    <row r="17610" spans="25:26" x14ac:dyDescent="0.25">
      <c r="Y17610" s="63">
        <v>60143</v>
      </c>
      <c r="Z17610" s="61">
        <f>_xll.qlYieldTSDiscount($U$35,Y17610,,Trigger)</f>
        <v>0.386743139426169</v>
      </c>
    </row>
    <row r="17611" spans="25:26" x14ac:dyDescent="0.25">
      <c r="Y17611" s="63">
        <v>60144</v>
      </c>
      <c r="Z17611" s="61">
        <f>_xll.qlYieldTSDiscount($U$35,Y17611,,Trigger)</f>
        <v>0.38672029804354274</v>
      </c>
    </row>
    <row r="17612" spans="25:26" x14ac:dyDescent="0.25">
      <c r="Y17612" s="63">
        <v>60145</v>
      </c>
      <c r="Z17612" s="61">
        <f>_xll.qlYieldTSDiscount($U$35,Y17612,,Trigger)</f>
        <v>0.38669745824743162</v>
      </c>
    </row>
    <row r="17613" spans="25:26" x14ac:dyDescent="0.25">
      <c r="Y17613" s="63">
        <v>60146</v>
      </c>
      <c r="Z17613" s="61">
        <f>_xll.qlYieldTSDiscount($U$35,Y17613,,Trigger)</f>
        <v>0.38667462003746983</v>
      </c>
    </row>
    <row r="17614" spans="25:26" x14ac:dyDescent="0.25">
      <c r="Y17614" s="63">
        <v>60147</v>
      </c>
      <c r="Z17614" s="61">
        <f>_xll.qlYieldTSDiscount($U$35,Y17614,,Trigger)</f>
        <v>0.38665178341329126</v>
      </c>
    </row>
    <row r="17615" spans="25:26" x14ac:dyDescent="0.25">
      <c r="Y17615" s="63">
        <v>60148</v>
      </c>
      <c r="Z17615" s="61">
        <f>_xll.qlYieldTSDiscount($U$35,Y17615,,Trigger)</f>
        <v>0.38662894837452993</v>
      </c>
    </row>
    <row r="17616" spans="25:26" x14ac:dyDescent="0.25">
      <c r="Y17616" s="63">
        <v>60149</v>
      </c>
      <c r="Z17616" s="61">
        <f>_xll.qlYieldTSDiscount($U$35,Y17616,,Trigger)</f>
        <v>0.38660611492081998</v>
      </c>
    </row>
    <row r="17617" spans="25:26" x14ac:dyDescent="0.25">
      <c r="Y17617" s="63">
        <v>60150</v>
      </c>
      <c r="Z17617" s="61">
        <f>_xll.qlYieldTSDiscount($U$35,Y17617,,Trigger)</f>
        <v>0.38658328305179535</v>
      </c>
    </row>
    <row r="17618" spans="25:26" x14ac:dyDescent="0.25">
      <c r="Y17618" s="63">
        <v>60151</v>
      </c>
      <c r="Z17618" s="61">
        <f>_xll.qlYieldTSDiscount($U$35,Y17618,,Trigger)</f>
        <v>0.38656045276709</v>
      </c>
    </row>
    <row r="17619" spans="25:26" x14ac:dyDescent="0.25">
      <c r="Y17619" s="63">
        <v>60152</v>
      </c>
      <c r="Z17619" s="61">
        <f>_xll.qlYieldTSDiscount($U$35,Y17619,,Trigger)</f>
        <v>0.38653762406633807</v>
      </c>
    </row>
    <row r="17620" spans="25:26" x14ac:dyDescent="0.25">
      <c r="Y17620" s="63">
        <v>60153</v>
      </c>
      <c r="Z17620" s="61">
        <f>_xll.qlYieldTSDiscount($U$35,Y17620,,Trigger)</f>
        <v>0.38651479694917351</v>
      </c>
    </row>
    <row r="17621" spans="25:26" x14ac:dyDescent="0.25">
      <c r="Y17621" s="63">
        <v>60154</v>
      </c>
      <c r="Z17621" s="61">
        <f>_xll.qlYieldTSDiscount($U$35,Y17621,,Trigger)</f>
        <v>0.3864919714152304</v>
      </c>
    </row>
    <row r="17622" spans="25:26" x14ac:dyDescent="0.25">
      <c r="Y17622" s="63">
        <v>60155</v>
      </c>
      <c r="Z17622" s="61">
        <f>_xll.qlYieldTSDiscount($U$35,Y17622,,Trigger)</f>
        <v>0.38646914746414263</v>
      </c>
    </row>
    <row r="17623" spans="25:26" x14ac:dyDescent="0.25">
      <c r="Y17623" s="63">
        <v>60156</v>
      </c>
      <c r="Z17623" s="61">
        <f>_xll.qlYieldTSDiscount($U$35,Y17623,,Trigger)</f>
        <v>0.38644632509554444</v>
      </c>
    </row>
    <row r="17624" spans="25:26" x14ac:dyDescent="0.25">
      <c r="Y17624" s="63">
        <v>60157</v>
      </c>
      <c r="Z17624" s="61">
        <f>_xll.qlYieldTSDiscount($U$35,Y17624,,Trigger)</f>
        <v>0.38642350430906969</v>
      </c>
    </row>
    <row r="17625" spans="25:26" x14ac:dyDescent="0.25">
      <c r="Y17625" s="63">
        <v>60158</v>
      </c>
      <c r="Z17625" s="61">
        <f>_xll.qlYieldTSDiscount($U$35,Y17625,,Trigger)</f>
        <v>0.38640068510435244</v>
      </c>
    </row>
    <row r="17626" spans="25:26" x14ac:dyDescent="0.25">
      <c r="Y17626" s="63">
        <v>60159</v>
      </c>
      <c r="Z17626" s="61">
        <f>_xll.qlYieldTSDiscount($U$35,Y17626,,Trigger)</f>
        <v>0.3863778674810267</v>
      </c>
    </row>
    <row r="17627" spans="25:26" x14ac:dyDescent="0.25">
      <c r="Y17627" s="63">
        <v>60160</v>
      </c>
      <c r="Z17627" s="61">
        <f>_xll.qlYieldTSDiscount($U$35,Y17627,,Trigger)</f>
        <v>0.3863550514387265</v>
      </c>
    </row>
    <row r="17628" spans="25:26" x14ac:dyDescent="0.25">
      <c r="Y17628" s="63">
        <v>60161</v>
      </c>
      <c r="Z17628" s="61">
        <f>_xll.qlYieldTSDiscount($U$35,Y17628,,Trigger)</f>
        <v>0.38633223697708585</v>
      </c>
    </row>
    <row r="17629" spans="25:26" x14ac:dyDescent="0.25">
      <c r="Y17629" s="63">
        <v>60162</v>
      </c>
      <c r="Z17629" s="61">
        <f>_xll.qlYieldTSDiscount($U$35,Y17629,,Trigger)</f>
        <v>0.38630942409573887</v>
      </c>
    </row>
    <row r="17630" spans="25:26" x14ac:dyDescent="0.25">
      <c r="Y17630" s="63">
        <v>60163</v>
      </c>
      <c r="Z17630" s="61">
        <f>_xll.qlYieldTSDiscount($U$35,Y17630,,Trigger)</f>
        <v>0.38628661279431942</v>
      </c>
    </row>
    <row r="17631" spans="25:26" x14ac:dyDescent="0.25">
      <c r="Y17631" s="63">
        <v>60164</v>
      </c>
      <c r="Z17631" s="61">
        <f>_xll.qlYieldTSDiscount($U$35,Y17631,,Trigger)</f>
        <v>0.38626380307246161</v>
      </c>
    </row>
    <row r="17632" spans="25:26" x14ac:dyDescent="0.25">
      <c r="Y17632" s="63">
        <v>60165</v>
      </c>
      <c r="Z17632" s="61">
        <f>_xll.qlYieldTSDiscount($U$35,Y17632,,Trigger)</f>
        <v>0.38624099492979946</v>
      </c>
    </row>
    <row r="17633" spans="25:26" x14ac:dyDescent="0.25">
      <c r="Y17633" s="63">
        <v>60166</v>
      </c>
      <c r="Z17633" s="61">
        <f>_xll.qlYieldTSDiscount($U$35,Y17633,,Trigger)</f>
        <v>0.386218188365967</v>
      </c>
    </row>
    <row r="17634" spans="25:26" x14ac:dyDescent="0.25">
      <c r="Y17634" s="63">
        <v>60167</v>
      </c>
      <c r="Z17634" s="61">
        <f>_xll.qlYieldTSDiscount($U$35,Y17634,,Trigger)</f>
        <v>0.38619538338059822</v>
      </c>
    </row>
    <row r="17635" spans="25:26" x14ac:dyDescent="0.25">
      <c r="Y17635" s="63">
        <v>60168</v>
      </c>
      <c r="Z17635" s="61">
        <f>_xll.qlYieldTSDiscount($U$35,Y17635,,Trigger)</f>
        <v>0.38617257997332716</v>
      </c>
    </row>
    <row r="17636" spans="25:26" x14ac:dyDescent="0.25">
      <c r="Y17636" s="63">
        <v>60169</v>
      </c>
      <c r="Z17636" s="61">
        <f>_xll.qlYieldTSDiscount($U$35,Y17636,,Trigger)</f>
        <v>0.38614977814378793</v>
      </c>
    </row>
    <row r="17637" spans="25:26" x14ac:dyDescent="0.25">
      <c r="Y17637" s="63">
        <v>60170</v>
      </c>
      <c r="Z17637" s="61">
        <f>_xll.qlYieldTSDiscount($U$35,Y17637,,Trigger)</f>
        <v>0.38612697789161432</v>
      </c>
    </row>
    <row r="17638" spans="25:26" x14ac:dyDescent="0.25">
      <c r="Y17638" s="63">
        <v>60171</v>
      </c>
      <c r="Z17638" s="61">
        <f>_xll.qlYieldTSDiscount($U$35,Y17638,,Trigger)</f>
        <v>0.38610417921644058</v>
      </c>
    </row>
    <row r="17639" spans="25:26" x14ac:dyDescent="0.25">
      <c r="Y17639" s="63">
        <v>60172</v>
      </c>
      <c r="Z17639" s="61">
        <f>_xll.qlYieldTSDiscount($U$35,Y17639,,Trigger)</f>
        <v>0.38608138211790066</v>
      </c>
    </row>
    <row r="17640" spans="25:26" x14ac:dyDescent="0.25">
      <c r="Y17640" s="63">
        <v>60173</v>
      </c>
      <c r="Z17640" s="61">
        <f>_xll.qlYieldTSDiscount($U$35,Y17640,,Trigger)</f>
        <v>0.38605858659562853</v>
      </c>
    </row>
    <row r="17641" spans="25:26" x14ac:dyDescent="0.25">
      <c r="Y17641" s="63">
        <v>60174</v>
      </c>
      <c r="Z17641" s="61">
        <f>_xll.qlYieldTSDiscount($U$35,Y17641,,Trigger)</f>
        <v>0.38603579264925825</v>
      </c>
    </row>
    <row r="17642" spans="25:26" x14ac:dyDescent="0.25">
      <c r="Y17642" s="63">
        <v>60175</v>
      </c>
      <c r="Z17642" s="61">
        <f>_xll.qlYieldTSDiscount($U$35,Y17642,,Trigger)</f>
        <v>0.38601300027842389</v>
      </c>
    </row>
    <row r="17643" spans="25:26" x14ac:dyDescent="0.25">
      <c r="Y17643" s="63">
        <v>60176</v>
      </c>
      <c r="Z17643" s="61">
        <f>_xll.qlYieldTSDiscount($U$35,Y17643,,Trigger)</f>
        <v>0.38599020948275942</v>
      </c>
    </row>
    <row r="17644" spans="25:26" x14ac:dyDescent="0.25">
      <c r="Y17644" s="63">
        <v>60177</v>
      </c>
      <c r="Z17644" s="61">
        <f>_xll.qlYieldTSDiscount($U$35,Y17644,,Trigger)</f>
        <v>0.38596742026189879</v>
      </c>
    </row>
    <row r="17645" spans="25:26" x14ac:dyDescent="0.25">
      <c r="Y17645" s="63">
        <v>60178</v>
      </c>
      <c r="Z17645" s="61">
        <f>_xll.qlYieldTSDiscount($U$35,Y17645,,Trigger)</f>
        <v>0.38594463261547618</v>
      </c>
    </row>
    <row r="17646" spans="25:26" x14ac:dyDescent="0.25">
      <c r="Y17646" s="63">
        <v>60179</v>
      </c>
      <c r="Z17646" s="61">
        <f>_xll.qlYieldTSDiscount($U$35,Y17646,,Trigger)</f>
        <v>0.3859218465431255</v>
      </c>
    </row>
    <row r="17647" spans="25:26" x14ac:dyDescent="0.25">
      <c r="Y17647" s="63">
        <v>60180</v>
      </c>
      <c r="Z17647" s="61">
        <f>_xll.qlYieldTSDiscount($U$35,Y17647,,Trigger)</f>
        <v>0.38589906204448077</v>
      </c>
    </row>
    <row r="17648" spans="25:26" x14ac:dyDescent="0.25">
      <c r="Y17648" s="63">
        <v>60181</v>
      </c>
      <c r="Z17648" s="61">
        <f>_xll.qlYieldTSDiscount($U$35,Y17648,,Trigger)</f>
        <v>0.3858762791191761</v>
      </c>
    </row>
    <row r="17649" spans="25:26" x14ac:dyDescent="0.25">
      <c r="Y17649" s="63">
        <v>60182</v>
      </c>
      <c r="Z17649" s="61">
        <f>_xll.qlYieldTSDiscount($U$35,Y17649,,Trigger)</f>
        <v>0.38585349776684541</v>
      </c>
    </row>
    <row r="17650" spans="25:26" x14ac:dyDescent="0.25">
      <c r="Y17650" s="63">
        <v>60183</v>
      </c>
      <c r="Z17650" s="61">
        <f>_xll.qlYieldTSDiscount($U$35,Y17650,,Trigger)</f>
        <v>0.38583071798712276</v>
      </c>
    </row>
    <row r="17651" spans="25:26" x14ac:dyDescent="0.25">
      <c r="Y17651" s="63">
        <v>60184</v>
      </c>
      <c r="Z17651" s="61">
        <f>_xll.qlYieldTSDiscount($U$35,Y17651,,Trigger)</f>
        <v>0.38580793977964223</v>
      </c>
    </row>
    <row r="17652" spans="25:26" x14ac:dyDescent="0.25">
      <c r="Y17652" s="63">
        <v>60185</v>
      </c>
      <c r="Z17652" s="61">
        <f>_xll.qlYieldTSDiscount($U$35,Y17652,,Trigger)</f>
        <v>0.38578516314403777</v>
      </c>
    </row>
    <row r="17653" spans="25:26" x14ac:dyDescent="0.25">
      <c r="Y17653" s="63">
        <v>60186</v>
      </c>
      <c r="Z17653" s="61">
        <f>_xll.qlYieldTSDiscount($U$35,Y17653,,Trigger)</f>
        <v>0.38576238807994345</v>
      </c>
    </row>
    <row r="17654" spans="25:26" x14ac:dyDescent="0.25">
      <c r="Y17654" s="63">
        <v>60187</v>
      </c>
      <c r="Z17654" s="61">
        <f>_xll.qlYieldTSDiscount($U$35,Y17654,,Trigger)</f>
        <v>0.38573961458699324</v>
      </c>
    </row>
    <row r="17655" spans="25:26" x14ac:dyDescent="0.25">
      <c r="Y17655" s="63">
        <v>60188</v>
      </c>
      <c r="Z17655" s="61">
        <f>_xll.qlYieldTSDiscount($U$35,Y17655,,Trigger)</f>
        <v>0.3857168426648212</v>
      </c>
    </row>
    <row r="17656" spans="25:26" x14ac:dyDescent="0.25">
      <c r="Y17656" s="63">
        <v>60189</v>
      </c>
      <c r="Z17656" s="61">
        <f>_xll.qlYieldTSDiscount($U$35,Y17656,,Trigger)</f>
        <v>0.3856940723130613</v>
      </c>
    </row>
    <row r="17657" spans="25:26" x14ac:dyDescent="0.25">
      <c r="Y17657" s="63">
        <v>60190</v>
      </c>
      <c r="Z17657" s="61">
        <f>_xll.qlYieldTSDiscount($U$35,Y17657,,Trigger)</f>
        <v>0.3856713035313476</v>
      </c>
    </row>
    <row r="17658" spans="25:26" x14ac:dyDescent="0.25">
      <c r="Y17658" s="63">
        <v>60191</v>
      </c>
      <c r="Z17658" s="61">
        <f>_xll.qlYieldTSDiscount($U$35,Y17658,,Trigger)</f>
        <v>0.38564853631931417</v>
      </c>
    </row>
    <row r="17659" spans="25:26" x14ac:dyDescent="0.25">
      <c r="Y17659" s="63">
        <v>60192</v>
      </c>
      <c r="Z17659" s="61">
        <f>_xll.qlYieldTSDiscount($U$35,Y17659,,Trigger)</f>
        <v>0.38562577067659498</v>
      </c>
    </row>
    <row r="17660" spans="25:26" x14ac:dyDescent="0.25">
      <c r="Y17660" s="63">
        <v>60193</v>
      </c>
      <c r="Z17660" s="61">
        <f>_xll.qlYieldTSDiscount($U$35,Y17660,,Trigger)</f>
        <v>0.38560300660282404</v>
      </c>
    </row>
    <row r="17661" spans="25:26" x14ac:dyDescent="0.25">
      <c r="Y17661" s="63">
        <v>60194</v>
      </c>
      <c r="Z17661" s="61">
        <f>_xll.qlYieldTSDiscount($U$35,Y17661,,Trigger)</f>
        <v>0.38558024409763547</v>
      </c>
    </row>
    <row r="17662" spans="25:26" x14ac:dyDescent="0.25">
      <c r="Y17662" s="63">
        <v>60195</v>
      </c>
      <c r="Z17662" s="61">
        <f>_xll.qlYieldTSDiscount($U$35,Y17662,,Trigger)</f>
        <v>0.38555748316066307</v>
      </c>
    </row>
    <row r="17663" spans="25:26" x14ac:dyDescent="0.25">
      <c r="Y17663" s="63">
        <v>60196</v>
      </c>
      <c r="Z17663" s="61">
        <f>_xll.qlYieldTSDiscount($U$35,Y17663,,Trigger)</f>
        <v>0.38553472379154108</v>
      </c>
    </row>
    <row r="17664" spans="25:26" x14ac:dyDescent="0.25">
      <c r="Y17664" s="63">
        <v>60197</v>
      </c>
      <c r="Z17664" s="61">
        <f>_xll.qlYieldTSDiscount($U$35,Y17664,,Trigger)</f>
        <v>0.38551196598990334</v>
      </c>
    </row>
    <row r="17665" spans="25:26" x14ac:dyDescent="0.25">
      <c r="Y17665" s="63">
        <v>60198</v>
      </c>
      <c r="Z17665" s="61">
        <f>_xll.qlYieldTSDiscount($U$35,Y17665,,Trigger)</f>
        <v>0.38548920975538414</v>
      </c>
    </row>
    <row r="17666" spans="25:26" x14ac:dyDescent="0.25">
      <c r="Y17666" s="63">
        <v>60199</v>
      </c>
      <c r="Z17666" s="61">
        <f>_xll.qlYieldTSDiscount($U$35,Y17666,,Trigger)</f>
        <v>0.38546645508761723</v>
      </c>
    </row>
    <row r="17667" spans="25:26" x14ac:dyDescent="0.25">
      <c r="Y17667" s="63">
        <v>60200</v>
      </c>
      <c r="Z17667" s="61">
        <f>_xll.qlYieldTSDiscount($U$35,Y17667,,Trigger)</f>
        <v>0.38544370198623679</v>
      </c>
    </row>
    <row r="17668" spans="25:26" x14ac:dyDescent="0.25">
      <c r="Y17668" s="63">
        <v>60201</v>
      </c>
      <c r="Z17668" s="61">
        <f>_xll.qlYieldTSDiscount($U$35,Y17668,,Trigger)</f>
        <v>0.38542095045087676</v>
      </c>
    </row>
    <row r="17669" spans="25:26" x14ac:dyDescent="0.25">
      <c r="Y17669" s="63">
        <v>60202</v>
      </c>
      <c r="Z17669" s="61">
        <f>_xll.qlYieldTSDiscount($U$35,Y17669,,Trigger)</f>
        <v>0.38539820048117124</v>
      </c>
    </row>
    <row r="17670" spans="25:26" x14ac:dyDescent="0.25">
      <c r="Y17670" s="63">
        <v>60203</v>
      </c>
      <c r="Z17670" s="61">
        <f>_xll.qlYieldTSDiscount($U$35,Y17670,,Trigger)</f>
        <v>0.38537545207675417</v>
      </c>
    </row>
    <row r="17671" spans="25:26" x14ac:dyDescent="0.25">
      <c r="Y17671" s="63">
        <v>60204</v>
      </c>
      <c r="Z17671" s="61">
        <f>_xll.qlYieldTSDiscount($U$35,Y17671,,Trigger)</f>
        <v>0.38535270523725962</v>
      </c>
    </row>
    <row r="17672" spans="25:26" x14ac:dyDescent="0.25">
      <c r="Y17672" s="63">
        <v>60205</v>
      </c>
      <c r="Z17672" s="61">
        <f>_xll.qlYieldTSDiscount($U$35,Y17672,,Trigger)</f>
        <v>0.38532995996232156</v>
      </c>
    </row>
    <row r="17673" spans="25:26" x14ac:dyDescent="0.25">
      <c r="Y17673" s="63">
        <v>60206</v>
      </c>
      <c r="Z17673" s="61">
        <f>_xll.qlYieldTSDiscount($U$35,Y17673,,Trigger)</f>
        <v>0.38530721625157405</v>
      </c>
    </row>
    <row r="17674" spans="25:26" x14ac:dyDescent="0.25">
      <c r="Y17674" s="63">
        <v>60207</v>
      </c>
      <c r="Z17674" s="61">
        <f>_xll.qlYieldTSDiscount($U$35,Y17674,,Trigger)</f>
        <v>0.38528447410465116</v>
      </c>
    </row>
    <row r="17675" spans="25:26" x14ac:dyDescent="0.25">
      <c r="Y17675" s="63">
        <v>60208</v>
      </c>
      <c r="Z17675" s="61">
        <f>_xll.qlYieldTSDiscount($U$35,Y17675,,Trigger)</f>
        <v>0.38526173352118687</v>
      </c>
    </row>
    <row r="17676" spans="25:26" x14ac:dyDescent="0.25">
      <c r="Y17676" s="63">
        <v>60209</v>
      </c>
      <c r="Z17676" s="61">
        <f>_xll.qlYieldTSDiscount($U$35,Y17676,,Trigger)</f>
        <v>0.38523899450081511</v>
      </c>
    </row>
    <row r="17677" spans="25:26" x14ac:dyDescent="0.25">
      <c r="Y17677" s="63">
        <v>60210</v>
      </c>
      <c r="Z17677" s="61">
        <f>_xll.qlYieldTSDiscount($U$35,Y17677,,Trigger)</f>
        <v>0.38521625704317008</v>
      </c>
    </row>
    <row r="17678" spans="25:26" x14ac:dyDescent="0.25">
      <c r="Y17678" s="63">
        <v>60211</v>
      </c>
      <c r="Z17678" s="61">
        <f>_xll.qlYieldTSDiscount($U$35,Y17678,,Trigger)</f>
        <v>0.38519352114788569</v>
      </c>
    </row>
    <row r="17679" spans="25:26" x14ac:dyDescent="0.25">
      <c r="Y17679" s="63">
        <v>60212</v>
      </c>
      <c r="Z17679" s="61">
        <f>_xll.qlYieldTSDiscount($U$35,Y17679,,Trigger)</f>
        <v>0.38517078681459593</v>
      </c>
    </row>
    <row r="17680" spans="25:26" x14ac:dyDescent="0.25">
      <c r="Y17680" s="63">
        <v>60213</v>
      </c>
      <c r="Z17680" s="61">
        <f>_xll.qlYieldTSDiscount($U$35,Y17680,,Trigger)</f>
        <v>0.38514805404293495</v>
      </c>
    </row>
    <row r="17681" spans="25:26" x14ac:dyDescent="0.25">
      <c r="Y17681" s="63">
        <v>60214</v>
      </c>
      <c r="Z17681" s="61">
        <f>_xll.qlYieldTSDiscount($U$35,Y17681,,Trigger)</f>
        <v>0.3851253228325367</v>
      </c>
    </row>
    <row r="17682" spans="25:26" x14ac:dyDescent="0.25">
      <c r="Y17682" s="63">
        <v>60215</v>
      </c>
      <c r="Z17682" s="61">
        <f>_xll.qlYieldTSDiscount($U$35,Y17682,,Trigger)</f>
        <v>0.38510259318303519</v>
      </c>
    </row>
    <row r="17683" spans="25:26" x14ac:dyDescent="0.25">
      <c r="Y17683" s="63">
        <v>60216</v>
      </c>
      <c r="Z17683" s="61">
        <f>_xll.qlYieldTSDiscount($U$35,Y17683,,Trigger)</f>
        <v>0.38507986509406433</v>
      </c>
    </row>
    <row r="17684" spans="25:26" x14ac:dyDescent="0.25">
      <c r="Y17684" s="63">
        <v>60217</v>
      </c>
      <c r="Z17684" s="61">
        <f>_xll.qlYieldTSDiscount($U$35,Y17684,,Trigger)</f>
        <v>0.38505713856525842</v>
      </c>
    </row>
    <row r="17685" spans="25:26" x14ac:dyDescent="0.25">
      <c r="Y17685" s="63">
        <v>60218</v>
      </c>
      <c r="Z17685" s="61">
        <f>_xll.qlYieldTSDiscount($U$35,Y17685,,Trigger)</f>
        <v>0.38503441359625123</v>
      </c>
    </row>
    <row r="17686" spans="25:26" x14ac:dyDescent="0.25">
      <c r="Y17686" s="63">
        <v>60219</v>
      </c>
      <c r="Z17686" s="61">
        <f>_xll.qlYieldTSDiscount($U$35,Y17686,,Trigger)</f>
        <v>0.38501169018667686</v>
      </c>
    </row>
    <row r="17687" spans="25:26" x14ac:dyDescent="0.25">
      <c r="Y17687" s="63">
        <v>60220</v>
      </c>
      <c r="Z17687" s="61">
        <f>_xll.qlYieldTSDiscount($U$35,Y17687,,Trigger)</f>
        <v>0.38498896833616941</v>
      </c>
    </row>
    <row r="17688" spans="25:26" x14ac:dyDescent="0.25">
      <c r="Y17688" s="63">
        <v>60221</v>
      </c>
      <c r="Z17688" s="61">
        <f>_xll.qlYieldTSDiscount($U$35,Y17688,,Trigger)</f>
        <v>0.3849662480443628</v>
      </c>
    </row>
    <row r="17689" spans="25:26" x14ac:dyDescent="0.25">
      <c r="Y17689" s="63">
        <v>60222</v>
      </c>
      <c r="Z17689" s="61">
        <f>_xll.qlYieldTSDiscount($U$35,Y17689,,Trigger)</f>
        <v>0.3849435293108911</v>
      </c>
    </row>
    <row r="17690" spans="25:26" x14ac:dyDescent="0.25">
      <c r="Y17690" s="63">
        <v>60223</v>
      </c>
      <c r="Z17690" s="61">
        <f>_xll.qlYieldTSDiscount($U$35,Y17690,,Trigger)</f>
        <v>0.38492081213538837</v>
      </c>
    </row>
    <row r="17691" spans="25:26" x14ac:dyDescent="0.25">
      <c r="Y17691" s="63">
        <v>60224</v>
      </c>
      <c r="Z17691" s="61">
        <f>_xll.qlYieldTSDiscount($U$35,Y17691,,Trigger)</f>
        <v>0.38489809651748852</v>
      </c>
    </row>
    <row r="17692" spans="25:26" x14ac:dyDescent="0.25">
      <c r="Y17692" s="63">
        <v>60225</v>
      </c>
      <c r="Z17692" s="61">
        <f>_xll.qlYieldTSDiscount($U$35,Y17692,,Trigger)</f>
        <v>0.38487538245682562</v>
      </c>
    </row>
    <row r="17693" spans="25:26" x14ac:dyDescent="0.25">
      <c r="Y17693" s="63">
        <v>60226</v>
      </c>
      <c r="Z17693" s="61">
        <f>_xll.qlYieldTSDiscount($U$35,Y17693,,Trigger)</f>
        <v>0.38485266995303374</v>
      </c>
    </row>
    <row r="17694" spans="25:26" x14ac:dyDescent="0.25">
      <c r="Y17694" s="63">
        <v>60227</v>
      </c>
      <c r="Z17694" s="61">
        <f>_xll.qlYieldTSDiscount($U$35,Y17694,,Trigger)</f>
        <v>0.3848299590057469</v>
      </c>
    </row>
    <row r="17695" spans="25:26" x14ac:dyDescent="0.25">
      <c r="Y17695" s="63">
        <v>60228</v>
      </c>
      <c r="Z17695" s="61">
        <f>_xll.qlYieldTSDiscount($U$35,Y17695,,Trigger)</f>
        <v>0.38480724961459911</v>
      </c>
    </row>
    <row r="17696" spans="25:26" x14ac:dyDescent="0.25">
      <c r="Y17696" s="63">
        <v>60229</v>
      </c>
      <c r="Z17696" s="61">
        <f>_xll.qlYieldTSDiscount($U$35,Y17696,,Trigger)</f>
        <v>0.38478454177922428</v>
      </c>
    </row>
    <row r="17697" spans="25:26" x14ac:dyDescent="0.25">
      <c r="Y17697" s="63">
        <v>60230</v>
      </c>
      <c r="Z17697" s="61">
        <f>_xll.qlYieldTSDiscount($U$35,Y17697,,Trigger)</f>
        <v>0.38476183549925669</v>
      </c>
    </row>
    <row r="17698" spans="25:26" x14ac:dyDescent="0.25">
      <c r="Y17698" s="63">
        <v>60231</v>
      </c>
      <c r="Z17698" s="61">
        <f>_xll.qlYieldTSDiscount($U$35,Y17698,,Trigger)</f>
        <v>0.38473913077433003</v>
      </c>
    </row>
    <row r="17699" spans="25:26" x14ac:dyDescent="0.25">
      <c r="Y17699" s="63">
        <v>60232</v>
      </c>
      <c r="Z17699" s="61">
        <f>_xll.qlYieldTSDiscount($U$35,Y17699,,Trigger)</f>
        <v>0.38471642760407854</v>
      </c>
    </row>
    <row r="17700" spans="25:26" x14ac:dyDescent="0.25">
      <c r="Y17700" s="63">
        <v>60233</v>
      </c>
      <c r="Z17700" s="61">
        <f>_xll.qlYieldTSDiscount($U$35,Y17700,,Trigger)</f>
        <v>0.38469372598813623</v>
      </c>
    </row>
    <row r="17701" spans="25:26" x14ac:dyDescent="0.25">
      <c r="Y17701" s="63">
        <v>60234</v>
      </c>
      <c r="Z17701" s="61">
        <f>_xll.qlYieldTSDiscount($U$35,Y17701,,Trigger)</f>
        <v>0.384671025926137</v>
      </c>
    </row>
    <row r="17702" spans="25:26" x14ac:dyDescent="0.25">
      <c r="Y17702" s="63">
        <v>60235</v>
      </c>
      <c r="Z17702" s="61">
        <f>_xll.qlYieldTSDiscount($U$35,Y17702,,Trigger)</f>
        <v>0.38464832741771504</v>
      </c>
    </row>
    <row r="17703" spans="25:26" x14ac:dyDescent="0.25">
      <c r="Y17703" s="63">
        <v>60236</v>
      </c>
      <c r="Z17703" s="61">
        <f>_xll.qlYieldTSDiscount($U$35,Y17703,,Trigger)</f>
        <v>0.38462563046250425</v>
      </c>
    </row>
    <row r="17704" spans="25:26" x14ac:dyDescent="0.25">
      <c r="Y17704" s="63">
        <v>60237</v>
      </c>
      <c r="Z17704" s="61">
        <f>_xll.qlYieldTSDiscount($U$35,Y17704,,Trigger)</f>
        <v>0.38460293506013865</v>
      </c>
    </row>
    <row r="17705" spans="25:26" x14ac:dyDescent="0.25">
      <c r="Y17705" s="63">
        <v>60238</v>
      </c>
      <c r="Z17705" s="61">
        <f>_xll.qlYieldTSDiscount($U$35,Y17705,,Trigger)</f>
        <v>0.38458024121025236</v>
      </c>
    </row>
    <row r="17706" spans="25:26" x14ac:dyDescent="0.25">
      <c r="Y17706" s="63">
        <v>60239</v>
      </c>
      <c r="Z17706" s="61">
        <f>_xll.qlYieldTSDiscount($U$35,Y17706,,Trigger)</f>
        <v>0.3845575489124794</v>
      </c>
    </row>
    <row r="17707" spans="25:26" x14ac:dyDescent="0.25">
      <c r="Y17707" s="63">
        <v>60240</v>
      </c>
      <c r="Z17707" s="61">
        <f>_xll.qlYieldTSDiscount($U$35,Y17707,,Trigger)</f>
        <v>0.38453485816645361</v>
      </c>
    </row>
    <row r="17708" spans="25:26" x14ac:dyDescent="0.25">
      <c r="Y17708" s="63">
        <v>60241</v>
      </c>
      <c r="Z17708" s="61">
        <f>_xll.qlYieldTSDiscount($U$35,Y17708,,Trigger)</f>
        <v>0.38451216897180918</v>
      </c>
    </row>
    <row r="17709" spans="25:26" x14ac:dyDescent="0.25">
      <c r="Y17709" s="63">
        <v>60242</v>
      </c>
      <c r="Z17709" s="61">
        <f>_xll.qlYieldTSDiscount($U$35,Y17709,,Trigger)</f>
        <v>0.38448948132818006</v>
      </c>
    </row>
    <row r="17710" spans="25:26" x14ac:dyDescent="0.25">
      <c r="Y17710" s="63">
        <v>60243</v>
      </c>
      <c r="Z17710" s="61">
        <f>_xll.qlYieldTSDiscount($U$35,Y17710,,Trigger)</f>
        <v>0.38446679523520033</v>
      </c>
    </row>
    <row r="17711" spans="25:26" x14ac:dyDescent="0.25">
      <c r="Y17711" s="63">
        <v>60244</v>
      </c>
      <c r="Z17711" s="61">
        <f>_xll.qlYieldTSDiscount($U$35,Y17711,,Trigger)</f>
        <v>0.38444411069250395</v>
      </c>
    </row>
    <row r="17712" spans="25:26" x14ac:dyDescent="0.25">
      <c r="Y17712" s="63">
        <v>60245</v>
      </c>
      <c r="Z17712" s="61">
        <f>_xll.qlYieldTSDiscount($U$35,Y17712,,Trigger)</f>
        <v>0.38442142769972504</v>
      </c>
    </row>
    <row r="17713" spans="25:26" x14ac:dyDescent="0.25">
      <c r="Y17713" s="63">
        <v>60246</v>
      </c>
      <c r="Z17713" s="61">
        <f>_xll.qlYieldTSDiscount($U$35,Y17713,,Trigger)</f>
        <v>0.3843987462564975</v>
      </c>
    </row>
    <row r="17714" spans="25:26" x14ac:dyDescent="0.25">
      <c r="Y17714" s="63">
        <v>60247</v>
      </c>
      <c r="Z17714" s="61">
        <f>_xll.qlYieldTSDiscount($U$35,Y17714,,Trigger)</f>
        <v>0.38437606636245547</v>
      </c>
    </row>
    <row r="17715" spans="25:26" x14ac:dyDescent="0.25">
      <c r="Y17715" s="63">
        <v>60248</v>
      </c>
      <c r="Z17715" s="61">
        <f>_xll.qlYieldTSDiscount($U$35,Y17715,,Trigger)</f>
        <v>0.38435338801723284</v>
      </c>
    </row>
    <row r="17716" spans="25:26" x14ac:dyDescent="0.25">
      <c r="Y17716" s="63">
        <v>60249</v>
      </c>
      <c r="Z17716" s="61">
        <f>_xll.qlYieldTSDiscount($U$35,Y17716,,Trigger)</f>
        <v>0.38433071122046375</v>
      </c>
    </row>
    <row r="17717" spans="25:26" x14ac:dyDescent="0.25">
      <c r="Y17717" s="63">
        <v>60250</v>
      </c>
      <c r="Z17717" s="61">
        <f>_xll.qlYieldTSDiscount($U$35,Y17717,,Trigger)</f>
        <v>0.38430803597178215</v>
      </c>
    </row>
    <row r="17718" spans="25:26" x14ac:dyDescent="0.25">
      <c r="Y17718" s="63">
        <v>60251</v>
      </c>
      <c r="Z17718" s="61">
        <f>_xll.qlYieldTSDiscount($U$35,Y17718,,Trigger)</f>
        <v>0.38428536227082211</v>
      </c>
    </row>
    <row r="17719" spans="25:26" x14ac:dyDescent="0.25">
      <c r="Y17719" s="63">
        <v>60252</v>
      </c>
      <c r="Z17719" s="61">
        <f>_xll.qlYieldTSDiscount($U$35,Y17719,,Trigger)</f>
        <v>0.38426269011721759</v>
      </c>
    </row>
    <row r="17720" spans="25:26" x14ac:dyDescent="0.25">
      <c r="Y17720" s="63">
        <v>60253</v>
      </c>
      <c r="Z17720" s="61">
        <f>_xll.qlYieldTSDiscount($U$35,Y17720,,Trigger)</f>
        <v>0.38424001951060266</v>
      </c>
    </row>
    <row r="17721" spans="25:26" x14ac:dyDescent="0.25">
      <c r="Y17721" s="63">
        <v>60254</v>
      </c>
      <c r="Z17721" s="61">
        <f>_xll.qlYieldTSDiscount($U$35,Y17721,,Trigger)</f>
        <v>0.38421735045061134</v>
      </c>
    </row>
    <row r="17722" spans="25:26" x14ac:dyDescent="0.25">
      <c r="Y17722" s="63">
        <v>60255</v>
      </c>
      <c r="Z17722" s="61">
        <f>_xll.qlYieldTSDiscount($U$35,Y17722,,Trigger)</f>
        <v>0.38419468293687759</v>
      </c>
    </row>
    <row r="17723" spans="25:26" x14ac:dyDescent="0.25">
      <c r="Y17723" s="63">
        <v>60256</v>
      </c>
      <c r="Z17723" s="61">
        <f>_xll.qlYieldTSDiscount($U$35,Y17723,,Trigger)</f>
        <v>0.38417201696903558</v>
      </c>
    </row>
    <row r="17724" spans="25:26" x14ac:dyDescent="0.25">
      <c r="Y17724" s="63">
        <v>60257</v>
      </c>
      <c r="Z17724" s="61">
        <f>_xll.qlYieldTSDiscount($U$35,Y17724,,Trigger)</f>
        <v>0.38414935254671917</v>
      </c>
    </row>
    <row r="17725" spans="25:26" x14ac:dyDescent="0.25">
      <c r="Y17725" s="63">
        <v>60258</v>
      </c>
      <c r="Z17725" s="61">
        <f>_xll.qlYieldTSDiscount($U$35,Y17725,,Trigger)</f>
        <v>0.38412668966956243</v>
      </c>
    </row>
    <row r="17726" spans="25:26" x14ac:dyDescent="0.25">
      <c r="Y17726" s="63">
        <v>60259</v>
      </c>
      <c r="Z17726" s="61">
        <f>_xll.qlYieldTSDiscount($U$35,Y17726,,Trigger)</f>
        <v>0.38410402833719948</v>
      </c>
    </row>
    <row r="17727" spans="25:26" x14ac:dyDescent="0.25">
      <c r="Y17727" s="63">
        <v>60260</v>
      </c>
      <c r="Z17727" s="61">
        <f>_xll.qlYieldTSDiscount($U$35,Y17727,,Trigger)</f>
        <v>0.38408136854926422</v>
      </c>
    </row>
    <row r="17728" spans="25:26" x14ac:dyDescent="0.25">
      <c r="Y17728" s="63">
        <v>60261</v>
      </c>
      <c r="Z17728" s="61">
        <f>_xll.qlYieldTSDiscount($U$35,Y17728,,Trigger)</f>
        <v>0.38405871030539063</v>
      </c>
    </row>
    <row r="17729" spans="25:26" x14ac:dyDescent="0.25">
      <c r="Y17729" s="63">
        <v>60262</v>
      </c>
      <c r="Z17729" s="61">
        <f>_xll.qlYieldTSDiscount($U$35,Y17729,,Trigger)</f>
        <v>0.38403605360521298</v>
      </c>
    </row>
    <row r="17730" spans="25:26" x14ac:dyDescent="0.25">
      <c r="Y17730" s="63">
        <v>60263</v>
      </c>
      <c r="Z17730" s="61">
        <f>_xll.qlYieldTSDiscount($U$35,Y17730,,Trigger)</f>
        <v>0.38401339844836502</v>
      </c>
    </row>
    <row r="17731" spans="25:26" x14ac:dyDescent="0.25">
      <c r="Y17731" s="63">
        <v>60264</v>
      </c>
      <c r="Z17731" s="61">
        <f>_xll.qlYieldTSDiscount($U$35,Y17731,,Trigger)</f>
        <v>0.38399074483448087</v>
      </c>
    </row>
    <row r="17732" spans="25:26" x14ac:dyDescent="0.25">
      <c r="Y17732" s="63">
        <v>60265</v>
      </c>
      <c r="Z17732" s="61">
        <f>_xll.qlYieldTSDiscount($U$35,Y17732,,Trigger)</f>
        <v>0.38396809276319466</v>
      </c>
    </row>
    <row r="17733" spans="25:26" x14ac:dyDescent="0.25">
      <c r="Y17733" s="63">
        <v>60266</v>
      </c>
      <c r="Z17733" s="61">
        <f>_xll.qlYieldTSDiscount($U$35,Y17733,,Trigger)</f>
        <v>0.38394544223414018</v>
      </c>
    </row>
    <row r="17734" spans="25:26" x14ac:dyDescent="0.25">
      <c r="Y17734" s="63">
        <v>60267</v>
      </c>
      <c r="Z17734" s="61">
        <f>_xll.qlYieldTSDiscount($U$35,Y17734,,Trigger)</f>
        <v>0.38392279324695167</v>
      </c>
    </row>
    <row r="17735" spans="25:26" x14ac:dyDescent="0.25">
      <c r="Y17735" s="63">
        <v>60268</v>
      </c>
      <c r="Z17735" s="61">
        <f>_xll.qlYieldTSDiscount($U$35,Y17735,,Trigger)</f>
        <v>0.38390014580126308</v>
      </c>
    </row>
    <row r="17736" spans="25:26" x14ac:dyDescent="0.25">
      <c r="Y17736" s="63">
        <v>60269</v>
      </c>
      <c r="Z17736" s="61">
        <f>_xll.qlYieldTSDiscount($U$35,Y17736,,Trigger)</f>
        <v>0.38387749989670833</v>
      </c>
    </row>
    <row r="17737" spans="25:26" x14ac:dyDescent="0.25">
      <c r="Y17737" s="63">
        <v>60270</v>
      </c>
      <c r="Z17737" s="61">
        <f>_xll.qlYieldTSDiscount($U$35,Y17737,,Trigger)</f>
        <v>0.38385485553292154</v>
      </c>
    </row>
    <row r="17738" spans="25:26" x14ac:dyDescent="0.25">
      <c r="Y17738" s="63">
        <v>60271</v>
      </c>
      <c r="Z17738" s="61">
        <f>_xll.qlYieldTSDiscount($U$35,Y17738,,Trigger)</f>
        <v>0.38383221270953677</v>
      </c>
    </row>
    <row r="17739" spans="25:26" x14ac:dyDescent="0.25">
      <c r="Y17739" s="63">
        <v>60272</v>
      </c>
      <c r="Z17739" s="61">
        <f>_xll.qlYieldTSDiscount($U$35,Y17739,,Trigger)</f>
        <v>0.38380957142618805</v>
      </c>
    </row>
    <row r="17740" spans="25:26" x14ac:dyDescent="0.25">
      <c r="Y17740" s="63">
        <v>60273</v>
      </c>
      <c r="Z17740" s="61">
        <f>_xll.qlYieldTSDiscount($U$35,Y17740,,Trigger)</f>
        <v>0.38378693168250921</v>
      </c>
    </row>
    <row r="17741" spans="25:26" x14ac:dyDescent="0.25">
      <c r="Y17741" s="63">
        <v>60274</v>
      </c>
      <c r="Z17741" s="61">
        <f>_xll.qlYieldTSDiscount($U$35,Y17741,,Trigger)</f>
        <v>0.38376429347813451</v>
      </c>
    </row>
    <row r="17742" spans="25:26" x14ac:dyDescent="0.25">
      <c r="Y17742" s="63">
        <v>60275</v>
      </c>
      <c r="Z17742" s="61">
        <f>_xll.qlYieldTSDiscount($U$35,Y17742,,Trigger)</f>
        <v>0.3837416568126979</v>
      </c>
    </row>
    <row r="17743" spans="25:26" x14ac:dyDescent="0.25">
      <c r="Y17743" s="63">
        <v>60276</v>
      </c>
      <c r="Z17743" s="61">
        <f>_xll.qlYieldTSDiscount($U$35,Y17743,,Trigger)</f>
        <v>0.38371902168583327</v>
      </c>
    </row>
    <row r="17744" spans="25:26" x14ac:dyDescent="0.25">
      <c r="Y17744" s="63">
        <v>60277</v>
      </c>
      <c r="Z17744" s="61">
        <f>_xll.qlYieldTSDiscount($U$35,Y17744,,Trigger)</f>
        <v>0.38369638809717477</v>
      </c>
    </row>
    <row r="17745" spans="25:26" x14ac:dyDescent="0.25">
      <c r="Y17745" s="63">
        <v>60278</v>
      </c>
      <c r="Z17745" s="61">
        <f>_xll.qlYieldTSDiscount($U$35,Y17745,,Trigger)</f>
        <v>0.38367375604635645</v>
      </c>
    </row>
    <row r="17746" spans="25:26" x14ac:dyDescent="0.25">
      <c r="Y17746" s="63">
        <v>60279</v>
      </c>
      <c r="Z17746" s="61">
        <f>_xll.qlYieldTSDiscount($U$35,Y17746,,Trigger)</f>
        <v>0.38365112553301223</v>
      </c>
    </row>
    <row r="17747" spans="25:26" x14ac:dyDescent="0.25">
      <c r="Y17747" s="63">
        <v>60280</v>
      </c>
      <c r="Z17747" s="61">
        <f>_xll.qlYieldTSDiscount($U$35,Y17747,,Trigger)</f>
        <v>0.38362849655677611</v>
      </c>
    </row>
    <row r="17748" spans="25:26" x14ac:dyDescent="0.25">
      <c r="Y17748" s="63">
        <v>60281</v>
      </c>
      <c r="Z17748" s="61">
        <f>_xll.qlYieldTSDiscount($U$35,Y17748,,Trigger)</f>
        <v>0.38360586911728234</v>
      </c>
    </row>
    <row r="17749" spans="25:26" x14ac:dyDescent="0.25">
      <c r="Y17749" s="63">
        <v>60282</v>
      </c>
      <c r="Z17749" s="61">
        <f>_xll.qlYieldTSDiscount($U$35,Y17749,,Trigger)</f>
        <v>0.3835832432141647</v>
      </c>
    </row>
    <row r="17750" spans="25:26" x14ac:dyDescent="0.25">
      <c r="Y17750" s="63">
        <v>60283</v>
      </c>
      <c r="Z17750" s="61">
        <f>_xll.qlYieldTSDiscount($U$35,Y17750,,Trigger)</f>
        <v>0.38356061884705728</v>
      </c>
    </row>
    <row r="17751" spans="25:26" x14ac:dyDescent="0.25">
      <c r="Y17751" s="63">
        <v>60284</v>
      </c>
      <c r="Z17751" s="61">
        <f>_xll.qlYieldTSDiscount($U$35,Y17751,,Trigger)</f>
        <v>0.38353799601559413</v>
      </c>
    </row>
    <row r="17752" spans="25:26" x14ac:dyDescent="0.25">
      <c r="Y17752" s="63">
        <v>60285</v>
      </c>
      <c r="Z17752" s="61">
        <f>_xll.qlYieldTSDiscount($U$35,Y17752,,Trigger)</f>
        <v>0.38351537471940933</v>
      </c>
    </row>
    <row r="17753" spans="25:26" x14ac:dyDescent="0.25">
      <c r="Y17753" s="63">
        <v>60286</v>
      </c>
      <c r="Z17753" s="61">
        <f>_xll.qlYieldTSDiscount($U$35,Y17753,,Trigger)</f>
        <v>0.38349275495813673</v>
      </c>
    </row>
    <row r="17754" spans="25:26" x14ac:dyDescent="0.25">
      <c r="Y17754" s="63">
        <v>60287</v>
      </c>
      <c r="Z17754" s="61">
        <f>_xll.qlYieldTSDiscount($U$35,Y17754,,Trigger)</f>
        <v>0.38347013673141039</v>
      </c>
    </row>
    <row r="17755" spans="25:26" x14ac:dyDescent="0.25">
      <c r="Y17755" s="63">
        <v>60288</v>
      </c>
      <c r="Z17755" s="61">
        <f>_xll.qlYieldTSDiscount($U$35,Y17755,,Trigger)</f>
        <v>0.38344752003886456</v>
      </c>
    </row>
    <row r="17756" spans="25:26" x14ac:dyDescent="0.25">
      <c r="Y17756" s="63">
        <v>60289</v>
      </c>
      <c r="Z17756" s="61">
        <f>_xll.qlYieldTSDiscount($U$35,Y17756,,Trigger)</f>
        <v>0.38342490488013298</v>
      </c>
    </row>
    <row r="17757" spans="25:26" x14ac:dyDescent="0.25">
      <c r="Y17757" s="63">
        <v>60290</v>
      </c>
      <c r="Z17757" s="61">
        <f>_xll.qlYieldTSDiscount($U$35,Y17757,,Trigger)</f>
        <v>0.38340229125484981</v>
      </c>
    </row>
    <row r="17758" spans="25:26" x14ac:dyDescent="0.25">
      <c r="Y17758" s="63">
        <v>60291</v>
      </c>
      <c r="Z17758" s="61">
        <f>_xll.qlYieldTSDiscount($U$35,Y17758,,Trigger)</f>
        <v>0.38337967916264915</v>
      </c>
    </row>
    <row r="17759" spans="25:26" x14ac:dyDescent="0.25">
      <c r="Y17759" s="63">
        <v>60292</v>
      </c>
      <c r="Z17759" s="61">
        <f>_xll.qlYieldTSDiscount($U$35,Y17759,,Trigger)</f>
        <v>0.38335706860316476</v>
      </c>
    </row>
    <row r="17760" spans="25:26" x14ac:dyDescent="0.25">
      <c r="Y17760" s="63">
        <v>60293</v>
      </c>
      <c r="Z17760" s="61">
        <f>_xll.qlYieldTSDiscount($U$35,Y17760,,Trigger)</f>
        <v>0.38333445957603091</v>
      </c>
    </row>
    <row r="17761" spans="25:26" x14ac:dyDescent="0.25">
      <c r="Y17761" s="63">
        <v>60294</v>
      </c>
      <c r="Z17761" s="61">
        <f>_xll.qlYieldTSDiscount($U$35,Y17761,,Trigger)</f>
        <v>0.38331185208088159</v>
      </c>
    </row>
    <row r="17762" spans="25:26" x14ac:dyDescent="0.25">
      <c r="Y17762" s="63">
        <v>60295</v>
      </c>
      <c r="Z17762" s="61">
        <f>_xll.qlYieldTSDiscount($U$35,Y17762,,Trigger)</f>
        <v>0.38328924611735066</v>
      </c>
    </row>
    <row r="17763" spans="25:26" x14ac:dyDescent="0.25">
      <c r="Y17763" s="63">
        <v>60296</v>
      </c>
      <c r="Z17763" s="61">
        <f>_xll.qlYieldTSDiscount($U$35,Y17763,,Trigger)</f>
        <v>0.3832666416850723</v>
      </c>
    </row>
    <row r="17764" spans="25:26" x14ac:dyDescent="0.25">
      <c r="Y17764" s="63">
        <v>60297</v>
      </c>
      <c r="Z17764" s="61">
        <f>_xll.qlYieldTSDiscount($U$35,Y17764,,Trigger)</f>
        <v>0.38324403878368052</v>
      </c>
    </row>
    <row r="17765" spans="25:26" x14ac:dyDescent="0.25">
      <c r="Y17765" s="63">
        <v>60298</v>
      </c>
      <c r="Z17765" s="61">
        <f>_xll.qlYieldTSDiscount($U$35,Y17765,,Trigger)</f>
        <v>0.38322143741280923</v>
      </c>
    </row>
    <row r="17766" spans="25:26" x14ac:dyDescent="0.25">
      <c r="Y17766" s="63">
        <v>60299</v>
      </c>
      <c r="Z17766" s="61">
        <f>_xll.qlYieldTSDiscount($U$35,Y17766,,Trigger)</f>
        <v>0.3831988375720925</v>
      </c>
    </row>
    <row r="17767" spans="25:26" x14ac:dyDescent="0.25">
      <c r="Y17767" s="63">
        <v>60300</v>
      </c>
      <c r="Z17767" s="61">
        <f>_xll.qlYieldTSDiscount($U$35,Y17767,,Trigger)</f>
        <v>0.3831762392611644</v>
      </c>
    </row>
    <row r="17768" spans="25:26" x14ac:dyDescent="0.25">
      <c r="Y17768" s="63">
        <v>60301</v>
      </c>
      <c r="Z17768" s="61">
        <f>_xll.qlYieldTSDiscount($U$35,Y17768,,Trigger)</f>
        <v>0.383153642479659</v>
      </c>
    </row>
    <row r="17769" spans="25:26" x14ac:dyDescent="0.25">
      <c r="Y17769" s="63">
        <v>60302</v>
      </c>
      <c r="Z17769" s="61">
        <f>_xll.qlYieldTSDiscount($U$35,Y17769,,Trigger)</f>
        <v>0.38313104722721025</v>
      </c>
    </row>
    <row r="17770" spans="25:26" x14ac:dyDescent="0.25">
      <c r="Y17770" s="63">
        <v>60303</v>
      </c>
      <c r="Z17770" s="61">
        <f>_xll.qlYieldTSDiscount($U$35,Y17770,,Trigger)</f>
        <v>0.38310845350345207</v>
      </c>
    </row>
    <row r="17771" spans="25:26" x14ac:dyDescent="0.25">
      <c r="Y17771" s="63">
        <v>60304</v>
      </c>
      <c r="Z17771" s="61">
        <f>_xll.qlYieldTSDiscount($U$35,Y17771,,Trigger)</f>
        <v>0.38308586130801869</v>
      </c>
    </row>
    <row r="17772" spans="25:26" x14ac:dyDescent="0.25">
      <c r="Y17772" s="63">
        <v>60305</v>
      </c>
      <c r="Z17772" s="61">
        <f>_xll.qlYieldTSDiscount($U$35,Y17772,,Trigger)</f>
        <v>0.38306327064054391</v>
      </c>
    </row>
    <row r="17773" spans="25:26" x14ac:dyDescent="0.25">
      <c r="Y17773" s="63">
        <v>60306</v>
      </c>
      <c r="Z17773" s="61">
        <f>_xll.qlYieldTSDiscount($U$35,Y17773,,Trigger)</f>
        <v>0.38304068150066195</v>
      </c>
    </row>
    <row r="17774" spans="25:26" x14ac:dyDescent="0.25">
      <c r="Y17774" s="63">
        <v>60307</v>
      </c>
      <c r="Z17774" s="61">
        <f>_xll.qlYieldTSDiscount($U$35,Y17774,,Trigger)</f>
        <v>0.38301809388800678</v>
      </c>
    </row>
    <row r="17775" spans="25:26" x14ac:dyDescent="0.25">
      <c r="Y17775" s="63">
        <v>60308</v>
      </c>
      <c r="Z17775" s="61">
        <f>_xll.qlYieldTSDiscount($U$35,Y17775,,Trigger)</f>
        <v>0.38299550780221231</v>
      </c>
    </row>
    <row r="17776" spans="25:26" x14ac:dyDescent="0.25">
      <c r="Y17776" s="63">
        <v>60309</v>
      </c>
      <c r="Z17776" s="61">
        <f>_xll.qlYieldTSDiscount($U$35,Y17776,,Trigger)</f>
        <v>0.38297292324291266</v>
      </c>
    </row>
    <row r="17777" spans="25:26" x14ac:dyDescent="0.25">
      <c r="Y17777" s="63">
        <v>60310</v>
      </c>
      <c r="Z17777" s="61">
        <f>_xll.qlYieldTSDiscount($U$35,Y17777,,Trigger)</f>
        <v>0.38295034020974184</v>
      </c>
    </row>
    <row r="17778" spans="25:26" x14ac:dyDescent="0.25">
      <c r="Y17778" s="63">
        <v>60311</v>
      </c>
      <c r="Z17778" s="61">
        <f>_xll.qlYieldTSDiscount($U$35,Y17778,,Trigger)</f>
        <v>0.38292775870233386</v>
      </c>
    </row>
    <row r="17779" spans="25:26" x14ac:dyDescent="0.25">
      <c r="Y17779" s="63">
        <v>60312</v>
      </c>
      <c r="Z17779" s="61">
        <f>_xll.qlYieldTSDiscount($U$35,Y17779,,Trigger)</f>
        <v>0.38290517872032276</v>
      </c>
    </row>
    <row r="17780" spans="25:26" x14ac:dyDescent="0.25">
      <c r="Y17780" s="63">
        <v>60313</v>
      </c>
      <c r="Z17780" s="61">
        <f>_xll.qlYieldTSDiscount($U$35,Y17780,,Trigger)</f>
        <v>0.38288260026334264</v>
      </c>
    </row>
    <row r="17781" spans="25:26" x14ac:dyDescent="0.25">
      <c r="Y17781" s="63">
        <v>60314</v>
      </c>
      <c r="Z17781" s="61">
        <f>_xll.qlYieldTSDiscount($U$35,Y17781,,Trigger)</f>
        <v>0.38286002333102731</v>
      </c>
    </row>
    <row r="17782" spans="25:26" x14ac:dyDescent="0.25">
      <c r="Y17782" s="63">
        <v>60315</v>
      </c>
      <c r="Z17782" s="61">
        <f>_xll.qlYieldTSDiscount($U$35,Y17782,,Trigger)</f>
        <v>0.38283744792301094</v>
      </c>
    </row>
    <row r="17783" spans="25:26" x14ac:dyDescent="0.25">
      <c r="Y17783" s="63">
        <v>60316</v>
      </c>
      <c r="Z17783" s="61">
        <f>_xll.qlYieldTSDiscount($U$35,Y17783,,Trigger)</f>
        <v>0.3828148740389275</v>
      </c>
    </row>
    <row r="17784" spans="25:26" x14ac:dyDescent="0.25">
      <c r="Y17784" s="63">
        <v>60317</v>
      </c>
      <c r="Z17784" s="61">
        <f>_xll.qlYieldTSDiscount($U$35,Y17784,,Trigger)</f>
        <v>0.38279230167841116</v>
      </c>
    </row>
    <row r="17785" spans="25:26" x14ac:dyDescent="0.25">
      <c r="Y17785" s="63">
        <v>60318</v>
      </c>
      <c r="Z17785" s="61">
        <f>_xll.qlYieldTSDiscount($U$35,Y17785,,Trigger)</f>
        <v>0.38276973084109567</v>
      </c>
    </row>
    <row r="17786" spans="25:26" x14ac:dyDescent="0.25">
      <c r="Y17786" s="63">
        <v>60319</v>
      </c>
      <c r="Z17786" s="61">
        <f>_xll.qlYieldTSDiscount($U$35,Y17786,,Trigger)</f>
        <v>0.38274716152661525</v>
      </c>
    </row>
    <row r="17787" spans="25:26" x14ac:dyDescent="0.25">
      <c r="Y17787" s="63">
        <v>60320</v>
      </c>
      <c r="Z17787" s="61">
        <f>_xll.qlYieldTSDiscount($U$35,Y17787,,Trigger)</f>
        <v>0.38272459373460399</v>
      </c>
    </row>
    <row r="17788" spans="25:26" x14ac:dyDescent="0.25">
      <c r="Y17788" s="63">
        <v>60321</v>
      </c>
      <c r="Z17788" s="61">
        <f>_xll.qlYieldTSDiscount($U$35,Y17788,,Trigger)</f>
        <v>0.38270202746469562</v>
      </c>
    </row>
    <row r="17789" spans="25:26" x14ac:dyDescent="0.25">
      <c r="Y17789" s="63">
        <v>60322</v>
      </c>
      <c r="Z17789" s="61">
        <f>_xll.qlYieldTSDiscount($U$35,Y17789,,Trigger)</f>
        <v>0.38267946271652442</v>
      </c>
    </row>
    <row r="17790" spans="25:26" x14ac:dyDescent="0.25">
      <c r="Y17790" s="63">
        <v>60323</v>
      </c>
      <c r="Z17790" s="61">
        <f>_xll.qlYieldTSDiscount($U$35,Y17790,,Trigger)</f>
        <v>0.38265689948972431</v>
      </c>
    </row>
    <row r="17791" spans="25:26" x14ac:dyDescent="0.25">
      <c r="Y17791" s="63">
        <v>60324</v>
      </c>
      <c r="Z17791" s="61">
        <f>_xll.qlYieldTSDiscount($U$35,Y17791,,Trigger)</f>
        <v>0.38263433778392936</v>
      </c>
    </row>
    <row r="17792" spans="25:26" x14ac:dyDescent="0.25">
      <c r="Y17792" s="63">
        <v>60325</v>
      </c>
      <c r="Z17792" s="61">
        <f>_xll.qlYieldTSDiscount($U$35,Y17792,,Trigger)</f>
        <v>0.38261177759877352</v>
      </c>
    </row>
    <row r="17793" spans="25:26" x14ac:dyDescent="0.25">
      <c r="Y17793" s="63">
        <v>60326</v>
      </c>
      <c r="Z17793" s="61">
        <f>_xll.qlYieldTSDiscount($U$35,Y17793,,Trigger)</f>
        <v>0.38258921893389097</v>
      </c>
    </row>
    <row r="17794" spans="25:26" x14ac:dyDescent="0.25">
      <c r="Y17794" s="63">
        <v>60327</v>
      </c>
      <c r="Z17794" s="61">
        <f>_xll.qlYieldTSDiscount($U$35,Y17794,,Trigger)</f>
        <v>0.38256666178891546</v>
      </c>
    </row>
    <row r="17795" spans="25:26" x14ac:dyDescent="0.25">
      <c r="Y17795" s="63">
        <v>60328</v>
      </c>
      <c r="Z17795" s="61">
        <f>_xll.qlYieldTSDiscount($U$35,Y17795,,Trigger)</f>
        <v>0.38254410616348122</v>
      </c>
    </row>
    <row r="17796" spans="25:26" x14ac:dyDescent="0.25">
      <c r="Y17796" s="63">
        <v>60329</v>
      </c>
      <c r="Z17796" s="61">
        <f>_xll.qlYieldTSDiscount($U$35,Y17796,,Trigger)</f>
        <v>0.38252155205722227</v>
      </c>
    </row>
    <row r="17797" spans="25:26" x14ac:dyDescent="0.25">
      <c r="Y17797" s="63">
        <v>60330</v>
      </c>
      <c r="Z17797" s="61">
        <f>_xll.qlYieldTSDiscount($U$35,Y17797,,Trigger)</f>
        <v>0.3824989994697725</v>
      </c>
    </row>
    <row r="17798" spans="25:26" x14ac:dyDescent="0.25">
      <c r="Y17798" s="63">
        <v>60331</v>
      </c>
      <c r="Z17798" s="61">
        <f>_xll.qlYieldTSDiscount($U$35,Y17798,,Trigger)</f>
        <v>0.38247644840076611</v>
      </c>
    </row>
    <row r="17799" spans="25:26" x14ac:dyDescent="0.25">
      <c r="Y17799" s="63">
        <v>60332</v>
      </c>
      <c r="Z17799" s="61">
        <f>_xll.qlYieldTSDiscount($U$35,Y17799,,Trigger)</f>
        <v>0.38245389884983694</v>
      </c>
    </row>
    <row r="17800" spans="25:26" x14ac:dyDescent="0.25">
      <c r="Y17800" s="63">
        <v>60333</v>
      </c>
      <c r="Z17800" s="61">
        <f>_xll.qlYieldTSDiscount($U$35,Y17800,,Trigger)</f>
        <v>0.38243135081661916</v>
      </c>
    </row>
    <row r="17801" spans="25:26" x14ac:dyDescent="0.25">
      <c r="Y17801" s="63">
        <v>60334</v>
      </c>
      <c r="Z17801" s="61">
        <f>_xll.qlYieldTSDiscount($U$35,Y17801,,Trigger)</f>
        <v>0.3824088043007467</v>
      </c>
    </row>
    <row r="17802" spans="25:26" x14ac:dyDescent="0.25">
      <c r="Y17802" s="63">
        <v>60335</v>
      </c>
      <c r="Z17802" s="61">
        <f>_xll.qlYieldTSDiscount($U$35,Y17802,,Trigger)</f>
        <v>0.38238625930185355</v>
      </c>
    </row>
    <row r="17803" spans="25:26" x14ac:dyDescent="0.25">
      <c r="Y17803" s="63">
        <v>60336</v>
      </c>
      <c r="Z17803" s="61">
        <f>_xll.qlYieldTSDiscount($U$35,Y17803,,Trigger)</f>
        <v>0.38236371581957396</v>
      </c>
    </row>
    <row r="17804" spans="25:26" x14ac:dyDescent="0.25">
      <c r="Y17804" s="63">
        <v>60337</v>
      </c>
      <c r="Z17804" s="61">
        <f>_xll.qlYieldTSDiscount($U$35,Y17804,,Trigger)</f>
        <v>0.38234117385354166</v>
      </c>
    </row>
    <row r="17805" spans="25:26" x14ac:dyDescent="0.25">
      <c r="Y17805" s="63">
        <v>60338</v>
      </c>
      <c r="Z17805" s="61">
        <f>_xll.qlYieldTSDiscount($U$35,Y17805,,Trigger)</f>
        <v>0.38231863340339078</v>
      </c>
    </row>
    <row r="17806" spans="25:26" x14ac:dyDescent="0.25">
      <c r="Y17806" s="63">
        <v>60339</v>
      </c>
      <c r="Z17806" s="61">
        <f>_xll.qlYieldTSDiscount($U$35,Y17806,,Trigger)</f>
        <v>0.38229609446875545</v>
      </c>
    </row>
    <row r="17807" spans="25:26" x14ac:dyDescent="0.25">
      <c r="Y17807" s="63">
        <v>60340</v>
      </c>
      <c r="Z17807" s="61">
        <f>_xll.qlYieldTSDiscount($U$35,Y17807,,Trigger)</f>
        <v>0.38227355704926952</v>
      </c>
    </row>
    <row r="17808" spans="25:26" x14ac:dyDescent="0.25">
      <c r="Y17808" s="63">
        <v>60341</v>
      </c>
      <c r="Z17808" s="61">
        <f>_xll.qlYieldTSDiscount($U$35,Y17808,,Trigger)</f>
        <v>0.3822510211445671</v>
      </c>
    </row>
    <row r="17809" spans="25:26" x14ac:dyDescent="0.25">
      <c r="Y17809" s="63">
        <v>60342</v>
      </c>
      <c r="Z17809" s="61">
        <f>_xll.qlYieldTSDiscount($U$35,Y17809,,Trigger)</f>
        <v>0.38222848675428223</v>
      </c>
    </row>
    <row r="17810" spans="25:26" x14ac:dyDescent="0.25">
      <c r="Y17810" s="63">
        <v>60343</v>
      </c>
      <c r="Z17810" s="61">
        <f>_xll.qlYieldTSDiscount($U$35,Y17810,,Trigger)</f>
        <v>0.3822059538780489</v>
      </c>
    </row>
    <row r="17811" spans="25:26" x14ac:dyDescent="0.25">
      <c r="Y17811" s="63">
        <v>60344</v>
      </c>
      <c r="Z17811" s="61">
        <f>_xll.qlYieldTSDiscount($U$35,Y17811,,Trigger)</f>
        <v>0.38218342251550119</v>
      </c>
    </row>
    <row r="17812" spans="25:26" x14ac:dyDescent="0.25">
      <c r="Y17812" s="63">
        <v>60345</v>
      </c>
      <c r="Z17812" s="61">
        <f>_xll.qlYieldTSDiscount($U$35,Y17812,,Trigger)</f>
        <v>0.38216089266627296</v>
      </c>
    </row>
    <row r="17813" spans="25:26" x14ac:dyDescent="0.25">
      <c r="Y17813" s="63">
        <v>60346</v>
      </c>
      <c r="Z17813" s="61">
        <f>_xll.qlYieldTSDiscount($U$35,Y17813,,Trigger)</f>
        <v>0.38213836432999843</v>
      </c>
    </row>
    <row r="17814" spans="25:26" x14ac:dyDescent="0.25">
      <c r="Y17814" s="63">
        <v>60347</v>
      </c>
      <c r="Z17814" s="61">
        <f>_xll.qlYieldTSDiscount($U$35,Y17814,,Trigger)</f>
        <v>0.38211583750631151</v>
      </c>
    </row>
    <row r="17815" spans="25:26" x14ac:dyDescent="0.25">
      <c r="Y17815" s="63">
        <v>60348</v>
      </c>
      <c r="Z17815" s="61">
        <f>_xll.qlYieldTSDiscount($U$35,Y17815,,Trigger)</f>
        <v>0.38209331219484621</v>
      </c>
    </row>
    <row r="17816" spans="25:26" x14ac:dyDescent="0.25">
      <c r="Y17816" s="63">
        <v>60349</v>
      </c>
      <c r="Z17816" s="61">
        <f>_xll.qlYieldTSDiscount($U$35,Y17816,,Trigger)</f>
        <v>0.38207078839523667</v>
      </c>
    </row>
    <row r="17817" spans="25:26" x14ac:dyDescent="0.25">
      <c r="Y17817" s="63">
        <v>60350</v>
      </c>
      <c r="Z17817" s="61">
        <f>_xll.qlYieldTSDiscount($U$35,Y17817,,Trigger)</f>
        <v>0.38204826610711673</v>
      </c>
    </row>
    <row r="17818" spans="25:26" x14ac:dyDescent="0.25">
      <c r="Y17818" s="63">
        <v>60351</v>
      </c>
      <c r="Z17818" s="61">
        <f>_xll.qlYieldTSDiscount($U$35,Y17818,,Trigger)</f>
        <v>0.38202574533012057</v>
      </c>
    </row>
    <row r="17819" spans="25:26" x14ac:dyDescent="0.25">
      <c r="Y17819" s="63">
        <v>60352</v>
      </c>
      <c r="Z17819" s="61">
        <f>_xll.qlYieldTSDiscount($U$35,Y17819,,Trigger)</f>
        <v>0.38200322606388221</v>
      </c>
    </row>
    <row r="17820" spans="25:26" x14ac:dyDescent="0.25">
      <c r="Y17820" s="63">
        <v>60353</v>
      </c>
      <c r="Z17820" s="61">
        <f>_xll.qlYieldTSDiscount($U$35,Y17820,,Trigger)</f>
        <v>0.38198070830803554</v>
      </c>
    </row>
    <row r="17821" spans="25:26" x14ac:dyDescent="0.25">
      <c r="Y17821" s="63">
        <v>60354</v>
      </c>
      <c r="Z17821" s="61">
        <f>_xll.qlYieldTSDiscount($U$35,Y17821,,Trigger)</f>
        <v>0.3819581920622146</v>
      </c>
    </row>
    <row r="17822" spans="25:26" x14ac:dyDescent="0.25">
      <c r="Y17822" s="63">
        <v>60355</v>
      </c>
      <c r="Z17822" s="61">
        <f>_xll.qlYieldTSDiscount($U$35,Y17822,,Trigger)</f>
        <v>0.3819356773260536</v>
      </c>
    </row>
    <row r="17823" spans="25:26" x14ac:dyDescent="0.25">
      <c r="Y17823" s="63">
        <v>60356</v>
      </c>
      <c r="Z17823" s="61">
        <f>_xll.qlYieldTSDiscount($U$35,Y17823,,Trigger)</f>
        <v>0.38191316409918635</v>
      </c>
    </row>
    <row r="17824" spans="25:26" x14ac:dyDescent="0.25">
      <c r="Y17824" s="63">
        <v>60357</v>
      </c>
      <c r="Z17824" s="61">
        <f>_xll.qlYieldTSDiscount($U$35,Y17824,,Trigger)</f>
        <v>0.38189065238124698</v>
      </c>
    </row>
    <row r="17825" spans="25:26" x14ac:dyDescent="0.25">
      <c r="Y17825" s="63">
        <v>60358</v>
      </c>
      <c r="Z17825" s="61">
        <f>_xll.qlYieldTSDiscount($U$35,Y17825,,Trigger)</f>
        <v>0.38186814217186948</v>
      </c>
    </row>
    <row r="17826" spans="25:26" x14ac:dyDescent="0.25">
      <c r="Y17826" s="63">
        <v>60359</v>
      </c>
      <c r="Z17826" s="61">
        <f>_xll.qlYieldTSDiscount($U$35,Y17826,,Trigger)</f>
        <v>0.38184563347068784</v>
      </c>
    </row>
    <row r="17827" spans="25:26" x14ac:dyDescent="0.25">
      <c r="Y17827" s="63">
        <v>60360</v>
      </c>
      <c r="Z17827" s="61">
        <f>_xll.qlYieldTSDiscount($U$35,Y17827,,Trigger)</f>
        <v>0.38182312627733617</v>
      </c>
    </row>
    <row r="17828" spans="25:26" x14ac:dyDescent="0.25">
      <c r="Y17828" s="63">
        <v>60361</v>
      </c>
      <c r="Z17828" s="61">
        <f>_xll.qlYieldTSDiscount($U$35,Y17828,,Trigger)</f>
        <v>0.38180062059144837</v>
      </c>
    </row>
    <row r="17829" spans="25:26" x14ac:dyDescent="0.25">
      <c r="Y17829" s="63">
        <v>60362</v>
      </c>
      <c r="Z17829" s="61">
        <f>_xll.qlYieldTSDiscount($U$35,Y17829,,Trigger)</f>
        <v>0.38177811641265863</v>
      </c>
    </row>
    <row r="17830" spans="25:26" x14ac:dyDescent="0.25">
      <c r="Y17830" s="63">
        <v>60363</v>
      </c>
      <c r="Z17830" s="61">
        <f>_xll.qlYieldTSDiscount($U$35,Y17830,,Trigger)</f>
        <v>0.38175561374060074</v>
      </c>
    </row>
    <row r="17831" spans="25:26" x14ac:dyDescent="0.25">
      <c r="Y17831" s="63">
        <v>60364</v>
      </c>
      <c r="Z17831" s="61">
        <f>_xll.qlYieldTSDiscount($U$35,Y17831,,Trigger)</f>
        <v>0.38173311257490894</v>
      </c>
    </row>
    <row r="17832" spans="25:26" x14ac:dyDescent="0.25">
      <c r="Y17832" s="63">
        <v>60365</v>
      </c>
      <c r="Z17832" s="61">
        <f>_xll.qlYieldTSDiscount($U$35,Y17832,,Trigger)</f>
        <v>0.38171061291521724</v>
      </c>
    </row>
    <row r="17833" spans="25:26" x14ac:dyDescent="0.25">
      <c r="Y17833" s="63">
        <v>60366</v>
      </c>
      <c r="Z17833" s="61">
        <f>_xll.qlYieldTSDiscount($U$35,Y17833,,Trigger)</f>
        <v>0.38168811476115949</v>
      </c>
    </row>
    <row r="17834" spans="25:26" x14ac:dyDescent="0.25">
      <c r="Y17834" s="63">
        <v>60367</v>
      </c>
      <c r="Z17834" s="61">
        <f>_xll.qlYieldTSDiscount($U$35,Y17834,,Trigger)</f>
        <v>0.38166561811236976</v>
      </c>
    </row>
    <row r="17835" spans="25:26" x14ac:dyDescent="0.25">
      <c r="Y17835" s="63">
        <v>60368</v>
      </c>
      <c r="Z17835" s="61">
        <f>_xll.qlYieldTSDiscount($U$35,Y17835,,Trigger)</f>
        <v>0.3816431229684823</v>
      </c>
    </row>
    <row r="17836" spans="25:26" x14ac:dyDescent="0.25">
      <c r="Y17836" s="63">
        <v>60369</v>
      </c>
      <c r="Z17836" s="61">
        <f>_xll.qlYieldTSDiscount($U$35,Y17836,,Trigger)</f>
        <v>0.38162062932913082</v>
      </c>
    </row>
    <row r="17837" spans="25:26" x14ac:dyDescent="0.25">
      <c r="Y17837" s="63">
        <v>60370</v>
      </c>
      <c r="Z17837" s="61">
        <f>_xll.qlYieldTSDiscount($U$35,Y17837,,Trigger)</f>
        <v>0.38159813719394953</v>
      </c>
    </row>
    <row r="17838" spans="25:26" x14ac:dyDescent="0.25">
      <c r="Y17838" s="63">
        <v>60371</v>
      </c>
      <c r="Z17838" s="61">
        <f>_xll.qlYieldTSDiscount($U$35,Y17838,,Trigger)</f>
        <v>0.38157564656257237</v>
      </c>
    </row>
    <row r="17839" spans="25:26" x14ac:dyDescent="0.25">
      <c r="Y17839" s="63">
        <v>60372</v>
      </c>
      <c r="Z17839" s="61">
        <f>_xll.qlYieldTSDiscount($U$35,Y17839,,Trigger)</f>
        <v>0.38155315743463336</v>
      </c>
    </row>
    <row r="17840" spans="25:26" x14ac:dyDescent="0.25">
      <c r="Y17840" s="63">
        <v>60373</v>
      </c>
      <c r="Z17840" s="61">
        <f>_xll.qlYieldTSDiscount($U$35,Y17840,,Trigger)</f>
        <v>0.38153066980976658</v>
      </c>
    </row>
    <row r="17841" spans="25:26" x14ac:dyDescent="0.25">
      <c r="Y17841" s="63">
        <v>60374</v>
      </c>
      <c r="Z17841" s="61">
        <f>_xll.qlYieldTSDiscount($U$35,Y17841,,Trigger)</f>
        <v>0.38150818368760608</v>
      </c>
    </row>
    <row r="17842" spans="25:26" x14ac:dyDescent="0.25">
      <c r="Y17842" s="63">
        <v>60375</v>
      </c>
      <c r="Z17842" s="61">
        <f>_xll.qlYieldTSDiscount($U$35,Y17842,,Trigger)</f>
        <v>0.38148569906778579</v>
      </c>
    </row>
    <row r="17843" spans="25:26" x14ac:dyDescent="0.25">
      <c r="Y17843" s="63">
        <v>60376</v>
      </c>
      <c r="Z17843" s="61">
        <f>_xll.qlYieldTSDiscount($U$35,Y17843,,Trigger)</f>
        <v>0.3814632159499397</v>
      </c>
    </row>
    <row r="17844" spans="25:26" x14ac:dyDescent="0.25">
      <c r="Y17844" s="63">
        <v>60377</v>
      </c>
      <c r="Z17844" s="61">
        <f>_xll.qlYieldTSDiscount($U$35,Y17844,,Trigger)</f>
        <v>0.38144073433370196</v>
      </c>
    </row>
    <row r="17845" spans="25:26" x14ac:dyDescent="0.25">
      <c r="Y17845" s="63">
        <v>60378</v>
      </c>
      <c r="Z17845" s="61">
        <f>_xll.qlYieldTSDiscount($U$35,Y17845,,Trigger)</f>
        <v>0.38141825421870656</v>
      </c>
    </row>
    <row r="17846" spans="25:26" x14ac:dyDescent="0.25">
      <c r="Y17846" s="63">
        <v>60379</v>
      </c>
      <c r="Z17846" s="61">
        <f>_xll.qlYieldTSDiscount($U$35,Y17846,,Trigger)</f>
        <v>0.38139577560458748</v>
      </c>
    </row>
    <row r="17847" spans="25:26" x14ac:dyDescent="0.25">
      <c r="Y17847" s="63">
        <v>60380</v>
      </c>
      <c r="Z17847" s="61">
        <f>_xll.qlYieldTSDiscount($U$35,Y17847,,Trigger)</f>
        <v>0.38137329849097867</v>
      </c>
    </row>
    <row r="17848" spans="25:26" x14ac:dyDescent="0.25">
      <c r="Y17848" s="63">
        <v>60381</v>
      </c>
      <c r="Z17848" s="61">
        <f>_xll.qlYieldTSDiscount($U$35,Y17848,,Trigger)</f>
        <v>0.38135082287751437</v>
      </c>
    </row>
    <row r="17849" spans="25:26" x14ac:dyDescent="0.25">
      <c r="Y17849" s="63">
        <v>60382</v>
      </c>
      <c r="Z17849" s="61">
        <f>_xll.qlYieldTSDiscount($U$35,Y17849,,Trigger)</f>
        <v>0.38132834876382837</v>
      </c>
    </row>
    <row r="17850" spans="25:26" x14ac:dyDescent="0.25">
      <c r="Y17850" s="63">
        <v>60383</v>
      </c>
      <c r="Z17850" s="61">
        <f>_xll.qlYieldTSDiscount($U$35,Y17850,,Trigger)</f>
        <v>0.38130587614955486</v>
      </c>
    </row>
    <row r="17851" spans="25:26" x14ac:dyDescent="0.25">
      <c r="Y17851" s="63">
        <v>60384</v>
      </c>
      <c r="Z17851" s="61">
        <f>_xll.qlYieldTSDiscount($U$35,Y17851,,Trigger)</f>
        <v>0.38128340503432778</v>
      </c>
    </row>
    <row r="17852" spans="25:26" x14ac:dyDescent="0.25">
      <c r="Y17852" s="63">
        <v>60385</v>
      </c>
      <c r="Z17852" s="61">
        <f>_xll.qlYieldTSDiscount($U$35,Y17852,,Trigger)</f>
        <v>0.38126093541778117</v>
      </c>
    </row>
    <row r="17853" spans="25:26" x14ac:dyDescent="0.25">
      <c r="Y17853" s="63">
        <v>60386</v>
      </c>
      <c r="Z17853" s="61">
        <f>_xll.qlYieldTSDiscount($U$35,Y17853,,Trigger)</f>
        <v>0.38123846729954891</v>
      </c>
    </row>
    <row r="17854" spans="25:26" x14ac:dyDescent="0.25">
      <c r="Y17854" s="63">
        <v>60387</v>
      </c>
      <c r="Z17854" s="61">
        <f>_xll.qlYieldTSDiscount($U$35,Y17854,,Trigger)</f>
        <v>0.38121600067926531</v>
      </c>
    </row>
    <row r="17855" spans="25:26" x14ac:dyDescent="0.25">
      <c r="Y17855" s="63">
        <v>60388</v>
      </c>
      <c r="Z17855" s="61">
        <f>_xll.qlYieldTSDiscount($U$35,Y17855,,Trigger)</f>
        <v>0.38119353555656421</v>
      </c>
    </row>
    <row r="17856" spans="25:26" x14ac:dyDescent="0.25">
      <c r="Y17856" s="63">
        <v>60389</v>
      </c>
      <c r="Z17856" s="61">
        <f>_xll.qlYieldTSDiscount($U$35,Y17856,,Trigger)</f>
        <v>0.38117107193107957</v>
      </c>
    </row>
    <row r="17857" spans="25:26" x14ac:dyDescent="0.25">
      <c r="Y17857" s="63">
        <v>60390</v>
      </c>
      <c r="Z17857" s="61">
        <f>_xll.qlYieldTSDiscount($U$35,Y17857,,Trigger)</f>
        <v>0.38114860980244564</v>
      </c>
    </row>
    <row r="17858" spans="25:26" x14ac:dyDescent="0.25">
      <c r="Y17858" s="63">
        <v>60391</v>
      </c>
      <c r="Z17858" s="61">
        <f>_xll.qlYieldTSDiscount($U$35,Y17858,,Trigger)</f>
        <v>0.3811261491702963</v>
      </c>
    </row>
    <row r="17859" spans="25:26" x14ac:dyDescent="0.25">
      <c r="Y17859" s="63">
        <v>60392</v>
      </c>
      <c r="Z17859" s="61">
        <f>_xll.qlYieldTSDiscount($U$35,Y17859,,Trigger)</f>
        <v>0.38110369003426547</v>
      </c>
    </row>
    <row r="17860" spans="25:26" x14ac:dyDescent="0.25">
      <c r="Y17860" s="63">
        <v>60393</v>
      </c>
      <c r="Z17860" s="61">
        <f>_xll.qlYieldTSDiscount($U$35,Y17860,,Trigger)</f>
        <v>0.38108123239398733</v>
      </c>
    </row>
    <row r="17861" spans="25:26" x14ac:dyDescent="0.25">
      <c r="Y17861" s="63">
        <v>60394</v>
      </c>
      <c r="Z17861" s="61">
        <f>_xll.qlYieldTSDiscount($U$35,Y17861,,Trigger)</f>
        <v>0.3810587762490959</v>
      </c>
    </row>
    <row r="17862" spans="25:26" x14ac:dyDescent="0.25">
      <c r="Y17862" s="63">
        <v>60395</v>
      </c>
      <c r="Z17862" s="61">
        <f>_xll.qlYieldTSDiscount($U$35,Y17862,,Trigger)</f>
        <v>0.38103632159922507</v>
      </c>
    </row>
    <row r="17863" spans="25:26" x14ac:dyDescent="0.25">
      <c r="Y17863" s="63">
        <v>60396</v>
      </c>
      <c r="Z17863" s="61">
        <f>_xll.qlYieldTSDiscount($U$35,Y17863,,Trigger)</f>
        <v>0.38101386844400897</v>
      </c>
    </row>
    <row r="17864" spans="25:26" x14ac:dyDescent="0.25">
      <c r="Y17864" s="63">
        <v>60397</v>
      </c>
      <c r="Z17864" s="61">
        <f>_xll.qlYieldTSDiscount($U$35,Y17864,,Trigger)</f>
        <v>0.38099141678308168</v>
      </c>
    </row>
    <row r="17865" spans="25:26" x14ac:dyDescent="0.25">
      <c r="Y17865" s="63">
        <v>60398</v>
      </c>
      <c r="Z17865" s="61">
        <f>_xll.qlYieldTSDiscount($U$35,Y17865,,Trigger)</f>
        <v>0.38096896661607704</v>
      </c>
    </row>
    <row r="17866" spans="25:26" x14ac:dyDescent="0.25">
      <c r="Y17866" s="63">
        <v>60399</v>
      </c>
      <c r="Z17866" s="61">
        <f>_xll.qlYieldTSDiscount($U$35,Y17866,,Trigger)</f>
        <v>0.38094651794262924</v>
      </c>
    </row>
    <row r="17867" spans="25:26" x14ac:dyDescent="0.25">
      <c r="Y17867" s="63">
        <v>60400</v>
      </c>
      <c r="Z17867" s="61">
        <f>_xll.qlYieldTSDiscount($U$35,Y17867,,Trigger)</f>
        <v>0.38092407076237222</v>
      </c>
    </row>
    <row r="17868" spans="25:26" x14ac:dyDescent="0.25">
      <c r="Y17868" s="63">
        <v>60401</v>
      </c>
      <c r="Z17868" s="61">
        <f>_xll.qlYieldTSDiscount($U$35,Y17868,,Trigger)</f>
        <v>0.38090162507493996</v>
      </c>
    </row>
    <row r="17869" spans="25:26" x14ac:dyDescent="0.25">
      <c r="Y17869" s="63">
        <v>60402</v>
      </c>
      <c r="Z17869" s="61">
        <f>_xll.qlYieldTSDiscount($U$35,Y17869,,Trigger)</f>
        <v>0.38087918087996653</v>
      </c>
    </row>
    <row r="17870" spans="25:26" x14ac:dyDescent="0.25">
      <c r="Y17870" s="63">
        <v>60403</v>
      </c>
      <c r="Z17870" s="61">
        <f>_xll.qlYieldTSDiscount($U$35,Y17870,,Trigger)</f>
        <v>0.38085673817708604</v>
      </c>
    </row>
    <row r="17871" spans="25:26" x14ac:dyDescent="0.25">
      <c r="Y17871" s="63">
        <v>60404</v>
      </c>
      <c r="Z17871" s="61">
        <f>_xll.qlYieldTSDiscount($U$35,Y17871,,Trigger)</f>
        <v>0.38083429696593241</v>
      </c>
    </row>
    <row r="17872" spans="25:26" x14ac:dyDescent="0.25">
      <c r="Y17872" s="63">
        <v>60405</v>
      </c>
      <c r="Z17872" s="61">
        <f>_xll.qlYieldTSDiscount($U$35,Y17872,,Trigger)</f>
        <v>0.38081185724613958</v>
      </c>
    </row>
    <row r="17873" spans="25:26" x14ac:dyDescent="0.25">
      <c r="Y17873" s="63">
        <v>60406</v>
      </c>
      <c r="Z17873" s="61">
        <f>_xll.qlYieldTSDiscount($U$35,Y17873,,Trigger)</f>
        <v>0.38078941901734176</v>
      </c>
    </row>
    <row r="17874" spans="25:26" x14ac:dyDescent="0.25">
      <c r="Y17874" s="63">
        <v>60407</v>
      </c>
      <c r="Z17874" s="61">
        <f>_xll.qlYieldTSDiscount($U$35,Y17874,,Trigger)</f>
        <v>0.38076698227917294</v>
      </c>
    </row>
    <row r="17875" spans="25:26" x14ac:dyDescent="0.25">
      <c r="Y17875" s="63">
        <v>60408</v>
      </c>
      <c r="Z17875" s="61">
        <f>_xll.qlYieldTSDiscount($U$35,Y17875,,Trigger)</f>
        <v>0.38074454703126698</v>
      </c>
    </row>
    <row r="17876" spans="25:26" x14ac:dyDescent="0.25">
      <c r="Y17876" s="63">
        <v>60409</v>
      </c>
      <c r="Z17876" s="61">
        <f>_xll.qlYieldTSDiscount($U$35,Y17876,,Trigger)</f>
        <v>0.380722113273258</v>
      </c>
    </row>
    <row r="17877" spans="25:26" x14ac:dyDescent="0.25">
      <c r="Y17877" s="63">
        <v>60410</v>
      </c>
      <c r="Z17877" s="61">
        <f>_xll.qlYieldTSDiscount($U$35,Y17877,,Trigger)</f>
        <v>0.38069968100478013</v>
      </c>
    </row>
    <row r="17878" spans="25:26" x14ac:dyDescent="0.25">
      <c r="Y17878" s="63">
        <v>60411</v>
      </c>
      <c r="Z17878" s="61">
        <f>_xll.qlYieldTSDiscount($U$35,Y17878,,Trigger)</f>
        <v>0.38067725022546728</v>
      </c>
    </row>
    <row r="17879" spans="25:26" x14ac:dyDescent="0.25">
      <c r="Y17879" s="63">
        <v>60412</v>
      </c>
      <c r="Z17879" s="61">
        <f>_xll.qlYieldTSDiscount($U$35,Y17879,,Trigger)</f>
        <v>0.3806548209349534</v>
      </c>
    </row>
    <row r="17880" spans="25:26" x14ac:dyDescent="0.25">
      <c r="Y17880" s="63">
        <v>60413</v>
      </c>
      <c r="Z17880" s="61">
        <f>_xll.qlYieldTSDiscount($U$35,Y17880,,Trigger)</f>
        <v>0.38063239313287267</v>
      </c>
    </row>
    <row r="17881" spans="25:26" x14ac:dyDescent="0.25">
      <c r="Y17881" s="63">
        <v>60414</v>
      </c>
      <c r="Z17881" s="61">
        <f>_xll.qlYieldTSDiscount($U$35,Y17881,,Trigger)</f>
        <v>0.38060996681885906</v>
      </c>
    </row>
    <row r="17882" spans="25:26" x14ac:dyDescent="0.25">
      <c r="Y17882" s="63">
        <v>60415</v>
      </c>
      <c r="Z17882" s="61">
        <f>_xll.qlYieldTSDiscount($U$35,Y17882,,Trigger)</f>
        <v>0.38058754199254646</v>
      </c>
    </row>
    <row r="17883" spans="25:26" x14ac:dyDescent="0.25">
      <c r="Y17883" s="63">
        <v>60416</v>
      </c>
      <c r="Z17883" s="61">
        <f>_xll.qlYieldTSDiscount($U$35,Y17883,,Trigger)</f>
        <v>0.38056511865356912</v>
      </c>
    </row>
    <row r="17884" spans="25:26" x14ac:dyDescent="0.25">
      <c r="Y17884" s="63">
        <v>60417</v>
      </c>
      <c r="Z17884" s="61">
        <f>_xll.qlYieldTSDiscount($U$35,Y17884,,Trigger)</f>
        <v>0.38054269680156089</v>
      </c>
    </row>
    <row r="17885" spans="25:26" x14ac:dyDescent="0.25">
      <c r="Y17885" s="63">
        <v>60418</v>
      </c>
      <c r="Z17885" s="61">
        <f>_xll.qlYieldTSDiscount($U$35,Y17885,,Trigger)</f>
        <v>0.38052027643615582</v>
      </c>
    </row>
    <row r="17886" spans="25:26" x14ac:dyDescent="0.25">
      <c r="Y17886" s="63">
        <v>60419</v>
      </c>
      <c r="Z17886" s="61">
        <f>_xll.qlYieldTSDiscount($U$35,Y17886,,Trigger)</f>
        <v>0.38049785755698801</v>
      </c>
    </row>
    <row r="17887" spans="25:26" x14ac:dyDescent="0.25">
      <c r="Y17887" s="63">
        <v>60420</v>
      </c>
      <c r="Z17887" s="61">
        <f>_xll.qlYieldTSDiscount($U$35,Y17887,,Trigger)</f>
        <v>0.38047544016369139</v>
      </c>
    </row>
    <row r="17888" spans="25:26" x14ac:dyDescent="0.25">
      <c r="Y17888" s="63">
        <v>60421</v>
      </c>
      <c r="Z17888" s="61">
        <f>_xll.qlYieldTSDiscount($U$35,Y17888,,Trigger)</f>
        <v>0.38045302425590005</v>
      </c>
    </row>
    <row r="17889" spans="25:26" x14ac:dyDescent="0.25">
      <c r="Y17889" s="63">
        <v>60422</v>
      </c>
      <c r="Z17889" s="61">
        <f>_xll.qlYieldTSDiscount($U$35,Y17889,,Trigger)</f>
        <v>0.38043060983324795</v>
      </c>
    </row>
    <row r="17890" spans="25:26" x14ac:dyDescent="0.25">
      <c r="Y17890" s="63">
        <v>60423</v>
      </c>
      <c r="Z17890" s="61">
        <f>_xll.qlYieldTSDiscount($U$35,Y17890,,Trigger)</f>
        <v>0.3804081968953692</v>
      </c>
    </row>
    <row r="17891" spans="25:26" x14ac:dyDescent="0.25">
      <c r="Y17891" s="63">
        <v>60424</v>
      </c>
      <c r="Z17891" s="61">
        <f>_xll.qlYieldTSDiscount($U$35,Y17891,,Trigger)</f>
        <v>0.38038578544189772</v>
      </c>
    </row>
    <row r="17892" spans="25:26" x14ac:dyDescent="0.25">
      <c r="Y17892" s="63">
        <v>60425</v>
      </c>
      <c r="Z17892" s="61">
        <f>_xll.qlYieldTSDiscount($U$35,Y17892,,Trigger)</f>
        <v>0.38036337547246757</v>
      </c>
    </row>
    <row r="17893" spans="25:26" x14ac:dyDescent="0.25">
      <c r="Y17893" s="63">
        <v>60426</v>
      </c>
      <c r="Z17893" s="61">
        <f>_xll.qlYieldTSDiscount($U$35,Y17893,,Trigger)</f>
        <v>0.38034096698671288</v>
      </c>
    </row>
    <row r="17894" spans="25:26" x14ac:dyDescent="0.25">
      <c r="Y17894" s="63">
        <v>60427</v>
      </c>
      <c r="Z17894" s="61">
        <f>_xll.qlYieldTSDiscount($U$35,Y17894,,Trigger)</f>
        <v>0.38031855998426745</v>
      </c>
    </row>
    <row r="17895" spans="25:26" x14ac:dyDescent="0.25">
      <c r="Y17895" s="63">
        <v>60428</v>
      </c>
      <c r="Z17895" s="61">
        <f>_xll.qlYieldTSDiscount($U$35,Y17895,,Trigger)</f>
        <v>0.3802961544647655</v>
      </c>
    </row>
    <row r="17896" spans="25:26" x14ac:dyDescent="0.25">
      <c r="Y17896" s="63">
        <v>60429</v>
      </c>
      <c r="Z17896" s="61">
        <f>_xll.qlYieldTSDiscount($U$35,Y17896,,Trigger)</f>
        <v>0.38027375042784095</v>
      </c>
    </row>
    <row r="17897" spans="25:26" x14ac:dyDescent="0.25">
      <c r="Y17897" s="63">
        <v>60430</v>
      </c>
      <c r="Z17897" s="61">
        <f>_xll.qlYieldTSDiscount($U$35,Y17897,,Trigger)</f>
        <v>0.38025134787312787</v>
      </c>
    </row>
    <row r="17898" spans="25:26" x14ac:dyDescent="0.25">
      <c r="Y17898" s="63">
        <v>60431</v>
      </c>
      <c r="Z17898" s="61">
        <f>_xll.qlYieldTSDiscount($U$35,Y17898,,Trigger)</f>
        <v>0.3802289468002602</v>
      </c>
    </row>
    <row r="17899" spans="25:26" x14ac:dyDescent="0.25">
      <c r="Y17899" s="63">
        <v>60432</v>
      </c>
      <c r="Z17899" s="61">
        <f>_xll.qlYieldTSDiscount($U$35,Y17899,,Trigger)</f>
        <v>0.38020654720887215</v>
      </c>
    </row>
    <row r="17900" spans="25:26" x14ac:dyDescent="0.25">
      <c r="Y17900" s="63">
        <v>60433</v>
      </c>
      <c r="Z17900" s="61">
        <f>_xll.qlYieldTSDiscount($U$35,Y17900,,Trigger)</f>
        <v>0.38018414909859743</v>
      </c>
    </row>
    <row r="17901" spans="25:26" x14ac:dyDescent="0.25">
      <c r="Y17901" s="63">
        <v>60434</v>
      </c>
      <c r="Z17901" s="61">
        <f>_xll.qlYieldTSDiscount($U$35,Y17901,,Trigger)</f>
        <v>0.38016175246907036</v>
      </c>
    </row>
    <row r="17902" spans="25:26" x14ac:dyDescent="0.25">
      <c r="Y17902" s="63">
        <v>60435</v>
      </c>
      <c r="Z17902" s="61">
        <f>_xll.qlYieldTSDiscount($U$35,Y17902,,Trigger)</f>
        <v>0.38013935731992488</v>
      </c>
    </row>
    <row r="17903" spans="25:26" x14ac:dyDescent="0.25">
      <c r="Y17903" s="63">
        <v>60436</v>
      </c>
      <c r="Z17903" s="61">
        <f>_xll.qlYieldTSDiscount($U$35,Y17903,,Trigger)</f>
        <v>0.38011696365079495</v>
      </c>
    </row>
    <row r="17904" spans="25:26" x14ac:dyDescent="0.25">
      <c r="Y17904" s="63">
        <v>60437</v>
      </c>
      <c r="Z17904" s="61">
        <f>_xll.qlYieldTSDiscount($U$35,Y17904,,Trigger)</f>
        <v>0.38009457146131453</v>
      </c>
    </row>
    <row r="17905" spans="25:26" x14ac:dyDescent="0.25">
      <c r="Y17905" s="63">
        <v>60438</v>
      </c>
      <c r="Z17905" s="61">
        <f>_xll.qlYieldTSDiscount($U$35,Y17905,,Trigger)</f>
        <v>0.38007218075111782</v>
      </c>
    </row>
    <row r="17906" spans="25:26" x14ac:dyDescent="0.25">
      <c r="Y17906" s="63">
        <v>60439</v>
      </c>
      <c r="Z17906" s="61">
        <f>_xll.qlYieldTSDiscount($U$35,Y17906,,Trigger)</f>
        <v>0.38004979151983875</v>
      </c>
    </row>
    <row r="17907" spans="25:26" x14ac:dyDescent="0.25">
      <c r="Y17907" s="63">
        <v>60440</v>
      </c>
      <c r="Z17907" s="61">
        <f>_xll.qlYieldTSDiscount($U$35,Y17907,,Trigger)</f>
        <v>0.3800274037671113</v>
      </c>
    </row>
    <row r="17908" spans="25:26" x14ac:dyDescent="0.25">
      <c r="Y17908" s="63">
        <v>60441</v>
      </c>
      <c r="Z17908" s="61">
        <f>_xll.qlYieldTSDiscount($U$35,Y17908,,Trigger)</f>
        <v>0.3800050174925696</v>
      </c>
    </row>
    <row r="17909" spans="25:26" x14ac:dyDescent="0.25">
      <c r="Y17909" s="63">
        <v>60442</v>
      </c>
      <c r="Z17909" s="61">
        <f>_xll.qlYieldTSDiscount($U$35,Y17909,,Trigger)</f>
        <v>0.37998263269584764</v>
      </c>
    </row>
    <row r="17910" spans="25:26" x14ac:dyDescent="0.25">
      <c r="Y17910" s="63">
        <v>60443</v>
      </c>
      <c r="Z17910" s="61">
        <f>_xll.qlYieldTSDiscount($U$35,Y17910,,Trigger)</f>
        <v>0.37996024937657935</v>
      </c>
    </row>
    <row r="17911" spans="25:26" x14ac:dyDescent="0.25">
      <c r="Y17911" s="63">
        <v>60444</v>
      </c>
      <c r="Z17911" s="61">
        <f>_xll.qlYieldTSDiscount($U$35,Y17911,,Trigger)</f>
        <v>0.37993786753439873</v>
      </c>
    </row>
    <row r="17912" spans="25:26" x14ac:dyDescent="0.25">
      <c r="Y17912" s="63">
        <v>60445</v>
      </c>
      <c r="Z17912" s="61">
        <f>_xll.qlYieldTSDiscount($U$35,Y17912,,Trigger)</f>
        <v>0.37991548716894008</v>
      </c>
    </row>
    <row r="17913" spans="25:26" x14ac:dyDescent="0.25">
      <c r="Y17913" s="63">
        <v>60446</v>
      </c>
      <c r="Z17913" s="61">
        <f>_xll.qlYieldTSDiscount($U$35,Y17913,,Trigger)</f>
        <v>0.37989310827983713</v>
      </c>
    </row>
    <row r="17914" spans="25:26" x14ac:dyDescent="0.25">
      <c r="Y17914" s="63">
        <v>60447</v>
      </c>
      <c r="Z17914" s="61">
        <f>_xll.qlYieldTSDiscount($U$35,Y17914,,Trigger)</f>
        <v>0.37987073086672396</v>
      </c>
    </row>
    <row r="17915" spans="25:26" x14ac:dyDescent="0.25">
      <c r="Y17915" s="63">
        <v>60448</v>
      </c>
      <c r="Z17915" s="61">
        <f>_xll.qlYieldTSDiscount($U$35,Y17915,,Trigger)</f>
        <v>0.37984835492923474</v>
      </c>
    </row>
    <row r="17916" spans="25:26" x14ac:dyDescent="0.25">
      <c r="Y17916" s="63">
        <v>60449</v>
      </c>
      <c r="Z17916" s="61">
        <f>_xll.qlYieldTSDiscount($U$35,Y17916,,Trigger)</f>
        <v>0.37982598046700328</v>
      </c>
    </row>
    <row r="17917" spans="25:26" x14ac:dyDescent="0.25">
      <c r="Y17917" s="63">
        <v>60450</v>
      </c>
      <c r="Z17917" s="61">
        <f>_xll.qlYieldTSDiscount($U$35,Y17917,,Trigger)</f>
        <v>0.37980360747966374</v>
      </c>
    </row>
    <row r="17918" spans="25:26" x14ac:dyDescent="0.25">
      <c r="Y17918" s="63">
        <v>60451</v>
      </c>
      <c r="Z17918" s="61">
        <f>_xll.qlYieldTSDiscount($U$35,Y17918,,Trigger)</f>
        <v>0.37978123596685009</v>
      </c>
    </row>
    <row r="17919" spans="25:26" x14ac:dyDescent="0.25">
      <c r="Y17919" s="63">
        <v>60452</v>
      </c>
      <c r="Z17919" s="61">
        <f>_xll.qlYieldTSDiscount($U$35,Y17919,,Trigger)</f>
        <v>0.37975886592819641</v>
      </c>
    </row>
    <row r="17920" spans="25:26" x14ac:dyDescent="0.25">
      <c r="Y17920" s="63">
        <v>60453</v>
      </c>
      <c r="Z17920" s="61">
        <f>_xll.qlYieldTSDiscount($U$35,Y17920,,Trigger)</f>
        <v>0.3797364973633367</v>
      </c>
    </row>
    <row r="17921" spans="25:26" x14ac:dyDescent="0.25">
      <c r="Y17921" s="63">
        <v>60454</v>
      </c>
      <c r="Z17921" s="61">
        <f>_xll.qlYieldTSDiscount($U$35,Y17921,,Trigger)</f>
        <v>0.37971413027190487</v>
      </c>
    </row>
    <row r="17922" spans="25:26" x14ac:dyDescent="0.25">
      <c r="Y17922" s="63">
        <v>60455</v>
      </c>
      <c r="Z17922" s="61">
        <f>_xll.qlYieldTSDiscount($U$35,Y17922,,Trigger)</f>
        <v>0.37969176465353516</v>
      </c>
    </row>
    <row r="17923" spans="25:26" x14ac:dyDescent="0.25">
      <c r="Y17923" s="63">
        <v>60456</v>
      </c>
      <c r="Z17923" s="61">
        <f>_xll.qlYieldTSDiscount($U$35,Y17923,,Trigger)</f>
        <v>0.37966940050786135</v>
      </c>
    </row>
    <row r="17924" spans="25:26" x14ac:dyDescent="0.25">
      <c r="Y17924" s="63">
        <v>60457</v>
      </c>
      <c r="Z17924" s="61">
        <f>_xll.qlYieldTSDiscount($U$35,Y17924,,Trigger)</f>
        <v>0.37964703783451759</v>
      </c>
    </row>
    <row r="17925" spans="25:26" x14ac:dyDescent="0.25">
      <c r="Y17925" s="63">
        <v>60458</v>
      </c>
      <c r="Z17925" s="61">
        <f>_xll.qlYieldTSDiscount($U$35,Y17925,,Trigger)</f>
        <v>0.37962467663313798</v>
      </c>
    </row>
    <row r="17926" spans="25:26" x14ac:dyDescent="0.25">
      <c r="Y17926" s="63">
        <v>60459</v>
      </c>
      <c r="Z17926" s="61">
        <f>_xll.qlYieldTSDiscount($U$35,Y17926,,Trigger)</f>
        <v>0.37960231690335638</v>
      </c>
    </row>
    <row r="17927" spans="25:26" x14ac:dyDescent="0.25">
      <c r="Y17927" s="63">
        <v>60460</v>
      </c>
      <c r="Z17927" s="61">
        <f>_xll.qlYieldTSDiscount($U$35,Y17927,,Trigger)</f>
        <v>0.37957995864480687</v>
      </c>
    </row>
    <row r="17928" spans="25:26" x14ac:dyDescent="0.25">
      <c r="Y17928" s="63">
        <v>60461</v>
      </c>
      <c r="Z17928" s="61">
        <f>_xll.qlYieldTSDiscount($U$35,Y17928,,Trigger)</f>
        <v>0.37955760185712356</v>
      </c>
    </row>
    <row r="17929" spans="25:26" x14ac:dyDescent="0.25">
      <c r="Y17929" s="63">
        <v>60462</v>
      </c>
      <c r="Z17929" s="61">
        <f>_xll.qlYieldTSDiscount($U$35,Y17929,,Trigger)</f>
        <v>0.37953524653994031</v>
      </c>
    </row>
    <row r="17930" spans="25:26" x14ac:dyDescent="0.25">
      <c r="Y17930" s="63">
        <v>60463</v>
      </c>
      <c r="Z17930" s="61">
        <f>_xll.qlYieldTSDiscount($U$35,Y17930,,Trigger)</f>
        <v>0.37951289269289129</v>
      </c>
    </row>
    <row r="17931" spans="25:26" x14ac:dyDescent="0.25">
      <c r="Y17931" s="63">
        <v>60464</v>
      </c>
      <c r="Z17931" s="61">
        <f>_xll.qlYieldTSDiscount($U$35,Y17931,,Trigger)</f>
        <v>0.37949054031561047</v>
      </c>
    </row>
    <row r="17932" spans="25:26" x14ac:dyDescent="0.25">
      <c r="Y17932" s="63">
        <v>60465</v>
      </c>
      <c r="Z17932" s="61">
        <f>_xll.qlYieldTSDiscount($U$35,Y17932,,Trigger)</f>
        <v>0.37946818940773186</v>
      </c>
    </row>
    <row r="17933" spans="25:26" x14ac:dyDescent="0.25">
      <c r="Y17933" s="63">
        <v>60466</v>
      </c>
      <c r="Z17933" s="61">
        <f>_xll.qlYieldTSDiscount($U$35,Y17933,,Trigger)</f>
        <v>0.37944583996888948</v>
      </c>
    </row>
    <row r="17934" spans="25:26" x14ac:dyDescent="0.25">
      <c r="Y17934" s="63">
        <v>60467</v>
      </c>
      <c r="Z17934" s="61">
        <f>_xll.qlYieldTSDiscount($U$35,Y17934,,Trigger)</f>
        <v>0.37942349199871728</v>
      </c>
    </row>
    <row r="17935" spans="25:26" x14ac:dyDescent="0.25">
      <c r="Y17935" s="63">
        <v>60468</v>
      </c>
      <c r="Z17935" s="61">
        <f>_xll.qlYieldTSDiscount($U$35,Y17935,,Trigger)</f>
        <v>0.37940114549684945</v>
      </c>
    </row>
    <row r="17936" spans="25:26" x14ac:dyDescent="0.25">
      <c r="Y17936" s="63">
        <v>60469</v>
      </c>
      <c r="Z17936" s="61">
        <f>_xll.qlYieldTSDiscount($U$35,Y17936,,Trigger)</f>
        <v>0.37937880046291994</v>
      </c>
    </row>
    <row r="17937" spans="25:26" x14ac:dyDescent="0.25">
      <c r="Y17937" s="63">
        <v>60470</v>
      </c>
      <c r="Z17937" s="61">
        <f>_xll.qlYieldTSDiscount($U$35,Y17937,,Trigger)</f>
        <v>0.37935645689656261</v>
      </c>
    </row>
    <row r="17938" spans="25:26" x14ac:dyDescent="0.25">
      <c r="Y17938" s="63">
        <v>60471</v>
      </c>
      <c r="Z17938" s="61">
        <f>_xll.qlYieldTSDiscount($U$35,Y17938,,Trigger)</f>
        <v>0.37933411479741186</v>
      </c>
    </row>
    <row r="17939" spans="25:26" x14ac:dyDescent="0.25">
      <c r="Y17939" s="63">
        <v>60472</v>
      </c>
      <c r="Z17939" s="61">
        <f>_xll.qlYieldTSDiscount($U$35,Y17939,,Trigger)</f>
        <v>0.37931177416510131</v>
      </c>
    </row>
    <row r="17940" spans="25:26" x14ac:dyDescent="0.25">
      <c r="Y17940" s="63">
        <v>60473</v>
      </c>
      <c r="Z17940" s="61">
        <f>_xll.qlYieldTSDiscount($U$35,Y17940,,Trigger)</f>
        <v>0.37928943499926515</v>
      </c>
    </row>
    <row r="17941" spans="25:26" x14ac:dyDescent="0.25">
      <c r="Y17941" s="63">
        <v>60474</v>
      </c>
      <c r="Z17941" s="61">
        <f>_xll.qlYieldTSDiscount($U$35,Y17941,,Trigger)</f>
        <v>0.37926709729953745</v>
      </c>
    </row>
    <row r="17942" spans="25:26" x14ac:dyDescent="0.25">
      <c r="Y17942" s="63">
        <v>60475</v>
      </c>
      <c r="Z17942" s="61">
        <f>_xll.qlYieldTSDiscount($U$35,Y17942,,Trigger)</f>
        <v>0.37924476106555216</v>
      </c>
    </row>
    <row r="17943" spans="25:26" x14ac:dyDescent="0.25">
      <c r="Y17943" s="63">
        <v>60476</v>
      </c>
      <c r="Z17943" s="61">
        <f>_xll.qlYieldTSDiscount($U$35,Y17943,,Trigger)</f>
        <v>0.3792224262969433</v>
      </c>
    </row>
    <row r="17944" spans="25:26" x14ac:dyDescent="0.25">
      <c r="Y17944" s="63">
        <v>60477</v>
      </c>
      <c r="Z17944" s="61">
        <f>_xll.qlYieldTSDiscount($U$35,Y17944,,Trigger)</f>
        <v>0.37920009299334501</v>
      </c>
    </row>
    <row r="17945" spans="25:26" x14ac:dyDescent="0.25">
      <c r="Y17945" s="63">
        <v>60478</v>
      </c>
      <c r="Z17945" s="61">
        <f>_xll.qlYieldTSDiscount($U$35,Y17945,,Trigger)</f>
        <v>0.37917776115439117</v>
      </c>
    </row>
    <row r="17946" spans="25:26" x14ac:dyDescent="0.25">
      <c r="Y17946" s="63">
        <v>60479</v>
      </c>
      <c r="Z17946" s="61">
        <f>_xll.qlYieldTSDiscount($U$35,Y17946,,Trigger)</f>
        <v>0.37915543077971575</v>
      </c>
    </row>
    <row r="17947" spans="25:26" x14ac:dyDescent="0.25">
      <c r="Y17947" s="63">
        <v>60480</v>
      </c>
      <c r="Z17947" s="61">
        <f>_xll.qlYieldTSDiscount($U$35,Y17947,,Trigger)</f>
        <v>0.37913310186895294</v>
      </c>
    </row>
    <row r="17948" spans="25:26" x14ac:dyDescent="0.25">
      <c r="Y17948" s="63">
        <v>60481</v>
      </c>
      <c r="Z17948" s="61">
        <f>_xll.qlYieldTSDiscount($U$35,Y17948,,Trigger)</f>
        <v>0.37911077442173674</v>
      </c>
    </row>
    <row r="17949" spans="25:26" x14ac:dyDescent="0.25">
      <c r="Y17949" s="63">
        <v>60482</v>
      </c>
      <c r="Z17949" s="61">
        <f>_xll.qlYieldTSDiscount($U$35,Y17949,,Trigger)</f>
        <v>0.37908844843770106</v>
      </c>
    </row>
    <row r="17950" spans="25:26" x14ac:dyDescent="0.25">
      <c r="Y17950" s="63">
        <v>60483</v>
      </c>
      <c r="Z17950" s="61">
        <f>_xll.qlYieldTSDiscount($U$35,Y17950,,Trigger)</f>
        <v>0.37906612391648004</v>
      </c>
    </row>
    <row r="17951" spans="25:26" x14ac:dyDescent="0.25">
      <c r="Y17951" s="63">
        <v>60484</v>
      </c>
      <c r="Z17951" s="61">
        <f>_xll.qlYieldTSDiscount($U$35,Y17951,,Trigger)</f>
        <v>0.37904380085770767</v>
      </c>
    </row>
    <row r="17952" spans="25:26" x14ac:dyDescent="0.25">
      <c r="Y17952" s="63">
        <v>60485</v>
      </c>
      <c r="Z17952" s="61">
        <f>_xll.qlYieldTSDiscount($U$35,Y17952,,Trigger)</f>
        <v>0.37902147926101792</v>
      </c>
    </row>
    <row r="17953" spans="25:26" x14ac:dyDescent="0.25">
      <c r="Y17953" s="63">
        <v>60486</v>
      </c>
      <c r="Z17953" s="61">
        <f>_xll.qlYieldTSDiscount($U$35,Y17953,,Trigger)</f>
        <v>0.37899915912604476</v>
      </c>
    </row>
    <row r="17954" spans="25:26" x14ac:dyDescent="0.25">
      <c r="Y17954" s="63">
        <v>60487</v>
      </c>
      <c r="Z17954" s="61">
        <f>_xll.qlYieldTSDiscount($U$35,Y17954,,Trigger)</f>
        <v>0.37897684045242241</v>
      </c>
    </row>
    <row r="17955" spans="25:26" x14ac:dyDescent="0.25">
      <c r="Y17955" s="63">
        <v>60488</v>
      </c>
      <c r="Z17955" s="61">
        <f>_xll.qlYieldTSDiscount($U$35,Y17955,,Trigger)</f>
        <v>0.37895452323978474</v>
      </c>
    </row>
    <row r="17956" spans="25:26" x14ac:dyDescent="0.25">
      <c r="Y17956" s="63">
        <v>60489</v>
      </c>
      <c r="Z17956" s="61">
        <f>_xll.qlYieldTSDiscount($U$35,Y17956,,Trigger)</f>
        <v>0.37893220748776579</v>
      </c>
    </row>
    <row r="17957" spans="25:26" x14ac:dyDescent="0.25">
      <c r="Y17957" s="63">
        <v>60490</v>
      </c>
      <c r="Z17957" s="61">
        <f>_xll.qlYieldTSDiscount($U$35,Y17957,,Trigger)</f>
        <v>0.37890989319599966</v>
      </c>
    </row>
    <row r="17958" spans="25:26" x14ac:dyDescent="0.25">
      <c r="Y17958" s="63">
        <v>60491</v>
      </c>
      <c r="Z17958" s="61">
        <f>_xll.qlYieldTSDiscount($U$35,Y17958,,Trigger)</f>
        <v>0.37888758036412029</v>
      </c>
    </row>
    <row r="17959" spans="25:26" x14ac:dyDescent="0.25">
      <c r="Y17959" s="63">
        <v>60492</v>
      </c>
      <c r="Z17959" s="61">
        <f>_xll.qlYieldTSDiscount($U$35,Y17959,,Trigger)</f>
        <v>0.37886526899176165</v>
      </c>
    </row>
    <row r="17960" spans="25:26" x14ac:dyDescent="0.25">
      <c r="Y17960" s="63">
        <v>60493</v>
      </c>
      <c r="Z17960" s="61">
        <f>_xll.qlYieldTSDiscount($U$35,Y17960,,Trigger)</f>
        <v>0.37884295907855792</v>
      </c>
    </row>
    <row r="17961" spans="25:26" x14ac:dyDescent="0.25">
      <c r="Y17961" s="63">
        <v>60494</v>
      </c>
      <c r="Z17961" s="61">
        <f>_xll.qlYieldTSDiscount($U$35,Y17961,,Trigger)</f>
        <v>0.378820650624143</v>
      </c>
    </row>
    <row r="17962" spans="25:26" x14ac:dyDescent="0.25">
      <c r="Y17962" s="63">
        <v>60495</v>
      </c>
      <c r="Z17962" s="61">
        <f>_xll.qlYieldTSDiscount($U$35,Y17962,,Trigger)</f>
        <v>0.3787983436281509</v>
      </c>
    </row>
    <row r="17963" spans="25:26" x14ac:dyDescent="0.25">
      <c r="Y17963" s="63">
        <v>60496</v>
      </c>
      <c r="Z17963" s="61">
        <f>_xll.qlYieldTSDiscount($U$35,Y17963,,Trigger)</f>
        <v>0.37877603809021576</v>
      </c>
    </row>
    <row r="17964" spans="25:26" x14ac:dyDescent="0.25">
      <c r="Y17964" s="63">
        <v>60497</v>
      </c>
      <c r="Z17964" s="61">
        <f>_xll.qlYieldTSDiscount($U$35,Y17964,,Trigger)</f>
        <v>0.37875373400997153</v>
      </c>
    </row>
    <row r="17965" spans="25:26" x14ac:dyDescent="0.25">
      <c r="Y17965" s="63">
        <v>60498</v>
      </c>
      <c r="Z17965" s="61">
        <f>_xll.qlYieldTSDiscount($U$35,Y17965,,Trigger)</f>
        <v>0.37873143138705223</v>
      </c>
    </row>
    <row r="17966" spans="25:26" x14ac:dyDescent="0.25">
      <c r="Y17966" s="63">
        <v>60499</v>
      </c>
      <c r="Z17966" s="61">
        <f>_xll.qlYieldTSDiscount($U$35,Y17966,,Trigger)</f>
        <v>0.37870913022109187</v>
      </c>
    </row>
    <row r="17967" spans="25:26" x14ac:dyDescent="0.25">
      <c r="Y17967" s="63">
        <v>60500</v>
      </c>
      <c r="Z17967" s="61">
        <f>_xll.qlYieldTSDiscount($U$35,Y17967,,Trigger)</f>
        <v>0.37868683051172458</v>
      </c>
    </row>
    <row r="17968" spans="25:26" x14ac:dyDescent="0.25">
      <c r="Y17968" s="63">
        <v>60501</v>
      </c>
      <c r="Z17968" s="61">
        <f>_xll.qlYieldTSDiscount($U$35,Y17968,,Trigger)</f>
        <v>0.37866453225858415</v>
      </c>
    </row>
    <row r="17969" spans="25:26" x14ac:dyDescent="0.25">
      <c r="Y17969" s="63">
        <v>60502</v>
      </c>
      <c r="Z17969" s="61">
        <f>_xll.qlYieldTSDiscount($U$35,Y17969,,Trigger)</f>
        <v>0.37864223546130477</v>
      </c>
    </row>
    <row r="17970" spans="25:26" x14ac:dyDescent="0.25">
      <c r="Y17970" s="63">
        <v>60503</v>
      </c>
      <c r="Z17970" s="61">
        <f>_xll.qlYieldTSDiscount($U$35,Y17970,,Trigger)</f>
        <v>0.37861994011952055</v>
      </c>
    </row>
    <row r="17971" spans="25:26" x14ac:dyDescent="0.25">
      <c r="Y17971" s="63">
        <v>60504</v>
      </c>
      <c r="Z17971" s="61">
        <f>_xll.qlYieldTSDiscount($U$35,Y17971,,Trigger)</f>
        <v>0.37859764623286529</v>
      </c>
    </row>
    <row r="17972" spans="25:26" x14ac:dyDescent="0.25">
      <c r="Y17972" s="63">
        <v>60505</v>
      </c>
      <c r="Z17972" s="61">
        <f>_xll.qlYieldTSDiscount($U$35,Y17972,,Trigger)</f>
        <v>0.37857535380097307</v>
      </c>
    </row>
    <row r="17973" spans="25:26" x14ac:dyDescent="0.25">
      <c r="Y17973" s="63">
        <v>60506</v>
      </c>
      <c r="Z17973" s="61">
        <f>_xll.qlYieldTSDiscount($U$35,Y17973,,Trigger)</f>
        <v>0.37855306282347811</v>
      </c>
    </row>
    <row r="17974" spans="25:26" x14ac:dyDescent="0.25">
      <c r="Y17974" s="63">
        <v>60507</v>
      </c>
      <c r="Z17974" s="61">
        <f>_xll.qlYieldTSDiscount($U$35,Y17974,,Trigger)</f>
        <v>0.37853077330001417</v>
      </c>
    </row>
    <row r="17975" spans="25:26" x14ac:dyDescent="0.25">
      <c r="Y17975" s="63">
        <v>60508</v>
      </c>
      <c r="Z17975" s="61">
        <f>_xll.qlYieldTSDiscount($U$35,Y17975,,Trigger)</f>
        <v>0.37850848523021541</v>
      </c>
    </row>
    <row r="17976" spans="25:26" x14ac:dyDescent="0.25">
      <c r="Y17976" s="63">
        <v>60509</v>
      </c>
      <c r="Z17976" s="61">
        <f>_xll.qlYieldTSDiscount($U$35,Y17976,,Trigger)</f>
        <v>0.37848619861371591</v>
      </c>
    </row>
    <row r="17977" spans="25:26" x14ac:dyDescent="0.25">
      <c r="Y17977" s="63">
        <v>60510</v>
      </c>
      <c r="Z17977" s="61">
        <f>_xll.qlYieldTSDiscount($U$35,Y17977,,Trigger)</f>
        <v>0.37846391345014951</v>
      </c>
    </row>
    <row r="17978" spans="25:26" x14ac:dyDescent="0.25">
      <c r="Y17978" s="63">
        <v>60511</v>
      </c>
      <c r="Z17978" s="61">
        <f>_xll.qlYieldTSDiscount($U$35,Y17978,,Trigger)</f>
        <v>0.3784416297391503</v>
      </c>
    </row>
    <row r="17979" spans="25:26" x14ac:dyDescent="0.25">
      <c r="Y17979" s="63">
        <v>60512</v>
      </c>
      <c r="Z17979" s="61">
        <f>_xll.qlYieldTSDiscount($U$35,Y17979,,Trigger)</f>
        <v>0.37841934748035239</v>
      </c>
    </row>
    <row r="17980" spans="25:26" x14ac:dyDescent="0.25">
      <c r="Y17980" s="63">
        <v>60513</v>
      </c>
      <c r="Z17980" s="61">
        <f>_xll.qlYieldTSDiscount($U$35,Y17980,,Trigger)</f>
        <v>0.37839706667338979</v>
      </c>
    </row>
    <row r="17981" spans="25:26" x14ac:dyDescent="0.25">
      <c r="Y17981" s="63">
        <v>60514</v>
      </c>
      <c r="Z17981" s="61">
        <f>_xll.qlYieldTSDiscount($U$35,Y17981,,Trigger)</f>
        <v>0.37837478731789642</v>
      </c>
    </row>
    <row r="17982" spans="25:26" x14ac:dyDescent="0.25">
      <c r="Y17982" s="63">
        <v>60515</v>
      </c>
      <c r="Z17982" s="61">
        <f>_xll.qlYieldTSDiscount($U$35,Y17982,,Trigger)</f>
        <v>0.37835250941350634</v>
      </c>
    </row>
    <row r="17983" spans="25:26" x14ac:dyDescent="0.25">
      <c r="Y17983" s="63">
        <v>60516</v>
      </c>
      <c r="Z17983" s="61">
        <f>_xll.qlYieldTSDiscount($U$35,Y17983,,Trigger)</f>
        <v>0.37833023295985369</v>
      </c>
    </row>
    <row r="17984" spans="25:26" x14ac:dyDescent="0.25">
      <c r="Y17984" s="63">
        <v>60517</v>
      </c>
      <c r="Z17984" s="61">
        <f>_xll.qlYieldTSDiscount($U$35,Y17984,,Trigger)</f>
        <v>0.37830795795657224</v>
      </c>
    </row>
    <row r="17985" spans="25:26" x14ac:dyDescent="0.25">
      <c r="Y17985" s="63">
        <v>60518</v>
      </c>
      <c r="Z17985" s="61">
        <f>_xll.qlYieldTSDiscount($U$35,Y17985,,Trigger)</f>
        <v>0.37828568440329624</v>
      </c>
    </row>
    <row r="17986" spans="25:26" x14ac:dyDescent="0.25">
      <c r="Y17986" s="63">
        <v>60519</v>
      </c>
      <c r="Z17986" s="61">
        <f>_xll.qlYieldTSDiscount($U$35,Y17986,,Trigger)</f>
        <v>0.37826341229965965</v>
      </c>
    </row>
    <row r="17987" spans="25:26" x14ac:dyDescent="0.25">
      <c r="Y17987" s="63">
        <v>60520</v>
      </c>
      <c r="Z17987" s="61">
        <f>_xll.qlYieldTSDiscount($U$35,Y17987,,Trigger)</f>
        <v>0.37824114164529643</v>
      </c>
    </row>
    <row r="17988" spans="25:26" x14ac:dyDescent="0.25">
      <c r="Y17988" s="63">
        <v>60521</v>
      </c>
      <c r="Z17988" s="61">
        <f>_xll.qlYieldTSDiscount($U$35,Y17988,,Trigger)</f>
        <v>0.37821887243984065</v>
      </c>
    </row>
    <row r="17989" spans="25:26" x14ac:dyDescent="0.25">
      <c r="Y17989" s="63">
        <v>60522</v>
      </c>
      <c r="Z17989" s="61">
        <f>_xll.qlYieldTSDiscount($U$35,Y17989,,Trigger)</f>
        <v>0.37819660468292637</v>
      </c>
    </row>
    <row r="17990" spans="25:26" x14ac:dyDescent="0.25">
      <c r="Y17990" s="63">
        <v>60523</v>
      </c>
      <c r="Z17990" s="61">
        <f>_xll.qlYieldTSDiscount($U$35,Y17990,,Trigger)</f>
        <v>0.37817433837418757</v>
      </c>
    </row>
    <row r="17991" spans="25:26" x14ac:dyDescent="0.25">
      <c r="Y17991" s="63">
        <v>60524</v>
      </c>
      <c r="Z17991" s="61">
        <f>_xll.qlYieldTSDiscount($U$35,Y17991,,Trigger)</f>
        <v>0.37815207351325825</v>
      </c>
    </row>
    <row r="17992" spans="25:26" x14ac:dyDescent="0.25">
      <c r="Y17992" s="63">
        <v>60525</v>
      </c>
      <c r="Z17992" s="61">
        <f>_xll.qlYieldTSDiscount($U$35,Y17992,,Trigger)</f>
        <v>0.37812981009977242</v>
      </c>
    </row>
    <row r="17993" spans="25:26" x14ac:dyDescent="0.25">
      <c r="Y17993" s="63">
        <v>60526</v>
      </c>
      <c r="Z17993" s="61">
        <f>_xll.qlYieldTSDiscount($U$35,Y17993,,Trigger)</f>
        <v>0.37810754813336422</v>
      </c>
    </row>
    <row r="17994" spans="25:26" x14ac:dyDescent="0.25">
      <c r="Y17994" s="63">
        <v>60527</v>
      </c>
      <c r="Z17994" s="61">
        <f>_xll.qlYieldTSDiscount($U$35,Y17994,,Trigger)</f>
        <v>0.37808528761366755</v>
      </c>
    </row>
    <row r="17995" spans="25:26" x14ac:dyDescent="0.25">
      <c r="Y17995" s="63">
        <v>60528</v>
      </c>
      <c r="Z17995" s="61">
        <f>_xll.qlYieldTSDiscount($U$35,Y17995,,Trigger)</f>
        <v>0.37806302854031648</v>
      </c>
    </row>
    <row r="17996" spans="25:26" x14ac:dyDescent="0.25">
      <c r="Y17996" s="63">
        <v>60529</v>
      </c>
      <c r="Z17996" s="61">
        <f>_xll.qlYieldTSDiscount($U$35,Y17996,,Trigger)</f>
        <v>0.37804077091294502</v>
      </c>
    </row>
    <row r="17997" spans="25:26" x14ac:dyDescent="0.25">
      <c r="Y17997" s="63">
        <v>60530</v>
      </c>
      <c r="Z17997" s="61">
        <f>_xll.qlYieldTSDiscount($U$35,Y17997,,Trigger)</f>
        <v>0.37801851473118719</v>
      </c>
    </row>
    <row r="17998" spans="25:26" x14ac:dyDescent="0.25">
      <c r="Y17998" s="63">
        <v>60531</v>
      </c>
      <c r="Z17998" s="61">
        <f>_xll.qlYieldTSDiscount($U$35,Y17998,,Trigger)</f>
        <v>0.37799625999467701</v>
      </c>
    </row>
    <row r="17999" spans="25:26" x14ac:dyDescent="0.25">
      <c r="Y17999" s="63">
        <v>60532</v>
      </c>
      <c r="Z17999" s="61">
        <f>_xll.qlYieldTSDiscount($U$35,Y17999,,Trigger)</f>
        <v>0.37797400670304848</v>
      </c>
    </row>
    <row r="18000" spans="25:26" x14ac:dyDescent="0.25">
      <c r="Y18000" s="63">
        <v>60533</v>
      </c>
      <c r="Z18000" s="61">
        <f>_xll.qlYieldTSDiscount($U$35,Y18000,,Trigger)</f>
        <v>0.37795175485593568</v>
      </c>
    </row>
    <row r="18001" spans="25:26" x14ac:dyDescent="0.25">
      <c r="Y18001" s="63">
        <v>60534</v>
      </c>
      <c r="Z18001" s="61">
        <f>_xll.qlYieldTSDiscount($U$35,Y18001,,Trigger)</f>
        <v>0.37792950445297263</v>
      </c>
    </row>
    <row r="18002" spans="25:26" x14ac:dyDescent="0.25">
      <c r="Y18002" s="63">
        <v>60535</v>
      </c>
      <c r="Z18002" s="61">
        <f>_xll.qlYieldTSDiscount($U$35,Y18002,,Trigger)</f>
        <v>0.37790725549379334</v>
      </c>
    </row>
    <row r="18003" spans="25:26" x14ac:dyDescent="0.25">
      <c r="Y18003" s="63">
        <v>60536</v>
      </c>
      <c r="Z18003" s="61">
        <f>_xll.qlYieldTSDiscount($U$35,Y18003,,Trigger)</f>
        <v>0.37788500797803182</v>
      </c>
    </row>
    <row r="18004" spans="25:26" x14ac:dyDescent="0.25">
      <c r="Y18004" s="63">
        <v>60537</v>
      </c>
      <c r="Z18004" s="61">
        <f>_xll.qlYieldTSDiscount($U$35,Y18004,,Trigger)</f>
        <v>0.37786276190532198</v>
      </c>
    </row>
    <row r="18005" spans="25:26" x14ac:dyDescent="0.25">
      <c r="Y18005" s="63">
        <v>60538</v>
      </c>
      <c r="Z18005" s="61">
        <f>_xll.qlYieldTSDiscount($U$35,Y18005,,Trigger)</f>
        <v>0.37784051727529799</v>
      </c>
    </row>
    <row r="18006" spans="25:26" x14ac:dyDescent="0.25">
      <c r="Y18006" s="63">
        <v>60539</v>
      </c>
      <c r="Z18006" s="61">
        <f>_xll.qlYieldTSDiscount($U$35,Y18006,,Trigger)</f>
        <v>0.37781827408759389</v>
      </c>
    </row>
    <row r="18007" spans="25:26" x14ac:dyDescent="0.25">
      <c r="Y18007" s="63">
        <v>60540</v>
      </c>
      <c r="Z18007" s="61">
        <f>_xll.qlYieldTSDiscount($U$35,Y18007,,Trigger)</f>
        <v>0.37779603234184356</v>
      </c>
    </row>
    <row r="18008" spans="25:26" x14ac:dyDescent="0.25">
      <c r="Y18008" s="63">
        <v>60541</v>
      </c>
      <c r="Z18008" s="61">
        <f>_xll.qlYieldTSDiscount($U$35,Y18008,,Trigger)</f>
        <v>0.37777379203768119</v>
      </c>
    </row>
    <row r="18009" spans="25:26" x14ac:dyDescent="0.25">
      <c r="Y18009" s="63">
        <v>60542</v>
      </c>
      <c r="Z18009" s="61">
        <f>_xll.qlYieldTSDiscount($U$35,Y18009,,Trigger)</f>
        <v>0.37775155317474074</v>
      </c>
    </row>
    <row r="18010" spans="25:26" x14ac:dyDescent="0.25">
      <c r="Y18010" s="63">
        <v>60543</v>
      </c>
      <c r="Z18010" s="61">
        <f>_xll.qlYieldTSDiscount($U$35,Y18010,,Trigger)</f>
        <v>0.37772931575265611</v>
      </c>
    </row>
    <row r="18011" spans="25:26" x14ac:dyDescent="0.25">
      <c r="Y18011" s="63">
        <v>60544</v>
      </c>
      <c r="Z18011" s="61">
        <f>_xll.qlYieldTSDiscount($U$35,Y18011,,Trigger)</f>
        <v>0.37770707977106144</v>
      </c>
    </row>
    <row r="18012" spans="25:26" x14ac:dyDescent="0.25">
      <c r="Y18012" s="63">
        <v>60545</v>
      </c>
      <c r="Z18012" s="61">
        <f>_xll.qlYieldTSDiscount($U$35,Y18012,,Trigger)</f>
        <v>0.37768484522959078</v>
      </c>
    </row>
    <row r="18013" spans="25:26" x14ac:dyDescent="0.25">
      <c r="Y18013" s="63">
        <v>60546</v>
      </c>
      <c r="Z18013" s="61">
        <f>_xll.qlYieldTSDiscount($U$35,Y18013,,Trigger)</f>
        <v>0.37766261212787811</v>
      </c>
    </row>
    <row r="18014" spans="25:26" x14ac:dyDescent="0.25">
      <c r="Y18014" s="63">
        <v>60547</v>
      </c>
      <c r="Z18014" s="61">
        <f>_xll.qlYieldTSDiscount($U$35,Y18014,,Trigger)</f>
        <v>0.37764038046555737</v>
      </c>
    </row>
    <row r="18015" spans="25:26" x14ac:dyDescent="0.25">
      <c r="Y18015" s="63">
        <v>60548</v>
      </c>
      <c r="Z18015" s="61">
        <f>_xll.qlYieldTSDiscount($U$35,Y18015,,Trigger)</f>
        <v>0.37761815024226275</v>
      </c>
    </row>
    <row r="18016" spans="25:26" x14ac:dyDescent="0.25">
      <c r="Y18016" s="63">
        <v>60549</v>
      </c>
      <c r="Z18016" s="61">
        <f>_xll.qlYieldTSDiscount($U$35,Y18016,,Trigger)</f>
        <v>0.3775959214576281</v>
      </c>
    </row>
    <row r="18017" spans="25:26" x14ac:dyDescent="0.25">
      <c r="Y18017" s="63">
        <v>60550</v>
      </c>
      <c r="Z18017" s="61">
        <f>_xll.qlYieldTSDiscount($U$35,Y18017,,Trigger)</f>
        <v>0.37757369411128761</v>
      </c>
    </row>
    <row r="18018" spans="25:26" x14ac:dyDescent="0.25">
      <c r="Y18018" s="63">
        <v>60551</v>
      </c>
      <c r="Z18018" s="61">
        <f>_xll.qlYieldTSDiscount($U$35,Y18018,,Trigger)</f>
        <v>0.37755146820287516</v>
      </c>
    </row>
    <row r="18019" spans="25:26" x14ac:dyDescent="0.25">
      <c r="Y18019" s="63">
        <v>60552</v>
      </c>
      <c r="Z18019" s="61">
        <f>_xll.qlYieldTSDiscount($U$35,Y18019,,Trigger)</f>
        <v>0.37752924373202484</v>
      </c>
    </row>
    <row r="18020" spans="25:26" x14ac:dyDescent="0.25">
      <c r="Y18020" s="63">
        <v>60553</v>
      </c>
      <c r="Z18020" s="61">
        <f>_xll.qlYieldTSDiscount($U$35,Y18020,,Trigger)</f>
        <v>0.37750702069837061</v>
      </c>
    </row>
    <row r="18021" spans="25:26" x14ac:dyDescent="0.25">
      <c r="Y18021" s="63">
        <v>60554</v>
      </c>
      <c r="Z18021" s="61">
        <f>_xll.qlYieldTSDiscount($U$35,Y18021,,Trigger)</f>
        <v>0.37748479910154664</v>
      </c>
    </row>
    <row r="18022" spans="25:26" x14ac:dyDescent="0.25">
      <c r="Y18022" s="63">
        <v>60555</v>
      </c>
      <c r="Z18022" s="61">
        <f>_xll.qlYieldTSDiscount($U$35,Y18022,,Trigger)</f>
        <v>0.37746257894118673</v>
      </c>
    </row>
    <row r="18023" spans="25:26" x14ac:dyDescent="0.25">
      <c r="Y18023" s="63">
        <v>60556</v>
      </c>
      <c r="Z18023" s="61">
        <f>_xll.qlYieldTSDiscount($U$35,Y18023,,Trigger)</f>
        <v>0.37744036021692512</v>
      </c>
    </row>
    <row r="18024" spans="25:26" x14ac:dyDescent="0.25">
      <c r="Y18024" s="63">
        <v>60557</v>
      </c>
      <c r="Z18024" s="61">
        <f>_xll.qlYieldTSDiscount($U$35,Y18024,,Trigger)</f>
        <v>0.37741814292839565</v>
      </c>
    </row>
    <row r="18025" spans="25:26" x14ac:dyDescent="0.25">
      <c r="Y18025" s="63">
        <v>60558</v>
      </c>
      <c r="Z18025" s="61">
        <f>_xll.qlYieldTSDiscount($U$35,Y18025,,Trigger)</f>
        <v>0.37739592707523251</v>
      </c>
    </row>
    <row r="18026" spans="25:26" x14ac:dyDescent="0.25">
      <c r="Y18026" s="63">
        <v>60559</v>
      </c>
      <c r="Z18026" s="61">
        <f>_xll.qlYieldTSDiscount($U$35,Y18026,,Trigger)</f>
        <v>0.37737371265706965</v>
      </c>
    </row>
    <row r="18027" spans="25:26" x14ac:dyDescent="0.25">
      <c r="Y18027" s="63">
        <v>60560</v>
      </c>
      <c r="Z18027" s="61">
        <f>_xll.qlYieldTSDiscount($U$35,Y18027,,Trigger)</f>
        <v>0.37735149967354098</v>
      </c>
    </row>
    <row r="18028" spans="25:26" x14ac:dyDescent="0.25">
      <c r="Y18028" s="63">
        <v>60561</v>
      </c>
      <c r="Z18028" s="61">
        <f>_xll.qlYieldTSDiscount($U$35,Y18028,,Trigger)</f>
        <v>0.37732928812428068</v>
      </c>
    </row>
    <row r="18029" spans="25:26" x14ac:dyDescent="0.25">
      <c r="Y18029" s="63">
        <v>60562</v>
      </c>
      <c r="Z18029" s="61">
        <f>_xll.qlYieldTSDiscount($U$35,Y18029,,Trigger)</f>
        <v>0.37730707800892271</v>
      </c>
    </row>
    <row r="18030" spans="25:26" x14ac:dyDescent="0.25">
      <c r="Y18030" s="63">
        <v>60563</v>
      </c>
      <c r="Z18030" s="61">
        <f>_xll.qlYieldTSDiscount($U$35,Y18030,,Trigger)</f>
        <v>0.37728486932710109</v>
      </c>
    </row>
    <row r="18031" spans="25:26" x14ac:dyDescent="0.25">
      <c r="Y18031" s="63">
        <v>60564</v>
      </c>
      <c r="Z18031" s="61">
        <f>_xll.qlYieldTSDiscount($U$35,Y18031,,Trigger)</f>
        <v>0.37726266207844994</v>
      </c>
    </row>
    <row r="18032" spans="25:26" x14ac:dyDescent="0.25">
      <c r="Y18032" s="63">
        <v>60565</v>
      </c>
      <c r="Z18032" s="61">
        <f>_xll.qlYieldTSDiscount($U$35,Y18032,,Trigger)</f>
        <v>0.37724045626260305</v>
      </c>
    </row>
    <row r="18033" spans="25:26" x14ac:dyDescent="0.25">
      <c r="Y18033" s="63">
        <v>60566</v>
      </c>
      <c r="Z18033" s="61">
        <f>_xll.qlYieldTSDiscount($U$35,Y18033,,Trigger)</f>
        <v>0.37721825187919467</v>
      </c>
    </row>
    <row r="18034" spans="25:26" x14ac:dyDescent="0.25">
      <c r="Y18034" s="63">
        <v>60567</v>
      </c>
      <c r="Z18034" s="61">
        <f>_xll.qlYieldTSDiscount($U$35,Y18034,,Trigger)</f>
        <v>0.37719604892785874</v>
      </c>
    </row>
    <row r="18035" spans="25:26" x14ac:dyDescent="0.25">
      <c r="Y18035" s="63">
        <v>60568</v>
      </c>
      <c r="Z18035" s="61">
        <f>_xll.qlYieldTSDiscount($U$35,Y18035,,Trigger)</f>
        <v>0.37717384740822918</v>
      </c>
    </row>
    <row r="18036" spans="25:26" x14ac:dyDescent="0.25">
      <c r="Y18036" s="63">
        <v>60569</v>
      </c>
      <c r="Z18036" s="61">
        <f>_xll.qlYieldTSDiscount($U$35,Y18036,,Trigger)</f>
        <v>0.37715164731994016</v>
      </c>
    </row>
    <row r="18037" spans="25:26" x14ac:dyDescent="0.25">
      <c r="Y18037" s="63">
        <v>60570</v>
      </c>
      <c r="Z18037" s="61">
        <f>_xll.qlYieldTSDiscount($U$35,Y18037,,Trigger)</f>
        <v>0.37712944866262565</v>
      </c>
    </row>
    <row r="18038" spans="25:26" x14ac:dyDescent="0.25">
      <c r="Y18038" s="63">
        <v>60571</v>
      </c>
      <c r="Z18038" s="61">
        <f>_xll.qlYieldTSDiscount($U$35,Y18038,,Trigger)</f>
        <v>0.37710725143591972</v>
      </c>
    </row>
    <row r="18039" spans="25:26" x14ac:dyDescent="0.25">
      <c r="Y18039" s="63">
        <v>60572</v>
      </c>
      <c r="Z18039" s="61">
        <f>_xll.qlYieldTSDiscount($U$35,Y18039,,Trigger)</f>
        <v>0.37708505563945627</v>
      </c>
    </row>
    <row r="18040" spans="25:26" x14ac:dyDescent="0.25">
      <c r="Y18040" s="63">
        <v>60573</v>
      </c>
      <c r="Z18040" s="61">
        <f>_xll.qlYieldTSDiscount($U$35,Y18040,,Trigger)</f>
        <v>0.37706286127286942</v>
      </c>
    </row>
    <row r="18041" spans="25:26" x14ac:dyDescent="0.25">
      <c r="Y18041" s="63">
        <v>60574</v>
      </c>
      <c r="Z18041" s="61">
        <f>_xll.qlYieldTSDiscount($U$35,Y18041,,Trigger)</f>
        <v>0.37704066833579325</v>
      </c>
    </row>
    <row r="18042" spans="25:26" x14ac:dyDescent="0.25">
      <c r="Y18042" s="63">
        <v>60575</v>
      </c>
      <c r="Z18042" s="61">
        <f>_xll.qlYieldTSDiscount($U$35,Y18042,,Trigger)</f>
        <v>0.37701847682786155</v>
      </c>
    </row>
    <row r="18043" spans="25:26" x14ac:dyDescent="0.25">
      <c r="Y18043" s="63">
        <v>60576</v>
      </c>
      <c r="Z18043" s="61">
        <f>_xll.qlYieldTSDiscount($U$35,Y18043,,Trigger)</f>
        <v>0.37699628674870855</v>
      </c>
    </row>
    <row r="18044" spans="25:26" x14ac:dyDescent="0.25">
      <c r="Y18044" s="63">
        <v>60577</v>
      </c>
      <c r="Z18044" s="61">
        <f>_xll.qlYieldTSDiscount($U$35,Y18044,,Trigger)</f>
        <v>0.37697409809796834</v>
      </c>
    </row>
    <row r="18045" spans="25:26" x14ac:dyDescent="0.25">
      <c r="Y18045" s="63">
        <v>60578</v>
      </c>
      <c r="Z18045" s="61">
        <f>_xll.qlYieldTSDiscount($U$35,Y18045,,Trigger)</f>
        <v>0.37695191087527469</v>
      </c>
    </row>
    <row r="18046" spans="25:26" x14ac:dyDescent="0.25">
      <c r="Y18046" s="63">
        <v>60579</v>
      </c>
      <c r="Z18046" s="61">
        <f>_xll.qlYieldTSDiscount($U$35,Y18046,,Trigger)</f>
        <v>0.37692972508026168</v>
      </c>
    </row>
    <row r="18047" spans="25:26" x14ac:dyDescent="0.25">
      <c r="Y18047" s="63">
        <v>60580</v>
      </c>
      <c r="Z18047" s="61">
        <f>_xll.qlYieldTSDiscount($U$35,Y18047,,Trigger)</f>
        <v>0.37690754071256349</v>
      </c>
    </row>
    <row r="18048" spans="25:26" x14ac:dyDescent="0.25">
      <c r="Y18048" s="63">
        <v>60581</v>
      </c>
      <c r="Z18048" s="61">
        <f>_xll.qlYieldTSDiscount($U$35,Y18048,,Trigger)</f>
        <v>0.37688535777181409</v>
      </c>
    </row>
    <row r="18049" spans="25:26" x14ac:dyDescent="0.25">
      <c r="Y18049" s="63">
        <v>60582</v>
      </c>
      <c r="Z18049" s="61">
        <f>_xll.qlYieldTSDiscount($U$35,Y18049,,Trigger)</f>
        <v>0.37686317625764737</v>
      </c>
    </row>
    <row r="18050" spans="25:26" x14ac:dyDescent="0.25">
      <c r="Y18050" s="63">
        <v>60583</v>
      </c>
      <c r="Z18050" s="61">
        <f>_xll.qlYieldTSDiscount($U$35,Y18050,,Trigger)</f>
        <v>0.37684099616969746</v>
      </c>
    </row>
    <row r="18051" spans="25:26" x14ac:dyDescent="0.25">
      <c r="Y18051" s="63">
        <v>60584</v>
      </c>
      <c r="Z18051" s="61">
        <f>_xll.qlYieldTSDiscount($U$35,Y18051,,Trigger)</f>
        <v>0.37681881750759844</v>
      </c>
    </row>
    <row r="18052" spans="25:26" x14ac:dyDescent="0.25">
      <c r="Y18052" s="63">
        <v>60585</v>
      </c>
      <c r="Z18052" s="61">
        <f>_xll.qlYieldTSDiscount($U$35,Y18052,,Trigger)</f>
        <v>0.37679664027098414</v>
      </c>
    </row>
    <row r="18053" spans="25:26" x14ac:dyDescent="0.25">
      <c r="Y18053" s="63">
        <v>60586</v>
      </c>
      <c r="Z18053" s="61">
        <f>_xll.qlYieldTSDiscount($U$35,Y18053,,Trigger)</f>
        <v>0.37677446445948881</v>
      </c>
    </row>
    <row r="18054" spans="25:26" x14ac:dyDescent="0.25">
      <c r="Y18054" s="63">
        <v>60587</v>
      </c>
      <c r="Z18054" s="61">
        <f>_xll.qlYieldTSDiscount($U$35,Y18054,,Trigger)</f>
        <v>0.3767522900727463</v>
      </c>
    </row>
    <row r="18055" spans="25:26" x14ac:dyDescent="0.25">
      <c r="Y18055" s="63">
        <v>60588</v>
      </c>
      <c r="Z18055" s="61">
        <f>_xll.qlYieldTSDiscount($U$35,Y18055,,Trigger)</f>
        <v>0.37673011711039073</v>
      </c>
    </row>
    <row r="18056" spans="25:26" x14ac:dyDescent="0.25">
      <c r="Y18056" s="63">
        <v>60589</v>
      </c>
      <c r="Z18056" s="61">
        <f>_xll.qlYieldTSDiscount($U$35,Y18056,,Trigger)</f>
        <v>0.37670794557205606</v>
      </c>
    </row>
    <row r="18057" spans="25:26" x14ac:dyDescent="0.25">
      <c r="Y18057" s="63">
        <v>60590</v>
      </c>
      <c r="Z18057" s="61">
        <f>_xll.qlYieldTSDiscount($U$35,Y18057,,Trigger)</f>
        <v>0.37668577545737636</v>
      </c>
    </row>
    <row r="18058" spans="25:26" x14ac:dyDescent="0.25">
      <c r="Y18058" s="63">
        <v>60591</v>
      </c>
      <c r="Z18058" s="61">
        <f>_xll.qlYieldTSDiscount($U$35,Y18058,,Trigger)</f>
        <v>0.37666360676598559</v>
      </c>
    </row>
    <row r="18059" spans="25:26" x14ac:dyDescent="0.25">
      <c r="Y18059" s="63">
        <v>60592</v>
      </c>
      <c r="Z18059" s="61">
        <f>_xll.qlYieldTSDiscount($U$35,Y18059,,Trigger)</f>
        <v>0.37664143949751783</v>
      </c>
    </row>
    <row r="18060" spans="25:26" x14ac:dyDescent="0.25">
      <c r="Y18060" s="63">
        <v>60593</v>
      </c>
      <c r="Z18060" s="61">
        <f>_xll.qlYieldTSDiscount($U$35,Y18060,,Trigger)</f>
        <v>0.37661927365160708</v>
      </c>
    </row>
    <row r="18061" spans="25:26" x14ac:dyDescent="0.25">
      <c r="Y18061" s="63">
        <v>60594</v>
      </c>
      <c r="Z18061" s="61">
        <f>_xll.qlYieldTSDiscount($U$35,Y18061,,Trigger)</f>
        <v>0.37659710922788736</v>
      </c>
    </row>
    <row r="18062" spans="25:26" x14ac:dyDescent="0.25">
      <c r="Y18062" s="63">
        <v>60595</v>
      </c>
      <c r="Z18062" s="61">
        <f>_xll.qlYieldTSDiscount($U$35,Y18062,,Trigger)</f>
        <v>0.37657494622599264</v>
      </c>
    </row>
    <row r="18063" spans="25:26" x14ac:dyDescent="0.25">
      <c r="Y18063" s="63">
        <v>60596</v>
      </c>
      <c r="Z18063" s="61">
        <f>_xll.qlYieldTSDiscount($U$35,Y18063,,Trigger)</f>
        <v>0.37655278464555714</v>
      </c>
    </row>
    <row r="18064" spans="25:26" x14ac:dyDescent="0.25">
      <c r="Y18064" s="63">
        <v>60597</v>
      </c>
      <c r="Z18064" s="61">
        <f>_xll.qlYieldTSDiscount($U$35,Y18064,,Trigger)</f>
        <v>0.37653062448621466</v>
      </c>
    </row>
    <row r="18065" spans="25:26" x14ac:dyDescent="0.25">
      <c r="Y18065" s="63">
        <v>60598</v>
      </c>
      <c r="Z18065" s="61">
        <f>_xll.qlYieldTSDiscount($U$35,Y18065,,Trigger)</f>
        <v>0.37650846574759933</v>
      </c>
    </row>
    <row r="18066" spans="25:26" x14ac:dyDescent="0.25">
      <c r="Y18066" s="63">
        <v>60599</v>
      </c>
      <c r="Z18066" s="61">
        <f>_xll.qlYieldTSDiscount($U$35,Y18066,,Trigger)</f>
        <v>0.37648630842934511</v>
      </c>
    </row>
    <row r="18067" spans="25:26" x14ac:dyDescent="0.25">
      <c r="Y18067" s="63">
        <v>60600</v>
      </c>
      <c r="Z18067" s="61">
        <f>_xll.qlYieldTSDiscount($U$35,Y18067,,Trigger)</f>
        <v>0.376464152531086</v>
      </c>
    </row>
    <row r="18068" spans="25:26" x14ac:dyDescent="0.25">
      <c r="Y18068" s="63">
        <v>60601</v>
      </c>
      <c r="Z18068" s="61">
        <f>_xll.qlYieldTSDiscount($U$35,Y18068,,Trigger)</f>
        <v>0.37644199805245615</v>
      </c>
    </row>
    <row r="18069" spans="25:26" x14ac:dyDescent="0.25">
      <c r="Y18069" s="63">
        <v>60602</v>
      </c>
      <c r="Z18069" s="61">
        <f>_xll.qlYieldTSDiscount($U$35,Y18069,,Trigger)</f>
        <v>0.37641984499308945</v>
      </c>
    </row>
    <row r="18070" spans="25:26" x14ac:dyDescent="0.25">
      <c r="Y18070" s="63">
        <v>60603</v>
      </c>
      <c r="Z18070" s="61">
        <f>_xll.qlYieldTSDiscount($U$35,Y18070,,Trigger)</f>
        <v>0.37639769335262013</v>
      </c>
    </row>
    <row r="18071" spans="25:26" x14ac:dyDescent="0.25">
      <c r="Y18071" s="63">
        <v>60604</v>
      </c>
      <c r="Z18071" s="61">
        <f>_xll.qlYieldTSDiscount($U$35,Y18071,,Trigger)</f>
        <v>0.37637554313068194</v>
      </c>
    </row>
    <row r="18072" spans="25:26" x14ac:dyDescent="0.25">
      <c r="Y18072" s="63">
        <v>60605</v>
      </c>
      <c r="Z18072" s="61">
        <f>_xll.qlYieldTSDiscount($U$35,Y18072,,Trigger)</f>
        <v>0.37635339432690901</v>
      </c>
    </row>
    <row r="18073" spans="25:26" x14ac:dyDescent="0.25">
      <c r="Y18073" s="63">
        <v>60606</v>
      </c>
      <c r="Z18073" s="61">
        <f>_xll.qlYieldTSDiscount($U$35,Y18073,,Trigger)</f>
        <v>0.37633124694093545</v>
      </c>
    </row>
    <row r="18074" spans="25:26" x14ac:dyDescent="0.25">
      <c r="Y18074" s="63">
        <v>60607</v>
      </c>
      <c r="Z18074" s="61">
        <f>_xll.qlYieldTSDiscount($U$35,Y18074,,Trigger)</f>
        <v>0.37630910097239523</v>
      </c>
    </row>
    <row r="18075" spans="25:26" x14ac:dyDescent="0.25">
      <c r="Y18075" s="63">
        <v>60608</v>
      </c>
      <c r="Z18075" s="61">
        <f>_xll.qlYieldTSDiscount($U$35,Y18075,,Trigger)</f>
        <v>0.37628695642092225</v>
      </c>
    </row>
    <row r="18076" spans="25:26" x14ac:dyDescent="0.25">
      <c r="Y18076" s="63">
        <v>60609</v>
      </c>
      <c r="Z18076" s="61">
        <f>_xll.qlYieldTSDiscount($U$35,Y18076,,Trigger)</f>
        <v>0.37626481328615069</v>
      </c>
    </row>
    <row r="18077" spans="25:26" x14ac:dyDescent="0.25">
      <c r="Y18077" s="63">
        <v>60610</v>
      </c>
      <c r="Z18077" s="61">
        <f>_xll.qlYieldTSDiscount($U$35,Y18077,,Trigger)</f>
        <v>0.37624267156771452</v>
      </c>
    </row>
    <row r="18078" spans="25:26" x14ac:dyDescent="0.25">
      <c r="Y18078" s="63">
        <v>60611</v>
      </c>
      <c r="Z18078" s="61">
        <f>_xll.qlYieldTSDiscount($U$35,Y18078,,Trigger)</f>
        <v>0.37622053126524768</v>
      </c>
    </row>
    <row r="18079" spans="25:26" x14ac:dyDescent="0.25">
      <c r="Y18079" s="63">
        <v>60612</v>
      </c>
      <c r="Z18079" s="61">
        <f>_xll.qlYieldTSDiscount($U$35,Y18079,,Trigger)</f>
        <v>0.37619839237838437</v>
      </c>
    </row>
    <row r="18080" spans="25:26" x14ac:dyDescent="0.25">
      <c r="Y18080" s="63">
        <v>60613</v>
      </c>
      <c r="Z18080" s="61">
        <f>_xll.qlYieldTSDiscount($U$35,Y18080,,Trigger)</f>
        <v>0.37617625490675843</v>
      </c>
    </row>
    <row r="18081" spans="25:26" x14ac:dyDescent="0.25">
      <c r="Y18081" s="63">
        <v>60614</v>
      </c>
      <c r="Z18081" s="61">
        <f>_xll.qlYieldTSDiscount($U$35,Y18081,,Trigger)</f>
        <v>0.37615411885000399</v>
      </c>
    </row>
    <row r="18082" spans="25:26" x14ac:dyDescent="0.25">
      <c r="Y18082" s="63">
        <v>60615</v>
      </c>
      <c r="Z18082" s="61">
        <f>_xll.qlYieldTSDiscount($U$35,Y18082,,Trigger)</f>
        <v>0.37613198420775507</v>
      </c>
    </row>
    <row r="18083" spans="25:26" x14ac:dyDescent="0.25">
      <c r="Y18083" s="63">
        <v>60616</v>
      </c>
      <c r="Z18083" s="61">
        <f>_xll.qlYieldTSDiscount($U$35,Y18083,,Trigger)</f>
        <v>0.37610985097964567</v>
      </c>
    </row>
    <row r="18084" spans="25:26" x14ac:dyDescent="0.25">
      <c r="Y18084" s="63">
        <v>60617</v>
      </c>
      <c r="Z18084" s="61">
        <f>_xll.qlYieldTSDiscount($U$35,Y18084,,Trigger)</f>
        <v>0.3760877191653097</v>
      </c>
    </row>
    <row r="18085" spans="25:26" x14ac:dyDescent="0.25">
      <c r="Y18085" s="63">
        <v>60618</v>
      </c>
      <c r="Z18085" s="61">
        <f>_xll.qlYieldTSDiscount($U$35,Y18085,,Trigger)</f>
        <v>0.3760655887643814</v>
      </c>
    </row>
    <row r="18086" spans="25:26" x14ac:dyDescent="0.25">
      <c r="Y18086" s="63">
        <v>60619</v>
      </c>
      <c r="Z18086" s="61">
        <f>_xll.qlYieldTSDiscount($U$35,Y18086,,Trigger)</f>
        <v>0.37604345977649467</v>
      </c>
    </row>
    <row r="18087" spans="25:26" x14ac:dyDescent="0.25">
      <c r="Y18087" s="63">
        <v>60620</v>
      </c>
      <c r="Z18087" s="61">
        <f>_xll.qlYieldTSDiscount($U$35,Y18087,,Trigger)</f>
        <v>0.37602133220128353</v>
      </c>
    </row>
    <row r="18088" spans="25:26" x14ac:dyDescent="0.25">
      <c r="Y18088" s="63">
        <v>60621</v>
      </c>
      <c r="Z18088" s="61">
        <f>_xll.qlYieldTSDiscount($U$35,Y18088,,Trigger)</f>
        <v>0.37599920603838199</v>
      </c>
    </row>
    <row r="18089" spans="25:26" x14ac:dyDescent="0.25">
      <c r="Y18089" s="63">
        <v>60622</v>
      </c>
      <c r="Z18089" s="61">
        <f>_xll.qlYieldTSDiscount($U$35,Y18089,,Trigger)</f>
        <v>0.37597708128742413</v>
      </c>
    </row>
    <row r="18090" spans="25:26" x14ac:dyDescent="0.25">
      <c r="Y18090" s="63">
        <v>60623</v>
      </c>
      <c r="Z18090" s="61">
        <f>_xll.qlYieldTSDiscount($U$35,Y18090,,Trigger)</f>
        <v>0.3759549579480439</v>
      </c>
    </row>
    <row r="18091" spans="25:26" x14ac:dyDescent="0.25">
      <c r="Y18091" s="63">
        <v>60624</v>
      </c>
      <c r="Z18091" s="61">
        <f>_xll.qlYieldTSDiscount($U$35,Y18091,,Trigger)</f>
        <v>0.37593283601987537</v>
      </c>
    </row>
    <row r="18092" spans="25:26" x14ac:dyDescent="0.25">
      <c r="Y18092" s="63">
        <v>60625</v>
      </c>
      <c r="Z18092" s="61">
        <f>_xll.qlYieldTSDiscount($U$35,Y18092,,Trigger)</f>
        <v>0.37591071550255262</v>
      </c>
    </row>
    <row r="18093" spans="25:26" x14ac:dyDescent="0.25">
      <c r="Y18093" s="63">
        <v>60626</v>
      </c>
      <c r="Z18093" s="61">
        <f>_xll.qlYieldTSDiscount($U$35,Y18093,,Trigger)</f>
        <v>0.3758885963957096</v>
      </c>
    </row>
    <row r="18094" spans="25:26" x14ac:dyDescent="0.25">
      <c r="Y18094" s="63">
        <v>60627</v>
      </c>
      <c r="Z18094" s="61">
        <f>_xll.qlYieldTSDiscount($U$35,Y18094,,Trigger)</f>
        <v>0.37586647869898027</v>
      </c>
    </row>
    <row r="18095" spans="25:26" x14ac:dyDescent="0.25">
      <c r="Y18095" s="63">
        <v>60628</v>
      </c>
      <c r="Z18095" s="61">
        <f>_xll.qlYieldTSDiscount($U$35,Y18095,,Trigger)</f>
        <v>0.3758443624119987</v>
      </c>
    </row>
    <row r="18096" spans="25:26" x14ac:dyDescent="0.25">
      <c r="Y18096" s="63">
        <v>60629</v>
      </c>
      <c r="Z18096" s="61">
        <f>_xll.qlYieldTSDiscount($U$35,Y18096,,Trigger)</f>
        <v>0.37582224753439897</v>
      </c>
    </row>
    <row r="18097" spans="25:26" x14ac:dyDescent="0.25">
      <c r="Y18097" s="63">
        <v>60630</v>
      </c>
      <c r="Z18097" s="61">
        <f>_xll.qlYieldTSDiscount($U$35,Y18097,,Trigger)</f>
        <v>0.37580013406581503</v>
      </c>
    </row>
    <row r="18098" spans="25:26" x14ac:dyDescent="0.25">
      <c r="Y18098" s="63">
        <v>60631</v>
      </c>
      <c r="Z18098" s="61">
        <f>_xll.qlYieldTSDiscount($U$35,Y18098,,Trigger)</f>
        <v>0.37577802200588095</v>
      </c>
    </row>
    <row r="18099" spans="25:26" x14ac:dyDescent="0.25">
      <c r="Y18099" s="63">
        <v>60632</v>
      </c>
      <c r="Z18099" s="61">
        <f>_xll.qlYieldTSDiscount($U$35,Y18099,,Trigger)</f>
        <v>0.37575591135423075</v>
      </c>
    </row>
    <row r="18100" spans="25:26" x14ac:dyDescent="0.25">
      <c r="Y18100" s="63">
        <v>60633</v>
      </c>
      <c r="Z18100" s="61">
        <f>_xll.qlYieldTSDiscount($U$35,Y18100,,Trigger)</f>
        <v>0.37573380211049845</v>
      </c>
    </row>
    <row r="18101" spans="25:26" x14ac:dyDescent="0.25">
      <c r="Y18101" s="63">
        <v>60634</v>
      </c>
      <c r="Z18101" s="61">
        <f>_xll.qlYieldTSDiscount($U$35,Y18101,,Trigger)</f>
        <v>0.375711694274318</v>
      </c>
    </row>
    <row r="18102" spans="25:26" x14ac:dyDescent="0.25">
      <c r="Y18102" s="63">
        <v>60635</v>
      </c>
      <c r="Z18102" s="61">
        <f>_xll.qlYieldTSDiscount($U$35,Y18102,,Trigger)</f>
        <v>0.37568958784532358</v>
      </c>
    </row>
    <row r="18103" spans="25:26" x14ac:dyDescent="0.25">
      <c r="Y18103" s="63">
        <v>60636</v>
      </c>
      <c r="Z18103" s="61">
        <f>_xll.qlYieldTSDiscount($U$35,Y18103,,Trigger)</f>
        <v>0.37566748282314905</v>
      </c>
    </row>
    <row r="18104" spans="25:26" x14ac:dyDescent="0.25">
      <c r="Y18104" s="63">
        <v>60637</v>
      </c>
      <c r="Z18104" s="61">
        <f>_xll.qlYieldTSDiscount($U$35,Y18104,,Trigger)</f>
        <v>0.37564537920742846</v>
      </c>
    </row>
    <row r="18105" spans="25:26" x14ac:dyDescent="0.25">
      <c r="Y18105" s="63">
        <v>60638</v>
      </c>
      <c r="Z18105" s="61">
        <f>_xll.qlYieldTSDiscount($U$35,Y18105,,Trigger)</f>
        <v>0.37562327699779596</v>
      </c>
    </row>
    <row r="18106" spans="25:26" x14ac:dyDescent="0.25">
      <c r="Y18106" s="63">
        <v>60639</v>
      </c>
      <c r="Z18106" s="61">
        <f>_xll.qlYieldTSDiscount($U$35,Y18106,,Trigger)</f>
        <v>0.37560117619388539</v>
      </c>
    </row>
    <row r="18107" spans="25:26" x14ac:dyDescent="0.25">
      <c r="Y18107" s="63">
        <v>60640</v>
      </c>
      <c r="Z18107" s="61">
        <f>_xll.qlYieldTSDiscount($U$35,Y18107,,Trigger)</f>
        <v>0.37557907679533087</v>
      </c>
    </row>
    <row r="18108" spans="25:26" x14ac:dyDescent="0.25">
      <c r="Y18108" s="63">
        <v>60641</v>
      </c>
      <c r="Z18108" s="61">
        <f>_xll.qlYieldTSDiscount($U$35,Y18108,,Trigger)</f>
        <v>0.37555697880176647</v>
      </c>
    </row>
    <row r="18109" spans="25:26" x14ac:dyDescent="0.25">
      <c r="Y18109" s="63">
        <v>60642</v>
      </c>
      <c r="Z18109" s="61">
        <f>_xll.qlYieldTSDiscount($U$35,Y18109,,Trigger)</f>
        <v>0.3755348822128261</v>
      </c>
    </row>
    <row r="18110" spans="25:26" x14ac:dyDescent="0.25">
      <c r="Y18110" s="63">
        <v>60643</v>
      </c>
      <c r="Z18110" s="61">
        <f>_xll.qlYieldTSDiscount($U$35,Y18110,,Trigger)</f>
        <v>0.37551278702814384</v>
      </c>
    </row>
    <row r="18111" spans="25:26" x14ac:dyDescent="0.25">
      <c r="Y18111" s="63">
        <v>60644</v>
      </c>
      <c r="Z18111" s="61">
        <f>_xll.qlYieldTSDiscount($U$35,Y18111,,Trigger)</f>
        <v>0.37549069324735374</v>
      </c>
    </row>
    <row r="18112" spans="25:26" x14ac:dyDescent="0.25">
      <c r="Y18112" s="63">
        <v>60645</v>
      </c>
      <c r="Z18112" s="61">
        <f>_xll.qlYieldTSDiscount($U$35,Y18112,,Trigger)</f>
        <v>0.37546860087008976</v>
      </c>
    </row>
    <row r="18113" spans="25:26" x14ac:dyDescent="0.25">
      <c r="Y18113" s="63">
        <v>60646</v>
      </c>
      <c r="Z18113" s="61">
        <f>_xll.qlYieldTSDiscount($U$35,Y18113,,Trigger)</f>
        <v>0.37544650989598594</v>
      </c>
    </row>
    <row r="18114" spans="25:26" x14ac:dyDescent="0.25">
      <c r="Y18114" s="63">
        <v>60647</v>
      </c>
      <c r="Z18114" s="61">
        <f>_xll.qlYieldTSDiscount($U$35,Y18114,,Trigger)</f>
        <v>0.37542442032467638</v>
      </c>
    </row>
    <row r="18115" spans="25:26" x14ac:dyDescent="0.25">
      <c r="Y18115" s="63">
        <v>60648</v>
      </c>
      <c r="Z18115" s="61">
        <f>_xll.qlYieldTSDiscount($U$35,Y18115,,Trigger)</f>
        <v>0.37540233215579499</v>
      </c>
    </row>
    <row r="18116" spans="25:26" x14ac:dyDescent="0.25">
      <c r="Y18116" s="63">
        <v>60649</v>
      </c>
      <c r="Z18116" s="61">
        <f>_xll.qlYieldTSDiscount($U$35,Y18116,,Trigger)</f>
        <v>0.3753802453889758</v>
      </c>
    </row>
    <row r="18117" spans="25:26" x14ac:dyDescent="0.25">
      <c r="Y18117" s="63">
        <v>60650</v>
      </c>
      <c r="Z18117" s="61">
        <f>_xll.qlYieldTSDiscount($U$35,Y18117,,Trigger)</f>
        <v>0.37535816002385292</v>
      </c>
    </row>
    <row r="18118" spans="25:26" x14ac:dyDescent="0.25">
      <c r="Y18118" s="63">
        <v>60651</v>
      </c>
      <c r="Z18118" s="61">
        <f>_xll.qlYieldTSDiscount($U$35,Y18118,,Trigger)</f>
        <v>0.37533607606006036</v>
      </c>
    </row>
    <row r="18119" spans="25:26" x14ac:dyDescent="0.25">
      <c r="Y18119" s="63">
        <v>60652</v>
      </c>
      <c r="Z18119" s="61">
        <f>_xll.qlYieldTSDiscount($U$35,Y18119,,Trigger)</f>
        <v>0.37531399349723199</v>
      </c>
    </row>
    <row r="18120" spans="25:26" x14ac:dyDescent="0.25">
      <c r="Y18120" s="63">
        <v>60653</v>
      </c>
      <c r="Z18120" s="61">
        <f>_xll.qlYieldTSDiscount($U$35,Y18120,,Trigger)</f>
        <v>0.37529191233500198</v>
      </c>
    </row>
    <row r="18121" spans="25:26" x14ac:dyDescent="0.25">
      <c r="Y18121" s="63">
        <v>60654</v>
      </c>
      <c r="Z18121" s="61">
        <f>_xll.qlYieldTSDiscount($U$35,Y18121,,Trigger)</f>
        <v>0.37526983257300439</v>
      </c>
    </row>
    <row r="18122" spans="25:26" x14ac:dyDescent="0.25">
      <c r="Y18122" s="63">
        <v>60655</v>
      </c>
      <c r="Z18122" s="61">
        <f>_xll.qlYieldTSDiscount($U$35,Y18122,,Trigger)</f>
        <v>0.37524775421087309</v>
      </c>
    </row>
    <row r="18123" spans="25:26" x14ac:dyDescent="0.25">
      <c r="Y18123" s="63">
        <v>60656</v>
      </c>
      <c r="Z18123" s="61">
        <f>_xll.qlYieldTSDiscount($U$35,Y18123,,Trigger)</f>
        <v>0.37522567724824218</v>
      </c>
    </row>
    <row r="18124" spans="25:26" x14ac:dyDescent="0.25">
      <c r="Y18124" s="63">
        <v>60657</v>
      </c>
      <c r="Z18124" s="61">
        <f>_xll.qlYieldTSDiscount($U$35,Y18124,,Trigger)</f>
        <v>0.37520360168474576</v>
      </c>
    </row>
    <row r="18125" spans="25:26" x14ac:dyDescent="0.25">
      <c r="Y18125" s="63">
        <v>60658</v>
      </c>
      <c r="Z18125" s="61">
        <f>_xll.qlYieldTSDiscount($U$35,Y18125,,Trigger)</f>
        <v>0.37518152752001771</v>
      </c>
    </row>
    <row r="18126" spans="25:26" x14ac:dyDescent="0.25">
      <c r="Y18126" s="63">
        <v>60659</v>
      </c>
      <c r="Z18126" s="61">
        <f>_xll.qlYieldTSDiscount($U$35,Y18126,,Trigger)</f>
        <v>0.37515945475369211</v>
      </c>
    </row>
    <row r="18127" spans="25:26" x14ac:dyDescent="0.25">
      <c r="Y18127" s="63">
        <v>60660</v>
      </c>
      <c r="Z18127" s="61">
        <f>_xll.qlYieldTSDiscount($U$35,Y18127,,Trigger)</f>
        <v>0.37513738338540303</v>
      </c>
    </row>
    <row r="18128" spans="25:26" x14ac:dyDescent="0.25">
      <c r="Y18128" s="63">
        <v>60661</v>
      </c>
      <c r="Z18128" s="61">
        <f>_xll.qlYieldTSDiscount($U$35,Y18128,,Trigger)</f>
        <v>0.37511531341478443</v>
      </c>
    </row>
    <row r="18129" spans="25:26" x14ac:dyDescent="0.25">
      <c r="Y18129" s="63">
        <v>60662</v>
      </c>
      <c r="Z18129" s="61">
        <f>_xll.qlYieldTSDiscount($U$35,Y18129,,Trigger)</f>
        <v>0.37509324484147033</v>
      </c>
    </row>
    <row r="18130" spans="25:26" x14ac:dyDescent="0.25">
      <c r="Y18130" s="63">
        <v>60663</v>
      </c>
      <c r="Z18130" s="61">
        <f>_xll.qlYieldTSDiscount($U$35,Y18130,,Trigger)</f>
        <v>0.37507117766509479</v>
      </c>
    </row>
    <row r="18131" spans="25:26" x14ac:dyDescent="0.25">
      <c r="Y18131" s="63">
        <v>60664</v>
      </c>
      <c r="Z18131" s="61">
        <f>_xll.qlYieldTSDiscount($U$35,Y18131,,Trigger)</f>
        <v>0.37504911188529189</v>
      </c>
    </row>
    <row r="18132" spans="25:26" x14ac:dyDescent="0.25">
      <c r="Y18132" s="63">
        <v>60665</v>
      </c>
      <c r="Z18132" s="61">
        <f>_xll.qlYieldTSDiscount($U$35,Y18132,,Trigger)</f>
        <v>0.37502704750169541</v>
      </c>
    </row>
    <row r="18133" spans="25:26" x14ac:dyDescent="0.25">
      <c r="Y18133" s="63">
        <v>60666</v>
      </c>
      <c r="Z18133" s="61">
        <f>_xll.qlYieldTSDiscount($U$35,Y18133,,Trigger)</f>
        <v>0.3750049845139396</v>
      </c>
    </row>
    <row r="18134" spans="25:26" x14ac:dyDescent="0.25">
      <c r="Y18134" s="63">
        <v>60667</v>
      </c>
      <c r="Z18134" s="61">
        <f>_xll.qlYieldTSDiscount($U$35,Y18134,,Trigger)</f>
        <v>0.37498292292165847</v>
      </c>
    </row>
    <row r="18135" spans="25:26" x14ac:dyDescent="0.25">
      <c r="Y18135" s="63">
        <v>60668</v>
      </c>
      <c r="Z18135" s="61">
        <f>_xll.qlYieldTSDiscount($U$35,Y18135,,Trigger)</f>
        <v>0.37496086272448598</v>
      </c>
    </row>
    <row r="18136" spans="25:26" x14ac:dyDescent="0.25">
      <c r="Y18136" s="63">
        <v>60669</v>
      </c>
      <c r="Z18136" s="61">
        <f>_xll.qlYieldTSDiscount($U$35,Y18136,,Trigger)</f>
        <v>0.37493880392205614</v>
      </c>
    </row>
    <row r="18137" spans="25:26" x14ac:dyDescent="0.25">
      <c r="Y18137" s="63">
        <v>60670</v>
      </c>
      <c r="Z18137" s="61">
        <f>_xll.qlYieldTSDiscount($U$35,Y18137,,Trigger)</f>
        <v>0.37491674651400309</v>
      </c>
    </row>
    <row r="18138" spans="25:26" x14ac:dyDescent="0.25">
      <c r="Y18138" s="63">
        <v>60671</v>
      </c>
      <c r="Z18138" s="61">
        <f>_xll.qlYieldTSDiscount($U$35,Y18138,,Trigger)</f>
        <v>0.3748946904999606</v>
      </c>
    </row>
    <row r="18139" spans="25:26" x14ac:dyDescent="0.25">
      <c r="Y18139" s="63">
        <v>60672</v>
      </c>
      <c r="Z18139" s="61">
        <f>_xll.qlYieldTSDiscount($U$35,Y18139,,Trigger)</f>
        <v>0.37487263587956299</v>
      </c>
    </row>
    <row r="18140" spans="25:26" x14ac:dyDescent="0.25">
      <c r="Y18140" s="63">
        <v>60673</v>
      </c>
      <c r="Z18140" s="61">
        <f>_xll.qlYieldTSDiscount($U$35,Y18140,,Trigger)</f>
        <v>0.37485058265244409</v>
      </c>
    </row>
    <row r="18141" spans="25:26" x14ac:dyDescent="0.25">
      <c r="Y18141" s="63">
        <v>60674</v>
      </c>
      <c r="Z18141" s="61">
        <f>_xll.qlYieldTSDiscount($U$35,Y18141,,Trigger)</f>
        <v>0.37482853081823797</v>
      </c>
    </row>
    <row r="18142" spans="25:26" x14ac:dyDescent="0.25">
      <c r="Y18142" s="63">
        <v>60675</v>
      </c>
      <c r="Z18142" s="61">
        <f>_xll.qlYieldTSDiscount($U$35,Y18142,,Trigger)</f>
        <v>0.3748064803765786</v>
      </c>
    </row>
    <row r="18143" spans="25:26" x14ac:dyDescent="0.25">
      <c r="Y18143" s="63">
        <v>60676</v>
      </c>
      <c r="Z18143" s="61">
        <f>_xll.qlYieldTSDiscount($U$35,Y18143,,Trigger)</f>
        <v>0.37478443132710004</v>
      </c>
    </row>
    <row r="18144" spans="25:26" x14ac:dyDescent="0.25">
      <c r="Y18144" s="63">
        <v>60677</v>
      </c>
      <c r="Z18144" s="61">
        <f>_xll.qlYieldTSDiscount($U$35,Y18144,,Trigger)</f>
        <v>0.37476238366943648</v>
      </c>
    </row>
    <row r="18145" spans="25:26" x14ac:dyDescent="0.25">
      <c r="Y18145" s="63">
        <v>60678</v>
      </c>
      <c r="Z18145" s="61">
        <f>_xll.qlYieldTSDiscount($U$35,Y18145,,Trigger)</f>
        <v>0.37474033740322166</v>
      </c>
    </row>
    <row r="18146" spans="25:26" x14ac:dyDescent="0.25">
      <c r="Y18146" s="63">
        <v>60679</v>
      </c>
      <c r="Z18146" s="61">
        <f>_xll.qlYieldTSDiscount($U$35,Y18146,,Trigger)</f>
        <v>0.3747182925280898</v>
      </c>
    </row>
    <row r="18147" spans="25:26" x14ac:dyDescent="0.25">
      <c r="Y18147" s="63">
        <v>60680</v>
      </c>
      <c r="Z18147" s="61">
        <f>_xll.qlYieldTSDiscount($U$35,Y18147,,Trigger)</f>
        <v>0.37469624904367488</v>
      </c>
    </row>
    <row r="18148" spans="25:26" x14ac:dyDescent="0.25">
      <c r="Y18148" s="63">
        <v>60681</v>
      </c>
      <c r="Z18148" s="61">
        <f>_xll.qlYieldTSDiscount($U$35,Y18148,,Trigger)</f>
        <v>0.37467420694961084</v>
      </c>
    </row>
    <row r="18149" spans="25:26" x14ac:dyDescent="0.25">
      <c r="Y18149" s="63">
        <v>60682</v>
      </c>
      <c r="Z18149" s="61">
        <f>_xll.qlYieldTSDiscount($U$35,Y18149,,Trigger)</f>
        <v>0.37465216624553171</v>
      </c>
    </row>
    <row r="18150" spans="25:26" x14ac:dyDescent="0.25">
      <c r="Y18150" s="63">
        <v>60683</v>
      </c>
      <c r="Z18150" s="61">
        <f>_xll.qlYieldTSDiscount($U$35,Y18150,,Trigger)</f>
        <v>0.37463012693107167</v>
      </c>
    </row>
    <row r="18151" spans="25:26" x14ac:dyDescent="0.25">
      <c r="Y18151" s="63">
        <v>60684</v>
      </c>
      <c r="Z18151" s="61">
        <f>_xll.qlYieldTSDiscount($U$35,Y18151,,Trigger)</f>
        <v>0.37460808900586456</v>
      </c>
    </row>
    <row r="18152" spans="25:26" x14ac:dyDescent="0.25">
      <c r="Y18152" s="63">
        <v>60685</v>
      </c>
      <c r="Z18152" s="61">
        <f>_xll.qlYieldTSDiscount($U$35,Y18152,,Trigger)</f>
        <v>0.37458605246954452</v>
      </c>
    </row>
    <row r="18153" spans="25:26" x14ac:dyDescent="0.25">
      <c r="Y18153" s="63">
        <v>60686</v>
      </c>
      <c r="Z18153" s="61">
        <f>_xll.qlYieldTSDiscount($U$35,Y18153,,Trigger)</f>
        <v>0.37456401732174549</v>
      </c>
    </row>
    <row r="18154" spans="25:26" x14ac:dyDescent="0.25">
      <c r="Y18154" s="63">
        <v>60687</v>
      </c>
      <c r="Z18154" s="61">
        <f>_xll.qlYieldTSDiscount($U$35,Y18154,,Trigger)</f>
        <v>0.37454198356210155</v>
      </c>
    </row>
    <row r="18155" spans="25:26" x14ac:dyDescent="0.25">
      <c r="Y18155" s="63">
        <v>60688</v>
      </c>
      <c r="Z18155" s="61">
        <f>_xll.qlYieldTSDiscount($U$35,Y18155,,Trigger)</f>
        <v>0.37451995119024661</v>
      </c>
    </row>
    <row r="18156" spans="25:26" x14ac:dyDescent="0.25">
      <c r="Y18156" s="63">
        <v>60689</v>
      </c>
      <c r="Z18156" s="61">
        <f>_xll.qlYieldTSDiscount($U$35,Y18156,,Trigger)</f>
        <v>0.37449792020581496</v>
      </c>
    </row>
    <row r="18157" spans="25:26" x14ac:dyDescent="0.25">
      <c r="Y18157" s="63">
        <v>60690</v>
      </c>
      <c r="Z18157" s="61">
        <f>_xll.qlYieldTSDiscount($U$35,Y18157,,Trigger)</f>
        <v>0.37447589060844033</v>
      </c>
    </row>
    <row r="18158" spans="25:26" x14ac:dyDescent="0.25">
      <c r="Y18158" s="63">
        <v>60691</v>
      </c>
      <c r="Z18158" s="61">
        <f>_xll.qlYieldTSDiscount($U$35,Y18158,,Trigger)</f>
        <v>0.3744538623977568</v>
      </c>
    </row>
    <row r="18159" spans="25:26" x14ac:dyDescent="0.25">
      <c r="Y18159" s="63">
        <v>60692</v>
      </c>
      <c r="Z18159" s="61">
        <f>_xll.qlYieldTSDiscount($U$35,Y18159,,Trigger)</f>
        <v>0.37443183557339854</v>
      </c>
    </row>
    <row r="18160" spans="25:26" x14ac:dyDescent="0.25">
      <c r="Y18160" s="63">
        <v>60693</v>
      </c>
      <c r="Z18160" s="61">
        <f>_xll.qlYieldTSDiscount($U$35,Y18160,,Trigger)</f>
        <v>0.37440981013499952</v>
      </c>
    </row>
    <row r="18161" spans="25:26" x14ac:dyDescent="0.25">
      <c r="Y18161" s="63">
        <v>60694</v>
      </c>
      <c r="Z18161" s="61">
        <f>_xll.qlYieldTSDiscount($U$35,Y18161,,Trigger)</f>
        <v>0.37438778608219359</v>
      </c>
    </row>
    <row r="18162" spans="25:26" x14ac:dyDescent="0.25">
      <c r="Y18162" s="63">
        <v>60695</v>
      </c>
      <c r="Z18162" s="61">
        <f>_xll.qlYieldTSDiscount($U$35,Y18162,,Trigger)</f>
        <v>0.37436576341461497</v>
      </c>
    </row>
    <row r="18163" spans="25:26" x14ac:dyDescent="0.25">
      <c r="Y18163" s="63">
        <v>60696</v>
      </c>
      <c r="Z18163" s="61">
        <f>_xll.qlYieldTSDiscount($U$35,Y18163,,Trigger)</f>
        <v>0.37434374213189769</v>
      </c>
    </row>
    <row r="18164" spans="25:26" x14ac:dyDescent="0.25">
      <c r="Y18164" s="63">
        <v>60697</v>
      </c>
      <c r="Z18164" s="61">
        <f>_xll.qlYieldTSDiscount($U$35,Y18164,,Trigger)</f>
        <v>0.37432172223367555</v>
      </c>
    </row>
    <row r="18165" spans="25:26" x14ac:dyDescent="0.25">
      <c r="Y18165" s="63">
        <v>60698</v>
      </c>
      <c r="Z18165" s="61">
        <f>_xll.qlYieldTSDiscount($U$35,Y18165,,Trigger)</f>
        <v>0.37429970371958282</v>
      </c>
    </row>
    <row r="18166" spans="25:26" x14ac:dyDescent="0.25">
      <c r="Y18166" s="63">
        <v>60699</v>
      </c>
      <c r="Z18166" s="61">
        <f>_xll.qlYieldTSDiscount($U$35,Y18166,,Trigger)</f>
        <v>0.37427768658925337</v>
      </c>
    </row>
    <row r="18167" spans="25:26" x14ac:dyDescent="0.25">
      <c r="Y18167" s="63">
        <v>60700</v>
      </c>
      <c r="Z18167" s="61">
        <f>_xll.qlYieldTSDiscount($U$35,Y18167,,Trigger)</f>
        <v>0.37425567084232125</v>
      </c>
    </row>
    <row r="18168" spans="25:26" x14ac:dyDescent="0.25">
      <c r="Y18168" s="63">
        <v>60701</v>
      </c>
      <c r="Z18168" s="61">
        <f>_xll.qlYieldTSDiscount($U$35,Y18168,,Trigger)</f>
        <v>0.37423365647842055</v>
      </c>
    </row>
    <row r="18169" spans="25:26" x14ac:dyDescent="0.25">
      <c r="Y18169" s="63">
        <v>60702</v>
      </c>
      <c r="Z18169" s="61">
        <f>_xll.qlYieldTSDiscount($U$35,Y18169,,Trigger)</f>
        <v>0.37421164349718528</v>
      </c>
    </row>
    <row r="18170" spans="25:26" x14ac:dyDescent="0.25">
      <c r="Y18170" s="63">
        <v>60703</v>
      </c>
      <c r="Z18170" s="61">
        <f>_xll.qlYieldTSDiscount($U$35,Y18170,,Trigger)</f>
        <v>0.37418963189824939</v>
      </c>
    </row>
    <row r="18171" spans="25:26" x14ac:dyDescent="0.25">
      <c r="Y18171" s="63">
        <v>60704</v>
      </c>
      <c r="Z18171" s="61">
        <f>_xll.qlYieldTSDiscount($U$35,Y18171,,Trigger)</f>
        <v>0.37416762168124695</v>
      </c>
    </row>
    <row r="18172" spans="25:26" x14ac:dyDescent="0.25">
      <c r="Y18172" s="63">
        <v>60705</v>
      </c>
      <c r="Z18172" s="61">
        <f>_xll.qlYieldTSDiscount($U$35,Y18172,,Trigger)</f>
        <v>0.37414561284581194</v>
      </c>
    </row>
    <row r="18173" spans="25:26" x14ac:dyDescent="0.25">
      <c r="Y18173" s="63">
        <v>60706</v>
      </c>
      <c r="Z18173" s="61">
        <f>_xll.qlYieldTSDiscount($U$35,Y18173,,Trigger)</f>
        <v>0.37412360539157846</v>
      </c>
    </row>
    <row r="18174" spans="25:26" x14ac:dyDescent="0.25">
      <c r="Y18174" s="63">
        <v>60707</v>
      </c>
      <c r="Z18174" s="61">
        <f>_xll.qlYieldTSDiscount($U$35,Y18174,,Trigger)</f>
        <v>0.37410159931818043</v>
      </c>
    </row>
    <row r="18175" spans="25:26" x14ac:dyDescent="0.25">
      <c r="Y18175" s="63">
        <v>60708</v>
      </c>
      <c r="Z18175" s="61">
        <f>_xll.qlYieldTSDiscount($U$35,Y18175,,Trigger)</f>
        <v>0.37407959462525192</v>
      </c>
    </row>
    <row r="18176" spans="25:26" x14ac:dyDescent="0.25">
      <c r="Y18176" s="63">
        <v>60709</v>
      </c>
      <c r="Z18176" s="61">
        <f>_xll.qlYieldTSDiscount($U$35,Y18176,,Trigger)</f>
        <v>0.374057591312427</v>
      </c>
    </row>
    <row r="18177" spans="25:26" x14ac:dyDescent="0.25">
      <c r="Y18177" s="63">
        <v>60710</v>
      </c>
      <c r="Z18177" s="61">
        <f>_xll.qlYieldTSDiscount($U$35,Y18177,,Trigger)</f>
        <v>0.37403558937933967</v>
      </c>
    </row>
    <row r="18178" spans="25:26" x14ac:dyDescent="0.25">
      <c r="Y18178" s="63">
        <v>60711</v>
      </c>
      <c r="Z18178" s="61">
        <f>_xll.qlYieldTSDiscount($U$35,Y18178,,Trigger)</f>
        <v>0.37401358882562391</v>
      </c>
    </row>
    <row r="18179" spans="25:26" x14ac:dyDescent="0.25">
      <c r="Y18179" s="63">
        <v>60712</v>
      </c>
      <c r="Z18179" s="61">
        <f>_xll.qlYieldTSDiscount($U$35,Y18179,,Trigger)</f>
        <v>0.37399158965091378</v>
      </c>
    </row>
    <row r="18180" spans="25:26" x14ac:dyDescent="0.25">
      <c r="Y18180" s="63">
        <v>60713</v>
      </c>
      <c r="Z18180" s="61">
        <f>_xll.qlYieldTSDiscount($U$35,Y18180,,Trigger)</f>
        <v>0.37396959185484324</v>
      </c>
    </row>
    <row r="18181" spans="25:26" x14ac:dyDescent="0.25">
      <c r="Y18181" s="63">
        <v>60714</v>
      </c>
      <c r="Z18181" s="61">
        <f>_xll.qlYieldTSDiscount($U$35,Y18181,,Trigger)</f>
        <v>0.37394759543704637</v>
      </c>
    </row>
    <row r="18182" spans="25:26" x14ac:dyDescent="0.25">
      <c r="Y18182" s="63">
        <v>60715</v>
      </c>
      <c r="Z18182" s="61">
        <f>_xll.qlYieldTSDiscount($U$35,Y18182,,Trigger)</f>
        <v>0.37392560039715722</v>
      </c>
    </row>
    <row r="18183" spans="25:26" x14ac:dyDescent="0.25">
      <c r="Y18183" s="63">
        <v>60716</v>
      </c>
      <c r="Z18183" s="61">
        <f>_xll.qlYieldTSDiscount($U$35,Y18183,,Trigger)</f>
        <v>0.37390360673480971</v>
      </c>
    </row>
    <row r="18184" spans="25:26" x14ac:dyDescent="0.25">
      <c r="Y18184" s="63">
        <v>60717</v>
      </c>
      <c r="Z18184" s="61">
        <f>_xll.qlYieldTSDiscount($U$35,Y18184,,Trigger)</f>
        <v>0.37388161444963797</v>
      </c>
    </row>
    <row r="18185" spans="25:26" x14ac:dyDescent="0.25">
      <c r="Y18185" s="63">
        <v>60718</v>
      </c>
      <c r="Z18185" s="61">
        <f>_xll.qlYieldTSDiscount($U$35,Y18185,,Trigger)</f>
        <v>0.373859623541276</v>
      </c>
    </row>
    <row r="18186" spans="25:26" x14ac:dyDescent="0.25">
      <c r="Y18186" s="63">
        <v>60719</v>
      </c>
      <c r="Z18186" s="61">
        <f>_xll.qlYieldTSDiscount($U$35,Y18186,,Trigger)</f>
        <v>0.37383763400935777</v>
      </c>
    </row>
    <row r="18187" spans="25:26" x14ac:dyDescent="0.25">
      <c r="Y18187" s="63">
        <v>60720</v>
      </c>
      <c r="Z18187" s="61">
        <f>_xll.qlYieldTSDiscount($U$35,Y18187,,Trigger)</f>
        <v>0.37381564585351729</v>
      </c>
    </row>
    <row r="18188" spans="25:26" x14ac:dyDescent="0.25">
      <c r="Y18188" s="63">
        <v>60721</v>
      </c>
      <c r="Z18188" s="61">
        <f>_xll.qlYieldTSDiscount($U$35,Y18188,,Trigger)</f>
        <v>0.37379365907338863</v>
      </c>
    </row>
    <row r="18189" spans="25:26" x14ac:dyDescent="0.25">
      <c r="Y18189" s="63">
        <v>60722</v>
      </c>
      <c r="Z18189" s="61">
        <f>_xll.qlYieldTSDiscount($U$35,Y18189,,Trigger)</f>
        <v>0.37377167366860586</v>
      </c>
    </row>
    <row r="18190" spans="25:26" x14ac:dyDescent="0.25">
      <c r="Y18190" s="63">
        <v>60723</v>
      </c>
      <c r="Z18190" s="61">
        <f>_xll.qlYieldTSDiscount($U$35,Y18190,,Trigger)</f>
        <v>0.3737496896388029</v>
      </c>
    </row>
    <row r="18191" spans="25:26" x14ac:dyDescent="0.25">
      <c r="Y18191" s="63">
        <v>60724</v>
      </c>
      <c r="Z18191" s="61">
        <f>_xll.qlYieldTSDiscount($U$35,Y18191,,Trigger)</f>
        <v>0.37372770698361379</v>
      </c>
    </row>
    <row r="18192" spans="25:26" x14ac:dyDescent="0.25">
      <c r="Y18192" s="63">
        <v>60725</v>
      </c>
      <c r="Z18192" s="61">
        <f>_xll.qlYieldTSDiscount($U$35,Y18192,,Trigger)</f>
        <v>0.37370572570267269</v>
      </c>
    </row>
    <row r="18193" spans="25:26" x14ac:dyDescent="0.25">
      <c r="Y18193" s="63">
        <v>60726</v>
      </c>
      <c r="Z18193" s="61">
        <f>_xll.qlYieldTSDiscount($U$35,Y18193,,Trigger)</f>
        <v>0.37368374579561336</v>
      </c>
    </row>
    <row r="18194" spans="25:26" x14ac:dyDescent="0.25">
      <c r="Y18194" s="63">
        <v>60727</v>
      </c>
      <c r="Z18194" s="61">
        <f>_xll.qlYieldTSDiscount($U$35,Y18194,,Trigger)</f>
        <v>0.37366176726207007</v>
      </c>
    </row>
    <row r="18195" spans="25:26" x14ac:dyDescent="0.25">
      <c r="Y18195" s="63">
        <v>60728</v>
      </c>
      <c r="Z18195" s="61">
        <f>_xll.qlYieldTSDiscount($U$35,Y18195,,Trigger)</f>
        <v>0.37363979010167675</v>
      </c>
    </row>
    <row r="18196" spans="25:26" x14ac:dyDescent="0.25">
      <c r="Y18196" s="63">
        <v>60729</v>
      </c>
      <c r="Z18196" s="61">
        <f>_xll.qlYieldTSDiscount($U$35,Y18196,,Trigger)</f>
        <v>0.37361781431406738</v>
      </c>
    </row>
    <row r="18197" spans="25:26" x14ac:dyDescent="0.25">
      <c r="Y18197" s="63">
        <v>60730</v>
      </c>
      <c r="Z18197" s="61">
        <f>_xll.qlYieldTSDiscount($U$35,Y18197,,Trigger)</f>
        <v>0.37359583989887601</v>
      </c>
    </row>
    <row r="18198" spans="25:26" x14ac:dyDescent="0.25">
      <c r="Y18198" s="63">
        <v>60731</v>
      </c>
      <c r="Z18198" s="61">
        <f>_xll.qlYieldTSDiscount($U$35,Y18198,,Trigger)</f>
        <v>0.37357386685573668</v>
      </c>
    </row>
    <row r="18199" spans="25:26" x14ac:dyDescent="0.25">
      <c r="Y18199" s="63">
        <v>60732</v>
      </c>
      <c r="Z18199" s="61">
        <f>_xll.qlYieldTSDiscount($U$35,Y18199,,Trigger)</f>
        <v>0.37355189518428344</v>
      </c>
    </row>
    <row r="18200" spans="25:26" x14ac:dyDescent="0.25">
      <c r="Y18200" s="63">
        <v>60733</v>
      </c>
      <c r="Z18200" s="61">
        <f>_xll.qlYieldTSDiscount($U$35,Y18200,,Trigger)</f>
        <v>0.37352992488415021</v>
      </c>
    </row>
    <row r="18201" spans="25:26" x14ac:dyDescent="0.25">
      <c r="Y18201" s="63">
        <v>60734</v>
      </c>
      <c r="Z18201" s="61">
        <f>_xll.qlYieldTSDiscount($U$35,Y18201,,Trigger)</f>
        <v>0.37350795595497116</v>
      </c>
    </row>
    <row r="18202" spans="25:26" x14ac:dyDescent="0.25">
      <c r="Y18202" s="63">
        <v>60735</v>
      </c>
      <c r="Z18202" s="61">
        <f>_xll.qlYieldTSDiscount($U$35,Y18202,,Trigger)</f>
        <v>0.37348598839638014</v>
      </c>
    </row>
    <row r="18203" spans="25:26" x14ac:dyDescent="0.25">
      <c r="Y18203" s="63">
        <v>60736</v>
      </c>
      <c r="Z18203" s="61">
        <f>_xll.qlYieldTSDiscount($U$35,Y18203,,Trigger)</f>
        <v>0.37346402220801123</v>
      </c>
    </row>
    <row r="18204" spans="25:26" x14ac:dyDescent="0.25">
      <c r="Y18204" s="63">
        <v>60737</v>
      </c>
      <c r="Z18204" s="61">
        <f>_xll.qlYieldTSDiscount($U$35,Y18204,,Trigger)</f>
        <v>0.37344205738949854</v>
      </c>
    </row>
    <row r="18205" spans="25:26" x14ac:dyDescent="0.25">
      <c r="Y18205" s="63">
        <v>60738</v>
      </c>
      <c r="Z18205" s="61">
        <f>_xll.qlYieldTSDiscount($U$35,Y18205,,Trigger)</f>
        <v>0.37342009394047609</v>
      </c>
    </row>
    <row r="18206" spans="25:26" x14ac:dyDescent="0.25">
      <c r="Y18206" s="63">
        <v>60739</v>
      </c>
      <c r="Z18206" s="61">
        <f>_xll.qlYieldTSDiscount($U$35,Y18206,,Trigger)</f>
        <v>0.3733981318605778</v>
      </c>
    </row>
    <row r="18207" spans="25:26" x14ac:dyDescent="0.25">
      <c r="Y18207" s="63">
        <v>60740</v>
      </c>
      <c r="Z18207" s="61">
        <f>_xll.qlYieldTSDiscount($U$35,Y18207,,Trigger)</f>
        <v>0.37337617114943772</v>
      </c>
    </row>
    <row r="18208" spans="25:26" x14ac:dyDescent="0.25">
      <c r="Y18208" s="63">
        <v>60741</v>
      </c>
      <c r="Z18208" s="61">
        <f>_xll.qlYieldTSDiscount($U$35,Y18208,,Trigger)</f>
        <v>0.37335421180668993</v>
      </c>
    </row>
    <row r="18209" spans="25:26" x14ac:dyDescent="0.25">
      <c r="Y18209" s="63">
        <v>60742</v>
      </c>
      <c r="Z18209" s="61">
        <f>_xll.qlYieldTSDiscount($U$35,Y18209,,Trigger)</f>
        <v>0.37333225383196833</v>
      </c>
    </row>
    <row r="18210" spans="25:26" x14ac:dyDescent="0.25">
      <c r="Y18210" s="63">
        <v>60743</v>
      </c>
      <c r="Z18210" s="61">
        <f>_xll.qlYieldTSDiscount($U$35,Y18210,,Trigger)</f>
        <v>0.37331029722490705</v>
      </c>
    </row>
    <row r="18211" spans="25:26" x14ac:dyDescent="0.25">
      <c r="Y18211" s="63">
        <v>60744</v>
      </c>
      <c r="Z18211" s="61">
        <f>_xll.qlYieldTSDiscount($U$35,Y18211,,Trigger)</f>
        <v>0.37328834198514016</v>
      </c>
    </row>
    <row r="18212" spans="25:26" x14ac:dyDescent="0.25">
      <c r="Y18212" s="63">
        <v>60745</v>
      </c>
      <c r="Z18212" s="61">
        <f>_xll.qlYieldTSDiscount($U$35,Y18212,,Trigger)</f>
        <v>0.37326638811230151</v>
      </c>
    </row>
    <row r="18213" spans="25:26" x14ac:dyDescent="0.25">
      <c r="Y18213" s="63">
        <v>60746</v>
      </c>
      <c r="Z18213" s="61">
        <f>_xll.qlYieldTSDiscount($U$35,Y18213,,Trigger)</f>
        <v>0.37324443560602527</v>
      </c>
    </row>
    <row r="18214" spans="25:26" x14ac:dyDescent="0.25">
      <c r="Y18214" s="63">
        <v>60747</v>
      </c>
      <c r="Z18214" s="61">
        <f>_xll.qlYieldTSDiscount($U$35,Y18214,,Trigger)</f>
        <v>0.37322248446594541</v>
      </c>
    </row>
    <row r="18215" spans="25:26" x14ac:dyDescent="0.25">
      <c r="Y18215" s="63">
        <v>60748</v>
      </c>
      <c r="Z18215" s="61">
        <f>_xll.qlYieldTSDiscount($U$35,Y18215,,Trigger)</f>
        <v>0.3732005346916959</v>
      </c>
    </row>
    <row r="18216" spans="25:26" x14ac:dyDescent="0.25">
      <c r="Y18216" s="63">
        <v>60749</v>
      </c>
      <c r="Z18216" s="61">
        <f>_xll.qlYieldTSDiscount($U$35,Y18216,,Trigger)</f>
        <v>0.37317858628291084</v>
      </c>
    </row>
    <row r="18217" spans="25:26" x14ac:dyDescent="0.25">
      <c r="Y18217" s="63">
        <v>60750</v>
      </c>
      <c r="Z18217" s="61">
        <f>_xll.qlYieldTSDiscount($U$35,Y18217,,Trigger)</f>
        <v>0.37315663923922426</v>
      </c>
    </row>
    <row r="18218" spans="25:26" x14ac:dyDescent="0.25">
      <c r="Y18218" s="63">
        <v>60751</v>
      </c>
      <c r="Z18218" s="61">
        <f>_xll.qlYieldTSDiscount($U$35,Y18218,,Trigger)</f>
        <v>0.37313469356027013</v>
      </c>
    </row>
    <row r="18219" spans="25:26" x14ac:dyDescent="0.25">
      <c r="Y18219" s="63">
        <v>60752</v>
      </c>
      <c r="Z18219" s="61">
        <f>_xll.qlYieldTSDiscount($U$35,Y18219,,Trigger)</f>
        <v>0.3731127492456825</v>
      </c>
    </row>
    <row r="18220" spans="25:26" x14ac:dyDescent="0.25">
      <c r="Y18220" s="63">
        <v>60753</v>
      </c>
      <c r="Z18220" s="61">
        <f>_xll.qlYieldTSDiscount($U$35,Y18220,,Trigger)</f>
        <v>0.37309080629509533</v>
      </c>
    </row>
    <row r="18221" spans="25:26" x14ac:dyDescent="0.25">
      <c r="Y18221" s="63">
        <v>60754</v>
      </c>
      <c r="Z18221" s="61">
        <f>_xll.qlYieldTSDiscount($U$35,Y18221,,Trigger)</f>
        <v>0.37306886470814271</v>
      </c>
    </row>
    <row r="18222" spans="25:26" x14ac:dyDescent="0.25">
      <c r="Y18222" s="63">
        <v>60755</v>
      </c>
      <c r="Z18222" s="61">
        <f>_xll.qlYieldTSDiscount($U$35,Y18222,,Trigger)</f>
        <v>0.3730469244844587</v>
      </c>
    </row>
    <row r="18223" spans="25:26" x14ac:dyDescent="0.25">
      <c r="Y18223" s="63">
        <v>60756</v>
      </c>
      <c r="Z18223" s="61">
        <f>_xll.qlYieldTSDiscount($U$35,Y18223,,Trigger)</f>
        <v>0.37302498562367714</v>
      </c>
    </row>
    <row r="18224" spans="25:26" x14ac:dyDescent="0.25">
      <c r="Y18224" s="63">
        <v>60757</v>
      </c>
      <c r="Z18224" s="61">
        <f>_xll.qlYieldTSDiscount($U$35,Y18224,,Trigger)</f>
        <v>0.37300304812543233</v>
      </c>
    </row>
    <row r="18225" spans="25:26" x14ac:dyDescent="0.25">
      <c r="Y18225" s="63">
        <v>60758</v>
      </c>
      <c r="Z18225" s="61">
        <f>_xll.qlYieldTSDiscount($U$35,Y18225,,Trigger)</f>
        <v>0.37298111198935802</v>
      </c>
    </row>
    <row r="18226" spans="25:26" x14ac:dyDescent="0.25">
      <c r="Y18226" s="63">
        <v>60759</v>
      </c>
      <c r="Z18226" s="61">
        <f>_xll.qlYieldTSDiscount($U$35,Y18226,,Trigger)</f>
        <v>0.37295917721508842</v>
      </c>
    </row>
    <row r="18227" spans="25:26" x14ac:dyDescent="0.25">
      <c r="Y18227" s="63">
        <v>60760</v>
      </c>
      <c r="Z18227" s="61">
        <f>_xll.qlYieldTSDiscount($U$35,Y18227,,Trigger)</f>
        <v>0.37293724380225757</v>
      </c>
    </row>
    <row r="18228" spans="25:26" x14ac:dyDescent="0.25">
      <c r="Y18228" s="63">
        <v>60761</v>
      </c>
      <c r="Z18228" s="61">
        <f>_xll.qlYieldTSDiscount($U$35,Y18228,,Trigger)</f>
        <v>0.37291531175049925</v>
      </c>
    </row>
    <row r="18229" spans="25:26" x14ac:dyDescent="0.25">
      <c r="Y18229" s="63">
        <v>60762</v>
      </c>
      <c r="Z18229" s="61">
        <f>_xll.qlYieldTSDiscount($U$35,Y18229,,Trigger)</f>
        <v>0.37289338105944769</v>
      </c>
    </row>
    <row r="18230" spans="25:26" x14ac:dyDescent="0.25">
      <c r="Y18230" s="63">
        <v>60763</v>
      </c>
      <c r="Z18230" s="61">
        <f>_xll.qlYieldTSDiscount($U$35,Y18230,,Trigger)</f>
        <v>0.37287145172873692</v>
      </c>
    </row>
    <row r="18231" spans="25:26" x14ac:dyDescent="0.25">
      <c r="Y18231" s="63">
        <v>60764</v>
      </c>
      <c r="Z18231" s="61">
        <f>_xll.qlYieldTSDiscount($U$35,Y18231,,Trigger)</f>
        <v>0.37284952375800084</v>
      </c>
    </row>
    <row r="18232" spans="25:26" x14ac:dyDescent="0.25">
      <c r="Y18232" s="63">
        <v>60765</v>
      </c>
      <c r="Z18232" s="61">
        <f>_xll.qlYieldTSDiscount($U$35,Y18232,,Trigger)</f>
        <v>0.37282759714687352</v>
      </c>
    </row>
    <row r="18233" spans="25:26" x14ac:dyDescent="0.25">
      <c r="Y18233" s="63">
        <v>60766</v>
      </c>
      <c r="Z18233" s="61">
        <f>_xll.qlYieldTSDiscount($U$35,Y18233,,Trigger)</f>
        <v>0.37280567189498898</v>
      </c>
    </row>
    <row r="18234" spans="25:26" x14ac:dyDescent="0.25">
      <c r="Y18234" s="63">
        <v>60767</v>
      </c>
      <c r="Z18234" s="61">
        <f>_xll.qlYieldTSDiscount($U$35,Y18234,,Trigger)</f>
        <v>0.37278374800198133</v>
      </c>
    </row>
    <row r="18235" spans="25:26" x14ac:dyDescent="0.25">
      <c r="Y18235" s="63">
        <v>60768</v>
      </c>
      <c r="Z18235" s="61">
        <f>_xll.qlYieldTSDiscount($U$35,Y18235,,Trigger)</f>
        <v>0.37276182546748443</v>
      </c>
    </row>
    <row r="18236" spans="25:26" x14ac:dyDescent="0.25">
      <c r="Y18236" s="63">
        <v>60769</v>
      </c>
      <c r="Z18236" s="61">
        <f>_xll.qlYieldTSDiscount($U$35,Y18236,,Trigger)</f>
        <v>0.37273990429113241</v>
      </c>
    </row>
    <row r="18237" spans="25:26" x14ac:dyDescent="0.25">
      <c r="Y18237" s="63">
        <v>60770</v>
      </c>
      <c r="Z18237" s="61">
        <f>_xll.qlYieldTSDiscount($U$35,Y18237,,Trigger)</f>
        <v>0.37271798447255933</v>
      </c>
    </row>
    <row r="18238" spans="25:26" x14ac:dyDescent="0.25">
      <c r="Y18238" s="63">
        <v>60771</v>
      </c>
      <c r="Z18238" s="61">
        <f>_xll.qlYieldTSDiscount($U$35,Y18238,,Trigger)</f>
        <v>0.37269606601139915</v>
      </c>
    </row>
    <row r="18239" spans="25:26" x14ac:dyDescent="0.25">
      <c r="Y18239" s="63">
        <v>60772</v>
      </c>
      <c r="Z18239" s="61">
        <f>_xll.qlYieldTSDiscount($U$35,Y18239,,Trigger)</f>
        <v>0.37267414890728584</v>
      </c>
    </row>
    <row r="18240" spans="25:26" x14ac:dyDescent="0.25">
      <c r="Y18240" s="63">
        <v>60773</v>
      </c>
      <c r="Z18240" s="61">
        <f>_xll.qlYieldTSDiscount($U$35,Y18240,,Trigger)</f>
        <v>0.37265223315985352</v>
      </c>
    </row>
    <row r="18241" spans="25:26" x14ac:dyDescent="0.25">
      <c r="Y18241" s="63">
        <v>60774</v>
      </c>
      <c r="Z18241" s="61">
        <f>_xll.qlYieldTSDiscount($U$35,Y18241,,Trigger)</f>
        <v>0.37263031876873615</v>
      </c>
    </row>
    <row r="18242" spans="25:26" x14ac:dyDescent="0.25">
      <c r="Y18242" s="63">
        <v>60775</v>
      </c>
      <c r="Z18242" s="61">
        <f>_xll.qlYieldTSDiscount($U$35,Y18242,,Trigger)</f>
        <v>0.37260840573356779</v>
      </c>
    </row>
    <row r="18243" spans="25:26" x14ac:dyDescent="0.25">
      <c r="Y18243" s="63">
        <v>60776</v>
      </c>
      <c r="Z18243" s="61">
        <f>_xll.qlYieldTSDiscount($U$35,Y18243,,Trigger)</f>
        <v>0.37258649405398248</v>
      </c>
    </row>
    <row r="18244" spans="25:26" x14ac:dyDescent="0.25">
      <c r="Y18244" s="63">
        <v>60777</v>
      </c>
      <c r="Z18244" s="61">
        <f>_xll.qlYieldTSDiscount($U$35,Y18244,,Trigger)</f>
        <v>0.3725645837296141</v>
      </c>
    </row>
    <row r="18245" spans="25:26" x14ac:dyDescent="0.25">
      <c r="Y18245" s="63">
        <v>60778</v>
      </c>
      <c r="Z18245" s="61">
        <f>_xll.qlYieldTSDiscount($U$35,Y18245,,Trigger)</f>
        <v>0.37254267476009684</v>
      </c>
    </row>
    <row r="18246" spans="25:26" x14ac:dyDescent="0.25">
      <c r="Y18246" s="63">
        <v>60779</v>
      </c>
      <c r="Z18246" s="61">
        <f>_xll.qlYieldTSDiscount($U$35,Y18246,,Trigger)</f>
        <v>0.37252076714506466</v>
      </c>
    </row>
    <row r="18247" spans="25:26" x14ac:dyDescent="0.25">
      <c r="Y18247" s="63">
        <v>60780</v>
      </c>
      <c r="Z18247" s="61">
        <f>_xll.qlYieldTSDiscount($U$35,Y18247,,Trigger)</f>
        <v>0.37249886088415163</v>
      </c>
    </row>
    <row r="18248" spans="25:26" x14ac:dyDescent="0.25">
      <c r="Y18248" s="63">
        <v>60781</v>
      </c>
      <c r="Z18248" s="61">
        <f>_xll.qlYieldTSDiscount($U$35,Y18248,,Trigger)</f>
        <v>0.37247695597699165</v>
      </c>
    </row>
    <row r="18249" spans="25:26" x14ac:dyDescent="0.25">
      <c r="Y18249" s="63">
        <v>60782</v>
      </c>
      <c r="Z18249" s="61">
        <f>_xll.qlYieldTSDiscount($U$35,Y18249,,Trigger)</f>
        <v>0.3724550524232188</v>
      </c>
    </row>
    <row r="18250" spans="25:26" x14ac:dyDescent="0.25">
      <c r="Y18250" s="63">
        <v>60783</v>
      </c>
      <c r="Z18250" s="61">
        <f>_xll.qlYieldTSDiscount($U$35,Y18250,,Trigger)</f>
        <v>0.37243315022246715</v>
      </c>
    </row>
    <row r="18251" spans="25:26" x14ac:dyDescent="0.25">
      <c r="Y18251" s="63">
        <v>60784</v>
      </c>
      <c r="Z18251" s="61">
        <f>_xll.qlYieldTSDiscount($U$35,Y18251,,Trigger)</f>
        <v>0.37241124937437076</v>
      </c>
    </row>
    <row r="18252" spans="25:26" x14ac:dyDescent="0.25">
      <c r="Y18252" s="63">
        <v>60785</v>
      </c>
      <c r="Z18252" s="61">
        <f>_xll.qlYieldTSDiscount($U$35,Y18252,,Trigger)</f>
        <v>0.37238934987856342</v>
      </c>
    </row>
    <row r="18253" spans="25:26" x14ac:dyDescent="0.25">
      <c r="Y18253" s="63">
        <v>60786</v>
      </c>
      <c r="Z18253" s="61">
        <f>_xll.qlYieldTSDiscount($U$35,Y18253,,Trigger)</f>
        <v>0.37236745173467944</v>
      </c>
    </row>
    <row r="18254" spans="25:26" x14ac:dyDescent="0.25">
      <c r="Y18254" s="63">
        <v>60787</v>
      </c>
      <c r="Z18254" s="61">
        <f>_xll.qlYieldTSDiscount($U$35,Y18254,,Trigger)</f>
        <v>0.37234555494235266</v>
      </c>
    </row>
    <row r="18255" spans="25:26" x14ac:dyDescent="0.25">
      <c r="Y18255" s="63">
        <v>60788</v>
      </c>
      <c r="Z18255" s="61">
        <f>_xll.qlYieldTSDiscount($U$35,Y18255,,Trigger)</f>
        <v>0.37232365950121715</v>
      </c>
    </row>
    <row r="18256" spans="25:26" x14ac:dyDescent="0.25">
      <c r="Y18256" s="63">
        <v>60789</v>
      </c>
      <c r="Z18256" s="61">
        <f>_xll.qlYieldTSDiscount($U$35,Y18256,,Trigger)</f>
        <v>0.37230176541090704</v>
      </c>
    </row>
    <row r="18257" spans="25:26" x14ac:dyDescent="0.25">
      <c r="Y18257" s="63">
        <v>60790</v>
      </c>
      <c r="Z18257" s="61">
        <f>_xll.qlYieldTSDiscount($U$35,Y18257,,Trigger)</f>
        <v>0.37227987267105611</v>
      </c>
    </row>
    <row r="18258" spans="25:26" x14ac:dyDescent="0.25">
      <c r="Y18258" s="63">
        <v>60791</v>
      </c>
      <c r="Z18258" s="61">
        <f>_xll.qlYieldTSDiscount($U$35,Y18258,,Trigger)</f>
        <v>0.37225798128129861</v>
      </c>
    </row>
    <row r="18259" spans="25:26" x14ac:dyDescent="0.25">
      <c r="Y18259" s="63">
        <v>60792</v>
      </c>
      <c r="Z18259" s="61">
        <f>_xll.qlYieldTSDiscount($U$35,Y18259,,Trigger)</f>
        <v>0.37223609124126844</v>
      </c>
    </row>
    <row r="18260" spans="25:26" x14ac:dyDescent="0.25">
      <c r="Y18260" s="63">
        <v>60793</v>
      </c>
      <c r="Z18260" s="61">
        <f>_xll.qlYieldTSDiscount($U$35,Y18260,,Trigger)</f>
        <v>0.37221420255059967</v>
      </c>
    </row>
    <row r="18261" spans="25:26" x14ac:dyDescent="0.25">
      <c r="Y18261" s="63">
        <v>60794</v>
      </c>
      <c r="Z18261" s="61">
        <f>_xll.qlYieldTSDiscount($U$35,Y18261,,Trigger)</f>
        <v>0.37219231520892626</v>
      </c>
    </row>
    <row r="18262" spans="25:26" x14ac:dyDescent="0.25">
      <c r="Y18262" s="63">
        <v>60795</v>
      </c>
      <c r="Z18262" s="61">
        <f>_xll.qlYieldTSDiscount($U$35,Y18262,,Trigger)</f>
        <v>0.37217042921588234</v>
      </c>
    </row>
    <row r="18263" spans="25:26" x14ac:dyDescent="0.25">
      <c r="Y18263" s="63">
        <v>60796</v>
      </c>
      <c r="Z18263" s="61">
        <f>_xll.qlYieldTSDiscount($U$35,Y18263,,Trigger)</f>
        <v>0.37214854457110191</v>
      </c>
    </row>
    <row r="18264" spans="25:26" x14ac:dyDescent="0.25">
      <c r="Y18264" s="63">
        <v>60797</v>
      </c>
      <c r="Z18264" s="61">
        <f>_xll.qlYieldTSDiscount($U$35,Y18264,,Trigger)</f>
        <v>0.37212666127421884</v>
      </c>
    </row>
    <row r="18265" spans="25:26" x14ac:dyDescent="0.25">
      <c r="Y18265" s="63">
        <v>60798</v>
      </c>
      <c r="Z18265" s="61">
        <f>_xll.qlYieldTSDiscount($U$35,Y18265,,Trigger)</f>
        <v>0.3721047793248673</v>
      </c>
    </row>
    <row r="18266" spans="25:26" x14ac:dyDescent="0.25">
      <c r="Y18266" s="63">
        <v>60799</v>
      </c>
      <c r="Z18266" s="61">
        <f>_xll.qlYieldTSDiscount($U$35,Y18266,,Trigger)</f>
        <v>0.3720828987226813</v>
      </c>
    </row>
    <row r="18267" spans="25:26" x14ac:dyDescent="0.25">
      <c r="Y18267" s="63">
        <v>60800</v>
      </c>
      <c r="Z18267" s="61">
        <f>_xll.qlYieldTSDiscount($U$35,Y18267,,Trigger)</f>
        <v>0.37206101946729486</v>
      </c>
    </row>
    <row r="18268" spans="25:26" x14ac:dyDescent="0.25">
      <c r="Y18268" s="63">
        <v>60801</v>
      </c>
      <c r="Z18268" s="61">
        <f>_xll.qlYieldTSDiscount($U$35,Y18268,,Trigger)</f>
        <v>0.37203914155834195</v>
      </c>
    </row>
    <row r="18269" spans="25:26" x14ac:dyDescent="0.25">
      <c r="Y18269" s="63">
        <v>60802</v>
      </c>
      <c r="Z18269" s="61">
        <f>_xll.qlYieldTSDiscount($U$35,Y18269,,Trigger)</f>
        <v>0.37201726499545662</v>
      </c>
    </row>
    <row r="18270" spans="25:26" x14ac:dyDescent="0.25">
      <c r="Y18270" s="63">
        <v>60803</v>
      </c>
      <c r="Z18270" s="61">
        <f>_xll.qlYieldTSDiscount($U$35,Y18270,,Trigger)</f>
        <v>0.3719953897782729</v>
      </c>
    </row>
    <row r="18271" spans="25:26" x14ac:dyDescent="0.25">
      <c r="Y18271" s="63">
        <v>60804</v>
      </c>
      <c r="Z18271" s="61">
        <f>_xll.qlYieldTSDiscount($U$35,Y18271,,Trigger)</f>
        <v>0.3719735159064248</v>
      </c>
    </row>
    <row r="18272" spans="25:26" x14ac:dyDescent="0.25">
      <c r="Y18272" s="63">
        <v>60805</v>
      </c>
      <c r="Z18272" s="61">
        <f>_xll.qlYieldTSDiscount($U$35,Y18272,,Trigger)</f>
        <v>0.37195164337954645</v>
      </c>
    </row>
    <row r="18273" spans="25:26" x14ac:dyDescent="0.25">
      <c r="Y18273" s="63">
        <v>60806</v>
      </c>
      <c r="Z18273" s="61">
        <f>_xll.qlYieldTSDiscount($U$35,Y18273,,Trigger)</f>
        <v>0.37192977219727164</v>
      </c>
    </row>
    <row r="18274" spans="25:26" x14ac:dyDescent="0.25">
      <c r="Y18274" s="63">
        <v>60807</v>
      </c>
      <c r="Z18274" s="61">
        <f>_xll.qlYieldTSDiscount($U$35,Y18274,,Trigger)</f>
        <v>0.37190790235923454</v>
      </c>
    </row>
    <row r="18275" spans="25:26" x14ac:dyDescent="0.25">
      <c r="Y18275" s="63">
        <v>60808</v>
      </c>
      <c r="Z18275" s="61">
        <f>_xll.qlYieldTSDiscount($U$35,Y18275,,Trigger)</f>
        <v>0.37188603386506919</v>
      </c>
    </row>
    <row r="18276" spans="25:26" x14ac:dyDescent="0.25">
      <c r="Y18276" s="63">
        <v>60809</v>
      </c>
      <c r="Z18276" s="61">
        <f>_xll.qlYieldTSDiscount($U$35,Y18276,,Trigger)</f>
        <v>0.37186416671440947</v>
      </c>
    </row>
    <row r="18277" spans="25:26" x14ac:dyDescent="0.25">
      <c r="Y18277" s="63">
        <v>60810</v>
      </c>
      <c r="Z18277" s="61">
        <f>_xll.qlYieldTSDiscount($U$35,Y18277,,Trigger)</f>
        <v>0.37184230090688963</v>
      </c>
    </row>
    <row r="18278" spans="25:26" x14ac:dyDescent="0.25">
      <c r="Y18278" s="63">
        <v>60811</v>
      </c>
      <c r="Z18278" s="61">
        <f>_xll.qlYieldTSDiscount($U$35,Y18278,,Trigger)</f>
        <v>0.37182043644214346</v>
      </c>
    </row>
    <row r="18279" spans="25:26" x14ac:dyDescent="0.25">
      <c r="Y18279" s="63">
        <v>60812</v>
      </c>
      <c r="Z18279" s="61">
        <f>_xll.qlYieldTSDiscount($U$35,Y18279,,Trigger)</f>
        <v>0.37179857331980526</v>
      </c>
    </row>
    <row r="18280" spans="25:26" x14ac:dyDescent="0.25">
      <c r="Y18280" s="63">
        <v>60813</v>
      </c>
      <c r="Z18280" s="61">
        <f>_xll.qlYieldTSDiscount($U$35,Y18280,,Trigger)</f>
        <v>0.37177671153950875</v>
      </c>
    </row>
    <row r="18281" spans="25:26" x14ac:dyDescent="0.25">
      <c r="Y18281" s="63">
        <v>60814</v>
      </c>
      <c r="Z18281" s="61">
        <f>_xll.qlYieldTSDiscount($U$35,Y18281,,Trigger)</f>
        <v>0.37175485110088807</v>
      </c>
    </row>
    <row r="18282" spans="25:26" x14ac:dyDescent="0.25">
      <c r="Y18282" s="63">
        <v>60815</v>
      </c>
      <c r="Z18282" s="61">
        <f>_xll.qlYieldTSDiscount($U$35,Y18282,,Trigger)</f>
        <v>0.37173299200357734</v>
      </c>
    </row>
    <row r="18283" spans="25:26" x14ac:dyDescent="0.25">
      <c r="Y18283" s="63">
        <v>60816</v>
      </c>
      <c r="Z18283" s="61">
        <f>_xll.qlYieldTSDiscount($U$35,Y18283,,Trigger)</f>
        <v>0.37171113424721047</v>
      </c>
    </row>
    <row r="18284" spans="25:26" x14ac:dyDescent="0.25">
      <c r="Y18284" s="63">
        <v>60817</v>
      </c>
      <c r="Z18284" s="61">
        <f>_xll.qlYieldTSDiscount($U$35,Y18284,,Trigger)</f>
        <v>0.37168927783142147</v>
      </c>
    </row>
    <row r="18285" spans="25:26" x14ac:dyDescent="0.25">
      <c r="Y18285" s="63">
        <v>60818</v>
      </c>
      <c r="Z18285" s="61">
        <f>_xll.qlYieldTSDiscount($U$35,Y18285,,Trigger)</f>
        <v>0.37166742275584447</v>
      </c>
    </row>
    <row r="18286" spans="25:26" x14ac:dyDescent="0.25">
      <c r="Y18286" s="63">
        <v>60819</v>
      </c>
      <c r="Z18286" s="61">
        <f>_xll.qlYieldTSDiscount($U$35,Y18286,,Trigger)</f>
        <v>0.37164556902011336</v>
      </c>
    </row>
    <row r="18287" spans="25:26" x14ac:dyDescent="0.25">
      <c r="Y18287" s="63">
        <v>60820</v>
      </c>
      <c r="Z18287" s="61">
        <f>_xll.qlYieldTSDiscount($U$35,Y18287,,Trigger)</f>
        <v>0.37162371662386223</v>
      </c>
    </row>
    <row r="18288" spans="25:26" x14ac:dyDescent="0.25">
      <c r="Y18288" s="63">
        <v>60821</v>
      </c>
      <c r="Z18288" s="61">
        <f>_xll.qlYieldTSDiscount($U$35,Y18288,,Trigger)</f>
        <v>0.37160186556672514</v>
      </c>
    </row>
    <row r="18289" spans="25:26" x14ac:dyDescent="0.25">
      <c r="Y18289" s="63">
        <v>60822</v>
      </c>
      <c r="Z18289" s="61">
        <f>_xll.qlYieldTSDiscount($U$35,Y18289,,Trigger)</f>
        <v>0.37158001584833605</v>
      </c>
    </row>
    <row r="18290" spans="25:26" x14ac:dyDescent="0.25">
      <c r="Y18290" s="63">
        <v>60823</v>
      </c>
      <c r="Z18290" s="61">
        <f>_xll.qlYieldTSDiscount($U$35,Y18290,,Trigger)</f>
        <v>0.37155816746832898</v>
      </c>
    </row>
    <row r="18291" spans="25:26" x14ac:dyDescent="0.25">
      <c r="Y18291" s="63">
        <v>60824</v>
      </c>
      <c r="Z18291" s="61">
        <f>_xll.qlYieldTSDiscount($U$35,Y18291,,Trigger)</f>
        <v>0.371536320426338</v>
      </c>
    </row>
    <row r="18292" spans="25:26" x14ac:dyDescent="0.25">
      <c r="Y18292" s="63">
        <v>60825</v>
      </c>
      <c r="Z18292" s="61">
        <f>_xll.qlYieldTSDiscount($U$35,Y18292,,Trigger)</f>
        <v>0.37151447472199717</v>
      </c>
    </row>
    <row r="18293" spans="25:26" x14ac:dyDescent="0.25">
      <c r="Y18293" s="63">
        <v>60826</v>
      </c>
      <c r="Z18293" s="61">
        <f>_xll.qlYieldTSDiscount($U$35,Y18293,,Trigger)</f>
        <v>0.37149263035494029</v>
      </c>
    </row>
    <row r="18294" spans="25:26" x14ac:dyDescent="0.25">
      <c r="Y18294" s="63">
        <v>60827</v>
      </c>
      <c r="Z18294" s="61">
        <f>_xll.qlYieldTSDiscount($U$35,Y18294,,Trigger)</f>
        <v>0.37147078732480165</v>
      </c>
    </row>
    <row r="18295" spans="25:26" x14ac:dyDescent="0.25">
      <c r="Y18295" s="63">
        <v>60828</v>
      </c>
      <c r="Z18295" s="61">
        <f>_xll.qlYieldTSDiscount($U$35,Y18295,,Trigger)</f>
        <v>0.37144894563121511</v>
      </c>
    </row>
    <row r="18296" spans="25:26" x14ac:dyDescent="0.25">
      <c r="Y18296" s="63">
        <v>60829</v>
      </c>
      <c r="Z18296" s="61">
        <f>_xll.qlYieldTSDiscount($U$35,Y18296,,Trigger)</f>
        <v>0.37142710527381484</v>
      </c>
    </row>
    <row r="18297" spans="25:26" x14ac:dyDescent="0.25">
      <c r="Y18297" s="63">
        <v>60830</v>
      </c>
      <c r="Z18297" s="61">
        <f>_xll.qlYieldTSDiscount($U$35,Y18297,,Trigger)</f>
        <v>0.37140526625223463</v>
      </c>
    </row>
    <row r="18298" spans="25:26" x14ac:dyDescent="0.25">
      <c r="Y18298" s="63">
        <v>60831</v>
      </c>
      <c r="Z18298" s="61">
        <f>_xll.qlYieldTSDiscount($U$35,Y18298,,Trigger)</f>
        <v>0.37138342856610873</v>
      </c>
    </row>
    <row r="18299" spans="25:26" x14ac:dyDescent="0.25">
      <c r="Y18299" s="63">
        <v>60832</v>
      </c>
      <c r="Z18299" s="61">
        <f>_xll.qlYieldTSDiscount($U$35,Y18299,,Trigger)</f>
        <v>0.37136159221507103</v>
      </c>
    </row>
    <row r="18300" spans="25:26" x14ac:dyDescent="0.25">
      <c r="Y18300" s="63">
        <v>60833</v>
      </c>
      <c r="Z18300" s="61">
        <f>_xll.qlYieldTSDiscount($U$35,Y18300,,Trigger)</f>
        <v>0.37133975719875556</v>
      </c>
    </row>
    <row r="18301" spans="25:26" x14ac:dyDescent="0.25">
      <c r="Y18301" s="63">
        <v>60834</v>
      </c>
      <c r="Z18301" s="61">
        <f>_xll.qlYieldTSDiscount($U$35,Y18301,,Trigger)</f>
        <v>0.37131792351679649</v>
      </c>
    </row>
    <row r="18302" spans="25:26" x14ac:dyDescent="0.25">
      <c r="Y18302" s="63">
        <v>60835</v>
      </c>
      <c r="Z18302" s="61">
        <f>_xll.qlYieldTSDiscount($U$35,Y18302,,Trigger)</f>
        <v>0.37129609116882761</v>
      </c>
    </row>
    <row r="18303" spans="25:26" x14ac:dyDescent="0.25">
      <c r="Y18303" s="63">
        <v>60836</v>
      </c>
      <c r="Z18303" s="61">
        <f>_xll.qlYieldTSDiscount($U$35,Y18303,,Trigger)</f>
        <v>0.37127426015448306</v>
      </c>
    </row>
    <row r="18304" spans="25:26" x14ac:dyDescent="0.25">
      <c r="Y18304" s="63">
        <v>60837</v>
      </c>
      <c r="Z18304" s="61">
        <f>_xll.qlYieldTSDiscount($U$35,Y18304,,Trigger)</f>
        <v>0.37125243047339695</v>
      </c>
    </row>
    <row r="18305" spans="25:26" x14ac:dyDescent="0.25">
      <c r="Y18305" s="63">
        <v>60838</v>
      </c>
      <c r="Z18305" s="61">
        <f>_xll.qlYieldTSDiscount($U$35,Y18305,,Trigger)</f>
        <v>0.37123060212520309</v>
      </c>
    </row>
    <row r="18306" spans="25:26" x14ac:dyDescent="0.25">
      <c r="Y18306" s="63">
        <v>60839</v>
      </c>
      <c r="Z18306" s="61">
        <f>_xll.qlYieldTSDiscount($U$35,Y18306,,Trigger)</f>
        <v>0.37120877510953565</v>
      </c>
    </row>
    <row r="18307" spans="25:26" x14ac:dyDescent="0.25">
      <c r="Y18307" s="63">
        <v>60840</v>
      </c>
      <c r="Z18307" s="61">
        <f>_xll.qlYieldTSDiscount($U$35,Y18307,,Trigger)</f>
        <v>0.37118694942602865</v>
      </c>
    </row>
    <row r="18308" spans="25:26" x14ac:dyDescent="0.25">
      <c r="Y18308" s="63">
        <v>60841</v>
      </c>
      <c r="Z18308" s="61">
        <f>_xll.qlYieldTSDiscount($U$35,Y18308,,Trigger)</f>
        <v>0.37116512507431609</v>
      </c>
    </row>
    <row r="18309" spans="25:26" x14ac:dyDescent="0.25">
      <c r="Y18309" s="63">
        <v>60842</v>
      </c>
      <c r="Z18309" s="61">
        <f>_xll.qlYieldTSDiscount($U$35,Y18309,,Trigger)</f>
        <v>0.37114330205403195</v>
      </c>
    </row>
    <row r="18310" spans="25:26" x14ac:dyDescent="0.25">
      <c r="Y18310" s="63">
        <v>60843</v>
      </c>
      <c r="Z18310" s="61">
        <f>_xll.qlYieldTSDiscount($U$35,Y18310,,Trigger)</f>
        <v>0.37112148036481035</v>
      </c>
    </row>
    <row r="18311" spans="25:26" x14ac:dyDescent="0.25">
      <c r="Y18311" s="63">
        <v>60844</v>
      </c>
      <c r="Z18311" s="61">
        <f>_xll.qlYieldTSDiscount($U$35,Y18311,,Trigger)</f>
        <v>0.37109966000628525</v>
      </c>
    </row>
    <row r="18312" spans="25:26" x14ac:dyDescent="0.25">
      <c r="Y18312" s="63">
        <v>60845</v>
      </c>
      <c r="Z18312" s="61">
        <f>_xll.qlYieldTSDiscount($U$35,Y18312,,Trigger)</f>
        <v>0.3710778409780906</v>
      </c>
    </row>
    <row r="18313" spans="25:26" x14ac:dyDescent="0.25">
      <c r="Y18313" s="63">
        <v>60846</v>
      </c>
      <c r="Z18313" s="61">
        <f>_xll.qlYieldTSDiscount($U$35,Y18313,,Trigger)</f>
        <v>0.37105602327986054</v>
      </c>
    </row>
    <row r="18314" spans="25:26" x14ac:dyDescent="0.25">
      <c r="Y18314" s="63">
        <v>60847</v>
      </c>
      <c r="Z18314" s="61">
        <f>_xll.qlYieldTSDiscount($U$35,Y18314,,Trigger)</f>
        <v>0.37103420691122913</v>
      </c>
    </row>
    <row r="18315" spans="25:26" x14ac:dyDescent="0.25">
      <c r="Y18315" s="63">
        <v>60848</v>
      </c>
      <c r="Z18315" s="61">
        <f>_xll.qlYieldTSDiscount($U$35,Y18315,,Trigger)</f>
        <v>0.37101239187183016</v>
      </c>
    </row>
    <row r="18316" spans="25:26" x14ac:dyDescent="0.25">
      <c r="Y18316" s="63">
        <v>60849</v>
      </c>
      <c r="Z18316" s="61">
        <f>_xll.qlYieldTSDiscount($U$35,Y18316,,Trigger)</f>
        <v>0.37099057816129782</v>
      </c>
    </row>
    <row r="18317" spans="25:26" x14ac:dyDescent="0.25">
      <c r="Y18317" s="63">
        <v>60850</v>
      </c>
      <c r="Z18317" s="61">
        <f>_xll.qlYieldTSDiscount($U$35,Y18317,,Trigger)</f>
        <v>0.37096876577926619</v>
      </c>
    </row>
    <row r="18318" spans="25:26" x14ac:dyDescent="0.25">
      <c r="Y18318" s="63">
        <v>60851</v>
      </c>
      <c r="Z18318" s="61">
        <f>_xll.qlYieldTSDiscount($U$35,Y18318,,Trigger)</f>
        <v>0.3709469547253692</v>
      </c>
    </row>
    <row r="18319" spans="25:26" x14ac:dyDescent="0.25">
      <c r="Y18319" s="63">
        <v>60852</v>
      </c>
      <c r="Z18319" s="61">
        <f>_xll.qlYieldTSDiscount($U$35,Y18319,,Trigger)</f>
        <v>0.37092514499924079</v>
      </c>
    </row>
    <row r="18320" spans="25:26" x14ac:dyDescent="0.25">
      <c r="Y18320" s="63">
        <v>60853</v>
      </c>
      <c r="Z18320" s="61">
        <f>_xll.qlYieldTSDiscount($U$35,Y18320,,Trigger)</f>
        <v>0.37090333660051522</v>
      </c>
    </row>
    <row r="18321" spans="25:26" x14ac:dyDescent="0.25">
      <c r="Y18321" s="63">
        <v>60854</v>
      </c>
      <c r="Z18321" s="61">
        <f>_xll.qlYieldTSDiscount($U$35,Y18321,,Trigger)</f>
        <v>0.37088152952882625</v>
      </c>
    </row>
    <row r="18322" spans="25:26" x14ac:dyDescent="0.25">
      <c r="Y18322" s="63">
        <v>60855</v>
      </c>
      <c r="Z18322" s="61">
        <f>_xll.qlYieldTSDiscount($U$35,Y18322,,Trigger)</f>
        <v>0.37085972378380805</v>
      </c>
    </row>
    <row r="18323" spans="25:26" x14ac:dyDescent="0.25">
      <c r="Y18323" s="63">
        <v>60856</v>
      </c>
      <c r="Z18323" s="61">
        <f>_xll.qlYieldTSDiscount($U$35,Y18323,,Trigger)</f>
        <v>0.37083791936509458</v>
      </c>
    </row>
    <row r="18324" spans="25:26" x14ac:dyDescent="0.25">
      <c r="Y18324" s="63">
        <v>60857</v>
      </c>
      <c r="Z18324" s="61">
        <f>_xll.qlYieldTSDiscount($U$35,Y18324,,Trigger)</f>
        <v>0.37081611627232003</v>
      </c>
    </row>
    <row r="18325" spans="25:26" x14ac:dyDescent="0.25">
      <c r="Y18325" s="63">
        <v>60858</v>
      </c>
      <c r="Z18325" s="61">
        <f>_xll.qlYieldTSDiscount($U$35,Y18325,,Trigger)</f>
        <v>0.37079431450511818</v>
      </c>
    </row>
    <row r="18326" spans="25:26" x14ac:dyDescent="0.25">
      <c r="Y18326" s="63">
        <v>60859</v>
      </c>
      <c r="Z18326" s="61">
        <f>_xll.qlYieldTSDiscount($U$35,Y18326,,Trigger)</f>
        <v>0.37077251406312317</v>
      </c>
    </row>
    <row r="18327" spans="25:26" x14ac:dyDescent="0.25">
      <c r="Y18327" s="63">
        <v>60860</v>
      </c>
      <c r="Z18327" s="61">
        <f>_xll.qlYieldTSDiscount($U$35,Y18327,,Trigger)</f>
        <v>0.37075071494596906</v>
      </c>
    </row>
    <row r="18328" spans="25:26" x14ac:dyDescent="0.25">
      <c r="Y18328" s="63">
        <v>60861</v>
      </c>
      <c r="Z18328" s="61">
        <f>_xll.qlYieldTSDiscount($U$35,Y18328,,Trigger)</f>
        <v>0.37072891715328976</v>
      </c>
    </row>
    <row r="18329" spans="25:26" x14ac:dyDescent="0.25">
      <c r="Y18329" s="63">
        <v>60862</v>
      </c>
      <c r="Z18329" s="61">
        <f>_xll.qlYieldTSDiscount($U$35,Y18329,,Trigger)</f>
        <v>0.37070712068471934</v>
      </c>
    </row>
    <row r="18330" spans="25:26" x14ac:dyDescent="0.25">
      <c r="Y18330" s="63">
        <v>60863</v>
      </c>
      <c r="Z18330" s="61">
        <f>_xll.qlYieldTSDiscount($U$35,Y18330,,Trigger)</f>
        <v>0.37068532553989192</v>
      </c>
    </row>
    <row r="18331" spans="25:26" x14ac:dyDescent="0.25">
      <c r="Y18331" s="63">
        <v>60864</v>
      </c>
      <c r="Z18331" s="61">
        <f>_xll.qlYieldTSDiscount($U$35,Y18331,,Trigger)</f>
        <v>0.37066353171844135</v>
      </c>
    </row>
    <row r="18332" spans="25:26" x14ac:dyDescent="0.25">
      <c r="Y18332" s="63">
        <v>60865</v>
      </c>
      <c r="Z18332" s="61">
        <f>_xll.qlYieldTSDiscount($U$35,Y18332,,Trigger)</f>
        <v>0.37064173922000176</v>
      </c>
    </row>
    <row r="18333" spans="25:26" x14ac:dyDescent="0.25">
      <c r="Y18333" s="63">
        <v>60866</v>
      </c>
      <c r="Z18333" s="61">
        <f>_xll.qlYieldTSDiscount($U$35,Y18333,,Trigger)</f>
        <v>0.37061994804420728</v>
      </c>
    </row>
    <row r="18334" spans="25:26" x14ac:dyDescent="0.25">
      <c r="Y18334" s="63">
        <v>60867</v>
      </c>
      <c r="Z18334" s="61">
        <f>_xll.qlYieldTSDiscount($U$35,Y18334,,Trigger)</f>
        <v>0.37059815819069164</v>
      </c>
    </row>
    <row r="18335" spans="25:26" x14ac:dyDescent="0.25">
      <c r="Y18335" s="63">
        <v>60868</v>
      </c>
      <c r="Z18335" s="61">
        <f>_xll.qlYieldTSDiscount($U$35,Y18335,,Trigger)</f>
        <v>0.37057636965908913</v>
      </c>
    </row>
    <row r="18336" spans="25:26" x14ac:dyDescent="0.25">
      <c r="Y18336" s="63">
        <v>60869</v>
      </c>
      <c r="Z18336" s="61">
        <f>_xll.qlYieldTSDiscount($U$35,Y18336,,Trigger)</f>
        <v>0.37055458244903361</v>
      </c>
    </row>
    <row r="18337" spans="25:26" x14ac:dyDescent="0.25">
      <c r="Y18337" s="63">
        <v>60870</v>
      </c>
      <c r="Z18337" s="61">
        <f>_xll.qlYieldTSDiscount($U$35,Y18337,,Trigger)</f>
        <v>0.37053279656015914</v>
      </c>
    </row>
    <row r="18338" spans="25:26" x14ac:dyDescent="0.25">
      <c r="Y18338" s="63">
        <v>60871</v>
      </c>
      <c r="Z18338" s="61">
        <f>_xll.qlYieldTSDiscount($U$35,Y18338,,Trigger)</f>
        <v>0.37051101199209979</v>
      </c>
    </row>
    <row r="18339" spans="25:26" x14ac:dyDescent="0.25">
      <c r="Y18339" s="63">
        <v>60872</v>
      </c>
      <c r="Z18339" s="61">
        <f>_xll.qlYieldTSDiscount($U$35,Y18339,,Trigger)</f>
        <v>0.37048922874448953</v>
      </c>
    </row>
    <row r="18340" spans="25:26" x14ac:dyDescent="0.25">
      <c r="Y18340" s="63">
        <v>60873</v>
      </c>
      <c r="Z18340" s="61">
        <f>_xll.qlYieldTSDiscount($U$35,Y18340,,Trigger)</f>
        <v>0.37046744681696242</v>
      </c>
    </row>
    <row r="18341" spans="25:26" x14ac:dyDescent="0.25">
      <c r="Y18341" s="63">
        <v>60874</v>
      </c>
      <c r="Z18341" s="61">
        <f>_xll.qlYieldTSDiscount($U$35,Y18341,,Trigger)</f>
        <v>0.37044566620915242</v>
      </c>
    </row>
    <row r="18342" spans="25:26" x14ac:dyDescent="0.25">
      <c r="Y18342" s="63">
        <v>60875</v>
      </c>
      <c r="Z18342" s="61">
        <f>_xll.qlYieldTSDiscount($U$35,Y18342,,Trigger)</f>
        <v>0.37042388692069367</v>
      </c>
    </row>
    <row r="18343" spans="25:26" x14ac:dyDescent="0.25">
      <c r="Y18343" s="63">
        <v>60876</v>
      </c>
      <c r="Z18343" s="61">
        <f>_xll.qlYieldTSDiscount($U$35,Y18343,,Trigger)</f>
        <v>0.37040210895122017</v>
      </c>
    </row>
    <row r="18344" spans="25:26" x14ac:dyDescent="0.25">
      <c r="Y18344" s="63">
        <v>60877</v>
      </c>
      <c r="Z18344" s="61">
        <f>_xll.qlYieldTSDiscount($U$35,Y18344,,Trigger)</f>
        <v>0.37038033230036577</v>
      </c>
    </row>
    <row r="18345" spans="25:26" x14ac:dyDescent="0.25">
      <c r="Y18345" s="63">
        <v>60878</v>
      </c>
      <c r="Z18345" s="61">
        <f>_xll.qlYieldTSDiscount($U$35,Y18345,,Trigger)</f>
        <v>0.37035855696776465</v>
      </c>
    </row>
    <row r="18346" spans="25:26" x14ac:dyDescent="0.25">
      <c r="Y18346" s="63">
        <v>60879</v>
      </c>
      <c r="Z18346" s="61">
        <f>_xll.qlYieldTSDiscount($U$35,Y18346,,Trigger)</f>
        <v>0.37033678295305084</v>
      </c>
    </row>
    <row r="18347" spans="25:26" x14ac:dyDescent="0.25">
      <c r="Y18347" s="63">
        <v>60880</v>
      </c>
      <c r="Z18347" s="61">
        <f>_xll.qlYieldTSDiscount($U$35,Y18347,,Trigger)</f>
        <v>0.37031501025585822</v>
      </c>
    </row>
    <row r="18348" spans="25:26" x14ac:dyDescent="0.25">
      <c r="Y18348" s="63">
        <v>60881</v>
      </c>
      <c r="Z18348" s="61">
        <f>_xll.qlYieldTSDiscount($U$35,Y18348,,Trigger)</f>
        <v>0.370293238875821</v>
      </c>
    </row>
    <row r="18349" spans="25:26" x14ac:dyDescent="0.25">
      <c r="Y18349" s="63">
        <v>60882</v>
      </c>
      <c r="Z18349" s="61">
        <f>_xll.qlYieldTSDiscount($U$35,Y18349,,Trigger)</f>
        <v>0.37027146881257311</v>
      </c>
    </row>
    <row r="18350" spans="25:26" x14ac:dyDescent="0.25">
      <c r="Y18350" s="63">
        <v>60883</v>
      </c>
      <c r="Z18350" s="61">
        <f>_xll.qlYieldTSDiscount($U$35,Y18350,,Trigger)</f>
        <v>0.37024970006574859</v>
      </c>
    </row>
    <row r="18351" spans="25:26" x14ac:dyDescent="0.25">
      <c r="Y18351" s="63">
        <v>60884</v>
      </c>
      <c r="Z18351" s="61">
        <f>_xll.qlYieldTSDiscount($U$35,Y18351,,Trigger)</f>
        <v>0.37022793263498138</v>
      </c>
    </row>
    <row r="18352" spans="25:26" x14ac:dyDescent="0.25">
      <c r="Y18352" s="63">
        <v>60885</v>
      </c>
      <c r="Z18352" s="61">
        <f>_xll.qlYieldTSDiscount($U$35,Y18352,,Trigger)</f>
        <v>0.37020616651990557</v>
      </c>
    </row>
    <row r="18353" spans="25:26" x14ac:dyDescent="0.25">
      <c r="Y18353" s="63">
        <v>60886</v>
      </c>
      <c r="Z18353" s="61">
        <f>_xll.qlYieldTSDiscount($U$35,Y18353,,Trigger)</f>
        <v>0.37018440172015527</v>
      </c>
    </row>
    <row r="18354" spans="25:26" x14ac:dyDescent="0.25">
      <c r="Y18354" s="63">
        <v>60887</v>
      </c>
      <c r="Z18354" s="61">
        <f>_xll.qlYieldTSDiscount($U$35,Y18354,,Trigger)</f>
        <v>0.37016263823536433</v>
      </c>
    </row>
    <row r="18355" spans="25:26" x14ac:dyDescent="0.25">
      <c r="Y18355" s="63">
        <v>60888</v>
      </c>
      <c r="Z18355" s="61">
        <f>_xll.qlYieldTSDiscount($U$35,Y18355,,Trigger)</f>
        <v>0.37014087606516677</v>
      </c>
    </row>
    <row r="18356" spans="25:26" x14ac:dyDescent="0.25">
      <c r="Y18356" s="63">
        <v>60889</v>
      </c>
      <c r="Z18356" s="61">
        <f>_xll.qlYieldTSDiscount($U$35,Y18356,,Trigger)</f>
        <v>0.37011911520919683</v>
      </c>
    </row>
    <row r="18357" spans="25:26" x14ac:dyDescent="0.25">
      <c r="Y18357" s="63">
        <v>60890</v>
      </c>
      <c r="Z18357" s="61">
        <f>_xll.qlYieldTSDiscount($U$35,Y18357,,Trigger)</f>
        <v>0.37009735566708835</v>
      </c>
    </row>
    <row r="18358" spans="25:26" x14ac:dyDescent="0.25">
      <c r="Y18358" s="63">
        <v>60891</v>
      </c>
      <c r="Z18358" s="61">
        <f>_xll.qlYieldTSDiscount($U$35,Y18358,,Trigger)</f>
        <v>0.3700755974384754</v>
      </c>
    </row>
    <row r="18359" spans="25:26" x14ac:dyDescent="0.25">
      <c r="Y18359" s="63">
        <v>60892</v>
      </c>
      <c r="Z18359" s="61">
        <f>_xll.qlYieldTSDiscount($U$35,Y18359,,Trigger)</f>
        <v>0.37005384052299206</v>
      </c>
    </row>
    <row r="18360" spans="25:26" x14ac:dyDescent="0.25">
      <c r="Y18360" s="63">
        <v>60893</v>
      </c>
      <c r="Z18360" s="61">
        <f>_xll.qlYieldTSDiscount($U$35,Y18360,,Trigger)</f>
        <v>0.37003208492027218</v>
      </c>
    </row>
    <row r="18361" spans="25:26" x14ac:dyDescent="0.25">
      <c r="Y18361" s="63">
        <v>60894</v>
      </c>
      <c r="Z18361" s="61">
        <f>_xll.qlYieldTSDiscount($U$35,Y18361,,Trigger)</f>
        <v>0.37001033062994992</v>
      </c>
    </row>
    <row r="18362" spans="25:26" x14ac:dyDescent="0.25">
      <c r="Y18362" s="63">
        <v>60895</v>
      </c>
      <c r="Z18362" s="61">
        <f>_xll.qlYieldTSDiscount($U$35,Y18362,,Trigger)</f>
        <v>0.36998857765165938</v>
      </c>
    </row>
    <row r="18363" spans="25:26" x14ac:dyDescent="0.25">
      <c r="Y18363" s="63">
        <v>60896</v>
      </c>
      <c r="Z18363" s="61">
        <f>_xll.qlYieldTSDiscount($U$35,Y18363,,Trigger)</f>
        <v>0.36996682598503439</v>
      </c>
    </row>
    <row r="18364" spans="25:26" x14ac:dyDescent="0.25">
      <c r="Y18364" s="63">
        <v>60897</v>
      </c>
      <c r="Z18364" s="61">
        <f>_xll.qlYieldTSDiscount($U$35,Y18364,,Trigger)</f>
        <v>0.36994507562970907</v>
      </c>
    </row>
    <row r="18365" spans="25:26" x14ac:dyDescent="0.25">
      <c r="Y18365" s="63">
        <v>60898</v>
      </c>
      <c r="Z18365" s="61">
        <f>_xll.qlYieldTSDiscount($U$35,Y18365,,Trigger)</f>
        <v>0.36992332658531746</v>
      </c>
    </row>
    <row r="18366" spans="25:26" x14ac:dyDescent="0.25">
      <c r="Y18366" s="63">
        <v>60899</v>
      </c>
      <c r="Z18366" s="61">
        <f>_xll.qlYieldTSDiscount($U$35,Y18366,,Trigger)</f>
        <v>0.3699015788514935</v>
      </c>
    </row>
    <row r="18367" spans="25:26" x14ac:dyDescent="0.25">
      <c r="Y18367" s="63">
        <v>60900</v>
      </c>
      <c r="Z18367" s="61">
        <f>_xll.qlYieldTSDiscount($U$35,Y18367,,Trigger)</f>
        <v>0.36987983242787126</v>
      </c>
    </row>
    <row r="18368" spans="25:26" x14ac:dyDescent="0.25">
      <c r="Y18368" s="63">
        <v>60901</v>
      </c>
      <c r="Z18368" s="61">
        <f>_xll.qlYieldTSDiscount($U$35,Y18368,,Trigger)</f>
        <v>0.36985808731408476</v>
      </c>
    </row>
    <row r="18369" spans="25:26" x14ac:dyDescent="0.25">
      <c r="Y18369" s="63">
        <v>60902</v>
      </c>
      <c r="Z18369" s="61">
        <f>_xll.qlYieldTSDiscount($U$35,Y18369,,Trigger)</f>
        <v>0.36983634350976813</v>
      </c>
    </row>
    <row r="18370" spans="25:26" x14ac:dyDescent="0.25">
      <c r="Y18370" s="63">
        <v>60903</v>
      </c>
      <c r="Z18370" s="61">
        <f>_xll.qlYieldTSDiscount($U$35,Y18370,,Trigger)</f>
        <v>0.36981460101455521</v>
      </c>
    </row>
    <row r="18371" spans="25:26" x14ac:dyDescent="0.25">
      <c r="Y18371" s="63">
        <v>60904</v>
      </c>
      <c r="Z18371" s="61">
        <f>_xll.qlYieldTSDiscount($U$35,Y18371,,Trigger)</f>
        <v>0.36979285982808008</v>
      </c>
    </row>
    <row r="18372" spans="25:26" x14ac:dyDescent="0.25">
      <c r="Y18372" s="63">
        <v>60905</v>
      </c>
      <c r="Z18372" s="61">
        <f>_xll.qlYieldTSDiscount($U$35,Y18372,,Trigger)</f>
        <v>0.36977111994997691</v>
      </c>
    </row>
    <row r="18373" spans="25:26" x14ac:dyDescent="0.25">
      <c r="Y18373" s="63">
        <v>60906</v>
      </c>
      <c r="Z18373" s="61">
        <f>_xll.qlYieldTSDiscount($U$35,Y18373,,Trigger)</f>
        <v>0.36974938137987945</v>
      </c>
    </row>
    <row r="18374" spans="25:26" x14ac:dyDescent="0.25">
      <c r="Y18374" s="63">
        <v>60907</v>
      </c>
      <c r="Z18374" s="61">
        <f>_xll.qlYieldTSDiscount($U$35,Y18374,,Trigger)</f>
        <v>0.36972764411742187</v>
      </c>
    </row>
    <row r="18375" spans="25:26" x14ac:dyDescent="0.25">
      <c r="Y18375" s="63">
        <v>60908</v>
      </c>
      <c r="Z18375" s="61">
        <f>_xll.qlYieldTSDiscount($U$35,Y18375,,Trigger)</f>
        <v>0.36970590816223836</v>
      </c>
    </row>
    <row r="18376" spans="25:26" x14ac:dyDescent="0.25">
      <c r="Y18376" s="63">
        <v>60909</v>
      </c>
      <c r="Z18376" s="61">
        <f>_xll.qlYieldTSDiscount($U$35,Y18376,,Trigger)</f>
        <v>0.3696841735139626</v>
      </c>
    </row>
    <row r="18377" spans="25:26" x14ac:dyDescent="0.25">
      <c r="Y18377" s="63">
        <v>60910</v>
      </c>
      <c r="Z18377" s="61">
        <f>_xll.qlYieldTSDiscount($U$35,Y18377,,Trigger)</f>
        <v>0.36966244017222882</v>
      </c>
    </row>
    <row r="18378" spans="25:26" x14ac:dyDescent="0.25">
      <c r="Y18378" s="63">
        <v>60911</v>
      </c>
      <c r="Z18378" s="61">
        <f>_xll.qlYieldTSDiscount($U$35,Y18378,,Trigger)</f>
        <v>0.3696407081366711</v>
      </c>
    </row>
    <row r="18379" spans="25:26" x14ac:dyDescent="0.25">
      <c r="Y18379" s="63">
        <v>60912</v>
      </c>
      <c r="Z18379" s="61">
        <f>_xll.qlYieldTSDiscount($U$35,Y18379,,Trigger)</f>
        <v>0.36961897740692329</v>
      </c>
    </row>
    <row r="18380" spans="25:26" x14ac:dyDescent="0.25">
      <c r="Y18380" s="63">
        <v>60913</v>
      </c>
      <c r="Z18380" s="61">
        <f>_xll.qlYieldTSDiscount($U$35,Y18380,,Trigger)</f>
        <v>0.3695972479826195</v>
      </c>
    </row>
    <row r="18381" spans="25:26" x14ac:dyDescent="0.25">
      <c r="Y18381" s="63">
        <v>60914</v>
      </c>
      <c r="Z18381" s="61">
        <f>_xll.qlYieldTSDiscount($U$35,Y18381,,Trigger)</f>
        <v>0.36957551986339376</v>
      </c>
    </row>
    <row r="18382" spans="25:26" x14ac:dyDescent="0.25">
      <c r="Y18382" s="63">
        <v>60915</v>
      </c>
      <c r="Z18382" s="61">
        <f>_xll.qlYieldTSDiscount($U$35,Y18382,,Trigger)</f>
        <v>0.36955379304888003</v>
      </c>
    </row>
    <row r="18383" spans="25:26" x14ac:dyDescent="0.25">
      <c r="Y18383" s="63">
        <v>60916</v>
      </c>
      <c r="Z18383" s="61">
        <f>_xll.qlYieldTSDiscount($U$35,Y18383,,Trigger)</f>
        <v>0.36953206753871237</v>
      </c>
    </row>
    <row r="18384" spans="25:26" x14ac:dyDescent="0.25">
      <c r="Y18384" s="63">
        <v>60917</v>
      </c>
      <c r="Z18384" s="61">
        <f>_xll.qlYieldTSDiscount($U$35,Y18384,,Trigger)</f>
        <v>0.36951034333252475</v>
      </c>
    </row>
    <row r="18385" spans="25:26" x14ac:dyDescent="0.25">
      <c r="Y18385" s="63">
        <v>60918</v>
      </c>
      <c r="Z18385" s="61">
        <f>_xll.qlYieldTSDiscount($U$35,Y18385,,Trigger)</f>
        <v>0.36948862042995145</v>
      </c>
    </row>
    <row r="18386" spans="25:26" x14ac:dyDescent="0.25">
      <c r="Y18386" s="63">
        <v>60919</v>
      </c>
      <c r="Z18386" s="61">
        <f>_xll.qlYieldTSDiscount($U$35,Y18386,,Trigger)</f>
        <v>0.36946689883062611</v>
      </c>
    </row>
    <row r="18387" spans="25:26" x14ac:dyDescent="0.25">
      <c r="Y18387" s="63">
        <v>60920</v>
      </c>
      <c r="Z18387" s="61">
        <f>_xll.qlYieldTSDiscount($U$35,Y18387,,Trigger)</f>
        <v>0.36944517853418296</v>
      </c>
    </row>
    <row r="18388" spans="25:26" x14ac:dyDescent="0.25">
      <c r="Y18388" s="63">
        <v>60921</v>
      </c>
      <c r="Z18388" s="61">
        <f>_xll.qlYieldTSDiscount($U$35,Y18388,,Trigger)</f>
        <v>0.36942345954025607</v>
      </c>
    </row>
    <row r="18389" spans="25:26" x14ac:dyDescent="0.25">
      <c r="Y18389" s="63">
        <v>60922</v>
      </c>
      <c r="Z18389" s="61">
        <f>_xll.qlYieldTSDiscount($U$35,Y18389,,Trigger)</f>
        <v>0.36940174184847935</v>
      </c>
    </row>
    <row r="18390" spans="25:26" x14ac:dyDescent="0.25">
      <c r="Y18390" s="63">
        <v>60923</v>
      </c>
      <c r="Z18390" s="61">
        <f>_xll.qlYieldTSDiscount($U$35,Y18390,,Trigger)</f>
        <v>0.3693800254584868</v>
      </c>
    </row>
    <row r="18391" spans="25:26" x14ac:dyDescent="0.25">
      <c r="Y18391" s="63">
        <v>60924</v>
      </c>
      <c r="Z18391" s="61">
        <f>_xll.qlYieldTSDiscount($U$35,Y18391,,Trigger)</f>
        <v>0.36935831036991257</v>
      </c>
    </row>
    <row r="18392" spans="25:26" x14ac:dyDescent="0.25">
      <c r="Y18392" s="63">
        <v>60925</v>
      </c>
      <c r="Z18392" s="61">
        <f>_xll.qlYieldTSDiscount($U$35,Y18392,,Trigger)</f>
        <v>0.3693365965823906</v>
      </c>
    </row>
    <row r="18393" spans="25:26" x14ac:dyDescent="0.25">
      <c r="Y18393" s="63">
        <v>60926</v>
      </c>
      <c r="Z18393" s="61">
        <f>_xll.qlYieldTSDiscount($U$35,Y18393,,Trigger)</f>
        <v>0.36931488409555491</v>
      </c>
    </row>
    <row r="18394" spans="25:26" x14ac:dyDescent="0.25">
      <c r="Y18394" s="63">
        <v>60927</v>
      </c>
      <c r="Z18394" s="61">
        <f>_xll.qlYieldTSDiscount($U$35,Y18394,,Trigger)</f>
        <v>0.36929317290903951</v>
      </c>
    </row>
    <row r="18395" spans="25:26" x14ac:dyDescent="0.25">
      <c r="Y18395" s="63">
        <v>60928</v>
      </c>
      <c r="Z18395" s="61">
        <f>_xll.qlYieldTSDiscount($U$35,Y18395,,Trigger)</f>
        <v>0.36927146302247849</v>
      </c>
    </row>
    <row r="18396" spans="25:26" x14ac:dyDescent="0.25">
      <c r="Y18396" s="63">
        <v>60929</v>
      </c>
      <c r="Z18396" s="61">
        <f>_xll.qlYieldTSDiscount($U$35,Y18396,,Trigger)</f>
        <v>0.36924975443550578</v>
      </c>
    </row>
    <row r="18397" spans="25:26" x14ac:dyDescent="0.25">
      <c r="Y18397" s="63">
        <v>60930</v>
      </c>
      <c r="Z18397" s="61">
        <f>_xll.qlYieldTSDiscount($U$35,Y18397,,Trigger)</f>
        <v>0.36922804714775548</v>
      </c>
    </row>
    <row r="18398" spans="25:26" x14ac:dyDescent="0.25">
      <c r="Y18398" s="63">
        <v>60931</v>
      </c>
      <c r="Z18398" s="61">
        <f>_xll.qlYieldTSDiscount($U$35,Y18398,,Trigger)</f>
        <v>0.36920634115886164</v>
      </c>
    </row>
    <row r="18399" spans="25:26" x14ac:dyDescent="0.25">
      <c r="Y18399" s="63">
        <v>60932</v>
      </c>
      <c r="Z18399" s="61">
        <f>_xll.qlYieldTSDiscount($U$35,Y18399,,Trigger)</f>
        <v>0.36918463646845812</v>
      </c>
    </row>
    <row r="18400" spans="25:26" x14ac:dyDescent="0.25">
      <c r="Y18400" s="63">
        <v>60933</v>
      </c>
      <c r="Z18400" s="61">
        <f>_xll.qlYieldTSDiscount($U$35,Y18400,,Trigger)</f>
        <v>0.36916293307617909</v>
      </c>
    </row>
    <row r="18401" spans="25:26" x14ac:dyDescent="0.25">
      <c r="Y18401" s="63">
        <v>60934</v>
      </c>
      <c r="Z18401" s="61">
        <f>_xll.qlYieldTSDiscount($U$35,Y18401,,Trigger)</f>
        <v>0.36914123098165863</v>
      </c>
    </row>
    <row r="18402" spans="25:26" x14ac:dyDescent="0.25">
      <c r="Y18402" s="63">
        <v>60935</v>
      </c>
      <c r="Z18402" s="61">
        <f>_xll.qlYieldTSDiscount($U$35,Y18402,,Trigger)</f>
        <v>0.36911953018453053</v>
      </c>
    </row>
    <row r="18403" spans="25:26" x14ac:dyDescent="0.25">
      <c r="Y18403" s="63">
        <v>60936</v>
      </c>
      <c r="Z18403" s="61">
        <f>_xll.qlYieldTSDiscount($U$35,Y18403,,Trigger)</f>
        <v>0.36909783068442892</v>
      </c>
    </row>
    <row r="18404" spans="25:26" x14ac:dyDescent="0.25">
      <c r="Y18404" s="63">
        <v>60937</v>
      </c>
      <c r="Z18404" s="61">
        <f>_xll.qlYieldTSDiscount($U$35,Y18404,,Trigger)</f>
        <v>0.36907613248098792</v>
      </c>
    </row>
    <row r="18405" spans="25:26" x14ac:dyDescent="0.25">
      <c r="Y18405" s="63">
        <v>60938</v>
      </c>
      <c r="Z18405" s="61">
        <f>_xll.qlYieldTSDiscount($U$35,Y18405,,Trigger)</f>
        <v>0.36905443557384149</v>
      </c>
    </row>
    <row r="18406" spans="25:26" x14ac:dyDescent="0.25">
      <c r="Y18406" s="63">
        <v>60939</v>
      </c>
      <c r="Z18406" s="61">
        <f>_xll.qlYieldTSDiscount($U$35,Y18406,,Trigger)</f>
        <v>0.36903273996262353</v>
      </c>
    </row>
    <row r="18407" spans="25:26" x14ac:dyDescent="0.25">
      <c r="Y18407" s="63">
        <v>60940</v>
      </c>
      <c r="Z18407" s="61">
        <f>_xll.qlYieldTSDiscount($U$35,Y18407,,Trigger)</f>
        <v>0.36901104564696829</v>
      </c>
    </row>
    <row r="18408" spans="25:26" x14ac:dyDescent="0.25">
      <c r="Y18408" s="63">
        <v>60941</v>
      </c>
      <c r="Z18408" s="61">
        <f>_xll.qlYieldTSDiscount($U$35,Y18408,,Trigger)</f>
        <v>0.36898935262650967</v>
      </c>
    </row>
    <row r="18409" spans="25:26" x14ac:dyDescent="0.25">
      <c r="Y18409" s="63">
        <v>60942</v>
      </c>
      <c r="Z18409" s="61">
        <f>_xll.qlYieldTSDiscount($U$35,Y18409,,Trigger)</f>
        <v>0.36896766090088162</v>
      </c>
    </row>
    <row r="18410" spans="25:26" x14ac:dyDescent="0.25">
      <c r="Y18410" s="63">
        <v>60943</v>
      </c>
      <c r="Z18410" s="61">
        <f>_xll.qlYieldTSDiscount($U$35,Y18410,,Trigger)</f>
        <v>0.36894597046971833</v>
      </c>
    </row>
    <row r="18411" spans="25:26" x14ac:dyDescent="0.25">
      <c r="Y18411" s="63">
        <v>60944</v>
      </c>
      <c r="Z18411" s="61">
        <f>_xll.qlYieldTSDiscount($U$35,Y18411,,Trigger)</f>
        <v>0.36892428133265365</v>
      </c>
    </row>
    <row r="18412" spans="25:26" x14ac:dyDescent="0.25">
      <c r="Y18412" s="63">
        <v>60945</v>
      </c>
      <c r="Z18412" s="61">
        <f>_xll.qlYieldTSDiscount($U$35,Y18412,,Trigger)</f>
        <v>0.36890259348932164</v>
      </c>
    </row>
    <row r="18413" spans="25:26" x14ac:dyDescent="0.25">
      <c r="Y18413" s="63">
        <v>60946</v>
      </c>
      <c r="Z18413" s="61">
        <f>_xll.qlYieldTSDiscount($U$35,Y18413,,Trigger)</f>
        <v>0.36888090693935638</v>
      </c>
    </row>
    <row r="18414" spans="25:26" x14ac:dyDescent="0.25">
      <c r="Y18414" s="63">
        <v>60947</v>
      </c>
      <c r="Z18414" s="61">
        <f>_xll.qlYieldTSDiscount($U$35,Y18414,,Trigger)</f>
        <v>0.36885922168239194</v>
      </c>
    </row>
    <row r="18415" spans="25:26" x14ac:dyDescent="0.25">
      <c r="Y18415" s="63">
        <v>60948</v>
      </c>
      <c r="Z18415" s="61">
        <f>_xll.qlYieldTSDiscount($U$35,Y18415,,Trigger)</f>
        <v>0.36883753771806227</v>
      </c>
    </row>
    <row r="18416" spans="25:26" x14ac:dyDescent="0.25">
      <c r="Y18416" s="63">
        <v>60949</v>
      </c>
      <c r="Z18416" s="61">
        <f>_xll.qlYieldTSDiscount($U$35,Y18416,,Trigger)</f>
        <v>0.36881585504600128</v>
      </c>
    </row>
    <row r="18417" spans="25:26" x14ac:dyDescent="0.25">
      <c r="Y18417" s="63">
        <v>60950</v>
      </c>
      <c r="Z18417" s="61">
        <f>_xll.qlYieldTSDiscount($U$35,Y18417,,Trigger)</f>
        <v>0.36879417366584327</v>
      </c>
    </row>
    <row r="18418" spans="25:26" x14ac:dyDescent="0.25">
      <c r="Y18418" s="63">
        <v>60951</v>
      </c>
      <c r="Z18418" s="61">
        <f>_xll.qlYieldTSDiscount($U$35,Y18418,,Trigger)</f>
        <v>0.36877249357722197</v>
      </c>
    </row>
    <row r="18419" spans="25:26" x14ac:dyDescent="0.25">
      <c r="Y18419" s="63">
        <v>60952</v>
      </c>
      <c r="Z18419" s="61">
        <f>_xll.qlYieldTSDiscount($U$35,Y18419,,Trigger)</f>
        <v>0.36875081477977156</v>
      </c>
    </row>
    <row r="18420" spans="25:26" x14ac:dyDescent="0.25">
      <c r="Y18420" s="63">
        <v>60953</v>
      </c>
      <c r="Z18420" s="61">
        <f>_xll.qlYieldTSDiscount($U$35,Y18420,,Trigger)</f>
        <v>0.36872913727312606</v>
      </c>
    </row>
    <row r="18421" spans="25:26" x14ac:dyDescent="0.25">
      <c r="Y18421" s="63">
        <v>60954</v>
      </c>
      <c r="Z18421" s="61">
        <f>_xll.qlYieldTSDiscount($U$35,Y18421,,Trigger)</f>
        <v>0.36870746105691954</v>
      </c>
    </row>
    <row r="18422" spans="25:26" x14ac:dyDescent="0.25">
      <c r="Y18422" s="63">
        <v>60955</v>
      </c>
      <c r="Z18422" s="61">
        <f>_xll.qlYieldTSDiscount($U$35,Y18422,,Trigger)</f>
        <v>0.36868578613078584</v>
      </c>
    </row>
    <row r="18423" spans="25:26" x14ac:dyDescent="0.25">
      <c r="Y18423" s="63">
        <v>60956</v>
      </c>
      <c r="Z18423" s="61">
        <f>_xll.qlYieldTSDiscount($U$35,Y18423,,Trigger)</f>
        <v>0.36866411249435915</v>
      </c>
    </row>
    <row r="18424" spans="25:26" x14ac:dyDescent="0.25">
      <c r="Y18424" s="63">
        <v>60957</v>
      </c>
      <c r="Z18424" s="61">
        <f>_xll.qlYieldTSDiscount($U$35,Y18424,,Trigger)</f>
        <v>0.36864244014727338</v>
      </c>
    </row>
    <row r="18425" spans="25:26" x14ac:dyDescent="0.25">
      <c r="Y18425" s="63">
        <v>60958</v>
      </c>
      <c r="Z18425" s="61">
        <f>_xll.qlYieldTSDiscount($U$35,Y18425,,Trigger)</f>
        <v>0.36862076908916258</v>
      </c>
    </row>
    <row r="18426" spans="25:26" x14ac:dyDescent="0.25">
      <c r="Y18426" s="63">
        <v>60959</v>
      </c>
      <c r="Z18426" s="61">
        <f>_xll.qlYieldTSDiscount($U$35,Y18426,,Trigger)</f>
        <v>0.36859909931966089</v>
      </c>
    </row>
    <row r="18427" spans="25:26" x14ac:dyDescent="0.25">
      <c r="Y18427" s="63">
        <v>60960</v>
      </c>
      <c r="Z18427" s="61">
        <f>_xll.qlYieldTSDiscount($U$35,Y18427,,Trigger)</f>
        <v>0.36857743083840216</v>
      </c>
    </row>
    <row r="18428" spans="25:26" x14ac:dyDescent="0.25">
      <c r="Y18428" s="63">
        <v>60961</v>
      </c>
      <c r="Z18428" s="61">
        <f>_xll.qlYieldTSDiscount($U$35,Y18428,,Trigger)</f>
        <v>0.36855576364502052</v>
      </c>
    </row>
    <row r="18429" spans="25:26" x14ac:dyDescent="0.25">
      <c r="Y18429" s="63">
        <v>60962</v>
      </c>
      <c r="Z18429" s="61">
        <f>_xll.qlYieldTSDiscount($U$35,Y18429,,Trigger)</f>
        <v>0.36853409773914991</v>
      </c>
    </row>
    <row r="18430" spans="25:26" x14ac:dyDescent="0.25">
      <c r="Y18430" s="63">
        <v>60963</v>
      </c>
      <c r="Z18430" s="61">
        <f>_xll.qlYieldTSDiscount($U$35,Y18430,,Trigger)</f>
        <v>0.36851243312042453</v>
      </c>
    </row>
    <row r="18431" spans="25:26" x14ac:dyDescent="0.25">
      <c r="Y18431" s="63">
        <v>60964</v>
      </c>
      <c r="Z18431" s="61">
        <f>_xll.qlYieldTSDiscount($U$35,Y18431,,Trigger)</f>
        <v>0.36849076978847817</v>
      </c>
    </row>
    <row r="18432" spans="25:26" x14ac:dyDescent="0.25">
      <c r="Y18432" s="63">
        <v>60965</v>
      </c>
      <c r="Z18432" s="61">
        <f>_xll.qlYieldTSDiscount($U$35,Y18432,,Trigger)</f>
        <v>0.36846910774294495</v>
      </c>
    </row>
    <row r="18433" spans="25:26" x14ac:dyDescent="0.25">
      <c r="Y18433" s="63">
        <v>60966</v>
      </c>
      <c r="Z18433" s="61">
        <f>_xll.qlYieldTSDiscount($U$35,Y18433,,Trigger)</f>
        <v>0.36844744698345894</v>
      </c>
    </row>
    <row r="18434" spans="25:26" x14ac:dyDescent="0.25">
      <c r="Y18434" s="63">
        <v>60967</v>
      </c>
      <c r="Z18434" s="61">
        <f>_xll.qlYieldTSDiscount($U$35,Y18434,,Trigger)</f>
        <v>0.3684257875096541</v>
      </c>
    </row>
    <row r="18435" spans="25:26" x14ac:dyDescent="0.25">
      <c r="Y18435" s="63">
        <v>60968</v>
      </c>
      <c r="Z18435" s="61">
        <f>_xll.qlYieldTSDiscount($U$35,Y18435,,Trigger)</f>
        <v>0.36840412932116451</v>
      </c>
    </row>
    <row r="18436" spans="25:26" x14ac:dyDescent="0.25">
      <c r="Y18436" s="63">
        <v>60969</v>
      </c>
      <c r="Z18436" s="61">
        <f>_xll.qlYieldTSDiscount($U$35,Y18436,,Trigger)</f>
        <v>0.36838247241762412</v>
      </c>
    </row>
    <row r="18437" spans="25:26" x14ac:dyDescent="0.25">
      <c r="Y18437" s="63">
        <v>60970</v>
      </c>
      <c r="Z18437" s="61">
        <f>_xll.qlYieldTSDiscount($U$35,Y18437,,Trigger)</f>
        <v>0.36836081679866695</v>
      </c>
    </row>
    <row r="18438" spans="25:26" x14ac:dyDescent="0.25">
      <c r="Y18438" s="63">
        <v>60971</v>
      </c>
      <c r="Z18438" s="61">
        <f>_xll.qlYieldTSDiscount($U$35,Y18438,,Trigger)</f>
        <v>0.36833916246392706</v>
      </c>
    </row>
    <row r="18439" spans="25:26" x14ac:dyDescent="0.25">
      <c r="Y18439" s="63">
        <v>60972</v>
      </c>
      <c r="Z18439" s="61">
        <f>_xll.qlYieldTSDiscount($U$35,Y18439,,Trigger)</f>
        <v>0.36831750941303854</v>
      </c>
    </row>
    <row r="18440" spans="25:26" x14ac:dyDescent="0.25">
      <c r="Y18440" s="63">
        <v>60973</v>
      </c>
      <c r="Z18440" s="61">
        <f>_xll.qlYieldTSDiscount($U$35,Y18440,,Trigger)</f>
        <v>0.36829585764563533</v>
      </c>
    </row>
    <row r="18441" spans="25:26" x14ac:dyDescent="0.25">
      <c r="Y18441" s="63">
        <v>60974</v>
      </c>
      <c r="Z18441" s="61">
        <f>_xll.qlYieldTSDiscount($U$35,Y18441,,Trigger)</f>
        <v>0.3682742071613514</v>
      </c>
    </row>
    <row r="18442" spans="25:26" x14ac:dyDescent="0.25">
      <c r="Y18442" s="63">
        <v>60975</v>
      </c>
      <c r="Z18442" s="61">
        <f>_xll.qlYieldTSDiscount($U$35,Y18442,,Trigger)</f>
        <v>0.36825255795982081</v>
      </c>
    </row>
    <row r="18443" spans="25:26" x14ac:dyDescent="0.25">
      <c r="Y18443" s="63">
        <v>60976</v>
      </c>
      <c r="Z18443" s="61">
        <f>_xll.qlYieldTSDiscount($U$35,Y18443,,Trigger)</f>
        <v>0.36823091004067776</v>
      </c>
    </row>
    <row r="18444" spans="25:26" x14ac:dyDescent="0.25">
      <c r="Y18444" s="63">
        <v>60977</v>
      </c>
      <c r="Z18444" s="61">
        <f>_xll.qlYieldTSDiscount($U$35,Y18444,,Trigger)</f>
        <v>0.36820926340355598</v>
      </c>
    </row>
    <row r="18445" spans="25:26" x14ac:dyDescent="0.25">
      <c r="Y18445" s="63">
        <v>60978</v>
      </c>
      <c r="Z18445" s="61">
        <f>_xll.qlYieldTSDiscount($U$35,Y18445,,Trigger)</f>
        <v>0.36818761804808964</v>
      </c>
    </row>
    <row r="18446" spans="25:26" x14ac:dyDescent="0.25">
      <c r="Y18446" s="63">
        <v>60979</v>
      </c>
      <c r="Z18446" s="61">
        <f>_xll.qlYieldTSDiscount($U$35,Y18446,,Trigger)</f>
        <v>0.36816597397391282</v>
      </c>
    </row>
    <row r="18447" spans="25:26" x14ac:dyDescent="0.25">
      <c r="Y18447" s="63">
        <v>60980</v>
      </c>
      <c r="Z18447" s="61">
        <f>_xll.qlYieldTSDiscount($U$35,Y18447,,Trigger)</f>
        <v>0.36814433118065948</v>
      </c>
    </row>
    <row r="18448" spans="25:26" x14ac:dyDescent="0.25">
      <c r="Y18448" s="63">
        <v>60981</v>
      </c>
      <c r="Z18448" s="61">
        <f>_xll.qlYieldTSDiscount($U$35,Y18448,,Trigger)</f>
        <v>0.36812268966796358</v>
      </c>
    </row>
    <row r="18449" spans="25:26" x14ac:dyDescent="0.25">
      <c r="Y18449" s="63">
        <v>60982</v>
      </c>
      <c r="Z18449" s="61">
        <f>_xll.qlYieldTSDiscount($U$35,Y18449,,Trigger)</f>
        <v>0.36810104943545924</v>
      </c>
    </row>
    <row r="18450" spans="25:26" x14ac:dyDescent="0.25">
      <c r="Y18450" s="63">
        <v>60983</v>
      </c>
      <c r="Z18450" s="61">
        <f>_xll.qlYieldTSDiscount($U$35,Y18450,,Trigger)</f>
        <v>0.36807941048278037</v>
      </c>
    </row>
    <row r="18451" spans="25:26" x14ac:dyDescent="0.25">
      <c r="Y18451" s="63">
        <v>60984</v>
      </c>
      <c r="Z18451" s="61">
        <f>_xll.qlYieldTSDiscount($U$35,Y18451,,Trigger)</f>
        <v>0.36805777280956109</v>
      </c>
    </row>
    <row r="18452" spans="25:26" x14ac:dyDescent="0.25">
      <c r="Y18452" s="63">
        <v>60985</v>
      </c>
      <c r="Z18452" s="61">
        <f>_xll.qlYieldTSDiscount($U$35,Y18452,,Trigger)</f>
        <v>0.36803613641543542</v>
      </c>
    </row>
    <row r="18453" spans="25:26" x14ac:dyDescent="0.25">
      <c r="Y18453" s="63">
        <v>60986</v>
      </c>
      <c r="Z18453" s="61">
        <f>_xll.qlYieldTSDiscount($U$35,Y18453,,Trigger)</f>
        <v>0.36801450130003732</v>
      </c>
    </row>
    <row r="18454" spans="25:26" x14ac:dyDescent="0.25">
      <c r="Y18454" s="63">
        <v>60987</v>
      </c>
      <c r="Z18454" s="61">
        <f>_xll.qlYieldTSDiscount($U$35,Y18454,,Trigger)</f>
        <v>0.36799286746300092</v>
      </c>
    </row>
    <row r="18455" spans="25:26" x14ac:dyDescent="0.25">
      <c r="Y18455" s="63">
        <v>60988</v>
      </c>
      <c r="Z18455" s="61">
        <f>_xll.qlYieldTSDiscount($U$35,Y18455,,Trigger)</f>
        <v>0.36797123490396022</v>
      </c>
    </row>
    <row r="18456" spans="25:26" x14ac:dyDescent="0.25">
      <c r="Y18456" s="63">
        <v>60989</v>
      </c>
      <c r="Z18456" s="61">
        <f>_xll.qlYieldTSDiscount($U$35,Y18456,,Trigger)</f>
        <v>0.36794960362254903</v>
      </c>
    </row>
    <row r="18457" spans="25:26" x14ac:dyDescent="0.25">
      <c r="Y18457" s="63">
        <v>60990</v>
      </c>
      <c r="Z18457" s="61">
        <f>_xll.qlYieldTSDiscount($U$35,Y18457,,Trigger)</f>
        <v>0.36792797361840157</v>
      </c>
    </row>
    <row r="18458" spans="25:26" x14ac:dyDescent="0.25">
      <c r="Y18458" s="63">
        <v>60991</v>
      </c>
      <c r="Z18458" s="61">
        <f>_xll.qlYieldTSDiscount($U$35,Y18458,,Trigger)</f>
        <v>0.36790634489115182</v>
      </c>
    </row>
    <row r="18459" spans="25:26" x14ac:dyDescent="0.25">
      <c r="Y18459" s="63">
        <v>60992</v>
      </c>
      <c r="Z18459" s="61">
        <f>_xll.qlYieldTSDiscount($U$35,Y18459,,Trigger)</f>
        <v>0.36788471744043388</v>
      </c>
    </row>
    <row r="18460" spans="25:26" x14ac:dyDescent="0.25">
      <c r="Y18460" s="63">
        <v>60993</v>
      </c>
      <c r="Z18460" s="61">
        <f>_xll.qlYieldTSDiscount($U$35,Y18460,,Trigger)</f>
        <v>0.36786309126588163</v>
      </c>
    </row>
    <row r="18461" spans="25:26" x14ac:dyDescent="0.25">
      <c r="Y18461" s="63">
        <v>60994</v>
      </c>
      <c r="Z18461" s="61">
        <f>_xll.qlYieldTSDiscount($U$35,Y18461,,Trigger)</f>
        <v>0.36784146636712917</v>
      </c>
    </row>
    <row r="18462" spans="25:26" x14ac:dyDescent="0.25">
      <c r="Y18462" s="63">
        <v>60995</v>
      </c>
      <c r="Z18462" s="61">
        <f>_xll.qlYieldTSDiscount($U$35,Y18462,,Trigger)</f>
        <v>0.36781984274381058</v>
      </c>
    </row>
    <row r="18463" spans="25:26" x14ac:dyDescent="0.25">
      <c r="Y18463" s="63">
        <v>60996</v>
      </c>
      <c r="Z18463" s="61">
        <f>_xll.qlYieldTSDiscount($U$35,Y18463,,Trigger)</f>
        <v>0.36779822039555971</v>
      </c>
    </row>
    <row r="18464" spans="25:26" x14ac:dyDescent="0.25">
      <c r="Y18464" s="63">
        <v>60997</v>
      </c>
      <c r="Z18464" s="61">
        <f>_xll.qlYieldTSDiscount($U$35,Y18464,,Trigger)</f>
        <v>0.36777659932201079</v>
      </c>
    </row>
    <row r="18465" spans="25:26" x14ac:dyDescent="0.25">
      <c r="Y18465" s="63">
        <v>60998</v>
      </c>
      <c r="Z18465" s="61">
        <f>_xll.qlYieldTSDiscount($U$35,Y18465,,Trigger)</f>
        <v>0.36775497952279768</v>
      </c>
    </row>
    <row r="18466" spans="25:26" x14ac:dyDescent="0.25">
      <c r="Y18466" s="63">
        <v>60999</v>
      </c>
      <c r="Z18466" s="61">
        <f>_xll.qlYieldTSDiscount($U$35,Y18466,,Trigger)</f>
        <v>0.36773336099755444</v>
      </c>
    </row>
    <row r="18467" spans="25:26" x14ac:dyDescent="0.25">
      <c r="Y18467" s="63">
        <v>61000</v>
      </c>
      <c r="Z18467" s="61">
        <f>_xll.qlYieldTSDiscount($U$35,Y18467,,Trigger)</f>
        <v>0.36771174374591514</v>
      </c>
    </row>
    <row r="18468" spans="25:26" x14ac:dyDescent="0.25">
      <c r="Y18468" s="63">
        <v>61001</v>
      </c>
      <c r="Z18468" s="61">
        <f>_xll.qlYieldTSDiscount($U$35,Y18468,,Trigger)</f>
        <v>0.36769012776751375</v>
      </c>
    </row>
    <row r="18469" spans="25:26" x14ac:dyDescent="0.25">
      <c r="Y18469" s="63">
        <v>61002</v>
      </c>
      <c r="Z18469" s="61">
        <f>_xll.qlYieldTSDiscount($U$35,Y18469,,Trigger)</f>
        <v>0.36766851306198434</v>
      </c>
    </row>
    <row r="18470" spans="25:26" x14ac:dyDescent="0.25">
      <c r="Y18470" s="63">
        <v>61003</v>
      </c>
      <c r="Z18470" s="61">
        <f>_xll.qlYieldTSDiscount($U$35,Y18470,,Trigger)</f>
        <v>0.36764689962896091</v>
      </c>
    </row>
    <row r="18471" spans="25:26" x14ac:dyDescent="0.25">
      <c r="Y18471" s="63">
        <v>61004</v>
      </c>
      <c r="Z18471" s="61">
        <f>_xll.qlYieldTSDiscount($U$35,Y18471,,Trigger)</f>
        <v>0.36762528746807754</v>
      </c>
    </row>
    <row r="18472" spans="25:26" x14ac:dyDescent="0.25">
      <c r="Y18472" s="63">
        <v>61005</v>
      </c>
      <c r="Z18472" s="61">
        <f>_xll.qlYieldTSDiscount($U$35,Y18472,,Trigger)</f>
        <v>0.36760367657896803</v>
      </c>
    </row>
    <row r="18473" spans="25:26" x14ac:dyDescent="0.25">
      <c r="Y18473" s="63">
        <v>61006</v>
      </c>
      <c r="Z18473" s="61">
        <f>_xll.qlYieldTSDiscount($U$35,Y18473,,Trigger)</f>
        <v>0.36758206696126666</v>
      </c>
    </row>
    <row r="18474" spans="25:26" x14ac:dyDescent="0.25">
      <c r="Y18474" s="63">
        <v>61007</v>
      </c>
      <c r="Z18474" s="61">
        <f>_xll.qlYieldTSDiscount($U$35,Y18474,,Trigger)</f>
        <v>0.36756045861460729</v>
      </c>
    </row>
    <row r="18475" spans="25:26" x14ac:dyDescent="0.25">
      <c r="Y18475" s="63">
        <v>61008</v>
      </c>
      <c r="Z18475" s="61">
        <f>_xll.qlYieldTSDiscount($U$35,Y18475,,Trigger)</f>
        <v>0.36753885153862409</v>
      </c>
    </row>
    <row r="18476" spans="25:26" x14ac:dyDescent="0.25">
      <c r="Y18476" s="63">
        <v>61009</v>
      </c>
      <c r="Z18476" s="61">
        <f>_xll.qlYieldTSDiscount($U$35,Y18476,,Trigger)</f>
        <v>0.36751724573295097</v>
      </c>
    </row>
    <row r="18477" spans="25:26" x14ac:dyDescent="0.25">
      <c r="Y18477" s="63">
        <v>61010</v>
      </c>
      <c r="Z18477" s="61">
        <f>_xll.qlYieldTSDiscount($U$35,Y18477,,Trigger)</f>
        <v>0.367495641197222</v>
      </c>
    </row>
    <row r="18478" spans="25:26" x14ac:dyDescent="0.25">
      <c r="Y18478" s="63">
        <v>61011</v>
      </c>
      <c r="Z18478" s="61">
        <f>_xll.qlYieldTSDiscount($U$35,Y18478,,Trigger)</f>
        <v>0.3674740379310712</v>
      </c>
    </row>
    <row r="18479" spans="25:26" x14ac:dyDescent="0.25">
      <c r="Y18479" s="63">
        <v>61012</v>
      </c>
      <c r="Z18479" s="61">
        <f>_xll.qlYieldTSDiscount($U$35,Y18479,,Trigger)</f>
        <v>0.36745243593413246</v>
      </c>
    </row>
    <row r="18480" spans="25:26" x14ac:dyDescent="0.25">
      <c r="Y18480" s="63">
        <v>61013</v>
      </c>
      <c r="Z18480" s="61">
        <f>_xll.qlYieldTSDiscount($U$35,Y18480,,Trigger)</f>
        <v>0.36743083520604003</v>
      </c>
    </row>
    <row r="18481" spans="25:26" x14ac:dyDescent="0.25">
      <c r="Y18481" s="63">
        <v>61014</v>
      </c>
      <c r="Z18481" s="61">
        <f>_xll.qlYieldTSDiscount($U$35,Y18481,,Trigger)</f>
        <v>0.36740923574642781</v>
      </c>
    </row>
    <row r="18482" spans="25:26" x14ac:dyDescent="0.25">
      <c r="Y18482" s="63">
        <v>61015</v>
      </c>
      <c r="Z18482" s="61">
        <f>_xll.qlYieldTSDiscount($U$35,Y18482,,Trigger)</f>
        <v>0.36738763755492976</v>
      </c>
    </row>
    <row r="18483" spans="25:26" x14ac:dyDescent="0.25">
      <c r="Y18483" s="63">
        <v>61016</v>
      </c>
      <c r="Z18483" s="61">
        <f>_xll.qlYieldTSDiscount($U$35,Y18483,,Trigger)</f>
        <v>0.36736604063117995</v>
      </c>
    </row>
    <row r="18484" spans="25:26" x14ac:dyDescent="0.25">
      <c r="Y18484" s="63">
        <v>61017</v>
      </c>
      <c r="Z18484" s="61">
        <f>_xll.qlYieldTSDiscount($U$35,Y18484,,Trigger)</f>
        <v>0.36734444497481256</v>
      </c>
    </row>
    <row r="18485" spans="25:26" x14ac:dyDescent="0.25">
      <c r="Y18485" s="63">
        <v>61018</v>
      </c>
      <c r="Z18485" s="61">
        <f>_xll.qlYieldTSDiscount($U$35,Y18485,,Trigger)</f>
        <v>0.36732285058546138</v>
      </c>
    </row>
    <row r="18486" spans="25:26" x14ac:dyDescent="0.25">
      <c r="Y18486" s="63">
        <v>61019</v>
      </c>
      <c r="Z18486" s="61">
        <f>_xll.qlYieldTSDiscount($U$35,Y18486,,Trigger)</f>
        <v>0.36730125746276054</v>
      </c>
    </row>
    <row r="18487" spans="25:26" x14ac:dyDescent="0.25">
      <c r="Y18487" s="63">
        <v>61020</v>
      </c>
      <c r="Z18487" s="61">
        <f>_xll.qlYieldTSDiscount($U$35,Y18487,,Trigger)</f>
        <v>0.36727966560634406</v>
      </c>
    </row>
    <row r="18488" spans="25:26" x14ac:dyDescent="0.25">
      <c r="Y18488" s="63">
        <v>61021</v>
      </c>
      <c r="Z18488" s="61">
        <f>_xll.qlYieldTSDiscount($U$35,Y18488,,Trigger)</f>
        <v>0.36725807501584595</v>
      </c>
    </row>
    <row r="18489" spans="25:26" x14ac:dyDescent="0.25">
      <c r="Y18489" s="63">
        <v>61022</v>
      </c>
      <c r="Z18489" s="61">
        <f>_xll.qlYieldTSDiscount($U$35,Y18489,,Trigger)</f>
        <v>0.36723648569090017</v>
      </c>
    </row>
    <row r="18490" spans="25:26" x14ac:dyDescent="0.25">
      <c r="Y18490" s="63">
        <v>61023</v>
      </c>
      <c r="Z18490" s="61">
        <f>_xll.qlYieldTSDiscount($U$35,Y18490,,Trigger)</f>
        <v>0.3672148976311409</v>
      </c>
    </row>
    <row r="18491" spans="25:26" x14ac:dyDescent="0.25">
      <c r="Y18491" s="63">
        <v>61024</v>
      </c>
      <c r="Z18491" s="61">
        <f>_xll.qlYieldTSDiscount($U$35,Y18491,,Trigger)</f>
        <v>0.36719331083620199</v>
      </c>
    </row>
    <row r="18492" spans="25:26" x14ac:dyDescent="0.25">
      <c r="Y18492" s="63">
        <v>61025</v>
      </c>
      <c r="Z18492" s="61">
        <f>_xll.qlYieldTSDiscount($U$35,Y18492,,Trigger)</f>
        <v>0.36717172530571762</v>
      </c>
    </row>
    <row r="18493" spans="25:26" x14ac:dyDescent="0.25">
      <c r="Y18493" s="63">
        <v>61026</v>
      </c>
      <c r="Z18493" s="61">
        <f>_xll.qlYieldTSDiscount($U$35,Y18493,,Trigger)</f>
        <v>0.36715014103932164</v>
      </c>
    </row>
    <row r="18494" spans="25:26" x14ac:dyDescent="0.25">
      <c r="Y18494" s="63">
        <v>61027</v>
      </c>
      <c r="Z18494" s="61">
        <f>_xll.qlYieldTSDiscount($U$35,Y18494,,Trigger)</f>
        <v>0.36712855803664823</v>
      </c>
    </row>
    <row r="18495" spans="25:26" x14ac:dyDescent="0.25">
      <c r="Y18495" s="63">
        <v>61028</v>
      </c>
      <c r="Z18495" s="61">
        <f>_xll.qlYieldTSDiscount($U$35,Y18495,,Trigger)</f>
        <v>0.3671069762973313</v>
      </c>
    </row>
    <row r="18496" spans="25:26" x14ac:dyDescent="0.25">
      <c r="Y18496" s="63">
        <v>61029</v>
      </c>
      <c r="Z18496" s="61">
        <f>_xll.qlYieldTSDiscount($U$35,Y18496,,Trigger)</f>
        <v>0.36708539582100497</v>
      </c>
    </row>
    <row r="18497" spans="25:26" x14ac:dyDescent="0.25">
      <c r="Y18497" s="63">
        <v>61030</v>
      </c>
      <c r="Z18497" s="61">
        <f>_xll.qlYieldTSDiscount($U$35,Y18497,,Trigger)</f>
        <v>0.36706381660730319</v>
      </c>
    </row>
    <row r="18498" spans="25:26" x14ac:dyDescent="0.25">
      <c r="Y18498" s="63">
        <v>61031</v>
      </c>
      <c r="Z18498" s="61">
        <f>_xll.qlYieldTSDiscount($U$35,Y18498,,Trigger)</f>
        <v>0.36704223865585994</v>
      </c>
    </row>
    <row r="18499" spans="25:26" x14ac:dyDescent="0.25">
      <c r="Y18499" s="63">
        <v>61032</v>
      </c>
      <c r="Z18499" s="61">
        <f>_xll.qlYieldTSDiscount($U$35,Y18499,,Trigger)</f>
        <v>0.36702066196630934</v>
      </c>
    </row>
    <row r="18500" spans="25:26" x14ac:dyDescent="0.25">
      <c r="Y18500" s="63">
        <v>61033</v>
      </c>
      <c r="Z18500" s="61">
        <f>_xll.qlYieldTSDiscount($U$35,Y18500,,Trigger)</f>
        <v>0.36699908653828539</v>
      </c>
    </row>
    <row r="18501" spans="25:26" x14ac:dyDescent="0.25">
      <c r="Y18501" s="63">
        <v>61034</v>
      </c>
      <c r="Z18501" s="61">
        <f>_xll.qlYieldTSDiscount($U$35,Y18501,,Trigger)</f>
        <v>0.36697751237142207</v>
      </c>
    </row>
    <row r="18502" spans="25:26" x14ac:dyDescent="0.25">
      <c r="Y18502" s="63">
        <v>61035</v>
      </c>
      <c r="Z18502" s="61">
        <f>_xll.qlYieldTSDiscount($U$35,Y18502,,Trigger)</f>
        <v>0.36695593946535343</v>
      </c>
    </row>
    <row r="18503" spans="25:26" x14ac:dyDescent="0.25">
      <c r="Y18503" s="63">
        <v>61036</v>
      </c>
      <c r="Z18503" s="61">
        <f>_xll.qlYieldTSDiscount($U$35,Y18503,,Trigger)</f>
        <v>0.36693436781971345</v>
      </c>
    </row>
    <row r="18504" spans="25:26" x14ac:dyDescent="0.25">
      <c r="Y18504" s="63">
        <v>61037</v>
      </c>
      <c r="Z18504" s="61">
        <f>_xll.qlYieldTSDiscount($U$35,Y18504,,Trigger)</f>
        <v>0.3669127974341363</v>
      </c>
    </row>
    <row r="18505" spans="25:26" x14ac:dyDescent="0.25">
      <c r="Y18505" s="63">
        <v>61038</v>
      </c>
      <c r="Z18505" s="61">
        <f>_xll.qlYieldTSDiscount($U$35,Y18505,,Trigger)</f>
        <v>0.36689122830825582</v>
      </c>
    </row>
    <row r="18506" spans="25:26" x14ac:dyDescent="0.25">
      <c r="Y18506" s="63">
        <v>61039</v>
      </c>
      <c r="Z18506" s="61">
        <f>_xll.qlYieldTSDiscount($U$35,Y18506,,Trigger)</f>
        <v>0.3668696604417061</v>
      </c>
    </row>
    <row r="18507" spans="25:26" x14ac:dyDescent="0.25">
      <c r="Y18507" s="63">
        <v>61040</v>
      </c>
      <c r="Z18507" s="61">
        <f>_xll.qlYieldTSDiscount($U$35,Y18507,,Trigger)</f>
        <v>0.3668480938341212</v>
      </c>
    </row>
    <row r="18508" spans="25:26" x14ac:dyDescent="0.25">
      <c r="Y18508" s="63">
        <v>61041</v>
      </c>
      <c r="Z18508" s="61">
        <f>_xll.qlYieldTSDiscount($U$35,Y18508,,Trigger)</f>
        <v>0.36682652848513508</v>
      </c>
    </row>
    <row r="18509" spans="25:26" x14ac:dyDescent="0.25">
      <c r="Y18509" s="63">
        <v>61042</v>
      </c>
      <c r="Z18509" s="61">
        <f>_xll.qlYieldTSDiscount($U$35,Y18509,,Trigger)</f>
        <v>0.36680496439438176</v>
      </c>
    </row>
    <row r="18510" spans="25:26" x14ac:dyDescent="0.25">
      <c r="Y18510" s="63">
        <v>61043</v>
      </c>
      <c r="Z18510" s="61">
        <f>_xll.qlYieldTSDiscount($U$35,Y18510,,Trigger)</f>
        <v>0.36678340156149536</v>
      </c>
    </row>
    <row r="18511" spans="25:26" x14ac:dyDescent="0.25">
      <c r="Y18511" s="63">
        <v>61044</v>
      </c>
      <c r="Z18511" s="61">
        <f>_xll.qlYieldTSDiscount($U$35,Y18511,,Trigger)</f>
        <v>0.36676183998610978</v>
      </c>
    </row>
    <row r="18512" spans="25:26" x14ac:dyDescent="0.25">
      <c r="Y18512" s="63">
        <v>61045</v>
      </c>
      <c r="Z18512" s="61">
        <f>_xll.qlYieldTSDiscount($U$35,Y18512,,Trigger)</f>
        <v>0.3667402796678591</v>
      </c>
    </row>
    <row r="18513" spans="25:26" x14ac:dyDescent="0.25">
      <c r="Y18513" s="63">
        <v>61046</v>
      </c>
      <c r="Z18513" s="61">
        <f>_xll.qlYieldTSDiscount($U$35,Y18513,,Trigger)</f>
        <v>0.36671872060637745</v>
      </c>
    </row>
    <row r="18514" spans="25:26" x14ac:dyDescent="0.25">
      <c r="Y18514" s="63">
        <v>61047</v>
      </c>
      <c r="Z18514" s="61">
        <f>_xll.qlYieldTSDiscount($U$35,Y18514,,Trigger)</f>
        <v>0.3666971628012986</v>
      </c>
    </row>
    <row r="18515" spans="25:26" x14ac:dyDescent="0.25">
      <c r="Y18515" s="63">
        <v>61048</v>
      </c>
      <c r="Z18515" s="61">
        <f>_xll.qlYieldTSDiscount($U$35,Y18515,,Trigger)</f>
        <v>0.3666756062522567</v>
      </c>
    </row>
    <row r="18516" spans="25:26" x14ac:dyDescent="0.25">
      <c r="Y18516" s="63">
        <v>61049</v>
      </c>
      <c r="Z18516" s="61">
        <f>_xll.qlYieldTSDiscount($U$35,Y18516,,Trigger)</f>
        <v>0.36665405095888592</v>
      </c>
    </row>
    <row r="18517" spans="25:26" x14ac:dyDescent="0.25">
      <c r="Y18517" s="63">
        <v>61050</v>
      </c>
      <c r="Z18517" s="61">
        <f>_xll.qlYieldTSDiscount($U$35,Y18517,,Trigger)</f>
        <v>0.36663249692082001</v>
      </c>
    </row>
    <row r="18518" spans="25:26" x14ac:dyDescent="0.25">
      <c r="Y18518" s="63">
        <v>61051</v>
      </c>
      <c r="Z18518" s="61">
        <f>_xll.qlYieldTSDiscount($U$35,Y18518,,Trigger)</f>
        <v>0.36661094413769313</v>
      </c>
    </row>
    <row r="18519" spans="25:26" x14ac:dyDescent="0.25">
      <c r="Y18519" s="63">
        <v>61052</v>
      </c>
      <c r="Z18519" s="61">
        <f>_xll.qlYieldTSDiscount($U$35,Y18519,,Trigger)</f>
        <v>0.36658939260913936</v>
      </c>
    </row>
    <row r="18520" spans="25:26" x14ac:dyDescent="0.25">
      <c r="Y18520" s="63">
        <v>61053</v>
      </c>
      <c r="Z18520" s="61">
        <f>_xll.qlYieldTSDiscount($U$35,Y18520,,Trigger)</f>
        <v>0.36656784233479267</v>
      </c>
    </row>
    <row r="18521" spans="25:26" x14ac:dyDescent="0.25">
      <c r="Y18521" s="63">
        <v>61054</v>
      </c>
      <c r="Z18521" s="61">
        <f>_xll.qlYieldTSDiscount($U$35,Y18521,,Trigger)</f>
        <v>0.36654629331428706</v>
      </c>
    </row>
    <row r="18522" spans="25:26" x14ac:dyDescent="0.25">
      <c r="Y18522" s="63">
        <v>61055</v>
      </c>
      <c r="Z18522" s="61">
        <f>_xll.qlYieldTSDiscount($U$35,Y18522,,Trigger)</f>
        <v>0.36652474554725645</v>
      </c>
    </row>
    <row r="18523" spans="25:26" x14ac:dyDescent="0.25">
      <c r="Y18523" s="63">
        <v>61056</v>
      </c>
      <c r="Z18523" s="61">
        <f>_xll.qlYieldTSDiscount($U$35,Y18523,,Trigger)</f>
        <v>0.36650319903333517</v>
      </c>
    </row>
    <row r="18524" spans="25:26" x14ac:dyDescent="0.25">
      <c r="Y18524" s="63">
        <v>61057</v>
      </c>
      <c r="Z18524" s="61">
        <f>_xll.qlYieldTSDiscount($U$35,Y18524,,Trigger)</f>
        <v>0.36648165377215697</v>
      </c>
    </row>
    <row r="18525" spans="25:26" x14ac:dyDescent="0.25">
      <c r="Y18525" s="63">
        <v>61058</v>
      </c>
      <c r="Z18525" s="61">
        <f>_xll.qlYieldTSDiscount($U$35,Y18525,,Trigger)</f>
        <v>0.36646010976335586</v>
      </c>
    </row>
    <row r="18526" spans="25:26" x14ac:dyDescent="0.25">
      <c r="Y18526" s="63">
        <v>61059</v>
      </c>
      <c r="Z18526" s="61">
        <f>_xll.qlYieldTSDiscount($U$35,Y18526,,Trigger)</f>
        <v>0.36643856700656607</v>
      </c>
    </row>
    <row r="18527" spans="25:26" x14ac:dyDescent="0.25">
      <c r="Y18527" s="63">
        <v>61060</v>
      </c>
      <c r="Z18527" s="61">
        <f>_xll.qlYieldTSDiscount($U$35,Y18527,,Trigger)</f>
        <v>0.36641702550142141</v>
      </c>
    </row>
    <row r="18528" spans="25:26" x14ac:dyDescent="0.25">
      <c r="Y18528" s="63">
        <v>61061</v>
      </c>
      <c r="Z18528" s="61">
        <f>_xll.qlYieldTSDiscount($U$35,Y18528,,Trigger)</f>
        <v>0.36639548524755605</v>
      </c>
    </row>
    <row r="18529" spans="25:26" x14ac:dyDescent="0.25">
      <c r="Y18529" s="63">
        <v>61062</v>
      </c>
      <c r="Z18529" s="61">
        <f>_xll.qlYieldTSDiscount($U$35,Y18529,,Trigger)</f>
        <v>0.36637394624460395</v>
      </c>
    </row>
    <row r="18530" spans="25:26" x14ac:dyDescent="0.25">
      <c r="Y18530" s="63">
        <v>61063</v>
      </c>
      <c r="Z18530" s="61">
        <f>_xll.qlYieldTSDiscount($U$35,Y18530,,Trigger)</f>
        <v>0.36635240849219919</v>
      </c>
    </row>
    <row r="18531" spans="25:26" x14ac:dyDescent="0.25">
      <c r="Y18531" s="63">
        <v>61064</v>
      </c>
      <c r="Z18531" s="61">
        <f>_xll.qlYieldTSDiscount($U$35,Y18531,,Trigger)</f>
        <v>0.3663308719899756</v>
      </c>
    </row>
    <row r="18532" spans="25:26" x14ac:dyDescent="0.25">
      <c r="Y18532" s="63">
        <v>61065</v>
      </c>
      <c r="Z18532" s="61">
        <f>_xll.qlYieldTSDiscount($U$35,Y18532,,Trigger)</f>
        <v>0.36630933673756744</v>
      </c>
    </row>
    <row r="18533" spans="25:26" x14ac:dyDescent="0.25">
      <c r="Y18533" s="63">
        <v>61066</v>
      </c>
      <c r="Z18533" s="61">
        <f>_xll.qlYieldTSDiscount($U$35,Y18533,,Trigger)</f>
        <v>0.3662878027346087</v>
      </c>
    </row>
    <row r="18534" spans="25:26" x14ac:dyDescent="0.25">
      <c r="Y18534" s="63">
        <v>61067</v>
      </c>
      <c r="Z18534" s="61">
        <f>_xll.qlYieldTSDiscount($U$35,Y18534,,Trigger)</f>
        <v>0.36626626998073319</v>
      </c>
    </row>
    <row r="18535" spans="25:26" x14ac:dyDescent="0.25">
      <c r="Y18535" s="63">
        <v>61068</v>
      </c>
      <c r="Z18535" s="61">
        <f>_xll.qlYieldTSDiscount($U$35,Y18535,,Trigger)</f>
        <v>0.36624473847557515</v>
      </c>
    </row>
    <row r="18536" spans="25:26" x14ac:dyDescent="0.25">
      <c r="Y18536" s="63">
        <v>61069</v>
      </c>
      <c r="Z18536" s="61">
        <f>_xll.qlYieldTSDiscount($U$35,Y18536,,Trigger)</f>
        <v>0.36622320821876853</v>
      </c>
    </row>
    <row r="18537" spans="25:26" x14ac:dyDescent="0.25">
      <c r="Y18537" s="63">
        <v>61070</v>
      </c>
      <c r="Z18537" s="61">
        <f>_xll.qlYieldTSDiscount($U$35,Y18537,,Trigger)</f>
        <v>0.36620167920994739</v>
      </c>
    </row>
    <row r="18538" spans="25:26" x14ac:dyDescent="0.25">
      <c r="Y18538" s="63">
        <v>61071</v>
      </c>
      <c r="Z18538" s="61">
        <f>_xll.qlYieldTSDiscount($U$35,Y18538,,Trigger)</f>
        <v>0.36618015144874561</v>
      </c>
    </row>
    <row r="18539" spans="25:26" x14ac:dyDescent="0.25">
      <c r="Y18539" s="63">
        <v>61072</v>
      </c>
      <c r="Z18539" s="61">
        <f>_xll.qlYieldTSDiscount($U$35,Y18539,,Trigger)</f>
        <v>0.36615862493479745</v>
      </c>
    </row>
    <row r="18540" spans="25:26" x14ac:dyDescent="0.25">
      <c r="Y18540" s="63">
        <v>61073</v>
      </c>
      <c r="Z18540" s="61">
        <f>_xll.qlYieldTSDiscount($U$35,Y18540,,Trigger)</f>
        <v>0.36613709966773672</v>
      </c>
    </row>
    <row r="18541" spans="25:26" x14ac:dyDescent="0.25">
      <c r="Y18541" s="63">
        <v>61074</v>
      </c>
      <c r="Z18541" s="61">
        <f>_xll.qlYieldTSDiscount($U$35,Y18541,,Trigger)</f>
        <v>0.36611557564719754</v>
      </c>
    </row>
    <row r="18542" spans="25:26" x14ac:dyDescent="0.25">
      <c r="Y18542" s="63">
        <v>61075</v>
      </c>
      <c r="Z18542" s="61">
        <f>_xll.qlYieldTSDiscount($U$35,Y18542,,Trigger)</f>
        <v>0.36609405287281394</v>
      </c>
    </row>
    <row r="18543" spans="25:26" x14ac:dyDescent="0.25">
      <c r="Y18543" s="63">
        <v>61076</v>
      </c>
      <c r="Z18543" s="61">
        <f>_xll.qlYieldTSDiscount($U$35,Y18543,,Trigger)</f>
        <v>0.3660725313442198</v>
      </c>
    </row>
    <row r="18544" spans="25:26" x14ac:dyDescent="0.25">
      <c r="Y18544" s="63">
        <v>61077</v>
      </c>
      <c r="Z18544" s="61">
        <f>_xll.qlYieldTSDiscount($U$35,Y18544,,Trigger)</f>
        <v>0.36605101106104931</v>
      </c>
    </row>
    <row r="18545" spans="25:26" x14ac:dyDescent="0.25">
      <c r="Y18545" s="63">
        <v>61078</v>
      </c>
      <c r="Z18545" s="61">
        <f>_xll.qlYieldTSDiscount($U$35,Y18545,,Trigger)</f>
        <v>0.36602949202293655</v>
      </c>
    </row>
    <row r="18546" spans="25:26" x14ac:dyDescent="0.25">
      <c r="Y18546" s="63">
        <v>61079</v>
      </c>
      <c r="Z18546" s="61">
        <f>_xll.qlYieldTSDiscount($U$35,Y18546,,Trigger)</f>
        <v>0.36600797422951525</v>
      </c>
    </row>
    <row r="18547" spans="25:26" x14ac:dyDescent="0.25">
      <c r="Y18547" s="63">
        <v>61080</v>
      </c>
      <c r="Z18547" s="61">
        <f>_xll.qlYieldTSDiscount($U$35,Y18547,,Trigger)</f>
        <v>0.36598645768041971</v>
      </c>
    </row>
    <row r="18548" spans="25:26" x14ac:dyDescent="0.25">
      <c r="Y18548" s="63">
        <v>61081</v>
      </c>
      <c r="Z18548" s="61">
        <f>_xll.qlYieldTSDiscount($U$35,Y18548,,Trigger)</f>
        <v>0.36596494237528382</v>
      </c>
    </row>
    <row r="18549" spans="25:26" x14ac:dyDescent="0.25">
      <c r="Y18549" s="63">
        <v>61082</v>
      </c>
      <c r="Z18549" s="61">
        <f>_xll.qlYieldTSDiscount($U$35,Y18549,,Trigger)</f>
        <v>0.36594342831374171</v>
      </c>
    </row>
    <row r="18550" spans="25:26" x14ac:dyDescent="0.25">
      <c r="Y18550" s="63">
        <v>61083</v>
      </c>
      <c r="Z18550" s="61">
        <f>_xll.qlYieldTSDiscount($U$35,Y18550,,Trigger)</f>
        <v>0.36592191549542719</v>
      </c>
    </row>
    <row r="18551" spans="25:26" x14ac:dyDescent="0.25">
      <c r="Y18551" s="63">
        <v>61084</v>
      </c>
      <c r="Z18551" s="61">
        <f>_xll.qlYieldTSDiscount($U$35,Y18551,,Trigger)</f>
        <v>0.36590040391997453</v>
      </c>
    </row>
    <row r="18552" spans="25:26" x14ac:dyDescent="0.25">
      <c r="Y18552" s="63">
        <v>61085</v>
      </c>
      <c r="Z18552" s="61">
        <f>_xll.qlYieldTSDiscount($U$35,Y18552,,Trigger)</f>
        <v>0.36587889358701764</v>
      </c>
    </row>
    <row r="18553" spans="25:26" x14ac:dyDescent="0.25">
      <c r="Y18553" s="63">
        <v>61086</v>
      </c>
      <c r="Z18553" s="61">
        <f>_xll.qlYieldTSDiscount($U$35,Y18553,,Trigger)</f>
        <v>0.36585738449619043</v>
      </c>
    </row>
    <row r="18554" spans="25:26" x14ac:dyDescent="0.25">
      <c r="Y18554" s="63">
        <v>61087</v>
      </c>
      <c r="Z18554" s="61">
        <f>_xll.qlYieldTSDiscount($U$35,Y18554,,Trigger)</f>
        <v>0.36583587664712713</v>
      </c>
    </row>
    <row r="18555" spans="25:26" x14ac:dyDescent="0.25">
      <c r="Y18555" s="63">
        <v>61088</v>
      </c>
      <c r="Z18555" s="61">
        <f>_xll.qlYieldTSDiscount($U$35,Y18555,,Trigger)</f>
        <v>0.36581437003946166</v>
      </c>
    </row>
    <row r="18556" spans="25:26" x14ac:dyDescent="0.25">
      <c r="Y18556" s="63">
        <v>61089</v>
      </c>
      <c r="Z18556" s="61">
        <f>_xll.qlYieldTSDiscount($U$35,Y18556,,Trigger)</f>
        <v>0.36579286467282801</v>
      </c>
    </row>
    <row r="18557" spans="25:26" x14ac:dyDescent="0.25">
      <c r="Y18557" s="63">
        <v>61090</v>
      </c>
      <c r="Z18557" s="61">
        <f>_xll.qlYieldTSDiscount($U$35,Y18557,,Trigger)</f>
        <v>0.36577136054686027</v>
      </c>
    </row>
    <row r="18558" spans="25:26" x14ac:dyDescent="0.25">
      <c r="Y18558" s="63">
        <v>61091</v>
      </c>
      <c r="Z18558" s="61">
        <f>_xll.qlYieldTSDiscount($U$35,Y18558,,Trigger)</f>
        <v>0.3657498576611925</v>
      </c>
    </row>
    <row r="18559" spans="25:26" x14ac:dyDescent="0.25">
      <c r="Y18559" s="63">
        <v>61092</v>
      </c>
      <c r="Z18559" s="61">
        <f>_xll.qlYieldTSDiscount($U$35,Y18559,,Trigger)</f>
        <v>0.3657283560154585</v>
      </c>
    </row>
    <row r="18560" spans="25:26" x14ac:dyDescent="0.25">
      <c r="Y18560" s="63">
        <v>61093</v>
      </c>
      <c r="Z18560" s="61">
        <f>_xll.qlYieldTSDiscount($U$35,Y18560,,Trigger)</f>
        <v>0.3657068556092925</v>
      </c>
    </row>
    <row r="18561" spans="25:26" x14ac:dyDescent="0.25">
      <c r="Y18561" s="63">
        <v>61094</v>
      </c>
      <c r="Z18561" s="61">
        <f>_xll.qlYieldTSDiscount($U$35,Y18561,,Trigger)</f>
        <v>0.36568535644232852</v>
      </c>
    </row>
    <row r="18562" spans="25:26" x14ac:dyDescent="0.25">
      <c r="Y18562" s="63">
        <v>61095</v>
      </c>
      <c r="Z18562" s="61">
        <f>_xll.qlYieldTSDiscount($U$35,Y18562,,Trigger)</f>
        <v>0.36566385851420047</v>
      </c>
    </row>
    <row r="18563" spans="25:26" x14ac:dyDescent="0.25">
      <c r="Y18563" s="63">
        <v>61096</v>
      </c>
      <c r="Z18563" s="61">
        <f>_xll.qlYieldTSDiscount($U$35,Y18563,,Trigger)</f>
        <v>0.36564236182454246</v>
      </c>
    </row>
    <row r="18564" spans="25:26" x14ac:dyDescent="0.25">
      <c r="Y18564" s="63">
        <v>61097</v>
      </c>
      <c r="Z18564" s="61">
        <f>_xll.qlYieldTSDiscount($U$35,Y18564,,Trigger)</f>
        <v>0.36562086637298841</v>
      </c>
    </row>
    <row r="18565" spans="25:26" x14ac:dyDescent="0.25">
      <c r="Y18565" s="63">
        <v>61098</v>
      </c>
      <c r="Z18565" s="61">
        <f>_xll.qlYieldTSDiscount($U$35,Y18565,,Trigger)</f>
        <v>0.3655993721591726</v>
      </c>
    </row>
    <row r="18566" spans="25:26" x14ac:dyDescent="0.25">
      <c r="Y18566" s="63">
        <v>61099</v>
      </c>
      <c r="Z18566" s="61">
        <f>_xll.qlYieldTSDiscount($U$35,Y18566,,Trigger)</f>
        <v>0.36557787918272872</v>
      </c>
    </row>
    <row r="18567" spans="25:26" x14ac:dyDescent="0.25">
      <c r="Y18567" s="63">
        <v>61100</v>
      </c>
      <c r="Z18567" s="61">
        <f>_xll.qlYieldTSDiscount($U$35,Y18567,,Trigger)</f>
        <v>0.36555638744329089</v>
      </c>
    </row>
    <row r="18568" spans="25:26" x14ac:dyDescent="0.25">
      <c r="Y18568" s="63">
        <v>61101</v>
      </c>
      <c r="Z18568" s="61">
        <f>_xll.qlYieldTSDiscount($U$35,Y18568,,Trigger)</f>
        <v>0.36553489694049335</v>
      </c>
    </row>
    <row r="18569" spans="25:26" x14ac:dyDescent="0.25">
      <c r="Y18569" s="63">
        <v>61102</v>
      </c>
      <c r="Z18569" s="61">
        <f>_xll.qlYieldTSDiscount($U$35,Y18569,,Trigger)</f>
        <v>0.36551340767396978</v>
      </c>
    </row>
    <row r="18570" spans="25:26" x14ac:dyDescent="0.25">
      <c r="Y18570" s="63">
        <v>61103</v>
      </c>
      <c r="Z18570" s="61">
        <f>_xll.qlYieldTSDiscount($U$35,Y18570,,Trigger)</f>
        <v>0.36549191964335448</v>
      </c>
    </row>
    <row r="18571" spans="25:26" x14ac:dyDescent="0.25">
      <c r="Y18571" s="63">
        <v>61104</v>
      </c>
      <c r="Z18571" s="61">
        <f>_xll.qlYieldTSDiscount($U$35,Y18571,,Trigger)</f>
        <v>0.36547043284828135</v>
      </c>
    </row>
    <row r="18572" spans="25:26" x14ac:dyDescent="0.25">
      <c r="Y18572" s="63">
        <v>61105</v>
      </c>
      <c r="Z18572" s="61">
        <f>_xll.qlYieldTSDiscount($U$35,Y18572,,Trigger)</f>
        <v>0.3654489472883844</v>
      </c>
    </row>
    <row r="18573" spans="25:26" x14ac:dyDescent="0.25">
      <c r="Y18573" s="63">
        <v>61106</v>
      </c>
      <c r="Z18573" s="61">
        <f>_xll.qlYieldTSDiscount($U$35,Y18573,,Trigger)</f>
        <v>0.36542746296329764</v>
      </c>
    </row>
    <row r="18574" spans="25:26" x14ac:dyDescent="0.25">
      <c r="Y18574" s="63">
        <v>61107</v>
      </c>
      <c r="Z18574" s="61">
        <f>_xll.qlYieldTSDiscount($U$35,Y18574,,Trigger)</f>
        <v>0.36540597987265522</v>
      </c>
    </row>
    <row r="18575" spans="25:26" x14ac:dyDescent="0.25">
      <c r="Y18575" s="63">
        <v>61108</v>
      </c>
      <c r="Z18575" s="61">
        <f>_xll.qlYieldTSDiscount($U$35,Y18575,,Trigger)</f>
        <v>0.36538449801609107</v>
      </c>
    </row>
    <row r="18576" spans="25:26" x14ac:dyDescent="0.25">
      <c r="Y18576" s="63">
        <v>61109</v>
      </c>
      <c r="Z18576" s="61">
        <f>_xll.qlYieldTSDiscount($U$35,Y18576,,Trigger)</f>
        <v>0.36536301739323918</v>
      </c>
    </row>
    <row r="18577" spans="25:26" x14ac:dyDescent="0.25">
      <c r="Y18577" s="63">
        <v>61110</v>
      </c>
      <c r="Z18577" s="61">
        <f>_xll.qlYieldTSDiscount($U$35,Y18577,,Trigger)</f>
        <v>0.36534153800373348</v>
      </c>
    </row>
    <row r="18578" spans="25:26" x14ac:dyDescent="0.25">
      <c r="Y18578" s="63">
        <v>61111</v>
      </c>
      <c r="Z18578" s="61">
        <f>_xll.qlYieldTSDiscount($U$35,Y18578,,Trigger)</f>
        <v>0.36532005984720833</v>
      </c>
    </row>
    <row r="18579" spans="25:26" x14ac:dyDescent="0.25">
      <c r="Y18579" s="63">
        <v>61112</v>
      </c>
      <c r="Z18579" s="61">
        <f>_xll.qlYieldTSDiscount($U$35,Y18579,,Trigger)</f>
        <v>0.36529858292329742</v>
      </c>
    </row>
    <row r="18580" spans="25:26" x14ac:dyDescent="0.25">
      <c r="Y18580" s="63">
        <v>61113</v>
      </c>
      <c r="Z18580" s="61">
        <f>_xll.qlYieldTSDiscount($U$35,Y18580,,Trigger)</f>
        <v>0.36527710723163498</v>
      </c>
    </row>
    <row r="18581" spans="25:26" x14ac:dyDescent="0.25">
      <c r="Y18581" s="63">
        <v>61114</v>
      </c>
      <c r="Z18581" s="61">
        <f>_xll.qlYieldTSDiscount($U$35,Y18581,,Trigger)</f>
        <v>0.36525563277185485</v>
      </c>
    </row>
    <row r="18582" spans="25:26" x14ac:dyDescent="0.25">
      <c r="Y18582" s="63">
        <v>61115</v>
      </c>
      <c r="Z18582" s="61">
        <f>_xll.qlYieldTSDiscount($U$35,Y18582,,Trigger)</f>
        <v>0.36523415954359117</v>
      </c>
    </row>
    <row r="18583" spans="25:26" x14ac:dyDescent="0.25">
      <c r="Y18583" s="63">
        <v>61116</v>
      </c>
      <c r="Z18583" s="61">
        <f>_xll.qlYieldTSDiscount($U$35,Y18583,,Trigger)</f>
        <v>0.36521268754647795</v>
      </c>
    </row>
    <row r="18584" spans="25:26" x14ac:dyDescent="0.25">
      <c r="Y18584" s="63">
        <v>61117</v>
      </c>
      <c r="Z18584" s="61">
        <f>_xll.qlYieldTSDiscount($U$35,Y18584,,Trigger)</f>
        <v>0.36519121678014921</v>
      </c>
    </row>
    <row r="18585" spans="25:26" x14ac:dyDescent="0.25">
      <c r="Y18585" s="63">
        <v>61118</v>
      </c>
      <c r="Z18585" s="61">
        <f>_xll.qlYieldTSDiscount($U$35,Y18585,,Trigger)</f>
        <v>0.36516974724423901</v>
      </c>
    </row>
    <row r="18586" spans="25:26" x14ac:dyDescent="0.25">
      <c r="Y18586" s="63">
        <v>61119</v>
      </c>
      <c r="Z18586" s="61">
        <f>_xll.qlYieldTSDiscount($U$35,Y18586,,Trigger)</f>
        <v>0.3651482789383812</v>
      </c>
    </row>
    <row r="18587" spans="25:26" x14ac:dyDescent="0.25">
      <c r="Y18587" s="63">
        <v>61120</v>
      </c>
      <c r="Z18587" s="61">
        <f>_xll.qlYieldTSDiscount($U$35,Y18587,,Trigger)</f>
        <v>0.36512681186221008</v>
      </c>
    </row>
    <row r="18588" spans="25:26" x14ac:dyDescent="0.25">
      <c r="Y18588" s="63">
        <v>61121</v>
      </c>
      <c r="Z18588" s="61">
        <f>_xll.qlYieldTSDiscount($U$35,Y18588,,Trigger)</f>
        <v>0.36510534601535938</v>
      </c>
    </row>
    <row r="18589" spans="25:26" x14ac:dyDescent="0.25">
      <c r="Y18589" s="63">
        <v>61122</v>
      </c>
      <c r="Z18589" s="61">
        <f>_xll.qlYieldTSDiscount($U$35,Y18589,,Trigger)</f>
        <v>0.36508388139746328</v>
      </c>
    </row>
    <row r="18590" spans="25:26" x14ac:dyDescent="0.25">
      <c r="Y18590" s="63">
        <v>61123</v>
      </c>
      <c r="Z18590" s="61">
        <f>_xll.qlYieldTSDiscount($U$35,Y18590,,Trigger)</f>
        <v>0.36506241800815586</v>
      </c>
    </row>
    <row r="18591" spans="25:26" x14ac:dyDescent="0.25">
      <c r="Y18591" s="63">
        <v>61124</v>
      </c>
      <c r="Z18591" s="61">
        <f>_xll.qlYieldTSDiscount($U$35,Y18591,,Trigger)</f>
        <v>0.36504095584707097</v>
      </c>
    </row>
    <row r="18592" spans="25:26" x14ac:dyDescent="0.25">
      <c r="Y18592" s="63">
        <v>61125</v>
      </c>
      <c r="Z18592" s="61">
        <f>_xll.qlYieldTSDiscount($U$35,Y18592,,Trigger)</f>
        <v>0.36501949491384278</v>
      </c>
    </row>
    <row r="18593" spans="25:26" x14ac:dyDescent="0.25">
      <c r="Y18593" s="63">
        <v>61126</v>
      </c>
      <c r="Z18593" s="61">
        <f>_xll.qlYieldTSDiscount($U$35,Y18593,,Trigger)</f>
        <v>0.3649980352081052</v>
      </c>
    </row>
    <row r="18594" spans="25:26" x14ac:dyDescent="0.25">
      <c r="Y18594" s="63">
        <v>61127</v>
      </c>
      <c r="Z18594" s="61">
        <f>_xll.qlYieldTSDiscount($U$35,Y18594,,Trigger)</f>
        <v>0.36497657672949235</v>
      </c>
    </row>
    <row r="18595" spans="25:26" x14ac:dyDescent="0.25">
      <c r="Y18595" s="63">
        <v>61128</v>
      </c>
      <c r="Z18595" s="61">
        <f>_xll.qlYieldTSDiscount($U$35,Y18595,,Trigger)</f>
        <v>0.3649551194776382</v>
      </c>
    </row>
    <row r="18596" spans="25:26" x14ac:dyDescent="0.25">
      <c r="Y18596" s="63">
        <v>61129</v>
      </c>
      <c r="Z18596" s="61">
        <f>_xll.qlYieldTSDiscount($U$35,Y18596,,Trigger)</f>
        <v>0.36493366345217682</v>
      </c>
    </row>
    <row r="18597" spans="25:26" x14ac:dyDescent="0.25">
      <c r="Y18597" s="63">
        <v>61130</v>
      </c>
      <c r="Z18597" s="61">
        <f>_xll.qlYieldTSDiscount($U$35,Y18597,,Trigger)</f>
        <v>0.36491220865274221</v>
      </c>
    </row>
    <row r="18598" spans="25:26" x14ac:dyDescent="0.25">
      <c r="Y18598" s="63">
        <v>61131</v>
      </c>
      <c r="Z18598" s="61">
        <f>_xll.qlYieldTSDiscount($U$35,Y18598,,Trigger)</f>
        <v>0.36489075507896829</v>
      </c>
    </row>
    <row r="18599" spans="25:26" x14ac:dyDescent="0.25">
      <c r="Y18599" s="63">
        <v>61132</v>
      </c>
      <c r="Z18599" s="61">
        <f>_xll.qlYieldTSDiscount($U$35,Y18599,,Trigger)</f>
        <v>0.36486930273048918</v>
      </c>
    </row>
    <row r="18600" spans="25:26" x14ac:dyDescent="0.25">
      <c r="Y18600" s="63">
        <v>61133</v>
      </c>
      <c r="Z18600" s="61">
        <f>_xll.qlYieldTSDiscount($U$35,Y18600,,Trigger)</f>
        <v>0.36484785160693894</v>
      </c>
    </row>
    <row r="18601" spans="25:26" x14ac:dyDescent="0.25">
      <c r="Y18601" s="63">
        <v>61134</v>
      </c>
      <c r="Z18601" s="61">
        <f>_xll.qlYieldTSDiscount($U$35,Y18601,,Trigger)</f>
        <v>0.36482640170795155</v>
      </c>
    </row>
    <row r="18602" spans="25:26" x14ac:dyDescent="0.25">
      <c r="Y18602" s="63">
        <v>61135</v>
      </c>
      <c r="Z18602" s="61">
        <f>_xll.qlYieldTSDiscount($U$35,Y18602,,Trigger)</f>
        <v>0.36480495303316096</v>
      </c>
    </row>
    <row r="18603" spans="25:26" x14ac:dyDescent="0.25">
      <c r="Y18603" s="63">
        <v>61136</v>
      </c>
      <c r="Z18603" s="61">
        <f>_xll.qlYieldTSDiscount($U$35,Y18603,,Trigger)</f>
        <v>0.3647835055822013</v>
      </c>
    </row>
    <row r="18604" spans="25:26" x14ac:dyDescent="0.25">
      <c r="Y18604" s="63">
        <v>61137</v>
      </c>
      <c r="Z18604" s="61">
        <f>_xll.qlYieldTSDiscount($U$35,Y18604,,Trigger)</f>
        <v>0.36476205935470651</v>
      </c>
    </row>
    <row r="18605" spans="25:26" x14ac:dyDescent="0.25">
      <c r="Y18605" s="63">
        <v>61138</v>
      </c>
      <c r="Z18605" s="61">
        <f>_xll.qlYieldTSDiscount($U$35,Y18605,,Trigger)</f>
        <v>0.36474061435031069</v>
      </c>
    </row>
    <row r="18606" spans="25:26" x14ac:dyDescent="0.25">
      <c r="Y18606" s="63">
        <v>61139</v>
      </c>
      <c r="Z18606" s="61">
        <f>_xll.qlYieldTSDiscount($U$35,Y18606,,Trigger)</f>
        <v>0.36471917056864783</v>
      </c>
    </row>
    <row r="18607" spans="25:26" x14ac:dyDescent="0.25">
      <c r="Y18607" s="63">
        <v>61140</v>
      </c>
      <c r="Z18607" s="61">
        <f>_xll.qlYieldTSDiscount($U$35,Y18607,,Trigger)</f>
        <v>0.36469772800935191</v>
      </c>
    </row>
    <row r="18608" spans="25:26" x14ac:dyDescent="0.25">
      <c r="Y18608" s="63">
        <v>61141</v>
      </c>
      <c r="Z18608" s="61">
        <f>_xll.qlYieldTSDiscount($U$35,Y18608,,Trigger)</f>
        <v>0.36467628667205698</v>
      </c>
    </row>
    <row r="18609" spans="25:26" x14ac:dyDescent="0.25">
      <c r="Y18609" s="63">
        <v>61142</v>
      </c>
      <c r="Z18609" s="61">
        <f>_xll.qlYieldTSDiscount($U$35,Y18609,,Trigger)</f>
        <v>0.36465484655639702</v>
      </c>
    </row>
    <row r="18610" spans="25:26" x14ac:dyDescent="0.25">
      <c r="Y18610" s="63">
        <v>61143</v>
      </c>
      <c r="Z18610" s="61">
        <f>_xll.qlYieldTSDiscount($U$35,Y18610,,Trigger)</f>
        <v>0.36463340766200625</v>
      </c>
    </row>
    <row r="18611" spans="25:26" x14ac:dyDescent="0.25">
      <c r="Y18611" s="63">
        <v>61144</v>
      </c>
      <c r="Z18611" s="61">
        <f>_xll.qlYieldTSDiscount($U$35,Y18611,,Trigger)</f>
        <v>0.36461196998851841</v>
      </c>
    </row>
    <row r="18612" spans="25:26" x14ac:dyDescent="0.25">
      <c r="Y18612" s="63">
        <v>61145</v>
      </c>
      <c r="Z18612" s="61">
        <f>_xll.qlYieldTSDiscount($U$35,Y18612,,Trigger)</f>
        <v>0.36459053353556758</v>
      </c>
    </row>
    <row r="18613" spans="25:26" x14ac:dyDescent="0.25">
      <c r="Y18613" s="63">
        <v>61146</v>
      </c>
      <c r="Z18613" s="61">
        <f>_xll.qlYieldTSDiscount($U$35,Y18613,,Trigger)</f>
        <v>0.36456909830278805</v>
      </c>
    </row>
    <row r="18614" spans="25:26" x14ac:dyDescent="0.25">
      <c r="Y18614" s="63">
        <v>61147</v>
      </c>
      <c r="Z18614" s="61">
        <f>_xll.qlYieldTSDiscount($U$35,Y18614,,Trigger)</f>
        <v>0.36454766428981356</v>
      </c>
    </row>
    <row r="18615" spans="25:26" x14ac:dyDescent="0.25">
      <c r="Y18615" s="63">
        <v>61148</v>
      </c>
      <c r="Z18615" s="61">
        <f>_xll.qlYieldTSDiscount($U$35,Y18615,,Trigger)</f>
        <v>0.36452623149627816</v>
      </c>
    </row>
    <row r="18616" spans="25:26" x14ac:dyDescent="0.25">
      <c r="Y18616" s="63">
        <v>61149</v>
      </c>
      <c r="Z18616" s="61">
        <f>_xll.qlYieldTSDiscount($U$35,Y18616,,Trigger)</f>
        <v>0.36450479992181606</v>
      </c>
    </row>
    <row r="18617" spans="25:26" x14ac:dyDescent="0.25">
      <c r="Y18617" s="63">
        <v>61150</v>
      </c>
      <c r="Z18617" s="61">
        <f>_xll.qlYieldTSDiscount($U$35,Y18617,,Trigger)</f>
        <v>0.36448336956606098</v>
      </c>
    </row>
    <row r="18618" spans="25:26" x14ac:dyDescent="0.25">
      <c r="Y18618" s="63">
        <v>61151</v>
      </c>
      <c r="Z18618" s="61">
        <f>_xll.qlYieldTSDiscount($U$35,Y18618,,Trigger)</f>
        <v>0.36446194042864721</v>
      </c>
    </row>
    <row r="18619" spans="25:26" x14ac:dyDescent="0.25">
      <c r="Y18619" s="63">
        <v>61152</v>
      </c>
      <c r="Z18619" s="61">
        <f>_xll.qlYieldTSDiscount($U$35,Y18619,,Trigger)</f>
        <v>0.36444051250920872</v>
      </c>
    </row>
    <row r="18620" spans="25:26" x14ac:dyDescent="0.25">
      <c r="Y18620" s="63">
        <v>61153</v>
      </c>
      <c r="Z18620" s="61">
        <f>_xll.qlYieldTSDiscount($U$35,Y18620,,Trigger)</f>
        <v>0.36441908580737942</v>
      </c>
    </row>
    <row r="18621" spans="25:26" x14ac:dyDescent="0.25">
      <c r="Y18621" s="63">
        <v>61154</v>
      </c>
      <c r="Z18621" s="61">
        <f>_xll.qlYieldTSDiscount($U$35,Y18621,,Trigger)</f>
        <v>0.36439766032279342</v>
      </c>
    </row>
    <row r="18622" spans="25:26" x14ac:dyDescent="0.25">
      <c r="Y18622" s="63">
        <v>61155</v>
      </c>
      <c r="Z18622" s="61">
        <f>_xll.qlYieldTSDiscount($U$35,Y18622,,Trigger)</f>
        <v>0.36437623605508462</v>
      </c>
    </row>
    <row r="18623" spans="25:26" x14ac:dyDescent="0.25">
      <c r="Y18623" s="63">
        <v>61156</v>
      </c>
      <c r="Z18623" s="61">
        <f>_xll.qlYieldTSDiscount($U$35,Y18623,,Trigger)</f>
        <v>0.36435481300388728</v>
      </c>
    </row>
    <row r="18624" spans="25:26" x14ac:dyDescent="0.25">
      <c r="Y18624" s="63">
        <v>61157</v>
      </c>
      <c r="Z18624" s="61">
        <f>_xll.qlYieldTSDiscount($U$35,Y18624,,Trigger)</f>
        <v>0.36433339116883523</v>
      </c>
    </row>
    <row r="18625" spans="25:26" x14ac:dyDescent="0.25">
      <c r="Y18625" s="63">
        <v>61158</v>
      </c>
      <c r="Z18625" s="61">
        <f>_xll.qlYieldTSDiscount($U$35,Y18625,,Trigger)</f>
        <v>0.36431197054956255</v>
      </c>
    </row>
    <row r="18626" spans="25:26" x14ac:dyDescent="0.25">
      <c r="Y18626" s="63">
        <v>61159</v>
      </c>
      <c r="Z18626" s="61">
        <f>_xll.qlYieldTSDiscount($U$35,Y18626,,Trigger)</f>
        <v>0.3642905511457033</v>
      </c>
    </row>
    <row r="18627" spans="25:26" x14ac:dyDescent="0.25">
      <c r="Y18627" s="63">
        <v>61160</v>
      </c>
      <c r="Z18627" s="61">
        <f>_xll.qlYieldTSDiscount($U$35,Y18627,,Trigger)</f>
        <v>0.36426913295689145</v>
      </c>
    </row>
    <row r="18628" spans="25:26" x14ac:dyDescent="0.25">
      <c r="Y18628" s="63">
        <v>61161</v>
      </c>
      <c r="Z18628" s="61">
        <f>_xll.qlYieldTSDiscount($U$35,Y18628,,Trigger)</f>
        <v>0.36424771598276096</v>
      </c>
    </row>
    <row r="18629" spans="25:26" x14ac:dyDescent="0.25">
      <c r="Y18629" s="63">
        <v>61162</v>
      </c>
      <c r="Z18629" s="61">
        <f>_xll.qlYieldTSDiscount($U$35,Y18629,,Trigger)</f>
        <v>0.364226300222946</v>
      </c>
    </row>
    <row r="18630" spans="25:26" x14ac:dyDescent="0.25">
      <c r="Y18630" s="63">
        <v>61163</v>
      </c>
      <c r="Z18630" s="61">
        <f>_xll.qlYieldTSDiscount($U$35,Y18630,,Trigger)</f>
        <v>0.36420488567708048</v>
      </c>
    </row>
    <row r="18631" spans="25:26" x14ac:dyDescent="0.25">
      <c r="Y18631" s="63">
        <v>61164</v>
      </c>
      <c r="Z18631" s="61">
        <f>_xll.qlYieldTSDiscount($U$35,Y18631,,Trigger)</f>
        <v>0.36418347234479842</v>
      </c>
    </row>
    <row r="18632" spans="25:26" x14ac:dyDescent="0.25">
      <c r="Y18632" s="63">
        <v>61165</v>
      </c>
      <c r="Z18632" s="61">
        <f>_xll.qlYieldTSDiscount($U$35,Y18632,,Trigger)</f>
        <v>0.36416206022573394</v>
      </c>
    </row>
    <row r="18633" spans="25:26" x14ac:dyDescent="0.25">
      <c r="Y18633" s="63">
        <v>61166</v>
      </c>
      <c r="Z18633" s="61">
        <f>_xll.qlYieldTSDiscount($U$35,Y18633,,Trigger)</f>
        <v>0.36414064931952095</v>
      </c>
    </row>
    <row r="18634" spans="25:26" x14ac:dyDescent="0.25">
      <c r="Y18634" s="63">
        <v>61167</v>
      </c>
      <c r="Z18634" s="61">
        <f>_xll.qlYieldTSDiscount($U$35,Y18634,,Trigger)</f>
        <v>0.36411923962579357</v>
      </c>
    </row>
    <row r="18635" spans="25:26" x14ac:dyDescent="0.25">
      <c r="Y18635" s="63">
        <v>61168</v>
      </c>
      <c r="Z18635" s="61">
        <f>_xll.qlYieldTSDiscount($U$35,Y18635,,Trigger)</f>
        <v>0.36409783114418581</v>
      </c>
    </row>
    <row r="18636" spans="25:26" x14ac:dyDescent="0.25">
      <c r="Y18636" s="63">
        <v>61169</v>
      </c>
      <c r="Z18636" s="61">
        <f>_xll.qlYieldTSDiscount($U$35,Y18636,,Trigger)</f>
        <v>0.36407642387433159</v>
      </c>
    </row>
    <row r="18637" spans="25:26" x14ac:dyDescent="0.25">
      <c r="Y18637" s="63">
        <v>61170</v>
      </c>
      <c r="Z18637" s="61">
        <f>_xll.qlYieldTSDiscount($U$35,Y18637,,Trigger)</f>
        <v>0.36405501781586497</v>
      </c>
    </row>
    <row r="18638" spans="25:26" x14ac:dyDescent="0.25">
      <c r="Y18638" s="63">
        <v>61171</v>
      </c>
      <c r="Z18638" s="61">
        <f>_xll.qlYieldTSDiscount($U$35,Y18638,,Trigger)</f>
        <v>0.36403361296842007</v>
      </c>
    </row>
    <row r="18639" spans="25:26" x14ac:dyDescent="0.25">
      <c r="Y18639" s="63">
        <v>61172</v>
      </c>
      <c r="Z18639" s="61">
        <f>_xll.qlYieldTSDiscount($U$35,Y18639,,Trigger)</f>
        <v>0.36401220933163081</v>
      </c>
    </row>
    <row r="18640" spans="25:26" x14ac:dyDescent="0.25">
      <c r="Y18640" s="63">
        <v>61173</v>
      </c>
      <c r="Z18640" s="61">
        <f>_xll.qlYieldTSDiscount($U$35,Y18640,,Trigger)</f>
        <v>0.36399080690513125</v>
      </c>
    </row>
    <row r="18641" spans="25:26" x14ac:dyDescent="0.25">
      <c r="Y18641" s="63">
        <v>61174</v>
      </c>
      <c r="Z18641" s="61">
        <f>_xll.qlYieldTSDiscount($U$35,Y18641,,Trigger)</f>
        <v>0.3639694056885554</v>
      </c>
    </row>
    <row r="18642" spans="25:26" x14ac:dyDescent="0.25">
      <c r="Y18642" s="63">
        <v>61175</v>
      </c>
      <c r="Z18642" s="61">
        <f>_xll.qlYieldTSDiscount($U$35,Y18642,,Trigger)</f>
        <v>0.36394800568153729</v>
      </c>
    </row>
    <row r="18643" spans="25:26" x14ac:dyDescent="0.25">
      <c r="Y18643" s="63">
        <v>61176</v>
      </c>
      <c r="Z18643" s="61">
        <f>_xll.qlYieldTSDiscount($U$35,Y18643,,Trigger)</f>
        <v>0.36392660688371098</v>
      </c>
    </row>
    <row r="18644" spans="25:26" x14ac:dyDescent="0.25">
      <c r="Y18644" s="63">
        <v>61177</v>
      </c>
      <c r="Z18644" s="61">
        <f>_xll.qlYieldTSDiscount($U$35,Y18644,,Trigger)</f>
        <v>0.36390520929471037</v>
      </c>
    </row>
    <row r="18645" spans="25:26" x14ac:dyDescent="0.25">
      <c r="Y18645" s="63">
        <v>61178</v>
      </c>
      <c r="Z18645" s="61">
        <f>_xll.qlYieldTSDiscount($U$35,Y18645,,Trigger)</f>
        <v>0.36388381291416966</v>
      </c>
    </row>
    <row r="18646" spans="25:26" x14ac:dyDescent="0.25">
      <c r="Y18646" s="63">
        <v>61179</v>
      </c>
      <c r="Z18646" s="61">
        <f>_xll.qlYieldTSDiscount($U$35,Y18646,,Trigger)</f>
        <v>0.36386241774172268</v>
      </c>
    </row>
    <row r="18647" spans="25:26" x14ac:dyDescent="0.25">
      <c r="Y18647" s="63">
        <v>61180</v>
      </c>
      <c r="Z18647" s="61">
        <f>_xll.qlYieldTSDiscount($U$35,Y18647,,Trigger)</f>
        <v>0.36384102377700361</v>
      </c>
    </row>
    <row r="18648" spans="25:26" x14ac:dyDescent="0.25">
      <c r="Y18648" s="63">
        <v>61181</v>
      </c>
      <c r="Z18648" s="61">
        <f>_xll.qlYieldTSDiscount($U$35,Y18648,,Trigger)</f>
        <v>0.36381963101964643</v>
      </c>
    </row>
    <row r="18649" spans="25:26" x14ac:dyDescent="0.25">
      <c r="Y18649" s="63">
        <v>61182</v>
      </c>
      <c r="Z18649" s="61">
        <f>_xll.qlYieldTSDiscount($U$35,Y18649,,Trigger)</f>
        <v>0.36379823946928502</v>
      </c>
    </row>
    <row r="18650" spans="25:26" x14ac:dyDescent="0.25">
      <c r="Y18650" s="63">
        <v>61183</v>
      </c>
      <c r="Z18650" s="61">
        <f>_xll.qlYieldTSDiscount($U$35,Y18650,,Trigger)</f>
        <v>0.36377684912555364</v>
      </c>
    </row>
    <row r="18651" spans="25:26" x14ac:dyDescent="0.25">
      <c r="Y18651" s="63">
        <v>61184</v>
      </c>
      <c r="Z18651" s="61">
        <f>_xll.qlYieldTSDiscount($U$35,Y18651,,Trigger)</f>
        <v>0.36375545998808612</v>
      </c>
    </row>
    <row r="18652" spans="25:26" x14ac:dyDescent="0.25">
      <c r="Y18652" s="63">
        <v>61185</v>
      </c>
      <c r="Z18652" s="61">
        <f>_xll.qlYieldTSDiscount($U$35,Y18652,,Trigger)</f>
        <v>0.36373407205651664</v>
      </c>
    </row>
    <row r="18653" spans="25:26" x14ac:dyDescent="0.25">
      <c r="Y18653" s="63">
        <v>61186</v>
      </c>
      <c r="Z18653" s="61">
        <f>_xll.qlYieldTSDiscount($U$35,Y18653,,Trigger)</f>
        <v>0.36371268533047907</v>
      </c>
    </row>
    <row r="18654" spans="25:26" x14ac:dyDescent="0.25">
      <c r="Y18654" s="63">
        <v>61187</v>
      </c>
      <c r="Z18654" s="61">
        <f>_xll.qlYieldTSDiscount($U$35,Y18654,,Trigger)</f>
        <v>0.36369129980960746</v>
      </c>
    </row>
    <row r="18655" spans="25:26" x14ac:dyDescent="0.25">
      <c r="Y18655" s="63">
        <v>61188</v>
      </c>
      <c r="Z18655" s="61">
        <f>_xll.qlYieldTSDiscount($U$35,Y18655,,Trigger)</f>
        <v>0.363669915493536</v>
      </c>
    </row>
    <row r="18656" spans="25:26" x14ac:dyDescent="0.25">
      <c r="Y18656" s="63">
        <v>61189</v>
      </c>
      <c r="Z18656" s="61">
        <f>_xll.qlYieldTSDiscount($U$35,Y18656,,Trigger)</f>
        <v>0.36364853238189843</v>
      </c>
    </row>
    <row r="18657" spans="25:26" x14ac:dyDescent="0.25">
      <c r="Y18657" s="63">
        <v>61190</v>
      </c>
      <c r="Z18657" s="61">
        <f>_xll.qlYieldTSDiscount($U$35,Y18657,,Trigger)</f>
        <v>0.36362715047432903</v>
      </c>
    </row>
    <row r="18658" spans="25:26" x14ac:dyDescent="0.25">
      <c r="Y18658" s="63">
        <v>61191</v>
      </c>
      <c r="Z18658" s="61">
        <f>_xll.qlYieldTSDiscount($U$35,Y18658,,Trigger)</f>
        <v>0.36360576977046177</v>
      </c>
    </row>
    <row r="18659" spans="25:26" x14ac:dyDescent="0.25">
      <c r="Y18659" s="63">
        <v>61192</v>
      </c>
      <c r="Z18659" s="61">
        <f>_xll.qlYieldTSDiscount($U$35,Y18659,,Trigger)</f>
        <v>0.3635843902699305</v>
      </c>
    </row>
    <row r="18660" spans="25:26" x14ac:dyDescent="0.25">
      <c r="Y18660" s="63">
        <v>61193</v>
      </c>
      <c r="Z18660" s="61">
        <f>_xll.qlYieldTSDiscount($U$35,Y18660,,Trigger)</f>
        <v>0.3635630119723694</v>
      </c>
    </row>
    <row r="18661" spans="25:26" x14ac:dyDescent="0.25">
      <c r="Y18661" s="63">
        <v>61194</v>
      </c>
      <c r="Z18661" s="61">
        <f>_xll.qlYieldTSDiscount($U$35,Y18661,,Trigger)</f>
        <v>0.36354163487741253</v>
      </c>
    </row>
    <row r="18662" spans="25:26" x14ac:dyDescent="0.25">
      <c r="Y18662" s="63">
        <v>61195</v>
      </c>
      <c r="Z18662" s="61">
        <f>_xll.qlYieldTSDiscount($U$35,Y18662,,Trigger)</f>
        <v>0.36352025898469376</v>
      </c>
    </row>
    <row r="18663" spans="25:26" x14ac:dyDescent="0.25">
      <c r="Y18663" s="63">
        <v>61196</v>
      </c>
      <c r="Z18663" s="61">
        <f>_xll.qlYieldTSDiscount($U$35,Y18663,,Trigger)</f>
        <v>0.36349888429384714</v>
      </c>
    </row>
    <row r="18664" spans="25:26" x14ac:dyDescent="0.25">
      <c r="Y18664" s="63">
        <v>61197</v>
      </c>
      <c r="Z18664" s="61">
        <f>_xll.qlYieldTSDiscount($U$35,Y18664,,Trigger)</f>
        <v>0.36347751080450685</v>
      </c>
    </row>
    <row r="18665" spans="25:26" x14ac:dyDescent="0.25">
      <c r="Y18665" s="63">
        <v>61198</v>
      </c>
      <c r="Z18665" s="61">
        <f>_xll.qlYieldTSDiscount($U$35,Y18665,,Trigger)</f>
        <v>0.36345613851630676</v>
      </c>
    </row>
    <row r="18666" spans="25:26" x14ac:dyDescent="0.25">
      <c r="Y18666" s="63">
        <v>61199</v>
      </c>
      <c r="Z18666" s="61">
        <f>_xll.qlYieldTSDiscount($U$35,Y18666,,Trigger)</f>
        <v>0.36343476742888081</v>
      </c>
    </row>
    <row r="18667" spans="25:26" x14ac:dyDescent="0.25">
      <c r="Y18667" s="63">
        <v>61200</v>
      </c>
      <c r="Z18667" s="61">
        <f>_xll.qlYieldTSDiscount($U$35,Y18667,,Trigger)</f>
        <v>0.36341339754186325</v>
      </c>
    </row>
    <row r="18668" spans="25:26" x14ac:dyDescent="0.25">
      <c r="Y18668" s="63">
        <v>61201</v>
      </c>
      <c r="Z18668" s="61">
        <f>_xll.qlYieldTSDiscount($U$35,Y18668,,Trigger)</f>
        <v>0.36339202885488808</v>
      </c>
    </row>
    <row r="18669" spans="25:26" x14ac:dyDescent="0.25">
      <c r="Y18669" s="63">
        <v>61202</v>
      </c>
      <c r="Z18669" s="61">
        <f>_xll.qlYieldTSDiscount($U$35,Y18669,,Trigger)</f>
        <v>0.36337066136758911</v>
      </c>
    </row>
    <row r="18670" spans="25:26" x14ac:dyDescent="0.25">
      <c r="Y18670" s="63">
        <v>61203</v>
      </c>
      <c r="Z18670" s="61">
        <f>_xll.qlYieldTSDiscount($U$35,Y18670,,Trigger)</f>
        <v>0.36334929507960045</v>
      </c>
    </row>
    <row r="18671" spans="25:26" x14ac:dyDescent="0.25">
      <c r="Y18671" s="63">
        <v>61204</v>
      </c>
      <c r="Z18671" s="61">
        <f>_xll.qlYieldTSDiscount($U$35,Y18671,,Trigger)</f>
        <v>0.36332792999055635</v>
      </c>
    </row>
    <row r="18672" spans="25:26" x14ac:dyDescent="0.25">
      <c r="Y18672" s="63">
        <v>61205</v>
      </c>
      <c r="Z18672" s="61">
        <f>_xll.qlYieldTSDiscount($U$35,Y18672,,Trigger)</f>
        <v>0.36330656610009049</v>
      </c>
    </row>
    <row r="18673" spans="25:26" x14ac:dyDescent="0.25">
      <c r="Y18673" s="63">
        <v>61206</v>
      </c>
      <c r="Z18673" s="61">
        <f>_xll.qlYieldTSDiscount($U$35,Y18673,,Trigger)</f>
        <v>0.3632852034078371</v>
      </c>
    </row>
    <row r="18674" spans="25:26" x14ac:dyDescent="0.25">
      <c r="Y18674" s="63">
        <v>61207</v>
      </c>
      <c r="Z18674" s="61">
        <f>_xll.qlYieldTSDiscount($U$35,Y18674,,Trigger)</f>
        <v>0.3632638419134302</v>
      </c>
    </row>
    <row r="18675" spans="25:26" x14ac:dyDescent="0.25">
      <c r="Y18675" s="63">
        <v>61208</v>
      </c>
      <c r="Z18675" s="61">
        <f>_xll.qlYieldTSDiscount($U$35,Y18675,,Trigger)</f>
        <v>0.36324248161650369</v>
      </c>
    </row>
    <row r="18676" spans="25:26" x14ac:dyDescent="0.25">
      <c r="Y18676" s="63">
        <v>61209</v>
      </c>
      <c r="Z18676" s="61">
        <f>_xll.qlYieldTSDiscount($U$35,Y18676,,Trigger)</f>
        <v>0.36322112251669159</v>
      </c>
    </row>
    <row r="18677" spans="25:26" x14ac:dyDescent="0.25">
      <c r="Y18677" s="63">
        <v>61210</v>
      </c>
      <c r="Z18677" s="61">
        <f>_xll.qlYieldTSDiscount($U$35,Y18677,,Trigger)</f>
        <v>0.36319976461362813</v>
      </c>
    </row>
    <row r="18678" spans="25:26" x14ac:dyDescent="0.25">
      <c r="Y18678" s="63">
        <v>61211</v>
      </c>
      <c r="Z18678" s="61">
        <f>_xll.qlYieldTSDiscount($U$35,Y18678,,Trigger)</f>
        <v>0.36317840790694711</v>
      </c>
    </row>
    <row r="18679" spans="25:26" x14ac:dyDescent="0.25">
      <c r="Y18679" s="63">
        <v>61212</v>
      </c>
      <c r="Z18679" s="61">
        <f>_xll.qlYieldTSDiscount($U$35,Y18679,,Trigger)</f>
        <v>0.36315705239628265</v>
      </c>
    </row>
    <row r="18680" spans="25:26" x14ac:dyDescent="0.25">
      <c r="Y18680" s="63">
        <v>61213</v>
      </c>
      <c r="Z18680" s="61">
        <f>_xll.qlYieldTSDiscount($U$35,Y18680,,Trigger)</f>
        <v>0.36313569808126883</v>
      </c>
    </row>
    <row r="18681" spans="25:26" x14ac:dyDescent="0.25">
      <c r="Y18681" s="63">
        <v>61214</v>
      </c>
      <c r="Z18681" s="61">
        <f>_xll.qlYieldTSDiscount($U$35,Y18681,,Trigger)</f>
        <v>0.36311434496153949</v>
      </c>
    </row>
    <row r="18682" spans="25:26" x14ac:dyDescent="0.25">
      <c r="Y18682" s="63">
        <v>61215</v>
      </c>
      <c r="Z18682" s="61">
        <f>_xll.qlYieldTSDiscount($U$35,Y18682,,Trigger)</f>
        <v>0.36309299303672882</v>
      </c>
    </row>
    <row r="18683" spans="25:26" x14ac:dyDescent="0.25">
      <c r="Y18683" s="63">
        <v>61216</v>
      </c>
      <c r="Z18683" s="61">
        <f>_xll.qlYieldTSDiscount($U$35,Y18683,,Trigger)</f>
        <v>0.36307164230647082</v>
      </c>
    </row>
    <row r="18684" spans="25:26" x14ac:dyDescent="0.25">
      <c r="Y18684" s="63">
        <v>61217</v>
      </c>
      <c r="Z18684" s="61">
        <f>_xll.qlYieldTSDiscount($U$35,Y18684,,Trigger)</f>
        <v>0.36305029277039941</v>
      </c>
    </row>
    <row r="18685" spans="25:26" x14ac:dyDescent="0.25">
      <c r="Y18685" s="63">
        <v>61218</v>
      </c>
      <c r="Z18685" s="61">
        <f>_xll.qlYieldTSDiscount($U$35,Y18685,,Trigger)</f>
        <v>0.3630289444281487</v>
      </c>
    </row>
    <row r="18686" spans="25:26" x14ac:dyDescent="0.25">
      <c r="Y18686" s="63">
        <v>61219</v>
      </c>
      <c r="Z18686" s="61">
        <f>_xll.qlYieldTSDiscount($U$35,Y18686,,Trigger)</f>
        <v>0.36300759727935272</v>
      </c>
    </row>
    <row r="18687" spans="25:26" x14ac:dyDescent="0.25">
      <c r="Y18687" s="63">
        <v>61220</v>
      </c>
      <c r="Z18687" s="61">
        <f>_xll.qlYieldTSDiscount($U$35,Y18687,,Trigger)</f>
        <v>0.36298625132364543</v>
      </c>
    </row>
    <row r="18688" spans="25:26" x14ac:dyDescent="0.25">
      <c r="Y18688" s="63">
        <v>61221</v>
      </c>
      <c r="Z18688" s="61">
        <f>_xll.qlYieldTSDiscount($U$35,Y18688,,Trigger)</f>
        <v>0.36296490656066083</v>
      </c>
    </row>
    <row r="18689" spans="25:26" x14ac:dyDescent="0.25">
      <c r="Y18689" s="63">
        <v>61222</v>
      </c>
      <c r="Z18689" s="61">
        <f>_xll.qlYieldTSDiscount($U$35,Y18689,,Trigger)</f>
        <v>0.36294356299003305</v>
      </c>
    </row>
    <row r="18690" spans="25:26" x14ac:dyDescent="0.25">
      <c r="Y18690" s="63">
        <v>61223</v>
      </c>
      <c r="Z18690" s="61">
        <f>_xll.qlYieldTSDiscount($U$35,Y18690,,Trigger)</f>
        <v>0.36292222061139612</v>
      </c>
    </row>
    <row r="18691" spans="25:26" x14ac:dyDescent="0.25">
      <c r="Y18691" s="63">
        <v>61224</v>
      </c>
      <c r="Z18691" s="61">
        <f>_xll.qlYieldTSDiscount($U$35,Y18691,,Trigger)</f>
        <v>0.36290087942438398</v>
      </c>
    </row>
    <row r="18692" spans="25:26" x14ac:dyDescent="0.25">
      <c r="Y18692" s="63">
        <v>61225</v>
      </c>
      <c r="Z18692" s="61">
        <f>_xll.qlYieldTSDiscount($U$35,Y18692,,Trigger)</f>
        <v>0.36287953942863055</v>
      </c>
    </row>
    <row r="18693" spans="25:26" x14ac:dyDescent="0.25">
      <c r="Y18693" s="63">
        <v>61226</v>
      </c>
      <c r="Z18693" s="61">
        <f>_xll.qlYieldTSDiscount($U$35,Y18693,,Trigger)</f>
        <v>0.36285820062377017</v>
      </c>
    </row>
    <row r="18694" spans="25:26" x14ac:dyDescent="0.25">
      <c r="Y18694" s="63">
        <v>61227</v>
      </c>
      <c r="Z18694" s="61">
        <f>_xll.qlYieldTSDiscount($U$35,Y18694,,Trigger)</f>
        <v>0.36283686300943652</v>
      </c>
    </row>
    <row r="18695" spans="25:26" x14ac:dyDescent="0.25">
      <c r="Y18695" s="63">
        <v>61228</v>
      </c>
      <c r="Z18695" s="61">
        <f>_xll.qlYieldTSDiscount($U$35,Y18695,,Trigger)</f>
        <v>0.36281552658526373</v>
      </c>
    </row>
    <row r="18696" spans="25:26" x14ac:dyDescent="0.25">
      <c r="Y18696" s="63">
        <v>61229</v>
      </c>
      <c r="Z18696" s="61">
        <f>_xll.qlYieldTSDiscount($U$35,Y18696,,Trigger)</f>
        <v>0.36279419135088598</v>
      </c>
    </row>
    <row r="18697" spans="25:26" x14ac:dyDescent="0.25">
      <c r="Y18697" s="63">
        <v>61230</v>
      </c>
      <c r="Z18697" s="61">
        <f>_xll.qlYieldTSDiscount($U$35,Y18697,,Trigger)</f>
        <v>0.36277285730593706</v>
      </c>
    </row>
    <row r="18698" spans="25:26" x14ac:dyDescent="0.25">
      <c r="Y18698" s="63">
        <v>61231</v>
      </c>
      <c r="Z18698" s="61">
        <f>_xll.qlYieldTSDiscount($U$35,Y18698,,Trigger)</f>
        <v>0.36275152445005115</v>
      </c>
    </row>
    <row r="18699" spans="25:26" x14ac:dyDescent="0.25">
      <c r="Y18699" s="63">
        <v>61232</v>
      </c>
      <c r="Z18699" s="61">
        <f>_xll.qlYieldTSDiscount($U$35,Y18699,,Trigger)</f>
        <v>0.36273019278286223</v>
      </c>
    </row>
    <row r="18700" spans="25:26" x14ac:dyDescent="0.25">
      <c r="Y18700" s="63">
        <v>61233</v>
      </c>
      <c r="Z18700" s="61">
        <f>_xll.qlYieldTSDiscount($U$35,Y18700,,Trigger)</f>
        <v>0.36270886230400434</v>
      </c>
    </row>
    <row r="18701" spans="25:26" x14ac:dyDescent="0.25">
      <c r="Y18701" s="63">
        <v>61234</v>
      </c>
      <c r="Z18701" s="61">
        <f>_xll.qlYieldTSDiscount($U$35,Y18701,,Trigger)</f>
        <v>0.36268753301311146</v>
      </c>
    </row>
    <row r="18702" spans="25:26" x14ac:dyDescent="0.25">
      <c r="Y18702" s="63">
        <v>61235</v>
      </c>
      <c r="Z18702" s="61">
        <f>_xll.qlYieldTSDiscount($U$35,Y18702,,Trigger)</f>
        <v>0.3626662049098176</v>
      </c>
    </row>
    <row r="18703" spans="25:26" x14ac:dyDescent="0.25">
      <c r="Y18703" s="63">
        <v>61236</v>
      </c>
      <c r="Z18703" s="61">
        <f>_xll.qlYieldTSDiscount($U$35,Y18703,,Trigger)</f>
        <v>0.36264487799375689</v>
      </c>
    </row>
    <row r="18704" spans="25:26" x14ac:dyDescent="0.25">
      <c r="Y18704" s="63">
        <v>61237</v>
      </c>
      <c r="Z18704" s="61">
        <f>_xll.qlYieldTSDiscount($U$35,Y18704,,Trigger)</f>
        <v>0.36262355226456316</v>
      </c>
    </row>
    <row r="18705" spans="25:26" x14ac:dyDescent="0.25">
      <c r="Y18705" s="63">
        <v>61238</v>
      </c>
      <c r="Z18705" s="61">
        <f>_xll.qlYieldTSDiscount($U$35,Y18705,,Trigger)</f>
        <v>0.36260222772187056</v>
      </c>
    </row>
    <row r="18706" spans="25:26" x14ac:dyDescent="0.25">
      <c r="Y18706" s="63">
        <v>61239</v>
      </c>
      <c r="Z18706" s="61">
        <f>_xll.qlYieldTSDiscount($U$35,Y18706,,Trigger)</f>
        <v>0.36258090436531321</v>
      </c>
    </row>
    <row r="18707" spans="25:26" x14ac:dyDescent="0.25">
      <c r="Y18707" s="63">
        <v>61240</v>
      </c>
      <c r="Z18707" s="61">
        <f>_xll.qlYieldTSDiscount($U$35,Y18707,,Trigger)</f>
        <v>0.36255958219452489</v>
      </c>
    </row>
    <row r="18708" spans="25:26" x14ac:dyDescent="0.25">
      <c r="Y18708" s="63">
        <v>61241</v>
      </c>
      <c r="Z18708" s="61">
        <f>_xll.qlYieldTSDiscount($U$35,Y18708,,Trigger)</f>
        <v>0.36253826120913979</v>
      </c>
    </row>
    <row r="18709" spans="25:26" x14ac:dyDescent="0.25">
      <c r="Y18709" s="63">
        <v>61242</v>
      </c>
      <c r="Z18709" s="61">
        <f>_xll.qlYieldTSDiscount($U$35,Y18709,,Trigger)</f>
        <v>0.36251694140879198</v>
      </c>
    </row>
    <row r="18710" spans="25:26" x14ac:dyDescent="0.25">
      <c r="Y18710" s="63">
        <v>61243</v>
      </c>
      <c r="Z18710" s="61">
        <f>_xll.qlYieldTSDiscount($U$35,Y18710,,Trigger)</f>
        <v>0.36249562279311531</v>
      </c>
    </row>
    <row r="18711" spans="25:26" x14ac:dyDescent="0.25">
      <c r="Y18711" s="63">
        <v>61244</v>
      </c>
      <c r="Z18711" s="61">
        <f>_xll.qlYieldTSDiscount($U$35,Y18711,,Trigger)</f>
        <v>0.36247430536174385</v>
      </c>
    </row>
    <row r="18712" spans="25:26" x14ac:dyDescent="0.25">
      <c r="Y18712" s="63">
        <v>61245</v>
      </c>
      <c r="Z18712" s="61">
        <f>_xll.qlYieldTSDiscount($U$35,Y18712,,Trigger)</f>
        <v>0.36245298911431173</v>
      </c>
    </row>
    <row r="18713" spans="25:26" x14ac:dyDescent="0.25">
      <c r="Y18713" s="63">
        <v>61246</v>
      </c>
      <c r="Z18713" s="61">
        <f>_xll.qlYieldTSDiscount($U$35,Y18713,,Trigger)</f>
        <v>0.3624316740504529</v>
      </c>
    </row>
    <row r="18714" spans="25:26" x14ac:dyDescent="0.25">
      <c r="Y18714" s="63">
        <v>61247</v>
      </c>
      <c r="Z18714" s="61">
        <f>_xll.qlYieldTSDiscount($U$35,Y18714,,Trigger)</f>
        <v>0.36241036016980133</v>
      </c>
    </row>
    <row r="18715" spans="25:26" x14ac:dyDescent="0.25">
      <c r="Y18715" s="63">
        <v>61248</v>
      </c>
      <c r="Z18715" s="61">
        <f>_xll.qlYieldTSDiscount($U$35,Y18715,,Trigger)</f>
        <v>0.36238904747199108</v>
      </c>
    </row>
    <row r="18716" spans="25:26" x14ac:dyDescent="0.25">
      <c r="Y18716" s="63">
        <v>61249</v>
      </c>
      <c r="Z18716" s="61">
        <f>_xll.qlYieldTSDiscount($U$35,Y18716,,Trigger)</f>
        <v>0.36236773595665633</v>
      </c>
    </row>
    <row r="18717" spans="25:26" x14ac:dyDescent="0.25">
      <c r="Y18717" s="63">
        <v>61250</v>
      </c>
      <c r="Z18717" s="61">
        <f>_xll.qlYieldTSDiscount($U$35,Y18717,,Trigger)</f>
        <v>0.36234642562343083</v>
      </c>
    </row>
    <row r="18718" spans="25:26" x14ac:dyDescent="0.25">
      <c r="Y18718" s="63">
        <v>61251</v>
      </c>
      <c r="Z18718" s="61">
        <f>_xll.qlYieldTSDiscount($U$35,Y18718,,Trigger)</f>
        <v>0.36232511647194876</v>
      </c>
    </row>
    <row r="18719" spans="25:26" x14ac:dyDescent="0.25">
      <c r="Y18719" s="63">
        <v>61252</v>
      </c>
      <c r="Z18719" s="61">
        <f>_xll.qlYieldTSDiscount($U$35,Y18719,,Trigger)</f>
        <v>0.36230380850184418</v>
      </c>
    </row>
    <row r="18720" spans="25:26" x14ac:dyDescent="0.25">
      <c r="Y18720" s="63">
        <v>61253</v>
      </c>
      <c r="Z18720" s="61">
        <f>_xll.qlYieldTSDiscount($U$35,Y18720,,Trigger)</f>
        <v>0.36228250171275089</v>
      </c>
    </row>
    <row r="18721" spans="25:26" x14ac:dyDescent="0.25">
      <c r="Y18721" s="63">
        <v>61254</v>
      </c>
      <c r="Z18721" s="61">
        <f>_xll.qlYieldTSDiscount($U$35,Y18721,,Trigger)</f>
        <v>0.36226119610430318</v>
      </c>
    </row>
    <row r="18722" spans="25:26" x14ac:dyDescent="0.25">
      <c r="Y18722" s="63">
        <v>61255</v>
      </c>
      <c r="Z18722" s="61">
        <f>_xll.qlYieldTSDiscount($U$35,Y18722,,Trigger)</f>
        <v>0.36223989167613491</v>
      </c>
    </row>
    <row r="18723" spans="25:26" x14ac:dyDescent="0.25">
      <c r="Y18723" s="63">
        <v>61256</v>
      </c>
      <c r="Z18723" s="61">
        <f>_xll.qlYieldTSDiscount($U$35,Y18723,,Trigger)</f>
        <v>0.36221858842788018</v>
      </c>
    </row>
    <row r="18724" spans="25:26" x14ac:dyDescent="0.25">
      <c r="Y18724" s="63">
        <v>61257</v>
      </c>
      <c r="Z18724" s="61">
        <f>_xll.qlYieldTSDiscount($U$35,Y18724,,Trigger)</f>
        <v>0.36219728635917292</v>
      </c>
    </row>
    <row r="18725" spans="25:26" x14ac:dyDescent="0.25">
      <c r="Y18725" s="63">
        <v>61258</v>
      </c>
      <c r="Z18725" s="61">
        <f>_xll.qlYieldTSDiscount($U$35,Y18725,,Trigger)</f>
        <v>0.3621759854696473</v>
      </c>
    </row>
    <row r="18726" spans="25:26" x14ac:dyDescent="0.25">
      <c r="Y18726" s="63">
        <v>61259</v>
      </c>
      <c r="Z18726" s="61">
        <f>_xll.qlYieldTSDiscount($U$35,Y18726,,Trigger)</f>
        <v>0.36215468575893717</v>
      </c>
    </row>
    <row r="18727" spans="25:26" x14ac:dyDescent="0.25">
      <c r="Y18727" s="63">
        <v>61260</v>
      </c>
      <c r="Z18727" s="61">
        <f>_xll.qlYieldTSDiscount($U$35,Y18727,,Trigger)</f>
        <v>0.36213338722667665</v>
      </c>
    </row>
    <row r="18728" spans="25:26" x14ac:dyDescent="0.25">
      <c r="Y18728" s="63">
        <v>61261</v>
      </c>
      <c r="Z18728" s="61">
        <f>_xll.qlYieldTSDiscount($U$35,Y18728,,Trigger)</f>
        <v>0.36211208987249976</v>
      </c>
    </row>
    <row r="18729" spans="25:26" x14ac:dyDescent="0.25">
      <c r="Y18729" s="63">
        <v>61262</v>
      </c>
      <c r="Z18729" s="61">
        <f>_xll.qlYieldTSDiscount($U$35,Y18729,,Trigger)</f>
        <v>0.36209079369604058</v>
      </c>
    </row>
    <row r="18730" spans="25:26" x14ac:dyDescent="0.25">
      <c r="Y18730" s="63">
        <v>61263</v>
      </c>
      <c r="Z18730" s="61">
        <f>_xll.qlYieldTSDiscount($U$35,Y18730,,Trigger)</f>
        <v>0.362069498696933</v>
      </c>
    </row>
    <row r="18731" spans="25:26" x14ac:dyDescent="0.25">
      <c r="Y18731" s="63">
        <v>61264</v>
      </c>
      <c r="Z18731" s="61">
        <f>_xll.qlYieldTSDiscount($U$35,Y18731,,Trigger)</f>
        <v>0.36204820487481104</v>
      </c>
    </row>
    <row r="18732" spans="25:26" x14ac:dyDescent="0.25">
      <c r="Y18732" s="63">
        <v>61265</v>
      </c>
      <c r="Z18732" s="61">
        <f>_xll.qlYieldTSDiscount($U$35,Y18732,,Trigger)</f>
        <v>0.36202691222930894</v>
      </c>
    </row>
    <row r="18733" spans="25:26" x14ac:dyDescent="0.25">
      <c r="Y18733" s="63">
        <v>61266</v>
      </c>
      <c r="Z18733" s="61">
        <f>_xll.qlYieldTSDiscount($U$35,Y18733,,Trigger)</f>
        <v>0.36200562076006049</v>
      </c>
    </row>
    <row r="18734" spans="25:26" x14ac:dyDescent="0.25">
      <c r="Y18734" s="63">
        <v>61267</v>
      </c>
      <c r="Z18734" s="61">
        <f>_xll.qlYieldTSDiscount($U$35,Y18734,,Trigger)</f>
        <v>0.36198433046669976</v>
      </c>
    </row>
    <row r="18735" spans="25:26" x14ac:dyDescent="0.25">
      <c r="Y18735" s="63">
        <v>61268</v>
      </c>
      <c r="Z18735" s="61">
        <f>_xll.qlYieldTSDiscount($U$35,Y18735,,Trigger)</f>
        <v>0.36196304134886081</v>
      </c>
    </row>
    <row r="18736" spans="25:26" x14ac:dyDescent="0.25">
      <c r="Y18736" s="63">
        <v>61269</v>
      </c>
      <c r="Z18736" s="61">
        <f>_xll.qlYieldTSDiscount($U$35,Y18736,,Trigger)</f>
        <v>0.36194175340617768</v>
      </c>
    </row>
    <row r="18737" spans="25:26" x14ac:dyDescent="0.25">
      <c r="Y18737" s="63">
        <v>61270</v>
      </c>
      <c r="Z18737" s="61">
        <f>_xll.qlYieldTSDiscount($U$35,Y18737,,Trigger)</f>
        <v>0.36192046663828431</v>
      </c>
    </row>
    <row r="18738" spans="25:26" x14ac:dyDescent="0.25">
      <c r="Y18738" s="63">
        <v>61271</v>
      </c>
      <c r="Z18738" s="61">
        <f>_xll.qlYieldTSDiscount($U$35,Y18738,,Trigger)</f>
        <v>0.36189918104481489</v>
      </c>
    </row>
    <row r="18739" spans="25:26" x14ac:dyDescent="0.25">
      <c r="Y18739" s="63">
        <v>61272</v>
      </c>
      <c r="Z18739" s="61">
        <f>_xll.qlYieldTSDiscount($U$35,Y18739,,Trigger)</f>
        <v>0.36187789662540321</v>
      </c>
    </row>
    <row r="18740" spans="25:26" x14ac:dyDescent="0.25">
      <c r="Y18740" s="63">
        <v>61273</v>
      </c>
      <c r="Z18740" s="61">
        <f>_xll.qlYieldTSDiscount($U$35,Y18740,,Trigger)</f>
        <v>0.36185661337968344</v>
      </c>
    </row>
    <row r="18741" spans="25:26" x14ac:dyDescent="0.25">
      <c r="Y18741" s="63">
        <v>61274</v>
      </c>
      <c r="Z18741" s="61">
        <f>_xll.qlYieldTSDiscount($U$35,Y18741,,Trigger)</f>
        <v>0.36183533130728962</v>
      </c>
    </row>
    <row r="18742" spans="25:26" x14ac:dyDescent="0.25">
      <c r="Y18742" s="63">
        <v>61275</v>
      </c>
      <c r="Z18742" s="61">
        <f>_xll.qlYieldTSDiscount($U$35,Y18742,,Trigger)</f>
        <v>0.36181405040785575</v>
      </c>
    </row>
    <row r="18743" spans="25:26" x14ac:dyDescent="0.25">
      <c r="Y18743" s="63">
        <v>61276</v>
      </c>
      <c r="Z18743" s="61">
        <f>_xll.qlYieldTSDiscount($U$35,Y18743,,Trigger)</f>
        <v>0.36179277068101567</v>
      </c>
    </row>
    <row r="18744" spans="25:26" x14ac:dyDescent="0.25">
      <c r="Y18744" s="63">
        <v>61277</v>
      </c>
      <c r="Z18744" s="61">
        <f>_xll.qlYieldTSDiscount($U$35,Y18744,,Trigger)</f>
        <v>0.36177149212640369</v>
      </c>
    </row>
    <row r="18745" spans="25:26" x14ac:dyDescent="0.25">
      <c r="Y18745" s="63">
        <v>61278</v>
      </c>
      <c r="Z18745" s="61">
        <f>_xll.qlYieldTSDiscount($U$35,Y18745,,Trigger)</f>
        <v>0.36175021474365365</v>
      </c>
    </row>
    <row r="18746" spans="25:26" x14ac:dyDescent="0.25">
      <c r="Y18746" s="63">
        <v>61279</v>
      </c>
      <c r="Z18746" s="61">
        <f>_xll.qlYieldTSDiscount($U$35,Y18746,,Trigger)</f>
        <v>0.36172893853239962</v>
      </c>
    </row>
    <row r="18747" spans="25:26" x14ac:dyDescent="0.25">
      <c r="Y18747" s="63">
        <v>61280</v>
      </c>
      <c r="Z18747" s="61">
        <f>_xll.qlYieldTSDiscount($U$35,Y18747,,Trigger)</f>
        <v>0.36170766349227562</v>
      </c>
    </row>
    <row r="18748" spans="25:26" x14ac:dyDescent="0.25">
      <c r="Y18748" s="63">
        <v>61281</v>
      </c>
      <c r="Z18748" s="61">
        <f>_xll.qlYieldTSDiscount($U$35,Y18748,,Trigger)</f>
        <v>0.36168638962291577</v>
      </c>
    </row>
    <row r="18749" spans="25:26" x14ac:dyDescent="0.25">
      <c r="Y18749" s="63">
        <v>61282</v>
      </c>
      <c r="Z18749" s="61">
        <f>_xll.qlYieldTSDiscount($U$35,Y18749,,Trigger)</f>
        <v>0.36166511692395387</v>
      </c>
    </row>
    <row r="18750" spans="25:26" x14ac:dyDescent="0.25">
      <c r="Y18750" s="63">
        <v>61283</v>
      </c>
      <c r="Z18750" s="61">
        <f>_xll.qlYieldTSDiscount($U$35,Y18750,,Trigger)</f>
        <v>0.36164384539502414</v>
      </c>
    </row>
    <row r="18751" spans="25:26" x14ac:dyDescent="0.25">
      <c r="Y18751" s="63">
        <v>61284</v>
      </c>
      <c r="Z18751" s="61">
        <f>_xll.qlYieldTSDiscount($U$35,Y18751,,Trigger)</f>
        <v>0.36162257503576051</v>
      </c>
    </row>
    <row r="18752" spans="25:26" x14ac:dyDescent="0.25">
      <c r="Y18752" s="63">
        <v>61285</v>
      </c>
      <c r="Z18752" s="61">
        <f>_xll.qlYieldTSDiscount($U$35,Y18752,,Trigger)</f>
        <v>0.36160130584579697</v>
      </c>
    </row>
    <row r="18753" spans="25:26" x14ac:dyDescent="0.25">
      <c r="Y18753" s="63">
        <v>61286</v>
      </c>
      <c r="Z18753" s="61">
        <f>_xll.qlYieldTSDiscount($U$35,Y18753,,Trigger)</f>
        <v>0.36158003782476766</v>
      </c>
    </row>
    <row r="18754" spans="25:26" x14ac:dyDescent="0.25">
      <c r="Y18754" s="63">
        <v>61287</v>
      </c>
      <c r="Z18754" s="61">
        <f>_xll.qlYieldTSDiscount($U$35,Y18754,,Trigger)</f>
        <v>0.3615587709723066</v>
      </c>
    </row>
    <row r="18755" spans="25:26" x14ac:dyDescent="0.25">
      <c r="Y18755" s="63">
        <v>61288</v>
      </c>
      <c r="Z18755" s="61">
        <f>_xll.qlYieldTSDiscount($U$35,Y18755,,Trigger)</f>
        <v>0.36153750528804762</v>
      </c>
    </row>
    <row r="18756" spans="25:26" x14ac:dyDescent="0.25">
      <c r="Y18756" s="63">
        <v>61289</v>
      </c>
      <c r="Z18756" s="61">
        <f>_xll.qlYieldTSDiscount($U$35,Y18756,,Trigger)</f>
        <v>0.36151624077162492</v>
      </c>
    </row>
    <row r="18757" spans="25:26" x14ac:dyDescent="0.25">
      <c r="Y18757" s="63">
        <v>61290</v>
      </c>
      <c r="Z18757" s="61">
        <f>_xll.qlYieldTSDiscount($U$35,Y18757,,Trigger)</f>
        <v>0.36149497742267245</v>
      </c>
    </row>
    <row r="18758" spans="25:26" x14ac:dyDescent="0.25">
      <c r="Y18758" s="63">
        <v>61291</v>
      </c>
      <c r="Z18758" s="61">
        <f>_xll.qlYieldTSDiscount($U$35,Y18758,,Trigger)</f>
        <v>0.36147371524082439</v>
      </c>
    </row>
    <row r="18759" spans="25:26" x14ac:dyDescent="0.25">
      <c r="Y18759" s="63">
        <v>61292</v>
      </c>
      <c r="Z18759" s="61">
        <f>_xll.qlYieldTSDiscount($U$35,Y18759,,Trigger)</f>
        <v>0.36145245422571448</v>
      </c>
    </row>
    <row r="18760" spans="25:26" x14ac:dyDescent="0.25">
      <c r="Y18760" s="63">
        <v>61293</v>
      </c>
      <c r="Z18760" s="61">
        <f>_xll.qlYieldTSDiscount($U$35,Y18760,,Trigger)</f>
        <v>0.36143119437697691</v>
      </c>
    </row>
    <row r="18761" spans="25:26" x14ac:dyDescent="0.25">
      <c r="Y18761" s="63">
        <v>61294</v>
      </c>
      <c r="Z18761" s="61">
        <f>_xll.qlYieldTSDiscount($U$35,Y18761,,Trigger)</f>
        <v>0.36140993569424568</v>
      </c>
    </row>
    <row r="18762" spans="25:26" x14ac:dyDescent="0.25">
      <c r="Y18762" s="63">
        <v>61295</v>
      </c>
      <c r="Z18762" s="61">
        <f>_xll.qlYieldTSDiscount($U$35,Y18762,,Trigger)</f>
        <v>0.36138867817715481</v>
      </c>
    </row>
    <row r="18763" spans="25:26" x14ac:dyDescent="0.25">
      <c r="Y18763" s="63">
        <v>61296</v>
      </c>
      <c r="Z18763" s="61">
        <f>_xll.qlYieldTSDiscount($U$35,Y18763,,Trigger)</f>
        <v>0.36136742182533832</v>
      </c>
    </row>
    <row r="18764" spans="25:26" x14ac:dyDescent="0.25">
      <c r="Y18764" s="63">
        <v>61297</v>
      </c>
      <c r="Z18764" s="61">
        <f>_xll.qlYieldTSDiscount($U$35,Y18764,,Trigger)</f>
        <v>0.36134616663843033</v>
      </c>
    </row>
    <row r="18765" spans="25:26" x14ac:dyDescent="0.25">
      <c r="Y18765" s="63">
        <v>61298</v>
      </c>
      <c r="Z18765" s="61">
        <f>_xll.qlYieldTSDiscount($U$35,Y18765,,Trigger)</f>
        <v>0.36132491261606464</v>
      </c>
    </row>
    <row r="18766" spans="25:26" x14ac:dyDescent="0.25">
      <c r="Y18766" s="63">
        <v>61299</v>
      </c>
      <c r="Z18766" s="61">
        <f>_xll.qlYieldTSDiscount($U$35,Y18766,,Trigger)</f>
        <v>0.36130365975787548</v>
      </c>
    </row>
    <row r="18767" spans="25:26" x14ac:dyDescent="0.25">
      <c r="Y18767" s="63">
        <v>61300</v>
      </c>
      <c r="Z18767" s="61">
        <f>_xll.qlYieldTSDiscount($U$35,Y18767,,Trigger)</f>
        <v>0.36128240806349676</v>
      </c>
    </row>
    <row r="18768" spans="25:26" x14ac:dyDescent="0.25">
      <c r="Y18768" s="63">
        <v>61301</v>
      </c>
      <c r="Z18768" s="61">
        <f>_xll.qlYieldTSDiscount($U$35,Y18768,,Trigger)</f>
        <v>0.36126115753256249</v>
      </c>
    </row>
    <row r="18769" spans="25:26" x14ac:dyDescent="0.25">
      <c r="Y18769" s="63">
        <v>61302</v>
      </c>
      <c r="Z18769" s="61">
        <f>_xll.qlYieldTSDiscount($U$35,Y18769,,Trigger)</f>
        <v>0.36123990816470675</v>
      </c>
    </row>
    <row r="18770" spans="25:26" x14ac:dyDescent="0.25">
      <c r="Y18770" s="63">
        <v>61303</v>
      </c>
      <c r="Z18770" s="61">
        <f>_xll.qlYieldTSDiscount($U$35,Y18770,,Trigger)</f>
        <v>0.36121865995956365</v>
      </c>
    </row>
    <row r="18771" spans="25:26" x14ac:dyDescent="0.25">
      <c r="Y18771" s="63">
        <v>61304</v>
      </c>
      <c r="Z18771" s="61">
        <f>_xll.qlYieldTSDiscount($U$35,Y18771,,Trigger)</f>
        <v>0.36119741291676699</v>
      </c>
    </row>
    <row r="18772" spans="25:26" x14ac:dyDescent="0.25">
      <c r="Y18772" s="63">
        <v>61305</v>
      </c>
      <c r="Z18772" s="61">
        <f>_xll.qlYieldTSDiscount($U$35,Y18772,,Trigger)</f>
        <v>0.36117616703595096</v>
      </c>
    </row>
    <row r="18773" spans="25:26" x14ac:dyDescent="0.25">
      <c r="Y18773" s="63">
        <v>61306</v>
      </c>
      <c r="Z18773" s="61">
        <f>_xll.qlYieldTSDiscount($U$35,Y18773,,Trigger)</f>
        <v>0.3611549223167495</v>
      </c>
    </row>
    <row r="18774" spans="25:26" x14ac:dyDescent="0.25">
      <c r="Y18774" s="63">
        <v>61307</v>
      </c>
      <c r="Z18774" s="61">
        <f>_xll.qlYieldTSDiscount($U$35,Y18774,,Trigger)</f>
        <v>0.36113367875879676</v>
      </c>
    </row>
    <row r="18775" spans="25:26" x14ac:dyDescent="0.25">
      <c r="Y18775" s="63">
        <v>61308</v>
      </c>
      <c r="Z18775" s="61">
        <f>_xll.qlYieldTSDiscount($U$35,Y18775,,Trigger)</f>
        <v>0.36111243636172652</v>
      </c>
    </row>
    <row r="18776" spans="25:26" x14ac:dyDescent="0.25">
      <c r="Y18776" s="63">
        <v>61309</v>
      </c>
      <c r="Z18776" s="61">
        <f>_xll.qlYieldTSDiscount($U$35,Y18776,,Trigger)</f>
        <v>0.36109119512517301</v>
      </c>
    </row>
    <row r="18777" spans="25:26" x14ac:dyDescent="0.25">
      <c r="Y18777" s="63">
        <v>61310</v>
      </c>
      <c r="Z18777" s="61">
        <f>_xll.qlYieldTSDiscount($U$35,Y18777,,Trigger)</f>
        <v>0.36106995504877026</v>
      </c>
    </row>
    <row r="18778" spans="25:26" x14ac:dyDescent="0.25">
      <c r="Y18778" s="63">
        <v>61311</v>
      </c>
      <c r="Z18778" s="61">
        <f>_xll.qlYieldTSDiscount($U$35,Y18778,,Trigger)</f>
        <v>0.36104871613215217</v>
      </c>
    </row>
    <row r="18779" spans="25:26" x14ac:dyDescent="0.25">
      <c r="Y18779" s="63">
        <v>61312</v>
      </c>
      <c r="Z18779" s="61">
        <f>_xll.qlYieldTSDiscount($U$35,Y18779,,Trigger)</f>
        <v>0.36102747837495275</v>
      </c>
    </row>
    <row r="18780" spans="25:26" x14ac:dyDescent="0.25">
      <c r="Y18780" s="63">
        <v>61313</v>
      </c>
      <c r="Z18780" s="61">
        <f>_xll.qlYieldTSDiscount($U$35,Y18780,,Trigger)</f>
        <v>0.36100624177680618</v>
      </c>
    </row>
    <row r="18781" spans="25:26" x14ac:dyDescent="0.25">
      <c r="Y18781" s="63">
        <v>61314</v>
      </c>
      <c r="Z18781" s="61">
        <f>_xll.qlYieldTSDiscount($U$35,Y18781,,Trigger)</f>
        <v>0.36098500633734631</v>
      </c>
    </row>
    <row r="18782" spans="25:26" x14ac:dyDescent="0.25">
      <c r="Y18782" s="63">
        <v>61315</v>
      </c>
      <c r="Z18782" s="61">
        <f>_xll.qlYieldTSDiscount($U$35,Y18782,,Trigger)</f>
        <v>0.36096377205620722</v>
      </c>
    </row>
    <row r="18783" spans="25:26" x14ac:dyDescent="0.25">
      <c r="Y18783" s="63">
        <v>61316</v>
      </c>
      <c r="Z18783" s="61">
        <f>_xll.qlYieldTSDiscount($U$35,Y18783,,Trigger)</f>
        <v>0.36094253893302308</v>
      </c>
    </row>
    <row r="18784" spans="25:26" x14ac:dyDescent="0.25">
      <c r="Y18784" s="63">
        <v>61317</v>
      </c>
      <c r="Z18784" s="61">
        <f>_xll.qlYieldTSDiscount($U$35,Y18784,,Trigger)</f>
        <v>0.36092130696742769</v>
      </c>
    </row>
    <row r="18785" spans="25:26" x14ac:dyDescent="0.25">
      <c r="Y18785" s="63">
        <v>61318</v>
      </c>
      <c r="Z18785" s="61">
        <f>_xll.qlYieldTSDiscount($U$35,Y18785,,Trigger)</f>
        <v>0.36090007615905517</v>
      </c>
    </row>
    <row r="18786" spans="25:26" x14ac:dyDescent="0.25">
      <c r="Y18786" s="63">
        <v>61319</v>
      </c>
      <c r="Z18786" s="61">
        <f>_xll.qlYieldTSDiscount($U$35,Y18786,,Trigger)</f>
        <v>0.36087884650753954</v>
      </c>
    </row>
    <row r="18787" spans="25:26" x14ac:dyDescent="0.25">
      <c r="Y18787" s="63">
        <v>61320</v>
      </c>
      <c r="Z18787" s="61">
        <f>_xll.qlYieldTSDiscount($U$35,Y18787,,Trigger)</f>
        <v>0.36085761801251481</v>
      </c>
    </row>
    <row r="18788" spans="25:26" x14ac:dyDescent="0.25">
      <c r="Y18788" s="63">
        <v>61321</v>
      </c>
      <c r="Z18788" s="61">
        <f>_xll.qlYieldTSDiscount($U$35,Y18788,,Trigger)</f>
        <v>0.36083639067361506</v>
      </c>
    </row>
    <row r="18789" spans="25:26" x14ac:dyDescent="0.25">
      <c r="Y18789" s="63">
        <v>61322</v>
      </c>
      <c r="Z18789" s="61">
        <f>_xll.qlYieldTSDiscount($U$35,Y18789,,Trigger)</f>
        <v>0.36081516449047418</v>
      </c>
    </row>
    <row r="18790" spans="25:26" x14ac:dyDescent="0.25">
      <c r="Y18790" s="63">
        <v>61323</v>
      </c>
      <c r="Z18790" s="61">
        <f>_xll.qlYieldTSDiscount($U$35,Y18790,,Trigger)</f>
        <v>0.36079393946272637</v>
      </c>
    </row>
    <row r="18791" spans="25:26" x14ac:dyDescent="0.25">
      <c r="Y18791" s="63">
        <v>61324</v>
      </c>
      <c r="Z18791" s="61">
        <f>_xll.qlYieldTSDiscount($U$35,Y18791,,Trigger)</f>
        <v>0.36077271559000545</v>
      </c>
    </row>
    <row r="18792" spans="25:26" x14ac:dyDescent="0.25">
      <c r="Y18792" s="63">
        <v>61325</v>
      </c>
      <c r="Z18792" s="61">
        <f>_xll.qlYieldTSDiscount($U$35,Y18792,,Trigger)</f>
        <v>0.36075149287194563</v>
      </c>
    </row>
    <row r="18793" spans="25:26" x14ac:dyDescent="0.25">
      <c r="Y18793" s="63">
        <v>61326</v>
      </c>
      <c r="Z18793" s="61">
        <f>_xll.qlYieldTSDiscount($U$35,Y18793,,Trigger)</f>
        <v>0.36073027130818092</v>
      </c>
    </row>
    <row r="18794" spans="25:26" x14ac:dyDescent="0.25">
      <c r="Y18794" s="63">
        <v>61327</v>
      </c>
      <c r="Z18794" s="61">
        <f>_xll.qlYieldTSDiscount($U$35,Y18794,,Trigger)</f>
        <v>0.36070905089834515</v>
      </c>
    </row>
    <row r="18795" spans="25:26" x14ac:dyDescent="0.25">
      <c r="Y18795" s="63">
        <v>61328</v>
      </c>
      <c r="Z18795" s="61">
        <f>_xll.qlYieldTSDiscount($U$35,Y18795,,Trigger)</f>
        <v>0.36068783164207241</v>
      </c>
    </row>
    <row r="18796" spans="25:26" x14ac:dyDescent="0.25">
      <c r="Y18796" s="63">
        <v>61329</v>
      </c>
      <c r="Z18796" s="61">
        <f>_xll.qlYieldTSDiscount($U$35,Y18796,,Trigger)</f>
        <v>0.36066661353899687</v>
      </c>
    </row>
    <row r="18797" spans="25:26" x14ac:dyDescent="0.25">
      <c r="Y18797" s="63">
        <v>61330</v>
      </c>
      <c r="Z18797" s="61">
        <f>_xll.qlYieldTSDiscount($U$35,Y18797,,Trigger)</f>
        <v>0.36064539658875239</v>
      </c>
    </row>
    <row r="18798" spans="25:26" x14ac:dyDescent="0.25">
      <c r="Y18798" s="63">
        <v>61331</v>
      </c>
      <c r="Z18798" s="61">
        <f>_xll.qlYieldTSDiscount($U$35,Y18798,,Trigger)</f>
        <v>0.36062418079097314</v>
      </c>
    </row>
    <row r="18799" spans="25:26" x14ac:dyDescent="0.25">
      <c r="Y18799" s="63">
        <v>61332</v>
      </c>
      <c r="Z18799" s="61">
        <f>_xll.qlYieldTSDiscount($U$35,Y18799,,Trigger)</f>
        <v>0.36060296614529302</v>
      </c>
    </row>
    <row r="18800" spans="25:26" x14ac:dyDescent="0.25">
      <c r="Y18800" s="63">
        <v>61333</v>
      </c>
      <c r="Z18800" s="61">
        <f>_xll.qlYieldTSDiscount($U$35,Y18800,,Trigger)</f>
        <v>0.36058175265134612</v>
      </c>
    </row>
    <row r="18801" spans="25:26" x14ac:dyDescent="0.25">
      <c r="Y18801" s="63">
        <v>61334</v>
      </c>
      <c r="Z18801" s="61">
        <f>_xll.qlYieldTSDiscount($U$35,Y18801,,Trigger)</f>
        <v>0.36056054030876639</v>
      </c>
    </row>
    <row r="18802" spans="25:26" x14ac:dyDescent="0.25">
      <c r="Y18802" s="63">
        <v>61335</v>
      </c>
      <c r="Z18802" s="61">
        <f>_xll.qlYieldTSDiscount($U$35,Y18802,,Trigger)</f>
        <v>0.36053932911718789</v>
      </c>
    </row>
    <row r="18803" spans="25:26" x14ac:dyDescent="0.25">
      <c r="Y18803" s="63">
        <v>61336</v>
      </c>
      <c r="Z18803" s="61">
        <f>_xll.qlYieldTSDiscount($U$35,Y18803,,Trigger)</f>
        <v>0.36051811907624476</v>
      </c>
    </row>
    <row r="18804" spans="25:26" x14ac:dyDescent="0.25">
      <c r="Y18804" s="63">
        <v>61337</v>
      </c>
      <c r="Z18804" s="61">
        <f>_xll.qlYieldTSDiscount($U$35,Y18804,,Trigger)</f>
        <v>0.36049691018557073</v>
      </c>
    </row>
    <row r="18805" spans="25:26" x14ac:dyDescent="0.25">
      <c r="Y18805" s="63">
        <v>61338</v>
      </c>
      <c r="Z18805" s="61">
        <f>_xll.qlYieldTSDiscount($U$35,Y18805,,Trigger)</f>
        <v>0.36047570244480015</v>
      </c>
    </row>
    <row r="18806" spans="25:26" x14ac:dyDescent="0.25">
      <c r="Y18806" s="63">
        <v>61339</v>
      </c>
      <c r="Z18806" s="61">
        <f>_xll.qlYieldTSDiscount($U$35,Y18806,,Trigger)</f>
        <v>0.36045449585356687</v>
      </c>
    </row>
    <row r="18807" spans="25:26" x14ac:dyDescent="0.25">
      <c r="Y18807" s="63">
        <v>61340</v>
      </c>
      <c r="Z18807" s="61">
        <f>_xll.qlYieldTSDiscount($U$35,Y18807,,Trigger)</f>
        <v>0.3604332904115049</v>
      </c>
    </row>
    <row r="18808" spans="25:26" x14ac:dyDescent="0.25">
      <c r="Y18808" s="63">
        <v>61341</v>
      </c>
      <c r="Z18808" s="61">
        <f>_xll.qlYieldTSDiscount($U$35,Y18808,,Trigger)</f>
        <v>0.36041208611824826</v>
      </c>
    </row>
    <row r="18809" spans="25:26" x14ac:dyDescent="0.25">
      <c r="Y18809" s="63">
        <v>61342</v>
      </c>
      <c r="Z18809" s="61">
        <f>_xll.qlYieldTSDiscount($U$35,Y18809,,Trigger)</f>
        <v>0.36039088297343108</v>
      </c>
    </row>
    <row r="18810" spans="25:26" x14ac:dyDescent="0.25">
      <c r="Y18810" s="63">
        <v>61343</v>
      </c>
      <c r="Z18810" s="61">
        <f>_xll.qlYieldTSDiscount($U$35,Y18810,,Trigger)</f>
        <v>0.36036968097668726</v>
      </c>
    </row>
    <row r="18811" spans="25:26" x14ac:dyDescent="0.25">
      <c r="Y18811" s="63">
        <v>61344</v>
      </c>
      <c r="Z18811" s="61">
        <f>_xll.qlYieldTSDiscount($U$35,Y18811,,Trigger)</f>
        <v>0.36034848012765086</v>
      </c>
    </row>
    <row r="18812" spans="25:26" x14ac:dyDescent="0.25">
      <c r="Y18812" s="63">
        <v>61345</v>
      </c>
      <c r="Z18812" s="61">
        <f>_xll.qlYieldTSDiscount($U$35,Y18812,,Trigger)</f>
        <v>0.36032728042595608</v>
      </c>
    </row>
    <row r="18813" spans="25:26" x14ac:dyDescent="0.25">
      <c r="Y18813" s="63">
        <v>61346</v>
      </c>
      <c r="Z18813" s="61">
        <f>_xll.qlYieldTSDiscount($U$35,Y18813,,Trigger)</f>
        <v>0.36030608187123658</v>
      </c>
    </row>
    <row r="18814" spans="25:26" x14ac:dyDescent="0.25">
      <c r="Y18814" s="63">
        <v>61347</v>
      </c>
      <c r="Z18814" s="61">
        <f>_xll.qlYieldTSDiscount($U$35,Y18814,,Trigger)</f>
        <v>0.36028488446312662</v>
      </c>
    </row>
    <row r="18815" spans="25:26" x14ac:dyDescent="0.25">
      <c r="Y18815" s="63">
        <v>61348</v>
      </c>
      <c r="Z18815" s="61">
        <f>_xll.qlYieldTSDiscount($U$35,Y18815,,Trigger)</f>
        <v>0.3602636882012602</v>
      </c>
    </row>
    <row r="18816" spans="25:26" x14ac:dyDescent="0.25">
      <c r="Y18816" s="63">
        <v>61349</v>
      </c>
      <c r="Z18816" s="61">
        <f>_xll.qlYieldTSDiscount($U$35,Y18816,,Trigger)</f>
        <v>0.36024249308527134</v>
      </c>
    </row>
    <row r="18817" spans="25:26" x14ac:dyDescent="0.25">
      <c r="Y18817" s="63">
        <v>61350</v>
      </c>
      <c r="Z18817" s="61">
        <f>_xll.qlYieldTSDiscount($U$35,Y18817,,Trigger)</f>
        <v>0.36022129911479406</v>
      </c>
    </row>
    <row r="18818" spans="25:26" x14ac:dyDescent="0.25">
      <c r="Y18818" s="63">
        <v>61351</v>
      </c>
      <c r="Z18818" s="61">
        <f>_xll.qlYieldTSDiscount($U$35,Y18818,,Trigger)</f>
        <v>0.36020010628946231</v>
      </c>
    </row>
    <row r="18819" spans="25:26" x14ac:dyDescent="0.25">
      <c r="Y18819" s="63">
        <v>61352</v>
      </c>
      <c r="Z18819" s="61">
        <f>_xll.qlYieldTSDiscount($U$35,Y18819,,Trigger)</f>
        <v>0.36017891460891022</v>
      </c>
    </row>
    <row r="18820" spans="25:26" x14ac:dyDescent="0.25">
      <c r="Y18820" s="63">
        <v>61353</v>
      </c>
      <c r="Z18820" s="61">
        <f>_xll.qlYieldTSDiscount($U$35,Y18820,,Trigger)</f>
        <v>0.36015772407277169</v>
      </c>
    </row>
    <row r="18821" spans="25:26" x14ac:dyDescent="0.25">
      <c r="Y18821" s="63">
        <v>61354</v>
      </c>
      <c r="Z18821" s="61">
        <f>_xll.qlYieldTSDiscount($U$35,Y18821,,Trigger)</f>
        <v>0.36013653468068085</v>
      </c>
    </row>
    <row r="18822" spans="25:26" x14ac:dyDescent="0.25">
      <c r="Y18822" s="63">
        <v>61355</v>
      </c>
      <c r="Z18822" s="61">
        <f>_xll.qlYieldTSDiscount($U$35,Y18822,,Trigger)</f>
        <v>0.36011534643227172</v>
      </c>
    </row>
    <row r="18823" spans="25:26" x14ac:dyDescent="0.25">
      <c r="Y18823" s="63">
        <v>61356</v>
      </c>
      <c r="Z18823" s="61">
        <f>_xll.qlYieldTSDiscount($U$35,Y18823,,Trigger)</f>
        <v>0.36009415932717825</v>
      </c>
    </row>
    <row r="18824" spans="25:26" x14ac:dyDescent="0.25">
      <c r="Y18824" s="63">
        <v>61357</v>
      </c>
      <c r="Z18824" s="61">
        <f>_xll.qlYieldTSDiscount($U$35,Y18824,,Trigger)</f>
        <v>0.36007297336503452</v>
      </c>
    </row>
    <row r="18825" spans="25:26" x14ac:dyDescent="0.25">
      <c r="Y18825" s="63">
        <v>61358</v>
      </c>
      <c r="Z18825" s="61">
        <f>_xll.qlYieldTSDiscount($U$35,Y18825,,Trigger)</f>
        <v>0.36005178854547448</v>
      </c>
    </row>
    <row r="18826" spans="25:26" x14ac:dyDescent="0.25">
      <c r="Y18826" s="63">
        <v>61359</v>
      </c>
      <c r="Z18826" s="61">
        <f>_xll.qlYieldTSDiscount($U$35,Y18826,,Trigger)</f>
        <v>0.36003060486813221</v>
      </c>
    </row>
    <row r="18827" spans="25:26" x14ac:dyDescent="0.25">
      <c r="Y18827" s="63">
        <v>61360</v>
      </c>
      <c r="Z18827" s="61">
        <f>_xll.qlYieldTSDiscount($U$35,Y18827,,Trigger)</f>
        <v>0.36000942233264177</v>
      </c>
    </row>
    <row r="18828" spans="25:26" x14ac:dyDescent="0.25">
      <c r="Y18828" s="63">
        <v>61361</v>
      </c>
      <c r="Z18828" s="61">
        <f>_xll.qlYieldTSDiscount($U$35,Y18828,,Trigger)</f>
        <v>0.35998824093863713</v>
      </c>
    </row>
    <row r="18829" spans="25:26" x14ac:dyDescent="0.25">
      <c r="Y18829" s="63">
        <v>61362</v>
      </c>
      <c r="Z18829" s="61">
        <f>_xll.qlYieldTSDiscount($U$35,Y18829,,Trigger)</f>
        <v>0.35996706068575235</v>
      </c>
    </row>
    <row r="18830" spans="25:26" x14ac:dyDescent="0.25">
      <c r="Y18830" s="63">
        <v>61363</v>
      </c>
      <c r="Z18830" s="61">
        <f>_xll.qlYieldTSDiscount($U$35,Y18830,,Trigger)</f>
        <v>0.35994588157362128</v>
      </c>
    </row>
    <row r="18831" spans="25:26" x14ac:dyDescent="0.25">
      <c r="Y18831" s="63">
        <v>61364</v>
      </c>
      <c r="Z18831" s="61">
        <f>_xll.qlYieldTSDiscount($U$35,Y18831,,Trigger)</f>
        <v>0.35992470360187823</v>
      </c>
    </row>
    <row r="18832" spans="25:26" x14ac:dyDescent="0.25">
      <c r="Y18832" s="63">
        <v>61365</v>
      </c>
      <c r="Z18832" s="61">
        <f>_xll.qlYieldTSDiscount($U$35,Y18832,,Trigger)</f>
        <v>0.35990352677015691</v>
      </c>
    </row>
    <row r="18833" spans="25:26" x14ac:dyDescent="0.25">
      <c r="Y18833" s="63">
        <v>61366</v>
      </c>
      <c r="Z18833" s="61">
        <f>_xll.qlYieldTSDiscount($U$35,Y18833,,Trigger)</f>
        <v>0.35988235107809163</v>
      </c>
    </row>
    <row r="18834" spans="25:26" x14ac:dyDescent="0.25">
      <c r="Y18834" s="63">
        <v>61367</v>
      </c>
      <c r="Z18834" s="61">
        <f>_xll.qlYieldTSDiscount($U$35,Y18834,,Trigger)</f>
        <v>0.35986117652531624</v>
      </c>
    </row>
    <row r="18835" spans="25:26" x14ac:dyDescent="0.25">
      <c r="Y18835" s="63">
        <v>61368</v>
      </c>
      <c r="Z18835" s="61">
        <f>_xll.qlYieldTSDiscount($U$35,Y18835,,Trigger)</f>
        <v>0.35984000311146491</v>
      </c>
    </row>
    <row r="18836" spans="25:26" x14ac:dyDescent="0.25">
      <c r="Y18836" s="63">
        <v>61369</v>
      </c>
      <c r="Z18836" s="61">
        <f>_xll.qlYieldTSDiscount($U$35,Y18836,,Trigger)</f>
        <v>0.35981883083617139</v>
      </c>
    </row>
    <row r="18837" spans="25:26" x14ac:dyDescent="0.25">
      <c r="Y18837" s="63">
        <v>61370</v>
      </c>
      <c r="Z18837" s="61">
        <f>_xll.qlYieldTSDiscount($U$35,Y18837,,Trigger)</f>
        <v>0.35979765969906996</v>
      </c>
    </row>
    <row r="18838" spans="25:26" x14ac:dyDescent="0.25">
      <c r="Y18838" s="63">
        <v>61371</v>
      </c>
      <c r="Z18838" s="61">
        <f>_xll.qlYieldTSDiscount($U$35,Y18838,,Trigger)</f>
        <v>0.35977648969979459</v>
      </c>
    </row>
    <row r="18839" spans="25:26" x14ac:dyDescent="0.25">
      <c r="Y18839" s="63">
        <v>61372</v>
      </c>
      <c r="Z18839" s="61">
        <f>_xll.qlYieldTSDiscount($U$35,Y18839,,Trigger)</f>
        <v>0.35975532083797918</v>
      </c>
    </row>
    <row r="18840" spans="25:26" x14ac:dyDescent="0.25">
      <c r="Y18840" s="63">
        <v>61373</v>
      </c>
      <c r="Z18840" s="61">
        <f>_xll.qlYieldTSDiscount($U$35,Y18840,,Trigger)</f>
        <v>0.35973415311325785</v>
      </c>
    </row>
    <row r="18841" spans="25:26" x14ac:dyDescent="0.25">
      <c r="Y18841" s="63">
        <v>61374</v>
      </c>
      <c r="Z18841" s="61">
        <f>_xll.qlYieldTSDiscount($U$35,Y18841,,Trigger)</f>
        <v>0.35971298652526468</v>
      </c>
    </row>
    <row r="18842" spans="25:26" x14ac:dyDescent="0.25">
      <c r="Y18842" s="63">
        <v>61375</v>
      </c>
      <c r="Z18842" s="61">
        <f>_xll.qlYieldTSDiscount($U$35,Y18842,,Trigger)</f>
        <v>0.35969182107363357</v>
      </c>
    </row>
    <row r="18843" spans="25:26" x14ac:dyDescent="0.25">
      <c r="Y18843" s="63">
        <v>61376</v>
      </c>
      <c r="Z18843" s="61">
        <f>_xll.qlYieldTSDiscount($U$35,Y18843,,Trigger)</f>
        <v>0.35967065675799859</v>
      </c>
    </row>
    <row r="18844" spans="25:26" x14ac:dyDescent="0.25">
      <c r="Y18844" s="63">
        <v>61377</v>
      </c>
      <c r="Z18844" s="61">
        <f>_xll.qlYieldTSDiscount($U$35,Y18844,,Trigger)</f>
        <v>0.35964949357799381</v>
      </c>
    </row>
    <row r="18845" spans="25:26" x14ac:dyDescent="0.25">
      <c r="Y18845" s="63">
        <v>61378</v>
      </c>
      <c r="Z18845" s="61">
        <f>_xll.qlYieldTSDiscount($U$35,Y18845,,Trigger)</f>
        <v>0.35962833153325313</v>
      </c>
    </row>
    <row r="18846" spans="25:26" x14ac:dyDescent="0.25">
      <c r="Y18846" s="63">
        <v>61379</v>
      </c>
      <c r="Z18846" s="61">
        <f>_xll.qlYieldTSDiscount($U$35,Y18846,,Trigger)</f>
        <v>0.35960717062341069</v>
      </c>
    </row>
    <row r="18847" spans="25:26" x14ac:dyDescent="0.25">
      <c r="Y18847" s="63">
        <v>61380</v>
      </c>
      <c r="Z18847" s="61">
        <f>_xll.qlYieldTSDiscount($U$35,Y18847,,Trigger)</f>
        <v>0.35958601084810043</v>
      </c>
    </row>
    <row r="18848" spans="25:26" x14ac:dyDescent="0.25">
      <c r="Y18848" s="63">
        <v>61381</v>
      </c>
      <c r="Z18848" s="61">
        <f>_xll.qlYieldTSDiscount($U$35,Y18848,,Trigger)</f>
        <v>0.3595648522069565</v>
      </c>
    </row>
    <row r="18849" spans="25:26" x14ac:dyDescent="0.25">
      <c r="Y18849" s="63">
        <v>61382</v>
      </c>
      <c r="Z18849" s="61">
        <f>_xll.qlYieldTSDiscount($U$35,Y18849,,Trigger)</f>
        <v>0.35954369469961273</v>
      </c>
    </row>
    <row r="18850" spans="25:26" x14ac:dyDescent="0.25">
      <c r="Y18850" s="63">
        <v>61383</v>
      </c>
      <c r="Z18850" s="61">
        <f>_xll.qlYieldTSDiscount($U$35,Y18850,,Trigger)</f>
        <v>0.3595225383257033</v>
      </c>
    </row>
    <row r="18851" spans="25:26" x14ac:dyDescent="0.25">
      <c r="Y18851" s="63">
        <v>61384</v>
      </c>
      <c r="Z18851" s="61">
        <f>_xll.qlYieldTSDiscount($U$35,Y18851,,Trigger)</f>
        <v>0.35950138308486224</v>
      </c>
    </row>
    <row r="18852" spans="25:26" x14ac:dyDescent="0.25">
      <c r="Y18852" s="63">
        <v>61385</v>
      </c>
      <c r="Z18852" s="61">
        <f>_xll.qlYieldTSDiscount($U$35,Y18852,,Trigger)</f>
        <v>0.35948022897672338</v>
      </c>
    </row>
    <row r="18853" spans="25:26" x14ac:dyDescent="0.25">
      <c r="Y18853" s="63">
        <v>61386</v>
      </c>
      <c r="Z18853" s="61">
        <f>_xll.qlYieldTSDiscount($U$35,Y18853,,Trigger)</f>
        <v>0.35945907600092097</v>
      </c>
    </row>
    <row r="18854" spans="25:26" x14ac:dyDescent="0.25">
      <c r="Y18854" s="63">
        <v>61387</v>
      </c>
      <c r="Z18854" s="61">
        <f>_xll.qlYieldTSDiscount($U$35,Y18854,,Trigger)</f>
        <v>0.35943792415708897</v>
      </c>
    </row>
    <row r="18855" spans="25:26" x14ac:dyDescent="0.25">
      <c r="Y18855" s="63">
        <v>61388</v>
      </c>
      <c r="Z18855" s="61">
        <f>_xll.qlYieldTSDiscount($U$35,Y18855,,Trigger)</f>
        <v>0.35941677344486123</v>
      </c>
    </row>
    <row r="18856" spans="25:26" x14ac:dyDescent="0.25">
      <c r="Y18856" s="63">
        <v>61389</v>
      </c>
      <c r="Z18856" s="61">
        <f>_xll.qlYieldTSDiscount($U$35,Y18856,,Trigger)</f>
        <v>0.35939562386387192</v>
      </c>
    </row>
    <row r="18857" spans="25:26" x14ac:dyDescent="0.25">
      <c r="Y18857" s="63">
        <v>61390</v>
      </c>
      <c r="Z18857" s="61">
        <f>_xll.qlYieldTSDiscount($U$35,Y18857,,Trigger)</f>
        <v>0.35937447541375511</v>
      </c>
    </row>
    <row r="18858" spans="25:26" x14ac:dyDescent="0.25">
      <c r="Y18858" s="63">
        <v>61391</v>
      </c>
      <c r="Z18858" s="61">
        <f>_xll.qlYieldTSDiscount($U$35,Y18858,,Trigger)</f>
        <v>0.35935332809414477</v>
      </c>
    </row>
    <row r="18859" spans="25:26" x14ac:dyDescent="0.25">
      <c r="Y18859" s="63">
        <v>61392</v>
      </c>
      <c r="Z18859" s="61">
        <f>_xll.qlYieldTSDiscount($U$35,Y18859,,Trigger)</f>
        <v>0.35933218190467486</v>
      </c>
    </row>
    <row r="18860" spans="25:26" x14ac:dyDescent="0.25">
      <c r="Y18860" s="63">
        <v>61393</v>
      </c>
      <c r="Z18860" s="61">
        <f>_xll.qlYieldTSDiscount($U$35,Y18860,,Trigger)</f>
        <v>0.35931103684497956</v>
      </c>
    </row>
    <row r="18861" spans="25:26" x14ac:dyDescent="0.25">
      <c r="Y18861" s="63">
        <v>61394</v>
      </c>
      <c r="Z18861" s="61">
        <f>_xll.qlYieldTSDiscount($U$35,Y18861,,Trigger)</f>
        <v>0.35928989291469271</v>
      </c>
    </row>
    <row r="18862" spans="25:26" x14ac:dyDescent="0.25">
      <c r="Y18862" s="63">
        <v>61395</v>
      </c>
      <c r="Z18862" s="61">
        <f>_xll.qlYieldTSDiscount($U$35,Y18862,,Trigger)</f>
        <v>0.35926875011344833</v>
      </c>
    </row>
    <row r="18863" spans="25:26" x14ac:dyDescent="0.25">
      <c r="Y18863" s="63">
        <v>61396</v>
      </c>
      <c r="Z18863" s="61">
        <f>_xll.qlYieldTSDiscount($U$35,Y18863,,Trigger)</f>
        <v>0.35924760844088066</v>
      </c>
    </row>
    <row r="18864" spans="25:26" x14ac:dyDescent="0.25">
      <c r="Y18864" s="63">
        <v>61397</v>
      </c>
      <c r="Z18864" s="61">
        <f>_xll.qlYieldTSDiscount($U$35,Y18864,,Trigger)</f>
        <v>0.35922646789662349</v>
      </c>
    </row>
    <row r="18865" spans="25:26" x14ac:dyDescent="0.25">
      <c r="Y18865" s="63">
        <v>61398</v>
      </c>
      <c r="Z18865" s="61">
        <f>_xll.qlYieldTSDiscount($U$35,Y18865,,Trigger)</f>
        <v>0.35920532848031095</v>
      </c>
    </row>
    <row r="18866" spans="25:26" x14ac:dyDescent="0.25">
      <c r="Y18866" s="63">
        <v>61399</v>
      </c>
      <c r="Z18866" s="61">
        <f>_xll.qlYieldTSDiscount($U$35,Y18866,,Trigger)</f>
        <v>0.35918419019157705</v>
      </c>
    </row>
    <row r="18867" spans="25:26" x14ac:dyDescent="0.25">
      <c r="Y18867" s="63">
        <v>61400</v>
      </c>
      <c r="Z18867" s="61">
        <f>_xll.qlYieldTSDiscount($U$35,Y18867,,Trigger)</f>
        <v>0.35916305303005591</v>
      </c>
    </row>
    <row r="18868" spans="25:26" x14ac:dyDescent="0.25">
      <c r="Y18868" s="63">
        <v>61401</v>
      </c>
      <c r="Z18868" s="61">
        <f>_xll.qlYieldTSDiscount($U$35,Y18868,,Trigger)</f>
        <v>0.35914191699538128</v>
      </c>
    </row>
    <row r="18869" spans="25:26" x14ac:dyDescent="0.25">
      <c r="Y18869" s="63">
        <v>61402</v>
      </c>
      <c r="Z18869" s="61">
        <f>_xll.qlYieldTSDiscount($U$35,Y18869,,Trigger)</f>
        <v>0.3591207820871874</v>
      </c>
    </row>
    <row r="18870" spans="25:26" x14ac:dyDescent="0.25">
      <c r="Y18870" s="63">
        <v>61403</v>
      </c>
      <c r="Z18870" s="61">
        <f>_xll.qlYieldTSDiscount($U$35,Y18870,,Trigger)</f>
        <v>0.35909964830510832</v>
      </c>
    </row>
    <row r="18871" spans="25:26" x14ac:dyDescent="0.25">
      <c r="Y18871" s="63">
        <v>61404</v>
      </c>
      <c r="Z18871" s="61">
        <f>_xll.qlYieldTSDiscount($U$35,Y18871,,Trigger)</f>
        <v>0.35907851564877791</v>
      </c>
    </row>
    <row r="18872" spans="25:26" x14ac:dyDescent="0.25">
      <c r="Y18872" s="63">
        <v>61405</v>
      </c>
      <c r="Z18872" s="61">
        <f>_xll.qlYieldTSDiscount($U$35,Y18872,,Trigger)</f>
        <v>0.35905738411783028</v>
      </c>
    </row>
    <row r="18873" spans="25:26" x14ac:dyDescent="0.25">
      <c r="Y18873" s="63">
        <v>61406</v>
      </c>
      <c r="Z18873" s="61">
        <f>_xll.qlYieldTSDiscount($U$35,Y18873,,Trigger)</f>
        <v>0.35903625371189951</v>
      </c>
    </row>
    <row r="18874" spans="25:26" x14ac:dyDescent="0.25">
      <c r="Y18874" s="63">
        <v>61407</v>
      </c>
      <c r="Z18874" s="61">
        <f>_xll.qlYieldTSDiscount($U$35,Y18874,,Trigger)</f>
        <v>0.35901512443061945</v>
      </c>
    </row>
    <row r="18875" spans="25:26" x14ac:dyDescent="0.25">
      <c r="Y18875" s="63">
        <v>61408</v>
      </c>
      <c r="Z18875" s="61">
        <f>_xll.qlYieldTSDiscount($U$35,Y18875,,Trigger)</f>
        <v>0.35899399627362427</v>
      </c>
    </row>
    <row r="18876" spans="25:26" x14ac:dyDescent="0.25">
      <c r="Y18876" s="63">
        <v>61409</v>
      </c>
      <c r="Z18876" s="61">
        <f>_xll.qlYieldTSDiscount($U$35,Y18876,,Trigger)</f>
        <v>0.35897286924054794</v>
      </c>
    </row>
    <row r="18877" spans="25:26" x14ac:dyDescent="0.25">
      <c r="Y18877" s="63">
        <v>61410</v>
      </c>
      <c r="Z18877" s="61">
        <f>_xll.qlYieldTSDiscount($U$35,Y18877,,Trigger)</f>
        <v>0.35895174333102442</v>
      </c>
    </row>
    <row r="18878" spans="25:26" x14ac:dyDescent="0.25">
      <c r="Y18878" s="63">
        <v>61411</v>
      </c>
      <c r="Z18878" s="61">
        <f>_xll.qlYieldTSDiscount($U$35,Y18878,,Trigger)</f>
        <v>0.35893061854468788</v>
      </c>
    </row>
    <row r="18879" spans="25:26" x14ac:dyDescent="0.25">
      <c r="Y18879" s="63">
        <v>61412</v>
      </c>
      <c r="Z18879" s="61">
        <f>_xll.qlYieldTSDiscount($U$35,Y18879,,Trigger)</f>
        <v>0.35890949488117219</v>
      </c>
    </row>
    <row r="18880" spans="25:26" x14ac:dyDescent="0.25">
      <c r="Y18880" s="63">
        <v>61413</v>
      </c>
      <c r="Z18880" s="61">
        <f>_xll.qlYieldTSDiscount($U$35,Y18880,,Trigger)</f>
        <v>0.35888837234011156</v>
      </c>
    </row>
    <row r="18881" spans="25:26" x14ac:dyDescent="0.25">
      <c r="Y18881" s="63">
        <v>61414</v>
      </c>
      <c r="Z18881" s="61">
        <f>_xll.qlYieldTSDiscount($U$35,Y18881,,Trigger)</f>
        <v>0.3588672509211398</v>
      </c>
    </row>
    <row r="18882" spans="25:26" x14ac:dyDescent="0.25">
      <c r="Y18882" s="63">
        <v>61415</v>
      </c>
      <c r="Z18882" s="61">
        <f>_xll.qlYieldTSDiscount($U$35,Y18882,,Trigger)</f>
        <v>0.35884613062389104</v>
      </c>
    </row>
    <row r="18883" spans="25:26" x14ac:dyDescent="0.25">
      <c r="Y18883" s="63">
        <v>61416</v>
      </c>
      <c r="Z18883" s="61">
        <f>_xll.qlYieldTSDiscount($U$35,Y18883,,Trigger)</f>
        <v>0.35882501144799933</v>
      </c>
    </row>
    <row r="18884" spans="25:26" x14ac:dyDescent="0.25">
      <c r="Y18884" s="63">
        <v>61417</v>
      </c>
      <c r="Z18884" s="61">
        <f>_xll.qlYieldTSDiscount($U$35,Y18884,,Trigger)</f>
        <v>0.35880389339309859</v>
      </c>
    </row>
    <row r="18885" spans="25:26" x14ac:dyDescent="0.25">
      <c r="Y18885" s="63">
        <v>61418</v>
      </c>
      <c r="Z18885" s="61">
        <f>_xll.qlYieldTSDiscount($U$35,Y18885,,Trigger)</f>
        <v>0.35878277645882284</v>
      </c>
    </row>
    <row r="18886" spans="25:26" x14ac:dyDescent="0.25">
      <c r="Y18886" s="63">
        <v>61419</v>
      </c>
      <c r="Z18886" s="61">
        <f>_xll.qlYieldTSDiscount($U$35,Y18886,,Trigger)</f>
        <v>0.35876166064480636</v>
      </c>
    </row>
    <row r="18887" spans="25:26" x14ac:dyDescent="0.25">
      <c r="Y18887" s="63">
        <v>61420</v>
      </c>
      <c r="Z18887" s="61">
        <f>_xll.qlYieldTSDiscount($U$35,Y18887,,Trigger)</f>
        <v>0.35874054595068283</v>
      </c>
    </row>
    <row r="18888" spans="25:26" x14ac:dyDescent="0.25">
      <c r="Y18888" s="63">
        <v>61421</v>
      </c>
      <c r="Z18888" s="61">
        <f>_xll.qlYieldTSDiscount($U$35,Y18888,,Trigger)</f>
        <v>0.35871943237608639</v>
      </c>
    </row>
    <row r="18889" spans="25:26" x14ac:dyDescent="0.25">
      <c r="Y18889" s="63">
        <v>61422</v>
      </c>
      <c r="Z18889" s="61">
        <f>_xll.qlYieldTSDiscount($U$35,Y18889,,Trigger)</f>
        <v>0.35869831992065121</v>
      </c>
    </row>
    <row r="18890" spans="25:26" x14ac:dyDescent="0.25">
      <c r="Y18890" s="63">
        <v>61423</v>
      </c>
      <c r="Z18890" s="61">
        <f>_xll.qlYieldTSDiscount($U$35,Y18890,,Trigger)</f>
        <v>0.35867720858401109</v>
      </c>
    </row>
    <row r="18891" spans="25:26" x14ac:dyDescent="0.25">
      <c r="Y18891" s="63">
        <v>61424</v>
      </c>
      <c r="Z18891" s="61">
        <f>_xll.qlYieldTSDiscount($U$35,Y18891,,Trigger)</f>
        <v>0.3586560983658002</v>
      </c>
    </row>
    <row r="18892" spans="25:26" x14ac:dyDescent="0.25">
      <c r="Y18892" s="63">
        <v>61425</v>
      </c>
      <c r="Z18892" s="61">
        <f>_xll.qlYieldTSDiscount($U$35,Y18892,,Trigger)</f>
        <v>0.35863498926565246</v>
      </c>
    </row>
    <row r="18893" spans="25:26" x14ac:dyDescent="0.25">
      <c r="Y18893" s="63">
        <v>61426</v>
      </c>
      <c r="Z18893" s="61">
        <f>_xll.qlYieldTSDiscount($U$35,Y18893,,Trigger)</f>
        <v>0.35861388128320204</v>
      </c>
    </row>
    <row r="18894" spans="25:26" x14ac:dyDescent="0.25">
      <c r="Y18894" s="63">
        <v>61427</v>
      </c>
      <c r="Z18894" s="61">
        <f>_xll.qlYieldTSDiscount($U$35,Y18894,,Trigger)</f>
        <v>0.35859277441808279</v>
      </c>
    </row>
    <row r="18895" spans="25:26" x14ac:dyDescent="0.25">
      <c r="Y18895" s="63">
        <v>61428</v>
      </c>
      <c r="Z18895" s="61">
        <f>_xll.qlYieldTSDiscount($U$35,Y18895,,Trigger)</f>
        <v>0.35857166866992884</v>
      </c>
    </row>
    <row r="18896" spans="25:26" x14ac:dyDescent="0.25">
      <c r="Y18896" s="63">
        <v>61429</v>
      </c>
      <c r="Z18896" s="61">
        <f>_xll.qlYieldTSDiscount($U$35,Y18896,,Trigger)</f>
        <v>0.35855056403837415</v>
      </c>
    </row>
    <row r="18897" spans="25:26" x14ac:dyDescent="0.25">
      <c r="Y18897" s="63">
        <v>61430</v>
      </c>
      <c r="Z18897" s="61">
        <f>_xll.qlYieldTSDiscount($U$35,Y18897,,Trigger)</f>
        <v>0.35852946052305279</v>
      </c>
    </row>
    <row r="18898" spans="25:26" x14ac:dyDescent="0.25">
      <c r="Y18898" s="63">
        <v>61431</v>
      </c>
      <c r="Z18898" s="61">
        <f>_xll.qlYieldTSDiscount($U$35,Y18898,,Trigger)</f>
        <v>0.35850835812359882</v>
      </c>
    </row>
    <row r="18899" spans="25:26" x14ac:dyDescent="0.25">
      <c r="Y18899" s="63">
        <v>61432</v>
      </c>
      <c r="Z18899" s="61">
        <f>_xll.qlYieldTSDiscount($U$35,Y18899,,Trigger)</f>
        <v>0.35848725683964616</v>
      </c>
    </row>
    <row r="18900" spans="25:26" x14ac:dyDescent="0.25">
      <c r="Y18900" s="63">
        <v>61433</v>
      </c>
      <c r="Z18900" s="61">
        <f>_xll.qlYieldTSDiscount($U$35,Y18900,,Trigger)</f>
        <v>0.35846615667082882</v>
      </c>
    </row>
    <row r="18901" spans="25:26" x14ac:dyDescent="0.25">
      <c r="Y18901" s="63">
        <v>61434</v>
      </c>
      <c r="Z18901" s="61">
        <f>_xll.qlYieldTSDiscount($U$35,Y18901,,Trigger)</f>
        <v>0.35844505761678097</v>
      </c>
    </row>
    <row r="18902" spans="25:26" x14ac:dyDescent="0.25">
      <c r="Y18902" s="63">
        <v>61435</v>
      </c>
      <c r="Z18902" s="61">
        <f>_xll.qlYieldTSDiscount($U$35,Y18902,,Trigger)</f>
        <v>0.35842395967713658</v>
      </c>
    </row>
    <row r="18903" spans="25:26" x14ac:dyDescent="0.25">
      <c r="Y18903" s="63">
        <v>61436</v>
      </c>
      <c r="Z18903" s="61">
        <f>_xll.qlYieldTSDiscount($U$35,Y18903,,Trigger)</f>
        <v>0.3584028628515295</v>
      </c>
    </row>
    <row r="18904" spans="25:26" x14ac:dyDescent="0.25">
      <c r="Y18904" s="63">
        <v>61437</v>
      </c>
      <c r="Z18904" s="61">
        <f>_xll.qlYieldTSDiscount($U$35,Y18904,,Trigger)</f>
        <v>0.35838176713959391</v>
      </c>
    </row>
    <row r="18905" spans="25:26" x14ac:dyDescent="0.25">
      <c r="Y18905" s="63">
        <v>61438</v>
      </c>
      <c r="Z18905" s="61">
        <f>_xll.qlYieldTSDiscount($U$35,Y18905,,Trigger)</f>
        <v>0.35836067254096393</v>
      </c>
    </row>
    <row r="18906" spans="25:26" x14ac:dyDescent="0.25">
      <c r="Y18906" s="63">
        <v>61439</v>
      </c>
      <c r="Z18906" s="61">
        <f>_xll.qlYieldTSDiscount($U$35,Y18906,,Trigger)</f>
        <v>0.35833957905527336</v>
      </c>
    </row>
    <row r="18907" spans="25:26" x14ac:dyDescent="0.25">
      <c r="Y18907" s="63">
        <v>61440</v>
      </c>
      <c r="Z18907" s="61">
        <f>_xll.qlYieldTSDiscount($U$35,Y18907,,Trigger)</f>
        <v>0.35831848668215627</v>
      </c>
    </row>
    <row r="18908" spans="25:26" x14ac:dyDescent="0.25">
      <c r="Y18908" s="63">
        <v>61441</v>
      </c>
      <c r="Z18908" s="61">
        <f>_xll.qlYieldTSDiscount($U$35,Y18908,,Trigger)</f>
        <v>0.35829739542124683</v>
      </c>
    </row>
    <row r="18909" spans="25:26" x14ac:dyDescent="0.25">
      <c r="Y18909" s="63">
        <v>61442</v>
      </c>
      <c r="Z18909" s="61">
        <f>_xll.qlYieldTSDiscount($U$35,Y18909,,Trigger)</f>
        <v>0.35827630527217896</v>
      </c>
    </row>
    <row r="18910" spans="25:26" x14ac:dyDescent="0.25">
      <c r="Y18910" s="63">
        <v>61443</v>
      </c>
      <c r="Z18910" s="61">
        <f>_xll.qlYieldTSDiscount($U$35,Y18910,,Trigger)</f>
        <v>0.35825521623458667</v>
      </c>
    </row>
    <row r="18911" spans="25:26" x14ac:dyDescent="0.25">
      <c r="Y18911" s="63">
        <v>61444</v>
      </c>
      <c r="Z18911" s="61">
        <f>_xll.qlYieldTSDiscount($U$35,Y18911,,Trigger)</f>
        <v>0.35823412830810397</v>
      </c>
    </row>
    <row r="18912" spans="25:26" x14ac:dyDescent="0.25">
      <c r="Y18912" s="63">
        <v>61445</v>
      </c>
      <c r="Z18912" s="61">
        <f>_xll.qlYieldTSDiscount($U$35,Y18912,,Trigger)</f>
        <v>0.35821304149236499</v>
      </c>
    </row>
    <row r="18913" spans="25:26" x14ac:dyDescent="0.25">
      <c r="Y18913" s="63">
        <v>61446</v>
      </c>
      <c r="Z18913" s="61">
        <f>_xll.qlYieldTSDiscount($U$35,Y18913,,Trigger)</f>
        <v>0.35819195578700358</v>
      </c>
    </row>
    <row r="18914" spans="25:26" x14ac:dyDescent="0.25">
      <c r="Y18914" s="63">
        <v>61447</v>
      </c>
      <c r="Z18914" s="61">
        <f>_xll.qlYieldTSDiscount($U$35,Y18914,,Trigger)</f>
        <v>0.35817087119165392</v>
      </c>
    </row>
    <row r="18915" spans="25:26" x14ac:dyDescent="0.25">
      <c r="Y18915" s="63">
        <v>61448</v>
      </c>
      <c r="Z18915" s="61">
        <f>_xll.qlYieldTSDiscount($U$35,Y18915,,Trigger)</f>
        <v>0.35814978770594996</v>
      </c>
    </row>
    <row r="18916" spans="25:26" x14ac:dyDescent="0.25">
      <c r="Y18916" s="63">
        <v>61449</v>
      </c>
      <c r="Z18916" s="61">
        <f>_xll.qlYieldTSDiscount($U$35,Y18916,,Trigger)</f>
        <v>0.35812870532952568</v>
      </c>
    </row>
    <row r="18917" spans="25:26" x14ac:dyDescent="0.25">
      <c r="Y18917" s="63">
        <v>61450</v>
      </c>
      <c r="Z18917" s="61">
        <f>_xll.qlYieldTSDiscount($U$35,Y18917,,Trigger)</f>
        <v>0.35810762406201518</v>
      </c>
    </row>
    <row r="18918" spans="25:26" x14ac:dyDescent="0.25">
      <c r="Y18918" s="63">
        <v>61451</v>
      </c>
      <c r="Z18918" s="61">
        <f>_xll.qlYieldTSDiscount($U$35,Y18918,,Trigger)</f>
        <v>0.3580865439030525</v>
      </c>
    </row>
    <row r="18919" spans="25:26" x14ac:dyDescent="0.25">
      <c r="Y18919" s="63">
        <v>61452</v>
      </c>
      <c r="Z18919" s="61">
        <f>_xll.qlYieldTSDiscount($U$35,Y18919,,Trigger)</f>
        <v>0.35806546485227153</v>
      </c>
    </row>
    <row r="18920" spans="25:26" x14ac:dyDescent="0.25">
      <c r="Y18920" s="63">
        <v>61453</v>
      </c>
      <c r="Z18920" s="61">
        <f>_xll.qlYieldTSDiscount($U$35,Y18920,,Trigger)</f>
        <v>0.3580443869093064</v>
      </c>
    </row>
    <row r="18921" spans="25:26" x14ac:dyDescent="0.25">
      <c r="Y18921" s="63">
        <v>61454</v>
      </c>
      <c r="Z18921" s="61">
        <f>_xll.qlYieldTSDiscount($U$35,Y18921,,Trigger)</f>
        <v>0.35802331007379112</v>
      </c>
    </row>
    <row r="18922" spans="25:26" x14ac:dyDescent="0.25">
      <c r="Y18922" s="63">
        <v>61455</v>
      </c>
      <c r="Z18922" s="61">
        <f>_xll.qlYieldTSDiscount($U$35,Y18922,,Trigger)</f>
        <v>0.35800223434535972</v>
      </c>
    </row>
    <row r="18923" spans="25:26" x14ac:dyDescent="0.25">
      <c r="Y18923" s="63">
        <v>61456</v>
      </c>
      <c r="Z18923" s="61">
        <f>_xll.qlYieldTSDiscount($U$35,Y18923,,Trigger)</f>
        <v>0.35798115972364614</v>
      </c>
    </row>
    <row r="18924" spans="25:26" x14ac:dyDescent="0.25">
      <c r="Y18924" s="63">
        <v>61457</v>
      </c>
      <c r="Z18924" s="61">
        <f>_xll.qlYieldTSDiscount($U$35,Y18924,,Trigger)</f>
        <v>0.35796008620828446</v>
      </c>
    </row>
    <row r="18925" spans="25:26" x14ac:dyDescent="0.25">
      <c r="Y18925" s="63">
        <v>61458</v>
      </c>
      <c r="Z18925" s="61">
        <f>_xll.qlYieldTSDiscount($U$35,Y18925,,Trigger)</f>
        <v>0.3579390137989088</v>
      </c>
    </row>
    <row r="18926" spans="25:26" x14ac:dyDescent="0.25">
      <c r="Y18926" s="63">
        <v>61459</v>
      </c>
      <c r="Z18926" s="61">
        <f>_xll.qlYieldTSDiscount($U$35,Y18926,,Trigger)</f>
        <v>0.35791794249515307</v>
      </c>
    </row>
    <row r="18927" spans="25:26" x14ac:dyDescent="0.25">
      <c r="Y18927" s="63">
        <v>61460</v>
      </c>
      <c r="Z18927" s="61">
        <f>_xll.qlYieldTSDiscount($U$35,Y18927,,Trigger)</f>
        <v>0.35789687229665124</v>
      </c>
    </row>
    <row r="18928" spans="25:26" x14ac:dyDescent="0.25">
      <c r="Y18928" s="63">
        <v>61461</v>
      </c>
      <c r="Z18928" s="61">
        <f>_xll.qlYieldTSDiscount($U$35,Y18928,,Trigger)</f>
        <v>0.35787580320303747</v>
      </c>
    </row>
    <row r="18929" spans="25:26" x14ac:dyDescent="0.25">
      <c r="Y18929" s="63">
        <v>61462</v>
      </c>
      <c r="Z18929" s="61">
        <f>_xll.qlYieldTSDiscount($U$35,Y18929,,Trigger)</f>
        <v>0.35785473521394573</v>
      </c>
    </row>
    <row r="18930" spans="25:26" x14ac:dyDescent="0.25">
      <c r="Y18930" s="63">
        <v>61463</v>
      </c>
      <c r="Z18930" s="61">
        <f>_xll.qlYieldTSDiscount($U$35,Y18930,,Trigger)</f>
        <v>0.35783366832900992</v>
      </c>
    </row>
    <row r="18931" spans="25:26" x14ac:dyDescent="0.25">
      <c r="Y18931" s="63">
        <v>61464</v>
      </c>
      <c r="Z18931" s="61">
        <f>_xll.qlYieldTSDiscount($U$35,Y18931,,Trigger)</f>
        <v>0.35781260254786423</v>
      </c>
    </row>
    <row r="18932" spans="25:26" x14ac:dyDescent="0.25">
      <c r="Y18932" s="63">
        <v>61465</v>
      </c>
      <c r="Z18932" s="61">
        <f>_xll.qlYieldTSDiscount($U$35,Y18932,,Trigger)</f>
        <v>0.35779153787014262</v>
      </c>
    </row>
    <row r="18933" spans="25:26" x14ac:dyDescent="0.25">
      <c r="Y18933" s="63">
        <v>61466</v>
      </c>
      <c r="Z18933" s="61">
        <f>_xll.qlYieldTSDiscount($U$35,Y18933,,Trigger)</f>
        <v>0.35777047429547904</v>
      </c>
    </row>
    <row r="18934" spans="25:26" x14ac:dyDescent="0.25">
      <c r="Y18934" s="63">
        <v>61467</v>
      </c>
      <c r="Z18934" s="61">
        <f>_xll.qlYieldTSDiscount($U$35,Y18934,,Trigger)</f>
        <v>0.35774941182350772</v>
      </c>
    </row>
    <row r="18935" spans="25:26" x14ac:dyDescent="0.25">
      <c r="Y18935" s="63">
        <v>61468</v>
      </c>
      <c r="Z18935" s="61">
        <f>_xll.qlYieldTSDiscount($U$35,Y18935,,Trigger)</f>
        <v>0.35772835045386242</v>
      </c>
    </row>
    <row r="18936" spans="25:26" x14ac:dyDescent="0.25">
      <c r="Y18936" s="63">
        <v>61469</v>
      </c>
      <c r="Z18936" s="61">
        <f>_xll.qlYieldTSDiscount($U$35,Y18936,,Trigger)</f>
        <v>0.35770729018617731</v>
      </c>
    </row>
    <row r="18937" spans="25:26" x14ac:dyDescent="0.25">
      <c r="Y18937" s="63">
        <v>61470</v>
      </c>
      <c r="Z18937" s="61">
        <f>_xll.qlYieldTSDiscount($U$35,Y18937,,Trigger)</f>
        <v>0.3576862310200864</v>
      </c>
    </row>
    <row r="18938" spans="25:26" x14ac:dyDescent="0.25">
      <c r="Y18938" s="63">
        <v>61471</v>
      </c>
      <c r="Z18938" s="61">
        <f>_xll.qlYieldTSDiscount($U$35,Y18938,,Trigger)</f>
        <v>0.35766517295522376</v>
      </c>
    </row>
    <row r="18939" spans="25:26" x14ac:dyDescent="0.25">
      <c r="Y18939" s="63">
        <v>61472</v>
      </c>
      <c r="Z18939" s="61">
        <f>_xll.qlYieldTSDiscount($U$35,Y18939,,Trigger)</f>
        <v>0.35764411599122325</v>
      </c>
    </row>
    <row r="18940" spans="25:26" x14ac:dyDescent="0.25">
      <c r="Y18940" s="63">
        <v>61473</v>
      </c>
      <c r="Z18940" s="61">
        <f>_xll.qlYieldTSDiscount($U$35,Y18940,,Trigger)</f>
        <v>0.35762306012771911</v>
      </c>
    </row>
    <row r="18941" spans="25:26" x14ac:dyDescent="0.25">
      <c r="Y18941" s="63">
        <v>61474</v>
      </c>
      <c r="Z18941" s="61">
        <f>_xll.qlYieldTSDiscount($U$35,Y18941,,Trigger)</f>
        <v>0.35760200536434517</v>
      </c>
    </row>
    <row r="18942" spans="25:26" x14ac:dyDescent="0.25">
      <c r="Y18942" s="63">
        <v>61475</v>
      </c>
      <c r="Z18942" s="61">
        <f>_xll.qlYieldTSDiscount($U$35,Y18942,,Trigger)</f>
        <v>0.35758095170073556</v>
      </c>
    </row>
    <row r="18943" spans="25:26" x14ac:dyDescent="0.25">
      <c r="Y18943" s="63">
        <v>61476</v>
      </c>
      <c r="Z18943" s="61">
        <f>_xll.qlYieldTSDiscount($U$35,Y18943,,Trigger)</f>
        <v>0.3575598991365242</v>
      </c>
    </row>
    <row r="18944" spans="25:26" x14ac:dyDescent="0.25">
      <c r="Y18944" s="63">
        <v>61477</v>
      </c>
      <c r="Z18944" s="61">
        <f>_xll.qlYieldTSDiscount($U$35,Y18944,,Trigger)</f>
        <v>0.35753884767134525</v>
      </c>
    </row>
    <row r="18945" spans="25:26" x14ac:dyDescent="0.25">
      <c r="Y18945" s="63">
        <v>61478</v>
      </c>
      <c r="Z18945" s="61">
        <f>_xll.qlYieldTSDiscount($U$35,Y18945,,Trigger)</f>
        <v>0.35751779730483263</v>
      </c>
    </row>
    <row r="18946" spans="25:26" x14ac:dyDescent="0.25">
      <c r="Y18946" s="63">
        <v>61479</v>
      </c>
      <c r="Z18946" s="61">
        <f>_xll.qlYieldTSDiscount($U$35,Y18946,,Trigger)</f>
        <v>0.3574967480366204</v>
      </c>
    </row>
    <row r="18947" spans="25:26" x14ac:dyDescent="0.25">
      <c r="Y18947" s="63">
        <v>61480</v>
      </c>
      <c r="Z18947" s="61">
        <f>_xll.qlYieldTSDiscount($U$35,Y18947,,Trigger)</f>
        <v>0.35747569986634259</v>
      </c>
    </row>
    <row r="18948" spans="25:26" x14ac:dyDescent="0.25">
      <c r="Y18948" s="63">
        <v>61481</v>
      </c>
      <c r="Z18948" s="61">
        <f>_xll.qlYieldTSDiscount($U$35,Y18948,,Trigger)</f>
        <v>0.3574546527936332</v>
      </c>
    </row>
    <row r="18949" spans="25:26" x14ac:dyDescent="0.25">
      <c r="Y18949" s="63">
        <v>61482</v>
      </c>
      <c r="Z18949" s="61">
        <f>_xll.qlYieldTSDiscount($U$35,Y18949,,Trigger)</f>
        <v>0.35743360681812625</v>
      </c>
    </row>
    <row r="18950" spans="25:26" x14ac:dyDescent="0.25">
      <c r="Y18950" s="63">
        <v>61483</v>
      </c>
      <c r="Z18950" s="61">
        <f>_xll.qlYieldTSDiscount($U$35,Y18950,,Trigger)</f>
        <v>0.35741256193945581</v>
      </c>
    </row>
    <row r="18951" spans="25:26" x14ac:dyDescent="0.25">
      <c r="Y18951" s="63">
        <v>61484</v>
      </c>
      <c r="Z18951" s="61">
        <f>_xll.qlYieldTSDiscount($U$35,Y18951,,Trigger)</f>
        <v>0.35739151815725578</v>
      </c>
    </row>
    <row r="18952" spans="25:26" x14ac:dyDescent="0.25">
      <c r="Y18952" s="63">
        <v>61485</v>
      </c>
      <c r="Z18952" s="61">
        <f>_xll.qlYieldTSDiscount($U$35,Y18952,,Trigger)</f>
        <v>0.3573704754711603</v>
      </c>
    </row>
    <row r="18953" spans="25:26" x14ac:dyDescent="0.25">
      <c r="Y18953" s="63">
        <v>61486</v>
      </c>
      <c r="Z18953" s="61">
        <f>_xll.qlYieldTSDiscount($U$35,Y18953,,Trigger)</f>
        <v>0.35734943388080337</v>
      </c>
    </row>
    <row r="18954" spans="25:26" x14ac:dyDescent="0.25">
      <c r="Y18954" s="63">
        <v>61487</v>
      </c>
      <c r="Z18954" s="61">
        <f>_xll.qlYieldTSDiscount($U$35,Y18954,,Trigger)</f>
        <v>0.35732839338581901</v>
      </c>
    </row>
    <row r="18955" spans="25:26" x14ac:dyDescent="0.25">
      <c r="Y18955" s="63">
        <v>61488</v>
      </c>
      <c r="Z18955" s="61">
        <f>_xll.qlYieldTSDiscount($U$35,Y18955,,Trigger)</f>
        <v>0.35730735398584124</v>
      </c>
    </row>
    <row r="18956" spans="25:26" x14ac:dyDescent="0.25">
      <c r="Y18956" s="63">
        <v>61489</v>
      </c>
      <c r="Z18956" s="61">
        <f>_xll.qlYieldTSDiscount($U$35,Y18956,,Trigger)</f>
        <v>0.35728631568050406</v>
      </c>
    </row>
    <row r="18957" spans="25:26" x14ac:dyDescent="0.25">
      <c r="Y18957" s="63">
        <v>61490</v>
      </c>
      <c r="Z18957" s="61">
        <f>_xll.qlYieldTSDiscount($U$35,Y18957,,Trigger)</f>
        <v>0.35726527846944151</v>
      </c>
    </row>
    <row r="18958" spans="25:26" x14ac:dyDescent="0.25">
      <c r="Y18958" s="63">
        <v>61491</v>
      </c>
      <c r="Z18958" s="61">
        <f>_xll.qlYieldTSDiscount($U$35,Y18958,,Trigger)</f>
        <v>0.35724424235228758</v>
      </c>
    </row>
    <row r="18959" spans="25:26" x14ac:dyDescent="0.25">
      <c r="Y18959" s="63">
        <v>61492</v>
      </c>
      <c r="Z18959" s="61">
        <f>_xll.qlYieldTSDiscount($U$35,Y18959,,Trigger)</f>
        <v>0.35722320732867635</v>
      </c>
    </row>
    <row r="18960" spans="25:26" x14ac:dyDescent="0.25">
      <c r="Y18960" s="63">
        <v>61493</v>
      </c>
      <c r="Z18960" s="61">
        <f>_xll.qlYieldTSDiscount($U$35,Y18960,,Trigger)</f>
        <v>0.35720217339824184</v>
      </c>
    </row>
    <row r="18961" spans="25:26" x14ac:dyDescent="0.25">
      <c r="Y18961" s="63">
        <v>61494</v>
      </c>
      <c r="Z18961" s="61">
        <f>_xll.qlYieldTSDiscount($U$35,Y18961,,Trigger)</f>
        <v>0.357181140560618</v>
      </c>
    </row>
    <row r="18962" spans="25:26" x14ac:dyDescent="0.25">
      <c r="Y18962" s="63">
        <v>61495</v>
      </c>
      <c r="Z18962" s="61">
        <f>_xll.qlYieldTSDiscount($U$35,Y18962,,Trigger)</f>
        <v>0.35716010881543886</v>
      </c>
    </row>
    <row r="18963" spans="25:26" x14ac:dyDescent="0.25">
      <c r="Y18963" s="63">
        <v>61496</v>
      </c>
      <c r="Z18963" s="61">
        <f>_xll.qlYieldTSDiscount($U$35,Y18963,,Trigger)</f>
        <v>0.35713907816233859</v>
      </c>
    </row>
    <row r="18964" spans="25:26" x14ac:dyDescent="0.25">
      <c r="Y18964" s="63">
        <v>61497</v>
      </c>
      <c r="Z18964" s="61">
        <f>_xll.qlYieldTSDiscount($U$35,Y18964,,Trigger)</f>
        <v>0.35711804860095098</v>
      </c>
    </row>
    <row r="18965" spans="25:26" x14ac:dyDescent="0.25">
      <c r="Y18965" s="63">
        <v>61498</v>
      </c>
      <c r="Z18965" s="61">
        <f>_xll.qlYieldTSDiscount($U$35,Y18965,,Trigger)</f>
        <v>0.35709702013091016</v>
      </c>
    </row>
    <row r="18966" spans="25:26" x14ac:dyDescent="0.25">
      <c r="Y18966" s="63">
        <v>61499</v>
      </c>
      <c r="Z18966" s="61">
        <f>_xll.qlYieldTSDiscount($U$35,Y18966,,Trigger)</f>
        <v>0.35707599275185031</v>
      </c>
    </row>
    <row r="18967" spans="25:26" x14ac:dyDescent="0.25">
      <c r="Y18967" s="63">
        <v>61500</v>
      </c>
      <c r="Z18967" s="61">
        <f>_xll.qlYieldTSDiscount($U$35,Y18967,,Trigger)</f>
        <v>0.35705496646340518</v>
      </c>
    </row>
    <row r="18968" spans="25:26" x14ac:dyDescent="0.25">
      <c r="Y18968" s="63">
        <v>61501</v>
      </c>
      <c r="Z18968" s="61">
        <f>_xll.qlYieldTSDiscount($U$35,Y18968,,Trigger)</f>
        <v>0.35703394126520893</v>
      </c>
    </row>
    <row r="18969" spans="25:26" x14ac:dyDescent="0.25">
      <c r="Y18969" s="63">
        <v>61502</v>
      </c>
      <c r="Z18969" s="61">
        <f>_xll.qlYieldTSDiscount($U$35,Y18969,,Trigger)</f>
        <v>0.35701291715689554</v>
      </c>
    </row>
    <row r="18970" spans="25:26" x14ac:dyDescent="0.25">
      <c r="Y18970" s="63">
        <v>61503</v>
      </c>
      <c r="Z18970" s="61">
        <f>_xll.qlYieldTSDiscount($U$35,Y18970,,Trigger)</f>
        <v>0.35699189413809918</v>
      </c>
    </row>
    <row r="18971" spans="25:26" x14ac:dyDescent="0.25">
      <c r="Y18971" s="63">
        <v>61504</v>
      </c>
      <c r="Z18971" s="61">
        <f>_xll.qlYieldTSDiscount($U$35,Y18971,,Trigger)</f>
        <v>0.35697087220845358</v>
      </c>
    </row>
    <row r="18972" spans="25:26" x14ac:dyDescent="0.25">
      <c r="Y18972" s="63">
        <v>61505</v>
      </c>
      <c r="Z18972" s="61">
        <f>_xll.qlYieldTSDiscount($U$35,Y18972,,Trigger)</f>
        <v>0.35694985136759305</v>
      </c>
    </row>
    <row r="18973" spans="25:26" x14ac:dyDescent="0.25">
      <c r="Y18973" s="63">
        <v>61506</v>
      </c>
      <c r="Z18973" s="61">
        <f>_xll.qlYieldTSDiscount($U$35,Y18973,,Trigger)</f>
        <v>0.35692883161515154</v>
      </c>
    </row>
    <row r="18974" spans="25:26" x14ac:dyDescent="0.25">
      <c r="Y18974" s="63">
        <v>61507</v>
      </c>
      <c r="Z18974" s="61">
        <f>_xll.qlYieldTSDiscount($U$35,Y18974,,Trigger)</f>
        <v>0.3569078129507629</v>
      </c>
    </row>
    <row r="18975" spans="25:26" x14ac:dyDescent="0.25">
      <c r="Y18975" s="63">
        <v>61508</v>
      </c>
      <c r="Z18975" s="61">
        <f>_xll.qlYieldTSDiscount($U$35,Y18975,,Trigger)</f>
        <v>0.35688679537406132</v>
      </c>
    </row>
    <row r="18976" spans="25:26" x14ac:dyDescent="0.25">
      <c r="Y18976" s="63">
        <v>61509</v>
      </c>
      <c r="Z18976" s="61">
        <f>_xll.qlYieldTSDiscount($U$35,Y18976,,Trigger)</f>
        <v>0.3568657788846808</v>
      </c>
    </row>
    <row r="18977" spans="25:26" x14ac:dyDescent="0.25">
      <c r="Y18977" s="63">
        <v>61510</v>
      </c>
      <c r="Z18977" s="61">
        <f>_xll.qlYieldTSDiscount($U$35,Y18977,,Trigger)</f>
        <v>0.35684476348225536</v>
      </c>
    </row>
    <row r="18978" spans="25:26" x14ac:dyDescent="0.25">
      <c r="Y18978" s="63">
        <v>61511</v>
      </c>
      <c r="Z18978" s="61">
        <f>_xll.qlYieldTSDiscount($U$35,Y18978,,Trigger)</f>
        <v>0.35682374916641896</v>
      </c>
    </row>
    <row r="18979" spans="25:26" x14ac:dyDescent="0.25">
      <c r="Y18979" s="63">
        <v>61512</v>
      </c>
      <c r="Z18979" s="61">
        <f>_xll.qlYieldTSDiscount($U$35,Y18979,,Trigger)</f>
        <v>0.35680273593680567</v>
      </c>
    </row>
    <row r="18980" spans="25:26" x14ac:dyDescent="0.25">
      <c r="Y18980" s="63">
        <v>61513</v>
      </c>
      <c r="Z18980" s="61">
        <f>_xll.qlYieldTSDiscount($U$35,Y18980,,Trigger)</f>
        <v>0.35678172379304951</v>
      </c>
    </row>
    <row r="18981" spans="25:26" x14ac:dyDescent="0.25">
      <c r="Y18981" s="63">
        <v>61514</v>
      </c>
      <c r="Z18981" s="61">
        <f>_xll.qlYieldTSDiscount($U$35,Y18981,,Trigger)</f>
        <v>0.35676071273478449</v>
      </c>
    </row>
    <row r="18982" spans="25:26" x14ac:dyDescent="0.25">
      <c r="Y18982" s="63">
        <v>61515</v>
      </c>
      <c r="Z18982" s="61">
        <f>_xll.qlYieldTSDiscount($U$35,Y18982,,Trigger)</f>
        <v>0.35673970276164468</v>
      </c>
    </row>
    <row r="18983" spans="25:26" x14ac:dyDescent="0.25">
      <c r="Y18983" s="63">
        <v>61516</v>
      </c>
      <c r="Z18983" s="61">
        <f>_xll.qlYieldTSDiscount($U$35,Y18983,,Trigger)</f>
        <v>0.35671869387326405</v>
      </c>
    </row>
    <row r="18984" spans="25:26" x14ac:dyDescent="0.25">
      <c r="Y18984" s="63">
        <v>61517</v>
      </c>
      <c r="Z18984" s="61">
        <f>_xll.qlYieldTSDiscount($U$35,Y18984,,Trigger)</f>
        <v>0.35669768606927665</v>
      </c>
    </row>
    <row r="18985" spans="25:26" x14ac:dyDescent="0.25">
      <c r="Y18985" s="63">
        <v>61518</v>
      </c>
      <c r="Z18985" s="61">
        <f>_xll.qlYieldTSDiscount($U$35,Y18985,,Trigger)</f>
        <v>0.35667667934931646</v>
      </c>
    </row>
    <row r="18986" spans="25:26" x14ac:dyDescent="0.25">
      <c r="Y18986" s="63">
        <v>61519</v>
      </c>
      <c r="Z18986" s="61">
        <f>_xll.qlYieldTSDiscount($U$35,Y18986,,Trigger)</f>
        <v>0.35665567371301754</v>
      </c>
    </row>
    <row r="18987" spans="25:26" x14ac:dyDescent="0.25">
      <c r="Y18987" s="63">
        <v>61520</v>
      </c>
      <c r="Z18987" s="61">
        <f>_xll.qlYieldTSDiscount($U$35,Y18987,,Trigger)</f>
        <v>0.35663466916001396</v>
      </c>
    </row>
    <row r="18988" spans="25:26" x14ac:dyDescent="0.25">
      <c r="Y18988" s="63">
        <v>61521</v>
      </c>
      <c r="Z18988" s="61">
        <f>_xll.qlYieldTSDiscount($U$35,Y18988,,Trigger)</f>
        <v>0.35661366568993957</v>
      </c>
    </row>
    <row r="18989" spans="25:26" x14ac:dyDescent="0.25">
      <c r="Y18989" s="63">
        <v>61522</v>
      </c>
      <c r="Z18989" s="61">
        <f>_xll.qlYieldTSDiscount($U$35,Y18989,,Trigger)</f>
        <v>0.35659266330242867</v>
      </c>
    </row>
    <row r="18990" spans="25:26" x14ac:dyDescent="0.25">
      <c r="Y18990" s="63">
        <v>61523</v>
      </c>
      <c r="Z18990" s="61">
        <f>_xll.qlYieldTSDiscount($U$35,Y18990,,Trigger)</f>
        <v>0.35657166199711493</v>
      </c>
    </row>
    <row r="18991" spans="25:26" x14ac:dyDescent="0.25">
      <c r="Y18991" s="63">
        <v>61524</v>
      </c>
      <c r="Z18991" s="61">
        <f>_xll.qlYieldTSDiscount($U$35,Y18991,,Trigger)</f>
        <v>0.35655066177363259</v>
      </c>
    </row>
    <row r="18992" spans="25:26" x14ac:dyDescent="0.25">
      <c r="Y18992" s="63">
        <v>61525</v>
      </c>
      <c r="Z18992" s="61">
        <f>_xll.qlYieldTSDiscount($U$35,Y18992,,Trigger)</f>
        <v>0.35652966263161573</v>
      </c>
    </row>
    <row r="18993" spans="25:26" x14ac:dyDescent="0.25">
      <c r="Y18993" s="63">
        <v>61526</v>
      </c>
      <c r="Z18993" s="61">
        <f>_xll.qlYieldTSDiscount($U$35,Y18993,,Trigger)</f>
        <v>0.35650866457069824</v>
      </c>
    </row>
    <row r="18994" spans="25:26" x14ac:dyDescent="0.25">
      <c r="Y18994" s="63">
        <v>61527</v>
      </c>
      <c r="Z18994" s="61">
        <f>_xll.qlYieldTSDiscount($U$35,Y18994,,Trigger)</f>
        <v>0.35648766759051415</v>
      </c>
    </row>
    <row r="18995" spans="25:26" x14ac:dyDescent="0.25">
      <c r="Y18995" s="63">
        <v>61528</v>
      </c>
      <c r="Z18995" s="61">
        <f>_xll.qlYieldTSDiscount($U$35,Y18995,,Trigger)</f>
        <v>0.35646667169069757</v>
      </c>
    </row>
    <row r="18996" spans="25:26" x14ac:dyDescent="0.25">
      <c r="Y18996" s="63">
        <v>61529</v>
      </c>
      <c r="Z18996" s="61">
        <f>_xll.qlYieldTSDiscount($U$35,Y18996,,Trigger)</f>
        <v>0.35644567687088247</v>
      </c>
    </row>
    <row r="18997" spans="25:26" x14ac:dyDescent="0.25">
      <c r="Y18997" s="63">
        <v>61530</v>
      </c>
      <c r="Z18997" s="61">
        <f>_xll.qlYieldTSDiscount($U$35,Y18997,,Trigger)</f>
        <v>0.3564246831307028</v>
      </c>
    </row>
    <row r="18998" spans="25:26" x14ac:dyDescent="0.25">
      <c r="Y18998" s="63">
        <v>61531</v>
      </c>
      <c r="Z18998" s="61">
        <f>_xll.qlYieldTSDiscount($U$35,Y18998,,Trigger)</f>
        <v>0.3564036904697927</v>
      </c>
    </row>
    <row r="18999" spans="25:26" x14ac:dyDescent="0.25">
      <c r="Y18999" s="63">
        <v>61532</v>
      </c>
      <c r="Z18999" s="61">
        <f>_xll.qlYieldTSDiscount($U$35,Y18999,,Trigger)</f>
        <v>0.35638269888778612</v>
      </c>
    </row>
    <row r="19000" spans="25:26" x14ac:dyDescent="0.25">
      <c r="Y19000" s="63">
        <v>61533</v>
      </c>
      <c r="Z19000" s="61">
        <f>_xll.qlYieldTSDiscount($U$35,Y19000,,Trigger)</f>
        <v>0.35636170838431713</v>
      </c>
    </row>
    <row r="19001" spans="25:26" x14ac:dyDescent="0.25">
      <c r="Y19001" s="63">
        <v>61534</v>
      </c>
      <c r="Z19001" s="61">
        <f>_xll.qlYieldTSDiscount($U$35,Y19001,,Trigger)</f>
        <v>0.3563407189590197</v>
      </c>
    </row>
    <row r="19002" spans="25:26" x14ac:dyDescent="0.25">
      <c r="Y19002" s="63">
        <v>61535</v>
      </c>
      <c r="Z19002" s="61">
        <f>_xll.qlYieldTSDiscount($U$35,Y19002,,Trigger)</f>
        <v>0.35631973061152794</v>
      </c>
    </row>
    <row r="19003" spans="25:26" x14ac:dyDescent="0.25">
      <c r="Y19003" s="63">
        <v>61536</v>
      </c>
      <c r="Z19003" s="61">
        <f>_xll.qlYieldTSDiscount($U$35,Y19003,,Trigger)</f>
        <v>0.35629874334147571</v>
      </c>
    </row>
    <row r="19004" spans="25:26" x14ac:dyDescent="0.25">
      <c r="Y19004" s="63">
        <v>61537</v>
      </c>
      <c r="Z19004" s="61">
        <f>_xll.qlYieldTSDiscount($U$35,Y19004,,Trigger)</f>
        <v>0.35627775714849719</v>
      </c>
    </row>
    <row r="19005" spans="25:26" x14ac:dyDescent="0.25">
      <c r="Y19005" s="63">
        <v>61538</v>
      </c>
      <c r="Z19005" s="61">
        <f>_xll.qlYieldTSDiscount($U$35,Y19005,,Trigger)</f>
        <v>0.35625677203222639</v>
      </c>
    </row>
    <row r="19006" spans="25:26" x14ac:dyDescent="0.25">
      <c r="Y19006" s="63">
        <v>61539</v>
      </c>
      <c r="Z19006" s="61">
        <f>_xll.qlYieldTSDiscount($U$35,Y19006,,Trigger)</f>
        <v>0.35623578799229727</v>
      </c>
    </row>
    <row r="19007" spans="25:26" x14ac:dyDescent="0.25">
      <c r="Y19007" s="63">
        <v>61540</v>
      </c>
      <c r="Z19007" s="61">
        <f>_xll.qlYieldTSDiscount($U$35,Y19007,,Trigger)</f>
        <v>0.3562148050283438</v>
      </c>
    </row>
    <row r="19008" spans="25:26" x14ac:dyDescent="0.25">
      <c r="Y19008" s="63">
        <v>61541</v>
      </c>
      <c r="Z19008" s="61">
        <f>_xll.qlYieldTSDiscount($U$35,Y19008,,Trigger)</f>
        <v>0.35619382314000014</v>
      </c>
    </row>
    <row r="19009" spans="25:26" x14ac:dyDescent="0.25">
      <c r="Y19009" s="63">
        <v>61542</v>
      </c>
      <c r="Z19009" s="61">
        <f>_xll.qlYieldTSDiscount($U$35,Y19009,,Trigger)</f>
        <v>0.35617284232690016</v>
      </c>
    </row>
    <row r="19010" spans="25:26" x14ac:dyDescent="0.25">
      <c r="Y19010" s="63">
        <v>61543</v>
      </c>
      <c r="Z19010" s="61">
        <f>_xll.qlYieldTSDiscount($U$35,Y19010,,Trigger)</f>
        <v>0.35615186258867804</v>
      </c>
    </row>
    <row r="19011" spans="25:26" x14ac:dyDescent="0.25">
      <c r="Y19011" s="63">
        <v>61544</v>
      </c>
      <c r="Z19011" s="61">
        <f>_xll.qlYieldTSDiscount($U$35,Y19011,,Trigger)</f>
        <v>0.35613088392496772</v>
      </c>
    </row>
    <row r="19012" spans="25:26" x14ac:dyDescent="0.25">
      <c r="Y19012" s="63">
        <v>61545</v>
      </c>
      <c r="Z19012" s="61">
        <f>_xll.qlYieldTSDiscount($U$35,Y19012,,Trigger)</f>
        <v>0.35610990633540318</v>
      </c>
    </row>
    <row r="19013" spans="25:26" x14ac:dyDescent="0.25">
      <c r="Y19013" s="63">
        <v>61546</v>
      </c>
      <c r="Z19013" s="61">
        <f>_xll.qlYieldTSDiscount($U$35,Y19013,,Trigger)</f>
        <v>0.35608892981961854</v>
      </c>
    </row>
    <row r="19014" spans="25:26" x14ac:dyDescent="0.25">
      <c r="Y19014" s="63">
        <v>61547</v>
      </c>
      <c r="Z19014" s="61">
        <f>_xll.qlYieldTSDiscount($U$35,Y19014,,Trigger)</f>
        <v>0.3560679543772477</v>
      </c>
    </row>
    <row r="19015" spans="25:26" x14ac:dyDescent="0.25">
      <c r="Y19015" s="63">
        <v>61548</v>
      </c>
      <c r="Z19015" s="61">
        <f>_xll.qlYieldTSDiscount($U$35,Y19015,,Trigger)</f>
        <v>0.35604698000792484</v>
      </c>
    </row>
    <row r="19016" spans="25:26" x14ac:dyDescent="0.25">
      <c r="Y19016" s="63">
        <v>61549</v>
      </c>
      <c r="Z19016" s="61">
        <f>_xll.qlYieldTSDiscount($U$35,Y19016,,Trigger)</f>
        <v>0.35602600671128387</v>
      </c>
    </row>
    <row r="19017" spans="25:26" x14ac:dyDescent="0.25">
      <c r="Y19017" s="63">
        <v>61550</v>
      </c>
      <c r="Z19017" s="61">
        <f>_xll.qlYieldTSDiscount($U$35,Y19017,,Trigger)</f>
        <v>0.3560050344869588</v>
      </c>
    </row>
    <row r="19018" spans="25:26" x14ac:dyDescent="0.25">
      <c r="Y19018" s="63">
        <v>61551</v>
      </c>
      <c r="Z19018" s="61">
        <f>_xll.qlYieldTSDiscount($U$35,Y19018,,Trigger)</f>
        <v>0.35598406333458377</v>
      </c>
    </row>
    <row r="19019" spans="25:26" x14ac:dyDescent="0.25">
      <c r="Y19019" s="63">
        <v>61552</v>
      </c>
      <c r="Z19019" s="61">
        <f>_xll.qlYieldTSDiscount($U$35,Y19019,,Trigger)</f>
        <v>0.35596309325379261</v>
      </c>
    </row>
    <row r="19020" spans="25:26" x14ac:dyDescent="0.25">
      <c r="Y19020" s="63">
        <v>61553</v>
      </c>
      <c r="Z19020" s="61">
        <f>_xll.qlYieldTSDiscount($U$35,Y19020,,Trigger)</f>
        <v>0.3559421242442195</v>
      </c>
    </row>
    <row r="19021" spans="25:26" x14ac:dyDescent="0.25">
      <c r="Y19021" s="63">
        <v>61554</v>
      </c>
      <c r="Z19021" s="61">
        <f>_xll.qlYieldTSDiscount($U$35,Y19021,,Trigger)</f>
        <v>0.35592115630549848</v>
      </c>
    </row>
    <row r="19022" spans="25:26" x14ac:dyDescent="0.25">
      <c r="Y19022" s="63">
        <v>61555</v>
      </c>
      <c r="Z19022" s="61">
        <f>_xll.qlYieldTSDiscount($U$35,Y19022,,Trigger)</f>
        <v>0.35590018943726343</v>
      </c>
    </row>
    <row r="19023" spans="25:26" x14ac:dyDescent="0.25">
      <c r="Y19023" s="63">
        <v>61556</v>
      </c>
      <c r="Z19023" s="61">
        <f>_xll.qlYieldTSDiscount($U$35,Y19023,,Trigger)</f>
        <v>0.35587922363914842</v>
      </c>
    </row>
    <row r="19024" spans="25:26" x14ac:dyDescent="0.25">
      <c r="Y19024" s="63">
        <v>61557</v>
      </c>
      <c r="Z19024" s="61">
        <f>_xll.qlYieldTSDiscount($U$35,Y19024,,Trigger)</f>
        <v>0.35585825891078759</v>
      </c>
    </row>
    <row r="19025" spans="25:26" x14ac:dyDescent="0.25">
      <c r="Y19025" s="63">
        <v>61558</v>
      </c>
      <c r="Z19025" s="61">
        <f>_xll.qlYieldTSDiscount($U$35,Y19025,,Trigger)</f>
        <v>0.35583729525181484</v>
      </c>
    </row>
    <row r="19026" spans="25:26" x14ac:dyDescent="0.25">
      <c r="Y19026" s="63">
        <v>61559</v>
      </c>
      <c r="Z19026" s="61">
        <f>_xll.qlYieldTSDiscount($U$35,Y19026,,Trigger)</f>
        <v>0.35581633266186419</v>
      </c>
    </row>
    <row r="19027" spans="25:26" x14ac:dyDescent="0.25">
      <c r="Y19027" s="63">
        <v>61560</v>
      </c>
      <c r="Z19027" s="61">
        <f>_xll.qlYieldTSDiscount($U$35,Y19027,,Trigger)</f>
        <v>0.35579537114056969</v>
      </c>
    </row>
    <row r="19028" spans="25:26" x14ac:dyDescent="0.25">
      <c r="Y19028" s="63">
        <v>61561</v>
      </c>
      <c r="Z19028" s="61">
        <f>_xll.qlYieldTSDiscount($U$35,Y19028,,Trigger)</f>
        <v>0.35577441068756543</v>
      </c>
    </row>
    <row r="19029" spans="25:26" x14ac:dyDescent="0.25">
      <c r="Y19029" s="63">
        <v>61562</v>
      </c>
      <c r="Z19029" s="61">
        <f>_xll.qlYieldTSDiscount($U$35,Y19029,,Trigger)</f>
        <v>0.35575345130248531</v>
      </c>
    </row>
    <row r="19030" spans="25:26" x14ac:dyDescent="0.25">
      <c r="Y19030" s="63">
        <v>61563</v>
      </c>
      <c r="Z19030" s="61">
        <f>_xll.qlYieldTSDiscount($U$35,Y19030,,Trigger)</f>
        <v>0.35573249298496346</v>
      </c>
    </row>
    <row r="19031" spans="25:26" x14ac:dyDescent="0.25">
      <c r="Y19031" s="63">
        <v>61564</v>
      </c>
      <c r="Z19031" s="61">
        <f>_xll.qlYieldTSDiscount($U$35,Y19031,,Trigger)</f>
        <v>0.35571153573463382</v>
      </c>
    </row>
    <row r="19032" spans="25:26" x14ac:dyDescent="0.25">
      <c r="Y19032" s="63">
        <v>61565</v>
      </c>
      <c r="Z19032" s="61">
        <f>_xll.qlYieldTSDiscount($U$35,Y19032,,Trigger)</f>
        <v>0.35569057955113043</v>
      </c>
    </row>
    <row r="19033" spans="25:26" x14ac:dyDescent="0.25">
      <c r="Y19033" s="63">
        <v>61566</v>
      </c>
      <c r="Z19033" s="61">
        <f>_xll.qlYieldTSDiscount($U$35,Y19033,,Trigger)</f>
        <v>0.35566962443408734</v>
      </c>
    </row>
    <row r="19034" spans="25:26" x14ac:dyDescent="0.25">
      <c r="Y19034" s="63">
        <v>61567</v>
      </c>
      <c r="Z19034" s="61">
        <f>_xll.qlYieldTSDiscount($U$35,Y19034,,Trigger)</f>
        <v>0.35564867038313863</v>
      </c>
    </row>
    <row r="19035" spans="25:26" x14ac:dyDescent="0.25">
      <c r="Y19035" s="63">
        <v>61568</v>
      </c>
      <c r="Z19035" s="61">
        <f>_xll.qlYieldTSDiscount($U$35,Y19035,,Trigger)</f>
        <v>0.3556277173979181</v>
      </c>
    </row>
    <row r="19036" spans="25:26" x14ac:dyDescent="0.25">
      <c r="Y19036" s="63">
        <v>61569</v>
      </c>
      <c r="Z19036" s="61">
        <f>_xll.qlYieldTSDiscount($U$35,Y19036,,Trigger)</f>
        <v>0.35560676547806003</v>
      </c>
    </row>
    <row r="19037" spans="25:26" x14ac:dyDescent="0.25">
      <c r="Y19037" s="63">
        <v>61570</v>
      </c>
      <c r="Z19037" s="61">
        <f>_xll.qlYieldTSDiscount($U$35,Y19037,,Trigger)</f>
        <v>0.35558581462319838</v>
      </c>
    </row>
    <row r="19038" spans="25:26" x14ac:dyDescent="0.25">
      <c r="Y19038" s="63">
        <v>61571</v>
      </c>
      <c r="Z19038" s="61">
        <f>_xll.qlYieldTSDiscount($U$35,Y19038,,Trigger)</f>
        <v>0.35556486483296701</v>
      </c>
    </row>
    <row r="19039" spans="25:26" x14ac:dyDescent="0.25">
      <c r="Y19039" s="63">
        <v>61572</v>
      </c>
      <c r="Z19039" s="61">
        <f>_xll.qlYieldTSDiscount($U$35,Y19039,,Trigger)</f>
        <v>0.35554391610700009</v>
      </c>
    </row>
    <row r="19040" spans="25:26" x14ac:dyDescent="0.25">
      <c r="Y19040" s="63">
        <v>61573</v>
      </c>
      <c r="Z19040" s="61">
        <f>_xll.qlYieldTSDiscount($U$35,Y19040,,Trigger)</f>
        <v>0.3555229684449317</v>
      </c>
    </row>
    <row r="19041" spans="25:26" x14ac:dyDescent="0.25">
      <c r="Y19041" s="63">
        <v>61574</v>
      </c>
      <c r="Z19041" s="61">
        <f>_xll.qlYieldTSDiscount($U$35,Y19041,,Trigger)</f>
        <v>0.35550202184639568</v>
      </c>
    </row>
    <row r="19042" spans="25:26" x14ac:dyDescent="0.25">
      <c r="Y19042" s="63">
        <v>61575</v>
      </c>
      <c r="Z19042" s="61">
        <f>_xll.qlYieldTSDiscount($U$35,Y19042,,Trigger)</f>
        <v>0.3554810763110261</v>
      </c>
    </row>
    <row r="19043" spans="25:26" x14ac:dyDescent="0.25">
      <c r="Y19043" s="63">
        <v>61576</v>
      </c>
      <c r="Z19043" s="61">
        <f>_xll.qlYieldTSDiscount($U$35,Y19043,,Trigger)</f>
        <v>0.35546013183845704</v>
      </c>
    </row>
    <row r="19044" spans="25:26" x14ac:dyDescent="0.25">
      <c r="Y19044" s="63">
        <v>61577</v>
      </c>
      <c r="Z19044" s="61">
        <f>_xll.qlYieldTSDiscount($U$35,Y19044,,Trigger)</f>
        <v>0.35543918842832267</v>
      </c>
    </row>
    <row r="19045" spans="25:26" x14ac:dyDescent="0.25">
      <c r="Y19045" s="63">
        <v>61578</v>
      </c>
      <c r="Z19045" s="61">
        <f>_xll.qlYieldTSDiscount($U$35,Y19045,,Trigger)</f>
        <v>0.35541824608025674</v>
      </c>
    </row>
    <row r="19046" spans="25:26" x14ac:dyDescent="0.25">
      <c r="Y19046" s="63">
        <v>61579</v>
      </c>
      <c r="Z19046" s="61">
        <f>_xll.qlYieldTSDiscount($U$35,Y19046,,Trigger)</f>
        <v>0.35539730479389331</v>
      </c>
    </row>
    <row r="19047" spans="25:26" x14ac:dyDescent="0.25">
      <c r="Y19047" s="63">
        <v>61580</v>
      </c>
      <c r="Z19047" s="61">
        <f>_xll.qlYieldTSDiscount($U$35,Y19047,,Trigger)</f>
        <v>0.35537636456886657</v>
      </c>
    </row>
    <row r="19048" spans="25:26" x14ac:dyDescent="0.25">
      <c r="Y19048" s="63">
        <v>61581</v>
      </c>
      <c r="Z19048" s="61">
        <f>_xll.qlYieldTSDiscount($U$35,Y19048,,Trigger)</f>
        <v>0.35535542540481035</v>
      </c>
    </row>
    <row r="19049" spans="25:26" x14ac:dyDescent="0.25">
      <c r="Y19049" s="63">
        <v>61582</v>
      </c>
      <c r="Z19049" s="61">
        <f>_xll.qlYieldTSDiscount($U$35,Y19049,,Trigger)</f>
        <v>0.35533448730135886</v>
      </c>
    </row>
    <row r="19050" spans="25:26" x14ac:dyDescent="0.25">
      <c r="Y19050" s="63">
        <v>61583</v>
      </c>
      <c r="Z19050" s="61">
        <f>_xll.qlYieldTSDiscount($U$35,Y19050,,Trigger)</f>
        <v>0.35531355025814604</v>
      </c>
    </row>
    <row r="19051" spans="25:26" x14ac:dyDescent="0.25">
      <c r="Y19051" s="63">
        <v>61584</v>
      </c>
      <c r="Z19051" s="61">
        <f>_xll.qlYieldTSDiscount($U$35,Y19051,,Trigger)</f>
        <v>0.35529261427480585</v>
      </c>
    </row>
    <row r="19052" spans="25:26" x14ac:dyDescent="0.25">
      <c r="Y19052" s="63">
        <v>61585</v>
      </c>
      <c r="Z19052" s="61">
        <f>_xll.qlYieldTSDiscount($U$35,Y19052,,Trigger)</f>
        <v>0.35527167935097231</v>
      </c>
    </row>
    <row r="19053" spans="25:26" x14ac:dyDescent="0.25">
      <c r="Y19053" s="63">
        <v>61586</v>
      </c>
      <c r="Z19053" s="61">
        <f>_xll.qlYieldTSDiscount($U$35,Y19053,,Trigger)</f>
        <v>0.35525074548627961</v>
      </c>
    </row>
    <row r="19054" spans="25:26" x14ac:dyDescent="0.25">
      <c r="Y19054" s="63">
        <v>61587</v>
      </c>
      <c r="Z19054" s="61">
        <f>_xll.qlYieldTSDiscount($U$35,Y19054,,Trigger)</f>
        <v>0.35522981268036158</v>
      </c>
    </row>
    <row r="19055" spans="25:26" x14ac:dyDescent="0.25">
      <c r="Y19055" s="63">
        <v>61588</v>
      </c>
      <c r="Z19055" s="61">
        <f>_xll.qlYieldTSDiscount($U$35,Y19055,,Trigger)</f>
        <v>0.3552088809328523</v>
      </c>
    </row>
    <row r="19056" spans="25:26" x14ac:dyDescent="0.25">
      <c r="Y19056" s="63">
        <v>61589</v>
      </c>
      <c r="Z19056" s="61">
        <f>_xll.qlYieldTSDiscount($U$35,Y19056,,Trigger)</f>
        <v>0.3551879502433859</v>
      </c>
    </row>
    <row r="19057" spans="25:26" x14ac:dyDescent="0.25">
      <c r="Y19057" s="63">
        <v>61590</v>
      </c>
      <c r="Z19057" s="61">
        <f>_xll.qlYieldTSDiscount($U$35,Y19057,,Trigger)</f>
        <v>0.35516702061159622</v>
      </c>
    </row>
    <row r="19058" spans="25:26" x14ac:dyDescent="0.25">
      <c r="Y19058" s="63">
        <v>61591</v>
      </c>
      <c r="Z19058" s="61">
        <f>_xll.qlYieldTSDiscount($U$35,Y19058,,Trigger)</f>
        <v>0.35514609203711744</v>
      </c>
    </row>
    <row r="19059" spans="25:26" x14ac:dyDescent="0.25">
      <c r="Y19059" s="63">
        <v>61592</v>
      </c>
      <c r="Z19059" s="61">
        <f>_xll.qlYieldTSDiscount($U$35,Y19059,,Trigger)</f>
        <v>0.35512516451958343</v>
      </c>
    </row>
    <row r="19060" spans="25:26" x14ac:dyDescent="0.25">
      <c r="Y19060" s="63">
        <v>61593</v>
      </c>
      <c r="Z19060" s="61">
        <f>_xll.qlYieldTSDiscount($U$35,Y19060,,Trigger)</f>
        <v>0.3551042380586284</v>
      </c>
    </row>
    <row r="19061" spans="25:26" x14ac:dyDescent="0.25">
      <c r="Y19061" s="63">
        <v>61594</v>
      </c>
      <c r="Z19061" s="61">
        <f>_xll.qlYieldTSDiscount($U$35,Y19061,,Trigger)</f>
        <v>0.35508331265388621</v>
      </c>
    </row>
    <row r="19062" spans="25:26" x14ac:dyDescent="0.25">
      <c r="Y19062" s="63">
        <v>61595</v>
      </c>
      <c r="Z19062" s="61">
        <f>_xll.qlYieldTSDiscount($U$35,Y19062,,Trigger)</f>
        <v>0.35506238830499093</v>
      </c>
    </row>
    <row r="19063" spans="25:26" x14ac:dyDescent="0.25">
      <c r="Y19063" s="63">
        <v>61596</v>
      </c>
      <c r="Z19063" s="61">
        <f>_xll.qlYieldTSDiscount($U$35,Y19063,,Trigger)</f>
        <v>0.35504146501157663</v>
      </c>
    </row>
    <row r="19064" spans="25:26" x14ac:dyDescent="0.25">
      <c r="Y19064" s="63">
        <v>61597</v>
      </c>
      <c r="Z19064" s="61">
        <f>_xll.qlYieldTSDiscount($U$35,Y19064,,Trigger)</f>
        <v>0.35502054277327733</v>
      </c>
    </row>
    <row r="19065" spans="25:26" x14ac:dyDescent="0.25">
      <c r="Y19065" s="63">
        <v>61598</v>
      </c>
      <c r="Z19065" s="61">
        <f>_xll.qlYieldTSDiscount($U$35,Y19065,,Trigger)</f>
        <v>0.35499962158972692</v>
      </c>
    </row>
    <row r="19066" spans="25:26" x14ac:dyDescent="0.25">
      <c r="Y19066" s="63">
        <v>61599</v>
      </c>
      <c r="Z19066" s="61">
        <f>_xll.qlYieldTSDiscount($U$35,Y19066,,Trigger)</f>
        <v>0.3549787014605596</v>
      </c>
    </row>
    <row r="19067" spans="25:26" x14ac:dyDescent="0.25">
      <c r="Y19067" s="63">
        <v>61600</v>
      </c>
      <c r="Z19067" s="61">
        <f>_xll.qlYieldTSDiscount($U$35,Y19067,,Trigger)</f>
        <v>0.35495778238540926</v>
      </c>
    </row>
    <row r="19068" spans="25:26" x14ac:dyDescent="0.25">
      <c r="Y19068" s="63">
        <v>61601</v>
      </c>
      <c r="Z19068" s="61">
        <f>_xll.qlYieldTSDiscount($U$35,Y19068,,Trigger)</f>
        <v>0.35493686436390992</v>
      </c>
    </row>
    <row r="19069" spans="25:26" x14ac:dyDescent="0.25">
      <c r="Y19069" s="63">
        <v>61602</v>
      </c>
      <c r="Z19069" s="61">
        <f>_xll.qlYieldTSDiscount($U$35,Y19069,,Trigger)</f>
        <v>0.35491594739569576</v>
      </c>
    </row>
    <row r="19070" spans="25:26" x14ac:dyDescent="0.25">
      <c r="Y19070" s="63">
        <v>61603</v>
      </c>
      <c r="Z19070" s="61">
        <f>_xll.qlYieldTSDiscount($U$35,Y19070,,Trigger)</f>
        <v>0.35489503148040069</v>
      </c>
    </row>
    <row r="19071" spans="25:26" x14ac:dyDescent="0.25">
      <c r="Y19071" s="63">
        <v>61604</v>
      </c>
      <c r="Z19071" s="61">
        <f>_xll.qlYieldTSDiscount($U$35,Y19071,,Trigger)</f>
        <v>0.35487411661765866</v>
      </c>
    </row>
    <row r="19072" spans="25:26" x14ac:dyDescent="0.25">
      <c r="Y19072" s="63">
        <v>61605</v>
      </c>
      <c r="Z19072" s="61">
        <f>_xll.qlYieldTSDiscount($U$35,Y19072,,Trigger)</f>
        <v>0.35485320280710381</v>
      </c>
    </row>
    <row r="19073" spans="25:26" x14ac:dyDescent="0.25">
      <c r="Y19073" s="63">
        <v>61606</v>
      </c>
      <c r="Z19073" s="61">
        <f>_xll.qlYieldTSDiscount($U$35,Y19073,,Trigger)</f>
        <v>0.35483229004837019</v>
      </c>
    </row>
    <row r="19074" spans="25:26" x14ac:dyDescent="0.25">
      <c r="Y19074" s="63">
        <v>61607</v>
      </c>
      <c r="Z19074" s="61">
        <f>_xll.qlYieldTSDiscount($U$35,Y19074,,Trigger)</f>
        <v>0.35481137834109161</v>
      </c>
    </row>
    <row r="19075" spans="25:26" x14ac:dyDescent="0.25">
      <c r="Y19075" s="63">
        <v>61608</v>
      </c>
      <c r="Z19075" s="61">
        <f>_xll.qlYieldTSDiscount($U$35,Y19075,,Trigger)</f>
        <v>0.3547904676849023</v>
      </c>
    </row>
    <row r="19076" spans="25:26" x14ac:dyDescent="0.25">
      <c r="Y19076" s="63">
        <v>61609</v>
      </c>
      <c r="Z19076" s="61">
        <f>_xll.qlYieldTSDiscount($U$35,Y19076,,Trigger)</f>
        <v>0.35476955807943633</v>
      </c>
    </row>
    <row r="19077" spans="25:26" x14ac:dyDescent="0.25">
      <c r="Y19077" s="63">
        <v>61610</v>
      </c>
      <c r="Z19077" s="61">
        <f>_xll.qlYieldTSDiscount($U$35,Y19077,,Trigger)</f>
        <v>0.35474864952432744</v>
      </c>
    </row>
    <row r="19078" spans="25:26" x14ac:dyDescent="0.25">
      <c r="Y19078" s="63">
        <v>61611</v>
      </c>
      <c r="Z19078" s="61">
        <f>_xll.qlYieldTSDiscount($U$35,Y19078,,Trigger)</f>
        <v>0.35472774201920987</v>
      </c>
    </row>
    <row r="19079" spans="25:26" x14ac:dyDescent="0.25">
      <c r="Y19079" s="63">
        <v>61612</v>
      </c>
      <c r="Z19079" s="61">
        <f>_xll.qlYieldTSDiscount($U$35,Y19079,,Trigger)</f>
        <v>0.35470683556371763</v>
      </c>
    </row>
    <row r="19080" spans="25:26" x14ac:dyDescent="0.25">
      <c r="Y19080" s="63">
        <v>61613</v>
      </c>
      <c r="Z19080" s="61">
        <f>_xll.qlYieldTSDiscount($U$35,Y19080,,Trigger)</f>
        <v>0.35468593015748473</v>
      </c>
    </row>
    <row r="19081" spans="25:26" x14ac:dyDescent="0.25">
      <c r="Y19081" s="63">
        <v>61614</v>
      </c>
      <c r="Z19081" s="61">
        <f>_xll.qlYieldTSDiscount($U$35,Y19081,,Trigger)</f>
        <v>0.35466502580014508</v>
      </c>
    </row>
    <row r="19082" spans="25:26" x14ac:dyDescent="0.25">
      <c r="Y19082" s="63">
        <v>61615</v>
      </c>
      <c r="Z19082" s="61">
        <f>_xll.qlYieldTSDiscount($U$35,Y19082,,Trigger)</f>
        <v>0.35464412249133287</v>
      </c>
    </row>
    <row r="19083" spans="25:26" x14ac:dyDescent="0.25">
      <c r="Y19083" s="63">
        <v>61616</v>
      </c>
      <c r="Z19083" s="61">
        <f>_xll.qlYieldTSDiscount($U$35,Y19083,,Trigger)</f>
        <v>0.35462322023068199</v>
      </c>
    </row>
    <row r="19084" spans="25:26" x14ac:dyDescent="0.25">
      <c r="Y19084" s="63">
        <v>61617</v>
      </c>
      <c r="Z19084" s="61">
        <f>_xll.qlYieldTSDiscount($U$35,Y19084,,Trigger)</f>
        <v>0.35460231901782646</v>
      </c>
    </row>
    <row r="19085" spans="25:26" x14ac:dyDescent="0.25">
      <c r="Y19085" s="63">
        <v>61618</v>
      </c>
      <c r="Z19085" s="61">
        <f>_xll.qlYieldTSDiscount($U$35,Y19085,,Trigger)</f>
        <v>0.35458141885240047</v>
      </c>
    </row>
    <row r="19086" spans="25:26" x14ac:dyDescent="0.25">
      <c r="Y19086" s="63">
        <v>61619</v>
      </c>
      <c r="Z19086" s="61">
        <f>_xll.qlYieldTSDiscount($U$35,Y19086,,Trigger)</f>
        <v>0.35456051973403785</v>
      </c>
    </row>
    <row r="19087" spans="25:26" x14ac:dyDescent="0.25">
      <c r="Y19087" s="63">
        <v>61620</v>
      </c>
      <c r="Z19087" s="61">
        <f>_xll.qlYieldTSDiscount($U$35,Y19087,,Trigger)</f>
        <v>0.35453962166237274</v>
      </c>
    </row>
    <row r="19088" spans="25:26" x14ac:dyDescent="0.25">
      <c r="Y19088" s="63">
        <v>61621</v>
      </c>
      <c r="Z19088" s="61">
        <f>_xll.qlYieldTSDiscount($U$35,Y19088,,Trigger)</f>
        <v>0.35451872463703904</v>
      </c>
    </row>
    <row r="19089" spans="25:26" x14ac:dyDescent="0.25">
      <c r="Y19089" s="63">
        <v>61622</v>
      </c>
      <c r="Z19089" s="61">
        <f>_xll.qlYieldTSDiscount($U$35,Y19089,,Trigger)</f>
        <v>0.35449782865767093</v>
      </c>
    </row>
    <row r="19090" spans="25:26" x14ac:dyDescent="0.25">
      <c r="Y19090" s="63">
        <v>61623</v>
      </c>
      <c r="Z19090" s="61">
        <f>_xll.qlYieldTSDiscount($U$35,Y19090,,Trigger)</f>
        <v>0.35447693372390232</v>
      </c>
    </row>
    <row r="19091" spans="25:26" x14ac:dyDescent="0.25">
      <c r="Y19091" s="63">
        <v>61624</v>
      </c>
      <c r="Z19091" s="61">
        <f>_xll.qlYieldTSDiscount($U$35,Y19091,,Trigger)</f>
        <v>0.35445603983536728</v>
      </c>
    </row>
    <row r="19092" spans="25:26" x14ac:dyDescent="0.25">
      <c r="Y19092" s="63">
        <v>61625</v>
      </c>
      <c r="Z19092" s="61">
        <f>_xll.qlYieldTSDiscount($U$35,Y19092,,Trigger)</f>
        <v>0.35443514699169987</v>
      </c>
    </row>
    <row r="19093" spans="25:26" x14ac:dyDescent="0.25">
      <c r="Y19093" s="63">
        <v>61626</v>
      </c>
      <c r="Z19093" s="61">
        <f>_xll.qlYieldTSDiscount($U$35,Y19093,,Trigger)</f>
        <v>0.354414255192534</v>
      </c>
    </row>
    <row r="19094" spans="25:26" x14ac:dyDescent="0.25">
      <c r="Y19094" s="63">
        <v>61627</v>
      </c>
      <c r="Z19094" s="61">
        <f>_xll.qlYieldTSDiscount($U$35,Y19094,,Trigger)</f>
        <v>0.35439336443750369</v>
      </c>
    </row>
    <row r="19095" spans="25:26" x14ac:dyDescent="0.25">
      <c r="Y19095" s="63">
        <v>61628</v>
      </c>
      <c r="Z19095" s="61">
        <f>_xll.qlYieldTSDiscount($U$35,Y19095,,Trigger)</f>
        <v>0.35437247472624311</v>
      </c>
    </row>
    <row r="19096" spans="25:26" x14ac:dyDescent="0.25">
      <c r="Y19096" s="63">
        <v>61629</v>
      </c>
      <c r="Z19096" s="61">
        <f>_xll.qlYieldTSDiscount($U$35,Y19096,,Trigger)</f>
        <v>0.35435158605838618</v>
      </c>
    </row>
    <row r="19097" spans="25:26" x14ac:dyDescent="0.25">
      <c r="Y19097" s="63">
        <v>61630</v>
      </c>
      <c r="Z19097" s="61">
        <f>_xll.qlYieldTSDiscount($U$35,Y19097,,Trigger)</f>
        <v>0.3543306984335669</v>
      </c>
    </row>
    <row r="19098" spans="25:26" x14ac:dyDescent="0.25">
      <c r="Y19098" s="63">
        <v>61631</v>
      </c>
      <c r="Z19098" s="61">
        <f>_xll.qlYieldTSDiscount($U$35,Y19098,,Trigger)</f>
        <v>0.35430981185141935</v>
      </c>
    </row>
    <row r="19099" spans="25:26" x14ac:dyDescent="0.25">
      <c r="Y19099" s="63">
        <v>61632</v>
      </c>
      <c r="Z19099" s="61">
        <f>_xll.qlYieldTSDiscount($U$35,Y19099,,Trigger)</f>
        <v>0.35428892631157755</v>
      </c>
    </row>
    <row r="19100" spans="25:26" x14ac:dyDescent="0.25">
      <c r="Y19100" s="63">
        <v>61633</v>
      </c>
      <c r="Z19100" s="61">
        <f>_xll.qlYieldTSDiscount($U$35,Y19100,,Trigger)</f>
        <v>0.35426804181367549</v>
      </c>
    </row>
    <row r="19101" spans="25:26" x14ac:dyDescent="0.25">
      <c r="Y19101" s="63">
        <v>61634</v>
      </c>
      <c r="Z19101" s="61">
        <f>_xll.qlYieldTSDiscount($U$35,Y19101,,Trigger)</f>
        <v>0.35424715835734721</v>
      </c>
    </row>
    <row r="19102" spans="25:26" x14ac:dyDescent="0.25">
      <c r="Y19102" s="63">
        <v>61635</v>
      </c>
      <c r="Z19102" s="61">
        <f>_xll.qlYieldTSDiscount($U$35,Y19102,,Trigger)</f>
        <v>0.35422627594222666</v>
      </c>
    </row>
    <row r="19103" spans="25:26" x14ac:dyDescent="0.25">
      <c r="Y19103" s="63">
        <v>61636</v>
      </c>
      <c r="Z19103" s="61">
        <f>_xll.qlYieldTSDiscount($U$35,Y19103,,Trigger)</f>
        <v>0.35420539456794797</v>
      </c>
    </row>
    <row r="19104" spans="25:26" x14ac:dyDescent="0.25">
      <c r="Y19104" s="63">
        <v>61637</v>
      </c>
      <c r="Z19104" s="61">
        <f>_xll.qlYieldTSDiscount($U$35,Y19104,,Trigger)</f>
        <v>0.3541845142341451</v>
      </c>
    </row>
    <row r="19105" spans="25:26" x14ac:dyDescent="0.25">
      <c r="Y19105" s="63">
        <v>61638</v>
      </c>
      <c r="Z19105" s="61">
        <f>_xll.qlYieldTSDiscount($U$35,Y19105,,Trigger)</f>
        <v>0.35416363494045217</v>
      </c>
    </row>
    <row r="19106" spans="25:26" x14ac:dyDescent="0.25">
      <c r="Y19106" s="63">
        <v>61639</v>
      </c>
      <c r="Z19106" s="61">
        <f>_xll.qlYieldTSDiscount($U$35,Y19106,,Trigger)</f>
        <v>0.35414275668650308</v>
      </c>
    </row>
    <row r="19107" spans="25:26" x14ac:dyDescent="0.25">
      <c r="Y19107" s="63">
        <v>61640</v>
      </c>
      <c r="Z19107" s="61">
        <f>_xll.qlYieldTSDiscount($U$35,Y19107,,Trigger)</f>
        <v>0.35412187947193186</v>
      </c>
    </row>
    <row r="19108" spans="25:26" x14ac:dyDescent="0.25">
      <c r="Y19108" s="63">
        <v>61641</v>
      </c>
      <c r="Z19108" s="61">
        <f>_xll.qlYieldTSDiscount($U$35,Y19108,,Trigger)</f>
        <v>0.35410100329637262</v>
      </c>
    </row>
    <row r="19109" spans="25:26" x14ac:dyDescent="0.25">
      <c r="Y19109" s="63">
        <v>61642</v>
      </c>
      <c r="Z19109" s="61">
        <f>_xll.qlYieldTSDiscount($U$35,Y19109,,Trigger)</f>
        <v>0.35408012815945933</v>
      </c>
    </row>
    <row r="19110" spans="25:26" x14ac:dyDescent="0.25">
      <c r="Y19110" s="63">
        <v>61643</v>
      </c>
      <c r="Z19110" s="61">
        <f>_xll.qlYieldTSDiscount($U$35,Y19110,,Trigger)</f>
        <v>0.35405925406082595</v>
      </c>
    </row>
    <row r="19111" spans="25:26" x14ac:dyDescent="0.25">
      <c r="Y19111" s="63">
        <v>61644</v>
      </c>
      <c r="Z19111" s="61">
        <f>_xll.qlYieldTSDiscount($U$35,Y19111,,Trigger)</f>
        <v>0.35403838100010665</v>
      </c>
    </row>
    <row r="19112" spans="25:26" x14ac:dyDescent="0.25">
      <c r="Y19112" s="63">
        <v>61645</v>
      </c>
      <c r="Z19112" s="61">
        <f>_xll.qlYieldTSDiscount($U$35,Y19112,,Trigger)</f>
        <v>0.35401750897693529</v>
      </c>
    </row>
    <row r="19113" spans="25:26" x14ac:dyDescent="0.25">
      <c r="Y19113" s="63">
        <v>61646</v>
      </c>
      <c r="Z19113" s="61">
        <f>_xll.qlYieldTSDiscount($U$35,Y19113,,Trigger)</f>
        <v>0.35399663799094594</v>
      </c>
    </row>
    <row r="19114" spans="25:26" x14ac:dyDescent="0.25">
      <c r="Y19114" s="63">
        <v>61647</v>
      </c>
      <c r="Z19114" s="61">
        <f>_xll.qlYieldTSDiscount($U$35,Y19114,,Trigger)</f>
        <v>0.35397576804177272</v>
      </c>
    </row>
    <row r="19115" spans="25:26" x14ac:dyDescent="0.25">
      <c r="Y19115" s="63">
        <v>61648</v>
      </c>
      <c r="Z19115" s="61">
        <f>_xll.qlYieldTSDiscount($U$35,Y19115,,Trigger)</f>
        <v>0.35395489912904954</v>
      </c>
    </row>
    <row r="19116" spans="25:26" x14ac:dyDescent="0.25">
      <c r="Y19116" s="63">
        <v>61649</v>
      </c>
      <c r="Z19116" s="61">
        <f>_xll.qlYieldTSDiscount($U$35,Y19116,,Trigger)</f>
        <v>0.35393403125241041</v>
      </c>
    </row>
    <row r="19117" spans="25:26" x14ac:dyDescent="0.25">
      <c r="Y19117" s="63">
        <v>61650</v>
      </c>
      <c r="Z19117" s="61">
        <f>_xll.qlYieldTSDiscount($U$35,Y19117,,Trigger)</f>
        <v>0.35391316441148946</v>
      </c>
    </row>
    <row r="19118" spans="25:26" x14ac:dyDescent="0.25">
      <c r="Y19118" s="63">
        <v>61651</v>
      </c>
      <c r="Z19118" s="61">
        <f>_xll.qlYieldTSDiscount($U$35,Y19118,,Trigger)</f>
        <v>0.35389229860592075</v>
      </c>
    </row>
    <row r="19119" spans="25:26" x14ac:dyDescent="0.25">
      <c r="Y19119" s="63">
        <v>61652</v>
      </c>
      <c r="Z19119" s="61">
        <f>_xll.qlYieldTSDiscount($U$35,Y19119,,Trigger)</f>
        <v>0.35387143383533803</v>
      </c>
    </row>
    <row r="19120" spans="25:26" x14ac:dyDescent="0.25">
      <c r="Y19120" s="63">
        <v>61653</v>
      </c>
      <c r="Z19120" s="61">
        <f>_xll.qlYieldTSDiscount($U$35,Y19120,,Trigger)</f>
        <v>0.35385057009937559</v>
      </c>
    </row>
    <row r="19121" spans="25:26" x14ac:dyDescent="0.25">
      <c r="Y19121" s="63">
        <v>61654</v>
      </c>
      <c r="Z19121" s="61">
        <f>_xll.qlYieldTSDiscount($U$35,Y19121,,Trigger)</f>
        <v>0.35382970739766739</v>
      </c>
    </row>
    <row r="19122" spans="25:26" x14ac:dyDescent="0.25">
      <c r="Y19122" s="63">
        <v>61655</v>
      </c>
      <c r="Z19122" s="61">
        <f>_xll.qlYieldTSDiscount($U$35,Y19122,,Trigger)</f>
        <v>0.35380884572984739</v>
      </c>
    </row>
    <row r="19123" spans="25:26" x14ac:dyDescent="0.25">
      <c r="Y19123" s="63">
        <v>61656</v>
      </c>
      <c r="Z19123" s="61">
        <f>_xll.qlYieldTSDiscount($U$35,Y19123,,Trigger)</f>
        <v>0.35378798509554965</v>
      </c>
    </row>
    <row r="19124" spans="25:26" x14ac:dyDescent="0.25">
      <c r="Y19124" s="63">
        <v>61657</v>
      </c>
      <c r="Z19124" s="61">
        <f>_xll.qlYieldTSDiscount($U$35,Y19124,,Trigger)</f>
        <v>0.35376712549440825</v>
      </c>
    </row>
    <row r="19125" spans="25:26" x14ac:dyDescent="0.25">
      <c r="Y19125" s="63">
        <v>61658</v>
      </c>
      <c r="Z19125" s="61">
        <f>_xll.qlYieldTSDiscount($U$35,Y19125,,Trigger)</f>
        <v>0.35374626692605704</v>
      </c>
    </row>
    <row r="19126" spans="25:26" x14ac:dyDescent="0.25">
      <c r="Y19126" s="63">
        <v>61659</v>
      </c>
      <c r="Z19126" s="61">
        <f>_xll.qlYieldTSDiscount($U$35,Y19126,,Trigger)</f>
        <v>0.35372540939013009</v>
      </c>
    </row>
    <row r="19127" spans="25:26" x14ac:dyDescent="0.25">
      <c r="Y19127" s="63">
        <v>61660</v>
      </c>
      <c r="Z19127" s="61">
        <f>_xll.qlYieldTSDiscount($U$35,Y19127,,Trigger)</f>
        <v>0.35370455288626168</v>
      </c>
    </row>
    <row r="19128" spans="25:26" x14ac:dyDescent="0.25">
      <c r="Y19128" s="63">
        <v>61661</v>
      </c>
      <c r="Z19128" s="61">
        <f>_xll.qlYieldTSDiscount($U$35,Y19128,,Trigger)</f>
        <v>0.35368369741408545</v>
      </c>
    </row>
    <row r="19129" spans="25:26" x14ac:dyDescent="0.25">
      <c r="Y19129" s="63">
        <v>61662</v>
      </c>
      <c r="Z19129" s="61">
        <f>_xll.qlYieldTSDiscount($U$35,Y19129,,Trigger)</f>
        <v>0.3536628429732358</v>
      </c>
    </row>
    <row r="19130" spans="25:26" x14ac:dyDescent="0.25">
      <c r="Y19130" s="63">
        <v>61663</v>
      </c>
      <c r="Z19130" s="61">
        <f>_xll.qlYieldTSDiscount($U$35,Y19130,,Trigger)</f>
        <v>0.35364198956334647</v>
      </c>
    </row>
    <row r="19131" spans="25:26" x14ac:dyDescent="0.25">
      <c r="Y19131" s="63">
        <v>61664</v>
      </c>
      <c r="Z19131" s="61">
        <f>_xll.qlYieldTSDiscount($U$35,Y19131,,Trigger)</f>
        <v>0.35362113718405142</v>
      </c>
    </row>
    <row r="19132" spans="25:26" x14ac:dyDescent="0.25">
      <c r="Y19132" s="63">
        <v>61665</v>
      </c>
      <c r="Z19132" s="61">
        <f>_xll.qlYieldTSDiscount($U$35,Y19132,,Trigger)</f>
        <v>0.35360028583498498</v>
      </c>
    </row>
    <row r="19133" spans="25:26" x14ac:dyDescent="0.25">
      <c r="Y19133" s="63">
        <v>61666</v>
      </c>
      <c r="Z19133" s="61">
        <f>_xll.qlYieldTSDiscount($U$35,Y19133,,Trigger)</f>
        <v>0.35357943551578097</v>
      </c>
    </row>
    <row r="19134" spans="25:26" x14ac:dyDescent="0.25">
      <c r="Y19134" s="63">
        <v>61667</v>
      </c>
      <c r="Z19134" s="61">
        <f>_xll.qlYieldTSDiscount($U$35,Y19134,,Trigger)</f>
        <v>0.3535585862260735</v>
      </c>
    </row>
    <row r="19135" spans="25:26" x14ac:dyDescent="0.25">
      <c r="Y19135" s="63">
        <v>61668</v>
      </c>
      <c r="Z19135" s="61">
        <f>_xll.qlYieldTSDiscount($U$35,Y19135,,Trigger)</f>
        <v>0.35353773796549648</v>
      </c>
    </row>
    <row r="19136" spans="25:26" x14ac:dyDescent="0.25">
      <c r="Y19136" s="63">
        <v>61669</v>
      </c>
      <c r="Z19136" s="61">
        <f>_xll.qlYieldTSDiscount($U$35,Y19136,,Trigger)</f>
        <v>0.35351689073368403</v>
      </c>
    </row>
    <row r="19137" spans="25:26" x14ac:dyDescent="0.25">
      <c r="Y19137" s="63">
        <v>61670</v>
      </c>
      <c r="Z19137" s="61">
        <f>_xll.qlYieldTSDiscount($U$35,Y19137,,Trigger)</f>
        <v>0.35349604453027017</v>
      </c>
    </row>
    <row r="19138" spans="25:26" x14ac:dyDescent="0.25">
      <c r="Y19138" s="63">
        <v>61671</v>
      </c>
      <c r="Z19138" s="61">
        <f>_xll.qlYieldTSDiscount($U$35,Y19138,,Trigger)</f>
        <v>0.35347519935488891</v>
      </c>
    </row>
    <row r="19139" spans="25:26" x14ac:dyDescent="0.25">
      <c r="Y19139" s="63">
        <v>61672</v>
      </c>
      <c r="Z19139" s="61">
        <f>_xll.qlYieldTSDiscount($U$35,Y19139,,Trigger)</f>
        <v>0.35345435520717416</v>
      </c>
    </row>
    <row r="19140" spans="25:26" x14ac:dyDescent="0.25">
      <c r="Y19140" s="63">
        <v>61673</v>
      </c>
      <c r="Z19140" s="61">
        <f>_xll.qlYieldTSDiscount($U$35,Y19140,,Trigger)</f>
        <v>0.3534335120867601</v>
      </c>
    </row>
    <row r="19141" spans="25:26" x14ac:dyDescent="0.25">
      <c r="Y19141" s="63">
        <v>61674</v>
      </c>
      <c r="Z19141" s="61">
        <f>_xll.qlYieldTSDiscount($U$35,Y19141,,Trigger)</f>
        <v>0.35341266999328069</v>
      </c>
    </row>
    <row r="19142" spans="25:26" x14ac:dyDescent="0.25">
      <c r="Y19142" s="63">
        <v>61675</v>
      </c>
      <c r="Z19142" s="61">
        <f>_xll.qlYieldTSDiscount($U$35,Y19142,,Trigger)</f>
        <v>0.35339182892636989</v>
      </c>
    </row>
    <row r="19143" spans="25:26" x14ac:dyDescent="0.25">
      <c r="Y19143" s="63">
        <v>61676</v>
      </c>
      <c r="Z19143" s="61">
        <f>_xll.qlYieldTSDiscount($U$35,Y19143,,Trigger)</f>
        <v>0.35337098888566187</v>
      </c>
    </row>
    <row r="19144" spans="25:26" x14ac:dyDescent="0.25">
      <c r="Y19144" s="63">
        <v>61677</v>
      </c>
      <c r="Z19144" s="61">
        <f>_xll.qlYieldTSDiscount($U$35,Y19144,,Trigger)</f>
        <v>0.3533501498707905</v>
      </c>
    </row>
    <row r="19145" spans="25:26" x14ac:dyDescent="0.25">
      <c r="Y19145" s="63">
        <v>61678</v>
      </c>
      <c r="Z19145" s="61">
        <f>_xll.qlYieldTSDiscount($U$35,Y19145,,Trigger)</f>
        <v>0.35332931188138983</v>
      </c>
    </row>
    <row r="19146" spans="25:26" x14ac:dyDescent="0.25">
      <c r="Y19146" s="63">
        <v>61679</v>
      </c>
      <c r="Z19146" s="61">
        <f>_xll.qlYieldTSDiscount($U$35,Y19146,,Trigger)</f>
        <v>0.35330847491709405</v>
      </c>
    </row>
    <row r="19147" spans="25:26" x14ac:dyDescent="0.25">
      <c r="Y19147" s="63">
        <v>61680</v>
      </c>
      <c r="Z19147" s="61">
        <f>_xll.qlYieldTSDiscount($U$35,Y19147,,Trigger)</f>
        <v>0.3532876389775369</v>
      </c>
    </row>
    <row r="19148" spans="25:26" x14ac:dyDescent="0.25">
      <c r="Y19148" s="63">
        <v>61681</v>
      </c>
      <c r="Z19148" s="61">
        <f>_xll.qlYieldTSDiscount($U$35,Y19148,,Trigger)</f>
        <v>0.35326680406235267</v>
      </c>
    </row>
    <row r="19149" spans="25:26" x14ac:dyDescent="0.25">
      <c r="Y19149" s="63">
        <v>61682</v>
      </c>
      <c r="Z19149" s="61">
        <f>_xll.qlYieldTSDiscount($U$35,Y19149,,Trigger)</f>
        <v>0.35324597017117521</v>
      </c>
    </row>
    <row r="19150" spans="25:26" x14ac:dyDescent="0.25">
      <c r="Y19150" s="63">
        <v>61683</v>
      </c>
      <c r="Z19150" s="61">
        <f>_xll.qlYieldTSDiscount($U$35,Y19150,,Trigger)</f>
        <v>0.35322513730363858</v>
      </c>
    </row>
    <row r="19151" spans="25:26" x14ac:dyDescent="0.25">
      <c r="Y19151" s="63">
        <v>61684</v>
      </c>
      <c r="Z19151" s="61">
        <f>_xll.qlYieldTSDiscount($U$35,Y19151,,Trigger)</f>
        <v>0.35320430545937687</v>
      </c>
    </row>
    <row r="19152" spans="25:26" x14ac:dyDescent="0.25">
      <c r="Y19152" s="63">
        <v>61685</v>
      </c>
      <c r="Z19152" s="61">
        <f>_xll.qlYieldTSDiscount($U$35,Y19152,,Trigger)</f>
        <v>0.35318347463802396</v>
      </c>
    </row>
    <row r="19153" spans="25:26" x14ac:dyDescent="0.25">
      <c r="Y19153" s="63">
        <v>61686</v>
      </c>
      <c r="Z19153" s="61">
        <f>_xll.qlYieldTSDiscount($U$35,Y19153,,Trigger)</f>
        <v>0.35316264483921406</v>
      </c>
    </row>
    <row r="19154" spans="25:26" x14ac:dyDescent="0.25">
      <c r="Y19154" s="63">
        <v>61687</v>
      </c>
      <c r="Z19154" s="61">
        <f>_xll.qlYieldTSDiscount($U$35,Y19154,,Trigger)</f>
        <v>0.35314181606258105</v>
      </c>
    </row>
    <row r="19155" spans="25:26" x14ac:dyDescent="0.25">
      <c r="Y19155" s="63">
        <v>61688</v>
      </c>
      <c r="Z19155" s="61">
        <f>_xll.qlYieldTSDiscount($U$35,Y19155,,Trigger)</f>
        <v>0.35312098830775895</v>
      </c>
    </row>
    <row r="19156" spans="25:26" x14ac:dyDescent="0.25">
      <c r="Y19156" s="63">
        <v>61689</v>
      </c>
      <c r="Z19156" s="61">
        <f>_xll.qlYieldTSDiscount($U$35,Y19156,,Trigger)</f>
        <v>0.3531001615743819</v>
      </c>
    </row>
    <row r="19157" spans="25:26" x14ac:dyDescent="0.25">
      <c r="Y19157" s="63">
        <v>61690</v>
      </c>
      <c r="Z19157" s="61">
        <f>_xll.qlYieldTSDiscount($U$35,Y19157,,Trigger)</f>
        <v>0.35307933586208384</v>
      </c>
    </row>
    <row r="19158" spans="25:26" x14ac:dyDescent="0.25">
      <c r="Y19158" s="63">
        <v>61691</v>
      </c>
      <c r="Z19158" s="61">
        <f>_xll.qlYieldTSDiscount($U$35,Y19158,,Trigger)</f>
        <v>0.35305851117049875</v>
      </c>
    </row>
    <row r="19159" spans="25:26" x14ac:dyDescent="0.25">
      <c r="Y19159" s="63">
        <v>61692</v>
      </c>
      <c r="Z19159" s="61">
        <f>_xll.qlYieldTSDiscount($U$35,Y19159,,Trigger)</f>
        <v>0.35303768749926079</v>
      </c>
    </row>
    <row r="19160" spans="25:26" x14ac:dyDescent="0.25">
      <c r="Y19160" s="63">
        <v>61693</v>
      </c>
      <c r="Z19160" s="61">
        <f>_xll.qlYieldTSDiscount($U$35,Y19160,,Trigger)</f>
        <v>0.35301686484800376</v>
      </c>
    </row>
    <row r="19161" spans="25:26" x14ac:dyDescent="0.25">
      <c r="Y19161" s="63">
        <v>61694</v>
      </c>
      <c r="Z19161" s="61">
        <f>_xll.qlYieldTSDiscount($U$35,Y19161,,Trigger)</f>
        <v>0.35299604321636191</v>
      </c>
    </row>
    <row r="19162" spans="25:26" x14ac:dyDescent="0.25">
      <c r="Y19162" s="63">
        <v>61695</v>
      </c>
      <c r="Z19162" s="61">
        <f>_xll.qlYieldTSDiscount($U$35,Y19162,,Trigger)</f>
        <v>0.35297522260396907</v>
      </c>
    </row>
    <row r="19163" spans="25:26" x14ac:dyDescent="0.25">
      <c r="Y19163" s="63">
        <v>61696</v>
      </c>
      <c r="Z19163" s="61">
        <f>_xll.qlYieldTSDiscount($U$35,Y19163,,Trigger)</f>
        <v>0.35295440301045949</v>
      </c>
    </row>
    <row r="19164" spans="25:26" x14ac:dyDescent="0.25">
      <c r="Y19164" s="63">
        <v>61697</v>
      </c>
      <c r="Z19164" s="61">
        <f>_xll.qlYieldTSDiscount($U$35,Y19164,,Trigger)</f>
        <v>0.35293358443546696</v>
      </c>
    </row>
    <row r="19165" spans="25:26" x14ac:dyDescent="0.25">
      <c r="Y19165" s="63">
        <v>61698</v>
      </c>
      <c r="Z19165" s="61">
        <f>_xll.qlYieldTSDiscount($U$35,Y19165,,Trigger)</f>
        <v>0.35291276687862572</v>
      </c>
    </row>
    <row r="19166" spans="25:26" x14ac:dyDescent="0.25">
      <c r="Y19166" s="63">
        <v>61699</v>
      </c>
      <c r="Z19166" s="61">
        <f>_xll.qlYieldTSDiscount($U$35,Y19166,,Trigger)</f>
        <v>0.3528919503395696</v>
      </c>
    </row>
    <row r="19167" spans="25:26" x14ac:dyDescent="0.25">
      <c r="Y19167" s="63">
        <v>61700</v>
      </c>
      <c r="Z19167" s="61">
        <f>_xll.qlYieldTSDiscount($U$35,Y19167,,Trigger)</f>
        <v>0.35287113481793264</v>
      </c>
    </row>
    <row r="19168" spans="25:26" x14ac:dyDescent="0.25">
      <c r="Y19168" s="63">
        <v>61701</v>
      </c>
      <c r="Z19168" s="61">
        <f>_xll.qlYieldTSDiscount($U$35,Y19168,,Trigger)</f>
        <v>0.35285032031334895</v>
      </c>
    </row>
    <row r="19169" spans="25:26" x14ac:dyDescent="0.25">
      <c r="Y19169" s="63">
        <v>61702</v>
      </c>
      <c r="Z19169" s="61">
        <f>_xll.qlYieldTSDiscount($U$35,Y19169,,Trigger)</f>
        <v>0.35282950682545267</v>
      </c>
    </row>
    <row r="19170" spans="25:26" x14ac:dyDescent="0.25">
      <c r="Y19170" s="63">
        <v>61703</v>
      </c>
      <c r="Z19170" s="61">
        <f>_xll.qlYieldTSDiscount($U$35,Y19170,,Trigger)</f>
        <v>0.35280869435387752</v>
      </c>
    </row>
    <row r="19171" spans="25:26" x14ac:dyDescent="0.25">
      <c r="Y19171" s="63">
        <v>61704</v>
      </c>
      <c r="Z19171" s="61">
        <f>_xll.qlYieldTSDiscount($U$35,Y19171,,Trigger)</f>
        <v>0.35278788289825763</v>
      </c>
    </row>
    <row r="19172" spans="25:26" x14ac:dyDescent="0.25">
      <c r="Y19172" s="63">
        <v>61705</v>
      </c>
      <c r="Z19172" s="61">
        <f>_xll.qlYieldTSDiscount($U$35,Y19172,,Trigger)</f>
        <v>0.35276707245822719</v>
      </c>
    </row>
    <row r="19173" spans="25:26" x14ac:dyDescent="0.25">
      <c r="Y19173" s="63">
        <v>61706</v>
      </c>
      <c r="Z19173" s="61">
        <f>_xll.qlYieldTSDiscount($U$35,Y19173,,Trigger)</f>
        <v>0.35274626303342005</v>
      </c>
    </row>
    <row r="19174" spans="25:26" x14ac:dyDescent="0.25">
      <c r="Y19174" s="63">
        <v>61707</v>
      </c>
      <c r="Z19174" s="61">
        <f>_xll.qlYieldTSDiscount($U$35,Y19174,,Trigger)</f>
        <v>0.35272545462347027</v>
      </c>
    </row>
    <row r="19175" spans="25:26" x14ac:dyDescent="0.25">
      <c r="Y19175" s="63">
        <v>61708</v>
      </c>
      <c r="Z19175" s="61">
        <f>_xll.qlYieldTSDiscount($U$35,Y19175,,Trigger)</f>
        <v>0.35270464722801187</v>
      </c>
    </row>
    <row r="19176" spans="25:26" x14ac:dyDescent="0.25">
      <c r="Y19176" s="63">
        <v>61709</v>
      </c>
      <c r="Z19176" s="61">
        <f>_xll.qlYieldTSDiscount($U$35,Y19176,,Trigger)</f>
        <v>0.35268384084667892</v>
      </c>
    </row>
    <row r="19177" spans="25:26" x14ac:dyDescent="0.25">
      <c r="Y19177" s="63">
        <v>61710</v>
      </c>
      <c r="Z19177" s="61">
        <f>_xll.qlYieldTSDiscount($U$35,Y19177,,Trigger)</f>
        <v>0.35266303547910538</v>
      </c>
    </row>
    <row r="19178" spans="25:26" x14ac:dyDescent="0.25">
      <c r="Y19178" s="63">
        <v>61711</v>
      </c>
      <c r="Z19178" s="61">
        <f>_xll.qlYieldTSDiscount($U$35,Y19178,,Trigger)</f>
        <v>0.35264223112492521</v>
      </c>
    </row>
    <row r="19179" spans="25:26" x14ac:dyDescent="0.25">
      <c r="Y19179" s="63">
        <v>61712</v>
      </c>
      <c r="Z19179" s="61">
        <f>_xll.qlYieldTSDiscount($U$35,Y19179,,Trigger)</f>
        <v>0.3526214277837727</v>
      </c>
    </row>
    <row r="19180" spans="25:26" x14ac:dyDescent="0.25">
      <c r="Y19180" s="63">
        <v>61713</v>
      </c>
      <c r="Z19180" s="61">
        <f>_xll.qlYieldTSDiscount($U$35,Y19180,,Trigger)</f>
        <v>0.35260062545528159</v>
      </c>
    </row>
    <row r="19181" spans="25:26" x14ac:dyDescent="0.25">
      <c r="Y19181" s="63">
        <v>61714</v>
      </c>
      <c r="Z19181" s="61">
        <f>_xll.qlYieldTSDiscount($U$35,Y19181,,Trigger)</f>
        <v>0.35257982413908601</v>
      </c>
    </row>
    <row r="19182" spans="25:26" x14ac:dyDescent="0.25">
      <c r="Y19182" s="63">
        <v>61715</v>
      </c>
      <c r="Z19182" s="61">
        <f>_xll.qlYieldTSDiscount($U$35,Y19182,,Trigger)</f>
        <v>0.35255902383481996</v>
      </c>
    </row>
    <row r="19183" spans="25:26" x14ac:dyDescent="0.25">
      <c r="Y19183" s="63">
        <v>61716</v>
      </c>
      <c r="Z19183" s="61">
        <f>_xll.qlYieldTSDiscount($U$35,Y19183,,Trigger)</f>
        <v>0.35253822454211747</v>
      </c>
    </row>
    <row r="19184" spans="25:26" x14ac:dyDescent="0.25">
      <c r="Y19184" s="63">
        <v>61717</v>
      </c>
      <c r="Z19184" s="61">
        <f>_xll.qlYieldTSDiscount($U$35,Y19184,,Trigger)</f>
        <v>0.35251742626061261</v>
      </c>
    </row>
    <row r="19185" spans="25:26" x14ac:dyDescent="0.25">
      <c r="Y19185" s="63">
        <v>61718</v>
      </c>
      <c r="Z19185" s="61">
        <f>_xll.qlYieldTSDiscount($U$35,Y19185,,Trigger)</f>
        <v>0.35249662898993939</v>
      </c>
    </row>
    <row r="19186" spans="25:26" x14ac:dyDescent="0.25">
      <c r="Y19186" s="63">
        <v>61719</v>
      </c>
      <c r="Z19186" s="61">
        <f>_xll.qlYieldTSDiscount($U$35,Y19186,,Trigger)</f>
        <v>0.35247583272973176</v>
      </c>
    </row>
    <row r="19187" spans="25:26" x14ac:dyDescent="0.25">
      <c r="Y19187" s="63">
        <v>61720</v>
      </c>
      <c r="Z19187" s="61">
        <f>_xll.qlYieldTSDiscount($U$35,Y19187,,Trigger)</f>
        <v>0.35245503747962376</v>
      </c>
    </row>
    <row r="19188" spans="25:26" x14ac:dyDescent="0.25">
      <c r="Y19188" s="63">
        <v>61721</v>
      </c>
      <c r="Z19188" s="61">
        <f>_xll.qlYieldTSDiscount($U$35,Y19188,,Trigger)</f>
        <v>0.35243424323924943</v>
      </c>
    </row>
    <row r="19189" spans="25:26" x14ac:dyDescent="0.25">
      <c r="Y19189" s="63">
        <v>61722</v>
      </c>
      <c r="Z19189" s="61">
        <f>_xll.qlYieldTSDiscount($U$35,Y19189,,Trigger)</f>
        <v>0.35241345000824287</v>
      </c>
    </row>
    <row r="19190" spans="25:26" x14ac:dyDescent="0.25">
      <c r="Y19190" s="63">
        <v>61723</v>
      </c>
      <c r="Z19190" s="61">
        <f>_xll.qlYieldTSDiscount($U$35,Y19190,,Trigger)</f>
        <v>0.35239265778623796</v>
      </c>
    </row>
    <row r="19191" spans="25:26" x14ac:dyDescent="0.25">
      <c r="Y19191" s="63">
        <v>61724</v>
      </c>
      <c r="Z19191" s="61">
        <f>_xll.qlYieldTSDiscount($U$35,Y19191,,Trigger)</f>
        <v>0.35237186657286879</v>
      </c>
    </row>
    <row r="19192" spans="25:26" x14ac:dyDescent="0.25">
      <c r="Y19192" s="63">
        <v>61725</v>
      </c>
      <c r="Z19192" s="61">
        <f>_xll.qlYieldTSDiscount($U$35,Y19192,,Trigger)</f>
        <v>0.35235107636776941</v>
      </c>
    </row>
    <row r="19193" spans="25:26" x14ac:dyDescent="0.25">
      <c r="Y19193" s="63">
        <v>61726</v>
      </c>
      <c r="Z19193" s="61">
        <f>_xll.qlYieldTSDiscount($U$35,Y19193,,Trigger)</f>
        <v>0.3523302871705738</v>
      </c>
    </row>
    <row r="19194" spans="25:26" x14ac:dyDescent="0.25">
      <c r="Y19194" s="63">
        <v>61727</v>
      </c>
      <c r="Z19194" s="61">
        <f>_xll.qlYieldTSDiscount($U$35,Y19194,,Trigger)</f>
        <v>0.35230949898091601</v>
      </c>
    </row>
    <row r="19195" spans="25:26" x14ac:dyDescent="0.25">
      <c r="Y19195" s="63">
        <v>61728</v>
      </c>
      <c r="Z19195" s="61">
        <f>_xll.qlYieldTSDiscount($U$35,Y19195,,Trigger)</f>
        <v>0.35228871179843013</v>
      </c>
    </row>
    <row r="19196" spans="25:26" x14ac:dyDescent="0.25">
      <c r="Y19196" s="63">
        <v>61729</v>
      </c>
      <c r="Z19196" s="61">
        <f>_xll.qlYieldTSDiscount($U$35,Y19196,,Trigger)</f>
        <v>0.35226792562274994</v>
      </c>
    </row>
    <row r="19197" spans="25:26" x14ac:dyDescent="0.25">
      <c r="Y19197" s="63">
        <v>61730</v>
      </c>
      <c r="Z19197" s="61">
        <f>_xll.qlYieldTSDiscount($U$35,Y19197,,Trigger)</f>
        <v>0.35224714045350969</v>
      </c>
    </row>
    <row r="19198" spans="25:26" x14ac:dyDescent="0.25">
      <c r="Y19198" s="63">
        <v>61731</v>
      </c>
      <c r="Z19198" s="61">
        <f>_xll.qlYieldTSDiscount($U$35,Y19198,,Trigger)</f>
        <v>0.35222635629034338</v>
      </c>
    </row>
    <row r="19199" spans="25:26" x14ac:dyDescent="0.25">
      <c r="Y19199" s="63">
        <v>61732</v>
      </c>
      <c r="Z19199" s="61">
        <f>_xll.qlYieldTSDiscount($U$35,Y19199,,Trigger)</f>
        <v>0.35220557313288492</v>
      </c>
    </row>
    <row r="19200" spans="25:26" x14ac:dyDescent="0.25">
      <c r="Y19200" s="63">
        <v>61733</v>
      </c>
      <c r="Z19200" s="61">
        <f>_xll.qlYieldTSDiscount($U$35,Y19200,,Trigger)</f>
        <v>0.35218479098076844</v>
      </c>
    </row>
    <row r="19201" spans="25:26" x14ac:dyDescent="0.25">
      <c r="Y19201" s="63">
        <v>61734</v>
      </c>
      <c r="Z19201" s="61">
        <f>_xll.qlYieldTSDiscount($U$35,Y19201,,Trigger)</f>
        <v>0.35216400983362794</v>
      </c>
    </row>
    <row r="19202" spans="25:26" x14ac:dyDescent="0.25">
      <c r="Y19202" s="63">
        <v>61735</v>
      </c>
      <c r="Z19202" s="61">
        <f>_xll.qlYieldTSDiscount($U$35,Y19202,,Trigger)</f>
        <v>0.35214322969109735</v>
      </c>
    </row>
    <row r="19203" spans="25:26" x14ac:dyDescent="0.25">
      <c r="Y19203" s="63">
        <v>61736</v>
      </c>
      <c r="Z19203" s="61">
        <f>_xll.qlYieldTSDiscount($U$35,Y19203,,Trigger)</f>
        <v>0.35212245055281083</v>
      </c>
    </row>
    <row r="19204" spans="25:26" x14ac:dyDescent="0.25">
      <c r="Y19204" s="63">
        <v>61737</v>
      </c>
      <c r="Z19204" s="61">
        <f>_xll.qlYieldTSDiscount($U$35,Y19204,,Trigger)</f>
        <v>0.35210167241840229</v>
      </c>
    </row>
    <row r="19205" spans="25:26" x14ac:dyDescent="0.25">
      <c r="Y19205" s="63">
        <v>61738</v>
      </c>
      <c r="Z19205" s="61">
        <f>_xll.qlYieldTSDiscount($U$35,Y19205,,Trigger)</f>
        <v>0.35208089528750586</v>
      </c>
    </row>
    <row r="19206" spans="25:26" x14ac:dyDescent="0.25">
      <c r="Y19206" s="63">
        <v>61739</v>
      </c>
      <c r="Z19206" s="61">
        <f>_xll.qlYieldTSDiscount($U$35,Y19206,,Trigger)</f>
        <v>0.35206011915975544</v>
      </c>
    </row>
    <row r="19207" spans="25:26" x14ac:dyDescent="0.25">
      <c r="Y19207" s="63">
        <v>61740</v>
      </c>
      <c r="Z19207" s="61">
        <f>_xll.qlYieldTSDiscount($U$35,Y19207,,Trigger)</f>
        <v>0.3520393440347851</v>
      </c>
    </row>
    <row r="19208" spans="25:26" x14ac:dyDescent="0.25">
      <c r="Y19208" s="63">
        <v>61741</v>
      </c>
      <c r="Z19208" s="61">
        <f>_xll.qlYieldTSDiscount($U$35,Y19208,,Trigger)</f>
        <v>0.35201856991222891</v>
      </c>
    </row>
    <row r="19209" spans="25:26" x14ac:dyDescent="0.25">
      <c r="Y19209" s="63">
        <v>61742</v>
      </c>
      <c r="Z19209" s="61">
        <f>_xll.qlYieldTSDiscount($U$35,Y19209,,Trigger)</f>
        <v>0.35199779679172083</v>
      </c>
    </row>
    <row r="19210" spans="25:26" x14ac:dyDescent="0.25">
      <c r="Y19210" s="63">
        <v>61743</v>
      </c>
      <c r="Z19210" s="61">
        <f>_xll.qlYieldTSDiscount($U$35,Y19210,,Trigger)</f>
        <v>0.35197702467289493</v>
      </c>
    </row>
    <row r="19211" spans="25:26" x14ac:dyDescent="0.25">
      <c r="Y19211" s="63">
        <v>61744</v>
      </c>
      <c r="Z19211" s="61">
        <f>_xll.qlYieldTSDiscount($U$35,Y19211,,Trigger)</f>
        <v>0.35195625355538518</v>
      </c>
    </row>
    <row r="19212" spans="25:26" x14ac:dyDescent="0.25">
      <c r="Y19212" s="63">
        <v>61745</v>
      </c>
      <c r="Z19212" s="61">
        <f>_xll.qlYieldTSDiscount($U$35,Y19212,,Trigger)</f>
        <v>0.35193548343882564</v>
      </c>
    </row>
    <row r="19213" spans="25:26" x14ac:dyDescent="0.25">
      <c r="Y19213" s="63">
        <v>61746</v>
      </c>
      <c r="Z19213" s="61">
        <f>_xll.qlYieldTSDiscount($U$35,Y19213,,Trigger)</f>
        <v>0.35191471432285037</v>
      </c>
    </row>
    <row r="19214" spans="25:26" x14ac:dyDescent="0.25">
      <c r="Y19214" s="63">
        <v>61747</v>
      </c>
      <c r="Z19214" s="61">
        <f>_xll.qlYieldTSDiscount($U$35,Y19214,,Trigger)</f>
        <v>0.35189394620709336</v>
      </c>
    </row>
    <row r="19215" spans="25:26" x14ac:dyDescent="0.25">
      <c r="Y19215" s="63">
        <v>61748</v>
      </c>
      <c r="Z19215" s="61">
        <f>_xll.qlYieldTSDiscount($U$35,Y19215,,Trigger)</f>
        <v>0.35187317909118854</v>
      </c>
    </row>
    <row r="19216" spans="25:26" x14ac:dyDescent="0.25">
      <c r="Y19216" s="63">
        <v>61749</v>
      </c>
      <c r="Z19216" s="61">
        <f>_xll.qlYieldTSDiscount($U$35,Y19216,,Trigger)</f>
        <v>0.35185241297476999</v>
      </c>
    </row>
    <row r="19217" spans="25:26" x14ac:dyDescent="0.25">
      <c r="Y19217" s="63">
        <v>61750</v>
      </c>
      <c r="Z19217" s="61">
        <f>_xll.qlYieldTSDiscount($U$35,Y19217,,Trigger)</f>
        <v>0.35183164785747184</v>
      </c>
    </row>
    <row r="19218" spans="25:26" x14ac:dyDescent="0.25">
      <c r="Y19218" s="63">
        <v>61751</v>
      </c>
      <c r="Z19218" s="61">
        <f>_xll.qlYieldTSDiscount($U$35,Y19218,,Trigger)</f>
        <v>0.35181088373892794</v>
      </c>
    </row>
    <row r="19219" spans="25:26" x14ac:dyDescent="0.25">
      <c r="Y19219" s="63">
        <v>61752</v>
      </c>
      <c r="Z19219" s="61">
        <f>_xll.qlYieldTSDiscount($U$35,Y19219,,Trigger)</f>
        <v>0.35179012061877241</v>
      </c>
    </row>
    <row r="19220" spans="25:26" x14ac:dyDescent="0.25">
      <c r="Y19220" s="63">
        <v>61753</v>
      </c>
      <c r="Z19220" s="61">
        <f>_xll.qlYieldTSDiscount($U$35,Y19220,,Trigger)</f>
        <v>0.35176935849663937</v>
      </c>
    </row>
    <row r="19221" spans="25:26" x14ac:dyDescent="0.25">
      <c r="Y19221" s="63">
        <v>61754</v>
      </c>
      <c r="Z19221" s="61">
        <f>_xll.qlYieldTSDiscount($U$35,Y19221,,Trigger)</f>
        <v>0.35174859737216257</v>
      </c>
    </row>
    <row r="19222" spans="25:26" x14ac:dyDescent="0.25">
      <c r="Y19222" s="63">
        <v>61755</v>
      </c>
      <c r="Z19222" s="61">
        <f>_xll.qlYieldTSDiscount($U$35,Y19222,,Trigger)</f>
        <v>0.35172783724497625</v>
      </c>
    </row>
    <row r="19223" spans="25:26" x14ac:dyDescent="0.25">
      <c r="Y19223" s="63">
        <v>61756</v>
      </c>
      <c r="Z19223" s="61">
        <f>_xll.qlYieldTSDiscount($U$35,Y19223,,Trigger)</f>
        <v>0.35170707811471436</v>
      </c>
    </row>
    <row r="19224" spans="25:26" x14ac:dyDescent="0.25">
      <c r="Y19224" s="63">
        <v>61757</v>
      </c>
      <c r="Z19224" s="61">
        <f>_xll.qlYieldTSDiscount($U$35,Y19224,,Trigger)</f>
        <v>0.35168631998101096</v>
      </c>
    </row>
    <row r="19225" spans="25:26" x14ac:dyDescent="0.25">
      <c r="Y19225" s="63">
        <v>61758</v>
      </c>
      <c r="Z19225" s="61">
        <f>_xll.qlYieldTSDiscount($U$35,Y19225,,Trigger)</f>
        <v>0.35166556284350003</v>
      </c>
    </row>
    <row r="19226" spans="25:26" x14ac:dyDescent="0.25">
      <c r="Y19226" s="63">
        <v>61759</v>
      </c>
      <c r="Z19226" s="61">
        <f>_xll.qlYieldTSDiscount($U$35,Y19226,,Trigger)</f>
        <v>0.35164480670181553</v>
      </c>
    </row>
    <row r="19227" spans="25:26" x14ac:dyDescent="0.25">
      <c r="Y19227" s="63">
        <v>61760</v>
      </c>
      <c r="Z19227" s="61">
        <f>_xll.qlYieldTSDiscount($U$35,Y19227,,Trigger)</f>
        <v>0.35162405155559168</v>
      </c>
    </row>
    <row r="19228" spans="25:26" x14ac:dyDescent="0.25">
      <c r="Y19228" s="63">
        <v>61761</v>
      </c>
      <c r="Z19228" s="61">
        <f>_xll.qlYieldTSDiscount($U$35,Y19228,,Trigger)</f>
        <v>0.35160329740446228</v>
      </c>
    </row>
    <row r="19229" spans="25:26" x14ac:dyDescent="0.25">
      <c r="Y19229" s="63">
        <v>61762</v>
      </c>
      <c r="Z19229" s="61">
        <f>_xll.qlYieldTSDiscount($U$35,Y19229,,Trigger)</f>
        <v>0.35158254424806151</v>
      </c>
    </row>
    <row r="19230" spans="25:26" x14ac:dyDescent="0.25">
      <c r="Y19230" s="63">
        <v>61763</v>
      </c>
      <c r="Z19230" s="61">
        <f>_xll.qlYieldTSDiscount($U$35,Y19230,,Trigger)</f>
        <v>0.35156179208602334</v>
      </c>
    </row>
    <row r="19231" spans="25:26" x14ac:dyDescent="0.25">
      <c r="Y19231" s="63">
        <v>61764</v>
      </c>
      <c r="Z19231" s="61">
        <f>_xll.qlYieldTSDiscount($U$35,Y19231,,Trigger)</f>
        <v>0.35154104091798177</v>
      </c>
    </row>
    <row r="19232" spans="25:26" x14ac:dyDescent="0.25">
      <c r="Y19232" s="63">
        <v>61765</v>
      </c>
      <c r="Z19232" s="61">
        <f>_xll.qlYieldTSDiscount($U$35,Y19232,,Trigger)</f>
        <v>0.35152029074357083</v>
      </c>
    </row>
    <row r="19233" spans="25:26" x14ac:dyDescent="0.25">
      <c r="Y19233" s="63">
        <v>61766</v>
      </c>
      <c r="Z19233" s="61">
        <f>_xll.qlYieldTSDiscount($U$35,Y19233,,Trigger)</f>
        <v>0.35149954156242458</v>
      </c>
    </row>
    <row r="19234" spans="25:26" x14ac:dyDescent="0.25">
      <c r="Y19234" s="63">
        <v>61767</v>
      </c>
      <c r="Z19234" s="61">
        <f>_xll.qlYieldTSDiscount($U$35,Y19234,,Trigger)</f>
        <v>0.35147879337417703</v>
      </c>
    </row>
    <row r="19235" spans="25:26" x14ac:dyDescent="0.25">
      <c r="Y19235" s="63">
        <v>61768</v>
      </c>
      <c r="Z19235" s="61">
        <f>_xll.qlYieldTSDiscount($U$35,Y19235,,Trigger)</f>
        <v>0.3514580461784621</v>
      </c>
    </row>
    <row r="19236" spans="25:26" x14ac:dyDescent="0.25">
      <c r="Y19236" s="63">
        <v>61769</v>
      </c>
      <c r="Z19236" s="61">
        <f>_xll.qlYieldTSDiscount($U$35,Y19236,,Trigger)</f>
        <v>0.35143729997491402</v>
      </c>
    </row>
    <row r="19237" spans="25:26" x14ac:dyDescent="0.25">
      <c r="Y19237" s="63">
        <v>61770</v>
      </c>
      <c r="Z19237" s="61">
        <f>_xll.qlYieldTSDiscount($U$35,Y19237,,Trigger)</f>
        <v>0.35141655476316652</v>
      </c>
    </row>
    <row r="19238" spans="25:26" x14ac:dyDescent="0.25">
      <c r="Y19238" s="63">
        <v>61771</v>
      </c>
      <c r="Z19238" s="61">
        <f>_xll.qlYieldTSDiscount($U$35,Y19238,,Trigger)</f>
        <v>0.35139581054285385</v>
      </c>
    </row>
    <row r="19239" spans="25:26" x14ac:dyDescent="0.25">
      <c r="Y19239" s="63">
        <v>61772</v>
      </c>
      <c r="Z19239" s="61">
        <f>_xll.qlYieldTSDiscount($U$35,Y19239,,Trigger)</f>
        <v>0.35137506731361001</v>
      </c>
    </row>
    <row r="19240" spans="25:26" x14ac:dyDescent="0.25">
      <c r="Y19240" s="63">
        <v>61773</v>
      </c>
      <c r="Z19240" s="61">
        <f>_xll.qlYieldTSDiscount($U$35,Y19240,,Trigger)</f>
        <v>0.35135432507506903</v>
      </c>
    </row>
    <row r="19241" spans="25:26" x14ac:dyDescent="0.25">
      <c r="Y19241" s="63">
        <v>61774</v>
      </c>
      <c r="Z19241" s="61">
        <f>_xll.qlYieldTSDiscount($U$35,Y19241,,Trigger)</f>
        <v>0.35133358382686486</v>
      </c>
    </row>
    <row r="19242" spans="25:26" x14ac:dyDescent="0.25">
      <c r="Y19242" s="63">
        <v>61775</v>
      </c>
      <c r="Z19242" s="61">
        <f>_xll.qlYieldTSDiscount($U$35,Y19242,,Trigger)</f>
        <v>0.35131284356863146</v>
      </c>
    </row>
    <row r="19243" spans="25:26" x14ac:dyDescent="0.25">
      <c r="Y19243" s="63">
        <v>61776</v>
      </c>
      <c r="Z19243" s="61">
        <f>_xll.qlYieldTSDiscount($U$35,Y19243,,Trigger)</f>
        <v>0.35129210430000302</v>
      </c>
    </row>
    <row r="19244" spans="25:26" x14ac:dyDescent="0.25">
      <c r="Y19244" s="63">
        <v>61777</v>
      </c>
      <c r="Z19244" s="61">
        <f>_xll.qlYieldTSDiscount($U$35,Y19244,,Trigger)</f>
        <v>0.35127136602061337</v>
      </c>
    </row>
    <row r="19245" spans="25:26" x14ac:dyDescent="0.25">
      <c r="Y19245" s="63">
        <v>61778</v>
      </c>
      <c r="Z19245" s="61">
        <f>_xll.qlYieldTSDiscount($U$35,Y19245,,Trigger)</f>
        <v>0.35125062873009671</v>
      </c>
    </row>
    <row r="19246" spans="25:26" x14ac:dyDescent="0.25">
      <c r="Y19246" s="63">
        <v>61779</v>
      </c>
      <c r="Z19246" s="61">
        <f>_xll.qlYieldTSDiscount($U$35,Y19246,,Trigger)</f>
        <v>0.35122989242808705</v>
      </c>
    </row>
    <row r="19247" spans="25:26" x14ac:dyDescent="0.25">
      <c r="Y19247" s="63">
        <v>61780</v>
      </c>
      <c r="Z19247" s="61">
        <f>_xll.qlYieldTSDiscount($U$35,Y19247,,Trigger)</f>
        <v>0.3512091571142183</v>
      </c>
    </row>
    <row r="19248" spans="25:26" x14ac:dyDescent="0.25">
      <c r="Y19248" s="63">
        <v>61781</v>
      </c>
      <c r="Z19248" s="61">
        <f>_xll.qlYieldTSDiscount($U$35,Y19248,,Trigger)</f>
        <v>0.35118842278812457</v>
      </c>
    </row>
    <row r="19249" spans="25:26" x14ac:dyDescent="0.25">
      <c r="Y19249" s="63">
        <v>61782</v>
      </c>
      <c r="Z19249" s="61">
        <f>_xll.qlYieldTSDiscount($U$35,Y19249,,Trigger)</f>
        <v>0.35116768944943988</v>
      </c>
    </row>
    <row r="19250" spans="25:26" x14ac:dyDescent="0.25">
      <c r="Y19250" s="63">
        <v>61783</v>
      </c>
      <c r="Z19250" s="61">
        <f>_xll.qlYieldTSDiscount($U$35,Y19250,,Trigger)</f>
        <v>0.35114695709779808</v>
      </c>
    </row>
    <row r="19251" spans="25:26" x14ac:dyDescent="0.25">
      <c r="Y19251" s="63">
        <v>61784</v>
      </c>
      <c r="Z19251" s="61">
        <f>_xll.qlYieldTSDiscount($U$35,Y19251,,Trigger)</f>
        <v>0.35112622573283342</v>
      </c>
    </row>
    <row r="19252" spans="25:26" x14ac:dyDescent="0.25">
      <c r="Y19252" s="63">
        <v>61785</v>
      </c>
      <c r="Z19252" s="61">
        <f>_xll.qlYieldTSDiscount($U$35,Y19252,,Trigger)</f>
        <v>0.3511054953541799</v>
      </c>
    </row>
    <row r="19253" spans="25:26" x14ac:dyDescent="0.25">
      <c r="Y19253" s="63">
        <v>61786</v>
      </c>
      <c r="Z19253" s="61">
        <f>_xll.qlYieldTSDiscount($U$35,Y19253,,Trigger)</f>
        <v>0.35108476596147142</v>
      </c>
    </row>
    <row r="19254" spans="25:26" x14ac:dyDescent="0.25">
      <c r="Y19254" s="63">
        <v>61787</v>
      </c>
      <c r="Z19254" s="61">
        <f>_xll.qlYieldTSDiscount($U$35,Y19254,,Trigger)</f>
        <v>0.35106403755434201</v>
      </c>
    </row>
    <row r="19255" spans="25:26" x14ac:dyDescent="0.25">
      <c r="Y19255" s="63">
        <v>61788</v>
      </c>
      <c r="Z19255" s="61">
        <f>_xll.qlYieldTSDiscount($U$35,Y19255,,Trigger)</f>
        <v>0.35104331013242573</v>
      </c>
    </row>
    <row r="19256" spans="25:26" x14ac:dyDescent="0.25">
      <c r="Y19256" s="63">
        <v>61789</v>
      </c>
      <c r="Z19256" s="61">
        <f>_xll.qlYieldTSDiscount($U$35,Y19256,,Trigger)</f>
        <v>0.35102258369535677</v>
      </c>
    </row>
    <row r="19257" spans="25:26" x14ac:dyDescent="0.25">
      <c r="Y19257" s="63">
        <v>61790</v>
      </c>
      <c r="Z19257" s="61">
        <f>_xll.qlYieldTSDiscount($U$35,Y19257,,Trigger)</f>
        <v>0.35100185824276886</v>
      </c>
    </row>
    <row r="19258" spans="25:26" x14ac:dyDescent="0.25">
      <c r="Y19258" s="63">
        <v>61791</v>
      </c>
      <c r="Z19258" s="61">
        <f>_xll.qlYieldTSDiscount($U$35,Y19258,,Trigger)</f>
        <v>0.35098113377429613</v>
      </c>
    </row>
    <row r="19259" spans="25:26" x14ac:dyDescent="0.25">
      <c r="Y19259" s="63">
        <v>61792</v>
      </c>
      <c r="Z19259" s="61">
        <f>_xll.qlYieldTSDiscount($U$35,Y19259,,Trigger)</f>
        <v>0.3509604102895727</v>
      </c>
    </row>
    <row r="19260" spans="25:26" x14ac:dyDescent="0.25">
      <c r="Y19260" s="63">
        <v>61793</v>
      </c>
      <c r="Z19260" s="61">
        <f>_xll.qlYieldTSDiscount($U$35,Y19260,,Trigger)</f>
        <v>0.35093968778823259</v>
      </c>
    </row>
    <row r="19261" spans="25:26" x14ac:dyDescent="0.25">
      <c r="Y19261" s="63">
        <v>61794</v>
      </c>
      <c r="Z19261" s="61">
        <f>_xll.qlYieldTSDiscount($U$35,Y19261,,Trigger)</f>
        <v>0.35091896626990959</v>
      </c>
    </row>
    <row r="19262" spans="25:26" x14ac:dyDescent="0.25">
      <c r="Y19262" s="63">
        <v>61795</v>
      </c>
      <c r="Z19262" s="61">
        <f>_xll.qlYieldTSDiscount($U$35,Y19262,,Trigger)</f>
        <v>0.350898245734238</v>
      </c>
    </row>
    <row r="19263" spans="25:26" x14ac:dyDescent="0.25">
      <c r="Y19263" s="63">
        <v>61796</v>
      </c>
      <c r="Z19263" s="61">
        <f>_xll.qlYieldTSDiscount($U$35,Y19263,,Trigger)</f>
        <v>0.35087752618085166</v>
      </c>
    </row>
    <row r="19264" spans="25:26" x14ac:dyDescent="0.25">
      <c r="Y19264" s="63">
        <v>61797</v>
      </c>
      <c r="Z19264" s="61">
        <f>_xll.qlYieldTSDiscount($U$35,Y19264,,Trigger)</f>
        <v>0.35085680760938465</v>
      </c>
    </row>
    <row r="19265" spans="25:26" x14ac:dyDescent="0.25">
      <c r="Y19265" s="63">
        <v>61798</v>
      </c>
      <c r="Z19265" s="61">
        <f>_xll.qlYieldTSDiscount($U$35,Y19265,,Trigger)</f>
        <v>0.35083609001947108</v>
      </c>
    </row>
    <row r="19266" spans="25:26" x14ac:dyDescent="0.25">
      <c r="Y19266" s="63">
        <v>61799</v>
      </c>
      <c r="Z19266" s="61">
        <f>_xll.qlYieldTSDiscount($U$35,Y19266,,Trigger)</f>
        <v>0.35081537341074481</v>
      </c>
    </row>
    <row r="19267" spans="25:26" x14ac:dyDescent="0.25">
      <c r="Y19267" s="63">
        <v>61800</v>
      </c>
      <c r="Z19267" s="61">
        <f>_xll.qlYieldTSDiscount($U$35,Y19267,,Trigger)</f>
        <v>0.35079465778284002</v>
      </c>
    </row>
    <row r="19268" spans="25:26" x14ac:dyDescent="0.25">
      <c r="Y19268" s="63">
        <v>61801</v>
      </c>
      <c r="Z19268" s="61">
        <f>_xll.qlYieldTSDiscount($U$35,Y19268,,Trigger)</f>
        <v>0.35077394313539056</v>
      </c>
    </row>
    <row r="19269" spans="25:26" x14ac:dyDescent="0.25">
      <c r="Y19269" s="63">
        <v>61802</v>
      </c>
      <c r="Z19269" s="61">
        <f>_xll.qlYieldTSDiscount($U$35,Y19269,,Trigger)</f>
        <v>0.35075322946803067</v>
      </c>
    </row>
    <row r="19270" spans="25:26" x14ac:dyDescent="0.25">
      <c r="Y19270" s="63">
        <v>61803</v>
      </c>
      <c r="Z19270" s="61">
        <f>_xll.qlYieldTSDiscount($U$35,Y19270,,Trigger)</f>
        <v>0.35073251678039419</v>
      </c>
    </row>
    <row r="19271" spans="25:26" x14ac:dyDescent="0.25">
      <c r="Y19271" s="63">
        <v>61804</v>
      </c>
      <c r="Z19271" s="61">
        <f>_xll.qlYieldTSDiscount($U$35,Y19271,,Trigger)</f>
        <v>0.35071180507211508</v>
      </c>
    </row>
    <row r="19272" spans="25:26" x14ac:dyDescent="0.25">
      <c r="Y19272" s="63">
        <v>61805</v>
      </c>
      <c r="Z19272" s="61">
        <f>_xll.qlYieldTSDiscount($U$35,Y19272,,Trigger)</f>
        <v>0.35069109434282764</v>
      </c>
    </row>
    <row r="19273" spans="25:26" x14ac:dyDescent="0.25">
      <c r="Y19273" s="63">
        <v>61806</v>
      </c>
      <c r="Z19273" s="61">
        <f>_xll.qlYieldTSDiscount($U$35,Y19273,,Trigger)</f>
        <v>0.35067038459216571</v>
      </c>
    </row>
    <row r="19274" spans="25:26" x14ac:dyDescent="0.25">
      <c r="Y19274" s="63">
        <v>61807</v>
      </c>
      <c r="Z19274" s="61">
        <f>_xll.qlYieldTSDiscount($U$35,Y19274,,Trigger)</f>
        <v>0.35064967581976325</v>
      </c>
    </row>
    <row r="19275" spans="25:26" x14ac:dyDescent="0.25">
      <c r="Y19275" s="63">
        <v>61808</v>
      </c>
      <c r="Z19275" s="61">
        <f>_xll.qlYieldTSDiscount($U$35,Y19275,,Trigger)</f>
        <v>0.35062896802525445</v>
      </c>
    </row>
    <row r="19276" spans="25:26" x14ac:dyDescent="0.25">
      <c r="Y19276" s="63">
        <v>61809</v>
      </c>
      <c r="Z19276" s="61">
        <f>_xll.qlYieldTSDiscount($U$35,Y19276,,Trigger)</f>
        <v>0.35060826120827315</v>
      </c>
    </row>
    <row r="19277" spans="25:26" x14ac:dyDescent="0.25">
      <c r="Y19277" s="63">
        <v>61810</v>
      </c>
      <c r="Z19277" s="61">
        <f>_xll.qlYieldTSDiscount($U$35,Y19277,,Trigger)</f>
        <v>0.35058755536845365</v>
      </c>
    </row>
    <row r="19278" spans="25:26" x14ac:dyDescent="0.25">
      <c r="Y19278" s="63">
        <v>61811</v>
      </c>
      <c r="Z19278" s="61">
        <f>_xll.qlYieldTSDiscount($U$35,Y19278,,Trigger)</f>
        <v>0.35056685050542968</v>
      </c>
    </row>
    <row r="19279" spans="25:26" x14ac:dyDescent="0.25">
      <c r="Y19279" s="63">
        <v>61812</v>
      </c>
      <c r="Z19279" s="61">
        <f>_xll.qlYieldTSDiscount($U$35,Y19279,,Trigger)</f>
        <v>0.35054614661883537</v>
      </c>
    </row>
    <row r="19280" spans="25:26" x14ac:dyDescent="0.25">
      <c r="Y19280" s="63">
        <v>61813</v>
      </c>
      <c r="Z19280" s="61">
        <f>_xll.qlYieldTSDiscount($U$35,Y19280,,Trigger)</f>
        <v>0.35052544370830474</v>
      </c>
    </row>
    <row r="19281" spans="25:26" x14ac:dyDescent="0.25">
      <c r="Y19281" s="63">
        <v>61814</v>
      </c>
      <c r="Z19281" s="61">
        <f>_xll.qlYieldTSDiscount($U$35,Y19281,,Trigger)</f>
        <v>0.35050474177347191</v>
      </c>
    </row>
    <row r="19282" spans="25:26" x14ac:dyDescent="0.25">
      <c r="Y19282" s="63">
        <v>61815</v>
      </c>
      <c r="Z19282" s="61">
        <f>_xll.qlYieldTSDiscount($U$35,Y19282,,Trigger)</f>
        <v>0.35048404081397072</v>
      </c>
    </row>
    <row r="19283" spans="25:26" x14ac:dyDescent="0.25">
      <c r="Y19283" s="63">
        <v>61816</v>
      </c>
      <c r="Z19283" s="61">
        <f>_xll.qlYieldTSDiscount($U$35,Y19283,,Trigger)</f>
        <v>0.35046334082943531</v>
      </c>
    </row>
    <row r="19284" spans="25:26" x14ac:dyDescent="0.25">
      <c r="Y19284" s="63">
        <v>61817</v>
      </c>
      <c r="Z19284" s="61">
        <f>_xll.qlYieldTSDiscount($U$35,Y19284,,Trigger)</f>
        <v>0.35044264181949958</v>
      </c>
    </row>
    <row r="19285" spans="25:26" x14ac:dyDescent="0.25">
      <c r="Y19285" s="63">
        <v>61818</v>
      </c>
      <c r="Z19285" s="61">
        <f>_xll.qlYieldTSDiscount($U$35,Y19285,,Trigger)</f>
        <v>0.35042194378379782</v>
      </c>
    </row>
    <row r="19286" spans="25:26" x14ac:dyDescent="0.25">
      <c r="Y19286" s="63">
        <v>61819</v>
      </c>
      <c r="Z19286" s="61">
        <f>_xll.qlYieldTSDiscount($U$35,Y19286,,Trigger)</f>
        <v>0.35040124672196377</v>
      </c>
    </row>
    <row r="19287" spans="25:26" x14ac:dyDescent="0.25">
      <c r="Y19287" s="63">
        <v>61820</v>
      </c>
      <c r="Z19287" s="61">
        <f>_xll.qlYieldTSDiscount($U$35,Y19287,,Trigger)</f>
        <v>0.3503805506336316</v>
      </c>
    </row>
    <row r="19288" spans="25:26" x14ac:dyDescent="0.25">
      <c r="Y19288" s="63">
        <v>61821</v>
      </c>
      <c r="Z19288" s="61">
        <f>_xll.qlYieldTSDiscount($U$35,Y19288,,Trigger)</f>
        <v>0.35035985551843529</v>
      </c>
    </row>
    <row r="19289" spans="25:26" x14ac:dyDescent="0.25">
      <c r="Y19289" s="63">
        <v>61822</v>
      </c>
      <c r="Z19289" s="61">
        <f>_xll.qlYieldTSDiscount($U$35,Y19289,,Trigger)</f>
        <v>0.35033916137600885</v>
      </c>
    </row>
    <row r="19290" spans="25:26" x14ac:dyDescent="0.25">
      <c r="Y19290" s="63">
        <v>61823</v>
      </c>
      <c r="Z19290" s="61">
        <f>_xll.qlYieldTSDiscount($U$35,Y19290,,Trigger)</f>
        <v>0.35031846820598633</v>
      </c>
    </row>
    <row r="19291" spans="25:26" x14ac:dyDescent="0.25">
      <c r="Y19291" s="63">
        <v>61824</v>
      </c>
      <c r="Z19291" s="61">
        <f>_xll.qlYieldTSDiscount($U$35,Y19291,,Trigger)</f>
        <v>0.35029777600800172</v>
      </c>
    </row>
    <row r="19292" spans="25:26" x14ac:dyDescent="0.25">
      <c r="Y19292" s="63">
        <v>61825</v>
      </c>
      <c r="Z19292" s="61">
        <f>_xll.qlYieldTSDiscount($U$35,Y19292,,Trigger)</f>
        <v>0.35027708478168906</v>
      </c>
    </row>
    <row r="19293" spans="25:26" x14ac:dyDescent="0.25">
      <c r="Y19293" s="63">
        <v>61826</v>
      </c>
      <c r="Z19293" s="61">
        <f>_xll.qlYieldTSDiscount($U$35,Y19293,,Trigger)</f>
        <v>0.35025639452668234</v>
      </c>
    </row>
    <row r="19294" spans="25:26" x14ac:dyDescent="0.25">
      <c r="Y19294" s="63">
        <v>61827</v>
      </c>
      <c r="Z19294" s="61">
        <f>_xll.qlYieldTSDiscount($U$35,Y19294,,Trigger)</f>
        <v>0.35023570524261571</v>
      </c>
    </row>
    <row r="19295" spans="25:26" x14ac:dyDescent="0.25">
      <c r="Y19295" s="63">
        <v>61828</v>
      </c>
      <c r="Z19295" s="61">
        <f>_xll.qlYieldTSDiscount($U$35,Y19295,,Trigger)</f>
        <v>0.35021501692912299</v>
      </c>
    </row>
    <row r="19296" spans="25:26" x14ac:dyDescent="0.25">
      <c r="Y19296" s="63">
        <v>61829</v>
      </c>
      <c r="Z19296" s="61">
        <f>_xll.qlYieldTSDiscount($U$35,Y19296,,Trigger)</f>
        <v>0.35019432958583835</v>
      </c>
    </row>
    <row r="19297" spans="25:26" x14ac:dyDescent="0.25">
      <c r="Y19297" s="63">
        <v>61830</v>
      </c>
      <c r="Z19297" s="61">
        <f>_xll.qlYieldTSDiscount($U$35,Y19297,,Trigger)</f>
        <v>0.35017364321239575</v>
      </c>
    </row>
    <row r="19298" spans="25:26" x14ac:dyDescent="0.25">
      <c r="Y19298" s="63">
        <v>61831</v>
      </c>
      <c r="Z19298" s="61">
        <f>_xll.qlYieldTSDiscount($U$35,Y19298,,Trigger)</f>
        <v>0.35015295780842931</v>
      </c>
    </row>
    <row r="19299" spans="25:26" x14ac:dyDescent="0.25">
      <c r="Y19299" s="63">
        <v>61832</v>
      </c>
      <c r="Z19299" s="61">
        <f>_xll.qlYieldTSDiscount($U$35,Y19299,,Trigger)</f>
        <v>0.35013227337357289</v>
      </c>
    </row>
    <row r="19300" spans="25:26" x14ac:dyDescent="0.25">
      <c r="Y19300" s="63">
        <v>61833</v>
      </c>
      <c r="Z19300" s="61">
        <f>_xll.qlYieldTSDiscount($U$35,Y19300,,Trigger)</f>
        <v>0.35011158990746061</v>
      </c>
    </row>
    <row r="19301" spans="25:26" x14ac:dyDescent="0.25">
      <c r="Y19301" s="63">
        <v>61834</v>
      </c>
      <c r="Z19301" s="61">
        <f>_xll.qlYieldTSDiscount($U$35,Y19301,,Trigger)</f>
        <v>0.35009090740972659</v>
      </c>
    </row>
    <row r="19302" spans="25:26" x14ac:dyDescent="0.25">
      <c r="Y19302" s="63">
        <v>61835</v>
      </c>
      <c r="Z19302" s="61">
        <f>_xll.qlYieldTSDiscount($U$35,Y19302,,Trigger)</f>
        <v>0.35007022588000458</v>
      </c>
    </row>
    <row r="19303" spans="25:26" x14ac:dyDescent="0.25">
      <c r="Y19303" s="63">
        <v>61836</v>
      </c>
      <c r="Z19303" s="61">
        <f>_xll.qlYieldTSDiscount($U$35,Y19303,,Trigger)</f>
        <v>0.35004954531792876</v>
      </c>
    </row>
    <row r="19304" spans="25:26" x14ac:dyDescent="0.25">
      <c r="Y19304" s="63">
        <v>61837</v>
      </c>
      <c r="Z19304" s="61">
        <f>_xll.qlYieldTSDiscount($U$35,Y19304,,Trigger)</f>
        <v>0.3500288657231333</v>
      </c>
    </row>
    <row r="19305" spans="25:26" x14ac:dyDescent="0.25">
      <c r="Y19305" s="63">
        <v>61838</v>
      </c>
      <c r="Z19305" s="61">
        <f>_xll.qlYieldTSDiscount($U$35,Y19305,,Trigger)</f>
        <v>0.35000818709525194</v>
      </c>
    </row>
    <row r="19306" spans="25:26" x14ac:dyDescent="0.25">
      <c r="Y19306" s="63">
        <v>61839</v>
      </c>
      <c r="Z19306" s="61">
        <f>_xll.qlYieldTSDiscount($U$35,Y19306,,Trigger)</f>
        <v>0.34998750943391888</v>
      </c>
    </row>
    <row r="19307" spans="25:26" x14ac:dyDescent="0.25">
      <c r="Y19307" s="63">
        <v>61840</v>
      </c>
      <c r="Z19307" s="61">
        <f>_xll.qlYieldTSDiscount($U$35,Y19307,,Trigger)</f>
        <v>0.34996683273876811</v>
      </c>
    </row>
    <row r="19308" spans="25:26" x14ac:dyDescent="0.25">
      <c r="Y19308" s="63">
        <v>61841</v>
      </c>
      <c r="Z19308" s="61">
        <f>_xll.qlYieldTSDiscount($U$35,Y19308,,Trigger)</f>
        <v>0.34994615700943366</v>
      </c>
    </row>
    <row r="19309" spans="25:26" x14ac:dyDescent="0.25">
      <c r="Y19309" s="63">
        <v>61842</v>
      </c>
      <c r="Z19309" s="61">
        <f>_xll.qlYieldTSDiscount($U$35,Y19309,,Trigger)</f>
        <v>0.34992548224554942</v>
      </c>
    </row>
    <row r="19310" spans="25:26" x14ac:dyDescent="0.25">
      <c r="Y19310" s="63">
        <v>61843</v>
      </c>
      <c r="Z19310" s="61">
        <f>_xll.qlYieldTSDiscount($U$35,Y19310,,Trigger)</f>
        <v>0.34990480844674965</v>
      </c>
    </row>
    <row r="19311" spans="25:26" x14ac:dyDescent="0.25">
      <c r="Y19311" s="63">
        <v>61844</v>
      </c>
      <c r="Z19311" s="61">
        <f>_xll.qlYieldTSDiscount($U$35,Y19311,,Trigger)</f>
        <v>0.34988413561266818</v>
      </c>
    </row>
    <row r="19312" spans="25:26" x14ac:dyDescent="0.25">
      <c r="Y19312" s="63">
        <v>61845</v>
      </c>
      <c r="Z19312" s="61">
        <f>_xll.qlYieldTSDiscount($U$35,Y19312,,Trigger)</f>
        <v>0.34986346374293908</v>
      </c>
    </row>
    <row r="19313" spans="25:26" x14ac:dyDescent="0.25">
      <c r="Y19313" s="63">
        <v>61846</v>
      </c>
      <c r="Z19313" s="61">
        <f>_xll.qlYieldTSDiscount($U$35,Y19313,,Trigger)</f>
        <v>0.34984279283719644</v>
      </c>
    </row>
    <row r="19314" spans="25:26" x14ac:dyDescent="0.25">
      <c r="Y19314" s="63">
        <v>61847</v>
      </c>
      <c r="Z19314" s="61">
        <f>_xll.qlYieldTSDiscount($U$35,Y19314,,Trigger)</f>
        <v>0.34982212289507419</v>
      </c>
    </row>
    <row r="19315" spans="25:26" x14ac:dyDescent="0.25">
      <c r="Y19315" s="63">
        <v>61848</v>
      </c>
      <c r="Z19315" s="61">
        <f>_xll.qlYieldTSDiscount($U$35,Y19315,,Trigger)</f>
        <v>0.34980145391620643</v>
      </c>
    </row>
    <row r="19316" spans="25:26" x14ac:dyDescent="0.25">
      <c r="Y19316" s="63">
        <v>61849</v>
      </c>
      <c r="Z19316" s="61">
        <f>_xll.qlYieldTSDiscount($U$35,Y19316,,Trigger)</f>
        <v>0.3497807859002271</v>
      </c>
    </row>
    <row r="19317" spans="25:26" x14ac:dyDescent="0.25">
      <c r="Y19317" s="63">
        <v>61850</v>
      </c>
      <c r="Z19317" s="61">
        <f>_xll.qlYieldTSDiscount($U$35,Y19317,,Trigger)</f>
        <v>0.34976011884677027</v>
      </c>
    </row>
    <row r="19318" spans="25:26" x14ac:dyDescent="0.25">
      <c r="Y19318" s="63">
        <v>61851</v>
      </c>
      <c r="Z19318" s="61">
        <f>_xll.qlYieldTSDiscount($U$35,Y19318,,Trigger)</f>
        <v>0.34973945275547003</v>
      </c>
    </row>
    <row r="19319" spans="25:26" x14ac:dyDescent="0.25">
      <c r="Y19319" s="63">
        <v>61852</v>
      </c>
      <c r="Z19319" s="61">
        <f>_xll.qlYieldTSDiscount($U$35,Y19319,,Trigger)</f>
        <v>0.3497187876259602</v>
      </c>
    </row>
    <row r="19320" spans="25:26" x14ac:dyDescent="0.25">
      <c r="Y19320" s="63">
        <v>61853</v>
      </c>
      <c r="Z19320" s="61">
        <f>_xll.qlYieldTSDiscount($U$35,Y19320,,Trigger)</f>
        <v>0.3496981234578751</v>
      </c>
    </row>
    <row r="19321" spans="25:26" x14ac:dyDescent="0.25">
      <c r="Y19321" s="63">
        <v>61854</v>
      </c>
      <c r="Z19321" s="61">
        <f>_xll.qlYieldTSDiscount($U$35,Y19321,,Trigger)</f>
        <v>0.34967746025084845</v>
      </c>
    </row>
    <row r="19322" spans="25:26" x14ac:dyDescent="0.25">
      <c r="Y19322" s="63">
        <v>61855</v>
      </c>
      <c r="Z19322" s="61">
        <f>_xll.qlYieldTSDiscount($U$35,Y19322,,Trigger)</f>
        <v>0.34965679800451444</v>
      </c>
    </row>
    <row r="19323" spans="25:26" x14ac:dyDescent="0.25">
      <c r="Y19323" s="63">
        <v>61856</v>
      </c>
      <c r="Z19323" s="61">
        <f>_xll.qlYieldTSDiscount($U$35,Y19323,,Trigger)</f>
        <v>0.34963613671850713</v>
      </c>
    </row>
    <row r="19324" spans="25:26" x14ac:dyDescent="0.25">
      <c r="Y19324" s="63">
        <v>61857</v>
      </c>
      <c r="Z19324" s="61">
        <f>_xll.qlYieldTSDiscount($U$35,Y19324,,Trigger)</f>
        <v>0.34961547639246038</v>
      </c>
    </row>
    <row r="19325" spans="25:26" x14ac:dyDescent="0.25">
      <c r="Y19325" s="63">
        <v>61858</v>
      </c>
      <c r="Z19325" s="61">
        <f>_xll.qlYieldTSDiscount($U$35,Y19325,,Trigger)</f>
        <v>0.34959481702600831</v>
      </c>
    </row>
    <row r="19326" spans="25:26" x14ac:dyDescent="0.25">
      <c r="Y19326" s="63">
        <v>61859</v>
      </c>
      <c r="Z19326" s="61">
        <f>_xll.qlYieldTSDiscount($U$35,Y19326,,Trigger)</f>
        <v>0.34957415861878505</v>
      </c>
    </row>
    <row r="19327" spans="25:26" x14ac:dyDescent="0.25">
      <c r="Y19327" s="63">
        <v>61860</v>
      </c>
      <c r="Z19327" s="61">
        <f>_xll.qlYieldTSDiscount($U$35,Y19327,,Trigger)</f>
        <v>0.34955350117042433</v>
      </c>
    </row>
    <row r="19328" spans="25:26" x14ac:dyDescent="0.25">
      <c r="Y19328" s="63">
        <v>61861</v>
      </c>
      <c r="Z19328" s="61">
        <f>_xll.qlYieldTSDiscount($U$35,Y19328,,Trigger)</f>
        <v>0.3495328446805604</v>
      </c>
    </row>
    <row r="19329" spans="25:26" x14ac:dyDescent="0.25">
      <c r="Y19329" s="63">
        <v>61862</v>
      </c>
      <c r="Z19329" s="61">
        <f>_xll.qlYieldTSDiscount($U$35,Y19329,,Trigger)</f>
        <v>0.3495121891488272</v>
      </c>
    </row>
    <row r="19330" spans="25:26" x14ac:dyDescent="0.25">
      <c r="Y19330" s="63">
        <v>61863</v>
      </c>
      <c r="Z19330" s="61">
        <f>_xll.qlYieldTSDiscount($U$35,Y19330,,Trigger)</f>
        <v>0.34949153457485893</v>
      </c>
    </row>
    <row r="19331" spans="25:26" x14ac:dyDescent="0.25">
      <c r="Y19331" s="63">
        <v>61864</v>
      </c>
      <c r="Z19331" s="61">
        <f>_xll.qlYieldTSDiscount($U$35,Y19331,,Trigger)</f>
        <v>0.34947088095828932</v>
      </c>
    </row>
    <row r="19332" spans="25:26" x14ac:dyDescent="0.25">
      <c r="Y19332" s="63">
        <v>61865</v>
      </c>
      <c r="Z19332" s="61">
        <f>_xll.qlYieldTSDiscount($U$35,Y19332,,Trigger)</f>
        <v>0.34945022829875255</v>
      </c>
    </row>
    <row r="19333" spans="25:26" x14ac:dyDescent="0.25">
      <c r="Y19333" s="63">
        <v>61866</v>
      </c>
      <c r="Z19333" s="61">
        <f>_xll.qlYieldTSDiscount($U$35,Y19333,,Trigger)</f>
        <v>0.3494295765958827</v>
      </c>
    </row>
    <row r="19334" spans="25:26" x14ac:dyDescent="0.25">
      <c r="Y19334" s="63">
        <v>61867</v>
      </c>
      <c r="Z19334" s="61">
        <f>_xll.qlYieldTSDiscount($U$35,Y19334,,Trigger)</f>
        <v>0.34940892584931371</v>
      </c>
    </row>
    <row r="19335" spans="25:26" x14ac:dyDescent="0.25">
      <c r="Y19335" s="63">
        <v>61868</v>
      </c>
      <c r="Z19335" s="61">
        <f>_xll.qlYieldTSDiscount($U$35,Y19335,,Trigger)</f>
        <v>0.3493882760586795</v>
      </c>
    </row>
    <row r="19336" spans="25:26" x14ac:dyDescent="0.25">
      <c r="Y19336" s="63">
        <v>61869</v>
      </c>
      <c r="Z19336" s="61">
        <f>_xll.qlYieldTSDiscount($U$35,Y19336,,Trigger)</f>
        <v>0.34936762722361436</v>
      </c>
    </row>
    <row r="19337" spans="25:26" x14ac:dyDescent="0.25">
      <c r="Y19337" s="63">
        <v>61870</v>
      </c>
      <c r="Z19337" s="61">
        <f>_xll.qlYieldTSDiscount($U$35,Y19337,,Trigger)</f>
        <v>0.34934697934375203</v>
      </c>
    </row>
    <row r="19338" spans="25:26" x14ac:dyDescent="0.25">
      <c r="Y19338" s="63">
        <v>61871</v>
      </c>
      <c r="Z19338" s="61">
        <f>_xll.qlYieldTSDiscount($U$35,Y19338,,Trigger)</f>
        <v>0.34932633241872668</v>
      </c>
    </row>
    <row r="19339" spans="25:26" x14ac:dyDescent="0.25">
      <c r="Y19339" s="63">
        <v>61872</v>
      </c>
      <c r="Z19339" s="61">
        <f>_xll.qlYieldTSDiscount($U$35,Y19339,,Trigger)</f>
        <v>0.34930568644817239</v>
      </c>
    </row>
    <row r="19340" spans="25:26" x14ac:dyDescent="0.25">
      <c r="Y19340" s="63">
        <v>61873</v>
      </c>
      <c r="Z19340" s="61">
        <f>_xll.qlYieldTSDiscount($U$35,Y19340,,Trigger)</f>
        <v>0.34928504143172301</v>
      </c>
    </row>
    <row r="19341" spans="25:26" x14ac:dyDescent="0.25">
      <c r="Y19341" s="63">
        <v>61874</v>
      </c>
      <c r="Z19341" s="61">
        <f>_xll.qlYieldTSDiscount($U$35,Y19341,,Trigger)</f>
        <v>0.3492643973690126</v>
      </c>
    </row>
    <row r="19342" spans="25:26" x14ac:dyDescent="0.25">
      <c r="Y19342" s="63">
        <v>61875</v>
      </c>
      <c r="Z19342" s="61">
        <f>_xll.qlYieldTSDiscount($U$35,Y19342,,Trigger)</f>
        <v>0.3492437542596753</v>
      </c>
    </row>
    <row r="19343" spans="25:26" x14ac:dyDescent="0.25">
      <c r="Y19343" s="63">
        <v>61876</v>
      </c>
      <c r="Z19343" s="61">
        <f>_xll.qlYieldTSDiscount($U$35,Y19343,,Trigger)</f>
        <v>0.34922311210334511</v>
      </c>
    </row>
    <row r="19344" spans="25:26" x14ac:dyDescent="0.25">
      <c r="Y19344" s="63">
        <v>61877</v>
      </c>
      <c r="Z19344" s="61">
        <f>_xll.qlYieldTSDiscount($U$35,Y19344,,Trigger)</f>
        <v>0.34920247089965595</v>
      </c>
    </row>
    <row r="19345" spans="25:26" x14ac:dyDescent="0.25">
      <c r="Y19345" s="63">
        <v>61878</v>
      </c>
      <c r="Z19345" s="61">
        <f>_xll.qlYieldTSDiscount($U$35,Y19345,,Trigger)</f>
        <v>0.34918183064824188</v>
      </c>
    </row>
    <row r="19346" spans="25:26" x14ac:dyDescent="0.25">
      <c r="Y19346" s="63">
        <v>61879</v>
      </c>
      <c r="Z19346" s="61">
        <f>_xll.qlYieldTSDiscount($U$35,Y19346,,Trigger)</f>
        <v>0.34916119134873702</v>
      </c>
    </row>
    <row r="19347" spans="25:26" x14ac:dyDescent="0.25">
      <c r="Y19347" s="63">
        <v>61880</v>
      </c>
      <c r="Z19347" s="61">
        <f>_xll.qlYieldTSDiscount($U$35,Y19347,,Trigger)</f>
        <v>0.34914055300077523</v>
      </c>
    </row>
    <row r="19348" spans="25:26" x14ac:dyDescent="0.25">
      <c r="Y19348" s="63">
        <v>61881</v>
      </c>
      <c r="Z19348" s="61">
        <f>_xll.qlYieldTSDiscount($U$35,Y19348,,Trigger)</f>
        <v>0.34911991560399058</v>
      </c>
    </row>
    <row r="19349" spans="25:26" x14ac:dyDescent="0.25">
      <c r="Y19349" s="63">
        <v>61882</v>
      </c>
      <c r="Z19349" s="61">
        <f>_xll.qlYieldTSDiscount($U$35,Y19349,,Trigger)</f>
        <v>0.34909927915801731</v>
      </c>
    </row>
    <row r="19350" spans="25:26" x14ac:dyDescent="0.25">
      <c r="Y19350" s="63">
        <v>61883</v>
      </c>
      <c r="Z19350" s="61">
        <f>_xll.qlYieldTSDiscount($U$35,Y19350,,Trigger)</f>
        <v>0.34907864366248909</v>
      </c>
    </row>
    <row r="19351" spans="25:26" x14ac:dyDescent="0.25">
      <c r="Y19351" s="63">
        <v>61884</v>
      </c>
      <c r="Z19351" s="61">
        <f>_xll.qlYieldTSDiscount($U$35,Y19351,,Trigger)</f>
        <v>0.34905800911704021</v>
      </c>
    </row>
    <row r="19352" spans="25:26" x14ac:dyDescent="0.25">
      <c r="Y19352" s="63">
        <v>61885</v>
      </c>
      <c r="Z19352" s="61">
        <f>_xll.qlYieldTSDiscount($U$35,Y19352,,Trigger)</f>
        <v>0.34903737552130454</v>
      </c>
    </row>
    <row r="19353" spans="25:26" x14ac:dyDescent="0.25">
      <c r="Y19353" s="63">
        <v>61886</v>
      </c>
      <c r="Z19353" s="61">
        <f>_xll.qlYieldTSDiscount($U$35,Y19353,,Trigger)</f>
        <v>0.34901674287491613</v>
      </c>
    </row>
    <row r="19354" spans="25:26" x14ac:dyDescent="0.25">
      <c r="Y19354" s="63">
        <v>61887</v>
      </c>
      <c r="Z19354" s="61">
        <f>_xll.qlYieldTSDiscount($U$35,Y19354,,Trigger)</f>
        <v>0.34899611117750906</v>
      </c>
    </row>
    <row r="19355" spans="25:26" x14ac:dyDescent="0.25">
      <c r="Y19355" s="63">
        <v>61888</v>
      </c>
      <c r="Z19355" s="61">
        <f>_xll.qlYieldTSDiscount($U$35,Y19355,,Trigger)</f>
        <v>0.34897548042871729</v>
      </c>
    </row>
    <row r="19356" spans="25:26" x14ac:dyDescent="0.25">
      <c r="Y19356" s="63">
        <v>61889</v>
      </c>
      <c r="Z19356" s="61">
        <f>_xll.qlYieldTSDiscount($U$35,Y19356,,Trigger)</f>
        <v>0.34895485062817488</v>
      </c>
    </row>
    <row r="19357" spans="25:26" x14ac:dyDescent="0.25">
      <c r="Y19357" s="63">
        <v>61890</v>
      </c>
      <c r="Z19357" s="61">
        <f>_xll.qlYieldTSDiscount($U$35,Y19357,,Trigger)</f>
        <v>0.34893422177551586</v>
      </c>
    </row>
    <row r="19358" spans="25:26" x14ac:dyDescent="0.25">
      <c r="Y19358" s="63">
        <v>61891</v>
      </c>
      <c r="Z19358" s="61">
        <f>_xll.qlYieldTSDiscount($U$35,Y19358,,Trigger)</f>
        <v>0.34891359387037424</v>
      </c>
    </row>
    <row r="19359" spans="25:26" x14ac:dyDescent="0.25">
      <c r="Y19359" s="63">
        <v>61892</v>
      </c>
      <c r="Z19359" s="61">
        <f>_xll.qlYieldTSDiscount($U$35,Y19359,,Trigger)</f>
        <v>0.34889296691238403</v>
      </c>
    </row>
    <row r="19360" spans="25:26" x14ac:dyDescent="0.25">
      <c r="Y19360" s="63">
        <v>61893</v>
      </c>
      <c r="Z19360" s="61">
        <f>_xll.qlYieldTSDiscount($U$35,Y19360,,Trigger)</f>
        <v>0.34887234090117925</v>
      </c>
    </row>
    <row r="19361" spans="25:26" x14ac:dyDescent="0.25">
      <c r="Y19361" s="63">
        <v>61894</v>
      </c>
      <c r="Z19361" s="61">
        <f>_xll.qlYieldTSDiscount($U$35,Y19361,,Trigger)</f>
        <v>0.34885171583639385</v>
      </c>
    </row>
    <row r="19362" spans="25:26" x14ac:dyDescent="0.25">
      <c r="Y19362" s="63">
        <v>61895</v>
      </c>
      <c r="Z19362" s="61">
        <f>_xll.qlYieldTSDiscount($U$35,Y19362,,Trigger)</f>
        <v>0.34883109171766202</v>
      </c>
    </row>
    <row r="19363" spans="25:26" x14ac:dyDescent="0.25">
      <c r="Y19363" s="63">
        <v>61896</v>
      </c>
      <c r="Z19363" s="61">
        <f>_xll.qlYieldTSDiscount($U$35,Y19363,,Trigger)</f>
        <v>0.34881046854461772</v>
      </c>
    </row>
    <row r="19364" spans="25:26" x14ac:dyDescent="0.25">
      <c r="Y19364" s="63">
        <v>61897</v>
      </c>
      <c r="Z19364" s="61">
        <f>_xll.qlYieldTSDiscount($U$35,Y19364,,Trigger)</f>
        <v>0.34878984631689491</v>
      </c>
    </row>
    <row r="19365" spans="25:26" x14ac:dyDescent="0.25">
      <c r="Y19365" s="63">
        <v>61898</v>
      </c>
      <c r="Z19365" s="61">
        <f>_xll.qlYieldTSDiscount($U$35,Y19365,,Trigger)</f>
        <v>0.34876922503412766</v>
      </c>
    </row>
    <row r="19366" spans="25:26" x14ac:dyDescent="0.25">
      <c r="Y19366" s="63">
        <v>61899</v>
      </c>
      <c r="Z19366" s="61">
        <f>_xll.qlYieldTSDiscount($U$35,Y19366,,Trigger)</f>
        <v>0.34874860469594987</v>
      </c>
    </row>
    <row r="19367" spans="25:26" x14ac:dyDescent="0.25">
      <c r="Y19367" s="63">
        <v>61900</v>
      </c>
      <c r="Z19367" s="61">
        <f>_xll.qlYieldTSDiscount($U$35,Y19367,,Trigger)</f>
        <v>0.34872798530199578</v>
      </c>
    </row>
    <row r="19368" spans="25:26" x14ac:dyDescent="0.25">
      <c r="Y19368" s="63">
        <v>61901</v>
      </c>
      <c r="Z19368" s="61">
        <f>_xll.qlYieldTSDiscount($U$35,Y19368,,Trigger)</f>
        <v>0.34870736685189929</v>
      </c>
    </row>
    <row r="19369" spans="25:26" x14ac:dyDescent="0.25">
      <c r="Y19369" s="63">
        <v>61902</v>
      </c>
      <c r="Z19369" s="61">
        <f>_xll.qlYieldTSDiscount($U$35,Y19369,,Trigger)</f>
        <v>0.34868674934529442</v>
      </c>
    </row>
    <row r="19370" spans="25:26" x14ac:dyDescent="0.25">
      <c r="Y19370" s="63">
        <v>61903</v>
      </c>
      <c r="Z19370" s="61">
        <f>_xll.qlYieldTSDiscount($U$35,Y19370,,Trigger)</f>
        <v>0.34866613278181513</v>
      </c>
    </row>
    <row r="19371" spans="25:26" x14ac:dyDescent="0.25">
      <c r="Y19371" s="63">
        <v>61904</v>
      </c>
      <c r="Z19371" s="61">
        <f>_xll.qlYieldTSDiscount($U$35,Y19371,,Trigger)</f>
        <v>0.34864551716109565</v>
      </c>
    </row>
    <row r="19372" spans="25:26" x14ac:dyDescent="0.25">
      <c r="Y19372" s="63">
        <v>61905</v>
      </c>
      <c r="Z19372" s="61">
        <f>_xll.qlYieldTSDiscount($U$35,Y19372,,Trigger)</f>
        <v>0.34862490248276978</v>
      </c>
    </row>
    <row r="19373" spans="25:26" x14ac:dyDescent="0.25">
      <c r="Y19373" s="63">
        <v>61906</v>
      </c>
      <c r="Z19373" s="61">
        <f>_xll.qlYieldTSDiscount($U$35,Y19373,,Trigger)</f>
        <v>0.34860428874647165</v>
      </c>
    </row>
    <row r="19374" spans="25:26" x14ac:dyDescent="0.25">
      <c r="Y19374" s="63">
        <v>61907</v>
      </c>
      <c r="Z19374" s="61">
        <f>_xll.qlYieldTSDiscount($U$35,Y19374,,Trigger)</f>
        <v>0.34858367595183526</v>
      </c>
    </row>
    <row r="19375" spans="25:26" x14ac:dyDescent="0.25">
      <c r="Y19375" s="63">
        <v>61908</v>
      </c>
      <c r="Z19375" s="61">
        <f>_xll.qlYieldTSDiscount($U$35,Y19375,,Trigger)</f>
        <v>0.34856306409849469</v>
      </c>
    </row>
    <row r="19376" spans="25:26" x14ac:dyDescent="0.25">
      <c r="Y19376" s="63">
        <v>61909</v>
      </c>
      <c r="Z19376" s="61">
        <f>_xll.qlYieldTSDiscount($U$35,Y19376,,Trigger)</f>
        <v>0.34854245318608384</v>
      </c>
    </row>
    <row r="19377" spans="25:26" x14ac:dyDescent="0.25">
      <c r="Y19377" s="63">
        <v>61910</v>
      </c>
      <c r="Z19377" s="61">
        <f>_xll.qlYieldTSDiscount($U$35,Y19377,,Trigger)</f>
        <v>0.34852184321423674</v>
      </c>
    </row>
    <row r="19378" spans="25:26" x14ac:dyDescent="0.25">
      <c r="Y19378" s="63">
        <v>61911</v>
      </c>
      <c r="Z19378" s="61">
        <f>_xll.qlYieldTSDiscount($U$35,Y19378,,Trigger)</f>
        <v>0.3485012341825876</v>
      </c>
    </row>
    <row r="19379" spans="25:26" x14ac:dyDescent="0.25">
      <c r="Y19379" s="63">
        <v>61912</v>
      </c>
      <c r="Z19379" s="61">
        <f>_xll.qlYieldTSDiscount($U$35,Y19379,,Trigger)</f>
        <v>0.34848062609077024</v>
      </c>
    </row>
    <row r="19380" spans="25:26" x14ac:dyDescent="0.25">
      <c r="Y19380" s="63">
        <v>61913</v>
      </c>
      <c r="Z19380" s="61">
        <f>_xll.qlYieldTSDiscount($U$35,Y19380,,Trigger)</f>
        <v>0.34846001893841883</v>
      </c>
    </row>
    <row r="19381" spans="25:26" x14ac:dyDescent="0.25">
      <c r="Y19381" s="63">
        <v>61914</v>
      </c>
      <c r="Z19381" s="61">
        <f>_xll.qlYieldTSDiscount($U$35,Y19381,,Trigger)</f>
        <v>0.34843941272516721</v>
      </c>
    </row>
    <row r="19382" spans="25:26" x14ac:dyDescent="0.25">
      <c r="Y19382" s="63">
        <v>61915</v>
      </c>
      <c r="Z19382" s="61">
        <f>_xll.qlYieldTSDiscount($U$35,Y19382,,Trigger)</f>
        <v>0.34841880745064957</v>
      </c>
    </row>
    <row r="19383" spans="25:26" x14ac:dyDescent="0.25">
      <c r="Y19383" s="63">
        <v>61916</v>
      </c>
      <c r="Z19383" s="61">
        <f>_xll.qlYieldTSDiscount($U$35,Y19383,,Trigger)</f>
        <v>0.34839820311449982</v>
      </c>
    </row>
    <row r="19384" spans="25:26" x14ac:dyDescent="0.25">
      <c r="Y19384" s="63">
        <v>61917</v>
      </c>
      <c r="Z19384" s="61">
        <f>_xll.qlYieldTSDiscount($U$35,Y19384,,Trigger)</f>
        <v>0.34837759971635218</v>
      </c>
    </row>
    <row r="19385" spans="25:26" x14ac:dyDescent="0.25">
      <c r="Y19385" s="63">
        <v>61918</v>
      </c>
      <c r="Z19385" s="61">
        <f>_xll.qlYieldTSDiscount($U$35,Y19385,,Trigger)</f>
        <v>0.34835699725584035</v>
      </c>
    </row>
    <row r="19386" spans="25:26" x14ac:dyDescent="0.25">
      <c r="Y19386" s="63">
        <v>61919</v>
      </c>
      <c r="Z19386" s="61">
        <f>_xll.qlYieldTSDiscount($U$35,Y19386,,Trigger)</f>
        <v>0.3483363957325985</v>
      </c>
    </row>
    <row r="19387" spans="25:26" x14ac:dyDescent="0.25">
      <c r="Y19387" s="63">
        <v>61920</v>
      </c>
      <c r="Z19387" s="61">
        <f>_xll.qlYieldTSDiscount($U$35,Y19387,,Trigger)</f>
        <v>0.34831579514626076</v>
      </c>
    </row>
    <row r="19388" spans="25:26" x14ac:dyDescent="0.25">
      <c r="Y19388" s="63">
        <v>61921</v>
      </c>
      <c r="Z19388" s="61">
        <f>_xll.qlYieldTSDiscount($U$35,Y19388,,Trigger)</f>
        <v>0.34829519549646115</v>
      </c>
    </row>
    <row r="19389" spans="25:26" x14ac:dyDescent="0.25">
      <c r="Y19389" s="63">
        <v>61922</v>
      </c>
      <c r="Z19389" s="61">
        <f>_xll.qlYieldTSDiscount($U$35,Y19389,,Trigger)</f>
        <v>0.34827459678283346</v>
      </c>
    </row>
    <row r="19390" spans="25:26" x14ac:dyDescent="0.25">
      <c r="Y19390" s="63">
        <v>61923</v>
      </c>
      <c r="Z19390" s="61">
        <f>_xll.qlYieldTSDiscount($U$35,Y19390,,Trigger)</f>
        <v>0.34825399900501197</v>
      </c>
    </row>
    <row r="19391" spans="25:26" x14ac:dyDescent="0.25">
      <c r="Y19391" s="63">
        <v>61924</v>
      </c>
      <c r="Z19391" s="61">
        <f>_xll.qlYieldTSDiscount($U$35,Y19391,,Trigger)</f>
        <v>0.34823340216263055</v>
      </c>
    </row>
    <row r="19392" spans="25:26" x14ac:dyDescent="0.25">
      <c r="Y19392" s="63">
        <v>61925</v>
      </c>
      <c r="Z19392" s="61">
        <f>_xll.qlYieldTSDiscount($U$35,Y19392,,Trigger)</f>
        <v>0.3482128062553233</v>
      </c>
    </row>
    <row r="19393" spans="25:26" x14ac:dyDescent="0.25">
      <c r="Y19393" s="63">
        <v>61926</v>
      </c>
      <c r="Z19393" s="61">
        <f>_xll.qlYieldTSDiscount($U$35,Y19393,,Trigger)</f>
        <v>0.34819221128272415</v>
      </c>
    </row>
    <row r="19394" spans="25:26" x14ac:dyDescent="0.25">
      <c r="Y19394" s="63">
        <v>61927</v>
      </c>
      <c r="Z19394" s="61">
        <f>_xll.qlYieldTSDiscount($U$35,Y19394,,Trigger)</f>
        <v>0.34817161724446721</v>
      </c>
    </row>
    <row r="19395" spans="25:26" x14ac:dyDescent="0.25">
      <c r="Y19395" s="63">
        <v>61928</v>
      </c>
      <c r="Z19395" s="61">
        <f>_xll.qlYieldTSDiscount($U$35,Y19395,,Trigger)</f>
        <v>0.34815102414018645</v>
      </c>
    </row>
    <row r="19396" spans="25:26" x14ac:dyDescent="0.25">
      <c r="Y19396" s="63">
        <v>61929</v>
      </c>
      <c r="Z19396" s="61">
        <f>_xll.qlYieldTSDiscount($U$35,Y19396,,Trigger)</f>
        <v>0.34813043196951593</v>
      </c>
    </row>
    <row r="19397" spans="25:26" x14ac:dyDescent="0.25">
      <c r="Y19397" s="63">
        <v>61930</v>
      </c>
      <c r="Z19397" s="61">
        <f>_xll.qlYieldTSDiscount($U$35,Y19397,,Trigger)</f>
        <v>0.34810984073208973</v>
      </c>
    </row>
    <row r="19398" spans="25:26" x14ac:dyDescent="0.25">
      <c r="Y19398" s="63">
        <v>61931</v>
      </c>
      <c r="Z19398" s="61">
        <f>_xll.qlYieldTSDiscount($U$35,Y19398,,Trigger)</f>
        <v>0.34808925042754169</v>
      </c>
    </row>
    <row r="19399" spans="25:26" x14ac:dyDescent="0.25">
      <c r="Y19399" s="63">
        <v>61932</v>
      </c>
      <c r="Z19399" s="61">
        <f>_xll.qlYieldTSDiscount($U$35,Y19399,,Trigger)</f>
        <v>0.34806866105550593</v>
      </c>
    </row>
    <row r="19400" spans="25:26" x14ac:dyDescent="0.25">
      <c r="Y19400" s="63">
        <v>61933</v>
      </c>
      <c r="Z19400" s="61">
        <f>_xll.qlYieldTSDiscount($U$35,Y19400,,Trigger)</f>
        <v>0.3480480726156166</v>
      </c>
    </row>
    <row r="19401" spans="25:26" x14ac:dyDescent="0.25">
      <c r="Y19401" s="63">
        <v>61934</v>
      </c>
      <c r="Z19401" s="61">
        <f>_xll.qlYieldTSDiscount($U$35,Y19401,,Trigger)</f>
        <v>0.34802748510750747</v>
      </c>
    </row>
    <row r="19402" spans="25:26" x14ac:dyDescent="0.25">
      <c r="Y19402" s="63">
        <v>61935</v>
      </c>
      <c r="Z19402" s="61">
        <f>_xll.qlYieldTSDiscount($U$35,Y19402,,Trigger)</f>
        <v>0.34800689853081279</v>
      </c>
    </row>
    <row r="19403" spans="25:26" x14ac:dyDescent="0.25">
      <c r="Y19403" s="63">
        <v>61936</v>
      </c>
      <c r="Z19403" s="61">
        <f>_xll.qlYieldTSDiscount($U$35,Y19403,,Trigger)</f>
        <v>0.3479863128851664</v>
      </c>
    </row>
    <row r="19404" spans="25:26" x14ac:dyDescent="0.25">
      <c r="Y19404" s="63">
        <v>61937</v>
      </c>
      <c r="Z19404" s="61">
        <f>_xll.qlYieldTSDiscount($U$35,Y19404,,Trigger)</f>
        <v>0.34796572817020255</v>
      </c>
    </row>
    <row r="19405" spans="25:26" x14ac:dyDescent="0.25">
      <c r="Y19405" s="63">
        <v>61938</v>
      </c>
      <c r="Z19405" s="61">
        <f>_xll.qlYieldTSDiscount($U$35,Y19405,,Trigger)</f>
        <v>0.34794514438555496</v>
      </c>
    </row>
    <row r="19406" spans="25:26" x14ac:dyDescent="0.25">
      <c r="Y19406" s="63">
        <v>61939</v>
      </c>
      <c r="Z19406" s="61">
        <f>_xll.qlYieldTSDiscount($U$35,Y19406,,Trigger)</f>
        <v>0.34792456153085793</v>
      </c>
    </row>
    <row r="19407" spans="25:26" x14ac:dyDescent="0.25">
      <c r="Y19407" s="63">
        <v>61940</v>
      </c>
      <c r="Z19407" s="61">
        <f>_xll.qlYieldTSDiscount($U$35,Y19407,,Trigger)</f>
        <v>0.34790397960574532</v>
      </c>
    </row>
    <row r="19408" spans="25:26" x14ac:dyDescent="0.25">
      <c r="Y19408" s="63">
        <v>61941</v>
      </c>
      <c r="Z19408" s="61">
        <f>_xll.qlYieldTSDiscount($U$35,Y19408,,Trigger)</f>
        <v>0.34788339860985118</v>
      </c>
    </row>
    <row r="19409" spans="25:26" x14ac:dyDescent="0.25">
      <c r="Y19409" s="63">
        <v>61942</v>
      </c>
      <c r="Z19409" s="61">
        <f>_xll.qlYieldTSDiscount($U$35,Y19409,,Trigger)</f>
        <v>0.34786281854280954</v>
      </c>
    </row>
    <row r="19410" spans="25:26" x14ac:dyDescent="0.25">
      <c r="Y19410" s="63">
        <v>61943</v>
      </c>
      <c r="Z19410" s="61">
        <f>_xll.qlYieldTSDiscount($U$35,Y19410,,Trigger)</f>
        <v>0.34784223940425452</v>
      </c>
    </row>
    <row r="19411" spans="25:26" x14ac:dyDescent="0.25">
      <c r="Y19411" s="63">
        <v>61944</v>
      </c>
      <c r="Z19411" s="61">
        <f>_xll.qlYieldTSDiscount($U$35,Y19411,,Trigger)</f>
        <v>0.34782166119381996</v>
      </c>
    </row>
    <row r="19412" spans="25:26" x14ac:dyDescent="0.25">
      <c r="Y19412" s="63">
        <v>61945</v>
      </c>
      <c r="Z19412" s="61">
        <f>_xll.qlYieldTSDiscount($U$35,Y19412,,Trigger)</f>
        <v>0.34780108391113995</v>
      </c>
    </row>
    <row r="19413" spans="25:26" x14ac:dyDescent="0.25">
      <c r="Y19413" s="63">
        <v>61946</v>
      </c>
      <c r="Z19413" s="61">
        <f>_xll.qlYieldTSDiscount($U$35,Y19413,,Trigger)</f>
        <v>0.34778050755584861</v>
      </c>
    </row>
    <row r="19414" spans="25:26" x14ac:dyDescent="0.25">
      <c r="Y19414" s="63">
        <v>61947</v>
      </c>
      <c r="Z19414" s="61">
        <f>_xll.qlYieldTSDiscount($U$35,Y19414,,Trigger)</f>
        <v>0.34775993212757983</v>
      </c>
    </row>
    <row r="19415" spans="25:26" x14ac:dyDescent="0.25">
      <c r="Y19415" s="63">
        <v>61948</v>
      </c>
      <c r="Z19415" s="61">
        <f>_xll.qlYieldTSDiscount($U$35,Y19415,,Trigger)</f>
        <v>0.34773935762596769</v>
      </c>
    </row>
    <row r="19416" spans="25:26" x14ac:dyDescent="0.25">
      <c r="Y19416" s="63">
        <v>61949</v>
      </c>
      <c r="Z19416" s="61">
        <f>_xll.qlYieldTSDiscount($U$35,Y19416,,Trigger)</f>
        <v>0.34771878405064627</v>
      </c>
    </row>
    <row r="19417" spans="25:26" x14ac:dyDescent="0.25">
      <c r="Y19417" s="63">
        <v>61950</v>
      </c>
      <c r="Z19417" s="61">
        <f>_xll.qlYieldTSDiscount($U$35,Y19417,,Trigger)</f>
        <v>0.34769821140124951</v>
      </c>
    </row>
    <row r="19418" spans="25:26" x14ac:dyDescent="0.25">
      <c r="Y19418" s="63">
        <v>61951</v>
      </c>
      <c r="Z19418" s="61">
        <f>_xll.qlYieldTSDiscount($U$35,Y19418,,Trigger)</f>
        <v>0.34767763967741139</v>
      </c>
    </row>
    <row r="19419" spans="25:26" x14ac:dyDescent="0.25">
      <c r="Y19419" s="63">
        <v>61952</v>
      </c>
      <c r="Z19419" s="61">
        <f>_xll.qlYieldTSDiscount($U$35,Y19419,,Trigger)</f>
        <v>0.34765706887876613</v>
      </c>
    </row>
    <row r="19420" spans="25:26" x14ac:dyDescent="0.25">
      <c r="Y19420" s="63">
        <v>61953</v>
      </c>
      <c r="Z19420" s="61">
        <f>_xll.qlYieldTSDiscount($U$35,Y19420,,Trigger)</f>
        <v>0.34763649900494753</v>
      </c>
    </row>
    <row r="19421" spans="25:26" x14ac:dyDescent="0.25">
      <c r="Y19421" s="63">
        <v>61954</v>
      </c>
      <c r="Z19421" s="61">
        <f>_xll.qlYieldTSDiscount($U$35,Y19421,,Trigger)</f>
        <v>0.34761593005558966</v>
      </c>
    </row>
    <row r="19422" spans="25:26" x14ac:dyDescent="0.25">
      <c r="Y19422" s="63">
        <v>61955</v>
      </c>
      <c r="Z19422" s="61">
        <f>_xll.qlYieldTSDiscount($U$35,Y19422,,Trigger)</f>
        <v>0.34759536203032659</v>
      </c>
    </row>
    <row r="19423" spans="25:26" x14ac:dyDescent="0.25">
      <c r="Y19423" s="63">
        <v>61956</v>
      </c>
      <c r="Z19423" s="61">
        <f>_xll.qlYieldTSDiscount($U$35,Y19423,,Trigger)</f>
        <v>0.3475747949287924</v>
      </c>
    </row>
    <row r="19424" spans="25:26" x14ac:dyDescent="0.25">
      <c r="Y19424" s="63">
        <v>61957</v>
      </c>
      <c r="Z19424" s="61">
        <f>_xll.qlYieldTSDiscount($U$35,Y19424,,Trigger)</f>
        <v>0.34755422875062103</v>
      </c>
    </row>
    <row r="19425" spans="25:26" x14ac:dyDescent="0.25">
      <c r="Y19425" s="63">
        <v>61958</v>
      </c>
      <c r="Z19425" s="61">
        <f>_xll.qlYieldTSDiscount($U$35,Y19425,,Trigger)</f>
        <v>0.34753366349544651</v>
      </c>
    </row>
    <row r="19426" spans="25:26" x14ac:dyDescent="0.25">
      <c r="Y19426" s="63">
        <v>61959</v>
      </c>
      <c r="Z19426" s="61">
        <f>_xll.qlYieldTSDiscount($U$35,Y19426,,Trigger)</f>
        <v>0.34751309916290291</v>
      </c>
    </row>
    <row r="19427" spans="25:26" x14ac:dyDescent="0.25">
      <c r="Y19427" s="63">
        <v>61960</v>
      </c>
      <c r="Z19427" s="61">
        <f>_xll.qlYieldTSDiscount($U$35,Y19427,,Trigger)</f>
        <v>0.34749253575262418</v>
      </c>
    </row>
    <row r="19428" spans="25:26" x14ac:dyDescent="0.25">
      <c r="Y19428" s="63">
        <v>61961</v>
      </c>
      <c r="Z19428" s="61">
        <f>_xll.qlYieldTSDiscount($U$35,Y19428,,Trigger)</f>
        <v>0.34747197326424428</v>
      </c>
    </row>
    <row r="19429" spans="25:26" x14ac:dyDescent="0.25">
      <c r="Y19429" s="63">
        <v>61962</v>
      </c>
      <c r="Z19429" s="61">
        <f>_xll.qlYieldTSDiscount($U$35,Y19429,,Trigger)</f>
        <v>0.34745141169739746</v>
      </c>
    </row>
    <row r="19430" spans="25:26" x14ac:dyDescent="0.25">
      <c r="Y19430" s="63">
        <v>61963</v>
      </c>
      <c r="Z19430" s="61">
        <f>_xll.qlYieldTSDiscount($U$35,Y19430,,Trigger)</f>
        <v>0.34743085105171756</v>
      </c>
    </row>
    <row r="19431" spans="25:26" x14ac:dyDescent="0.25">
      <c r="Y19431" s="63">
        <v>61964</v>
      </c>
      <c r="Z19431" s="61">
        <f>_xll.qlYieldTSDiscount($U$35,Y19431,,Trigger)</f>
        <v>0.34741029132683865</v>
      </c>
    </row>
    <row r="19432" spans="25:26" x14ac:dyDescent="0.25">
      <c r="Y19432" s="63">
        <v>61965</v>
      </c>
      <c r="Z19432" s="61">
        <f>_xll.qlYieldTSDiscount($U$35,Y19432,,Trigger)</f>
        <v>0.34738973252239469</v>
      </c>
    </row>
    <row r="19433" spans="25:26" x14ac:dyDescent="0.25">
      <c r="Y19433" s="63">
        <v>61966</v>
      </c>
      <c r="Z19433" s="61">
        <f>_xll.qlYieldTSDiscount($U$35,Y19433,,Trigger)</f>
        <v>0.34736917463801986</v>
      </c>
    </row>
    <row r="19434" spans="25:26" x14ac:dyDescent="0.25">
      <c r="Y19434" s="63">
        <v>61967</v>
      </c>
      <c r="Z19434" s="61">
        <f>_xll.qlYieldTSDiscount($U$35,Y19434,,Trigger)</f>
        <v>0.34734861767334801</v>
      </c>
    </row>
    <row r="19435" spans="25:26" x14ac:dyDescent="0.25">
      <c r="Y19435" s="63">
        <v>61968</v>
      </c>
      <c r="Z19435" s="61">
        <f>_xll.qlYieldTSDiscount($U$35,Y19435,,Trigger)</f>
        <v>0.34732806162801327</v>
      </c>
    </row>
    <row r="19436" spans="25:26" x14ac:dyDescent="0.25">
      <c r="Y19436" s="63">
        <v>61969</v>
      </c>
      <c r="Z19436" s="61">
        <f>_xll.qlYieldTSDiscount($U$35,Y19436,,Trigger)</f>
        <v>0.34730750650164965</v>
      </c>
    </row>
    <row r="19437" spans="25:26" x14ac:dyDescent="0.25">
      <c r="Y19437" s="63">
        <v>61970</v>
      </c>
      <c r="Z19437" s="61">
        <f>_xll.qlYieldTSDiscount($U$35,Y19437,,Trigger)</f>
        <v>0.34728695229389112</v>
      </c>
    </row>
    <row r="19438" spans="25:26" x14ac:dyDescent="0.25">
      <c r="Y19438" s="63">
        <v>61971</v>
      </c>
      <c r="Z19438" s="61">
        <f>_xll.qlYieldTSDiscount($U$35,Y19438,,Trigger)</f>
        <v>0.34726639900437173</v>
      </c>
    </row>
    <row r="19439" spans="25:26" x14ac:dyDescent="0.25">
      <c r="Y19439" s="63">
        <v>61972</v>
      </c>
      <c r="Z19439" s="61">
        <f>_xll.qlYieldTSDiscount($U$35,Y19439,,Trigger)</f>
        <v>0.34724584663272551</v>
      </c>
    </row>
    <row r="19440" spans="25:26" x14ac:dyDescent="0.25">
      <c r="Y19440" s="63">
        <v>61973</v>
      </c>
      <c r="Z19440" s="61">
        <f>_xll.qlYieldTSDiscount($U$35,Y19440,,Trigger)</f>
        <v>0.34722529517858647</v>
      </c>
    </row>
    <row r="19441" spans="25:26" x14ac:dyDescent="0.25">
      <c r="Y19441" s="63">
        <v>61974</v>
      </c>
      <c r="Z19441" s="61">
        <f>_xll.qlYieldTSDiscount($U$35,Y19441,,Trigger)</f>
        <v>0.34720474464158863</v>
      </c>
    </row>
    <row r="19442" spans="25:26" x14ac:dyDescent="0.25">
      <c r="Y19442" s="63">
        <v>61975</v>
      </c>
      <c r="Z19442" s="61">
        <f>_xll.qlYieldTSDiscount($U$35,Y19442,,Trigger)</f>
        <v>0.3471841950213661</v>
      </c>
    </row>
    <row r="19443" spans="25:26" x14ac:dyDescent="0.25">
      <c r="Y19443" s="63">
        <v>61976</v>
      </c>
      <c r="Z19443" s="61">
        <f>_xll.qlYieldTSDiscount($U$35,Y19443,,Trigger)</f>
        <v>0.3471636463175527</v>
      </c>
    </row>
    <row r="19444" spans="25:26" x14ac:dyDescent="0.25">
      <c r="Y19444" s="63">
        <v>61977</v>
      </c>
      <c r="Z19444" s="61">
        <f>_xll.qlYieldTSDiscount($U$35,Y19444,,Trigger)</f>
        <v>0.34714309852978259</v>
      </c>
    </row>
    <row r="19445" spans="25:26" x14ac:dyDescent="0.25">
      <c r="Y19445" s="63">
        <v>61978</v>
      </c>
      <c r="Z19445" s="61">
        <f>_xll.qlYieldTSDiscount($U$35,Y19445,,Trigger)</f>
        <v>0.3471225516576899</v>
      </c>
    </row>
    <row r="19446" spans="25:26" x14ac:dyDescent="0.25">
      <c r="Y19446" s="63">
        <v>61979</v>
      </c>
      <c r="Z19446" s="61">
        <f>_xll.qlYieldTSDiscount($U$35,Y19446,,Trigger)</f>
        <v>0.34710200570090843</v>
      </c>
    </row>
    <row r="19447" spans="25:26" x14ac:dyDescent="0.25">
      <c r="Y19447" s="63">
        <v>61980</v>
      </c>
      <c r="Z19447" s="61">
        <f>_xll.qlYieldTSDiscount($U$35,Y19447,,Trigger)</f>
        <v>0.34708146065907219</v>
      </c>
    </row>
    <row r="19448" spans="25:26" x14ac:dyDescent="0.25">
      <c r="Y19448" s="63">
        <v>61981</v>
      </c>
      <c r="Z19448" s="61">
        <f>_xll.qlYieldTSDiscount($U$35,Y19448,,Trigger)</f>
        <v>0.34706091653181548</v>
      </c>
    </row>
    <row r="19449" spans="25:26" x14ac:dyDescent="0.25">
      <c r="Y19449" s="63">
        <v>61982</v>
      </c>
      <c r="Z19449" s="61">
        <f>_xll.qlYieldTSDiscount($U$35,Y19449,,Trigger)</f>
        <v>0.34704037331877213</v>
      </c>
    </row>
    <row r="19450" spans="25:26" x14ac:dyDescent="0.25">
      <c r="Y19450" s="63">
        <v>61983</v>
      </c>
      <c r="Z19450" s="61">
        <f>_xll.qlYieldTSDiscount($U$35,Y19450,,Trigger)</f>
        <v>0.34701983101957612</v>
      </c>
    </row>
    <row r="19451" spans="25:26" x14ac:dyDescent="0.25">
      <c r="Y19451" s="63">
        <v>61984</v>
      </c>
      <c r="Z19451" s="61">
        <f>_xll.qlYieldTSDiscount($U$35,Y19451,,Trigger)</f>
        <v>0.34699928963386156</v>
      </c>
    </row>
    <row r="19452" spans="25:26" x14ac:dyDescent="0.25">
      <c r="Y19452" s="63">
        <v>61985</v>
      </c>
      <c r="Z19452" s="61">
        <f>_xll.qlYieldTSDiscount($U$35,Y19452,,Trigger)</f>
        <v>0.34697874916126248</v>
      </c>
    </row>
    <row r="19453" spans="25:26" x14ac:dyDescent="0.25">
      <c r="Y19453" s="63">
        <v>61986</v>
      </c>
      <c r="Z19453" s="61">
        <f>_xll.qlYieldTSDiscount($U$35,Y19453,,Trigger)</f>
        <v>0.34695820960141283</v>
      </c>
    </row>
    <row r="19454" spans="25:26" x14ac:dyDescent="0.25">
      <c r="Y19454" s="63">
        <v>61987</v>
      </c>
      <c r="Z19454" s="61">
        <f>_xll.qlYieldTSDiscount($U$35,Y19454,,Trigger)</f>
        <v>0.34693767095394668</v>
      </c>
    </row>
    <row r="19455" spans="25:26" x14ac:dyDescent="0.25">
      <c r="Y19455" s="63">
        <v>61988</v>
      </c>
      <c r="Z19455" s="61">
        <f>_xll.qlYieldTSDiscount($U$35,Y19455,,Trigger)</f>
        <v>0.3469171332184981</v>
      </c>
    </row>
    <row r="19456" spans="25:26" x14ac:dyDescent="0.25">
      <c r="Y19456" s="63">
        <v>61989</v>
      </c>
      <c r="Z19456" s="61">
        <f>_xll.qlYieldTSDiscount($U$35,Y19456,,Trigger)</f>
        <v>0.34689659639470094</v>
      </c>
    </row>
    <row r="19457" spans="25:26" x14ac:dyDescent="0.25">
      <c r="Y19457" s="63">
        <v>61990</v>
      </c>
      <c r="Z19457" s="61">
        <f>_xll.qlYieldTSDiscount($U$35,Y19457,,Trigger)</f>
        <v>0.34687606048218944</v>
      </c>
    </row>
    <row r="19458" spans="25:26" x14ac:dyDescent="0.25">
      <c r="Y19458" s="63">
        <v>61991</v>
      </c>
      <c r="Z19458" s="61">
        <f>_xll.qlYieldTSDiscount($U$35,Y19458,,Trigger)</f>
        <v>0.3468555254805975</v>
      </c>
    </row>
    <row r="19459" spans="25:26" x14ac:dyDescent="0.25">
      <c r="Y19459" s="63">
        <v>61992</v>
      </c>
      <c r="Z19459" s="61">
        <f>_xll.qlYieldTSDiscount($U$35,Y19459,,Trigger)</f>
        <v>0.3468349913895592</v>
      </c>
    </row>
    <row r="19460" spans="25:26" x14ac:dyDescent="0.25">
      <c r="Y19460" s="63">
        <v>61993</v>
      </c>
      <c r="Z19460" s="61">
        <f>_xll.qlYieldTSDiscount($U$35,Y19460,,Trigger)</f>
        <v>0.34681445820870838</v>
      </c>
    </row>
    <row r="19461" spans="25:26" x14ac:dyDescent="0.25">
      <c r="Y19461" s="63">
        <v>61994</v>
      </c>
      <c r="Z19461" s="61">
        <f>_xll.qlYieldTSDiscount($U$35,Y19461,,Trigger)</f>
        <v>0.34679392593767933</v>
      </c>
    </row>
    <row r="19462" spans="25:26" x14ac:dyDescent="0.25">
      <c r="Y19462" s="63">
        <v>61995</v>
      </c>
      <c r="Z19462" s="61">
        <f>_xll.qlYieldTSDiscount($U$35,Y19462,,Trigger)</f>
        <v>0.3467733945761059</v>
      </c>
    </row>
    <row r="19463" spans="25:26" x14ac:dyDescent="0.25">
      <c r="Y19463" s="63">
        <v>61996</v>
      </c>
      <c r="Z19463" s="61">
        <f>_xll.qlYieldTSDiscount($U$35,Y19463,,Trigger)</f>
        <v>0.34675286412362216</v>
      </c>
    </row>
    <row r="19464" spans="25:26" x14ac:dyDescent="0.25">
      <c r="Y19464" s="63">
        <v>61997</v>
      </c>
      <c r="Z19464" s="61">
        <f>_xll.qlYieldTSDiscount($U$35,Y19464,,Trigger)</f>
        <v>0.34673233457986213</v>
      </c>
    </row>
    <row r="19465" spans="25:26" x14ac:dyDescent="0.25">
      <c r="Y19465" s="63">
        <v>61998</v>
      </c>
      <c r="Z19465" s="61">
        <f>_xll.qlYieldTSDiscount($U$35,Y19465,,Trigger)</f>
        <v>0.34671180594445983</v>
      </c>
    </row>
    <row r="19466" spans="25:26" x14ac:dyDescent="0.25">
      <c r="Y19466" s="63">
        <v>61999</v>
      </c>
      <c r="Z19466" s="61">
        <f>_xll.qlYieldTSDiscount($U$35,Y19466,,Trigger)</f>
        <v>0.34669127821704931</v>
      </c>
    </row>
    <row r="19467" spans="25:26" x14ac:dyDescent="0.25">
      <c r="Y19467" s="63">
        <v>62000</v>
      </c>
      <c r="Z19467" s="61">
        <f>_xll.qlYieldTSDiscount($U$35,Y19467,,Trigger)</f>
        <v>0.34667075139726455</v>
      </c>
    </row>
    <row r="19468" spans="25:26" x14ac:dyDescent="0.25">
      <c r="Y19468" s="63">
        <v>62001</v>
      </c>
      <c r="Z19468" s="61">
        <f>_xll.qlYieldTSDiscount($U$35,Y19468,,Trigger)</f>
        <v>0.34665022548473956</v>
      </c>
    </row>
    <row r="19469" spans="25:26" x14ac:dyDescent="0.25">
      <c r="Y19469" s="63">
        <v>62002</v>
      </c>
      <c r="Z19469" s="61">
        <f>_xll.qlYieldTSDiscount($U$35,Y19469,,Trigger)</f>
        <v>0.34662970047910846</v>
      </c>
    </row>
    <row r="19470" spans="25:26" x14ac:dyDescent="0.25">
      <c r="Y19470" s="63">
        <v>62003</v>
      </c>
      <c r="Z19470" s="61">
        <f>_xll.qlYieldTSDiscount($U$35,Y19470,,Trigger)</f>
        <v>0.3466091763800051</v>
      </c>
    </row>
    <row r="19471" spans="25:26" x14ac:dyDescent="0.25">
      <c r="Y19471" s="63">
        <v>62004</v>
      </c>
      <c r="Z19471" s="61">
        <f>_xll.qlYieldTSDiscount($U$35,Y19471,,Trigger)</f>
        <v>0.34658865318706378</v>
      </c>
    </row>
    <row r="19472" spans="25:26" x14ac:dyDescent="0.25">
      <c r="Y19472" s="63">
        <v>62005</v>
      </c>
      <c r="Z19472" s="61">
        <f>_xll.qlYieldTSDiscount($U$35,Y19472,,Trigger)</f>
        <v>0.34656813089991811</v>
      </c>
    </row>
    <row r="19473" spans="25:26" x14ac:dyDescent="0.25">
      <c r="Y19473" s="63">
        <v>62006</v>
      </c>
      <c r="Z19473" s="61">
        <f>_xll.qlYieldTSDiscount($U$35,Y19473,,Trigger)</f>
        <v>0.34654760951820252</v>
      </c>
    </row>
    <row r="19474" spans="25:26" x14ac:dyDescent="0.25">
      <c r="Y19474" s="63">
        <v>62007</v>
      </c>
      <c r="Z19474" s="61">
        <f>_xll.qlYieldTSDiscount($U$35,Y19474,,Trigger)</f>
        <v>0.34652708904155077</v>
      </c>
    </row>
    <row r="19475" spans="25:26" x14ac:dyDescent="0.25">
      <c r="Y19475" s="63">
        <v>62008</v>
      </c>
      <c r="Z19475" s="61">
        <f>_xll.qlYieldTSDiscount($U$35,Y19475,,Trigger)</f>
        <v>0.34650656946959701</v>
      </c>
    </row>
    <row r="19476" spans="25:26" x14ac:dyDescent="0.25">
      <c r="Y19476" s="63">
        <v>62009</v>
      </c>
      <c r="Z19476" s="61">
        <f>_xll.qlYieldTSDiscount($U$35,Y19476,,Trigger)</f>
        <v>0.3464860508019752</v>
      </c>
    </row>
    <row r="19477" spans="25:26" x14ac:dyDescent="0.25">
      <c r="Y19477" s="63">
        <v>62010</v>
      </c>
      <c r="Z19477" s="61">
        <f>_xll.qlYieldTSDiscount($U$35,Y19477,,Trigger)</f>
        <v>0.3464655330383194</v>
      </c>
    </row>
    <row r="19478" spans="25:26" x14ac:dyDescent="0.25">
      <c r="Y19478" s="63">
        <v>62011</v>
      </c>
      <c r="Z19478" s="61">
        <f>_xll.qlYieldTSDiscount($U$35,Y19478,,Trigger)</f>
        <v>0.34644501617826362</v>
      </c>
    </row>
    <row r="19479" spans="25:26" x14ac:dyDescent="0.25">
      <c r="Y19479" s="63">
        <v>62012</v>
      </c>
      <c r="Z19479" s="61">
        <f>_xll.qlYieldTSDiscount($U$35,Y19479,,Trigger)</f>
        <v>0.34642450022144189</v>
      </c>
    </row>
    <row r="19480" spans="25:26" x14ac:dyDescent="0.25">
      <c r="Y19480" s="63">
        <v>62013</v>
      </c>
      <c r="Z19480" s="61">
        <f>_xll.qlYieldTSDiscount($U$35,Y19480,,Trigger)</f>
        <v>0.34640398516748816</v>
      </c>
    </row>
    <row r="19481" spans="25:26" x14ac:dyDescent="0.25">
      <c r="Y19481" s="63">
        <v>62014</v>
      </c>
      <c r="Z19481" s="61">
        <f>_xll.qlYieldTSDiscount($U$35,Y19481,,Trigger)</f>
        <v>0.34638347101603661</v>
      </c>
    </row>
    <row r="19482" spans="25:26" x14ac:dyDescent="0.25">
      <c r="Y19482" s="63">
        <v>62015</v>
      </c>
      <c r="Z19482" s="61">
        <f>_xll.qlYieldTSDiscount($U$35,Y19482,,Trigger)</f>
        <v>0.3463629577667211</v>
      </c>
    </row>
    <row r="19483" spans="25:26" x14ac:dyDescent="0.25">
      <c r="Y19483" s="63">
        <v>62016</v>
      </c>
      <c r="Z19483" s="61">
        <f>_xll.qlYieldTSDiscount($U$35,Y19483,,Trigger)</f>
        <v>0.34634244541917569</v>
      </c>
    </row>
    <row r="19484" spans="25:26" x14ac:dyDescent="0.25">
      <c r="Y19484" s="63">
        <v>62017</v>
      </c>
      <c r="Z19484" s="61">
        <f>_xll.qlYieldTSDiscount($U$35,Y19484,,Trigger)</f>
        <v>0.34632193397303451</v>
      </c>
    </row>
    <row r="19485" spans="25:26" x14ac:dyDescent="0.25">
      <c r="Y19485" s="63">
        <v>62018</v>
      </c>
      <c r="Z19485" s="61">
        <f>_xll.qlYieldTSDiscount($U$35,Y19485,,Trigger)</f>
        <v>0.34630142342793147</v>
      </c>
    </row>
    <row r="19486" spans="25:26" x14ac:dyDescent="0.25">
      <c r="Y19486" s="63">
        <v>62019</v>
      </c>
      <c r="Z19486" s="61">
        <f>_xll.qlYieldTSDiscount($U$35,Y19486,,Trigger)</f>
        <v>0.34628091378350057</v>
      </c>
    </row>
    <row r="19487" spans="25:26" x14ac:dyDescent="0.25">
      <c r="Y19487" s="63">
        <v>62020</v>
      </c>
      <c r="Z19487" s="61">
        <f>_xll.qlYieldTSDiscount($U$35,Y19487,,Trigger)</f>
        <v>0.34626040503937594</v>
      </c>
    </row>
    <row r="19488" spans="25:26" x14ac:dyDescent="0.25">
      <c r="Y19488" s="63">
        <v>62021</v>
      </c>
      <c r="Z19488" s="61">
        <f>_xll.qlYieldTSDiscount($U$35,Y19488,,Trigger)</f>
        <v>0.34623989719519155</v>
      </c>
    </row>
    <row r="19489" spans="25:26" x14ac:dyDescent="0.25">
      <c r="Y19489" s="63">
        <v>62022</v>
      </c>
      <c r="Z19489" s="61">
        <f>_xll.qlYieldTSDiscount($U$35,Y19489,,Trigger)</f>
        <v>0.34621939025058135</v>
      </c>
    </row>
    <row r="19490" spans="25:26" x14ac:dyDescent="0.25">
      <c r="Y19490" s="63">
        <v>62023</v>
      </c>
      <c r="Z19490" s="61">
        <f>_xll.qlYieldTSDiscount($U$35,Y19490,,Trigger)</f>
        <v>0.34619888420517952</v>
      </c>
    </row>
    <row r="19491" spans="25:26" x14ac:dyDescent="0.25">
      <c r="Y19491" s="63">
        <v>62024</v>
      </c>
      <c r="Z19491" s="61">
        <f>_xll.qlYieldTSDiscount($U$35,Y19491,,Trigger)</f>
        <v>0.34617837905861992</v>
      </c>
    </row>
    <row r="19492" spans="25:26" x14ac:dyDescent="0.25">
      <c r="Y19492" s="63">
        <v>62025</v>
      </c>
      <c r="Z19492" s="61">
        <f>_xll.qlYieldTSDiscount($U$35,Y19492,,Trigger)</f>
        <v>0.34615787481053661</v>
      </c>
    </row>
    <row r="19493" spans="25:26" x14ac:dyDescent="0.25">
      <c r="Y19493" s="63">
        <v>62026</v>
      </c>
      <c r="Z19493" s="61">
        <f>_xll.qlYieldTSDiscount($U$35,Y19493,,Trigger)</f>
        <v>0.34613737146056373</v>
      </c>
    </row>
    <row r="19494" spans="25:26" x14ac:dyDescent="0.25">
      <c r="Y19494" s="63">
        <v>62027</v>
      </c>
      <c r="Z19494" s="61">
        <f>_xll.qlYieldTSDiscount($U$35,Y19494,,Trigger)</f>
        <v>0.34611686900833516</v>
      </c>
    </row>
    <row r="19495" spans="25:26" x14ac:dyDescent="0.25">
      <c r="Y19495" s="63">
        <v>62028</v>
      </c>
      <c r="Z19495" s="61">
        <f>_xll.qlYieldTSDiscount($U$35,Y19495,,Trigger)</f>
        <v>0.34609636745348504</v>
      </c>
    </row>
    <row r="19496" spans="25:26" x14ac:dyDescent="0.25">
      <c r="Y19496" s="63">
        <v>62029</v>
      </c>
      <c r="Z19496" s="61">
        <f>_xll.qlYieldTSDiscount($U$35,Y19496,,Trigger)</f>
        <v>0.34607586679564728</v>
      </c>
    </row>
    <row r="19497" spans="25:26" x14ac:dyDescent="0.25">
      <c r="Y19497" s="63">
        <v>62030</v>
      </c>
      <c r="Z19497" s="61">
        <f>_xll.qlYieldTSDiscount($U$35,Y19497,,Trigger)</f>
        <v>0.346055367034456</v>
      </c>
    </row>
    <row r="19498" spans="25:26" x14ac:dyDescent="0.25">
      <c r="Y19498" s="63">
        <v>62031</v>
      </c>
      <c r="Z19498" s="61">
        <f>_xll.qlYieldTSDiscount($U$35,Y19498,,Trigger)</f>
        <v>0.3460348681695451</v>
      </c>
    </row>
    <row r="19499" spans="25:26" x14ac:dyDescent="0.25">
      <c r="Y19499" s="63">
        <v>62032</v>
      </c>
      <c r="Z19499" s="61">
        <f>_xll.qlYieldTSDiscount($U$35,Y19499,,Trigger)</f>
        <v>0.3460143702005487</v>
      </c>
    </row>
    <row r="19500" spans="25:26" x14ac:dyDescent="0.25">
      <c r="Y19500" s="63">
        <v>62033</v>
      </c>
      <c r="Z19500" s="61">
        <f>_xll.qlYieldTSDiscount($U$35,Y19500,,Trigger)</f>
        <v>0.34599387312710084</v>
      </c>
    </row>
    <row r="19501" spans="25:26" x14ac:dyDescent="0.25">
      <c r="Y19501" s="63">
        <v>62034</v>
      </c>
      <c r="Z19501" s="61">
        <f>_xll.qlYieldTSDiscount($U$35,Y19501,,Trigger)</f>
        <v>0.34597337694883545</v>
      </c>
    </row>
    <row r="19502" spans="25:26" x14ac:dyDescent="0.25">
      <c r="Y19502" s="63">
        <v>62035</v>
      </c>
      <c r="Z19502" s="61">
        <f>_xll.qlYieldTSDiscount($U$35,Y19502,,Trigger)</f>
        <v>0.34595288166538662</v>
      </c>
    </row>
    <row r="19503" spans="25:26" x14ac:dyDescent="0.25">
      <c r="Y19503" s="63">
        <v>62036</v>
      </c>
      <c r="Z19503" s="61">
        <f>_xll.qlYieldTSDiscount($U$35,Y19503,,Trigger)</f>
        <v>0.34593238727638842</v>
      </c>
    </row>
    <row r="19504" spans="25:26" x14ac:dyDescent="0.25">
      <c r="Y19504" s="63">
        <v>62037</v>
      </c>
      <c r="Z19504" s="61">
        <f>_xll.qlYieldTSDiscount($U$35,Y19504,,Trigger)</f>
        <v>0.34591189378147469</v>
      </c>
    </row>
    <row r="19505" spans="25:26" x14ac:dyDescent="0.25">
      <c r="Y19505" s="63">
        <v>62038</v>
      </c>
      <c r="Z19505" s="61">
        <f>_xll.qlYieldTSDiscount($U$35,Y19505,,Trigger)</f>
        <v>0.34589140118027961</v>
      </c>
    </row>
    <row r="19506" spans="25:26" x14ac:dyDescent="0.25">
      <c r="Y19506" s="63">
        <v>62039</v>
      </c>
      <c r="Z19506" s="61">
        <f>_xll.qlYieldTSDiscount($U$35,Y19506,,Trigger)</f>
        <v>0.34587090947243715</v>
      </c>
    </row>
    <row r="19507" spans="25:26" x14ac:dyDescent="0.25">
      <c r="Y19507" s="63">
        <v>62040</v>
      </c>
      <c r="Z19507" s="61">
        <f>_xll.qlYieldTSDiscount($U$35,Y19507,,Trigger)</f>
        <v>0.34585041865758137</v>
      </c>
    </row>
    <row r="19508" spans="25:26" x14ac:dyDescent="0.25">
      <c r="Y19508" s="63">
        <v>62041</v>
      </c>
      <c r="Z19508" s="61">
        <f>_xll.qlYieldTSDiscount($U$35,Y19508,,Trigger)</f>
        <v>0.34582992873534624</v>
      </c>
    </row>
    <row r="19509" spans="25:26" x14ac:dyDescent="0.25">
      <c r="Y19509" s="63">
        <v>62042</v>
      </c>
      <c r="Z19509" s="61">
        <f>_xll.qlYieldTSDiscount($U$35,Y19509,,Trigger)</f>
        <v>0.34580943970536582</v>
      </c>
    </row>
    <row r="19510" spans="25:26" x14ac:dyDescent="0.25">
      <c r="Y19510" s="63">
        <v>62043</v>
      </c>
      <c r="Z19510" s="61">
        <f>_xll.qlYieldTSDiscount($U$35,Y19510,,Trigger)</f>
        <v>0.34578895156727413</v>
      </c>
    </row>
    <row r="19511" spans="25:26" x14ac:dyDescent="0.25">
      <c r="Y19511" s="63">
        <v>62044</v>
      </c>
      <c r="Z19511" s="61">
        <f>_xll.qlYieldTSDiscount($U$35,Y19511,,Trigger)</f>
        <v>0.34576846432070513</v>
      </c>
    </row>
    <row r="19512" spans="25:26" x14ac:dyDescent="0.25">
      <c r="Y19512" s="63">
        <v>62045</v>
      </c>
      <c r="Z19512" s="61">
        <f>_xll.qlYieldTSDiscount($U$35,Y19512,,Trigger)</f>
        <v>0.34574797796529289</v>
      </c>
    </row>
    <row r="19513" spans="25:26" x14ac:dyDescent="0.25">
      <c r="Y19513" s="63">
        <v>62046</v>
      </c>
      <c r="Z19513" s="61">
        <f>_xll.qlYieldTSDiscount($U$35,Y19513,,Trigger)</f>
        <v>0.34572749250067153</v>
      </c>
    </row>
    <row r="19514" spans="25:26" x14ac:dyDescent="0.25">
      <c r="Y19514" s="63">
        <v>62047</v>
      </c>
      <c r="Z19514" s="61">
        <f>_xll.qlYieldTSDiscount($U$35,Y19514,,Trigger)</f>
        <v>0.34570700792647485</v>
      </c>
    </row>
    <row r="19515" spans="25:26" x14ac:dyDescent="0.25">
      <c r="Y19515" s="63">
        <v>62048</v>
      </c>
      <c r="Z19515" s="61">
        <f>_xll.qlYieldTSDiscount($U$35,Y19515,,Trigger)</f>
        <v>0.34568652424233703</v>
      </c>
    </row>
    <row r="19516" spans="25:26" x14ac:dyDescent="0.25">
      <c r="Y19516" s="63">
        <v>62049</v>
      </c>
      <c r="Z19516" s="61">
        <f>_xll.qlYieldTSDiscount($U$35,Y19516,,Trigger)</f>
        <v>0.34566604144789215</v>
      </c>
    </row>
    <row r="19517" spans="25:26" x14ac:dyDescent="0.25">
      <c r="Y19517" s="63">
        <v>62050</v>
      </c>
      <c r="Z19517" s="61">
        <f>_xll.qlYieldTSDiscount($U$35,Y19517,,Trigger)</f>
        <v>0.34564555954277398</v>
      </c>
    </row>
    <row r="19518" spans="25:26" x14ac:dyDescent="0.25">
      <c r="Y19518" s="63">
        <v>62051</v>
      </c>
      <c r="Z19518" s="61">
        <f>_xll.qlYieldTSDiscount($U$35,Y19518,,Trigger)</f>
        <v>0.34562507852661678</v>
      </c>
    </row>
    <row r="19519" spans="25:26" x14ac:dyDescent="0.25">
      <c r="Y19519" s="63">
        <v>62052</v>
      </c>
      <c r="Z19519" s="61">
        <f>_xll.qlYieldTSDiscount($U$35,Y19519,,Trigger)</f>
        <v>0.34560459839905455</v>
      </c>
    </row>
    <row r="19520" spans="25:26" x14ac:dyDescent="0.25">
      <c r="Y19520" s="63">
        <v>62053</v>
      </c>
      <c r="Z19520" s="61">
        <f>_xll.qlYieldTSDiscount($U$35,Y19520,,Trigger)</f>
        <v>0.34558411915972115</v>
      </c>
    </row>
    <row r="19521" spans="25:26" x14ac:dyDescent="0.25">
      <c r="Y19521" s="63">
        <v>62054</v>
      </c>
      <c r="Z19521" s="61">
        <f>_xll.qlYieldTSDiscount($U$35,Y19521,,Trigger)</f>
        <v>0.34556364080825075</v>
      </c>
    </row>
    <row r="19522" spans="25:26" x14ac:dyDescent="0.25">
      <c r="Y19522" s="63">
        <v>62055</v>
      </c>
      <c r="Z19522" s="61">
        <f>_xll.qlYieldTSDiscount($U$35,Y19522,,Trigger)</f>
        <v>0.34554316334427737</v>
      </c>
    </row>
    <row r="19523" spans="25:26" x14ac:dyDescent="0.25">
      <c r="Y19523" s="63">
        <v>62056</v>
      </c>
      <c r="Z19523" s="61">
        <f>_xll.qlYieldTSDiscount($U$35,Y19523,,Trigger)</f>
        <v>0.34552268676743492</v>
      </c>
    </row>
    <row r="19524" spans="25:26" x14ac:dyDescent="0.25">
      <c r="Y19524" s="63">
        <v>62057</v>
      </c>
      <c r="Z19524" s="61">
        <f>_xll.qlYieldTSDiscount($U$35,Y19524,,Trigger)</f>
        <v>0.34550221107735757</v>
      </c>
    </row>
    <row r="19525" spans="25:26" x14ac:dyDescent="0.25">
      <c r="Y19525" s="63">
        <v>62058</v>
      </c>
      <c r="Z19525" s="61">
        <f>_xll.qlYieldTSDiscount($U$35,Y19525,,Trigger)</f>
        <v>0.34548173627367917</v>
      </c>
    </row>
    <row r="19526" spans="25:26" x14ac:dyDescent="0.25">
      <c r="Y19526" s="63">
        <v>62059</v>
      </c>
      <c r="Z19526" s="61">
        <f>_xll.qlYieldTSDiscount($U$35,Y19526,,Trigger)</f>
        <v>0.34546126235603392</v>
      </c>
    </row>
    <row r="19527" spans="25:26" x14ac:dyDescent="0.25">
      <c r="Y19527" s="63">
        <v>62060</v>
      </c>
      <c r="Z19527" s="61">
        <f>_xll.qlYieldTSDiscount($U$35,Y19527,,Trigger)</f>
        <v>0.34544078932405575</v>
      </c>
    </row>
    <row r="19528" spans="25:26" x14ac:dyDescent="0.25">
      <c r="Y19528" s="63">
        <v>62061</v>
      </c>
      <c r="Z19528" s="61">
        <f>_xll.qlYieldTSDiscount($U$35,Y19528,,Trigger)</f>
        <v>0.34542031717737864</v>
      </c>
    </row>
    <row r="19529" spans="25:26" x14ac:dyDescent="0.25">
      <c r="Y19529" s="63">
        <v>62062</v>
      </c>
      <c r="Z19529" s="61">
        <f>_xll.qlYieldTSDiscount($U$35,Y19529,,Trigger)</f>
        <v>0.34539984591563666</v>
      </c>
    </row>
    <row r="19530" spans="25:26" x14ac:dyDescent="0.25">
      <c r="Y19530" s="63">
        <v>62063</v>
      </c>
      <c r="Z19530" s="61">
        <f>_xll.qlYieldTSDiscount($U$35,Y19530,,Trigger)</f>
        <v>0.34537937553846387</v>
      </c>
    </row>
    <row r="19531" spans="25:26" x14ac:dyDescent="0.25">
      <c r="Y19531" s="63">
        <v>62064</v>
      </c>
      <c r="Z19531" s="61">
        <f>_xll.qlYieldTSDiscount($U$35,Y19531,,Trigger)</f>
        <v>0.34535890604549424</v>
      </c>
    </row>
    <row r="19532" spans="25:26" x14ac:dyDescent="0.25">
      <c r="Y19532" s="63">
        <v>62065</v>
      </c>
      <c r="Z19532" s="61">
        <f>_xll.qlYieldTSDiscount($U$35,Y19532,,Trigger)</f>
        <v>0.34533843743636183</v>
      </c>
    </row>
    <row r="19533" spans="25:26" x14ac:dyDescent="0.25">
      <c r="Y19533" s="63">
        <v>62066</v>
      </c>
      <c r="Z19533" s="61">
        <f>_xll.qlYieldTSDiscount($U$35,Y19533,,Trigger)</f>
        <v>0.34531796971070067</v>
      </c>
    </row>
    <row r="19534" spans="25:26" x14ac:dyDescent="0.25">
      <c r="Y19534" s="63">
        <v>62067</v>
      </c>
      <c r="Z19534" s="61">
        <f>_xll.qlYieldTSDiscount($U$35,Y19534,,Trigger)</f>
        <v>0.34529750286814465</v>
      </c>
    </row>
    <row r="19535" spans="25:26" x14ac:dyDescent="0.25">
      <c r="Y19535" s="63">
        <v>62068</v>
      </c>
      <c r="Z19535" s="61">
        <f>_xll.qlYieldTSDiscount($U$35,Y19535,,Trigger)</f>
        <v>0.34527703690832801</v>
      </c>
    </row>
    <row r="19536" spans="25:26" x14ac:dyDescent="0.25">
      <c r="Y19536" s="63">
        <v>62069</v>
      </c>
      <c r="Z19536" s="61">
        <f>_xll.qlYieldTSDiscount($U$35,Y19536,,Trigger)</f>
        <v>0.34525657183088454</v>
      </c>
    </row>
    <row r="19537" spans="25:26" x14ac:dyDescent="0.25">
      <c r="Y19537" s="63">
        <v>62070</v>
      </c>
      <c r="Z19537" s="61">
        <f>_xll.qlYieldTSDiscount($U$35,Y19537,,Trigger)</f>
        <v>0.34523610763544843</v>
      </c>
    </row>
    <row r="19538" spans="25:26" x14ac:dyDescent="0.25">
      <c r="Y19538" s="63">
        <v>62071</v>
      </c>
      <c r="Z19538" s="61">
        <f>_xll.qlYieldTSDiscount($U$35,Y19538,,Trigger)</f>
        <v>0.34521564432165358</v>
      </c>
    </row>
    <row r="19539" spans="25:26" x14ac:dyDescent="0.25">
      <c r="Y19539" s="63">
        <v>62072</v>
      </c>
      <c r="Z19539" s="61">
        <f>_xll.qlYieldTSDiscount($U$35,Y19539,,Trigger)</f>
        <v>0.34519518188913423</v>
      </c>
    </row>
    <row r="19540" spans="25:26" x14ac:dyDescent="0.25">
      <c r="Y19540" s="63">
        <v>62073</v>
      </c>
      <c r="Z19540" s="61">
        <f>_xll.qlYieldTSDiscount($U$35,Y19540,,Trigger)</f>
        <v>0.34517472033752417</v>
      </c>
    </row>
    <row r="19541" spans="25:26" x14ac:dyDescent="0.25">
      <c r="Y19541" s="63">
        <v>62074</v>
      </c>
      <c r="Z19541" s="61">
        <f>_xll.qlYieldTSDiscount($U$35,Y19541,,Trigger)</f>
        <v>0.34515425966645741</v>
      </c>
    </row>
    <row r="19542" spans="25:26" x14ac:dyDescent="0.25">
      <c r="Y19542" s="63">
        <v>62075</v>
      </c>
      <c r="Z19542" s="61">
        <f>_xll.qlYieldTSDiscount($U$35,Y19542,,Trigger)</f>
        <v>0.34513379987556819</v>
      </c>
    </row>
    <row r="19543" spans="25:26" x14ac:dyDescent="0.25">
      <c r="Y19543" s="63">
        <v>62076</v>
      </c>
      <c r="Z19543" s="61">
        <f>_xll.qlYieldTSDiscount($U$35,Y19543,,Trigger)</f>
        <v>0.34511334096449042</v>
      </c>
    </row>
    <row r="19544" spans="25:26" x14ac:dyDescent="0.25">
      <c r="Y19544" s="63">
        <v>62077</v>
      </c>
      <c r="Z19544" s="61">
        <f>_xll.qlYieldTSDiscount($U$35,Y19544,,Trigger)</f>
        <v>0.345092882932858</v>
      </c>
    </row>
    <row r="19545" spans="25:26" x14ac:dyDescent="0.25">
      <c r="Y19545" s="63">
        <v>62078</v>
      </c>
      <c r="Z19545" s="61">
        <f>_xll.qlYieldTSDiscount($U$35,Y19545,,Trigger)</f>
        <v>0.34507242578030517</v>
      </c>
    </row>
    <row r="19546" spans="25:26" x14ac:dyDescent="0.25">
      <c r="Y19546" s="63">
        <v>62079</v>
      </c>
      <c r="Z19546" s="61">
        <f>_xll.qlYieldTSDiscount($U$35,Y19546,,Trigger)</f>
        <v>0.34505196950646577</v>
      </c>
    </row>
    <row r="19547" spans="25:26" x14ac:dyDescent="0.25">
      <c r="Y19547" s="63">
        <v>62080</v>
      </c>
      <c r="Z19547" s="61">
        <f>_xll.qlYieldTSDiscount($U$35,Y19547,,Trigger)</f>
        <v>0.34503151411097388</v>
      </c>
    </row>
    <row r="19548" spans="25:26" x14ac:dyDescent="0.25">
      <c r="Y19548" s="63">
        <v>62081</v>
      </c>
      <c r="Z19548" s="61">
        <f>_xll.qlYieldTSDiscount($U$35,Y19548,,Trigger)</f>
        <v>0.34501105959346368</v>
      </c>
    </row>
    <row r="19549" spans="25:26" x14ac:dyDescent="0.25">
      <c r="Y19549" s="63">
        <v>62082</v>
      </c>
      <c r="Z19549" s="61">
        <f>_xll.qlYieldTSDiscount($U$35,Y19549,,Trigger)</f>
        <v>0.3449906059535689</v>
      </c>
    </row>
    <row r="19550" spans="25:26" x14ac:dyDescent="0.25">
      <c r="Y19550" s="63">
        <v>62083</v>
      </c>
      <c r="Z19550" s="61">
        <f>_xll.qlYieldTSDiscount($U$35,Y19550,,Trigger)</f>
        <v>0.34497015319092372</v>
      </c>
    </row>
    <row r="19551" spans="25:26" x14ac:dyDescent="0.25">
      <c r="Y19551" s="63">
        <v>62084</v>
      </c>
      <c r="Z19551" s="61">
        <f>_xll.qlYieldTSDiscount($U$35,Y19551,,Trigger)</f>
        <v>0.34494970130516223</v>
      </c>
    </row>
    <row r="19552" spans="25:26" x14ac:dyDescent="0.25">
      <c r="Y19552" s="63">
        <v>62085</v>
      </c>
      <c r="Z19552" s="61">
        <f>_xll.qlYieldTSDiscount($U$35,Y19552,,Trigger)</f>
        <v>0.34492925029591831</v>
      </c>
    </row>
    <row r="19553" spans="25:26" x14ac:dyDescent="0.25">
      <c r="Y19553" s="63">
        <v>62086</v>
      </c>
      <c r="Z19553" s="61">
        <f>_xll.qlYieldTSDiscount($U$35,Y19553,,Trigger)</f>
        <v>0.3449088001628261</v>
      </c>
    </row>
    <row r="19554" spans="25:26" x14ac:dyDescent="0.25">
      <c r="Y19554" s="63">
        <v>62087</v>
      </c>
      <c r="Z19554" s="61">
        <f>_xll.qlYieldTSDiscount($U$35,Y19554,,Trigger)</f>
        <v>0.3448883509055195</v>
      </c>
    </row>
    <row r="19555" spans="25:26" x14ac:dyDescent="0.25">
      <c r="Y19555" s="63">
        <v>62088</v>
      </c>
      <c r="Z19555" s="61">
        <f>_xll.qlYieldTSDiscount($U$35,Y19555,,Trigger)</f>
        <v>0.34486790252363275</v>
      </c>
    </row>
    <row r="19556" spans="25:26" x14ac:dyDescent="0.25">
      <c r="Y19556" s="63">
        <v>62089</v>
      </c>
      <c r="Z19556" s="61">
        <f>_xll.qlYieldTSDiscount($U$35,Y19556,,Trigger)</f>
        <v>0.34484745501679953</v>
      </c>
    </row>
    <row r="19557" spans="25:26" x14ac:dyDescent="0.25">
      <c r="Y19557" s="63">
        <v>62090</v>
      </c>
      <c r="Z19557" s="61">
        <f>_xll.qlYieldTSDiscount($U$35,Y19557,,Trigger)</f>
        <v>0.34482700838465413</v>
      </c>
    </row>
    <row r="19558" spans="25:26" x14ac:dyDescent="0.25">
      <c r="Y19558" s="63">
        <v>62091</v>
      </c>
      <c r="Z19558" s="61">
        <f>_xll.qlYieldTSDiscount($U$35,Y19558,,Trigger)</f>
        <v>0.34480656262683052</v>
      </c>
    </row>
    <row r="19559" spans="25:26" x14ac:dyDescent="0.25">
      <c r="Y19559" s="63">
        <v>62092</v>
      </c>
      <c r="Z19559" s="61">
        <f>_xll.qlYieldTSDiscount($U$35,Y19559,,Trigger)</f>
        <v>0.34478611774296264</v>
      </c>
    </row>
    <row r="19560" spans="25:26" x14ac:dyDescent="0.25">
      <c r="Y19560" s="63">
        <v>62093</v>
      </c>
      <c r="Z19560" s="61">
        <f>_xll.qlYieldTSDiscount($U$35,Y19560,,Trigger)</f>
        <v>0.34476567373268463</v>
      </c>
    </row>
    <row r="19561" spans="25:26" x14ac:dyDescent="0.25">
      <c r="Y19561" s="63">
        <v>62094</v>
      </c>
      <c r="Z19561" s="61">
        <f>_xll.qlYieldTSDiscount($U$35,Y19561,,Trigger)</f>
        <v>0.34474523059563045</v>
      </c>
    </row>
    <row r="19562" spans="25:26" x14ac:dyDescent="0.25">
      <c r="Y19562" s="63">
        <v>62095</v>
      </c>
      <c r="Z19562" s="61">
        <f>_xll.qlYieldTSDiscount($U$35,Y19562,,Trigger)</f>
        <v>0.34472478833143405</v>
      </c>
    </row>
    <row r="19563" spans="25:26" x14ac:dyDescent="0.25">
      <c r="Y19563" s="63">
        <v>62096</v>
      </c>
      <c r="Z19563" s="61">
        <f>_xll.qlYieldTSDiscount($U$35,Y19563,,Trigger)</f>
        <v>0.34470434693972962</v>
      </c>
    </row>
    <row r="19564" spans="25:26" x14ac:dyDescent="0.25">
      <c r="Y19564" s="63">
        <v>62097</v>
      </c>
      <c r="Z19564" s="61">
        <f>_xll.qlYieldTSDiscount($U$35,Y19564,,Trigger)</f>
        <v>0.34468390642015112</v>
      </c>
    </row>
    <row r="19565" spans="25:26" x14ac:dyDescent="0.25">
      <c r="Y19565" s="63">
        <v>62098</v>
      </c>
      <c r="Z19565" s="61">
        <f>_xll.qlYieldTSDiscount($U$35,Y19565,,Trigger)</f>
        <v>0.34466346677233239</v>
      </c>
    </row>
    <row r="19566" spans="25:26" x14ac:dyDescent="0.25">
      <c r="Y19566" s="63">
        <v>62099</v>
      </c>
      <c r="Z19566" s="61">
        <f>_xll.qlYieldTSDiscount($U$35,Y19566,,Trigger)</f>
        <v>0.34464302799590762</v>
      </c>
    </row>
    <row r="19567" spans="25:26" x14ac:dyDescent="0.25">
      <c r="Y19567" s="63">
        <v>62100</v>
      </c>
      <c r="Z19567" s="61">
        <f>_xll.qlYieldTSDiscount($U$35,Y19567,,Trigger)</f>
        <v>0.34462259009051088</v>
      </c>
    </row>
    <row r="19568" spans="25:26" x14ac:dyDescent="0.25">
      <c r="Y19568" s="63">
        <v>62101</v>
      </c>
      <c r="Z19568" s="61">
        <f>_xll.qlYieldTSDiscount($U$35,Y19568,,Trigger)</f>
        <v>0.34460215305577613</v>
      </c>
    </row>
    <row r="19569" spans="25:26" x14ac:dyDescent="0.25">
      <c r="Y19569" s="63">
        <v>62102</v>
      </c>
      <c r="Z19569" s="61">
        <f>_xll.qlYieldTSDiscount($U$35,Y19569,,Trigger)</f>
        <v>0.34458171689133738</v>
      </c>
    </row>
    <row r="19570" spans="25:26" x14ac:dyDescent="0.25">
      <c r="Y19570" s="63">
        <v>62103</v>
      </c>
      <c r="Z19570" s="61">
        <f>_xll.qlYieldTSDiscount($U$35,Y19570,,Trigger)</f>
        <v>0.34456128159682864</v>
      </c>
    </row>
    <row r="19571" spans="25:26" x14ac:dyDescent="0.25">
      <c r="Y19571" s="63">
        <v>62104</v>
      </c>
      <c r="Z19571" s="61">
        <f>_xll.qlYieldTSDiscount($U$35,Y19571,,Trigger)</f>
        <v>0.34454084717188393</v>
      </c>
    </row>
    <row r="19572" spans="25:26" x14ac:dyDescent="0.25">
      <c r="Y19572" s="63">
        <v>62105</v>
      </c>
      <c r="Z19572" s="61">
        <f>_xll.qlYieldTSDiscount($U$35,Y19572,,Trigger)</f>
        <v>0.34452041361613733</v>
      </c>
    </row>
    <row r="19573" spans="25:26" x14ac:dyDescent="0.25">
      <c r="Y19573" s="63">
        <v>62106</v>
      </c>
      <c r="Z19573" s="61">
        <f>_xll.qlYieldTSDiscount($U$35,Y19573,,Trigger)</f>
        <v>0.34449998092922279</v>
      </c>
    </row>
    <row r="19574" spans="25:26" x14ac:dyDescent="0.25">
      <c r="Y19574" s="63">
        <v>62107</v>
      </c>
      <c r="Z19574" s="61">
        <f>_xll.qlYieldTSDiscount($U$35,Y19574,,Trigger)</f>
        <v>0.34447954911077444</v>
      </c>
    </row>
    <row r="19575" spans="25:26" x14ac:dyDescent="0.25">
      <c r="Y19575" s="63">
        <v>62108</v>
      </c>
      <c r="Z19575" s="61">
        <f>_xll.qlYieldTSDiscount($U$35,Y19575,,Trigger)</f>
        <v>0.34445911816042618</v>
      </c>
    </row>
    <row r="19576" spans="25:26" x14ac:dyDescent="0.25">
      <c r="Y19576" s="63">
        <v>62109</v>
      </c>
      <c r="Z19576" s="61">
        <f>_xll.qlYieldTSDiscount($U$35,Y19576,,Trigger)</f>
        <v>0.34443868807781197</v>
      </c>
    </row>
    <row r="19577" spans="25:26" x14ac:dyDescent="0.25">
      <c r="Y19577" s="63">
        <v>62110</v>
      </c>
      <c r="Z19577" s="61">
        <f>_xll.qlYieldTSDiscount($U$35,Y19577,,Trigger)</f>
        <v>0.34441825886256605</v>
      </c>
    </row>
    <row r="19578" spans="25:26" x14ac:dyDescent="0.25">
      <c r="Y19578" s="63">
        <v>62111</v>
      </c>
      <c r="Z19578" s="61">
        <f>_xll.qlYieldTSDiscount($U$35,Y19578,,Trigger)</f>
        <v>0.34439783051432238</v>
      </c>
    </row>
    <row r="19579" spans="25:26" x14ac:dyDescent="0.25">
      <c r="Y19579" s="63">
        <v>62112</v>
      </c>
      <c r="Z19579" s="61">
        <f>_xll.qlYieldTSDiscount($U$35,Y19579,,Trigger)</f>
        <v>0.34437740303271486</v>
      </c>
    </row>
    <row r="19580" spans="25:26" x14ac:dyDescent="0.25">
      <c r="Y19580" s="63">
        <v>62113</v>
      </c>
      <c r="Z19580" s="61">
        <f>_xll.qlYieldTSDiscount($U$35,Y19580,,Trigger)</f>
        <v>0.34435697641737761</v>
      </c>
    </row>
    <row r="19581" spans="25:26" x14ac:dyDescent="0.25">
      <c r="Y19581" s="63">
        <v>62114</v>
      </c>
      <c r="Z19581" s="61">
        <f>_xll.qlYieldTSDiscount($U$35,Y19581,,Trigger)</f>
        <v>0.34433655066794466</v>
      </c>
    </row>
    <row r="19582" spans="25:26" x14ac:dyDescent="0.25">
      <c r="Y19582" s="63">
        <v>62115</v>
      </c>
      <c r="Z19582" s="61">
        <f>_xll.qlYieldTSDiscount($U$35,Y19582,,Trigger)</f>
        <v>0.34431612578404991</v>
      </c>
    </row>
    <row r="19583" spans="25:26" x14ac:dyDescent="0.25">
      <c r="Y19583" s="63">
        <v>62116</v>
      </c>
      <c r="Z19583" s="61">
        <f>_xll.qlYieldTSDiscount($U$35,Y19583,,Trigger)</f>
        <v>0.34429570176532753</v>
      </c>
    </row>
    <row r="19584" spans="25:26" x14ac:dyDescent="0.25">
      <c r="Y19584" s="63">
        <v>62117</v>
      </c>
      <c r="Z19584" s="61">
        <f>_xll.qlYieldTSDiscount($U$35,Y19584,,Trigger)</f>
        <v>0.34427527861141149</v>
      </c>
    </row>
    <row r="19585" spans="25:26" x14ac:dyDescent="0.25">
      <c r="Y19585" s="63">
        <v>62118</v>
      </c>
      <c r="Z19585" s="61">
        <f>_xll.qlYieldTSDiscount($U$35,Y19585,,Trigger)</f>
        <v>0.34425485632193575</v>
      </c>
    </row>
    <row r="19586" spans="25:26" x14ac:dyDescent="0.25">
      <c r="Y19586" s="63">
        <v>62119</v>
      </c>
      <c r="Z19586" s="61">
        <f>_xll.qlYieldTSDiscount($U$35,Y19586,,Trigger)</f>
        <v>0.34423443489653449</v>
      </c>
    </row>
    <row r="19587" spans="25:26" x14ac:dyDescent="0.25">
      <c r="Y19587" s="63">
        <v>62120</v>
      </c>
      <c r="Z19587" s="61">
        <f>_xll.qlYieldTSDiscount($U$35,Y19587,,Trigger)</f>
        <v>0.34421401433484156</v>
      </c>
    </row>
    <row r="19588" spans="25:26" x14ac:dyDescent="0.25">
      <c r="Y19588" s="63">
        <v>62121</v>
      </c>
      <c r="Z19588" s="61">
        <f>_xll.qlYieldTSDiscount($U$35,Y19588,,Trigger)</f>
        <v>0.34419359463649107</v>
      </c>
    </row>
    <row r="19589" spans="25:26" x14ac:dyDescent="0.25">
      <c r="Y19589" s="63">
        <v>62122</v>
      </c>
      <c r="Z19589" s="61">
        <f>_xll.qlYieldTSDiscount($U$35,Y19589,,Trigger)</f>
        <v>0.344173175801117</v>
      </c>
    </row>
    <row r="19590" spans="25:26" x14ac:dyDescent="0.25">
      <c r="Y19590" s="63">
        <v>62123</v>
      </c>
      <c r="Z19590" s="61">
        <f>_xll.qlYieldTSDiscount($U$35,Y19590,,Trigger)</f>
        <v>0.34415275782835347</v>
      </c>
    </row>
    <row r="19591" spans="25:26" x14ac:dyDescent="0.25">
      <c r="Y19591" s="63">
        <v>62124</v>
      </c>
      <c r="Z19591" s="61">
        <f>_xll.qlYieldTSDiscount($U$35,Y19591,,Trigger)</f>
        <v>0.34413234071783438</v>
      </c>
    </row>
    <row r="19592" spans="25:26" x14ac:dyDescent="0.25">
      <c r="Y19592" s="63">
        <v>62125</v>
      </c>
      <c r="Z19592" s="61">
        <f>_xll.qlYieldTSDiscount($U$35,Y19592,,Trigger)</f>
        <v>0.3441119244691937</v>
      </c>
    </row>
    <row r="19593" spans="25:26" x14ac:dyDescent="0.25">
      <c r="Y19593" s="63">
        <v>62126</v>
      </c>
      <c r="Z19593" s="61">
        <f>_xll.qlYieldTSDiscount($U$35,Y19593,,Trigger)</f>
        <v>0.34409150908206565</v>
      </c>
    </row>
    <row r="19594" spans="25:26" x14ac:dyDescent="0.25">
      <c r="Y19594" s="63">
        <v>62127</v>
      </c>
      <c r="Z19594" s="61">
        <f>_xll.qlYieldTSDiscount($U$35,Y19594,,Trigger)</f>
        <v>0.3440710945560842</v>
      </c>
    </row>
    <row r="19595" spans="25:26" x14ac:dyDescent="0.25">
      <c r="Y19595" s="63">
        <v>62128</v>
      </c>
      <c r="Z19595" s="61">
        <f>_xll.qlYieldTSDiscount($U$35,Y19595,,Trigger)</f>
        <v>0.3440506808908832</v>
      </c>
    </row>
    <row r="19596" spans="25:26" x14ac:dyDescent="0.25">
      <c r="Y19596" s="63">
        <v>62129</v>
      </c>
      <c r="Z19596" s="61">
        <f>_xll.qlYieldTSDiscount($U$35,Y19596,,Trigger)</f>
        <v>0.34403026808609694</v>
      </c>
    </row>
    <row r="19597" spans="25:26" x14ac:dyDescent="0.25">
      <c r="Y19597" s="63">
        <v>62130</v>
      </c>
      <c r="Z19597" s="61">
        <f>_xll.qlYieldTSDiscount($U$35,Y19597,,Trigger)</f>
        <v>0.34400985614135926</v>
      </c>
    </row>
    <row r="19598" spans="25:26" x14ac:dyDescent="0.25">
      <c r="Y19598" s="63">
        <v>62131</v>
      </c>
      <c r="Z19598" s="61">
        <f>_xll.qlYieldTSDiscount($U$35,Y19598,,Trigger)</f>
        <v>0.34398944505630413</v>
      </c>
    </row>
    <row r="19599" spans="25:26" x14ac:dyDescent="0.25">
      <c r="Y19599" s="63">
        <v>62132</v>
      </c>
      <c r="Z19599" s="61">
        <f>_xll.qlYieldTSDiscount($U$35,Y19599,,Trigger)</f>
        <v>0.34396903483056573</v>
      </c>
    </row>
    <row r="19600" spans="25:26" x14ac:dyDescent="0.25">
      <c r="Y19600" s="63">
        <v>62133</v>
      </c>
      <c r="Z19600" s="61">
        <f>_xll.qlYieldTSDiscount($U$35,Y19600,,Trigger)</f>
        <v>0.34394862546377802</v>
      </c>
    </row>
    <row r="19601" spans="25:26" x14ac:dyDescent="0.25">
      <c r="Y19601" s="63">
        <v>62134</v>
      </c>
      <c r="Z19601" s="61">
        <f>_xll.qlYieldTSDiscount($U$35,Y19601,,Trigger)</f>
        <v>0.34392821695557496</v>
      </c>
    </row>
    <row r="19602" spans="25:26" x14ac:dyDescent="0.25">
      <c r="Y19602" s="63">
        <v>62135</v>
      </c>
      <c r="Z19602" s="61">
        <f>_xll.qlYieldTSDiscount($U$35,Y19602,,Trigger)</f>
        <v>0.34390780930559062</v>
      </c>
    </row>
    <row r="19603" spans="25:26" x14ac:dyDescent="0.25">
      <c r="Y19603" s="63">
        <v>62136</v>
      </c>
      <c r="Z19603" s="61">
        <f>_xll.qlYieldTSDiscount($U$35,Y19603,,Trigger)</f>
        <v>0.34388740251345912</v>
      </c>
    </row>
    <row r="19604" spans="25:26" x14ac:dyDescent="0.25">
      <c r="Y19604" s="63">
        <v>62137</v>
      </c>
      <c r="Z19604" s="61">
        <f>_xll.qlYieldTSDiscount($U$35,Y19604,,Trigger)</f>
        <v>0.34386699657881431</v>
      </c>
    </row>
    <row r="19605" spans="25:26" x14ac:dyDescent="0.25">
      <c r="Y19605" s="63">
        <v>62138</v>
      </c>
      <c r="Z19605" s="61">
        <f>_xll.qlYieldTSDiscount($U$35,Y19605,,Trigger)</f>
        <v>0.34384659150129032</v>
      </c>
    </row>
    <row r="19606" spans="25:26" x14ac:dyDescent="0.25">
      <c r="Y19606" s="63">
        <v>62139</v>
      </c>
      <c r="Z19606" s="61">
        <f>_xll.qlYieldTSDiscount($U$35,Y19606,,Trigger)</f>
        <v>0.34382618728052117</v>
      </c>
    </row>
    <row r="19607" spans="25:26" x14ac:dyDescent="0.25">
      <c r="Y19607" s="63">
        <v>62140</v>
      </c>
      <c r="Z19607" s="61">
        <f>_xll.qlYieldTSDiscount($U$35,Y19607,,Trigger)</f>
        <v>0.34380578391614081</v>
      </c>
    </row>
    <row r="19608" spans="25:26" x14ac:dyDescent="0.25">
      <c r="Y19608" s="63">
        <v>62141</v>
      </c>
      <c r="Z19608" s="61">
        <f>_xll.qlYieldTSDiscount($U$35,Y19608,,Trigger)</f>
        <v>0.34378538140778336</v>
      </c>
    </row>
    <row r="19609" spans="25:26" x14ac:dyDescent="0.25">
      <c r="Y19609" s="63">
        <v>62142</v>
      </c>
      <c r="Z19609" s="61">
        <f>_xll.qlYieldTSDiscount($U$35,Y19609,,Trigger)</f>
        <v>0.3437649797550828</v>
      </c>
    </row>
    <row r="19610" spans="25:26" x14ac:dyDescent="0.25">
      <c r="Y19610" s="63">
        <v>62143</v>
      </c>
      <c r="Z19610" s="61">
        <f>_xll.qlYieldTSDiscount($U$35,Y19610,,Trigger)</f>
        <v>0.34374457895767307</v>
      </c>
    </row>
    <row r="19611" spans="25:26" x14ac:dyDescent="0.25">
      <c r="Y19611" s="63">
        <v>62144</v>
      </c>
      <c r="Z19611" s="61">
        <f>_xll.qlYieldTSDiscount($U$35,Y19611,,Trigger)</f>
        <v>0.34372417901518826</v>
      </c>
    </row>
    <row r="19612" spans="25:26" x14ac:dyDescent="0.25">
      <c r="Y19612" s="63">
        <v>62145</v>
      </c>
      <c r="Z19612" s="61">
        <f>_xll.qlYieldTSDiscount($U$35,Y19612,,Trigger)</f>
        <v>0.34370377992726242</v>
      </c>
    </row>
    <row r="19613" spans="25:26" x14ac:dyDescent="0.25">
      <c r="Y19613" s="63">
        <v>62146</v>
      </c>
      <c r="Z19613" s="61">
        <f>_xll.qlYieldTSDiscount($U$35,Y19613,,Trigger)</f>
        <v>0.34368338169352963</v>
      </c>
    </row>
    <row r="19614" spans="25:26" x14ac:dyDescent="0.25">
      <c r="Y19614" s="63">
        <v>62147</v>
      </c>
      <c r="Z19614" s="61">
        <f>_xll.qlYieldTSDiscount($U$35,Y19614,,Trigger)</f>
        <v>0.34366298431362374</v>
      </c>
    </row>
    <row r="19615" spans="25:26" x14ac:dyDescent="0.25">
      <c r="Y19615" s="63">
        <v>62148</v>
      </c>
      <c r="Z19615" s="61">
        <f>_xll.qlYieldTSDiscount($U$35,Y19615,,Trigger)</f>
        <v>0.34364258778717893</v>
      </c>
    </row>
    <row r="19616" spans="25:26" x14ac:dyDescent="0.25">
      <c r="Y19616" s="63">
        <v>62149</v>
      </c>
      <c r="Z19616" s="61">
        <f>_xll.qlYieldTSDiscount($U$35,Y19616,,Trigger)</f>
        <v>0.34362219211382916</v>
      </c>
    </row>
    <row r="19617" spans="25:26" x14ac:dyDescent="0.25">
      <c r="Y19617" s="63">
        <v>62150</v>
      </c>
      <c r="Z19617" s="61">
        <f>_xll.qlYieldTSDiscount($U$35,Y19617,,Trigger)</f>
        <v>0.34360179729320833</v>
      </c>
    </row>
    <row r="19618" spans="25:26" x14ac:dyDescent="0.25">
      <c r="Y19618" s="63">
        <v>62151</v>
      </c>
      <c r="Z19618" s="61">
        <f>_xll.qlYieldTSDiscount($U$35,Y19618,,Trigger)</f>
        <v>0.34358140332495068</v>
      </c>
    </row>
    <row r="19619" spans="25:26" x14ac:dyDescent="0.25">
      <c r="Y19619" s="63">
        <v>62152</v>
      </c>
      <c r="Z19619" s="61">
        <f>_xll.qlYieldTSDiscount($U$35,Y19619,,Trigger)</f>
        <v>0.34356101020869012</v>
      </c>
    </row>
    <row r="19620" spans="25:26" x14ac:dyDescent="0.25">
      <c r="Y19620" s="63">
        <v>62153</v>
      </c>
      <c r="Z19620" s="61">
        <f>_xll.qlYieldTSDiscount($U$35,Y19620,,Trigger)</f>
        <v>0.34354061794406066</v>
      </c>
    </row>
    <row r="19621" spans="25:26" x14ac:dyDescent="0.25">
      <c r="Y19621" s="63">
        <v>62154</v>
      </c>
      <c r="Z19621" s="61">
        <f>_xll.qlYieldTSDiscount($U$35,Y19621,,Trigger)</f>
        <v>0.34352022653069625</v>
      </c>
    </row>
    <row r="19622" spans="25:26" x14ac:dyDescent="0.25">
      <c r="Y19622" s="63">
        <v>62155</v>
      </c>
      <c r="Z19622" s="61">
        <f>_xll.qlYieldTSDiscount($U$35,Y19622,,Trigger)</f>
        <v>0.34349983596823114</v>
      </c>
    </row>
    <row r="19623" spans="25:26" x14ac:dyDescent="0.25">
      <c r="Y19623" s="63">
        <v>62156</v>
      </c>
      <c r="Z19623" s="61">
        <f>_xll.qlYieldTSDiscount($U$35,Y19623,,Trigger)</f>
        <v>0.34347944625629917</v>
      </c>
    </row>
    <row r="19624" spans="25:26" x14ac:dyDescent="0.25">
      <c r="Y19624" s="63">
        <v>62157</v>
      </c>
      <c r="Z19624" s="61">
        <f>_xll.qlYieldTSDiscount($U$35,Y19624,,Trigger)</f>
        <v>0.34345905739453442</v>
      </c>
    </row>
    <row r="19625" spans="25:26" x14ac:dyDescent="0.25">
      <c r="Y19625" s="63">
        <v>62158</v>
      </c>
      <c r="Z19625" s="61">
        <f>_xll.qlYieldTSDiscount($U$35,Y19625,,Trigger)</f>
        <v>0.34343866938257095</v>
      </c>
    </row>
    <row r="19626" spans="25:26" x14ac:dyDescent="0.25">
      <c r="Y19626" s="63">
        <v>62159</v>
      </c>
      <c r="Z19626" s="61">
        <f>_xll.qlYieldTSDiscount($U$35,Y19626,,Trigger)</f>
        <v>0.34341828222004261</v>
      </c>
    </row>
    <row r="19627" spans="25:26" x14ac:dyDescent="0.25">
      <c r="Y19627" s="63">
        <v>62160</v>
      </c>
      <c r="Z19627" s="61">
        <f>_xll.qlYieldTSDiscount($U$35,Y19627,,Trigger)</f>
        <v>0.34339789590658359</v>
      </c>
    </row>
    <row r="19628" spans="25:26" x14ac:dyDescent="0.25">
      <c r="Y19628" s="63">
        <v>62161</v>
      </c>
      <c r="Z19628" s="61">
        <f>_xll.qlYieldTSDiscount($U$35,Y19628,,Trigger)</f>
        <v>0.34337751044182785</v>
      </c>
    </row>
    <row r="19629" spans="25:26" x14ac:dyDescent="0.25">
      <c r="Y19629" s="63">
        <v>62162</v>
      </c>
      <c r="Z19629" s="61">
        <f>_xll.qlYieldTSDiscount($U$35,Y19629,,Trigger)</f>
        <v>0.34335712582540956</v>
      </c>
    </row>
    <row r="19630" spans="25:26" x14ac:dyDescent="0.25">
      <c r="Y19630" s="63">
        <v>62163</v>
      </c>
      <c r="Z19630" s="61">
        <f>_xll.qlYieldTSDiscount($U$35,Y19630,,Trigger)</f>
        <v>0.34333674205696246</v>
      </c>
    </row>
    <row r="19631" spans="25:26" x14ac:dyDescent="0.25">
      <c r="Y19631" s="63">
        <v>62164</v>
      </c>
      <c r="Z19631" s="61">
        <f>_xll.qlYieldTSDiscount($U$35,Y19631,,Trigger)</f>
        <v>0.3433163591361208</v>
      </c>
    </row>
    <row r="19632" spans="25:26" x14ac:dyDescent="0.25">
      <c r="Y19632" s="63">
        <v>62165</v>
      </c>
      <c r="Z19632" s="61">
        <f>_xll.qlYieldTSDiscount($U$35,Y19632,,Trigger)</f>
        <v>0.34329597706251846</v>
      </c>
    </row>
    <row r="19633" spans="25:26" x14ac:dyDescent="0.25">
      <c r="Y19633" s="63">
        <v>62166</v>
      </c>
      <c r="Z19633" s="61">
        <f>_xll.qlYieldTSDiscount($U$35,Y19633,,Trigger)</f>
        <v>0.34327559583578959</v>
      </c>
    </row>
    <row r="19634" spans="25:26" x14ac:dyDescent="0.25">
      <c r="Y19634" s="63">
        <v>62167</v>
      </c>
      <c r="Z19634" s="61">
        <f>_xll.qlYieldTSDiscount($U$35,Y19634,,Trigger)</f>
        <v>0.34325521545556803</v>
      </c>
    </row>
    <row r="19635" spans="25:26" x14ac:dyDescent="0.25">
      <c r="Y19635" s="63">
        <v>62168</v>
      </c>
      <c r="Z19635" s="61">
        <f>_xll.qlYieldTSDiscount($U$35,Y19635,,Trigger)</f>
        <v>0.34323483592148807</v>
      </c>
    </row>
    <row r="19636" spans="25:26" x14ac:dyDescent="0.25">
      <c r="Y19636" s="63">
        <v>62169</v>
      </c>
      <c r="Z19636" s="61">
        <f>_xll.qlYieldTSDiscount($U$35,Y19636,,Trigger)</f>
        <v>0.34321445723318356</v>
      </c>
    </row>
    <row r="19637" spans="25:26" x14ac:dyDescent="0.25">
      <c r="Y19637" s="63">
        <v>62170</v>
      </c>
      <c r="Z19637" s="61">
        <f>_xll.qlYieldTSDiscount($U$35,Y19637,,Trigger)</f>
        <v>0.34319407939028845</v>
      </c>
    </row>
    <row r="19638" spans="25:26" x14ac:dyDescent="0.25">
      <c r="Y19638" s="63">
        <v>62171</v>
      </c>
      <c r="Z19638" s="61">
        <f>_xll.qlYieldTSDiscount($U$35,Y19638,,Trigger)</f>
        <v>0.343173702392437</v>
      </c>
    </row>
    <row r="19639" spans="25:26" x14ac:dyDescent="0.25">
      <c r="Y19639" s="63">
        <v>62172</v>
      </c>
      <c r="Z19639" s="61">
        <f>_xll.qlYieldTSDiscount($U$35,Y19639,,Trigger)</f>
        <v>0.34315332623926298</v>
      </c>
    </row>
    <row r="19640" spans="25:26" x14ac:dyDescent="0.25">
      <c r="Y19640" s="63">
        <v>62173</v>
      </c>
      <c r="Z19640" s="61">
        <f>_xll.qlYieldTSDiscount($U$35,Y19640,,Trigger)</f>
        <v>0.34313295093040053</v>
      </c>
    </row>
    <row r="19641" spans="25:26" x14ac:dyDescent="0.25">
      <c r="Y19641" s="63">
        <v>62174</v>
      </c>
      <c r="Z19641" s="61">
        <f>_xll.qlYieldTSDiscount($U$35,Y19641,,Trigger)</f>
        <v>0.34311257646548365</v>
      </c>
    </row>
    <row r="19642" spans="25:26" x14ac:dyDescent="0.25">
      <c r="Y19642" s="63">
        <v>62175</v>
      </c>
      <c r="Z19642" s="61">
        <f>_xll.qlYieldTSDiscount($U$35,Y19642,,Trigger)</f>
        <v>0.34309220284414632</v>
      </c>
    </row>
    <row r="19643" spans="25:26" x14ac:dyDescent="0.25">
      <c r="Y19643" s="63">
        <v>62176</v>
      </c>
      <c r="Z19643" s="61">
        <f>_xll.qlYieldTSDiscount($U$35,Y19643,,Trigger)</f>
        <v>0.34307183006602271</v>
      </c>
    </row>
    <row r="19644" spans="25:26" x14ac:dyDescent="0.25">
      <c r="Y19644" s="63">
        <v>62177</v>
      </c>
      <c r="Z19644" s="61">
        <f>_xll.qlYieldTSDiscount($U$35,Y19644,,Trigger)</f>
        <v>0.34305145813074667</v>
      </c>
    </row>
    <row r="19645" spans="25:26" x14ac:dyDescent="0.25">
      <c r="Y19645" s="63">
        <v>62178</v>
      </c>
      <c r="Z19645" s="61">
        <f>_xll.qlYieldTSDiscount($U$35,Y19645,,Trigger)</f>
        <v>0.34303108703795238</v>
      </c>
    </row>
    <row r="19646" spans="25:26" x14ac:dyDescent="0.25">
      <c r="Y19646" s="63">
        <v>62179</v>
      </c>
      <c r="Z19646" s="61">
        <f>_xll.qlYieldTSDiscount($U$35,Y19646,,Trigger)</f>
        <v>0.34301071678727379</v>
      </c>
    </row>
    <row r="19647" spans="25:26" x14ac:dyDescent="0.25">
      <c r="Y19647" s="63">
        <v>62180</v>
      </c>
      <c r="Z19647" s="61">
        <f>_xll.qlYieldTSDiscount($U$35,Y19647,,Trigger)</f>
        <v>0.34299034737834483</v>
      </c>
    </row>
    <row r="19648" spans="25:26" x14ac:dyDescent="0.25">
      <c r="Y19648" s="63">
        <v>62181</v>
      </c>
      <c r="Z19648" s="61">
        <f>_xll.qlYieldTSDiscount($U$35,Y19648,,Trigger)</f>
        <v>0.34296997881079966</v>
      </c>
    </row>
    <row r="19649" spans="25:26" x14ac:dyDescent="0.25">
      <c r="Y19649" s="63">
        <v>62182</v>
      </c>
      <c r="Z19649" s="61">
        <f>_xll.qlYieldTSDiscount($U$35,Y19649,,Trigger)</f>
        <v>0.34294961108427219</v>
      </c>
    </row>
    <row r="19650" spans="25:26" x14ac:dyDescent="0.25">
      <c r="Y19650" s="63">
        <v>62183</v>
      </c>
      <c r="Z19650" s="61">
        <f>_xll.qlYieldTSDiscount($U$35,Y19650,,Trigger)</f>
        <v>0.34292924419839649</v>
      </c>
    </row>
    <row r="19651" spans="25:26" x14ac:dyDescent="0.25">
      <c r="Y19651" s="63">
        <v>62184</v>
      </c>
      <c r="Z19651" s="61">
        <f>_xll.qlYieldTSDiscount($U$35,Y19651,,Trigger)</f>
        <v>0.34290887815280668</v>
      </c>
    </row>
    <row r="19652" spans="25:26" x14ac:dyDescent="0.25">
      <c r="Y19652" s="63">
        <v>62185</v>
      </c>
      <c r="Z19652" s="61">
        <f>_xll.qlYieldTSDiscount($U$35,Y19652,,Trigger)</f>
        <v>0.34288851294713663</v>
      </c>
    </row>
    <row r="19653" spans="25:26" x14ac:dyDescent="0.25">
      <c r="Y19653" s="63">
        <v>62186</v>
      </c>
      <c r="Z19653" s="61">
        <f>_xll.qlYieldTSDiscount($U$35,Y19653,,Trigger)</f>
        <v>0.34286814858102044</v>
      </c>
    </row>
    <row r="19654" spans="25:26" x14ac:dyDescent="0.25">
      <c r="Y19654" s="63">
        <v>62187</v>
      </c>
      <c r="Z19654" s="61">
        <f>_xll.qlYieldTSDiscount($U$35,Y19654,,Trigger)</f>
        <v>0.34284778505409208</v>
      </c>
    </row>
    <row r="19655" spans="25:26" x14ac:dyDescent="0.25">
      <c r="Y19655" s="63">
        <v>62188</v>
      </c>
      <c r="Z19655" s="61">
        <f>_xll.qlYieldTSDiscount($U$35,Y19655,,Trigger)</f>
        <v>0.34282742236598562</v>
      </c>
    </row>
    <row r="19656" spans="25:26" x14ac:dyDescent="0.25">
      <c r="Y19656" s="63">
        <v>62189</v>
      </c>
      <c r="Z19656" s="61">
        <f>_xll.qlYieldTSDiscount($U$35,Y19656,,Trigger)</f>
        <v>0.34280706051633514</v>
      </c>
    </row>
    <row r="19657" spans="25:26" x14ac:dyDescent="0.25">
      <c r="Y19657" s="63">
        <v>62190</v>
      </c>
      <c r="Z19657" s="61">
        <f>_xll.qlYieldTSDiscount($U$35,Y19657,,Trigger)</f>
        <v>0.34278669950477447</v>
      </c>
    </row>
    <row r="19658" spans="25:26" x14ac:dyDescent="0.25">
      <c r="Y19658" s="63">
        <v>62191</v>
      </c>
      <c r="Z19658" s="61">
        <f>_xll.qlYieldTSDiscount($U$35,Y19658,,Trigger)</f>
        <v>0.34276633933093786</v>
      </c>
    </row>
    <row r="19659" spans="25:26" x14ac:dyDescent="0.25">
      <c r="Y19659" s="63">
        <v>62192</v>
      </c>
      <c r="Z19659" s="61">
        <f>_xll.qlYieldTSDiscount($U$35,Y19659,,Trigger)</f>
        <v>0.34274597999445916</v>
      </c>
    </row>
    <row r="19660" spans="25:26" x14ac:dyDescent="0.25">
      <c r="Y19660" s="63">
        <v>62193</v>
      </c>
      <c r="Z19660" s="61">
        <f>_xll.qlYieldTSDiscount($U$35,Y19660,,Trigger)</f>
        <v>0.34272562149497243</v>
      </c>
    </row>
    <row r="19661" spans="25:26" x14ac:dyDescent="0.25">
      <c r="Y19661" s="63">
        <v>62194</v>
      </c>
      <c r="Z19661" s="61">
        <f>_xll.qlYieldTSDiscount($U$35,Y19661,,Trigger)</f>
        <v>0.34270526383211181</v>
      </c>
    </row>
    <row r="19662" spans="25:26" x14ac:dyDescent="0.25">
      <c r="Y19662" s="63">
        <v>62195</v>
      </c>
      <c r="Z19662" s="61">
        <f>_xll.qlYieldTSDiscount($U$35,Y19662,,Trigger)</f>
        <v>0.34268490700551119</v>
      </c>
    </row>
    <row r="19663" spans="25:26" x14ac:dyDescent="0.25">
      <c r="Y19663" s="63">
        <v>62196</v>
      </c>
      <c r="Z19663" s="61">
        <f>_xll.qlYieldTSDiscount($U$35,Y19663,,Trigger)</f>
        <v>0.34266455101480459</v>
      </c>
    </row>
    <row r="19664" spans="25:26" x14ac:dyDescent="0.25">
      <c r="Y19664" s="63">
        <v>62197</v>
      </c>
      <c r="Z19664" s="61">
        <f>_xll.qlYieldTSDiscount($U$35,Y19664,,Trigger)</f>
        <v>0.34264419585962613</v>
      </c>
    </row>
    <row r="19665" spans="25:26" x14ac:dyDescent="0.25">
      <c r="Y19665" s="63">
        <v>62198</v>
      </c>
      <c r="Z19665" s="61">
        <f>_xll.qlYieldTSDiscount($U$35,Y19665,,Trigger)</f>
        <v>0.34262384153960979</v>
      </c>
    </row>
    <row r="19666" spans="25:26" x14ac:dyDescent="0.25">
      <c r="Y19666" s="63">
        <v>62199</v>
      </c>
      <c r="Z19666" s="61">
        <f>_xll.qlYieldTSDiscount($U$35,Y19666,,Trigger)</f>
        <v>0.34260348805438945</v>
      </c>
    </row>
    <row r="19667" spans="25:26" x14ac:dyDescent="0.25">
      <c r="Y19667" s="63">
        <v>62200</v>
      </c>
      <c r="Z19667" s="61">
        <f>_xll.qlYieldTSDiscount($U$35,Y19667,,Trigger)</f>
        <v>0.34258313540359941</v>
      </c>
    </row>
    <row r="19668" spans="25:26" x14ac:dyDescent="0.25">
      <c r="Y19668" s="63">
        <v>62201</v>
      </c>
      <c r="Z19668" s="61">
        <f>_xll.qlYieldTSDiscount($U$35,Y19668,,Trigger)</f>
        <v>0.34256278358687348</v>
      </c>
    </row>
    <row r="19669" spans="25:26" x14ac:dyDescent="0.25">
      <c r="Y19669" s="63">
        <v>62202</v>
      </c>
      <c r="Z19669" s="61">
        <f>_xll.qlYieldTSDiscount($U$35,Y19669,,Trigger)</f>
        <v>0.34254243260384565</v>
      </c>
    </row>
    <row r="19670" spans="25:26" x14ac:dyDescent="0.25">
      <c r="Y19670" s="63">
        <v>62203</v>
      </c>
      <c r="Z19670" s="61">
        <f>_xll.qlYieldTSDiscount($U$35,Y19670,,Trigger)</f>
        <v>0.34252208245415017</v>
      </c>
    </row>
    <row r="19671" spans="25:26" x14ac:dyDescent="0.25">
      <c r="Y19671" s="63">
        <v>62204</v>
      </c>
      <c r="Z19671" s="61">
        <f>_xll.qlYieldTSDiscount($U$35,Y19671,,Trigger)</f>
        <v>0.34250173313742094</v>
      </c>
    </row>
    <row r="19672" spans="25:26" x14ac:dyDescent="0.25">
      <c r="Y19672" s="63">
        <v>62205</v>
      </c>
      <c r="Z19672" s="61">
        <f>_xll.qlYieldTSDiscount($U$35,Y19672,,Trigger)</f>
        <v>0.34248138465329181</v>
      </c>
    </row>
    <row r="19673" spans="25:26" x14ac:dyDescent="0.25">
      <c r="Y19673" s="63">
        <v>62206</v>
      </c>
      <c r="Z19673" s="61">
        <f>_xll.qlYieldTSDiscount($U$35,Y19673,,Trigger)</f>
        <v>0.34246103700139707</v>
      </c>
    </row>
    <row r="19674" spans="25:26" x14ac:dyDescent="0.25">
      <c r="Y19674" s="63">
        <v>62207</v>
      </c>
      <c r="Z19674" s="61">
        <f>_xll.qlYieldTSDiscount($U$35,Y19674,,Trigger)</f>
        <v>0.34244069018137069</v>
      </c>
    </row>
    <row r="19675" spans="25:26" x14ac:dyDescent="0.25">
      <c r="Y19675" s="63">
        <v>62208</v>
      </c>
      <c r="Z19675" s="61">
        <f>_xll.qlYieldTSDiscount($U$35,Y19675,,Trigger)</f>
        <v>0.3424203441928465</v>
      </c>
    </row>
    <row r="19676" spans="25:26" x14ac:dyDescent="0.25">
      <c r="Y19676" s="63">
        <v>62209</v>
      </c>
      <c r="Z19676" s="61">
        <f>_xll.qlYieldTSDiscount($U$35,Y19676,,Trigger)</f>
        <v>0.3423999990354587</v>
      </c>
    </row>
    <row r="19677" spans="25:26" x14ac:dyDescent="0.25">
      <c r="Y19677" s="63">
        <v>62210</v>
      </c>
      <c r="Z19677" s="61">
        <f>_xll.qlYieldTSDiscount($U$35,Y19677,,Trigger)</f>
        <v>0.34237965470884135</v>
      </c>
    </row>
    <row r="19678" spans="25:26" x14ac:dyDescent="0.25">
      <c r="Y19678" s="63">
        <v>62211</v>
      </c>
      <c r="Z19678" s="61">
        <f>_xll.qlYieldTSDiscount($U$35,Y19678,,Trigger)</f>
        <v>0.3423593112126283</v>
      </c>
    </row>
    <row r="19679" spans="25:26" x14ac:dyDescent="0.25">
      <c r="Y19679" s="63">
        <v>62212</v>
      </c>
      <c r="Z19679" s="61">
        <f>_xll.qlYieldTSDiscount($U$35,Y19679,,Trigger)</f>
        <v>0.34233896854645374</v>
      </c>
    </row>
    <row r="19680" spans="25:26" x14ac:dyDescent="0.25">
      <c r="Y19680" s="63">
        <v>62213</v>
      </c>
      <c r="Z19680" s="61">
        <f>_xll.qlYieldTSDiscount($U$35,Y19680,,Trigger)</f>
        <v>0.3423186267099515</v>
      </c>
    </row>
    <row r="19681" spans="25:26" x14ac:dyDescent="0.25">
      <c r="Y19681" s="63">
        <v>62214</v>
      </c>
      <c r="Z19681" s="61">
        <f>_xll.qlYieldTSDiscount($U$35,Y19681,,Trigger)</f>
        <v>0.34229828570275583</v>
      </c>
    </row>
    <row r="19682" spans="25:26" x14ac:dyDescent="0.25">
      <c r="Y19682" s="63">
        <v>62215</v>
      </c>
      <c r="Z19682" s="61">
        <f>_xll.qlYieldTSDiscount($U$35,Y19682,,Trigger)</f>
        <v>0.34227794552450053</v>
      </c>
    </row>
    <row r="19683" spans="25:26" x14ac:dyDescent="0.25">
      <c r="Y19683" s="63">
        <v>62216</v>
      </c>
      <c r="Z19683" s="61">
        <f>_xll.qlYieldTSDiscount($U$35,Y19683,,Trigger)</f>
        <v>0.34225760617481982</v>
      </c>
    </row>
    <row r="19684" spans="25:26" x14ac:dyDescent="0.25">
      <c r="Y19684" s="63">
        <v>62217</v>
      </c>
      <c r="Z19684" s="61">
        <f>_xll.qlYieldTSDiscount($U$35,Y19684,,Trigger)</f>
        <v>0.34223726765334761</v>
      </c>
    </row>
    <row r="19685" spans="25:26" x14ac:dyDescent="0.25">
      <c r="Y19685" s="63">
        <v>62218</v>
      </c>
      <c r="Z19685" s="61">
        <f>_xll.qlYieldTSDiscount($U$35,Y19685,,Trigger)</f>
        <v>0.34221692995971786</v>
      </c>
    </row>
    <row r="19686" spans="25:26" x14ac:dyDescent="0.25">
      <c r="Y19686" s="63">
        <v>62219</v>
      </c>
      <c r="Z19686" s="61">
        <f>_xll.qlYieldTSDiscount($U$35,Y19686,,Trigger)</f>
        <v>0.34219659309356476</v>
      </c>
    </row>
    <row r="19687" spans="25:26" x14ac:dyDescent="0.25">
      <c r="Y19687" s="63">
        <v>62220</v>
      </c>
      <c r="Z19687" s="61">
        <f>_xll.qlYieldTSDiscount($U$35,Y19687,,Trigger)</f>
        <v>0.34217625705452226</v>
      </c>
    </row>
    <row r="19688" spans="25:26" x14ac:dyDescent="0.25">
      <c r="Y19688" s="63">
        <v>62221</v>
      </c>
      <c r="Z19688" s="61">
        <f>_xll.qlYieldTSDiscount($U$35,Y19688,,Trigger)</f>
        <v>0.34215592184222432</v>
      </c>
    </row>
    <row r="19689" spans="25:26" x14ac:dyDescent="0.25">
      <c r="Y19689" s="63">
        <v>62222</v>
      </c>
      <c r="Z19689" s="61">
        <f>_xll.qlYieldTSDiscount($U$35,Y19689,,Trigger)</f>
        <v>0.34213558745630496</v>
      </c>
    </row>
    <row r="19690" spans="25:26" x14ac:dyDescent="0.25">
      <c r="Y19690" s="63">
        <v>62223</v>
      </c>
      <c r="Z19690" s="61">
        <f>_xll.qlYieldTSDiscount($U$35,Y19690,,Trigger)</f>
        <v>0.3421152538963983</v>
      </c>
    </row>
    <row r="19691" spans="25:26" x14ac:dyDescent="0.25">
      <c r="Y19691" s="63">
        <v>62224</v>
      </c>
      <c r="Z19691" s="61">
        <f>_xll.qlYieldTSDiscount($U$35,Y19691,,Trigger)</f>
        <v>0.34209492116213835</v>
      </c>
    </row>
    <row r="19692" spans="25:26" x14ac:dyDescent="0.25">
      <c r="Y19692" s="63">
        <v>62225</v>
      </c>
      <c r="Z19692" s="61">
        <f>_xll.qlYieldTSDiscount($U$35,Y19692,,Trigger)</f>
        <v>0.34207458925315903</v>
      </c>
    </row>
    <row r="19693" spans="25:26" x14ac:dyDescent="0.25">
      <c r="Y19693" s="63">
        <v>62226</v>
      </c>
      <c r="Z19693" s="61">
        <f>_xll.qlYieldTSDiscount($U$35,Y19693,,Trigger)</f>
        <v>0.34205425816909457</v>
      </c>
    </row>
    <row r="19694" spans="25:26" x14ac:dyDescent="0.25">
      <c r="Y19694" s="63">
        <v>62227</v>
      </c>
      <c r="Z19694" s="61">
        <f>_xll.qlYieldTSDiscount($U$35,Y19694,,Trigger)</f>
        <v>0.34203392790957871</v>
      </c>
    </row>
    <row r="19695" spans="25:26" x14ac:dyDescent="0.25">
      <c r="Y19695" s="63">
        <v>62228</v>
      </c>
      <c r="Z19695" s="61">
        <f>_xll.qlYieldTSDiscount($U$35,Y19695,,Trigger)</f>
        <v>0.34201359847424562</v>
      </c>
    </row>
    <row r="19696" spans="25:26" x14ac:dyDescent="0.25">
      <c r="Y19696" s="63">
        <v>62229</v>
      </c>
      <c r="Z19696" s="61">
        <f>_xll.qlYieldTSDiscount($U$35,Y19696,,Trigger)</f>
        <v>0.34199326986272938</v>
      </c>
    </row>
    <row r="19697" spans="25:26" x14ac:dyDescent="0.25">
      <c r="Y19697" s="63">
        <v>62230</v>
      </c>
      <c r="Z19697" s="61">
        <f>_xll.qlYieldTSDiscount($U$35,Y19697,,Trigger)</f>
        <v>0.34197294207466389</v>
      </c>
    </row>
    <row r="19698" spans="25:26" x14ac:dyDescent="0.25">
      <c r="Y19698" s="63">
        <v>62231</v>
      </c>
      <c r="Z19698" s="61">
        <f>_xll.qlYieldTSDiscount($U$35,Y19698,,Trigger)</f>
        <v>0.34195261510968328</v>
      </c>
    </row>
    <row r="19699" spans="25:26" x14ac:dyDescent="0.25">
      <c r="Y19699" s="63">
        <v>62232</v>
      </c>
      <c r="Z19699" s="61">
        <f>_xll.qlYieldTSDiscount($U$35,Y19699,,Trigger)</f>
        <v>0.3419322889674215</v>
      </c>
    </row>
    <row r="19700" spans="25:26" x14ac:dyDescent="0.25">
      <c r="Y19700" s="63">
        <v>62233</v>
      </c>
      <c r="Z19700" s="61">
        <f>_xll.qlYieldTSDiscount($U$35,Y19700,,Trigger)</f>
        <v>0.34191196364751253</v>
      </c>
    </row>
    <row r="19701" spans="25:26" x14ac:dyDescent="0.25">
      <c r="Y19701" s="63">
        <v>62234</v>
      </c>
      <c r="Z19701" s="61">
        <f>_xll.qlYieldTSDiscount($U$35,Y19701,,Trigger)</f>
        <v>0.34189163914959048</v>
      </c>
    </row>
    <row r="19702" spans="25:26" x14ac:dyDescent="0.25">
      <c r="Y19702" s="63">
        <v>62235</v>
      </c>
      <c r="Z19702" s="61">
        <f>_xll.qlYieldTSDiscount($U$35,Y19702,,Trigger)</f>
        <v>0.34187131547328936</v>
      </c>
    </row>
    <row r="19703" spans="25:26" x14ac:dyDescent="0.25">
      <c r="Y19703" s="63">
        <v>62236</v>
      </c>
      <c r="Z19703" s="61">
        <f>_xll.qlYieldTSDiscount($U$35,Y19703,,Trigger)</f>
        <v>0.3418509926182432</v>
      </c>
    </row>
    <row r="19704" spans="25:26" x14ac:dyDescent="0.25">
      <c r="Y19704" s="63">
        <v>62237</v>
      </c>
      <c r="Z19704" s="61">
        <f>_xll.qlYieldTSDiscount($U$35,Y19704,,Trigger)</f>
        <v>0.34183067058408595</v>
      </c>
    </row>
    <row r="19705" spans="25:26" x14ac:dyDescent="0.25">
      <c r="Y19705" s="63">
        <v>62238</v>
      </c>
      <c r="Z19705" s="61">
        <f>_xll.qlYieldTSDiscount($U$35,Y19705,,Trigger)</f>
        <v>0.34181034937045168</v>
      </c>
    </row>
    <row r="19706" spans="25:26" x14ac:dyDescent="0.25">
      <c r="Y19706" s="63">
        <v>62239</v>
      </c>
      <c r="Z19706" s="61">
        <f>_xll.qlYieldTSDiscount($U$35,Y19706,,Trigger)</f>
        <v>0.34179002897697452</v>
      </c>
    </row>
    <row r="19707" spans="25:26" x14ac:dyDescent="0.25">
      <c r="Y19707" s="63">
        <v>62240</v>
      </c>
      <c r="Z19707" s="61">
        <f>_xll.qlYieldTSDiscount($U$35,Y19707,,Trigger)</f>
        <v>0.34176970940328821</v>
      </c>
    </row>
    <row r="19708" spans="25:26" x14ac:dyDescent="0.25">
      <c r="Y19708" s="63">
        <v>62241</v>
      </c>
      <c r="Z19708" s="61">
        <f>_xll.qlYieldTSDiscount($U$35,Y19708,,Trigger)</f>
        <v>0.34174939064902704</v>
      </c>
    </row>
    <row r="19709" spans="25:26" x14ac:dyDescent="0.25">
      <c r="Y19709" s="63">
        <v>62242</v>
      </c>
      <c r="Z19709" s="61">
        <f>_xll.qlYieldTSDiscount($U$35,Y19709,,Trigger)</f>
        <v>0.34172907271382497</v>
      </c>
    </row>
    <row r="19710" spans="25:26" x14ac:dyDescent="0.25">
      <c r="Y19710" s="63">
        <v>62243</v>
      </c>
      <c r="Z19710" s="61">
        <f>_xll.qlYieldTSDiscount($U$35,Y19710,,Trigger)</f>
        <v>0.34170875559731595</v>
      </c>
    </row>
    <row r="19711" spans="25:26" x14ac:dyDescent="0.25">
      <c r="Y19711" s="63">
        <v>62244</v>
      </c>
      <c r="Z19711" s="61">
        <f>_xll.qlYieldTSDiscount($U$35,Y19711,,Trigger)</f>
        <v>0.34168843929913406</v>
      </c>
    </row>
    <row r="19712" spans="25:26" x14ac:dyDescent="0.25">
      <c r="Y19712" s="63">
        <v>62245</v>
      </c>
      <c r="Z19712" s="61">
        <f>_xll.qlYieldTSDiscount($U$35,Y19712,,Trigger)</f>
        <v>0.34166812381891321</v>
      </c>
    </row>
    <row r="19713" spans="25:26" x14ac:dyDescent="0.25">
      <c r="Y19713" s="63">
        <v>62246</v>
      </c>
      <c r="Z19713" s="61">
        <f>_xll.qlYieldTSDiscount($U$35,Y19713,,Trigger)</f>
        <v>0.34164780915628762</v>
      </c>
    </row>
    <row r="19714" spans="25:26" x14ac:dyDescent="0.25">
      <c r="Y19714" s="63">
        <v>62247</v>
      </c>
      <c r="Z19714" s="61">
        <f>_xll.qlYieldTSDiscount($U$35,Y19714,,Trigger)</f>
        <v>0.3416274953108912</v>
      </c>
    </row>
    <row r="19715" spans="25:26" x14ac:dyDescent="0.25">
      <c r="Y19715" s="63">
        <v>62248</v>
      </c>
      <c r="Z19715" s="61">
        <f>_xll.qlYieldTSDiscount($U$35,Y19715,,Trigger)</f>
        <v>0.34160718228235798</v>
      </c>
    </row>
    <row r="19716" spans="25:26" x14ac:dyDescent="0.25">
      <c r="Y19716" s="63">
        <v>62249</v>
      </c>
      <c r="Z19716" s="61">
        <f>_xll.qlYieldTSDiscount($U$35,Y19716,,Trigger)</f>
        <v>0.34158687007032185</v>
      </c>
    </row>
    <row r="19717" spans="25:26" x14ac:dyDescent="0.25">
      <c r="Y19717" s="63">
        <v>62250</v>
      </c>
      <c r="Z19717" s="61">
        <f>_xll.qlYieldTSDiscount($U$35,Y19717,,Trigger)</f>
        <v>0.3415665586744171</v>
      </c>
    </row>
    <row r="19718" spans="25:26" x14ac:dyDescent="0.25">
      <c r="Y19718" s="63">
        <v>62251</v>
      </c>
      <c r="Z19718" s="61">
        <f>_xll.qlYieldTSDiscount($U$35,Y19718,,Trigger)</f>
        <v>0.34154624809427758</v>
      </c>
    </row>
    <row r="19719" spans="25:26" x14ac:dyDescent="0.25">
      <c r="Y19719" s="63">
        <v>62252</v>
      </c>
      <c r="Z19719" s="61">
        <f>_xll.qlYieldTSDiscount($U$35,Y19719,,Trigger)</f>
        <v>0.34152593832953737</v>
      </c>
    </row>
    <row r="19720" spans="25:26" x14ac:dyDescent="0.25">
      <c r="Y19720" s="63">
        <v>62253</v>
      </c>
      <c r="Z19720" s="61">
        <f>_xll.qlYieldTSDiscount($U$35,Y19720,,Trigger)</f>
        <v>0.34150562937983042</v>
      </c>
    </row>
    <row r="19721" spans="25:26" x14ac:dyDescent="0.25">
      <c r="Y19721" s="63">
        <v>62254</v>
      </c>
      <c r="Z19721" s="61">
        <f>_xll.qlYieldTSDiscount($U$35,Y19721,,Trigger)</f>
        <v>0.34148532124479081</v>
      </c>
    </row>
    <row r="19722" spans="25:26" x14ac:dyDescent="0.25">
      <c r="Y19722" s="63">
        <v>62255</v>
      </c>
      <c r="Z19722" s="61">
        <f>_xll.qlYieldTSDiscount($U$35,Y19722,,Trigger)</f>
        <v>0.3414650139240526</v>
      </c>
    </row>
    <row r="19723" spans="25:26" x14ac:dyDescent="0.25">
      <c r="Y19723" s="63">
        <v>62256</v>
      </c>
      <c r="Z19723" s="61">
        <f>_xll.qlYieldTSDiscount($U$35,Y19723,,Trigger)</f>
        <v>0.34144470741724969</v>
      </c>
    </row>
    <row r="19724" spans="25:26" x14ac:dyDescent="0.25">
      <c r="Y19724" s="63">
        <v>62257</v>
      </c>
      <c r="Z19724" s="61">
        <f>_xll.qlYieldTSDiscount($U$35,Y19724,,Trigger)</f>
        <v>0.34142440172401617</v>
      </c>
    </row>
    <row r="19725" spans="25:26" x14ac:dyDescent="0.25">
      <c r="Y19725" s="63">
        <v>62258</v>
      </c>
      <c r="Z19725" s="61">
        <f>_xll.qlYieldTSDiscount($U$35,Y19725,,Trigger)</f>
        <v>0.3414040968439862</v>
      </c>
    </row>
    <row r="19726" spans="25:26" x14ac:dyDescent="0.25">
      <c r="Y19726" s="63">
        <v>62259</v>
      </c>
      <c r="Z19726" s="61">
        <f>_xll.qlYieldTSDiscount($U$35,Y19726,,Trigger)</f>
        <v>0.34138379277679348</v>
      </c>
    </row>
    <row r="19727" spans="25:26" x14ac:dyDescent="0.25">
      <c r="Y19727" s="63">
        <v>62260</v>
      </c>
      <c r="Z19727" s="61">
        <f>_xll.qlYieldTSDiscount($U$35,Y19727,,Trigger)</f>
        <v>0.34136348952207229</v>
      </c>
    </row>
    <row r="19728" spans="25:26" x14ac:dyDescent="0.25">
      <c r="Y19728" s="63">
        <v>62261</v>
      </c>
      <c r="Z19728" s="61">
        <f>_xll.qlYieldTSDiscount($U$35,Y19728,,Trigger)</f>
        <v>0.34134318707945671</v>
      </c>
    </row>
    <row r="19729" spans="25:26" x14ac:dyDescent="0.25">
      <c r="Y19729" s="63">
        <v>62262</v>
      </c>
      <c r="Z19729" s="61">
        <f>_xll.qlYieldTSDiscount($U$35,Y19729,,Trigger)</f>
        <v>0.34132288544858047</v>
      </c>
    </row>
    <row r="19730" spans="25:26" x14ac:dyDescent="0.25">
      <c r="Y19730" s="63">
        <v>62263</v>
      </c>
      <c r="Z19730" s="61">
        <f>_xll.qlYieldTSDiscount($U$35,Y19730,,Trigger)</f>
        <v>0.34130258462907787</v>
      </c>
    </row>
    <row r="19731" spans="25:26" x14ac:dyDescent="0.25">
      <c r="Y19731" s="63">
        <v>62264</v>
      </c>
      <c r="Z19731" s="61">
        <f>_xll.qlYieldTSDiscount($U$35,Y19731,,Trigger)</f>
        <v>0.34128228462058274</v>
      </c>
    </row>
    <row r="19732" spans="25:26" x14ac:dyDescent="0.25">
      <c r="Y19732" s="63">
        <v>62265</v>
      </c>
      <c r="Z19732" s="61">
        <f>_xll.qlYieldTSDiscount($U$35,Y19732,,Trigger)</f>
        <v>0.34126198542272923</v>
      </c>
    </row>
    <row r="19733" spans="25:26" x14ac:dyDescent="0.25">
      <c r="Y19733" s="63">
        <v>62266</v>
      </c>
      <c r="Z19733" s="61">
        <f>_xll.qlYieldTSDiscount($U$35,Y19733,,Trigger)</f>
        <v>0.34124168703515123</v>
      </c>
    </row>
    <row r="19734" spans="25:26" x14ac:dyDescent="0.25">
      <c r="Y19734" s="63">
        <v>62267</v>
      </c>
      <c r="Z19734" s="61">
        <f>_xll.qlYieldTSDiscount($U$35,Y19734,,Trigger)</f>
        <v>0.34122138945748293</v>
      </c>
    </row>
    <row r="19735" spans="25:26" x14ac:dyDescent="0.25">
      <c r="Y19735" s="63">
        <v>62268</v>
      </c>
      <c r="Z19735" s="61">
        <f>_xll.qlYieldTSDiscount($U$35,Y19735,,Trigger)</f>
        <v>0.34120109268935828</v>
      </c>
    </row>
    <row r="19736" spans="25:26" x14ac:dyDescent="0.25">
      <c r="Y19736" s="63">
        <v>62269</v>
      </c>
      <c r="Z19736" s="61">
        <f>_xll.qlYieldTSDiscount($U$35,Y19736,,Trigger)</f>
        <v>0.34118079673041124</v>
      </c>
    </row>
    <row r="19737" spans="25:26" x14ac:dyDescent="0.25">
      <c r="Y19737" s="63">
        <v>62270</v>
      </c>
      <c r="Z19737" s="61">
        <f>_xll.qlYieldTSDiscount($U$35,Y19737,,Trigger)</f>
        <v>0.34116050158027589</v>
      </c>
    </row>
    <row r="19738" spans="25:26" x14ac:dyDescent="0.25">
      <c r="Y19738" s="63">
        <v>62271</v>
      </c>
      <c r="Z19738" s="61">
        <f>_xll.qlYieldTSDiscount($U$35,Y19738,,Trigger)</f>
        <v>0.34114020723858623</v>
      </c>
    </row>
    <row r="19739" spans="25:26" x14ac:dyDescent="0.25">
      <c r="Y19739" s="63">
        <v>62272</v>
      </c>
      <c r="Z19739" s="61">
        <f>_xll.qlYieldTSDiscount($U$35,Y19739,,Trigger)</f>
        <v>0.3411199137049763</v>
      </c>
    </row>
    <row r="19740" spans="25:26" x14ac:dyDescent="0.25">
      <c r="Y19740" s="63">
        <v>62273</v>
      </c>
      <c r="Z19740" s="61">
        <f>_xll.qlYieldTSDiscount($U$35,Y19740,,Trigger)</f>
        <v>0.34109962097908009</v>
      </c>
    </row>
    <row r="19741" spans="25:26" x14ac:dyDescent="0.25">
      <c r="Y19741" s="63">
        <v>62274</v>
      </c>
      <c r="Z19741" s="61">
        <f>_xll.qlYieldTSDiscount($U$35,Y19741,,Trigger)</f>
        <v>0.34107932906053173</v>
      </c>
    </row>
    <row r="19742" spans="25:26" x14ac:dyDescent="0.25">
      <c r="Y19742" s="63">
        <v>62275</v>
      </c>
      <c r="Z19742" s="61">
        <f>_xll.qlYieldTSDiscount($U$35,Y19742,,Trigger)</f>
        <v>0.34105903794896508</v>
      </c>
    </row>
    <row r="19743" spans="25:26" x14ac:dyDescent="0.25">
      <c r="Y19743" s="63">
        <v>62276</v>
      </c>
      <c r="Z19743" s="61">
        <f>_xll.qlYieldTSDiscount($U$35,Y19743,,Trigger)</f>
        <v>0.34103874764401421</v>
      </c>
    </row>
    <row r="19744" spans="25:26" x14ac:dyDescent="0.25">
      <c r="Y19744" s="63">
        <v>62277</v>
      </c>
      <c r="Z19744" s="61">
        <f>_xll.qlYieldTSDiscount($U$35,Y19744,,Trigger)</f>
        <v>0.34101845814531329</v>
      </c>
    </row>
    <row r="19745" spans="25:26" x14ac:dyDescent="0.25">
      <c r="Y19745" s="63">
        <v>62278</v>
      </c>
      <c r="Z19745" s="61">
        <f>_xll.qlYieldTSDiscount($U$35,Y19745,,Trigger)</f>
        <v>0.34099816945249606</v>
      </c>
    </row>
    <row r="19746" spans="25:26" x14ac:dyDescent="0.25">
      <c r="Y19746" s="63">
        <v>62279</v>
      </c>
      <c r="Z19746" s="61">
        <f>_xll.qlYieldTSDiscount($U$35,Y19746,,Trigger)</f>
        <v>0.34097788156519682</v>
      </c>
    </row>
    <row r="19747" spans="25:26" x14ac:dyDescent="0.25">
      <c r="Y19747" s="63">
        <v>62280</v>
      </c>
      <c r="Z19747" s="61">
        <f>_xll.qlYieldTSDiscount($U$35,Y19747,,Trigger)</f>
        <v>0.34095759448304952</v>
      </c>
    </row>
    <row r="19748" spans="25:26" x14ac:dyDescent="0.25">
      <c r="Y19748" s="63">
        <v>62281</v>
      </c>
      <c r="Z19748" s="61">
        <f>_xll.qlYieldTSDiscount($U$35,Y19748,,Trigger)</f>
        <v>0.34093730820568807</v>
      </c>
    </row>
    <row r="19749" spans="25:26" x14ac:dyDescent="0.25">
      <c r="Y19749" s="63">
        <v>62282</v>
      </c>
      <c r="Z19749" s="61">
        <f>_xll.qlYieldTSDiscount($U$35,Y19749,,Trigger)</f>
        <v>0.34091702273274654</v>
      </c>
    </row>
    <row r="19750" spans="25:26" x14ac:dyDescent="0.25">
      <c r="Y19750" s="63">
        <v>62283</v>
      </c>
      <c r="Z19750" s="61">
        <f>_xll.qlYieldTSDiscount($U$35,Y19750,,Trigger)</f>
        <v>0.34089673806385901</v>
      </c>
    </row>
    <row r="19751" spans="25:26" x14ac:dyDescent="0.25">
      <c r="Y19751" s="63">
        <v>62284</v>
      </c>
      <c r="Z19751" s="61">
        <f>_xll.qlYieldTSDiscount($U$35,Y19751,,Trigger)</f>
        <v>0.34087645419865953</v>
      </c>
    </row>
    <row r="19752" spans="25:26" x14ac:dyDescent="0.25">
      <c r="Y19752" s="63">
        <v>62285</v>
      </c>
      <c r="Z19752" s="61">
        <f>_xll.qlYieldTSDiscount($U$35,Y19752,,Trigger)</f>
        <v>0.34085617113678196</v>
      </c>
    </row>
    <row r="19753" spans="25:26" x14ac:dyDescent="0.25">
      <c r="Y19753" s="63">
        <v>62286</v>
      </c>
      <c r="Z19753" s="61">
        <f>_xll.qlYieldTSDiscount($U$35,Y19753,,Trigger)</f>
        <v>0.34083588887786043</v>
      </c>
    </row>
    <row r="19754" spans="25:26" x14ac:dyDescent="0.25">
      <c r="Y19754" s="63">
        <v>62287</v>
      </c>
      <c r="Z19754" s="61">
        <f>_xll.qlYieldTSDiscount($U$35,Y19754,,Trigger)</f>
        <v>0.340815607421529</v>
      </c>
    </row>
    <row r="19755" spans="25:26" x14ac:dyDescent="0.25">
      <c r="Y19755" s="63">
        <v>62288</v>
      </c>
      <c r="Z19755" s="61">
        <f>_xll.qlYieldTSDiscount($U$35,Y19755,,Trigger)</f>
        <v>0.34079532676742158</v>
      </c>
    </row>
    <row r="19756" spans="25:26" x14ac:dyDescent="0.25">
      <c r="Y19756" s="63">
        <v>62289</v>
      </c>
      <c r="Z19756" s="61">
        <f>_xll.qlYieldTSDiscount($U$35,Y19756,,Trigger)</f>
        <v>0.34077504691517224</v>
      </c>
    </row>
    <row r="19757" spans="25:26" x14ac:dyDescent="0.25">
      <c r="Y19757" s="63">
        <v>62290</v>
      </c>
      <c r="Z19757" s="61">
        <f>_xll.qlYieldTSDiscount($U$35,Y19757,,Trigger)</f>
        <v>0.34075476786441511</v>
      </c>
    </row>
    <row r="19758" spans="25:26" x14ac:dyDescent="0.25">
      <c r="Y19758" s="63">
        <v>62291</v>
      </c>
      <c r="Z19758" s="61">
        <f>_xll.qlYieldTSDiscount($U$35,Y19758,,Trigger)</f>
        <v>0.34073448961478403</v>
      </c>
    </row>
    <row r="19759" spans="25:26" x14ac:dyDescent="0.25">
      <c r="Y19759" s="63">
        <v>62292</v>
      </c>
      <c r="Z19759" s="61">
        <f>_xll.qlYieldTSDiscount($U$35,Y19759,,Trigger)</f>
        <v>0.34071421216591313</v>
      </c>
    </row>
    <row r="19760" spans="25:26" x14ac:dyDescent="0.25">
      <c r="Y19760" s="63">
        <v>62293</v>
      </c>
      <c r="Z19760" s="61">
        <f>_xll.qlYieldTSDiscount($U$35,Y19760,,Trigger)</f>
        <v>0.34069393551743654</v>
      </c>
    </row>
    <row r="19761" spans="25:26" x14ac:dyDescent="0.25">
      <c r="Y19761" s="63">
        <v>62294</v>
      </c>
      <c r="Z19761" s="61">
        <f>_xll.qlYieldTSDiscount($U$35,Y19761,,Trigger)</f>
        <v>0.34067365966898799</v>
      </c>
    </row>
    <row r="19762" spans="25:26" x14ac:dyDescent="0.25">
      <c r="Y19762" s="63">
        <v>62295</v>
      </c>
      <c r="Z19762" s="61">
        <f>_xll.qlYieldTSDiscount($U$35,Y19762,,Trigger)</f>
        <v>0.34065338462020173</v>
      </c>
    </row>
    <row r="19763" spans="25:26" x14ac:dyDescent="0.25">
      <c r="Y19763" s="63">
        <v>62296</v>
      </c>
      <c r="Z19763" s="61">
        <f>_xll.qlYieldTSDiscount($U$35,Y19763,,Trigger)</f>
        <v>0.34063311037071164</v>
      </c>
    </row>
    <row r="19764" spans="25:26" x14ac:dyDescent="0.25">
      <c r="Y19764" s="63">
        <v>62297</v>
      </c>
      <c r="Z19764" s="61">
        <f>_xll.qlYieldTSDiscount($U$35,Y19764,,Trigger)</f>
        <v>0.34061283692015198</v>
      </c>
    </row>
    <row r="19765" spans="25:26" x14ac:dyDescent="0.25">
      <c r="Y19765" s="63">
        <v>62298</v>
      </c>
      <c r="Z19765" s="61">
        <f>_xll.qlYieldTSDiscount($U$35,Y19765,,Trigger)</f>
        <v>0.34059256426815654</v>
      </c>
    </row>
    <row r="19766" spans="25:26" x14ac:dyDescent="0.25">
      <c r="Y19766" s="63">
        <v>62299</v>
      </c>
      <c r="Z19766" s="61">
        <f>_xll.qlYieldTSDiscount($U$35,Y19766,,Trigger)</f>
        <v>0.34057229241435938</v>
      </c>
    </row>
    <row r="19767" spans="25:26" x14ac:dyDescent="0.25">
      <c r="Y19767" s="63">
        <v>62300</v>
      </c>
      <c r="Z19767" s="61">
        <f>_xll.qlYieldTSDiscount($U$35,Y19767,,Trigger)</f>
        <v>0.34055202135839457</v>
      </c>
    </row>
    <row r="19768" spans="25:26" x14ac:dyDescent="0.25">
      <c r="Y19768" s="63">
        <v>62301</v>
      </c>
      <c r="Z19768" s="61">
        <f>_xll.qlYieldTSDiscount($U$35,Y19768,,Trigger)</f>
        <v>0.34053175109989609</v>
      </c>
    </row>
    <row r="19769" spans="25:26" x14ac:dyDescent="0.25">
      <c r="Y19769" s="63">
        <v>62302</v>
      </c>
      <c r="Z19769" s="61">
        <f>_xll.qlYieldTSDiscount($U$35,Y19769,,Trigger)</f>
        <v>0.34051148163849798</v>
      </c>
    </row>
    <row r="19770" spans="25:26" x14ac:dyDescent="0.25">
      <c r="Y19770" s="63">
        <v>62303</v>
      </c>
      <c r="Z19770" s="61">
        <f>_xll.qlYieldTSDiscount($U$35,Y19770,,Trigger)</f>
        <v>0.34049121297383439</v>
      </c>
    </row>
    <row r="19771" spans="25:26" x14ac:dyDescent="0.25">
      <c r="Y19771" s="63">
        <v>62304</v>
      </c>
      <c r="Z19771" s="61">
        <f>_xll.qlYieldTSDiscount($U$35,Y19771,,Trigger)</f>
        <v>0.3404709451055391</v>
      </c>
    </row>
    <row r="19772" spans="25:26" x14ac:dyDescent="0.25">
      <c r="Y19772" s="63">
        <v>62305</v>
      </c>
      <c r="Z19772" s="61">
        <f>_xll.qlYieldTSDiscount($U$35,Y19772,,Trigger)</f>
        <v>0.3404506780332463</v>
      </c>
    </row>
    <row r="19773" spans="25:26" x14ac:dyDescent="0.25">
      <c r="Y19773" s="63">
        <v>62306</v>
      </c>
      <c r="Z19773" s="61">
        <f>_xll.qlYieldTSDiscount($U$35,Y19773,,Trigger)</f>
        <v>0.34043041175659</v>
      </c>
    </row>
    <row r="19774" spans="25:26" x14ac:dyDescent="0.25">
      <c r="Y19774" s="63">
        <v>62307</v>
      </c>
      <c r="Z19774" s="61">
        <f>_xll.qlYieldTSDiscount($U$35,Y19774,,Trigger)</f>
        <v>0.34041014627520416</v>
      </c>
    </row>
    <row r="19775" spans="25:26" x14ac:dyDescent="0.25">
      <c r="Y19775" s="63">
        <v>62308</v>
      </c>
      <c r="Z19775" s="61">
        <f>_xll.qlYieldTSDiscount($U$35,Y19775,,Trigger)</f>
        <v>0.34038988158872274</v>
      </c>
    </row>
    <row r="19776" spans="25:26" x14ac:dyDescent="0.25">
      <c r="Y19776" s="63">
        <v>62309</v>
      </c>
      <c r="Z19776" s="61">
        <f>_xll.qlYieldTSDiscount($U$35,Y19776,,Trigger)</f>
        <v>0.34036961769678004</v>
      </c>
    </row>
    <row r="19777" spans="25:26" x14ac:dyDescent="0.25">
      <c r="Y19777" s="63">
        <v>62310</v>
      </c>
      <c r="Z19777" s="61">
        <f>_xll.qlYieldTSDiscount($U$35,Y19777,,Trigger)</f>
        <v>0.34034935459900972</v>
      </c>
    </row>
    <row r="19778" spans="25:26" x14ac:dyDescent="0.25">
      <c r="Y19778" s="63">
        <v>62311</v>
      </c>
      <c r="Z19778" s="61">
        <f>_xll.qlYieldTSDiscount($U$35,Y19778,,Trigger)</f>
        <v>0.34032909229504604</v>
      </c>
    </row>
    <row r="19779" spans="25:26" x14ac:dyDescent="0.25">
      <c r="Y19779" s="63">
        <v>62312</v>
      </c>
      <c r="Z19779" s="61">
        <f>_xll.qlYieldTSDiscount($U$35,Y19779,,Trigger)</f>
        <v>0.34030883078452295</v>
      </c>
    </row>
    <row r="19780" spans="25:26" x14ac:dyDescent="0.25">
      <c r="Y19780" s="63">
        <v>62313</v>
      </c>
      <c r="Z19780" s="61">
        <f>_xll.qlYieldTSDiscount($U$35,Y19780,,Trigger)</f>
        <v>0.34028857006707453</v>
      </c>
    </row>
    <row r="19781" spans="25:26" x14ac:dyDescent="0.25">
      <c r="Y19781" s="63">
        <v>62314</v>
      </c>
      <c r="Z19781" s="61">
        <f>_xll.qlYieldTSDiscount($U$35,Y19781,,Trigger)</f>
        <v>0.34026831014233472</v>
      </c>
    </row>
    <row r="19782" spans="25:26" x14ac:dyDescent="0.25">
      <c r="Y19782" s="63">
        <v>62315</v>
      </c>
      <c r="Z19782" s="61">
        <f>_xll.qlYieldTSDiscount($U$35,Y19782,,Trigger)</f>
        <v>0.34024805100993755</v>
      </c>
    </row>
    <row r="19783" spans="25:26" x14ac:dyDescent="0.25">
      <c r="Y19783" s="63">
        <v>62316</v>
      </c>
      <c r="Z19783" s="61">
        <f>_xll.qlYieldTSDiscount($U$35,Y19783,,Trigger)</f>
        <v>0.34022779266951708</v>
      </c>
    </row>
    <row r="19784" spans="25:26" x14ac:dyDescent="0.25">
      <c r="Y19784" s="63">
        <v>62317</v>
      </c>
      <c r="Z19784" s="61">
        <f>_xll.qlYieldTSDiscount($U$35,Y19784,,Trigger)</f>
        <v>0.34020753512070734</v>
      </c>
    </row>
    <row r="19785" spans="25:26" x14ac:dyDescent="0.25">
      <c r="Y19785" s="63">
        <v>62318</v>
      </c>
      <c r="Z19785" s="61">
        <f>_xll.qlYieldTSDiscount($U$35,Y19785,,Trigger)</f>
        <v>0.34018727836314228</v>
      </c>
    </row>
    <row r="19786" spans="25:26" x14ac:dyDescent="0.25">
      <c r="Y19786" s="63">
        <v>62319</v>
      </c>
      <c r="Z19786" s="61">
        <f>_xll.qlYieldTSDiscount($U$35,Y19786,,Trigger)</f>
        <v>0.34016702239645602</v>
      </c>
    </row>
    <row r="19787" spans="25:26" x14ac:dyDescent="0.25">
      <c r="Y19787" s="63">
        <v>62320</v>
      </c>
      <c r="Z19787" s="61">
        <f>_xll.qlYieldTSDiscount($U$35,Y19787,,Trigger)</f>
        <v>0.34014676722028248</v>
      </c>
    </row>
    <row r="19788" spans="25:26" x14ac:dyDescent="0.25">
      <c r="Y19788" s="63">
        <v>62321</v>
      </c>
      <c r="Z19788" s="61">
        <f>_xll.qlYieldTSDiscount($U$35,Y19788,,Trigger)</f>
        <v>0.34012651283425577</v>
      </c>
    </row>
    <row r="19789" spans="25:26" x14ac:dyDescent="0.25">
      <c r="Y19789" s="63">
        <v>62322</v>
      </c>
      <c r="Z19789" s="61">
        <f>_xll.qlYieldTSDiscount($U$35,Y19789,,Trigger)</f>
        <v>0.34010625923800991</v>
      </c>
    </row>
    <row r="19790" spans="25:26" x14ac:dyDescent="0.25">
      <c r="Y19790" s="63">
        <v>62323</v>
      </c>
      <c r="Z19790" s="61">
        <f>_xll.qlYieldTSDiscount($U$35,Y19790,,Trigger)</f>
        <v>0.34008600643117881</v>
      </c>
    </row>
    <row r="19791" spans="25:26" x14ac:dyDescent="0.25">
      <c r="Y19791" s="63">
        <v>62324</v>
      </c>
      <c r="Z19791" s="61">
        <f>_xll.qlYieldTSDiscount($U$35,Y19791,,Trigger)</f>
        <v>0.34006575441339659</v>
      </c>
    </row>
    <row r="19792" spans="25:26" x14ac:dyDescent="0.25">
      <c r="Y19792" s="63">
        <v>62325</v>
      </c>
      <c r="Z19792" s="61">
        <f>_xll.qlYieldTSDiscount($U$35,Y19792,,Trigger)</f>
        <v>0.34004550318429727</v>
      </c>
    </row>
    <row r="19793" spans="25:26" x14ac:dyDescent="0.25">
      <c r="Y19793" s="63">
        <v>62326</v>
      </c>
      <c r="Z19793" s="61">
        <f>_xll.qlYieldTSDiscount($U$35,Y19793,,Trigger)</f>
        <v>0.34002525274351486</v>
      </c>
    </row>
    <row r="19794" spans="25:26" x14ac:dyDescent="0.25">
      <c r="Y19794" s="63">
        <v>62327</v>
      </c>
      <c r="Z19794" s="61">
        <f>_xll.qlYieldTSDiscount($U$35,Y19794,,Trigger)</f>
        <v>0.34000500309068338</v>
      </c>
    </row>
    <row r="19795" spans="25:26" x14ac:dyDescent="0.25">
      <c r="Y19795" s="63">
        <v>62328</v>
      </c>
      <c r="Z19795" s="61">
        <f>_xll.qlYieldTSDiscount($U$35,Y19795,,Trigger)</f>
        <v>0.33998475422543684</v>
      </c>
    </row>
    <row r="19796" spans="25:26" x14ac:dyDescent="0.25">
      <c r="Y19796" s="63">
        <v>62329</v>
      </c>
      <c r="Z19796" s="61">
        <f>_xll.qlYieldTSDiscount($U$35,Y19796,,Trigger)</f>
        <v>0.33996450614740925</v>
      </c>
    </row>
    <row r="19797" spans="25:26" x14ac:dyDescent="0.25">
      <c r="Y19797" s="63">
        <v>62330</v>
      </c>
      <c r="Z19797" s="61">
        <f>_xll.qlYieldTSDiscount($U$35,Y19797,,Trigger)</f>
        <v>0.33994425885623469</v>
      </c>
    </row>
    <row r="19798" spans="25:26" x14ac:dyDescent="0.25">
      <c r="Y19798" s="63">
        <v>62331</v>
      </c>
      <c r="Z19798" s="61">
        <f>_xll.qlYieldTSDiscount($U$35,Y19798,,Trigger)</f>
        <v>0.33992401235154707</v>
      </c>
    </row>
    <row r="19799" spans="25:26" x14ac:dyDescent="0.25">
      <c r="Y19799" s="63">
        <v>62332</v>
      </c>
      <c r="Z19799" s="61">
        <f>_xll.qlYieldTSDiscount($U$35,Y19799,,Trigger)</f>
        <v>0.33990376663298061</v>
      </c>
    </row>
    <row r="19800" spans="25:26" x14ac:dyDescent="0.25">
      <c r="Y19800" s="63">
        <v>62333</v>
      </c>
      <c r="Z19800" s="61">
        <f>_xll.qlYieldTSDiscount($U$35,Y19800,,Trigger)</f>
        <v>0.33988352170016906</v>
      </c>
    </row>
    <row r="19801" spans="25:26" x14ac:dyDescent="0.25">
      <c r="Y19801" s="63">
        <v>62334</v>
      </c>
      <c r="Z19801" s="61">
        <f>_xll.qlYieldTSDiscount($U$35,Y19801,,Trigger)</f>
        <v>0.3398632775527467</v>
      </c>
    </row>
    <row r="19802" spans="25:26" x14ac:dyDescent="0.25">
      <c r="Y19802" s="63">
        <v>62335</v>
      </c>
      <c r="Z19802" s="61">
        <f>_xll.qlYieldTSDiscount($U$35,Y19802,,Trigger)</f>
        <v>0.33984303419034739</v>
      </c>
    </row>
    <row r="19803" spans="25:26" x14ac:dyDescent="0.25">
      <c r="Y19803" s="63">
        <v>62336</v>
      </c>
      <c r="Z19803" s="61">
        <f>_xll.qlYieldTSDiscount($U$35,Y19803,,Trigger)</f>
        <v>0.33982279161260526</v>
      </c>
    </row>
    <row r="19804" spans="25:26" x14ac:dyDescent="0.25">
      <c r="Y19804" s="63">
        <v>62337</v>
      </c>
      <c r="Z19804" s="61">
        <f>_xll.qlYieldTSDiscount($U$35,Y19804,,Trigger)</f>
        <v>0.3398025498191542</v>
      </c>
    </row>
    <row r="19805" spans="25:26" x14ac:dyDescent="0.25">
      <c r="Y19805" s="63">
        <v>62338</v>
      </c>
      <c r="Z19805" s="61">
        <f>_xll.qlYieldTSDiscount($U$35,Y19805,,Trigger)</f>
        <v>0.33978230880962834</v>
      </c>
    </row>
    <row r="19806" spans="25:26" x14ac:dyDescent="0.25">
      <c r="Y19806" s="63">
        <v>62339</v>
      </c>
      <c r="Z19806" s="61">
        <f>_xll.qlYieldTSDiscount($U$35,Y19806,,Trigger)</f>
        <v>0.33976206858366165</v>
      </c>
    </row>
    <row r="19807" spans="25:26" x14ac:dyDescent="0.25">
      <c r="Y19807" s="63">
        <v>62340</v>
      </c>
      <c r="Z19807" s="61">
        <f>_xll.qlYieldTSDiscount($U$35,Y19807,,Trigger)</f>
        <v>0.33974182914088813</v>
      </c>
    </row>
    <row r="19808" spans="25:26" x14ac:dyDescent="0.25">
      <c r="Y19808" s="63">
        <v>62341</v>
      </c>
      <c r="Z19808" s="61">
        <f>_xll.qlYieldTSDiscount($U$35,Y19808,,Trigger)</f>
        <v>0.33972159048094192</v>
      </c>
    </row>
    <row r="19809" spans="25:26" x14ac:dyDescent="0.25">
      <c r="Y19809" s="63">
        <v>62342</v>
      </c>
      <c r="Z19809" s="61">
        <f>_xll.qlYieldTSDiscount($U$35,Y19809,,Trigger)</f>
        <v>0.33970135260345696</v>
      </c>
    </row>
    <row r="19810" spans="25:26" x14ac:dyDescent="0.25">
      <c r="Y19810" s="63">
        <v>62343</v>
      </c>
      <c r="Z19810" s="61">
        <f>_xll.qlYieldTSDiscount($U$35,Y19810,,Trigger)</f>
        <v>0.33968111550806723</v>
      </c>
    </row>
    <row r="19811" spans="25:26" x14ac:dyDescent="0.25">
      <c r="Y19811" s="63">
        <v>62344</v>
      </c>
      <c r="Z19811" s="61">
        <f>_xll.qlYieldTSDiscount($U$35,Y19811,,Trigger)</f>
        <v>0.3396608791944068</v>
      </c>
    </row>
    <row r="19812" spans="25:26" x14ac:dyDescent="0.25">
      <c r="Y19812" s="63">
        <v>62345</v>
      </c>
      <c r="Z19812" s="61">
        <f>_xll.qlYieldTSDiscount($U$35,Y19812,,Trigger)</f>
        <v>0.33964064366210978</v>
      </c>
    </row>
    <row r="19813" spans="25:26" x14ac:dyDescent="0.25">
      <c r="Y19813" s="63">
        <v>62346</v>
      </c>
      <c r="Z19813" s="61">
        <f>_xll.qlYieldTSDiscount($U$35,Y19813,,Trigger)</f>
        <v>0.33962040891080997</v>
      </c>
    </row>
    <row r="19814" spans="25:26" x14ac:dyDescent="0.25">
      <c r="Y19814" s="63">
        <v>62347</v>
      </c>
      <c r="Z19814" s="61">
        <f>_xll.qlYieldTSDiscount($U$35,Y19814,,Trigger)</f>
        <v>0.33960017494014161</v>
      </c>
    </row>
    <row r="19815" spans="25:26" x14ac:dyDescent="0.25">
      <c r="Y19815" s="63">
        <v>62348</v>
      </c>
      <c r="Z19815" s="61">
        <f>_xll.qlYieldTSDiscount($U$35,Y19815,,Trigger)</f>
        <v>0.3395799417497386</v>
      </c>
    </row>
    <row r="19816" spans="25:26" x14ac:dyDescent="0.25">
      <c r="Y19816" s="63">
        <v>62349</v>
      </c>
      <c r="Z19816" s="61">
        <f>_xll.qlYieldTSDiscount($U$35,Y19816,,Trigger)</f>
        <v>0.33955970933923496</v>
      </c>
    </row>
    <row r="19817" spans="25:26" x14ac:dyDescent="0.25">
      <c r="Y19817" s="63">
        <v>62350</v>
      </c>
      <c r="Z19817" s="61">
        <f>_xll.qlYieldTSDiscount($U$35,Y19817,,Trigger)</f>
        <v>0.33953947770826481</v>
      </c>
    </row>
    <row r="19818" spans="25:26" x14ac:dyDescent="0.25">
      <c r="Y19818" s="63">
        <v>62351</v>
      </c>
      <c r="Z19818" s="61">
        <f>_xll.qlYieldTSDiscount($U$35,Y19818,,Trigger)</f>
        <v>0.33951924685646212</v>
      </c>
    </row>
    <row r="19819" spans="25:26" x14ac:dyDescent="0.25">
      <c r="Y19819" s="63">
        <v>62352</v>
      </c>
      <c r="Z19819" s="61">
        <f>_xll.qlYieldTSDiscount($U$35,Y19819,,Trigger)</f>
        <v>0.33949901678346089</v>
      </c>
    </row>
    <row r="19820" spans="25:26" x14ac:dyDescent="0.25">
      <c r="Y19820" s="63">
        <v>62353</v>
      </c>
      <c r="Z19820" s="61">
        <f>_xll.qlYieldTSDiscount($U$35,Y19820,,Trigger)</f>
        <v>0.3394787874888951</v>
      </c>
    </row>
    <row r="19821" spans="25:26" x14ac:dyDescent="0.25">
      <c r="Y19821" s="63">
        <v>62354</v>
      </c>
      <c r="Z19821" s="61">
        <f>_xll.qlYieldTSDiscount($U$35,Y19821,,Trigger)</f>
        <v>0.33945855897239896</v>
      </c>
    </row>
    <row r="19822" spans="25:26" x14ac:dyDescent="0.25">
      <c r="Y19822" s="63">
        <v>62355</v>
      </c>
      <c r="Z19822" s="61">
        <f>_xll.qlYieldTSDiscount($U$35,Y19822,,Trigger)</f>
        <v>0.33943833123360617</v>
      </c>
    </row>
    <row r="19823" spans="25:26" x14ac:dyDescent="0.25">
      <c r="Y19823" s="63">
        <v>62356</v>
      </c>
      <c r="Z19823" s="61">
        <f>_xll.qlYieldTSDiscount($U$35,Y19823,,Trigger)</f>
        <v>0.33941810427215108</v>
      </c>
    </row>
    <row r="19824" spans="25:26" x14ac:dyDescent="0.25">
      <c r="Y19824" s="63">
        <v>62357</v>
      </c>
      <c r="Z19824" s="61">
        <f>_xll.qlYieldTSDiscount($U$35,Y19824,,Trigger)</f>
        <v>0.33939787808766753</v>
      </c>
    </row>
    <row r="19825" spans="25:26" x14ac:dyDescent="0.25">
      <c r="Y19825" s="63">
        <v>62358</v>
      </c>
      <c r="Z19825" s="61">
        <f>_xll.qlYieldTSDiscount($U$35,Y19825,,Trigger)</f>
        <v>0.33937765267978959</v>
      </c>
    </row>
    <row r="19826" spans="25:26" x14ac:dyDescent="0.25">
      <c r="Y19826" s="63">
        <v>62359</v>
      </c>
      <c r="Z19826" s="61">
        <f>_xll.qlYieldTSDiscount($U$35,Y19826,,Trigger)</f>
        <v>0.33935742804815122</v>
      </c>
    </row>
    <row r="19827" spans="25:26" x14ac:dyDescent="0.25">
      <c r="Y19827" s="63">
        <v>62360</v>
      </c>
      <c r="Z19827" s="61">
        <f>_xll.qlYieldTSDiscount($U$35,Y19827,,Trigger)</f>
        <v>0.3393372041923865</v>
      </c>
    </row>
    <row r="19828" spans="25:26" x14ac:dyDescent="0.25">
      <c r="Y19828" s="63">
        <v>62361</v>
      </c>
      <c r="Z19828" s="61">
        <f>_xll.qlYieldTSDiscount($U$35,Y19828,,Trigger)</f>
        <v>0.33931698111212955</v>
      </c>
    </row>
    <row r="19829" spans="25:26" x14ac:dyDescent="0.25">
      <c r="Y19829" s="63">
        <v>62362</v>
      </c>
      <c r="Z19829" s="61">
        <f>_xll.qlYieldTSDiscount($U$35,Y19829,,Trigger)</f>
        <v>0.33929675880701421</v>
      </c>
    </row>
    <row r="19830" spans="25:26" x14ac:dyDescent="0.25">
      <c r="Y19830" s="63">
        <v>62363</v>
      </c>
      <c r="Z19830" s="61">
        <f>_xll.qlYieldTSDiscount($U$35,Y19830,,Trigger)</f>
        <v>0.33927653727667456</v>
      </c>
    </row>
    <row r="19831" spans="25:26" x14ac:dyDescent="0.25">
      <c r="Y19831" s="63">
        <v>62364</v>
      </c>
      <c r="Z19831" s="61">
        <f>_xll.qlYieldTSDiscount($U$35,Y19831,,Trigger)</f>
        <v>0.33925631652074478</v>
      </c>
    </row>
    <row r="19832" spans="25:26" x14ac:dyDescent="0.25">
      <c r="Y19832" s="63">
        <v>62365</v>
      </c>
      <c r="Z19832" s="61">
        <f>_xll.qlYieldTSDiscount($U$35,Y19832,,Trigger)</f>
        <v>0.33923609653885867</v>
      </c>
    </row>
    <row r="19833" spans="25:26" x14ac:dyDescent="0.25">
      <c r="Y19833" s="63">
        <v>62366</v>
      </c>
      <c r="Z19833" s="61">
        <f>_xll.qlYieldTSDiscount($U$35,Y19833,,Trigger)</f>
        <v>0.33921587733065028</v>
      </c>
    </row>
    <row r="19834" spans="25:26" x14ac:dyDescent="0.25">
      <c r="Y19834" s="63">
        <v>62367</v>
      </c>
      <c r="Z19834" s="61">
        <f>_xll.qlYieldTSDiscount($U$35,Y19834,,Trigger)</f>
        <v>0.3391956588957537</v>
      </c>
    </row>
    <row r="19835" spans="25:26" x14ac:dyDescent="0.25">
      <c r="Y19835" s="63">
        <v>62368</v>
      </c>
      <c r="Z19835" s="61">
        <f>_xll.qlYieldTSDiscount($U$35,Y19835,,Trigger)</f>
        <v>0.33917544123380305</v>
      </c>
    </row>
    <row r="19836" spans="25:26" x14ac:dyDescent="0.25">
      <c r="Y19836" s="63">
        <v>62369</v>
      </c>
      <c r="Z19836" s="61">
        <f>_xll.qlYieldTSDiscount($U$35,Y19836,,Trigger)</f>
        <v>0.33915522434443218</v>
      </c>
    </row>
    <row r="19837" spans="25:26" x14ac:dyDescent="0.25">
      <c r="Y19837" s="63">
        <v>62370</v>
      </c>
      <c r="Z19837" s="61">
        <f>_xll.qlYieldTSDiscount($U$35,Y19837,,Trigger)</f>
        <v>0.3391350082272751</v>
      </c>
    </row>
    <row r="19838" spans="25:26" x14ac:dyDescent="0.25">
      <c r="Y19838" s="63">
        <v>62371</v>
      </c>
      <c r="Z19838" s="61">
        <f>_xll.qlYieldTSDiscount($U$35,Y19838,,Trigger)</f>
        <v>0.33911479288196605</v>
      </c>
    </row>
    <row r="19839" spans="25:26" x14ac:dyDescent="0.25">
      <c r="Y19839" s="63">
        <v>62372</v>
      </c>
      <c r="Z19839" s="61">
        <f>_xll.qlYieldTSDiscount($U$35,Y19839,,Trigger)</f>
        <v>0.33909457830813883</v>
      </c>
    </row>
    <row r="19840" spans="25:26" x14ac:dyDescent="0.25">
      <c r="Y19840" s="63">
        <v>62373</v>
      </c>
      <c r="Z19840" s="61">
        <f>_xll.qlYieldTSDiscount($U$35,Y19840,,Trigger)</f>
        <v>0.33907436450542755</v>
      </c>
    </row>
    <row r="19841" spans="25:26" x14ac:dyDescent="0.25">
      <c r="Y19841" s="63">
        <v>62374</v>
      </c>
      <c r="Z19841" s="61">
        <f>_xll.qlYieldTSDiscount($U$35,Y19841,,Trigger)</f>
        <v>0.33905415147346618</v>
      </c>
    </row>
    <row r="19842" spans="25:26" x14ac:dyDescent="0.25">
      <c r="Y19842" s="63">
        <v>62375</v>
      </c>
      <c r="Z19842" s="61">
        <f>_xll.qlYieldTSDiscount($U$35,Y19842,,Trigger)</f>
        <v>0.33903393921188885</v>
      </c>
    </row>
    <row r="19843" spans="25:26" x14ac:dyDescent="0.25">
      <c r="Y19843" s="63">
        <v>62376</v>
      </c>
      <c r="Z19843" s="61">
        <f>_xll.qlYieldTSDiscount($U$35,Y19843,,Trigger)</f>
        <v>0.33901372772032951</v>
      </c>
    </row>
    <row r="19844" spans="25:26" x14ac:dyDescent="0.25">
      <c r="Y19844" s="63">
        <v>62377</v>
      </c>
      <c r="Z19844" s="61">
        <f>_xll.qlYieldTSDiscount($U$35,Y19844,,Trigger)</f>
        <v>0.33899351699842217</v>
      </c>
    </row>
    <row r="19845" spans="25:26" x14ac:dyDescent="0.25">
      <c r="Y19845" s="63">
        <v>62378</v>
      </c>
      <c r="Z19845" s="61">
        <f>_xll.qlYieldTSDiscount($U$35,Y19845,,Trigger)</f>
        <v>0.33897330704580086</v>
      </c>
    </row>
    <row r="19846" spans="25:26" x14ac:dyDescent="0.25">
      <c r="Y19846" s="63">
        <v>62379</v>
      </c>
      <c r="Z19846" s="61">
        <f>_xll.qlYieldTSDiscount($U$35,Y19846,,Trigger)</f>
        <v>0.33895309786209959</v>
      </c>
    </row>
    <row r="19847" spans="25:26" x14ac:dyDescent="0.25">
      <c r="Y19847" s="63">
        <v>62380</v>
      </c>
      <c r="Z19847" s="61">
        <f>_xll.qlYieldTSDiscount($U$35,Y19847,,Trigger)</f>
        <v>0.33893288944695255</v>
      </c>
    </row>
    <row r="19848" spans="25:26" x14ac:dyDescent="0.25">
      <c r="Y19848" s="63">
        <v>62381</v>
      </c>
      <c r="Z19848" s="61">
        <f>_xll.qlYieldTSDiscount($U$35,Y19848,,Trigger)</f>
        <v>0.33891268179999345</v>
      </c>
    </row>
    <row r="19849" spans="25:26" x14ac:dyDescent="0.25">
      <c r="Y19849" s="63">
        <v>62382</v>
      </c>
      <c r="Z19849" s="61">
        <f>_xll.qlYieldTSDiscount($U$35,Y19849,,Trigger)</f>
        <v>0.33889247492085656</v>
      </c>
    </row>
    <row r="19850" spans="25:26" x14ac:dyDescent="0.25">
      <c r="Y19850" s="63">
        <v>62383</v>
      </c>
      <c r="Z19850" s="61">
        <f>_xll.qlYieldTSDiscount($U$35,Y19850,,Trigger)</f>
        <v>0.33887226880917581</v>
      </c>
    </row>
    <row r="19851" spans="25:26" x14ac:dyDescent="0.25">
      <c r="Y19851" s="63">
        <v>62384</v>
      </c>
      <c r="Z19851" s="61">
        <f>_xll.qlYieldTSDiscount($U$35,Y19851,,Trigger)</f>
        <v>0.33885206346458518</v>
      </c>
    </row>
    <row r="19852" spans="25:26" x14ac:dyDescent="0.25">
      <c r="Y19852" s="63">
        <v>62385</v>
      </c>
      <c r="Z19852" s="61">
        <f>_xll.qlYieldTSDiscount($U$35,Y19852,,Trigger)</f>
        <v>0.3388318588867188</v>
      </c>
    </row>
    <row r="19853" spans="25:26" x14ac:dyDescent="0.25">
      <c r="Y19853" s="63">
        <v>62386</v>
      </c>
      <c r="Z19853" s="61">
        <f>_xll.qlYieldTSDiscount($U$35,Y19853,,Trigger)</f>
        <v>0.3388116550752106</v>
      </c>
    </row>
    <row r="19854" spans="25:26" x14ac:dyDescent="0.25">
      <c r="Y19854" s="63">
        <v>62387</v>
      </c>
      <c r="Z19854" s="61">
        <f>_xll.qlYieldTSDiscount($U$35,Y19854,,Trigger)</f>
        <v>0.33879145202969468</v>
      </c>
    </row>
    <row r="19855" spans="25:26" x14ac:dyDescent="0.25">
      <c r="Y19855" s="63">
        <v>62388</v>
      </c>
      <c r="Z19855" s="61">
        <f>_xll.qlYieldTSDiscount($U$35,Y19855,,Trigger)</f>
        <v>0.33877124974980505</v>
      </c>
    </row>
    <row r="19856" spans="25:26" x14ac:dyDescent="0.25">
      <c r="Y19856" s="63">
        <v>62389</v>
      </c>
      <c r="Z19856" s="61">
        <f>_xll.qlYieldTSDiscount($U$35,Y19856,,Trigger)</f>
        <v>0.33875104823517554</v>
      </c>
    </row>
    <row r="19857" spans="25:26" x14ac:dyDescent="0.25">
      <c r="Y19857" s="63">
        <v>62390</v>
      </c>
      <c r="Z19857" s="61">
        <f>_xll.qlYieldTSDiscount($U$35,Y19857,,Trigger)</f>
        <v>0.33873084748544052</v>
      </c>
    </row>
    <row r="19858" spans="25:26" x14ac:dyDescent="0.25">
      <c r="Y19858" s="63">
        <v>62391</v>
      </c>
      <c r="Z19858" s="61">
        <f>_xll.qlYieldTSDiscount($U$35,Y19858,,Trigger)</f>
        <v>0.33871064750023372</v>
      </c>
    </row>
    <row r="19859" spans="25:26" x14ac:dyDescent="0.25">
      <c r="Y19859" s="63">
        <v>62392</v>
      </c>
      <c r="Z19859" s="61">
        <f>_xll.qlYieldTSDiscount($U$35,Y19859,,Trigger)</f>
        <v>0.33869044827918926</v>
      </c>
    </row>
    <row r="19860" spans="25:26" x14ac:dyDescent="0.25">
      <c r="Y19860" s="63">
        <v>62393</v>
      </c>
      <c r="Z19860" s="61">
        <f>_xll.qlYieldTSDiscount($U$35,Y19860,,Trigger)</f>
        <v>0.33867024982194127</v>
      </c>
    </row>
    <row r="19861" spans="25:26" x14ac:dyDescent="0.25">
      <c r="Y19861" s="63">
        <v>62394</v>
      </c>
      <c r="Z19861" s="61">
        <f>_xll.qlYieldTSDiscount($U$35,Y19861,,Trigger)</f>
        <v>0.3386500521281236</v>
      </c>
    </row>
    <row r="19862" spans="25:26" x14ac:dyDescent="0.25">
      <c r="Y19862" s="63">
        <v>62395</v>
      </c>
      <c r="Z19862" s="61">
        <f>_xll.qlYieldTSDiscount($U$35,Y19862,,Trigger)</f>
        <v>0.33862985519737032</v>
      </c>
    </row>
    <row r="19863" spans="25:26" x14ac:dyDescent="0.25">
      <c r="Y19863" s="63">
        <v>62396</v>
      </c>
      <c r="Z19863" s="61">
        <f>_xll.qlYieldTSDiscount($U$35,Y19863,,Trigger)</f>
        <v>0.3386096590293155</v>
      </c>
    </row>
    <row r="19864" spans="25:26" x14ac:dyDescent="0.25">
      <c r="Y19864" s="63">
        <v>62397</v>
      </c>
      <c r="Z19864" s="61">
        <f>_xll.qlYieldTSDiscount($U$35,Y19864,,Trigger)</f>
        <v>0.33858946362359316</v>
      </c>
    </row>
    <row r="19865" spans="25:26" x14ac:dyDescent="0.25">
      <c r="Y19865" s="63">
        <v>62398</v>
      </c>
      <c r="Z19865" s="61">
        <f>_xll.qlYieldTSDiscount($U$35,Y19865,,Trigger)</f>
        <v>0.33856926897983725</v>
      </c>
    </row>
    <row r="19866" spans="25:26" x14ac:dyDescent="0.25">
      <c r="Y19866" s="63">
        <v>62399</v>
      </c>
      <c r="Z19866" s="61">
        <f>_xll.qlYieldTSDiscount($U$35,Y19866,,Trigger)</f>
        <v>0.3385490750976819</v>
      </c>
    </row>
    <row r="19867" spans="25:26" x14ac:dyDescent="0.25">
      <c r="Y19867" s="63">
        <v>62400</v>
      </c>
      <c r="Z19867" s="61">
        <f>_xll.qlYieldTSDiscount($U$35,Y19867,,Trigger)</f>
        <v>0.33852888197676101</v>
      </c>
    </row>
    <row r="19868" spans="25:26" x14ac:dyDescent="0.25">
      <c r="Y19868" s="63">
        <v>62401</v>
      </c>
      <c r="Z19868" s="61">
        <f>_xll.qlYieldTSDiscount($U$35,Y19868,,Trigger)</f>
        <v>0.33850868961670866</v>
      </c>
    </row>
    <row r="19869" spans="25:26" x14ac:dyDescent="0.25">
      <c r="Y19869" s="63">
        <v>62402</v>
      </c>
      <c r="Z19869" s="61">
        <f>_xll.qlYieldTSDiscount($U$35,Y19869,,Trigger)</f>
        <v>0.33848849801715886</v>
      </c>
    </row>
    <row r="19870" spans="25:26" x14ac:dyDescent="0.25">
      <c r="Y19870" s="63">
        <v>62403</v>
      </c>
      <c r="Z19870" s="61">
        <f>_xll.qlYieldTSDiscount($U$35,Y19870,,Trigger)</f>
        <v>0.33846830717774573</v>
      </c>
    </row>
    <row r="19871" spans="25:26" x14ac:dyDescent="0.25">
      <c r="Y19871" s="63">
        <v>62404</v>
      </c>
      <c r="Z19871" s="61">
        <f>_xll.qlYieldTSDiscount($U$35,Y19871,,Trigger)</f>
        <v>0.33844811709810319</v>
      </c>
    </row>
    <row r="19872" spans="25:26" x14ac:dyDescent="0.25">
      <c r="Y19872" s="63">
        <v>62405</v>
      </c>
      <c r="Z19872" s="61">
        <f>_xll.qlYieldTSDiscount($U$35,Y19872,,Trigger)</f>
        <v>0.33842792777786523</v>
      </c>
    </row>
    <row r="19873" spans="25:26" x14ac:dyDescent="0.25">
      <c r="Y19873" s="63">
        <v>62406</v>
      </c>
      <c r="Z19873" s="61">
        <f>_xll.qlYieldTSDiscount($U$35,Y19873,,Trigger)</f>
        <v>0.338407739216666</v>
      </c>
    </row>
    <row r="19874" spans="25:26" x14ac:dyDescent="0.25">
      <c r="Y19874" s="63">
        <v>62407</v>
      </c>
      <c r="Z19874" s="61">
        <f>_xll.qlYieldTSDiscount($U$35,Y19874,,Trigger)</f>
        <v>0.33838755141413934</v>
      </c>
    </row>
    <row r="19875" spans="25:26" x14ac:dyDescent="0.25">
      <c r="Y19875" s="63">
        <v>62408</v>
      </c>
      <c r="Z19875" s="61">
        <f>_xll.qlYieldTSDiscount($U$35,Y19875,,Trigger)</f>
        <v>0.33836736436991943</v>
      </c>
    </row>
    <row r="19876" spans="25:26" x14ac:dyDescent="0.25">
      <c r="Y19876" s="63">
        <v>62409</v>
      </c>
      <c r="Z19876" s="61">
        <f>_xll.qlYieldTSDiscount($U$35,Y19876,,Trigger)</f>
        <v>0.33834717808364029</v>
      </c>
    </row>
    <row r="19877" spans="25:26" x14ac:dyDescent="0.25">
      <c r="Y19877" s="63">
        <v>62410</v>
      </c>
      <c r="Z19877" s="61">
        <f>_xll.qlYieldTSDiscount($U$35,Y19877,,Trigger)</f>
        <v>0.33832699255493581</v>
      </c>
    </row>
    <row r="19878" spans="25:26" x14ac:dyDescent="0.25">
      <c r="Y19878" s="63">
        <v>62411</v>
      </c>
      <c r="Z19878" s="61">
        <f>_xll.qlYieldTSDiscount($U$35,Y19878,,Trigger)</f>
        <v>0.33830680778344013</v>
      </c>
    </row>
    <row r="19879" spans="25:26" x14ac:dyDescent="0.25">
      <c r="Y19879" s="63">
        <v>62412</v>
      </c>
      <c r="Z19879" s="61">
        <f>_xll.qlYieldTSDiscount($U$35,Y19879,,Trigger)</f>
        <v>0.33828662376878726</v>
      </c>
    </row>
    <row r="19880" spans="25:26" x14ac:dyDescent="0.25">
      <c r="Y19880" s="63">
        <v>62413</v>
      </c>
      <c r="Z19880" s="61">
        <f>_xll.qlYieldTSDiscount($U$35,Y19880,,Trigger)</f>
        <v>0.33826644051061117</v>
      </c>
    </row>
    <row r="19881" spans="25:26" x14ac:dyDescent="0.25">
      <c r="Y19881" s="63">
        <v>62414</v>
      </c>
      <c r="Z19881" s="61">
        <f>_xll.qlYieldTSDiscount($U$35,Y19881,,Trigger)</f>
        <v>0.33824625800854591</v>
      </c>
    </row>
    <row r="19882" spans="25:26" x14ac:dyDescent="0.25">
      <c r="Y19882" s="63">
        <v>62415</v>
      </c>
      <c r="Z19882" s="61">
        <f>_xll.qlYieldTSDiscount($U$35,Y19882,,Trigger)</f>
        <v>0.33822607626222545</v>
      </c>
    </row>
    <row r="19883" spans="25:26" x14ac:dyDescent="0.25">
      <c r="Y19883" s="63">
        <v>62416</v>
      </c>
      <c r="Z19883" s="61">
        <f>_xll.qlYieldTSDiscount($U$35,Y19883,,Trigger)</f>
        <v>0.33820589527128397</v>
      </c>
    </row>
    <row r="19884" spans="25:26" x14ac:dyDescent="0.25">
      <c r="Y19884" s="63">
        <v>62417</v>
      </c>
      <c r="Z19884" s="61">
        <f>_xll.qlYieldTSDiscount($U$35,Y19884,,Trigger)</f>
        <v>0.33818571503535527</v>
      </c>
    </row>
    <row r="19885" spans="25:26" x14ac:dyDescent="0.25">
      <c r="Y19885" s="63">
        <v>62418</v>
      </c>
      <c r="Z19885" s="61">
        <f>_xll.qlYieldTSDiscount($U$35,Y19885,,Trigger)</f>
        <v>0.33816553555407353</v>
      </c>
    </row>
    <row r="19886" spans="25:26" x14ac:dyDescent="0.25">
      <c r="Y19886" s="63">
        <v>62419</v>
      </c>
      <c r="Z19886" s="61">
        <f>_xll.qlYieldTSDiscount($U$35,Y19886,,Trigger)</f>
        <v>0.33814535682707275</v>
      </c>
    </row>
    <row r="19887" spans="25:26" x14ac:dyDescent="0.25">
      <c r="Y19887" s="63">
        <v>62420</v>
      </c>
      <c r="Z19887" s="61">
        <f>_xll.qlYieldTSDiscount($U$35,Y19887,,Trigger)</f>
        <v>0.33812517885398691</v>
      </c>
    </row>
    <row r="19888" spans="25:26" x14ac:dyDescent="0.25">
      <c r="Y19888" s="63">
        <v>62421</v>
      </c>
      <c r="Z19888" s="61">
        <f>_xll.qlYieldTSDiscount($U$35,Y19888,,Trigger)</f>
        <v>0.33810500163445001</v>
      </c>
    </row>
    <row r="19889" spans="25:26" x14ac:dyDescent="0.25">
      <c r="Y19889" s="63">
        <v>62422</v>
      </c>
      <c r="Z19889" s="61">
        <f>_xll.qlYieldTSDiscount($U$35,Y19889,,Trigger)</f>
        <v>0.33808482516809624</v>
      </c>
    </row>
    <row r="19890" spans="25:26" x14ac:dyDescent="0.25">
      <c r="Y19890" s="63">
        <v>62423</v>
      </c>
      <c r="Z19890" s="61">
        <f>_xll.qlYieldTSDiscount($U$35,Y19890,,Trigger)</f>
        <v>0.33806464945455938</v>
      </c>
    </row>
    <row r="19891" spans="25:26" x14ac:dyDescent="0.25">
      <c r="Y19891" s="63">
        <v>62424</v>
      </c>
      <c r="Z19891" s="61">
        <f>_xll.qlYieldTSDiscount($U$35,Y19891,,Trigger)</f>
        <v>0.33804447449347358</v>
      </c>
    </row>
    <row r="19892" spans="25:26" x14ac:dyDescent="0.25">
      <c r="Y19892" s="63">
        <v>62425</v>
      </c>
      <c r="Z19892" s="61">
        <f>_xll.qlYieldTSDiscount($U$35,Y19892,,Trigger)</f>
        <v>0.33802430028447289</v>
      </c>
    </row>
    <row r="19893" spans="25:26" x14ac:dyDescent="0.25">
      <c r="Y19893" s="63">
        <v>62426</v>
      </c>
      <c r="Z19893" s="61">
        <f>_xll.qlYieldTSDiscount($U$35,Y19893,,Trigger)</f>
        <v>0.33800412682719122</v>
      </c>
    </row>
    <row r="19894" spans="25:26" x14ac:dyDescent="0.25">
      <c r="Y19894" s="63">
        <v>62427</v>
      </c>
      <c r="Z19894" s="61">
        <f>_xll.qlYieldTSDiscount($U$35,Y19894,,Trigger)</f>
        <v>0.3379839541212627</v>
      </c>
    </row>
    <row r="19895" spans="25:26" x14ac:dyDescent="0.25">
      <c r="Y19895" s="63">
        <v>62428</v>
      </c>
      <c r="Z19895" s="61">
        <f>_xll.qlYieldTSDiscount($U$35,Y19895,,Trigger)</f>
        <v>0.33796378216632134</v>
      </c>
    </row>
    <row r="19896" spans="25:26" x14ac:dyDescent="0.25">
      <c r="Y19896" s="63">
        <v>62429</v>
      </c>
      <c r="Z19896" s="61">
        <f>_xll.qlYieldTSDiscount($U$35,Y19896,,Trigger)</f>
        <v>0.3379436109620011</v>
      </c>
    </row>
    <row r="19897" spans="25:26" x14ac:dyDescent="0.25">
      <c r="Y19897" s="63">
        <v>62430</v>
      </c>
      <c r="Z19897" s="61">
        <f>_xll.qlYieldTSDiscount($U$35,Y19897,,Trigger)</f>
        <v>0.33792344050793605</v>
      </c>
    </row>
    <row r="19898" spans="25:26" x14ac:dyDescent="0.25">
      <c r="Y19898" s="63">
        <v>62431</v>
      </c>
      <c r="Z19898" s="61">
        <f>_xll.qlYieldTSDiscount($U$35,Y19898,,Trigger)</f>
        <v>0.3379032708037602</v>
      </c>
    </row>
    <row r="19899" spans="25:26" x14ac:dyDescent="0.25">
      <c r="Y19899" s="63">
        <v>62432</v>
      </c>
      <c r="Z19899" s="61">
        <f>_xll.qlYieldTSDiscount($U$35,Y19899,,Trigger)</f>
        <v>0.33788310184910764</v>
      </c>
    </row>
    <row r="19900" spans="25:26" x14ac:dyDescent="0.25">
      <c r="Y19900" s="63">
        <v>62433</v>
      </c>
      <c r="Z19900" s="61">
        <f>_xll.qlYieldTSDiscount($U$35,Y19900,,Trigger)</f>
        <v>0.3378629336436122</v>
      </c>
    </row>
    <row r="19901" spans="25:26" x14ac:dyDescent="0.25">
      <c r="Y19901" s="63">
        <v>62434</v>
      </c>
      <c r="Z19901" s="61">
        <f>_xll.qlYieldTSDiscount($U$35,Y19901,,Trigger)</f>
        <v>0.33784276618690806</v>
      </c>
    </row>
    <row r="19902" spans="25:26" x14ac:dyDescent="0.25">
      <c r="Y19902" s="63">
        <v>62435</v>
      </c>
      <c r="Z19902" s="61">
        <f>_xll.qlYieldTSDiscount($U$35,Y19902,,Trigger)</f>
        <v>0.33782259947862925</v>
      </c>
    </row>
    <row r="19903" spans="25:26" x14ac:dyDescent="0.25">
      <c r="Y19903" s="63">
        <v>62436</v>
      </c>
      <c r="Z19903" s="61">
        <f>_xll.qlYieldTSDiscount($U$35,Y19903,,Trigger)</f>
        <v>0.33780243351840977</v>
      </c>
    </row>
    <row r="19904" spans="25:26" x14ac:dyDescent="0.25">
      <c r="Y19904" s="63">
        <v>62437</v>
      </c>
      <c r="Z19904" s="61">
        <f>_xll.qlYieldTSDiscount($U$35,Y19904,,Trigger)</f>
        <v>0.33778226830588354</v>
      </c>
    </row>
    <row r="19905" spans="25:26" x14ac:dyDescent="0.25">
      <c r="Y19905" s="63">
        <v>62438</v>
      </c>
      <c r="Z19905" s="61">
        <f>_xll.qlYieldTSDiscount($U$35,Y19905,,Trigger)</f>
        <v>0.33776210384068472</v>
      </c>
    </row>
    <row r="19906" spans="25:26" x14ac:dyDescent="0.25">
      <c r="Y19906" s="63">
        <v>62439</v>
      </c>
      <c r="Z19906" s="61">
        <f>_xll.qlYieldTSDiscount($U$35,Y19906,,Trigger)</f>
        <v>0.33774194012244729</v>
      </c>
    </row>
    <row r="19907" spans="25:26" x14ac:dyDescent="0.25">
      <c r="Y19907" s="63">
        <v>62440</v>
      </c>
      <c r="Z19907" s="61">
        <f>_xll.qlYieldTSDiscount($U$35,Y19907,,Trigger)</f>
        <v>0.3377217771508052</v>
      </c>
    </row>
    <row r="19908" spans="25:26" x14ac:dyDescent="0.25">
      <c r="Y19908" s="63">
        <v>62441</v>
      </c>
      <c r="Z19908" s="61">
        <f>_xll.qlYieldTSDiscount($U$35,Y19908,,Trigger)</f>
        <v>0.33770161492539252</v>
      </c>
    </row>
    <row r="19909" spans="25:26" x14ac:dyDescent="0.25">
      <c r="Y19909" s="63">
        <v>62442</v>
      </c>
      <c r="Z19909" s="61">
        <f>_xll.qlYieldTSDiscount($U$35,Y19909,,Trigger)</f>
        <v>0.33768145344584333</v>
      </c>
    </row>
    <row r="19910" spans="25:26" x14ac:dyDescent="0.25">
      <c r="Y19910" s="63">
        <v>62443</v>
      </c>
      <c r="Z19910" s="61">
        <f>_xll.qlYieldTSDiscount($U$35,Y19910,,Trigger)</f>
        <v>0.33766129271179152</v>
      </c>
    </row>
    <row r="19911" spans="25:26" x14ac:dyDescent="0.25">
      <c r="Y19911" s="63">
        <v>62444</v>
      </c>
      <c r="Z19911" s="61">
        <f>_xll.qlYieldTSDiscount($U$35,Y19911,,Trigger)</f>
        <v>0.33764113272287138</v>
      </c>
    </row>
    <row r="19912" spans="25:26" x14ac:dyDescent="0.25">
      <c r="Y19912" s="63">
        <v>62445</v>
      </c>
      <c r="Z19912" s="61">
        <f>_xll.qlYieldTSDiscount($U$35,Y19912,,Trigger)</f>
        <v>0.33762097347871656</v>
      </c>
    </row>
    <row r="19913" spans="25:26" x14ac:dyDescent="0.25">
      <c r="Y19913" s="63">
        <v>62446</v>
      </c>
      <c r="Z19913" s="61">
        <f>_xll.qlYieldTSDiscount($U$35,Y19913,,Trigger)</f>
        <v>0.33760081497896133</v>
      </c>
    </row>
    <row r="19914" spans="25:26" x14ac:dyDescent="0.25">
      <c r="Y19914" s="63">
        <v>62447</v>
      </c>
      <c r="Z19914" s="61">
        <f>_xll.qlYieldTSDiscount($U$35,Y19914,,Trigger)</f>
        <v>0.33758065722323966</v>
      </c>
    </row>
    <row r="19915" spans="25:26" x14ac:dyDescent="0.25">
      <c r="Y19915" s="63">
        <v>62448</v>
      </c>
      <c r="Z19915" s="61">
        <f>_xll.qlYieldTSDiscount($U$35,Y19915,,Trigger)</f>
        <v>0.33756050021118555</v>
      </c>
    </row>
    <row r="19916" spans="25:26" x14ac:dyDescent="0.25">
      <c r="Y19916" s="63">
        <v>62449</v>
      </c>
      <c r="Z19916" s="61">
        <f>_xll.qlYieldTSDiscount($U$35,Y19916,,Trigger)</f>
        <v>0.33754034394243299</v>
      </c>
    </row>
    <row r="19917" spans="25:26" x14ac:dyDescent="0.25">
      <c r="Y19917" s="63">
        <v>62450</v>
      </c>
      <c r="Z19917" s="61">
        <f>_xll.qlYieldTSDiscount($U$35,Y19917,,Trigger)</f>
        <v>0.33752018841661607</v>
      </c>
    </row>
    <row r="19918" spans="25:26" x14ac:dyDescent="0.25">
      <c r="Y19918" s="63">
        <v>62451</v>
      </c>
      <c r="Z19918" s="61">
        <f>_xll.qlYieldTSDiscount($U$35,Y19918,,Trigger)</f>
        <v>0.33750003363336883</v>
      </c>
    </row>
    <row r="19919" spans="25:26" x14ac:dyDescent="0.25">
      <c r="Y19919" s="63">
        <v>62452</v>
      </c>
      <c r="Z19919" s="61">
        <f>_xll.qlYieldTSDiscount($U$35,Y19919,,Trigger)</f>
        <v>0.33747987959232523</v>
      </c>
    </row>
    <row r="19920" spans="25:26" x14ac:dyDescent="0.25">
      <c r="Y19920" s="63">
        <v>62453</v>
      </c>
      <c r="Z19920" s="61">
        <f>_xll.qlYieldTSDiscount($U$35,Y19920,,Trigger)</f>
        <v>0.33745972629311927</v>
      </c>
    </row>
    <row r="19921" spans="25:26" x14ac:dyDescent="0.25">
      <c r="Y19921" s="63">
        <v>62454</v>
      </c>
      <c r="Z19921" s="61">
        <f>_xll.qlYieldTSDiscount($U$35,Y19921,,Trigger)</f>
        <v>0.33743957373538508</v>
      </c>
    </row>
    <row r="19922" spans="25:26" x14ac:dyDescent="0.25">
      <c r="Y19922" s="63">
        <v>62455</v>
      </c>
      <c r="Z19922" s="61">
        <f>_xll.qlYieldTSDiscount($U$35,Y19922,,Trigger)</f>
        <v>0.33741942191875657</v>
      </c>
    </row>
    <row r="19923" spans="25:26" x14ac:dyDescent="0.25">
      <c r="Y19923" s="63">
        <v>62456</v>
      </c>
      <c r="Z19923" s="61">
        <f>_xll.qlYieldTSDiscount($U$35,Y19923,,Trigger)</f>
        <v>0.3373992708428678</v>
      </c>
    </row>
    <row r="19924" spans="25:26" x14ac:dyDescent="0.25">
      <c r="Y19924" s="63">
        <v>62457</v>
      </c>
      <c r="Z19924" s="61">
        <f>_xll.qlYieldTSDiscount($U$35,Y19924,,Trigger)</f>
        <v>0.33737912050735286</v>
      </c>
    </row>
    <row r="19925" spans="25:26" x14ac:dyDescent="0.25">
      <c r="Y19925" s="63">
        <v>62458</v>
      </c>
      <c r="Z19925" s="61">
        <f>_xll.qlYieldTSDiscount($U$35,Y19925,,Trigger)</f>
        <v>0.33735897091184563</v>
      </c>
    </row>
    <row r="19926" spans="25:26" x14ac:dyDescent="0.25">
      <c r="Y19926" s="63">
        <v>62459</v>
      </c>
      <c r="Z19926" s="61">
        <f>_xll.qlYieldTSDiscount($U$35,Y19926,,Trigger)</f>
        <v>0.33733882205598026</v>
      </c>
    </row>
    <row r="19927" spans="25:26" x14ac:dyDescent="0.25">
      <c r="Y19927" s="63">
        <v>62460</v>
      </c>
      <c r="Z19927" s="61">
        <f>_xll.qlYieldTSDiscount($U$35,Y19927,,Trigger)</f>
        <v>0.33731867393939069</v>
      </c>
    </row>
    <row r="19928" spans="25:26" x14ac:dyDescent="0.25">
      <c r="Y19928" s="63">
        <v>62461</v>
      </c>
      <c r="Z19928" s="61">
        <f>_xll.qlYieldTSDiscount($U$35,Y19928,,Trigger)</f>
        <v>0.33729852656171105</v>
      </c>
    </row>
    <row r="19929" spans="25:26" x14ac:dyDescent="0.25">
      <c r="Y19929" s="63">
        <v>62462</v>
      </c>
      <c r="Z19929" s="61">
        <f>_xll.qlYieldTSDiscount($U$35,Y19929,,Trigger)</f>
        <v>0.33727837992257514</v>
      </c>
    </row>
    <row r="19930" spans="25:26" x14ac:dyDescent="0.25">
      <c r="Y19930" s="63">
        <v>62463</v>
      </c>
      <c r="Z19930" s="61">
        <f>_xll.qlYieldTSDiscount($U$35,Y19930,,Trigger)</f>
        <v>0.33725823402161725</v>
      </c>
    </row>
    <row r="19931" spans="25:26" x14ac:dyDescent="0.25">
      <c r="Y19931" s="63">
        <v>62464</v>
      </c>
      <c r="Z19931" s="61">
        <f>_xll.qlYieldTSDiscount($U$35,Y19931,,Trigger)</f>
        <v>0.33723808885847129</v>
      </c>
    </row>
    <row r="19932" spans="25:26" x14ac:dyDescent="0.25">
      <c r="Y19932" s="63">
        <v>62465</v>
      </c>
      <c r="Z19932" s="61">
        <f>_xll.qlYieldTSDiscount($U$35,Y19932,,Trigger)</f>
        <v>0.33721794443277125</v>
      </c>
    </row>
    <row r="19933" spans="25:26" x14ac:dyDescent="0.25">
      <c r="Y19933" s="63">
        <v>62466</v>
      </c>
      <c r="Z19933" s="61">
        <f>_xll.qlYieldTSDiscount($U$35,Y19933,,Trigger)</f>
        <v>0.33719780074415112</v>
      </c>
    </row>
    <row r="19934" spans="25:26" x14ac:dyDescent="0.25">
      <c r="Y19934" s="63">
        <v>62467</v>
      </c>
      <c r="Z19934" s="61">
        <f>_xll.qlYieldTSDiscount($U$35,Y19934,,Trigger)</f>
        <v>0.33717765779224501</v>
      </c>
    </row>
    <row r="19935" spans="25:26" x14ac:dyDescent="0.25">
      <c r="Y19935" s="63">
        <v>62468</v>
      </c>
      <c r="Z19935" s="61">
        <f>_xll.qlYieldTSDiscount($U$35,Y19935,,Trigger)</f>
        <v>0.33715751557668694</v>
      </c>
    </row>
    <row r="19936" spans="25:26" x14ac:dyDescent="0.25">
      <c r="Y19936" s="63">
        <v>62469</v>
      </c>
      <c r="Z19936" s="61">
        <f>_xll.qlYieldTSDiscount($U$35,Y19936,,Trigger)</f>
        <v>0.33713737409711086</v>
      </c>
    </row>
    <row r="19937" spans="25:26" x14ac:dyDescent="0.25">
      <c r="Y19937" s="63">
        <v>62470</v>
      </c>
      <c r="Z19937" s="61">
        <f>_xll.qlYieldTSDiscount($U$35,Y19937,,Trigger)</f>
        <v>0.33711723335315086</v>
      </c>
    </row>
    <row r="19938" spans="25:26" x14ac:dyDescent="0.25">
      <c r="Y19938" s="63">
        <v>62471</v>
      </c>
      <c r="Z19938" s="61">
        <f>_xll.qlYieldTSDiscount($U$35,Y19938,,Trigger)</f>
        <v>0.33709709334444093</v>
      </c>
    </row>
    <row r="19939" spans="25:26" x14ac:dyDescent="0.25">
      <c r="Y19939" s="63">
        <v>62472</v>
      </c>
      <c r="Z19939" s="61">
        <f>_xll.qlYieldTSDiscount($U$35,Y19939,,Trigger)</f>
        <v>0.33707695407061505</v>
      </c>
    </row>
    <row r="19940" spans="25:26" x14ac:dyDescent="0.25">
      <c r="Y19940" s="63">
        <v>62473</v>
      </c>
      <c r="Z19940" s="61">
        <f>_xll.qlYieldTSDiscount($U$35,Y19940,,Trigger)</f>
        <v>0.33705681553130734</v>
      </c>
    </row>
    <row r="19941" spans="25:26" x14ac:dyDescent="0.25">
      <c r="Y19941" s="63">
        <v>62474</v>
      </c>
      <c r="Z19941" s="61">
        <f>_xll.qlYieldTSDiscount($U$35,Y19941,,Trigger)</f>
        <v>0.33703667772615176</v>
      </c>
    </row>
    <row r="19942" spans="25:26" x14ac:dyDescent="0.25">
      <c r="Y19942" s="63">
        <v>62475</v>
      </c>
      <c r="Z19942" s="61">
        <f>_xll.qlYieldTSDiscount($U$35,Y19942,,Trigger)</f>
        <v>0.33701654065478232</v>
      </c>
    </row>
    <row r="19943" spans="25:26" x14ac:dyDescent="0.25">
      <c r="Y19943" s="63">
        <v>62476</v>
      </c>
      <c r="Z19943" s="61">
        <f>_xll.qlYieldTSDiscount($U$35,Y19943,,Trigger)</f>
        <v>0.33699640431683309</v>
      </c>
    </row>
    <row r="19944" spans="25:26" x14ac:dyDescent="0.25">
      <c r="Y19944" s="63">
        <v>62477</v>
      </c>
      <c r="Z19944" s="61">
        <f>_xll.qlYieldTSDiscount($U$35,Y19944,,Trigger)</f>
        <v>0.33697626871193803</v>
      </c>
    </row>
    <row r="19945" spans="25:26" x14ac:dyDescent="0.25">
      <c r="Y19945" s="63">
        <v>62478</v>
      </c>
      <c r="Z19945" s="61">
        <f>_xll.qlYieldTSDiscount($U$35,Y19945,,Trigger)</f>
        <v>0.33695613383973128</v>
      </c>
    </row>
    <row r="19946" spans="25:26" x14ac:dyDescent="0.25">
      <c r="Y19946" s="63">
        <v>62479</v>
      </c>
      <c r="Z19946" s="61">
        <f>_xll.qlYieldTSDiscount($U$35,Y19946,,Trigger)</f>
        <v>0.33693599969984672</v>
      </c>
    </row>
    <row r="19947" spans="25:26" x14ac:dyDescent="0.25">
      <c r="Y19947" s="63">
        <v>62480</v>
      </c>
      <c r="Z19947" s="61">
        <f>_xll.qlYieldTSDiscount($U$35,Y19947,,Trigger)</f>
        <v>0.33691586629191844</v>
      </c>
    </row>
    <row r="19948" spans="25:26" x14ac:dyDescent="0.25">
      <c r="Y19948" s="63">
        <v>62481</v>
      </c>
      <c r="Z19948" s="61">
        <f>_xll.qlYieldTSDiscount($U$35,Y19948,,Trigger)</f>
        <v>0.33689573361558045</v>
      </c>
    </row>
    <row r="19949" spans="25:26" x14ac:dyDescent="0.25">
      <c r="Y19949" s="63">
        <v>62482</v>
      </c>
      <c r="Z19949" s="61">
        <f>_xll.qlYieldTSDiscount($U$35,Y19949,,Trigger)</f>
        <v>0.33687560167046676</v>
      </c>
    </row>
    <row r="19950" spans="25:26" x14ac:dyDescent="0.25">
      <c r="Y19950" s="63">
        <v>62483</v>
      </c>
      <c r="Z19950" s="61">
        <f>_xll.qlYieldTSDiscount($U$35,Y19950,,Trigger)</f>
        <v>0.33685547045621145</v>
      </c>
    </row>
    <row r="19951" spans="25:26" x14ac:dyDescent="0.25">
      <c r="Y19951" s="63">
        <v>62484</v>
      </c>
      <c r="Z19951" s="61">
        <f>_xll.qlYieldTSDiscount($U$35,Y19951,,Trigger)</f>
        <v>0.33683533997244841</v>
      </c>
    </row>
    <row r="19952" spans="25:26" x14ac:dyDescent="0.25">
      <c r="Y19952" s="63">
        <v>62485</v>
      </c>
      <c r="Z19952" s="61">
        <f>_xll.qlYieldTSDiscount($U$35,Y19952,,Trigger)</f>
        <v>0.33681521021881183</v>
      </c>
    </row>
    <row r="19953" spans="25:26" x14ac:dyDescent="0.25">
      <c r="Y19953" s="63">
        <v>62486</v>
      </c>
      <c r="Z19953" s="61">
        <f>_xll.qlYieldTSDiscount($U$35,Y19953,,Trigger)</f>
        <v>0.33679508119493562</v>
      </c>
    </row>
    <row r="19954" spans="25:26" x14ac:dyDescent="0.25">
      <c r="Y19954" s="63">
        <v>62487</v>
      </c>
      <c r="Z19954" s="61">
        <f>_xll.qlYieldTSDiscount($U$35,Y19954,,Trigger)</f>
        <v>0.33677495290045384</v>
      </c>
    </row>
    <row r="19955" spans="25:26" x14ac:dyDescent="0.25">
      <c r="Y19955" s="63">
        <v>62488</v>
      </c>
      <c r="Z19955" s="61">
        <f>_xll.qlYieldTSDiscount($U$35,Y19955,,Trigger)</f>
        <v>0.33675482533500051</v>
      </c>
    </row>
    <row r="19956" spans="25:26" x14ac:dyDescent="0.25">
      <c r="Y19956" s="63">
        <v>62489</v>
      </c>
      <c r="Z19956" s="61">
        <f>_xll.qlYieldTSDiscount($U$35,Y19956,,Trigger)</f>
        <v>0.33673469849820969</v>
      </c>
    </row>
    <row r="19957" spans="25:26" x14ac:dyDescent="0.25">
      <c r="Y19957" s="63">
        <v>62490</v>
      </c>
      <c r="Z19957" s="61">
        <f>_xll.qlYieldTSDiscount($U$35,Y19957,,Trigger)</f>
        <v>0.33671457238971531</v>
      </c>
    </row>
    <row r="19958" spans="25:26" x14ac:dyDescent="0.25">
      <c r="Y19958" s="63">
        <v>62491</v>
      </c>
      <c r="Z19958" s="61">
        <f>_xll.qlYieldTSDiscount($U$35,Y19958,,Trigger)</f>
        <v>0.33669444700915135</v>
      </c>
    </row>
    <row r="19959" spans="25:26" x14ac:dyDescent="0.25">
      <c r="Y19959" s="63">
        <v>62492</v>
      </c>
      <c r="Z19959" s="61">
        <f>_xll.qlYieldTSDiscount($U$35,Y19959,,Trigger)</f>
        <v>0.33667432235615197</v>
      </c>
    </row>
    <row r="19960" spans="25:26" x14ac:dyDescent="0.25">
      <c r="Y19960" s="63">
        <v>62493</v>
      </c>
      <c r="Z19960" s="61">
        <f>_xll.qlYieldTSDiscount($U$35,Y19960,,Trigger)</f>
        <v>0.33665419843035133</v>
      </c>
    </row>
    <row r="19961" spans="25:26" x14ac:dyDescent="0.25">
      <c r="Y19961" s="63">
        <v>62494</v>
      </c>
      <c r="Z19961" s="61">
        <f>_xll.qlYieldTSDiscount($U$35,Y19961,,Trigger)</f>
        <v>0.33663407523138306</v>
      </c>
    </row>
    <row r="19962" spans="25:26" x14ac:dyDescent="0.25">
      <c r="Y19962" s="63">
        <v>62495</v>
      </c>
      <c r="Z19962" s="61">
        <f>_xll.qlYieldTSDiscount($U$35,Y19962,,Trigger)</f>
        <v>0.33661395275888145</v>
      </c>
    </row>
    <row r="19963" spans="25:26" x14ac:dyDescent="0.25">
      <c r="Y19963" s="63">
        <v>62496</v>
      </c>
      <c r="Z19963" s="61">
        <f>_xll.qlYieldTSDiscount($U$35,Y19963,,Trigger)</f>
        <v>0.33659383101248053</v>
      </c>
    </row>
    <row r="19964" spans="25:26" x14ac:dyDescent="0.25">
      <c r="Y19964" s="63">
        <v>62497</v>
      </c>
      <c r="Z19964" s="61">
        <f>_xll.qlYieldTSDiscount($U$35,Y19964,,Trigger)</f>
        <v>0.33657370999181419</v>
      </c>
    </row>
    <row r="19965" spans="25:26" x14ac:dyDescent="0.25">
      <c r="Y19965" s="63">
        <v>62498</v>
      </c>
      <c r="Z19965" s="61">
        <f>_xll.qlYieldTSDiscount($U$35,Y19965,,Trigger)</f>
        <v>0.3365535896965165</v>
      </c>
    </row>
    <row r="19966" spans="25:26" x14ac:dyDescent="0.25">
      <c r="Y19966" s="63">
        <v>62499</v>
      </c>
      <c r="Z19966" s="61">
        <f>_xll.qlYieldTSDiscount($U$35,Y19966,,Trigger)</f>
        <v>0.33653347012622153</v>
      </c>
    </row>
    <row r="19967" spans="25:26" x14ac:dyDescent="0.25">
      <c r="Y19967" s="63">
        <v>62500</v>
      </c>
      <c r="Z19967" s="61">
        <f>_xll.qlYieldTSDiscount($U$35,Y19967,,Trigger)</f>
        <v>0.33651335128056326</v>
      </c>
    </row>
    <row r="19968" spans="25:26" x14ac:dyDescent="0.25">
      <c r="Y19968" s="63">
        <v>62501</v>
      </c>
      <c r="Z19968" s="61">
        <f>_xll.qlYieldTSDiscount($U$35,Y19968,,Trigger)</f>
        <v>0.33649323315917568</v>
      </c>
    </row>
    <row r="19969" spans="25:26" x14ac:dyDescent="0.25">
      <c r="Y19969" s="63">
        <v>62502</v>
      </c>
      <c r="Z19969" s="61">
        <f>_xll.qlYieldTSDiscount($U$35,Y19969,,Trigger)</f>
        <v>0.33647311576169286</v>
      </c>
    </row>
    <row r="19970" spans="25:26" x14ac:dyDescent="0.25">
      <c r="Y19970" s="63">
        <v>62503</v>
      </c>
      <c r="Z19970" s="61">
        <f>_xll.qlYieldTSDiscount($U$35,Y19970,,Trigger)</f>
        <v>0.33645299908774889</v>
      </c>
    </row>
    <row r="19971" spans="25:26" x14ac:dyDescent="0.25">
      <c r="Y19971" s="63">
        <v>62504</v>
      </c>
      <c r="Z19971" s="61">
        <f>_xll.qlYieldTSDiscount($U$35,Y19971,,Trigger)</f>
        <v>0.33643288313697761</v>
      </c>
    </row>
    <row r="19972" spans="25:26" x14ac:dyDescent="0.25">
      <c r="Y19972" s="63">
        <v>62505</v>
      </c>
      <c r="Z19972" s="61">
        <f>_xll.qlYieldTSDiscount($U$35,Y19972,,Trigger)</f>
        <v>0.3364127679090132</v>
      </c>
    </row>
    <row r="19973" spans="25:26" x14ac:dyDescent="0.25">
      <c r="Y19973" s="63">
        <v>62506</v>
      </c>
      <c r="Z19973" s="61">
        <f>_xll.qlYieldTSDiscount($U$35,Y19973,,Trigger)</f>
        <v>0.33639265340348967</v>
      </c>
    </row>
    <row r="19974" spans="25:26" x14ac:dyDescent="0.25">
      <c r="Y19974" s="63">
        <v>62507</v>
      </c>
      <c r="Z19974" s="61">
        <f>_xll.qlYieldTSDiscount($U$35,Y19974,,Trigger)</f>
        <v>0.33637253962004093</v>
      </c>
    </row>
    <row r="19975" spans="25:26" x14ac:dyDescent="0.25">
      <c r="Y19975" s="63">
        <v>62508</v>
      </c>
      <c r="Z19975" s="61">
        <f>_xll.qlYieldTSDiscount($U$35,Y19975,,Trigger)</f>
        <v>0.33635242655830111</v>
      </c>
    </row>
    <row r="19976" spans="25:26" x14ac:dyDescent="0.25">
      <c r="Y19976" s="63">
        <v>62509</v>
      </c>
      <c r="Z19976" s="61">
        <f>_xll.qlYieldTSDiscount($U$35,Y19976,,Trigger)</f>
        <v>0.33633231421790427</v>
      </c>
    </row>
    <row r="19977" spans="25:26" x14ac:dyDescent="0.25">
      <c r="Y19977" s="63">
        <v>62510</v>
      </c>
      <c r="Z19977" s="61">
        <f>_xll.qlYieldTSDiscount($U$35,Y19977,,Trigger)</f>
        <v>0.33631220259848421</v>
      </c>
    </row>
    <row r="19978" spans="25:26" x14ac:dyDescent="0.25">
      <c r="Y19978" s="63">
        <v>62511</v>
      </c>
      <c r="Z19978" s="61">
        <f>_xll.qlYieldTSDiscount($U$35,Y19978,,Trigger)</f>
        <v>0.33629209169967517</v>
      </c>
    </row>
    <row r="19979" spans="25:26" x14ac:dyDescent="0.25">
      <c r="Y19979" s="63">
        <v>62512</v>
      </c>
      <c r="Z19979" s="61">
        <f>_xll.qlYieldTSDiscount($U$35,Y19979,,Trigger)</f>
        <v>0.33627198152111115</v>
      </c>
    </row>
    <row r="19980" spans="25:26" x14ac:dyDescent="0.25">
      <c r="Y19980" s="63">
        <v>62513</v>
      </c>
      <c r="Z19980" s="61">
        <f>_xll.qlYieldTSDiscount($U$35,Y19980,,Trigger)</f>
        <v>0.33625187206242602</v>
      </c>
    </row>
    <row r="19981" spans="25:26" x14ac:dyDescent="0.25">
      <c r="Y19981" s="63">
        <v>62514</v>
      </c>
      <c r="Z19981" s="61">
        <f>_xll.qlYieldTSDiscount($U$35,Y19981,,Trigger)</f>
        <v>0.33623176332325394</v>
      </c>
    </row>
    <row r="19982" spans="25:26" x14ac:dyDescent="0.25">
      <c r="Y19982" s="63">
        <v>62515</v>
      </c>
      <c r="Z19982" s="61">
        <f>_xll.qlYieldTSDiscount($U$35,Y19982,,Trigger)</f>
        <v>0.33621165530322888</v>
      </c>
    </row>
    <row r="19983" spans="25:26" x14ac:dyDescent="0.25">
      <c r="Y19983" s="63">
        <v>62516</v>
      </c>
      <c r="Z19983" s="61">
        <f>_xll.qlYieldTSDiscount($U$35,Y19983,,Trigger)</f>
        <v>0.33619154800198492</v>
      </c>
    </row>
    <row r="19984" spans="25:26" x14ac:dyDescent="0.25">
      <c r="Y19984" s="63">
        <v>62517</v>
      </c>
      <c r="Z19984" s="61">
        <f>_xll.qlYieldTSDiscount($U$35,Y19984,,Trigger)</f>
        <v>0.336171441419156</v>
      </c>
    </row>
    <row r="19985" spans="25:26" x14ac:dyDescent="0.25">
      <c r="Y19985" s="63">
        <v>62518</v>
      </c>
      <c r="Z19985" s="61">
        <f>_xll.qlYieldTSDiscount($U$35,Y19985,,Trigger)</f>
        <v>0.33615133555437626</v>
      </c>
    </row>
    <row r="19986" spans="25:26" x14ac:dyDescent="0.25">
      <c r="Y19986" s="63">
        <v>62519</v>
      </c>
      <c r="Z19986" s="61">
        <f>_xll.qlYieldTSDiscount($U$35,Y19986,,Trigger)</f>
        <v>0.3361312304072796</v>
      </c>
    </row>
    <row r="19987" spans="25:26" x14ac:dyDescent="0.25">
      <c r="Y19987" s="63">
        <v>62520</v>
      </c>
      <c r="Z19987" s="61">
        <f>_xll.qlYieldTSDiscount($U$35,Y19987,,Trigger)</f>
        <v>0.33611112597750004</v>
      </c>
    </row>
    <row r="19988" spans="25:26" x14ac:dyDescent="0.25">
      <c r="Y19988" s="63">
        <v>62521</v>
      </c>
      <c r="Z19988" s="61">
        <f>_xll.qlYieldTSDiscount($U$35,Y19988,,Trigger)</f>
        <v>0.33609102226467169</v>
      </c>
    </row>
    <row r="19989" spans="25:26" x14ac:dyDescent="0.25">
      <c r="Y19989" s="63">
        <v>62522</v>
      </c>
      <c r="Z19989" s="61">
        <f>_xll.qlYieldTSDiscount($U$35,Y19989,,Trigger)</f>
        <v>0.33607091926842853</v>
      </c>
    </row>
    <row r="19990" spans="25:26" x14ac:dyDescent="0.25">
      <c r="Y19990" s="63">
        <v>62523</v>
      </c>
      <c r="Z19990" s="61">
        <f>_xll.qlYieldTSDiscount($U$35,Y19990,,Trigger)</f>
        <v>0.33605081698840455</v>
      </c>
    </row>
    <row r="19991" spans="25:26" x14ac:dyDescent="0.25">
      <c r="Y19991" s="63">
        <v>62524</v>
      </c>
      <c r="Z19991" s="61">
        <f>_xll.qlYieldTSDiscount($U$35,Y19991,,Trigger)</f>
        <v>0.33603071542423385</v>
      </c>
    </row>
    <row r="19992" spans="25:26" x14ac:dyDescent="0.25">
      <c r="Y19992" s="63">
        <v>62525</v>
      </c>
      <c r="Z19992" s="61">
        <f>_xll.qlYieldTSDiscount($U$35,Y19992,,Trigger)</f>
        <v>0.33601061457555043</v>
      </c>
    </row>
    <row r="19993" spans="25:26" x14ac:dyDescent="0.25">
      <c r="Y19993" s="63">
        <v>62526</v>
      </c>
      <c r="Z19993" s="61">
        <f>_xll.qlYieldTSDiscount($U$35,Y19993,,Trigger)</f>
        <v>0.33599051444198824</v>
      </c>
    </row>
    <row r="19994" spans="25:26" x14ac:dyDescent="0.25">
      <c r="Y19994" s="63">
        <v>62527</v>
      </c>
      <c r="Z19994" s="61">
        <f>_xll.qlYieldTSDiscount($U$35,Y19994,,Trigger)</f>
        <v>0.33597041502318126</v>
      </c>
    </row>
    <row r="19995" spans="25:26" x14ac:dyDescent="0.25">
      <c r="Y19995" s="63">
        <v>62528</v>
      </c>
      <c r="Z19995" s="61">
        <f>_xll.qlYieldTSDiscount($U$35,Y19995,,Trigger)</f>
        <v>0.33595031631876376</v>
      </c>
    </row>
    <row r="19996" spans="25:26" x14ac:dyDescent="0.25">
      <c r="Y19996" s="63">
        <v>62529</v>
      </c>
      <c r="Z19996" s="61">
        <f>_xll.qlYieldTSDiscount($U$35,Y19996,,Trigger)</f>
        <v>0.3359302183283695</v>
      </c>
    </row>
    <row r="19997" spans="25:26" x14ac:dyDescent="0.25">
      <c r="Y19997" s="63">
        <v>62530</v>
      </c>
      <c r="Z19997" s="61">
        <f>_xll.qlYieldTSDiscount($U$35,Y19997,,Trigger)</f>
        <v>0.33591012105163265</v>
      </c>
    </row>
    <row r="19998" spans="25:26" x14ac:dyDescent="0.25">
      <c r="Y19998" s="63">
        <v>62531</v>
      </c>
      <c r="Z19998" s="61">
        <f>_xll.qlYieldTSDiscount($U$35,Y19998,,Trigger)</f>
        <v>0.33589002448818717</v>
      </c>
    </row>
    <row r="19999" spans="25:26" x14ac:dyDescent="0.25">
      <c r="Y19999" s="63">
        <v>62532</v>
      </c>
      <c r="Z19999" s="61">
        <f>_xll.qlYieldTSDiscount($U$35,Y19999,,Trigger)</f>
        <v>0.33586992863766707</v>
      </c>
    </row>
    <row r="20000" spans="25:26" x14ac:dyDescent="0.25">
      <c r="Y20000" s="63">
        <v>62533</v>
      </c>
      <c r="Z20000" s="61">
        <f>_xll.qlYieldTSDiscount($U$35,Y20000,,Trigger)</f>
        <v>0.33584983349970648</v>
      </c>
    </row>
    <row r="20001" spans="25:26" x14ac:dyDescent="0.25">
      <c r="Y20001" s="63">
        <v>62534</v>
      </c>
      <c r="Z20001" s="61">
        <f>_xll.qlYieldTSDiscount($U$35,Y20001,,Trigger)</f>
        <v>0.33582973907393926</v>
      </c>
    </row>
    <row r="20002" spans="25:26" x14ac:dyDescent="0.25">
      <c r="Y20002" s="63">
        <v>62535</v>
      </c>
      <c r="Z20002" s="61">
        <f>_xll.qlYieldTSDiscount($U$35,Y20002,,Trigger)</f>
        <v>0.33580964535999958</v>
      </c>
    </row>
    <row r="20003" spans="25:26" x14ac:dyDescent="0.25">
      <c r="Y20003" s="63">
        <v>62536</v>
      </c>
      <c r="Z20003" s="61">
        <f>_xll.qlYieldTSDiscount($U$35,Y20003,,Trigger)</f>
        <v>0.33578955235752128</v>
      </c>
    </row>
    <row r="20004" spans="25:26" x14ac:dyDescent="0.25">
      <c r="Y20004" s="63">
        <v>62537</v>
      </c>
      <c r="Z20004" s="61">
        <f>_xll.qlYieldTSDiscount($U$35,Y20004,,Trigger)</f>
        <v>0.33576946006613856</v>
      </c>
    </row>
    <row r="20005" spans="25:26" x14ac:dyDescent="0.25">
      <c r="Y20005" s="63">
        <v>62538</v>
      </c>
      <c r="Z20005" s="61">
        <f>_xll.qlYieldTSDiscount($U$35,Y20005,,Trigger)</f>
        <v>0.33574936848548542</v>
      </c>
    </row>
    <row r="20006" spans="25:26" x14ac:dyDescent="0.25">
      <c r="Y20006" s="63">
        <v>62539</v>
      </c>
      <c r="Z20006" s="61">
        <f>_xll.qlYieldTSDiscount($U$35,Y20006,,Trigger)</f>
        <v>0.33572927761519578</v>
      </c>
    </row>
    <row r="20007" spans="25:26" x14ac:dyDescent="0.25">
      <c r="Y20007" s="63">
        <v>62540</v>
      </c>
      <c r="Z20007" s="61">
        <f>_xll.qlYieldTSDiscount($U$35,Y20007,,Trigger)</f>
        <v>0.3357091874549038</v>
      </c>
    </row>
    <row r="20008" spans="25:26" x14ac:dyDescent="0.25">
      <c r="Y20008" s="63">
        <v>62541</v>
      </c>
      <c r="Z20008" s="61">
        <f>_xll.qlYieldTSDiscount($U$35,Y20008,,Trigger)</f>
        <v>0.3356890980042434</v>
      </c>
    </row>
    <row r="20009" spans="25:26" x14ac:dyDescent="0.25">
      <c r="Y20009" s="63">
        <v>62542</v>
      </c>
      <c r="Z20009" s="61">
        <f>_xll.qlYieldTSDiscount($U$35,Y20009,,Trigger)</f>
        <v>0.33566900926284854</v>
      </c>
    </row>
    <row r="20010" spans="25:26" x14ac:dyDescent="0.25">
      <c r="Y20010" s="63">
        <v>62543</v>
      </c>
      <c r="Z20010" s="61">
        <f>_xll.qlYieldTSDiscount($U$35,Y20010,,Trigger)</f>
        <v>0.33564892123035345</v>
      </c>
    </row>
    <row r="20011" spans="25:26" x14ac:dyDescent="0.25">
      <c r="Y20011" s="63">
        <v>62544</v>
      </c>
      <c r="Z20011" s="61">
        <f>_xll.qlYieldTSDiscount($U$35,Y20011,,Trigger)</f>
        <v>0.33562883390639198</v>
      </c>
    </row>
    <row r="20012" spans="25:26" x14ac:dyDescent="0.25">
      <c r="Y20012" s="63">
        <v>62545</v>
      </c>
      <c r="Z20012" s="61">
        <f>_xll.qlYieldTSDiscount($U$35,Y20012,,Trigger)</f>
        <v>0.33560874729059825</v>
      </c>
    </row>
    <row r="20013" spans="25:26" x14ac:dyDescent="0.25">
      <c r="Y20013" s="63">
        <v>62546</v>
      </c>
      <c r="Z20013" s="61">
        <f>_xll.qlYieldTSDiscount($U$35,Y20013,,Trigger)</f>
        <v>0.33558866138260618</v>
      </c>
    </row>
    <row r="20014" spans="25:26" x14ac:dyDescent="0.25">
      <c r="Y20014" s="63">
        <v>62547</v>
      </c>
      <c r="Z20014" s="61">
        <f>_xll.qlYieldTSDiscount($U$35,Y20014,,Trigger)</f>
        <v>0.33556857618204988</v>
      </c>
    </row>
    <row r="20015" spans="25:26" x14ac:dyDescent="0.25">
      <c r="Y20015" s="63">
        <v>62548</v>
      </c>
      <c r="Z20015" s="61">
        <f>_xll.qlYieldTSDiscount($U$35,Y20015,,Trigger)</f>
        <v>0.33554849168856327</v>
      </c>
    </row>
    <row r="20016" spans="25:26" x14ac:dyDescent="0.25">
      <c r="Y20016" s="63">
        <v>62549</v>
      </c>
      <c r="Z20016" s="61">
        <f>_xll.qlYieldTSDiscount($U$35,Y20016,,Trigger)</f>
        <v>0.3355284079017804</v>
      </c>
    </row>
    <row r="20017" spans="25:26" x14ac:dyDescent="0.25">
      <c r="Y20017" s="63">
        <v>62550</v>
      </c>
      <c r="Z20017" s="61">
        <f>_xll.qlYieldTSDiscount($U$35,Y20017,,Trigger)</f>
        <v>0.33550832482133547</v>
      </c>
    </row>
    <row r="20018" spans="25:26" x14ac:dyDescent="0.25">
      <c r="Y20018" s="63">
        <v>62551</v>
      </c>
      <c r="Z20018" s="61">
        <f>_xll.qlYieldTSDiscount($U$35,Y20018,,Trigger)</f>
        <v>0.33548824244686226</v>
      </c>
    </row>
    <row r="20019" spans="25:26" x14ac:dyDescent="0.25">
      <c r="Y20019" s="63">
        <v>62552</v>
      </c>
      <c r="Z20019" s="61">
        <f>_xll.qlYieldTSDiscount($U$35,Y20019,,Trigger)</f>
        <v>0.33546816077799496</v>
      </c>
    </row>
    <row r="20020" spans="25:26" x14ac:dyDescent="0.25">
      <c r="Y20020" s="63">
        <v>62553</v>
      </c>
      <c r="Z20020" s="61">
        <f>_xll.qlYieldTSDiscount($U$35,Y20020,,Trigger)</f>
        <v>0.33544807981436747</v>
      </c>
    </row>
    <row r="20021" spans="25:26" x14ac:dyDescent="0.25">
      <c r="Y20021" s="63">
        <v>62554</v>
      </c>
      <c r="Z20021" s="61">
        <f>_xll.qlYieldTSDiscount($U$35,Y20021,,Trigger)</f>
        <v>0.33542799955561398</v>
      </c>
    </row>
    <row r="20022" spans="25:26" x14ac:dyDescent="0.25">
      <c r="Y20022" s="63">
        <v>62555</v>
      </c>
      <c r="Z20022" s="61">
        <f>_xll.qlYieldTSDiscount($U$35,Y20022,,Trigger)</f>
        <v>0.33540792000136826</v>
      </c>
    </row>
    <row r="20023" spans="25:26" x14ac:dyDescent="0.25">
      <c r="Y20023" s="63">
        <v>62556</v>
      </c>
      <c r="Z20023" s="61">
        <f>_xll.qlYieldTSDiscount($U$35,Y20023,,Trigger)</f>
        <v>0.33538784115126452</v>
      </c>
    </row>
    <row r="20024" spans="25:26" x14ac:dyDescent="0.25">
      <c r="Y20024" s="63">
        <v>62557</v>
      </c>
      <c r="Z20024" s="61">
        <f>_xll.qlYieldTSDiscount($U$35,Y20024,,Trigger)</f>
        <v>0.33536776300493676</v>
      </c>
    </row>
    <row r="20025" spans="25:26" x14ac:dyDescent="0.25">
      <c r="Y20025" s="63">
        <v>62558</v>
      </c>
      <c r="Z20025" s="61">
        <f>_xll.qlYieldTSDiscount($U$35,Y20025,,Trigger)</f>
        <v>0.33534768556201899</v>
      </c>
    </row>
    <row r="20026" spans="25:26" x14ac:dyDescent="0.25">
      <c r="Y20026" s="63">
        <v>62559</v>
      </c>
      <c r="Z20026" s="61">
        <f>_xll.qlYieldTSDiscount($U$35,Y20026,,Trigger)</f>
        <v>0.33532760882214513</v>
      </c>
    </row>
    <row r="20027" spans="25:26" x14ac:dyDescent="0.25">
      <c r="Y20027" s="63">
        <v>62560</v>
      </c>
      <c r="Z20027" s="61">
        <f>_xll.qlYieldTSDiscount($U$35,Y20027,,Trigger)</f>
        <v>0.33530753278494946</v>
      </c>
    </row>
    <row r="20028" spans="25:26" x14ac:dyDescent="0.25">
      <c r="Y20028" s="63">
        <v>62561</v>
      </c>
      <c r="Z20028" s="61">
        <f>_xll.qlYieldTSDiscount($U$35,Y20028,,Trigger)</f>
        <v>0.33528745745006572</v>
      </c>
    </row>
    <row r="20029" spans="25:26" x14ac:dyDescent="0.25">
      <c r="Y20029" s="63">
        <v>62562</v>
      </c>
      <c r="Z20029" s="61">
        <f>_xll.qlYieldTSDiscount($U$35,Y20029,,Trigger)</f>
        <v>0.33526738281712803</v>
      </c>
    </row>
    <row r="20030" spans="25:26" x14ac:dyDescent="0.25">
      <c r="Y20030" s="63">
        <v>62563</v>
      </c>
      <c r="Z20030" s="61">
        <f>_xll.qlYieldTSDiscount($U$35,Y20030,,Trigger)</f>
        <v>0.33524730888577048</v>
      </c>
    </row>
    <row r="20031" spans="25:26" x14ac:dyDescent="0.25">
      <c r="Y20031" s="63">
        <v>62564</v>
      </c>
      <c r="Z20031" s="61">
        <f>_xll.qlYieldTSDiscount($U$35,Y20031,,Trigger)</f>
        <v>0.33522723565562695</v>
      </c>
    </row>
    <row r="20032" spans="25:26" x14ac:dyDescent="0.25">
      <c r="Y20032" s="63">
        <v>62565</v>
      </c>
      <c r="Z20032" s="61">
        <f>_xll.qlYieldTSDiscount($U$35,Y20032,,Trigger)</f>
        <v>0.33520716312633159</v>
      </c>
    </row>
    <row r="20033" spans="25:26" x14ac:dyDescent="0.25">
      <c r="Y20033" s="63">
        <v>62566</v>
      </c>
      <c r="Z20033" s="61">
        <f>_xll.qlYieldTSDiscount($U$35,Y20033,,Trigger)</f>
        <v>0.33518709129751839</v>
      </c>
    </row>
    <row r="20034" spans="25:26" x14ac:dyDescent="0.25">
      <c r="Y20034" s="63">
        <v>62567</v>
      </c>
      <c r="Z20034" s="61">
        <f>_xll.qlYieldTSDiscount($U$35,Y20034,,Trigger)</f>
        <v>0.33516702016882138</v>
      </c>
    </row>
    <row r="20035" spans="25:26" x14ac:dyDescent="0.25">
      <c r="Y20035" s="63">
        <v>62568</v>
      </c>
      <c r="Z20035" s="61">
        <f>_xll.qlYieldTSDiscount($U$35,Y20035,,Trigger)</f>
        <v>0.33514694973987458</v>
      </c>
    </row>
    <row r="20036" spans="25:26" x14ac:dyDescent="0.25">
      <c r="Y20036" s="63">
        <v>62569</v>
      </c>
      <c r="Z20036" s="61">
        <f>_xll.qlYieldTSDiscount($U$35,Y20036,,Trigger)</f>
        <v>0.33512688001031193</v>
      </c>
    </row>
    <row r="20037" spans="25:26" x14ac:dyDescent="0.25">
      <c r="Y20037" s="63">
        <v>62570</v>
      </c>
      <c r="Z20037" s="61">
        <f>_xll.qlYieldTSDiscount($U$35,Y20037,,Trigger)</f>
        <v>0.33510681097976758</v>
      </c>
    </row>
    <row r="20038" spans="25:26" x14ac:dyDescent="0.25">
      <c r="Y20038" s="63">
        <v>62571</v>
      </c>
      <c r="Z20038" s="61">
        <f>_xll.qlYieldTSDiscount($U$35,Y20038,,Trigger)</f>
        <v>0.33508674264787547</v>
      </c>
    </row>
    <row r="20039" spans="25:26" x14ac:dyDescent="0.25">
      <c r="Y20039" s="63">
        <v>62572</v>
      </c>
      <c r="Z20039" s="61">
        <f>_xll.qlYieldTSDiscount($U$35,Y20039,,Trigger)</f>
        <v>0.33506667501426962</v>
      </c>
    </row>
    <row r="20040" spans="25:26" x14ac:dyDescent="0.25">
      <c r="Y20040" s="63">
        <v>62573</v>
      </c>
      <c r="Z20040" s="61">
        <f>_xll.qlYieldTSDiscount($U$35,Y20040,,Trigger)</f>
        <v>0.33504660807858411</v>
      </c>
    </row>
    <row r="20041" spans="25:26" x14ac:dyDescent="0.25">
      <c r="Y20041" s="63">
        <v>62574</v>
      </c>
      <c r="Z20041" s="61">
        <f>_xll.qlYieldTSDiscount($U$35,Y20041,,Trigger)</f>
        <v>0.33502654184045294</v>
      </c>
    </row>
    <row r="20042" spans="25:26" x14ac:dyDescent="0.25">
      <c r="Y20042" s="63">
        <v>62575</v>
      </c>
      <c r="Z20042" s="61">
        <f>_xll.qlYieldTSDiscount($U$35,Y20042,,Trigger)</f>
        <v>0.33500647629951003</v>
      </c>
    </row>
    <row r="20043" spans="25:26" x14ac:dyDescent="0.25">
      <c r="Y20043" s="63">
        <v>62576</v>
      </c>
      <c r="Z20043" s="61">
        <f>_xll.qlYieldTSDiscount($U$35,Y20043,,Trigger)</f>
        <v>0.3349864114553896</v>
      </c>
    </row>
    <row r="20044" spans="25:26" x14ac:dyDescent="0.25">
      <c r="Y20044" s="63">
        <v>62577</v>
      </c>
      <c r="Z20044" s="61">
        <f>_xll.qlYieldTSDiscount($U$35,Y20044,,Trigger)</f>
        <v>0.33496634730772551</v>
      </c>
    </row>
    <row r="20045" spans="25:26" x14ac:dyDescent="0.25">
      <c r="Y20045" s="63">
        <v>62578</v>
      </c>
      <c r="Z20045" s="61">
        <f>_xll.qlYieldTSDiscount($U$35,Y20045,,Trigger)</f>
        <v>0.33494628385615177</v>
      </c>
    </row>
    <row r="20046" spans="25:26" x14ac:dyDescent="0.25">
      <c r="Y20046" s="63">
        <v>62579</v>
      </c>
      <c r="Z20046" s="61">
        <f>_xll.qlYieldTSDiscount($U$35,Y20046,,Trigger)</f>
        <v>0.33492622110030262</v>
      </c>
    </row>
    <row r="20047" spans="25:26" x14ac:dyDescent="0.25">
      <c r="Y20047" s="63">
        <v>62580</v>
      </c>
      <c r="Z20047" s="61">
        <f>_xll.qlYieldTSDiscount($U$35,Y20047,,Trigger)</f>
        <v>0.3349061590398118</v>
      </c>
    </row>
    <row r="20048" spans="25:26" x14ac:dyDescent="0.25">
      <c r="Y20048" s="63">
        <v>62581</v>
      </c>
      <c r="Z20048" s="61">
        <f>_xll.qlYieldTSDiscount($U$35,Y20048,,Trigger)</f>
        <v>0.33488609767431349</v>
      </c>
    </row>
    <row r="20049" spans="25:26" x14ac:dyDescent="0.25">
      <c r="Y20049" s="63">
        <v>62582</v>
      </c>
      <c r="Z20049" s="61">
        <f>_xll.qlYieldTSDiscount($U$35,Y20049,,Trigger)</f>
        <v>0.33486603700344164</v>
      </c>
    </row>
    <row r="20050" spans="25:26" x14ac:dyDescent="0.25">
      <c r="Y20050" s="63">
        <v>62583</v>
      </c>
      <c r="Z20050" s="61">
        <f>_xll.qlYieldTSDiscount($U$35,Y20050,,Trigger)</f>
        <v>0.33484597702683044</v>
      </c>
    </row>
    <row r="20051" spans="25:26" x14ac:dyDescent="0.25">
      <c r="Y20051" s="63">
        <v>62584</v>
      </c>
      <c r="Z20051" s="61">
        <f>_xll.qlYieldTSDiscount($U$35,Y20051,,Trigger)</f>
        <v>0.33482591774411363</v>
      </c>
    </row>
    <row r="20052" spans="25:26" x14ac:dyDescent="0.25">
      <c r="Y20052" s="63">
        <v>62585</v>
      </c>
      <c r="Z20052" s="61">
        <f>_xll.qlYieldTSDiscount($U$35,Y20052,,Trigger)</f>
        <v>0.33480585915492544</v>
      </c>
    </row>
    <row r="20053" spans="25:26" x14ac:dyDescent="0.25">
      <c r="Y20053" s="63">
        <v>62586</v>
      </c>
      <c r="Z20053" s="61">
        <f>_xll.qlYieldTSDiscount($U$35,Y20053,,Trigger)</f>
        <v>0.3347858012588999</v>
      </c>
    </row>
    <row r="20054" spans="25:26" x14ac:dyDescent="0.25">
      <c r="Y20054" s="63">
        <v>62587</v>
      </c>
      <c r="Z20054" s="61">
        <f>_xll.qlYieldTSDiscount($U$35,Y20054,,Trigger)</f>
        <v>0.33476574405567094</v>
      </c>
    </row>
    <row r="20055" spans="25:26" x14ac:dyDescent="0.25">
      <c r="Y20055" s="63">
        <v>62588</v>
      </c>
      <c r="Z20055" s="61">
        <f>_xll.qlYieldTSDiscount($U$35,Y20055,,Trigger)</f>
        <v>0.33474568754487261</v>
      </c>
    </row>
    <row r="20056" spans="25:26" x14ac:dyDescent="0.25">
      <c r="Y20056" s="63">
        <v>62589</v>
      </c>
      <c r="Z20056" s="61">
        <f>_xll.qlYieldTSDiscount($U$35,Y20056,,Trigger)</f>
        <v>0.33472563172613895</v>
      </c>
    </row>
    <row r="20057" spans="25:26" x14ac:dyDescent="0.25">
      <c r="Y20057" s="63">
        <v>62590</v>
      </c>
      <c r="Z20057" s="61">
        <f>_xll.qlYieldTSDiscount($U$35,Y20057,,Trigger)</f>
        <v>0.33470557659910394</v>
      </c>
    </row>
    <row r="20058" spans="25:26" x14ac:dyDescent="0.25">
      <c r="Y20058" s="63">
        <v>62591</v>
      </c>
      <c r="Z20058" s="61">
        <f>_xll.qlYieldTSDiscount($U$35,Y20058,,Trigger)</f>
        <v>0.33468552216340164</v>
      </c>
    </row>
    <row r="20059" spans="25:26" x14ac:dyDescent="0.25">
      <c r="Y20059" s="63">
        <v>62592</v>
      </c>
      <c r="Z20059" s="61">
        <f>_xll.qlYieldTSDiscount($U$35,Y20059,,Trigger)</f>
        <v>0.33466546841866607</v>
      </c>
    </row>
    <row r="20060" spans="25:26" x14ac:dyDescent="0.25">
      <c r="Y20060" s="63">
        <v>62593</v>
      </c>
      <c r="Z20060" s="61">
        <f>_xll.qlYieldTSDiscount($U$35,Y20060,,Trigger)</f>
        <v>0.33464541536453118</v>
      </c>
    </row>
    <row r="20061" spans="25:26" x14ac:dyDescent="0.25">
      <c r="Y20061" s="63">
        <v>62594</v>
      </c>
      <c r="Z20061" s="61">
        <f>_xll.qlYieldTSDiscount($U$35,Y20061,,Trigger)</f>
        <v>0.33462536300063112</v>
      </c>
    </row>
    <row r="20062" spans="25:26" x14ac:dyDescent="0.25">
      <c r="Y20062" s="63">
        <v>62595</v>
      </c>
      <c r="Z20062" s="61">
        <f>_xll.qlYieldTSDiscount($U$35,Y20062,,Trigger)</f>
        <v>0.33460531132659976</v>
      </c>
    </row>
    <row r="20063" spans="25:26" x14ac:dyDescent="0.25">
      <c r="Y20063" s="63">
        <v>62596</v>
      </c>
      <c r="Z20063" s="61">
        <f>_xll.qlYieldTSDiscount($U$35,Y20063,,Trigger)</f>
        <v>0.33458526034207131</v>
      </c>
    </row>
    <row r="20064" spans="25:26" x14ac:dyDescent="0.25">
      <c r="Y20064" s="63">
        <v>62597</v>
      </c>
      <c r="Z20064" s="61">
        <f>_xll.qlYieldTSDiscount($U$35,Y20064,,Trigger)</f>
        <v>0.33456521004667961</v>
      </c>
    </row>
    <row r="20065" spans="25:26" x14ac:dyDescent="0.25">
      <c r="Y20065" s="63">
        <v>62598</v>
      </c>
      <c r="Z20065" s="61">
        <f>_xll.qlYieldTSDiscount($U$35,Y20065,,Trigger)</f>
        <v>0.33454516044005878</v>
      </c>
    </row>
    <row r="20066" spans="25:26" x14ac:dyDescent="0.25">
      <c r="Y20066" s="63">
        <v>62599</v>
      </c>
      <c r="Z20066" s="61">
        <f>_xll.qlYieldTSDiscount($U$35,Y20066,,Trigger)</f>
        <v>0.33452511152184289</v>
      </c>
    </row>
    <row r="20067" spans="25:26" x14ac:dyDescent="0.25">
      <c r="Y20067" s="63">
        <v>62600</v>
      </c>
      <c r="Z20067" s="61">
        <f>_xll.qlYieldTSDiscount($U$35,Y20067,,Trigger)</f>
        <v>0.33450506329166585</v>
      </c>
    </row>
    <row r="20068" spans="25:26" x14ac:dyDescent="0.25">
      <c r="Y20068" s="63">
        <v>62601</v>
      </c>
      <c r="Z20068" s="61">
        <f>_xll.qlYieldTSDiscount($U$35,Y20068,,Trigger)</f>
        <v>0.33448501574916167</v>
      </c>
    </row>
    <row r="20069" spans="25:26" x14ac:dyDescent="0.25">
      <c r="Y20069" s="63">
        <v>62602</v>
      </c>
      <c r="Z20069" s="61">
        <f>_xll.qlYieldTSDiscount($U$35,Y20069,,Trigger)</f>
        <v>0.33446496889396454</v>
      </c>
    </row>
    <row r="20070" spans="25:26" x14ac:dyDescent="0.25">
      <c r="Y20070" s="63">
        <v>62603</v>
      </c>
      <c r="Z20070" s="61">
        <f>_xll.qlYieldTSDiscount($U$35,Y20070,,Trigger)</f>
        <v>0.33444492272570825</v>
      </c>
    </row>
    <row r="20071" spans="25:26" x14ac:dyDescent="0.25">
      <c r="Y20071" s="63">
        <v>62604</v>
      </c>
      <c r="Z20071" s="61">
        <f>_xll.qlYieldTSDiscount($U$35,Y20071,,Trigger)</f>
        <v>0.33442487724402697</v>
      </c>
    </row>
    <row r="20072" spans="25:26" x14ac:dyDescent="0.25">
      <c r="Y20072" s="63">
        <v>62605</v>
      </c>
      <c r="Z20072" s="61">
        <f>_xll.qlYieldTSDiscount($U$35,Y20072,,Trigger)</f>
        <v>0.33440483244855485</v>
      </c>
    </row>
    <row r="20073" spans="25:26" x14ac:dyDescent="0.25">
      <c r="Y20073" s="63">
        <v>62606</v>
      </c>
      <c r="Z20073" s="61">
        <f>_xll.qlYieldTSDiscount($U$35,Y20073,,Trigger)</f>
        <v>0.3343847883389256</v>
      </c>
    </row>
    <row r="20074" spans="25:26" x14ac:dyDescent="0.25">
      <c r="Y20074" s="63">
        <v>62607</v>
      </c>
      <c r="Z20074" s="61">
        <f>_xll.qlYieldTSDiscount($U$35,Y20074,,Trigger)</f>
        <v>0.33436474491477342</v>
      </c>
    </row>
    <row r="20075" spans="25:26" x14ac:dyDescent="0.25">
      <c r="Y20075" s="63">
        <v>62608</v>
      </c>
      <c r="Z20075" s="61">
        <f>_xll.qlYieldTSDiscount($U$35,Y20075,,Trigger)</f>
        <v>0.33434470217573237</v>
      </c>
    </row>
    <row r="20076" spans="25:26" x14ac:dyDescent="0.25">
      <c r="Y20076" s="63">
        <v>62609</v>
      </c>
      <c r="Z20076" s="61">
        <f>_xll.qlYieldTSDiscount($U$35,Y20076,,Trigger)</f>
        <v>0.3343246601214363</v>
      </c>
    </row>
    <row r="20077" spans="25:26" x14ac:dyDescent="0.25">
      <c r="Y20077" s="63">
        <v>62610</v>
      </c>
      <c r="Z20077" s="61">
        <f>_xll.qlYieldTSDiscount($U$35,Y20077,,Trigger)</f>
        <v>0.3343046187515194</v>
      </c>
    </row>
    <row r="20078" spans="25:26" x14ac:dyDescent="0.25">
      <c r="Y20078" s="63">
        <v>62611</v>
      </c>
      <c r="Z20078" s="61">
        <f>_xll.qlYieldTSDiscount($U$35,Y20078,,Trigger)</f>
        <v>0.33428457806561562</v>
      </c>
    </row>
    <row r="20079" spans="25:26" x14ac:dyDescent="0.25">
      <c r="Y20079" s="63">
        <v>62612</v>
      </c>
      <c r="Z20079" s="61">
        <f>_xll.qlYieldTSDiscount($U$35,Y20079,,Trigger)</f>
        <v>0.33426453806335904</v>
      </c>
    </row>
    <row r="20080" spans="25:26" x14ac:dyDescent="0.25">
      <c r="Y20080" s="63">
        <v>62613</v>
      </c>
      <c r="Z20080" s="61">
        <f>_xll.qlYieldTSDiscount($U$35,Y20080,,Trigger)</f>
        <v>0.33424449874438361</v>
      </c>
    </row>
    <row r="20081" spans="25:26" x14ac:dyDescent="0.25">
      <c r="Y20081" s="63">
        <v>62614</v>
      </c>
      <c r="Z20081" s="61">
        <f>_xll.qlYieldTSDiscount($U$35,Y20081,,Trigger)</f>
        <v>0.33422446010832335</v>
      </c>
    </row>
    <row r="20082" spans="25:26" x14ac:dyDescent="0.25">
      <c r="Y20082" s="63">
        <v>62615</v>
      </c>
      <c r="Z20082" s="61">
        <f>_xll.qlYieldTSDiscount($U$35,Y20082,,Trigger)</f>
        <v>0.33420442215481239</v>
      </c>
    </row>
    <row r="20083" spans="25:26" x14ac:dyDescent="0.25">
      <c r="Y20083" s="63">
        <v>62616</v>
      </c>
      <c r="Z20083" s="61">
        <f>_xll.qlYieldTSDiscount($U$35,Y20083,,Trigger)</f>
        <v>0.33418438488348462</v>
      </c>
    </row>
    <row r="20084" spans="25:26" x14ac:dyDescent="0.25">
      <c r="Y20084" s="63">
        <v>62617</v>
      </c>
      <c r="Z20084" s="61">
        <f>_xll.qlYieldTSDiscount($U$35,Y20084,,Trigger)</f>
        <v>0.33416434829397412</v>
      </c>
    </row>
    <row r="20085" spans="25:26" x14ac:dyDescent="0.25">
      <c r="Y20085" s="63">
        <v>62618</v>
      </c>
      <c r="Z20085" s="61">
        <f>_xll.qlYieldTSDiscount($U$35,Y20085,,Trigger)</f>
        <v>0.33414431238591497</v>
      </c>
    </row>
    <row r="20086" spans="25:26" x14ac:dyDescent="0.25">
      <c r="Y20086" s="63">
        <v>62619</v>
      </c>
      <c r="Z20086" s="61">
        <f>_xll.qlYieldTSDiscount($U$35,Y20086,,Trigger)</f>
        <v>0.33412427715894105</v>
      </c>
    </row>
    <row r="20087" spans="25:26" x14ac:dyDescent="0.25">
      <c r="Y20087" s="63">
        <v>62620</v>
      </c>
      <c r="Z20087" s="61">
        <f>_xll.qlYieldTSDiscount($U$35,Y20087,,Trigger)</f>
        <v>0.33410424261268651</v>
      </c>
    </row>
    <row r="20088" spans="25:26" x14ac:dyDescent="0.25">
      <c r="Y20088" s="63">
        <v>62621</v>
      </c>
      <c r="Z20088" s="61">
        <f>_xll.qlYieldTSDiscount($U$35,Y20088,,Trigger)</f>
        <v>0.33408420874678529</v>
      </c>
    </row>
    <row r="20089" spans="25:26" x14ac:dyDescent="0.25">
      <c r="Y20089" s="63">
        <v>62622</v>
      </c>
      <c r="Z20089" s="61">
        <f>_xll.qlYieldTSDiscount($U$35,Y20089,,Trigger)</f>
        <v>0.33406417556087142</v>
      </c>
    </row>
    <row r="20090" spans="25:26" x14ac:dyDescent="0.25">
      <c r="Y20090" s="63">
        <v>62623</v>
      </c>
      <c r="Z20090" s="61">
        <f>_xll.qlYieldTSDiscount($U$35,Y20090,,Trigger)</f>
        <v>0.33404414305457897</v>
      </c>
    </row>
    <row r="20091" spans="25:26" x14ac:dyDescent="0.25">
      <c r="Y20091" s="63">
        <v>62624</v>
      </c>
      <c r="Z20091" s="61">
        <f>_xll.qlYieldTSDiscount($U$35,Y20091,,Trigger)</f>
        <v>0.334024111227542</v>
      </c>
    </row>
    <row r="20092" spans="25:26" x14ac:dyDescent="0.25">
      <c r="Y20092" s="63">
        <v>62625</v>
      </c>
      <c r="Z20092" s="61">
        <f>_xll.qlYieldTSDiscount($U$35,Y20092,,Trigger)</f>
        <v>0.33400408007939447</v>
      </c>
    </row>
    <row r="20093" spans="25:26" x14ac:dyDescent="0.25">
      <c r="Y20093" s="63">
        <v>62626</v>
      </c>
      <c r="Z20093" s="61">
        <f>_xll.qlYieldTSDiscount($U$35,Y20093,,Trigger)</f>
        <v>0.33398404960977035</v>
      </c>
    </row>
    <row r="20094" spans="25:26" x14ac:dyDescent="0.25">
      <c r="Y20094" s="63">
        <v>62627</v>
      </c>
      <c r="Z20094" s="61">
        <f>_xll.qlYieldTSDiscount($U$35,Y20094,,Trigger)</f>
        <v>0.3339640198183037</v>
      </c>
    </row>
    <row r="20095" spans="25:26" x14ac:dyDescent="0.25">
      <c r="Y20095" s="63">
        <v>62628</v>
      </c>
      <c r="Z20095" s="61">
        <f>_xll.qlYieldTSDiscount($U$35,Y20095,,Trigger)</f>
        <v>0.33394399070462855</v>
      </c>
    </row>
    <row r="20096" spans="25:26" x14ac:dyDescent="0.25">
      <c r="Y20096" s="63">
        <v>62629</v>
      </c>
      <c r="Z20096" s="61">
        <f>_xll.qlYieldTSDiscount($U$35,Y20096,,Trigger)</f>
        <v>0.333923962268379</v>
      </c>
    </row>
    <row r="20097" spans="25:26" x14ac:dyDescent="0.25">
      <c r="Y20097" s="63">
        <v>62630</v>
      </c>
      <c r="Z20097" s="61">
        <f>_xll.qlYieldTSDiscount($U$35,Y20097,,Trigger)</f>
        <v>0.33390393450918893</v>
      </c>
    </row>
    <row r="20098" spans="25:26" x14ac:dyDescent="0.25">
      <c r="Y20098" s="63">
        <v>62631</v>
      </c>
      <c r="Z20098" s="61">
        <f>_xll.qlYieldTSDiscount($U$35,Y20098,,Trigger)</f>
        <v>0.33388390742669255</v>
      </c>
    </row>
    <row r="20099" spans="25:26" x14ac:dyDescent="0.25">
      <c r="Y20099" s="63">
        <v>62632</v>
      </c>
      <c r="Z20099" s="61">
        <f>_xll.qlYieldTSDiscount($U$35,Y20099,,Trigger)</f>
        <v>0.33386388102052361</v>
      </c>
    </row>
    <row r="20100" spans="25:26" x14ac:dyDescent="0.25">
      <c r="Y20100" s="63">
        <v>62633</v>
      </c>
      <c r="Z20100" s="61">
        <f>_xll.qlYieldTSDiscount($U$35,Y20100,,Trigger)</f>
        <v>0.33384385529031635</v>
      </c>
    </row>
    <row r="20101" spans="25:26" x14ac:dyDescent="0.25">
      <c r="Y20101" s="63">
        <v>62634</v>
      </c>
      <c r="Z20101" s="61">
        <f>_xll.qlYieldTSDiscount($U$35,Y20101,,Trigger)</f>
        <v>0.33382383023570472</v>
      </c>
    </row>
    <row r="20102" spans="25:26" x14ac:dyDescent="0.25">
      <c r="Y20102" s="63">
        <v>62635</v>
      </c>
      <c r="Z20102" s="61">
        <f>_xll.qlYieldTSDiscount($U$35,Y20102,,Trigger)</f>
        <v>0.3338038058563228</v>
      </c>
    </row>
    <row r="20103" spans="25:26" x14ac:dyDescent="0.25">
      <c r="Y20103" s="63">
        <v>62636</v>
      </c>
      <c r="Z20103" s="61">
        <f>_xll.qlYieldTSDiscount($U$35,Y20103,,Trigger)</f>
        <v>0.33378378215180449</v>
      </c>
    </row>
    <row r="20104" spans="25:26" x14ac:dyDescent="0.25">
      <c r="Y20104" s="63">
        <v>62637</v>
      </c>
      <c r="Z20104" s="61">
        <f>_xll.qlYieldTSDiscount($U$35,Y20104,,Trigger)</f>
        <v>0.33376375912178391</v>
      </c>
    </row>
    <row r="20105" spans="25:26" x14ac:dyDescent="0.25">
      <c r="Y20105" s="63">
        <v>62638</v>
      </c>
      <c r="Z20105" s="61">
        <f>_xll.qlYieldTSDiscount($U$35,Y20105,,Trigger)</f>
        <v>0.33374373676589508</v>
      </c>
    </row>
    <row r="20106" spans="25:26" x14ac:dyDescent="0.25">
      <c r="Y20106" s="63">
        <v>62639</v>
      </c>
      <c r="Z20106" s="61">
        <f>_xll.qlYieldTSDiscount($U$35,Y20106,,Trigger)</f>
        <v>0.33372371508377197</v>
      </c>
    </row>
    <row r="20107" spans="25:26" x14ac:dyDescent="0.25">
      <c r="Y20107" s="63">
        <v>62640</v>
      </c>
      <c r="Z20107" s="61">
        <f>_xll.qlYieldTSDiscount($U$35,Y20107,,Trigger)</f>
        <v>0.33370369407504863</v>
      </c>
    </row>
    <row r="20108" spans="25:26" x14ac:dyDescent="0.25">
      <c r="Y20108" s="63">
        <v>62641</v>
      </c>
      <c r="Z20108" s="61">
        <f>_xll.qlYieldTSDiscount($U$35,Y20108,,Trigger)</f>
        <v>0.33368367373935914</v>
      </c>
    </row>
    <row r="20109" spans="25:26" x14ac:dyDescent="0.25">
      <c r="Y20109" s="63">
        <v>62642</v>
      </c>
      <c r="Z20109" s="61">
        <f>_xll.qlYieldTSDiscount($U$35,Y20109,,Trigger)</f>
        <v>0.33366365407633736</v>
      </c>
    </row>
    <row r="20110" spans="25:26" x14ac:dyDescent="0.25">
      <c r="Y20110" s="63">
        <v>62643</v>
      </c>
      <c r="Z20110" s="61">
        <f>_xll.qlYieldTSDiscount($U$35,Y20110,,Trigger)</f>
        <v>0.33364363508561745</v>
      </c>
    </row>
    <row r="20111" spans="25:26" x14ac:dyDescent="0.25">
      <c r="Y20111" s="63">
        <v>62644</v>
      </c>
      <c r="Z20111" s="61">
        <f>_xll.qlYieldTSDiscount($U$35,Y20111,,Trigger)</f>
        <v>0.33362361676683344</v>
      </c>
    </row>
    <row r="20112" spans="25:26" x14ac:dyDescent="0.25">
      <c r="Y20112" s="63">
        <v>62645</v>
      </c>
      <c r="Z20112" s="61">
        <f>_xll.qlYieldTSDiscount($U$35,Y20112,,Trigger)</f>
        <v>0.33360359911961923</v>
      </c>
    </row>
    <row r="20113" spans="25:26" x14ac:dyDescent="0.25">
      <c r="Y20113" s="63">
        <v>62646</v>
      </c>
      <c r="Z20113" s="61">
        <f>_xll.qlYieldTSDiscount($U$35,Y20113,,Trigger)</f>
        <v>0.33358358214360906</v>
      </c>
    </row>
    <row r="20114" spans="25:26" x14ac:dyDescent="0.25">
      <c r="Y20114" s="63">
        <v>62647</v>
      </c>
      <c r="Z20114" s="61">
        <f>_xll.qlYieldTSDiscount($U$35,Y20114,,Trigger)</f>
        <v>0.33356356583843672</v>
      </c>
    </row>
    <row r="20115" spans="25:26" x14ac:dyDescent="0.25">
      <c r="Y20115" s="63">
        <v>62648</v>
      </c>
      <c r="Z20115" s="61">
        <f>_xll.qlYieldTSDiscount($U$35,Y20115,,Trigger)</f>
        <v>0.33354355020373633</v>
      </c>
    </row>
    <row r="20116" spans="25:26" x14ac:dyDescent="0.25">
      <c r="Y20116" s="63">
        <v>62649</v>
      </c>
      <c r="Z20116" s="61">
        <f>_xll.qlYieldTSDiscount($U$35,Y20116,,Trigger)</f>
        <v>0.33352353523914191</v>
      </c>
    </row>
    <row r="20117" spans="25:26" x14ac:dyDescent="0.25">
      <c r="Y20117" s="63">
        <v>62650</v>
      </c>
      <c r="Z20117" s="61">
        <f>_xll.qlYieldTSDiscount($U$35,Y20117,,Trigger)</f>
        <v>0.33350352094428748</v>
      </c>
    </row>
    <row r="20118" spans="25:26" x14ac:dyDescent="0.25">
      <c r="Y20118" s="63">
        <v>62651</v>
      </c>
      <c r="Z20118" s="61">
        <f>_xll.qlYieldTSDiscount($U$35,Y20118,,Trigger)</f>
        <v>0.33348350731880705</v>
      </c>
    </row>
    <row r="20119" spans="25:26" x14ac:dyDescent="0.25">
      <c r="Y20119" s="63">
        <v>62652</v>
      </c>
      <c r="Z20119" s="61">
        <f>_xll.qlYieldTSDiscount($U$35,Y20119,,Trigger)</f>
        <v>0.33346349436233463</v>
      </c>
    </row>
    <row r="20120" spans="25:26" x14ac:dyDescent="0.25">
      <c r="Y20120" s="63">
        <v>62653</v>
      </c>
      <c r="Z20120" s="61">
        <f>_xll.qlYieldTSDiscount($U$35,Y20120,,Trigger)</f>
        <v>0.3334434820745043</v>
      </c>
    </row>
    <row r="20121" spans="25:26" x14ac:dyDescent="0.25">
      <c r="Y20121" s="63">
        <v>62654</v>
      </c>
      <c r="Z20121" s="61">
        <f>_xll.qlYieldTSDiscount($U$35,Y20121,,Trigger)</f>
        <v>0.33342347045495002</v>
      </c>
    </row>
    <row r="20122" spans="25:26" x14ac:dyDescent="0.25">
      <c r="Y20122" s="63">
        <v>62655</v>
      </c>
      <c r="Z20122" s="61">
        <f>_xll.qlYieldTSDiscount($U$35,Y20122,,Trigger)</f>
        <v>0.33340345950330585</v>
      </c>
    </row>
    <row r="20123" spans="25:26" x14ac:dyDescent="0.25">
      <c r="Y20123" s="63">
        <v>62656</v>
      </c>
      <c r="Z20123" s="61">
        <f>_xll.qlYieldTSDiscount($U$35,Y20123,,Trigger)</f>
        <v>0.33338344921920582</v>
      </c>
    </row>
    <row r="20124" spans="25:26" x14ac:dyDescent="0.25">
      <c r="Y20124" s="63">
        <v>62657</v>
      </c>
      <c r="Z20124" s="61">
        <f>_xll.qlYieldTSDiscount($U$35,Y20124,,Trigger)</f>
        <v>0.33336343960228393</v>
      </c>
    </row>
    <row r="20125" spans="25:26" x14ac:dyDescent="0.25">
      <c r="Y20125" s="63">
        <v>62658</v>
      </c>
      <c r="Z20125" s="61">
        <f>_xll.qlYieldTSDiscount($U$35,Y20125,,Trigger)</f>
        <v>0.3333434306521742</v>
      </c>
    </row>
    <row r="20126" spans="25:26" x14ac:dyDescent="0.25">
      <c r="Y20126" s="63">
        <v>62659</v>
      </c>
      <c r="Z20126" s="61">
        <f>_xll.qlYieldTSDiscount($U$35,Y20126,,Trigger)</f>
        <v>0.33332342236851054</v>
      </c>
    </row>
    <row r="20127" spans="25:26" x14ac:dyDescent="0.25">
      <c r="Y20127" s="63">
        <v>62660</v>
      </c>
      <c r="Z20127" s="61">
        <f>_xll.qlYieldTSDiscount($U$35,Y20127,,Trigger)</f>
        <v>0.33330341475092723</v>
      </c>
    </row>
    <row r="20128" spans="25:26" x14ac:dyDescent="0.25">
      <c r="Y20128" s="63">
        <v>62661</v>
      </c>
      <c r="Z20128" s="61">
        <f>_xll.qlYieldTSDiscount($U$35,Y20128,,Trigger)</f>
        <v>0.33328340779905807</v>
      </c>
    </row>
    <row r="20129" spans="25:26" x14ac:dyDescent="0.25">
      <c r="Y20129" s="63">
        <v>62662</v>
      </c>
      <c r="Z20129" s="61">
        <f>_xll.qlYieldTSDiscount($U$35,Y20129,,Trigger)</f>
        <v>0.33326340151253719</v>
      </c>
    </row>
    <row r="20130" spans="25:26" x14ac:dyDescent="0.25">
      <c r="Y20130" s="63">
        <v>62663</v>
      </c>
      <c r="Z20130" s="61">
        <f>_xll.qlYieldTSDiscount($U$35,Y20130,,Trigger)</f>
        <v>0.33324339589099861</v>
      </c>
    </row>
    <row r="20131" spans="25:26" x14ac:dyDescent="0.25">
      <c r="Y20131" s="63">
        <v>62664</v>
      </c>
      <c r="Z20131" s="61">
        <f>_xll.qlYieldTSDiscount($U$35,Y20131,,Trigger)</f>
        <v>0.33322339093407632</v>
      </c>
    </row>
    <row r="20132" spans="25:26" x14ac:dyDescent="0.25">
      <c r="Y20132" s="63">
        <v>62665</v>
      </c>
      <c r="Z20132" s="61">
        <f>_xll.qlYieldTSDiscount($U$35,Y20132,,Trigger)</f>
        <v>0.33320338664140431</v>
      </c>
    </row>
    <row r="20133" spans="25:26" x14ac:dyDescent="0.25">
      <c r="Y20133" s="63">
        <v>62666</v>
      </c>
      <c r="Z20133" s="61">
        <f>_xll.qlYieldTSDiscount($U$35,Y20133,,Trigger)</f>
        <v>0.33318338301261669</v>
      </c>
    </row>
    <row r="20134" spans="25:26" x14ac:dyDescent="0.25">
      <c r="Y20134" s="63">
        <v>62667</v>
      </c>
      <c r="Z20134" s="61">
        <f>_xll.qlYieldTSDiscount($U$35,Y20134,,Trigger)</f>
        <v>0.33316338004734736</v>
      </c>
    </row>
    <row r="20135" spans="25:26" x14ac:dyDescent="0.25">
      <c r="Y20135" s="63">
        <v>62668</v>
      </c>
      <c r="Z20135" s="61">
        <f>_xll.qlYieldTSDiscount($U$35,Y20135,,Trigger)</f>
        <v>0.33314337774523045</v>
      </c>
    </row>
    <row r="20136" spans="25:26" x14ac:dyDescent="0.25">
      <c r="Y20136" s="63">
        <v>62669</v>
      </c>
      <c r="Z20136" s="61">
        <f>_xll.qlYieldTSDiscount($U$35,Y20136,,Trigger)</f>
        <v>0.33312337610589998</v>
      </c>
    </row>
    <row r="20137" spans="25:26" x14ac:dyDescent="0.25">
      <c r="Y20137" s="63">
        <v>62670</v>
      </c>
      <c r="Z20137" s="61">
        <f>_xll.qlYieldTSDiscount($U$35,Y20137,,Trigger)</f>
        <v>0.33310337512898985</v>
      </c>
    </row>
    <row r="20138" spans="25:26" x14ac:dyDescent="0.25">
      <c r="Y20138" s="63">
        <v>62671</v>
      </c>
      <c r="Z20138" s="61">
        <f>_xll.qlYieldTSDiscount($U$35,Y20138,,Trigger)</f>
        <v>0.33308337481413419</v>
      </c>
    </row>
    <row r="20139" spans="25:26" x14ac:dyDescent="0.25">
      <c r="Y20139" s="63">
        <v>62672</v>
      </c>
      <c r="Z20139" s="61">
        <f>_xll.qlYieldTSDiscount($U$35,Y20139,,Trigger)</f>
        <v>0.33306337516096701</v>
      </c>
    </row>
    <row r="20140" spans="25:26" x14ac:dyDescent="0.25">
      <c r="Y20140" s="63">
        <v>62673</v>
      </c>
      <c r="Z20140" s="61">
        <f>_xll.qlYieldTSDiscount($U$35,Y20140,,Trigger)</f>
        <v>0.33304337616912238</v>
      </c>
    </row>
    <row r="20141" spans="25:26" x14ac:dyDescent="0.25">
      <c r="Y20141" s="63">
        <v>62674</v>
      </c>
      <c r="Z20141" s="61">
        <f>_xll.qlYieldTSDiscount($U$35,Y20141,,Trigger)</f>
        <v>0.33302337783823416</v>
      </c>
    </row>
    <row r="20142" spans="25:26" x14ac:dyDescent="0.25">
      <c r="Y20142" s="63">
        <v>62675</v>
      </c>
      <c r="Z20142" s="61">
        <f>_xll.qlYieldTSDiscount($U$35,Y20142,,Trigger)</f>
        <v>0.33300338016793651</v>
      </c>
    </row>
    <row r="20143" spans="25:26" x14ac:dyDescent="0.25">
      <c r="Y20143" s="63">
        <v>62676</v>
      </c>
      <c r="Z20143" s="61">
        <f>_xll.qlYieldTSDiscount($U$35,Y20143,,Trigger)</f>
        <v>0.33298338315786347</v>
      </c>
    </row>
    <row r="20144" spans="25:26" x14ac:dyDescent="0.25">
      <c r="Y20144" s="63">
        <v>62677</v>
      </c>
      <c r="Z20144" s="61">
        <f>_xll.qlYieldTSDiscount($U$35,Y20144,,Trigger)</f>
        <v>0.33296338680764898</v>
      </c>
    </row>
    <row r="20145" spans="25:26" x14ac:dyDescent="0.25">
      <c r="Y20145" s="63">
        <v>62678</v>
      </c>
      <c r="Z20145" s="61">
        <f>_xll.qlYieldTSDiscount($U$35,Y20145,,Trigger)</f>
        <v>0.33294339111692706</v>
      </c>
    </row>
    <row r="20146" spans="25:26" x14ac:dyDescent="0.25">
      <c r="Y20146" s="63">
        <v>62679</v>
      </c>
      <c r="Z20146" s="61">
        <f>_xll.qlYieldTSDiscount($U$35,Y20146,,Trigger)</f>
        <v>0.33292339608533184</v>
      </c>
    </row>
    <row r="20147" spans="25:26" x14ac:dyDescent="0.25">
      <c r="Y20147" s="63">
        <v>62680</v>
      </c>
      <c r="Z20147" s="61">
        <f>_xll.qlYieldTSDiscount($U$35,Y20147,,Trigger)</f>
        <v>0.33290340171249716</v>
      </c>
    </row>
    <row r="20148" spans="25:26" x14ac:dyDescent="0.25">
      <c r="Y20148" s="63">
        <v>62681</v>
      </c>
      <c r="Z20148" s="61">
        <f>_xll.qlYieldTSDiscount($U$35,Y20148,,Trigger)</f>
        <v>0.33288340799805721</v>
      </c>
    </row>
    <row r="20149" spans="25:26" x14ac:dyDescent="0.25">
      <c r="Y20149" s="63">
        <v>62682</v>
      </c>
      <c r="Z20149" s="61">
        <f>_xll.qlYieldTSDiscount($U$35,Y20149,,Trigger)</f>
        <v>0.3328634149416459</v>
      </c>
    </row>
    <row r="20150" spans="25:26" x14ac:dyDescent="0.25">
      <c r="Y20150" s="63">
        <v>62683</v>
      </c>
      <c r="Z20150" s="61">
        <f>_xll.qlYieldTSDiscount($U$35,Y20150,,Trigger)</f>
        <v>0.33284342254289734</v>
      </c>
    </row>
    <row r="20151" spans="25:26" x14ac:dyDescent="0.25">
      <c r="Y20151" s="63">
        <v>62684</v>
      </c>
      <c r="Z20151" s="61">
        <f>_xll.qlYieldTSDiscount($U$35,Y20151,,Trigger)</f>
        <v>0.3328234308014455</v>
      </c>
    </row>
    <row r="20152" spans="25:26" x14ac:dyDescent="0.25">
      <c r="Y20152" s="63">
        <v>62685</v>
      </c>
      <c r="Z20152" s="61">
        <f>_xll.qlYieldTSDiscount($U$35,Y20152,,Trigger)</f>
        <v>0.33280343971692439</v>
      </c>
    </row>
    <row r="20153" spans="25:26" x14ac:dyDescent="0.25">
      <c r="Y20153" s="63">
        <v>62686</v>
      </c>
      <c r="Z20153" s="61">
        <f>_xll.qlYieldTSDiscount($U$35,Y20153,,Trigger)</f>
        <v>0.33278344928896814</v>
      </c>
    </row>
    <row r="20154" spans="25:26" x14ac:dyDescent="0.25">
      <c r="Y20154" s="63">
        <v>62687</v>
      </c>
      <c r="Z20154" s="61">
        <f>_xll.qlYieldTSDiscount($U$35,Y20154,,Trigger)</f>
        <v>0.33276345951721059</v>
      </c>
    </row>
    <row r="20155" spans="25:26" x14ac:dyDescent="0.25">
      <c r="Y20155" s="63">
        <v>62688</v>
      </c>
      <c r="Z20155" s="61">
        <f>_xll.qlYieldTSDiscount($U$35,Y20155,,Trigger)</f>
        <v>0.33274347040128582</v>
      </c>
    </row>
    <row r="20156" spans="25:26" x14ac:dyDescent="0.25">
      <c r="Y20156" s="63">
        <v>62689</v>
      </c>
      <c r="Z20156" s="61">
        <f>_xll.qlYieldTSDiscount($U$35,Y20156,,Trigger)</f>
        <v>0.33272348194082807</v>
      </c>
    </row>
    <row r="20157" spans="25:26" x14ac:dyDescent="0.25">
      <c r="Y20157" s="63">
        <v>62690</v>
      </c>
      <c r="Z20157" s="61">
        <f>_xll.qlYieldTSDiscount($U$35,Y20157,,Trigger)</f>
        <v>0.33270349413547107</v>
      </c>
    </row>
    <row r="20158" spans="25:26" x14ac:dyDescent="0.25">
      <c r="Y20158" s="63">
        <v>62691</v>
      </c>
      <c r="Z20158" s="61">
        <f>_xll.qlYieldTSDiscount($U$35,Y20158,,Trigger)</f>
        <v>0.33268350698484894</v>
      </c>
    </row>
    <row r="20159" spans="25:26" x14ac:dyDescent="0.25">
      <c r="Y20159" s="63">
        <v>62692</v>
      </c>
      <c r="Z20159" s="61">
        <f>_xll.qlYieldTSDiscount($U$35,Y20159,,Trigger)</f>
        <v>0.33266352048859577</v>
      </c>
    </row>
    <row r="20160" spans="25:26" x14ac:dyDescent="0.25">
      <c r="Y20160" s="63">
        <v>62693</v>
      </c>
      <c r="Z20160" s="61">
        <f>_xll.qlYieldTSDiscount($U$35,Y20160,,Trigger)</f>
        <v>0.33264353464634544</v>
      </c>
    </row>
    <row r="20161" spans="25:26" x14ac:dyDescent="0.25">
      <c r="Y20161" s="63">
        <v>62694</v>
      </c>
      <c r="Z20161" s="61">
        <f>_xll.qlYieldTSDiscount($U$35,Y20161,,Trigger)</f>
        <v>0.33262354945773215</v>
      </c>
    </row>
    <row r="20162" spans="25:26" x14ac:dyDescent="0.25">
      <c r="Y20162" s="63">
        <v>62695</v>
      </c>
      <c r="Z20162" s="61">
        <f>_xll.qlYieldTSDiscount($U$35,Y20162,,Trigger)</f>
        <v>0.33260356492238985</v>
      </c>
    </row>
    <row r="20163" spans="25:26" x14ac:dyDescent="0.25">
      <c r="Y20163" s="63">
        <v>62696</v>
      </c>
      <c r="Z20163" s="61">
        <f>_xll.qlYieldTSDiscount($U$35,Y20163,,Trigger)</f>
        <v>0.33258358103995239</v>
      </c>
    </row>
    <row r="20164" spans="25:26" x14ac:dyDescent="0.25">
      <c r="Y20164" s="63">
        <v>62697</v>
      </c>
      <c r="Z20164" s="61">
        <f>_xll.qlYieldTSDiscount($U$35,Y20164,,Trigger)</f>
        <v>0.33256359781005407</v>
      </c>
    </row>
    <row r="20165" spans="25:26" x14ac:dyDescent="0.25">
      <c r="Y20165" s="63">
        <v>62698</v>
      </c>
      <c r="Z20165" s="61">
        <f>_xll.qlYieldTSDiscount($U$35,Y20165,,Trigger)</f>
        <v>0.33254361523232884</v>
      </c>
    </row>
    <row r="20166" spans="25:26" x14ac:dyDescent="0.25">
      <c r="Y20166" s="63">
        <v>62699</v>
      </c>
      <c r="Z20166" s="61">
        <f>_xll.qlYieldTSDiscount($U$35,Y20166,,Trigger)</f>
        <v>0.33252363330641055</v>
      </c>
    </row>
    <row r="20167" spans="25:26" x14ac:dyDescent="0.25">
      <c r="Y20167" s="63">
        <v>62700</v>
      </c>
      <c r="Z20167" s="61">
        <f>_xll.qlYieldTSDiscount($U$35,Y20167,,Trigger)</f>
        <v>0.33250365203193333</v>
      </c>
    </row>
    <row r="20168" spans="25:26" x14ac:dyDescent="0.25">
      <c r="Y20168" s="63">
        <v>62701</v>
      </c>
      <c r="Z20168" s="61">
        <f>_xll.qlYieldTSDiscount($U$35,Y20168,,Trigger)</f>
        <v>0.33248367140853125</v>
      </c>
    </row>
    <row r="20169" spans="25:26" x14ac:dyDescent="0.25">
      <c r="Y20169" s="63">
        <v>62702</v>
      </c>
      <c r="Z20169" s="61">
        <f>_xll.qlYieldTSDiscount($U$35,Y20169,,Trigger)</f>
        <v>0.33246369143583837</v>
      </c>
    </row>
    <row r="20170" spans="25:26" x14ac:dyDescent="0.25">
      <c r="Y20170" s="63">
        <v>62703</v>
      </c>
      <c r="Z20170" s="61">
        <f>_xll.qlYieldTSDiscount($U$35,Y20170,,Trigger)</f>
        <v>0.33244371211348855</v>
      </c>
    </row>
    <row r="20171" spans="25:26" x14ac:dyDescent="0.25">
      <c r="Y20171" s="63">
        <v>62704</v>
      </c>
      <c r="Z20171" s="61">
        <f>_xll.qlYieldTSDiscount($U$35,Y20171,,Trigger)</f>
        <v>0.33242373344111592</v>
      </c>
    </row>
    <row r="20172" spans="25:26" x14ac:dyDescent="0.25">
      <c r="Y20172" s="63">
        <v>62705</v>
      </c>
      <c r="Z20172" s="61">
        <f>_xll.qlYieldTSDiscount($U$35,Y20172,,Trigger)</f>
        <v>0.33240375541835454</v>
      </c>
    </row>
    <row r="20173" spans="25:26" x14ac:dyDescent="0.25">
      <c r="Y20173" s="63">
        <v>62706</v>
      </c>
      <c r="Z20173" s="61">
        <f>_xll.qlYieldTSDiscount($U$35,Y20173,,Trigger)</f>
        <v>0.33238377804483826</v>
      </c>
    </row>
    <row r="20174" spans="25:26" x14ac:dyDescent="0.25">
      <c r="Y20174" s="63">
        <v>62707</v>
      </c>
      <c r="Z20174" s="61">
        <f>_xll.qlYieldTSDiscount($U$35,Y20174,,Trigger)</f>
        <v>0.33236380132020127</v>
      </c>
    </row>
    <row r="20175" spans="25:26" x14ac:dyDescent="0.25">
      <c r="Y20175" s="63">
        <v>62708</v>
      </c>
      <c r="Z20175" s="61">
        <f>_xll.qlYieldTSDiscount($U$35,Y20175,,Trigger)</f>
        <v>0.33234382524407763</v>
      </c>
    </row>
    <row r="20176" spans="25:26" x14ac:dyDescent="0.25">
      <c r="Y20176" s="63">
        <v>62709</v>
      </c>
      <c r="Z20176" s="61">
        <f>_xll.qlYieldTSDiscount($U$35,Y20176,,Trigger)</f>
        <v>0.33232384981610114</v>
      </c>
    </row>
    <row r="20177" spans="25:26" x14ac:dyDescent="0.25">
      <c r="Y20177" s="63">
        <v>62710</v>
      </c>
      <c r="Z20177" s="61">
        <f>_xll.qlYieldTSDiscount($U$35,Y20177,,Trigger)</f>
        <v>0.33230387503590597</v>
      </c>
    </row>
    <row r="20178" spans="25:26" x14ac:dyDescent="0.25">
      <c r="Y20178" s="63">
        <v>62711</v>
      </c>
      <c r="Z20178" s="61">
        <f>_xll.qlYieldTSDiscount($U$35,Y20178,,Trigger)</f>
        <v>0.33228390090312615</v>
      </c>
    </row>
    <row r="20179" spans="25:26" x14ac:dyDescent="0.25">
      <c r="Y20179" s="63">
        <v>62712</v>
      </c>
      <c r="Z20179" s="61">
        <f>_xll.qlYieldTSDiscount($U$35,Y20179,,Trigger)</f>
        <v>0.33226392741739569</v>
      </c>
    </row>
    <row r="20180" spans="25:26" x14ac:dyDescent="0.25">
      <c r="Y20180" s="63">
        <v>62713</v>
      </c>
      <c r="Z20180" s="61">
        <f>_xll.qlYieldTSDiscount($U$35,Y20180,,Trigger)</f>
        <v>0.33224395457834854</v>
      </c>
    </row>
    <row r="20181" spans="25:26" x14ac:dyDescent="0.25">
      <c r="Y20181" s="63">
        <v>62714</v>
      </c>
      <c r="Z20181" s="61">
        <f>_xll.qlYieldTSDiscount($U$35,Y20181,,Trigger)</f>
        <v>0.33222398238561879</v>
      </c>
    </row>
    <row r="20182" spans="25:26" x14ac:dyDescent="0.25">
      <c r="Y20182" s="63">
        <v>62715</v>
      </c>
      <c r="Z20182" s="61">
        <f>_xll.qlYieldTSDiscount($U$35,Y20182,,Trigger)</f>
        <v>0.33220401083884055</v>
      </c>
    </row>
    <row r="20183" spans="25:26" x14ac:dyDescent="0.25">
      <c r="Y20183" s="63">
        <v>62716</v>
      </c>
      <c r="Z20183" s="61">
        <f>_xll.qlYieldTSDiscount($U$35,Y20183,,Trigger)</f>
        <v>0.33218403993764756</v>
      </c>
    </row>
    <row r="20184" spans="25:26" x14ac:dyDescent="0.25">
      <c r="Y20184" s="63">
        <v>62717</v>
      </c>
      <c r="Z20184" s="61">
        <f>_xll.qlYieldTSDiscount($U$35,Y20184,,Trigger)</f>
        <v>0.33216406968167411</v>
      </c>
    </row>
    <row r="20185" spans="25:26" x14ac:dyDescent="0.25">
      <c r="Y20185" s="63">
        <v>62718</v>
      </c>
      <c r="Z20185" s="61">
        <f>_xll.qlYieldTSDiscount($U$35,Y20185,,Trigger)</f>
        <v>0.33214410007055423</v>
      </c>
    </row>
    <row r="20186" spans="25:26" x14ac:dyDescent="0.25">
      <c r="Y20186" s="63">
        <v>62719</v>
      </c>
      <c r="Z20186" s="61">
        <f>_xll.qlYieldTSDiscount($U$35,Y20186,,Trigger)</f>
        <v>0.33212413110392169</v>
      </c>
    </row>
    <row r="20187" spans="25:26" x14ac:dyDescent="0.25">
      <c r="Y20187" s="63">
        <v>62720</v>
      </c>
      <c r="Z20187" s="61">
        <f>_xll.qlYieldTSDiscount($U$35,Y20187,,Trigger)</f>
        <v>0.33210416278141069</v>
      </c>
    </row>
    <row r="20188" spans="25:26" x14ac:dyDescent="0.25">
      <c r="Y20188" s="63">
        <v>62721</v>
      </c>
      <c r="Z20188" s="61">
        <f>_xll.qlYieldTSDiscount($U$35,Y20188,,Trigger)</f>
        <v>0.33208419510265536</v>
      </c>
    </row>
    <row r="20189" spans="25:26" x14ac:dyDescent="0.25">
      <c r="Y20189" s="63">
        <v>62722</v>
      </c>
      <c r="Z20189" s="61">
        <f>_xll.qlYieldTSDiscount($U$35,Y20189,,Trigger)</f>
        <v>0.33206422806728947</v>
      </c>
    </row>
    <row r="20190" spans="25:26" x14ac:dyDescent="0.25">
      <c r="Y20190" s="63">
        <v>62723</v>
      </c>
      <c r="Z20190" s="61">
        <f>_xll.qlYieldTSDiscount($U$35,Y20190,,Trigger)</f>
        <v>0.33204426167494716</v>
      </c>
    </row>
    <row r="20191" spans="25:26" x14ac:dyDescent="0.25">
      <c r="Y20191" s="63">
        <v>62724</v>
      </c>
      <c r="Z20191" s="61">
        <f>_xll.qlYieldTSDiscount($U$35,Y20191,,Trigger)</f>
        <v>0.33202429592526256</v>
      </c>
    </row>
    <row r="20192" spans="25:26" x14ac:dyDescent="0.25">
      <c r="Y20192" s="63">
        <v>62725</v>
      </c>
      <c r="Z20192" s="61">
        <f>_xll.qlYieldTSDiscount($U$35,Y20192,,Trigger)</f>
        <v>0.33200433081786951</v>
      </c>
    </row>
    <row r="20193" spans="25:26" x14ac:dyDescent="0.25">
      <c r="Y20193" s="63">
        <v>62726</v>
      </c>
      <c r="Z20193" s="61">
        <f>_xll.qlYieldTSDiscount($U$35,Y20193,,Trigger)</f>
        <v>0.33198436635240214</v>
      </c>
    </row>
    <row r="20194" spans="25:26" x14ac:dyDescent="0.25">
      <c r="Y20194" s="63">
        <v>62727</v>
      </c>
      <c r="Z20194" s="61">
        <f>_xll.qlYieldTSDiscount($U$35,Y20194,,Trigger)</f>
        <v>0.33196440252849441</v>
      </c>
    </row>
    <row r="20195" spans="25:26" x14ac:dyDescent="0.25">
      <c r="Y20195" s="63">
        <v>62728</v>
      </c>
      <c r="Z20195" s="61">
        <f>_xll.qlYieldTSDiscount($U$35,Y20195,,Trigger)</f>
        <v>0.33194443934578044</v>
      </c>
    </row>
    <row r="20196" spans="25:26" x14ac:dyDescent="0.25">
      <c r="Y20196" s="63">
        <v>62729</v>
      </c>
      <c r="Z20196" s="61">
        <f>_xll.qlYieldTSDiscount($U$35,Y20196,,Trigger)</f>
        <v>0.33192447680389409</v>
      </c>
    </row>
    <row r="20197" spans="25:26" x14ac:dyDescent="0.25">
      <c r="Y20197" s="63">
        <v>62730</v>
      </c>
      <c r="Z20197" s="61">
        <f>_xll.qlYieldTSDiscount($U$35,Y20197,,Trigger)</f>
        <v>0.33190451490246953</v>
      </c>
    </row>
    <row r="20198" spans="25:26" x14ac:dyDescent="0.25">
      <c r="Y20198" s="63">
        <v>62731</v>
      </c>
      <c r="Z20198" s="61">
        <f>_xll.qlYieldTSDiscount($U$35,Y20198,,Trigger)</f>
        <v>0.33188455364114072</v>
      </c>
    </row>
    <row r="20199" spans="25:26" x14ac:dyDescent="0.25">
      <c r="Y20199" s="63">
        <v>62732</v>
      </c>
      <c r="Z20199" s="61">
        <f>_xll.qlYieldTSDiscount($U$35,Y20199,,Trigger)</f>
        <v>0.33186459301954169</v>
      </c>
    </row>
    <row r="20200" spans="25:26" x14ac:dyDescent="0.25">
      <c r="Y20200" s="63">
        <v>62733</v>
      </c>
      <c r="Z20200" s="61">
        <f>_xll.qlYieldTSDiscount($U$35,Y20200,,Trigger)</f>
        <v>0.33184463303730644</v>
      </c>
    </row>
    <row r="20201" spans="25:26" x14ac:dyDescent="0.25">
      <c r="Y20201" s="63">
        <v>62734</v>
      </c>
      <c r="Z20201" s="61">
        <f>_xll.qlYieldTSDiscount($U$35,Y20201,,Trigger)</f>
        <v>0.33182467369406909</v>
      </c>
    </row>
    <row r="20202" spans="25:26" x14ac:dyDescent="0.25">
      <c r="Y20202" s="63">
        <v>62735</v>
      </c>
      <c r="Z20202" s="61">
        <f>_xll.qlYieldTSDiscount($U$35,Y20202,,Trigger)</f>
        <v>0.33180471498946357</v>
      </c>
    </row>
    <row r="20203" spans="25:26" x14ac:dyDescent="0.25">
      <c r="Y20203" s="63">
        <v>62736</v>
      </c>
      <c r="Z20203" s="61">
        <f>_xll.qlYieldTSDiscount($U$35,Y20203,,Trigger)</f>
        <v>0.33178475692312381</v>
      </c>
    </row>
    <row r="20204" spans="25:26" x14ac:dyDescent="0.25">
      <c r="Y20204" s="63">
        <v>62737</v>
      </c>
      <c r="Z20204" s="61">
        <f>_xll.qlYieldTSDiscount($U$35,Y20204,,Trigger)</f>
        <v>0.33176479949468407</v>
      </c>
    </row>
    <row r="20205" spans="25:26" x14ac:dyDescent="0.25">
      <c r="Y20205" s="63">
        <v>62738</v>
      </c>
      <c r="Z20205" s="61">
        <f>_xll.qlYieldTSDiscount($U$35,Y20205,,Trigger)</f>
        <v>0.33174484270377813</v>
      </c>
    </row>
    <row r="20206" spans="25:26" x14ac:dyDescent="0.25">
      <c r="Y20206" s="63">
        <v>62739</v>
      </c>
      <c r="Z20206" s="61">
        <f>_xll.qlYieldTSDiscount($U$35,Y20206,,Trigger)</f>
        <v>0.33172488655004023</v>
      </c>
    </row>
    <row r="20207" spans="25:26" x14ac:dyDescent="0.25">
      <c r="Y20207" s="63">
        <v>62740</v>
      </c>
      <c r="Z20207" s="61">
        <f>_xll.qlYieldTSDiscount($U$35,Y20207,,Trigger)</f>
        <v>0.33170493103310422</v>
      </c>
    </row>
    <row r="20208" spans="25:26" x14ac:dyDescent="0.25">
      <c r="Y20208" s="63">
        <v>62741</v>
      </c>
      <c r="Z20208" s="61">
        <f>_xll.qlYieldTSDiscount($U$35,Y20208,,Trigger)</f>
        <v>0.33168497615260423</v>
      </c>
    </row>
    <row r="20209" spans="25:26" x14ac:dyDescent="0.25">
      <c r="Y20209" s="63">
        <v>62742</v>
      </c>
      <c r="Z20209" s="61">
        <f>_xll.qlYieldTSDiscount($U$35,Y20209,,Trigger)</f>
        <v>0.33166502190817421</v>
      </c>
    </row>
    <row r="20210" spans="25:26" x14ac:dyDescent="0.25">
      <c r="Y20210" s="63">
        <v>62743</v>
      </c>
      <c r="Z20210" s="61">
        <f>_xll.qlYieldTSDiscount($U$35,Y20210,,Trigger)</f>
        <v>0.33164506829944823</v>
      </c>
    </row>
    <row r="20211" spans="25:26" x14ac:dyDescent="0.25">
      <c r="Y20211" s="63">
        <v>62744</v>
      </c>
      <c r="Z20211" s="61">
        <f>_xll.qlYieldTSDiscount($U$35,Y20211,,Trigger)</f>
        <v>0.3316251153260602</v>
      </c>
    </row>
    <row r="20212" spans="25:26" x14ac:dyDescent="0.25">
      <c r="Y20212" s="63">
        <v>62745</v>
      </c>
      <c r="Z20212" s="61">
        <f>_xll.qlYieldTSDiscount($U$35,Y20212,,Trigger)</f>
        <v>0.33160516298764436</v>
      </c>
    </row>
    <row r="20213" spans="25:26" x14ac:dyDescent="0.25">
      <c r="Y20213" s="63">
        <v>62746</v>
      </c>
      <c r="Z20213" s="61">
        <f>_xll.qlYieldTSDiscount($U$35,Y20213,,Trigger)</f>
        <v>0.3315852112838345</v>
      </c>
    </row>
    <row r="20214" spans="25:26" x14ac:dyDescent="0.25">
      <c r="Y20214" s="63">
        <v>62747</v>
      </c>
      <c r="Z20214" s="61">
        <f>_xll.qlYieldTSDiscount($U$35,Y20214,,Trigger)</f>
        <v>0.33156526021426486</v>
      </c>
    </row>
    <row r="20215" spans="25:26" x14ac:dyDescent="0.25">
      <c r="Y20215" s="63">
        <v>62748</v>
      </c>
      <c r="Z20215" s="61">
        <f>_xll.qlYieldTSDiscount($U$35,Y20215,,Trigger)</f>
        <v>0.33154530977856933</v>
      </c>
    </row>
    <row r="20216" spans="25:26" x14ac:dyDescent="0.25">
      <c r="Y20216" s="63">
        <v>62749</v>
      </c>
      <c r="Z20216" s="61">
        <f>_xll.qlYieldTSDiscount($U$35,Y20216,,Trigger)</f>
        <v>0.33152535997638188</v>
      </c>
    </row>
    <row r="20217" spans="25:26" x14ac:dyDescent="0.25">
      <c r="Y20217" s="63">
        <v>62750</v>
      </c>
      <c r="Z20217" s="61">
        <f>_xll.qlYieldTSDiscount($U$35,Y20217,,Trigger)</f>
        <v>0.33150541080733664</v>
      </c>
    </row>
    <row r="20218" spans="25:26" x14ac:dyDescent="0.25">
      <c r="Y20218" s="63">
        <v>62751</v>
      </c>
      <c r="Z20218" s="61">
        <f>_xll.qlYieldTSDiscount($U$35,Y20218,,Trigger)</f>
        <v>0.33148546227106762</v>
      </c>
    </row>
    <row r="20219" spans="25:26" x14ac:dyDescent="0.25">
      <c r="Y20219" s="63">
        <v>62752</v>
      </c>
      <c r="Z20219" s="61">
        <f>_xll.qlYieldTSDiscount($U$35,Y20219,,Trigger)</f>
        <v>0.33146551436720878</v>
      </c>
    </row>
    <row r="20220" spans="25:26" x14ac:dyDescent="0.25">
      <c r="Y20220" s="63">
        <v>62753</v>
      </c>
      <c r="Z20220" s="61">
        <f>_xll.qlYieldTSDiscount($U$35,Y20220,,Trigger)</f>
        <v>0.33144556709539424</v>
      </c>
    </row>
    <row r="20221" spans="25:26" x14ac:dyDescent="0.25">
      <c r="Y20221" s="63">
        <v>62754</v>
      </c>
      <c r="Z20221" s="61">
        <f>_xll.qlYieldTSDiscount($U$35,Y20221,,Trigger)</f>
        <v>0.33142562045525786</v>
      </c>
    </row>
    <row r="20222" spans="25:26" x14ac:dyDescent="0.25">
      <c r="Y20222" s="63">
        <v>62755</v>
      </c>
      <c r="Z20222" s="61">
        <f>_xll.qlYieldTSDiscount($U$35,Y20222,,Trigger)</f>
        <v>0.33140567444643382</v>
      </c>
    </row>
    <row r="20223" spans="25:26" x14ac:dyDescent="0.25">
      <c r="Y20223" s="63">
        <v>62756</v>
      </c>
      <c r="Z20223" s="61">
        <f>_xll.qlYieldTSDiscount($U$35,Y20223,,Trigger)</f>
        <v>0.33138572906855618</v>
      </c>
    </row>
    <row r="20224" spans="25:26" x14ac:dyDescent="0.25">
      <c r="Y20224" s="63">
        <v>62757</v>
      </c>
      <c r="Z20224" s="61">
        <f>_xll.qlYieldTSDiscount($U$35,Y20224,,Trigger)</f>
        <v>0.33136578432125874</v>
      </c>
    </row>
    <row r="20225" spans="25:26" x14ac:dyDescent="0.25">
      <c r="Y20225" s="63">
        <v>62758</v>
      </c>
      <c r="Z20225" s="61">
        <f>_xll.qlYieldTSDiscount($U$35,Y20225,,Trigger)</f>
        <v>0.33134584020417568</v>
      </c>
    </row>
    <row r="20226" spans="25:26" x14ac:dyDescent="0.25">
      <c r="Y20226" s="63">
        <v>62759</v>
      </c>
      <c r="Z20226" s="61">
        <f>_xll.qlYieldTSDiscount($U$35,Y20226,,Trigger)</f>
        <v>0.33132589671694102</v>
      </c>
    </row>
    <row r="20227" spans="25:26" x14ac:dyDescent="0.25">
      <c r="Y20227" s="63">
        <v>62760</v>
      </c>
      <c r="Z20227" s="61">
        <f>_xll.qlYieldTSDiscount($U$35,Y20227,,Trigger)</f>
        <v>0.33130595385918871</v>
      </c>
    </row>
    <row r="20228" spans="25:26" x14ac:dyDescent="0.25">
      <c r="Y20228" s="63">
        <v>62761</v>
      </c>
      <c r="Z20228" s="61">
        <f>_xll.qlYieldTSDiscount($U$35,Y20228,,Trigger)</f>
        <v>0.33128601163055288</v>
      </c>
    </row>
    <row r="20229" spans="25:26" x14ac:dyDescent="0.25">
      <c r="Y20229" s="63">
        <v>62762</v>
      </c>
      <c r="Z20229" s="61">
        <f>_xll.qlYieldTSDiscount($U$35,Y20229,,Trigger)</f>
        <v>0.33126607003066733</v>
      </c>
    </row>
    <row r="20230" spans="25:26" x14ac:dyDescent="0.25">
      <c r="Y20230" s="63">
        <v>62763</v>
      </c>
      <c r="Z20230" s="61">
        <f>_xll.qlYieldTSDiscount($U$35,Y20230,,Trigger)</f>
        <v>0.33124612905916645</v>
      </c>
    </row>
    <row r="20231" spans="25:26" x14ac:dyDescent="0.25">
      <c r="Y20231" s="63">
        <v>62764</v>
      </c>
      <c r="Z20231" s="61">
        <f>_xll.qlYieldTSDiscount($U$35,Y20231,,Trigger)</f>
        <v>0.33122618871568393</v>
      </c>
    </row>
    <row r="20232" spans="25:26" x14ac:dyDescent="0.25">
      <c r="Y20232" s="63">
        <v>62765</v>
      </c>
      <c r="Z20232" s="61">
        <f>_xll.qlYieldTSDiscount($U$35,Y20232,,Trigger)</f>
        <v>0.3312062489998539</v>
      </c>
    </row>
    <row r="20233" spans="25:26" x14ac:dyDescent="0.25">
      <c r="Y20233" s="63">
        <v>62766</v>
      </c>
      <c r="Z20233" s="61">
        <f>_xll.qlYieldTSDiscount($U$35,Y20233,,Trigger)</f>
        <v>0.33118630991131048</v>
      </c>
    </row>
    <row r="20234" spans="25:26" x14ac:dyDescent="0.25">
      <c r="Y20234" s="63">
        <v>62767</v>
      </c>
      <c r="Z20234" s="61">
        <f>_xll.qlYieldTSDiscount($U$35,Y20234,,Trigger)</f>
        <v>0.33116637144968752</v>
      </c>
    </row>
    <row r="20235" spans="25:26" x14ac:dyDescent="0.25">
      <c r="Y20235" s="63">
        <v>62768</v>
      </c>
      <c r="Z20235" s="61">
        <f>_xll.qlYieldTSDiscount($U$35,Y20235,,Trigger)</f>
        <v>0.33114643361461915</v>
      </c>
    </row>
    <row r="20236" spans="25:26" x14ac:dyDescent="0.25">
      <c r="Y20236" s="63">
        <v>62769</v>
      </c>
      <c r="Z20236" s="61">
        <f>_xll.qlYieldTSDiscount($U$35,Y20236,,Trigger)</f>
        <v>0.33112649640573938</v>
      </c>
    </row>
    <row r="20237" spans="25:26" x14ac:dyDescent="0.25">
      <c r="Y20237" s="63">
        <v>62770</v>
      </c>
      <c r="Z20237" s="61">
        <f>_xll.qlYieldTSDiscount($U$35,Y20237,,Trigger)</f>
        <v>0.33110655982268222</v>
      </c>
    </row>
    <row r="20238" spans="25:26" x14ac:dyDescent="0.25">
      <c r="Y20238" s="63">
        <v>62771</v>
      </c>
      <c r="Z20238" s="61">
        <f>_xll.qlYieldTSDiscount($U$35,Y20238,,Trigger)</f>
        <v>0.33108662386508175</v>
      </c>
    </row>
    <row r="20239" spans="25:26" x14ac:dyDescent="0.25">
      <c r="Y20239" s="63">
        <v>62772</v>
      </c>
      <c r="Z20239" s="61">
        <f>_xll.qlYieldTSDiscount($U$35,Y20239,,Trigger)</f>
        <v>0.33106668853257187</v>
      </c>
    </row>
    <row r="20240" spans="25:26" x14ac:dyDescent="0.25">
      <c r="Y20240" s="63">
        <v>62773</v>
      </c>
      <c r="Z20240" s="61">
        <f>_xll.qlYieldTSDiscount($U$35,Y20240,,Trigger)</f>
        <v>0.33104675382478665</v>
      </c>
    </row>
    <row r="20241" spans="25:26" x14ac:dyDescent="0.25">
      <c r="Y20241" s="63">
        <v>62774</v>
      </c>
      <c r="Z20241" s="61">
        <f>_xll.qlYieldTSDiscount($U$35,Y20241,,Trigger)</f>
        <v>0.33102681974136011</v>
      </c>
    </row>
    <row r="20242" spans="25:26" x14ac:dyDescent="0.25">
      <c r="Y20242" s="63">
        <v>62775</v>
      </c>
      <c r="Z20242" s="61">
        <f>_xll.qlYieldTSDiscount($U$35,Y20242,,Trigger)</f>
        <v>0.33100688628192643</v>
      </c>
    </row>
    <row r="20243" spans="25:26" x14ac:dyDescent="0.25">
      <c r="Y20243" s="63">
        <v>62776</v>
      </c>
      <c r="Z20243" s="61">
        <f>_xll.qlYieldTSDiscount($U$35,Y20243,,Trigger)</f>
        <v>0.33098695344611939</v>
      </c>
    </row>
    <row r="20244" spans="25:26" x14ac:dyDescent="0.25">
      <c r="Y20244" s="63">
        <v>62777</v>
      </c>
      <c r="Z20244" s="61">
        <f>_xll.qlYieldTSDiscount($U$35,Y20244,,Trigger)</f>
        <v>0.33096702123357308</v>
      </c>
    </row>
    <row r="20245" spans="25:26" x14ac:dyDescent="0.25">
      <c r="Y20245" s="63">
        <v>62778</v>
      </c>
      <c r="Z20245" s="61">
        <f>_xll.qlYieldTSDiscount($U$35,Y20245,,Trigger)</f>
        <v>0.33094708964392161</v>
      </c>
    </row>
    <row r="20246" spans="25:26" x14ac:dyDescent="0.25">
      <c r="Y20246" s="63">
        <v>62779</v>
      </c>
      <c r="Z20246" s="61">
        <f>_xll.qlYieldTSDiscount($U$35,Y20246,,Trigger)</f>
        <v>0.33092715867679895</v>
      </c>
    </row>
    <row r="20247" spans="25:26" x14ac:dyDescent="0.25">
      <c r="Y20247" s="63">
        <v>62780</v>
      </c>
      <c r="Z20247" s="61">
        <f>_xll.qlYieldTSDiscount($U$35,Y20247,,Trigger)</f>
        <v>0.33090722833183911</v>
      </c>
    </row>
    <row r="20248" spans="25:26" x14ac:dyDescent="0.25">
      <c r="Y20248" s="63">
        <v>62781</v>
      </c>
      <c r="Z20248" s="61">
        <f>_xll.qlYieldTSDiscount($U$35,Y20248,,Trigger)</f>
        <v>0.33088729860867611</v>
      </c>
    </row>
    <row r="20249" spans="25:26" x14ac:dyDescent="0.25">
      <c r="Y20249" s="63">
        <v>62782</v>
      </c>
      <c r="Z20249" s="61">
        <f>_xll.qlYieldTSDiscount($U$35,Y20249,,Trigger)</f>
        <v>0.33086736950694406</v>
      </c>
    </row>
    <row r="20250" spans="25:26" x14ac:dyDescent="0.25">
      <c r="Y20250" s="63">
        <v>62783</v>
      </c>
      <c r="Z20250" s="61">
        <f>_xll.qlYieldTSDiscount($U$35,Y20250,,Trigger)</f>
        <v>0.33084744102627678</v>
      </c>
    </row>
    <row r="20251" spans="25:26" x14ac:dyDescent="0.25">
      <c r="Y20251" s="63">
        <v>62784</v>
      </c>
      <c r="Z20251" s="61">
        <f>_xll.qlYieldTSDiscount($U$35,Y20251,,Trigger)</f>
        <v>0.33082751316630848</v>
      </c>
    </row>
    <row r="20252" spans="25:26" x14ac:dyDescent="0.25">
      <c r="Y20252" s="63">
        <v>62785</v>
      </c>
      <c r="Z20252" s="61">
        <f>_xll.qlYieldTSDiscount($U$35,Y20252,,Trigger)</f>
        <v>0.3308075859266732</v>
      </c>
    </row>
    <row r="20253" spans="25:26" x14ac:dyDescent="0.25">
      <c r="Y20253" s="63">
        <v>62786</v>
      </c>
      <c r="Z20253" s="61">
        <f>_xll.qlYieldTSDiscount($U$35,Y20253,,Trigger)</f>
        <v>0.33078765930700477</v>
      </c>
    </row>
    <row r="20254" spans="25:26" x14ac:dyDescent="0.25">
      <c r="Y20254" s="63">
        <v>62787</v>
      </c>
      <c r="Z20254" s="61">
        <f>_xll.qlYieldTSDiscount($U$35,Y20254,,Trigger)</f>
        <v>0.33076773330693732</v>
      </c>
    </row>
    <row r="20255" spans="25:26" x14ac:dyDescent="0.25">
      <c r="Y20255" s="63">
        <v>62788</v>
      </c>
      <c r="Z20255" s="61">
        <f>_xll.qlYieldTSDiscount($U$35,Y20255,,Trigger)</f>
        <v>0.33074780792610492</v>
      </c>
    </row>
    <row r="20256" spans="25:26" x14ac:dyDescent="0.25">
      <c r="Y20256" s="63">
        <v>62789</v>
      </c>
      <c r="Z20256" s="61">
        <f>_xll.qlYieldTSDiscount($U$35,Y20256,,Trigger)</f>
        <v>0.33072788316414159</v>
      </c>
    </row>
    <row r="20257" spans="25:26" x14ac:dyDescent="0.25">
      <c r="Y20257" s="63">
        <v>62790</v>
      </c>
      <c r="Z20257" s="61">
        <f>_xll.qlYieldTSDiscount($U$35,Y20257,,Trigger)</f>
        <v>0.33070795902068123</v>
      </c>
    </row>
    <row r="20258" spans="25:26" x14ac:dyDescent="0.25">
      <c r="Y20258" s="63">
        <v>62791</v>
      </c>
      <c r="Z20258" s="61">
        <f>_xll.qlYieldTSDiscount($U$35,Y20258,,Trigger)</f>
        <v>0.33068803549535791</v>
      </c>
    </row>
    <row r="20259" spans="25:26" x14ac:dyDescent="0.25">
      <c r="Y20259" s="63">
        <v>62792</v>
      </c>
      <c r="Z20259" s="61">
        <f>_xll.qlYieldTSDiscount($U$35,Y20259,,Trigger)</f>
        <v>0.33066811258780582</v>
      </c>
    </row>
    <row r="20260" spans="25:26" x14ac:dyDescent="0.25">
      <c r="Y20260" s="63">
        <v>62793</v>
      </c>
      <c r="Z20260" s="61">
        <f>_xll.qlYieldTSDiscount($U$35,Y20260,,Trigger)</f>
        <v>0.33064819029765874</v>
      </c>
    </row>
    <row r="20261" spans="25:26" x14ac:dyDescent="0.25">
      <c r="Y20261" s="63">
        <v>62794</v>
      </c>
      <c r="Z20261" s="61">
        <f>_xll.qlYieldTSDiscount($U$35,Y20261,,Trigger)</f>
        <v>0.3306282686245508</v>
      </c>
    </row>
    <row r="20262" spans="25:26" x14ac:dyDescent="0.25">
      <c r="Y20262" s="63">
        <v>62795</v>
      </c>
      <c r="Z20262" s="61">
        <f>_xll.qlYieldTSDiscount($U$35,Y20262,,Trigger)</f>
        <v>0.33060834756811608</v>
      </c>
    </row>
    <row r="20263" spans="25:26" x14ac:dyDescent="0.25">
      <c r="Y20263" s="63">
        <v>62796</v>
      </c>
      <c r="Z20263" s="61">
        <f>_xll.qlYieldTSDiscount($U$35,Y20263,,Trigger)</f>
        <v>0.33058842712798847</v>
      </c>
    </row>
    <row r="20264" spans="25:26" x14ac:dyDescent="0.25">
      <c r="Y20264" s="63">
        <v>62797</v>
      </c>
      <c r="Z20264" s="61">
        <f>_xll.qlYieldTSDiscount($U$35,Y20264,,Trigger)</f>
        <v>0.33056850730380211</v>
      </c>
    </row>
    <row r="20265" spans="25:26" x14ac:dyDescent="0.25">
      <c r="Y20265" s="63">
        <v>62798</v>
      </c>
      <c r="Z20265" s="61">
        <f>_xll.qlYieldTSDiscount($U$35,Y20265,,Trigger)</f>
        <v>0.330548588095191</v>
      </c>
    </row>
    <row r="20266" spans="25:26" x14ac:dyDescent="0.25">
      <c r="Y20266" s="63">
        <v>62799</v>
      </c>
      <c r="Z20266" s="61">
        <f>_xll.qlYieldTSDiscount($U$35,Y20266,,Trigger)</f>
        <v>0.33052866950178905</v>
      </c>
    </row>
    <row r="20267" spans="25:26" x14ac:dyDescent="0.25">
      <c r="Y20267" s="63">
        <v>62800</v>
      </c>
      <c r="Z20267" s="61">
        <f>_xll.qlYieldTSDiscount($U$35,Y20267,,Trigger)</f>
        <v>0.33050875152323034</v>
      </c>
    </row>
    <row r="20268" spans="25:26" x14ac:dyDescent="0.25">
      <c r="Y20268" s="63">
        <v>62801</v>
      </c>
      <c r="Z20268" s="61">
        <f>_xll.qlYieldTSDiscount($U$35,Y20268,,Trigger)</f>
        <v>0.33048883415914909</v>
      </c>
    </row>
    <row r="20269" spans="25:26" x14ac:dyDescent="0.25">
      <c r="Y20269" s="63">
        <v>62802</v>
      </c>
      <c r="Z20269" s="61">
        <f>_xll.qlYieldTSDiscount($U$35,Y20269,,Trigger)</f>
        <v>0.330468917409179</v>
      </c>
    </row>
    <row r="20270" spans="25:26" x14ac:dyDescent="0.25">
      <c r="Y20270" s="63">
        <v>62803</v>
      </c>
      <c r="Z20270" s="61">
        <f>_xll.qlYieldTSDiscount($U$35,Y20270,,Trigger)</f>
        <v>0.33044900127295429</v>
      </c>
    </row>
    <row r="20271" spans="25:26" x14ac:dyDescent="0.25">
      <c r="Y20271" s="63">
        <v>62804</v>
      </c>
      <c r="Z20271" s="61">
        <f>_xll.qlYieldTSDiscount($U$35,Y20271,,Trigger)</f>
        <v>0.33042908575010893</v>
      </c>
    </row>
    <row r="20272" spans="25:26" x14ac:dyDescent="0.25">
      <c r="Y20272" s="63">
        <v>62805</v>
      </c>
      <c r="Z20272" s="61">
        <f>_xll.qlYieldTSDiscount($U$35,Y20272,,Trigger)</f>
        <v>0.33040917084027699</v>
      </c>
    </row>
    <row r="20273" spans="25:26" x14ac:dyDescent="0.25">
      <c r="Y20273" s="63">
        <v>62806</v>
      </c>
      <c r="Z20273" s="61">
        <f>_xll.qlYieldTSDiscount($U$35,Y20273,,Trigger)</f>
        <v>0.33038925654309237</v>
      </c>
    </row>
    <row r="20274" spans="25:26" x14ac:dyDescent="0.25">
      <c r="Y20274" s="63">
        <v>62807</v>
      </c>
      <c r="Z20274" s="61">
        <f>_xll.qlYieldTSDiscount($U$35,Y20274,,Trigger)</f>
        <v>0.3303693428581892</v>
      </c>
    </row>
    <row r="20275" spans="25:26" x14ac:dyDescent="0.25">
      <c r="Y20275" s="63">
        <v>62808</v>
      </c>
      <c r="Z20275" s="61">
        <f>_xll.qlYieldTSDiscount($U$35,Y20275,,Trigger)</f>
        <v>0.33034942978520149</v>
      </c>
    </row>
    <row r="20276" spans="25:26" x14ac:dyDescent="0.25">
      <c r="Y20276" s="63">
        <v>62809</v>
      </c>
      <c r="Z20276" s="61">
        <f>_xll.qlYieldTSDiscount($U$35,Y20276,,Trigger)</f>
        <v>0.33032951732376331</v>
      </c>
    </row>
    <row r="20277" spans="25:26" x14ac:dyDescent="0.25">
      <c r="Y20277" s="63">
        <v>62810</v>
      </c>
      <c r="Z20277" s="61">
        <f>_xll.qlYieldTSDiscount($U$35,Y20277,,Trigger)</f>
        <v>0.33030960547350846</v>
      </c>
    </row>
    <row r="20278" spans="25:26" x14ac:dyDescent="0.25">
      <c r="Y20278" s="63">
        <v>62811</v>
      </c>
      <c r="Z20278" s="61">
        <f>_xll.qlYieldTSDiscount($U$35,Y20278,,Trigger)</f>
        <v>0.33028969423407128</v>
      </c>
    </row>
    <row r="20279" spans="25:26" x14ac:dyDescent="0.25">
      <c r="Y20279" s="63">
        <v>62812</v>
      </c>
      <c r="Z20279" s="61">
        <f>_xll.qlYieldTSDiscount($U$35,Y20279,,Trigger)</f>
        <v>0.33026978360508547</v>
      </c>
    </row>
    <row r="20280" spans="25:26" x14ac:dyDescent="0.25">
      <c r="Y20280" s="63">
        <v>62813</v>
      </c>
      <c r="Z20280" s="61">
        <f>_xll.qlYieldTSDiscount($U$35,Y20280,,Trigger)</f>
        <v>0.33024987358618529</v>
      </c>
    </row>
    <row r="20281" spans="25:26" x14ac:dyDescent="0.25">
      <c r="Y20281" s="63">
        <v>62814</v>
      </c>
      <c r="Z20281" s="61">
        <f>_xll.qlYieldTSDiscount($U$35,Y20281,,Trigger)</f>
        <v>0.33022996417700479</v>
      </c>
    </row>
    <row r="20282" spans="25:26" x14ac:dyDescent="0.25">
      <c r="Y20282" s="63">
        <v>62815</v>
      </c>
      <c r="Z20282" s="61">
        <f>_xll.qlYieldTSDiscount($U$35,Y20282,,Trigger)</f>
        <v>0.33021005537717774</v>
      </c>
    </row>
    <row r="20283" spans="25:26" x14ac:dyDescent="0.25">
      <c r="Y20283" s="63">
        <v>62816</v>
      </c>
      <c r="Z20283" s="61">
        <f>_xll.qlYieldTSDiscount($U$35,Y20283,,Trigger)</f>
        <v>0.33019014718633832</v>
      </c>
    </row>
    <row r="20284" spans="25:26" x14ac:dyDescent="0.25">
      <c r="Y20284" s="63">
        <v>62817</v>
      </c>
      <c r="Z20284" s="61">
        <f>_xll.qlYieldTSDiscount($U$35,Y20284,,Trigger)</f>
        <v>0.33017023960412062</v>
      </c>
    </row>
    <row r="20285" spans="25:26" x14ac:dyDescent="0.25">
      <c r="Y20285" s="63">
        <v>62818</v>
      </c>
      <c r="Z20285" s="61">
        <f>_xll.qlYieldTSDiscount($U$35,Y20285,,Trigger)</f>
        <v>0.33015033263015853</v>
      </c>
    </row>
    <row r="20286" spans="25:26" x14ac:dyDescent="0.25">
      <c r="Y20286" s="63">
        <v>62819</v>
      </c>
      <c r="Z20286" s="61">
        <f>_xll.qlYieldTSDiscount($U$35,Y20286,,Trigger)</f>
        <v>0.33013042626408612</v>
      </c>
    </row>
    <row r="20287" spans="25:26" x14ac:dyDescent="0.25">
      <c r="Y20287" s="63">
        <v>62820</v>
      </c>
      <c r="Z20287" s="61">
        <f>_xll.qlYieldTSDiscount($U$35,Y20287,,Trigger)</f>
        <v>0.33011052050553735</v>
      </c>
    </row>
    <row r="20288" spans="25:26" x14ac:dyDescent="0.25">
      <c r="Y20288" s="63">
        <v>62821</v>
      </c>
      <c r="Z20288" s="61">
        <f>_xll.qlYieldTSDiscount($U$35,Y20288,,Trigger)</f>
        <v>0.33009061535414647</v>
      </c>
    </row>
    <row r="20289" spans="25:26" x14ac:dyDescent="0.25">
      <c r="Y20289" s="63">
        <v>62822</v>
      </c>
      <c r="Z20289" s="61">
        <f>_xll.qlYieldTSDiscount($U$35,Y20289,,Trigger)</f>
        <v>0.3300707108095472</v>
      </c>
    </row>
    <row r="20290" spans="25:26" x14ac:dyDescent="0.25">
      <c r="Y20290" s="63">
        <v>62823</v>
      </c>
      <c r="Z20290" s="61">
        <f>_xll.qlYieldTSDiscount($U$35,Y20290,,Trigger)</f>
        <v>0.33005080687137373</v>
      </c>
    </row>
    <row r="20291" spans="25:26" x14ac:dyDescent="0.25">
      <c r="Y20291" s="63">
        <v>62824</v>
      </c>
      <c r="Z20291" s="61">
        <f>_xll.qlYieldTSDiscount($U$35,Y20291,,Trigger)</f>
        <v>0.33003090353926007</v>
      </c>
    </row>
    <row r="20292" spans="25:26" x14ac:dyDescent="0.25">
      <c r="Y20292" s="63">
        <v>62825</v>
      </c>
      <c r="Z20292" s="61">
        <f>_xll.qlYieldTSDiscount($U$35,Y20292,,Trigger)</f>
        <v>0.33001100081284024</v>
      </c>
    </row>
    <row r="20293" spans="25:26" x14ac:dyDescent="0.25">
      <c r="Y20293" s="63">
        <v>62826</v>
      </c>
      <c r="Z20293" s="61">
        <f>_xll.qlYieldTSDiscount($U$35,Y20293,,Trigger)</f>
        <v>0.3299910986917482</v>
      </c>
    </row>
    <row r="20294" spans="25:26" x14ac:dyDescent="0.25">
      <c r="Y20294" s="63">
        <v>62827</v>
      </c>
      <c r="Z20294" s="61">
        <f>_xll.qlYieldTSDiscount($U$35,Y20294,,Trigger)</f>
        <v>0.32997119717561813</v>
      </c>
    </row>
    <row r="20295" spans="25:26" x14ac:dyDescent="0.25">
      <c r="Y20295" s="63">
        <v>62828</v>
      </c>
      <c r="Z20295" s="61">
        <f>_xll.qlYieldTSDiscount($U$35,Y20295,,Trigger)</f>
        <v>0.32995129626408382</v>
      </c>
    </row>
    <row r="20296" spans="25:26" x14ac:dyDescent="0.25">
      <c r="Y20296" s="63">
        <v>62829</v>
      </c>
      <c r="Z20296" s="61">
        <f>_xll.qlYieldTSDiscount($U$35,Y20296,,Trigger)</f>
        <v>0.32993139595677945</v>
      </c>
    </row>
    <row r="20297" spans="25:26" x14ac:dyDescent="0.25">
      <c r="Y20297" s="63">
        <v>62830</v>
      </c>
      <c r="Z20297" s="61">
        <f>_xll.qlYieldTSDiscount($U$35,Y20297,,Trigger)</f>
        <v>0.32991149625333904</v>
      </c>
    </row>
    <row r="20298" spans="25:26" x14ac:dyDescent="0.25">
      <c r="Y20298" s="63">
        <v>62831</v>
      </c>
      <c r="Z20298" s="61">
        <f>_xll.qlYieldTSDiscount($U$35,Y20298,,Trigger)</f>
        <v>0.3298915971533965</v>
      </c>
    </row>
    <row r="20299" spans="25:26" x14ac:dyDescent="0.25">
      <c r="Y20299" s="63">
        <v>62832</v>
      </c>
      <c r="Z20299" s="61">
        <f>_xll.qlYieldTSDiscount($U$35,Y20299,,Trigger)</f>
        <v>0.32987169865658594</v>
      </c>
    </row>
    <row r="20300" spans="25:26" x14ac:dyDescent="0.25">
      <c r="Y20300" s="63">
        <v>62833</v>
      </c>
      <c r="Z20300" s="61">
        <f>_xll.qlYieldTSDiscount($U$35,Y20300,,Trigger)</f>
        <v>0.32985180076254139</v>
      </c>
    </row>
    <row r="20301" spans="25:26" x14ac:dyDescent="0.25">
      <c r="Y20301" s="63">
        <v>62834</v>
      </c>
      <c r="Z20301" s="61">
        <f>_xll.qlYieldTSDiscount($U$35,Y20301,,Trigger)</f>
        <v>0.32983190347089686</v>
      </c>
    </row>
    <row r="20302" spans="25:26" x14ac:dyDescent="0.25">
      <c r="Y20302" s="63">
        <v>62835</v>
      </c>
      <c r="Z20302" s="61">
        <f>_xll.qlYieldTSDiscount($U$35,Y20302,,Trigger)</f>
        <v>0.32981200678128636</v>
      </c>
    </row>
    <row r="20303" spans="25:26" x14ac:dyDescent="0.25">
      <c r="Y20303" s="63">
        <v>62836</v>
      </c>
      <c r="Z20303" s="61">
        <f>_xll.qlYieldTSDiscount($U$35,Y20303,,Trigger)</f>
        <v>0.32979211069334391</v>
      </c>
    </row>
    <row r="20304" spans="25:26" x14ac:dyDescent="0.25">
      <c r="Y20304" s="63">
        <v>62837</v>
      </c>
      <c r="Z20304" s="61">
        <f>_xll.qlYieldTSDiscount($U$35,Y20304,,Trigger)</f>
        <v>0.32977221520670358</v>
      </c>
    </row>
    <row r="20305" spans="25:26" x14ac:dyDescent="0.25">
      <c r="Y20305" s="63">
        <v>62838</v>
      </c>
      <c r="Z20305" s="61">
        <f>_xll.qlYieldTSDiscount($U$35,Y20305,,Trigger)</f>
        <v>0.32975232032099933</v>
      </c>
    </row>
    <row r="20306" spans="25:26" x14ac:dyDescent="0.25">
      <c r="Y20306" s="63">
        <v>62839</v>
      </c>
      <c r="Z20306" s="61">
        <f>_xll.qlYieldTSDiscount($U$35,Y20306,,Trigger)</f>
        <v>0.32973242603586511</v>
      </c>
    </row>
    <row r="20307" spans="25:26" x14ac:dyDescent="0.25">
      <c r="Y20307" s="63">
        <v>62840</v>
      </c>
      <c r="Z20307" s="61">
        <f>_xll.qlYieldTSDiscount($U$35,Y20307,,Trigger)</f>
        <v>0.32971253235093517</v>
      </c>
    </row>
    <row r="20308" spans="25:26" x14ac:dyDescent="0.25">
      <c r="Y20308" s="63">
        <v>62841</v>
      </c>
      <c r="Z20308" s="61">
        <f>_xll.qlYieldTSDiscount($U$35,Y20308,,Trigger)</f>
        <v>0.32969263926584325</v>
      </c>
    </row>
    <row r="20309" spans="25:26" x14ac:dyDescent="0.25">
      <c r="Y20309" s="63">
        <v>62842</v>
      </c>
      <c r="Z20309" s="61">
        <f>_xll.qlYieldTSDiscount($U$35,Y20309,,Trigger)</f>
        <v>0.32967274678022357</v>
      </c>
    </row>
    <row r="20310" spans="25:26" x14ac:dyDescent="0.25">
      <c r="Y20310" s="63">
        <v>62843</v>
      </c>
      <c r="Z20310" s="61">
        <f>_xll.qlYieldTSDiscount($U$35,Y20310,,Trigger)</f>
        <v>0.32965285489371016</v>
      </c>
    </row>
    <row r="20311" spans="25:26" x14ac:dyDescent="0.25">
      <c r="Y20311" s="63">
        <v>62844</v>
      </c>
      <c r="Z20311" s="61">
        <f>_xll.qlYieldTSDiscount($U$35,Y20311,,Trigger)</f>
        <v>0.32963296360593691</v>
      </c>
    </row>
    <row r="20312" spans="25:26" x14ac:dyDescent="0.25">
      <c r="Y20312" s="63">
        <v>62845</v>
      </c>
      <c r="Z20312" s="61">
        <f>_xll.qlYieldTSDiscount($U$35,Y20312,,Trigger)</f>
        <v>0.32961307291653796</v>
      </c>
    </row>
    <row r="20313" spans="25:26" x14ac:dyDescent="0.25">
      <c r="Y20313" s="63">
        <v>62846</v>
      </c>
      <c r="Z20313" s="61">
        <f>_xll.qlYieldTSDiscount($U$35,Y20313,,Trigger)</f>
        <v>0.32959318282514727</v>
      </c>
    </row>
    <row r="20314" spans="25:26" x14ac:dyDescent="0.25">
      <c r="Y20314" s="63">
        <v>62847</v>
      </c>
      <c r="Z20314" s="61">
        <f>_xll.qlYieldTSDiscount($U$35,Y20314,,Trigger)</f>
        <v>0.32957329333139884</v>
      </c>
    </row>
    <row r="20315" spans="25:26" x14ac:dyDescent="0.25">
      <c r="Y20315" s="63">
        <v>62848</v>
      </c>
      <c r="Z20315" s="61">
        <f>_xll.qlYieldTSDiscount($U$35,Y20315,,Trigger)</f>
        <v>0.32955340443492676</v>
      </c>
    </row>
    <row r="20316" spans="25:26" x14ac:dyDescent="0.25">
      <c r="Y20316" s="63">
        <v>62849</v>
      </c>
      <c r="Z20316" s="61">
        <f>_xll.qlYieldTSDiscount($U$35,Y20316,,Trigger)</f>
        <v>0.32953351613536502</v>
      </c>
    </row>
    <row r="20317" spans="25:26" x14ac:dyDescent="0.25">
      <c r="Y20317" s="63">
        <v>62850</v>
      </c>
      <c r="Z20317" s="61">
        <f>_xll.qlYieldTSDiscount($U$35,Y20317,,Trigger)</f>
        <v>0.32951362843234766</v>
      </c>
    </row>
    <row r="20318" spans="25:26" x14ac:dyDescent="0.25">
      <c r="Y20318" s="63">
        <v>62851</v>
      </c>
      <c r="Z20318" s="61">
        <f>_xll.qlYieldTSDiscount($U$35,Y20318,,Trigger)</f>
        <v>0.32949374132550857</v>
      </c>
    </row>
    <row r="20319" spans="25:26" x14ac:dyDescent="0.25">
      <c r="Y20319" s="63">
        <v>62852</v>
      </c>
      <c r="Z20319" s="61">
        <f>_xll.qlYieldTSDiscount($U$35,Y20319,,Trigger)</f>
        <v>0.32947385481448199</v>
      </c>
    </row>
    <row r="20320" spans="25:26" x14ac:dyDescent="0.25">
      <c r="Y20320" s="63">
        <v>62853</v>
      </c>
      <c r="Z20320" s="61">
        <f>_xll.qlYieldTSDiscount($U$35,Y20320,,Trigger)</f>
        <v>0.32945396889890188</v>
      </c>
    </row>
    <row r="20321" spans="25:26" x14ac:dyDescent="0.25">
      <c r="Y20321" s="63">
        <v>62854</v>
      </c>
      <c r="Z20321" s="61">
        <f>_xll.qlYieldTSDiscount($U$35,Y20321,,Trigger)</f>
        <v>0.32943408357840215</v>
      </c>
    </row>
    <row r="20322" spans="25:26" x14ac:dyDescent="0.25">
      <c r="Y20322" s="63">
        <v>62855</v>
      </c>
      <c r="Z20322" s="61">
        <f>_xll.qlYieldTSDiscount($U$35,Y20322,,Trigger)</f>
        <v>0.32941419885261686</v>
      </c>
    </row>
    <row r="20323" spans="25:26" x14ac:dyDescent="0.25">
      <c r="Y20323" s="63">
        <v>62856</v>
      </c>
      <c r="Z20323" s="61">
        <f>_xll.qlYieldTSDiscount($U$35,Y20323,,Trigger)</f>
        <v>0.32939431472118014</v>
      </c>
    </row>
    <row r="20324" spans="25:26" x14ac:dyDescent="0.25">
      <c r="Y20324" s="63">
        <v>62857</v>
      </c>
      <c r="Z20324" s="61">
        <f>_xll.qlYieldTSDiscount($U$35,Y20324,,Trigger)</f>
        <v>0.32937443118372584</v>
      </c>
    </row>
    <row r="20325" spans="25:26" x14ac:dyDescent="0.25">
      <c r="Y20325" s="63">
        <v>62858</v>
      </c>
      <c r="Z20325" s="61">
        <f>_xll.qlYieldTSDiscount($U$35,Y20325,,Trigger)</f>
        <v>0.32935454823988813</v>
      </c>
    </row>
    <row r="20326" spans="25:26" x14ac:dyDescent="0.25">
      <c r="Y20326" s="63">
        <v>62859</v>
      </c>
      <c r="Z20326" s="61">
        <f>_xll.qlYieldTSDiscount($U$35,Y20326,,Trigger)</f>
        <v>0.32933466588930105</v>
      </c>
    </row>
    <row r="20327" spans="25:26" x14ac:dyDescent="0.25">
      <c r="Y20327" s="63">
        <v>62860</v>
      </c>
      <c r="Z20327" s="61">
        <f>_xll.qlYieldTSDiscount($U$35,Y20327,,Trigger)</f>
        <v>0.32931478413159843</v>
      </c>
    </row>
    <row r="20328" spans="25:26" x14ac:dyDescent="0.25">
      <c r="Y20328" s="63">
        <v>62861</v>
      </c>
      <c r="Z20328" s="61">
        <f>_xll.qlYieldTSDiscount($U$35,Y20328,,Trigger)</f>
        <v>0.32929490296641439</v>
      </c>
    </row>
    <row r="20329" spans="25:26" x14ac:dyDescent="0.25">
      <c r="Y20329" s="63">
        <v>62862</v>
      </c>
      <c r="Z20329" s="61">
        <f>_xll.qlYieldTSDiscount($U$35,Y20329,,Trigger)</f>
        <v>0.32927502239338313</v>
      </c>
    </row>
    <row r="20330" spans="25:26" x14ac:dyDescent="0.25">
      <c r="Y20330" s="63">
        <v>62863</v>
      </c>
      <c r="Z20330" s="61">
        <f>_xll.qlYieldTSDiscount($U$35,Y20330,,Trigger)</f>
        <v>0.32925514241213838</v>
      </c>
    </row>
    <row r="20331" spans="25:26" x14ac:dyDescent="0.25">
      <c r="Y20331" s="63">
        <v>62864</v>
      </c>
      <c r="Z20331" s="61">
        <f>_xll.qlYieldTSDiscount($U$35,Y20331,,Trigger)</f>
        <v>0.32923526302231432</v>
      </c>
    </row>
    <row r="20332" spans="25:26" x14ac:dyDescent="0.25">
      <c r="Y20332" s="63">
        <v>62865</v>
      </c>
      <c r="Z20332" s="61">
        <f>_xll.qlYieldTSDiscount($U$35,Y20332,,Trigger)</f>
        <v>0.32921538422354496</v>
      </c>
    </row>
    <row r="20333" spans="25:26" x14ac:dyDescent="0.25">
      <c r="Y20333" s="63">
        <v>62866</v>
      </c>
      <c r="Z20333" s="61">
        <f>_xll.qlYieldTSDiscount($U$35,Y20333,,Trigger)</f>
        <v>0.32919550601546438</v>
      </c>
    </row>
    <row r="20334" spans="25:26" x14ac:dyDescent="0.25">
      <c r="Y20334" s="63">
        <v>62867</v>
      </c>
      <c r="Z20334" s="61">
        <f>_xll.qlYieldTSDiscount($U$35,Y20334,,Trigger)</f>
        <v>0.32917562839770642</v>
      </c>
    </row>
    <row r="20335" spans="25:26" x14ac:dyDescent="0.25">
      <c r="Y20335" s="63">
        <v>62868</v>
      </c>
      <c r="Z20335" s="61">
        <f>_xll.qlYieldTSDiscount($U$35,Y20335,,Trigger)</f>
        <v>0.32915575136990527</v>
      </c>
    </row>
    <row r="20336" spans="25:26" x14ac:dyDescent="0.25">
      <c r="Y20336" s="63">
        <v>62869</v>
      </c>
      <c r="Z20336" s="61">
        <f>_xll.qlYieldTSDiscount($U$35,Y20336,,Trigger)</f>
        <v>0.32913587493169488</v>
      </c>
    </row>
    <row r="20337" spans="25:26" x14ac:dyDescent="0.25">
      <c r="Y20337" s="63">
        <v>62870</v>
      </c>
      <c r="Z20337" s="61">
        <f>_xll.qlYieldTSDiscount($U$35,Y20337,,Trigger)</f>
        <v>0.32911599908270928</v>
      </c>
    </row>
    <row r="20338" spans="25:26" x14ac:dyDescent="0.25">
      <c r="Y20338" s="63">
        <v>62871</v>
      </c>
      <c r="Z20338" s="61">
        <f>_xll.qlYieldTSDiscount($U$35,Y20338,,Trigger)</f>
        <v>0.32909612382258252</v>
      </c>
    </row>
    <row r="20339" spans="25:26" x14ac:dyDescent="0.25">
      <c r="Y20339" s="63">
        <v>62872</v>
      </c>
      <c r="Z20339" s="61">
        <f>_xll.qlYieldTSDiscount($U$35,Y20339,,Trigger)</f>
        <v>0.32907624915094863</v>
      </c>
    </row>
    <row r="20340" spans="25:26" x14ac:dyDescent="0.25">
      <c r="Y20340" s="63">
        <v>62873</v>
      </c>
      <c r="Z20340" s="61">
        <f>_xll.qlYieldTSDiscount($U$35,Y20340,,Trigger)</f>
        <v>0.32905637506744156</v>
      </c>
    </row>
    <row r="20341" spans="25:26" x14ac:dyDescent="0.25">
      <c r="Y20341" s="63">
        <v>62874</v>
      </c>
      <c r="Z20341" s="61">
        <f>_xll.qlYieldTSDiscount($U$35,Y20341,,Trigger)</f>
        <v>0.32903650157169539</v>
      </c>
    </row>
    <row r="20342" spans="25:26" x14ac:dyDescent="0.25">
      <c r="Y20342" s="63">
        <v>62875</v>
      </c>
      <c r="Z20342" s="61">
        <f>_xll.qlYieldTSDiscount($U$35,Y20342,,Trigger)</f>
        <v>0.32901662866334414</v>
      </c>
    </row>
    <row r="20343" spans="25:26" x14ac:dyDescent="0.25">
      <c r="Y20343" s="63">
        <v>62876</v>
      </c>
      <c r="Z20343" s="61">
        <f>_xll.qlYieldTSDiscount($U$35,Y20343,,Trigger)</f>
        <v>0.32899675634202186</v>
      </c>
    </row>
    <row r="20344" spans="25:26" x14ac:dyDescent="0.25">
      <c r="Y20344" s="63">
        <v>62877</v>
      </c>
      <c r="Z20344" s="61">
        <f>_xll.qlYieldTSDiscount($U$35,Y20344,,Trigger)</f>
        <v>0.32897688460736241</v>
      </c>
    </row>
    <row r="20345" spans="25:26" x14ac:dyDescent="0.25">
      <c r="Y20345" s="63">
        <v>62878</v>
      </c>
      <c r="Z20345" s="61">
        <f>_xll.qlYieldTSDiscount($U$35,Y20345,,Trigger)</f>
        <v>0.32895701345900002</v>
      </c>
    </row>
    <row r="20346" spans="25:26" x14ac:dyDescent="0.25">
      <c r="Y20346" s="63">
        <v>62879</v>
      </c>
      <c r="Z20346" s="61">
        <f>_xll.qlYieldTSDiscount($U$35,Y20346,,Trigger)</f>
        <v>0.32893714289656861</v>
      </c>
    </row>
    <row r="20347" spans="25:26" x14ac:dyDescent="0.25">
      <c r="Y20347" s="63">
        <v>62880</v>
      </c>
      <c r="Z20347" s="61">
        <f>_xll.qlYieldTSDiscount($U$35,Y20347,,Trigger)</f>
        <v>0.32891727291970224</v>
      </c>
    </row>
    <row r="20348" spans="25:26" x14ac:dyDescent="0.25">
      <c r="Y20348" s="63">
        <v>62881</v>
      </c>
      <c r="Z20348" s="61">
        <f>_xll.qlYieldTSDiscount($U$35,Y20348,,Trigger)</f>
        <v>0.32889740352803487</v>
      </c>
    </row>
    <row r="20349" spans="25:26" x14ac:dyDescent="0.25">
      <c r="Y20349" s="63">
        <v>62882</v>
      </c>
      <c r="Z20349" s="61">
        <f>_xll.qlYieldTSDiscount($U$35,Y20349,,Trigger)</f>
        <v>0.32887753472120057</v>
      </c>
    </row>
    <row r="20350" spans="25:26" x14ac:dyDescent="0.25">
      <c r="Y20350" s="63">
        <v>62883</v>
      </c>
      <c r="Z20350" s="61">
        <f>_xll.qlYieldTSDiscount($U$35,Y20350,,Trigger)</f>
        <v>0.32885766649883336</v>
      </c>
    </row>
    <row r="20351" spans="25:26" x14ac:dyDescent="0.25">
      <c r="Y20351" s="63">
        <v>62884</v>
      </c>
      <c r="Z20351" s="61">
        <f>_xll.qlYieldTSDiscount($U$35,Y20351,,Trigger)</f>
        <v>0.32883779886056724</v>
      </c>
    </row>
    <row r="20352" spans="25:26" x14ac:dyDescent="0.25">
      <c r="Y20352" s="63">
        <v>62885</v>
      </c>
      <c r="Z20352" s="61">
        <f>_xll.qlYieldTSDiscount($U$35,Y20352,,Trigger)</f>
        <v>0.32881793180603625</v>
      </c>
    </row>
    <row r="20353" spans="25:26" x14ac:dyDescent="0.25">
      <c r="Y20353" s="63">
        <v>62886</v>
      </c>
      <c r="Z20353" s="61">
        <f>_xll.qlYieldTSDiscount($U$35,Y20353,,Trigger)</f>
        <v>0.32879806533487438</v>
      </c>
    </row>
    <row r="20354" spans="25:26" x14ac:dyDescent="0.25">
      <c r="Y20354" s="63">
        <v>62887</v>
      </c>
      <c r="Z20354" s="61">
        <f>_xll.qlYieldTSDiscount($U$35,Y20354,,Trigger)</f>
        <v>0.32877819944671571</v>
      </c>
    </row>
    <row r="20355" spans="25:26" x14ac:dyDescent="0.25">
      <c r="Y20355" s="63">
        <v>62888</v>
      </c>
      <c r="Z20355" s="61">
        <f>_xll.qlYieldTSDiscount($U$35,Y20355,,Trigger)</f>
        <v>0.32875833414119426</v>
      </c>
    </row>
    <row r="20356" spans="25:26" x14ac:dyDescent="0.25">
      <c r="Y20356" s="63">
        <v>62889</v>
      </c>
      <c r="Z20356" s="61">
        <f>_xll.qlYieldTSDiscount($U$35,Y20356,,Trigger)</f>
        <v>0.32873846941794399</v>
      </c>
    </row>
    <row r="20357" spans="25:26" x14ac:dyDescent="0.25">
      <c r="Y20357" s="63">
        <v>62890</v>
      </c>
      <c r="Z20357" s="61">
        <f>_xll.qlYieldTSDiscount($U$35,Y20357,,Trigger)</f>
        <v>0.32871860527659896</v>
      </c>
    </row>
    <row r="20358" spans="25:26" x14ac:dyDescent="0.25">
      <c r="Y20358" s="63">
        <v>62891</v>
      </c>
      <c r="Z20358" s="61">
        <f>_xll.qlYieldTSDiscount($U$35,Y20358,,Trigger)</f>
        <v>0.3286987417167932</v>
      </c>
    </row>
    <row r="20359" spans="25:26" x14ac:dyDescent="0.25">
      <c r="Y20359" s="63">
        <v>62892</v>
      </c>
      <c r="Z20359" s="61">
        <f>_xll.qlYieldTSDiscount($U$35,Y20359,,Trigger)</f>
        <v>0.32867887873816076</v>
      </c>
    </row>
    <row r="20360" spans="25:26" x14ac:dyDescent="0.25">
      <c r="Y20360" s="63">
        <v>62893</v>
      </c>
      <c r="Z20360" s="61">
        <f>_xll.qlYieldTSDiscount($U$35,Y20360,,Trigger)</f>
        <v>0.32865901634033551</v>
      </c>
    </row>
    <row r="20361" spans="25:26" x14ac:dyDescent="0.25">
      <c r="Y20361" s="63">
        <v>62894</v>
      </c>
      <c r="Z20361" s="61">
        <f>_xll.qlYieldTSDiscount($U$35,Y20361,,Trigger)</f>
        <v>0.32863915452295167</v>
      </c>
    </row>
    <row r="20362" spans="25:26" x14ac:dyDescent="0.25">
      <c r="Y20362" s="63">
        <v>62895</v>
      </c>
      <c r="Z20362" s="61">
        <f>_xll.qlYieldTSDiscount($U$35,Y20362,,Trigger)</f>
        <v>0.32861929328564315</v>
      </c>
    </row>
    <row r="20363" spans="25:26" x14ac:dyDescent="0.25">
      <c r="Y20363" s="63">
        <v>62896</v>
      </c>
      <c r="Z20363" s="61">
        <f>_xll.qlYieldTSDiscount($U$35,Y20363,,Trigger)</f>
        <v>0.32859943262804397</v>
      </c>
    </row>
    <row r="20364" spans="25:26" x14ac:dyDescent="0.25">
      <c r="Y20364" s="63">
        <v>62897</v>
      </c>
      <c r="Z20364" s="61">
        <f>_xll.qlYieldTSDiscount($U$35,Y20364,,Trigger)</f>
        <v>0.3285795725497882</v>
      </c>
    </row>
    <row r="20365" spans="25:26" x14ac:dyDescent="0.25">
      <c r="Y20365" s="63">
        <v>62898</v>
      </c>
      <c r="Z20365" s="61">
        <f>_xll.qlYieldTSDiscount($U$35,Y20365,,Trigger)</f>
        <v>0.32855971305050985</v>
      </c>
    </row>
    <row r="20366" spans="25:26" x14ac:dyDescent="0.25">
      <c r="Y20366" s="63">
        <v>62899</v>
      </c>
      <c r="Z20366" s="61">
        <f>_xll.qlYieldTSDiscount($U$35,Y20366,,Trigger)</f>
        <v>0.32853985412984293</v>
      </c>
    </row>
    <row r="20367" spans="25:26" x14ac:dyDescent="0.25">
      <c r="Y20367" s="63">
        <v>62900</v>
      </c>
      <c r="Z20367" s="61">
        <f>_xll.qlYieldTSDiscount($U$35,Y20367,,Trigger)</f>
        <v>0.32851999578742147</v>
      </c>
    </row>
    <row r="20368" spans="25:26" x14ac:dyDescent="0.25">
      <c r="Y20368" s="63">
        <v>62901</v>
      </c>
      <c r="Z20368" s="61">
        <f>_xll.qlYieldTSDiscount($U$35,Y20368,,Trigger)</f>
        <v>0.32850013802287947</v>
      </c>
    </row>
    <row r="20369" spans="25:26" x14ac:dyDescent="0.25">
      <c r="Y20369" s="63">
        <v>62902</v>
      </c>
      <c r="Z20369" s="61">
        <f>_xll.qlYieldTSDiscount($U$35,Y20369,,Trigger)</f>
        <v>0.32848028083585096</v>
      </c>
    </row>
    <row r="20370" spans="25:26" x14ac:dyDescent="0.25">
      <c r="Y20370" s="63">
        <v>62903</v>
      </c>
      <c r="Z20370" s="61">
        <f>_xll.qlYieldTSDiscount($U$35,Y20370,,Trigger)</f>
        <v>0.32846042422596999</v>
      </c>
    </row>
    <row r="20371" spans="25:26" x14ac:dyDescent="0.25">
      <c r="Y20371" s="63">
        <v>62904</v>
      </c>
      <c r="Z20371" s="61">
        <f>_xll.qlYieldTSDiscount($U$35,Y20371,,Trigger)</f>
        <v>0.3284405681928706</v>
      </c>
    </row>
    <row r="20372" spans="25:26" x14ac:dyDescent="0.25">
      <c r="Y20372" s="63">
        <v>62905</v>
      </c>
      <c r="Z20372" s="61">
        <f>_xll.qlYieldTSDiscount($U$35,Y20372,,Trigger)</f>
        <v>0.32842071273618667</v>
      </c>
    </row>
    <row r="20373" spans="25:26" x14ac:dyDescent="0.25">
      <c r="Y20373" s="63">
        <v>62906</v>
      </c>
      <c r="Z20373" s="61">
        <f>_xll.qlYieldTSDiscount($U$35,Y20373,,Trigger)</f>
        <v>0.32840085785555234</v>
      </c>
    </row>
    <row r="20374" spans="25:26" x14ac:dyDescent="0.25">
      <c r="Y20374" s="63">
        <v>62907</v>
      </c>
      <c r="Z20374" s="61">
        <f>_xll.qlYieldTSDiscount($U$35,Y20374,,Trigger)</f>
        <v>0.32838100355060174</v>
      </c>
    </row>
    <row r="20375" spans="25:26" x14ac:dyDescent="0.25">
      <c r="Y20375" s="63">
        <v>62908</v>
      </c>
      <c r="Z20375" s="61">
        <f>_xll.qlYieldTSDiscount($U$35,Y20375,,Trigger)</f>
        <v>0.32836114982096865</v>
      </c>
    </row>
    <row r="20376" spans="25:26" x14ac:dyDescent="0.25">
      <c r="Y20376" s="63">
        <v>62909</v>
      </c>
      <c r="Z20376" s="61">
        <f>_xll.qlYieldTSDiscount($U$35,Y20376,,Trigger)</f>
        <v>0.32834129666628725</v>
      </c>
    </row>
    <row r="20377" spans="25:26" x14ac:dyDescent="0.25">
      <c r="Y20377" s="63">
        <v>62910</v>
      </c>
      <c r="Z20377" s="61">
        <f>_xll.qlYieldTSDiscount($U$35,Y20377,,Trigger)</f>
        <v>0.32832144408619152</v>
      </c>
    </row>
    <row r="20378" spans="25:26" x14ac:dyDescent="0.25">
      <c r="Y20378" s="63">
        <v>62911</v>
      </c>
      <c r="Z20378" s="61">
        <f>_xll.qlYieldTSDiscount($U$35,Y20378,,Trigger)</f>
        <v>0.32830159208031545</v>
      </c>
    </row>
    <row r="20379" spans="25:26" x14ac:dyDescent="0.25">
      <c r="Y20379" s="63">
        <v>62912</v>
      </c>
      <c r="Z20379" s="61">
        <f>_xll.qlYieldTSDiscount($U$35,Y20379,,Trigger)</f>
        <v>0.32828174064829319</v>
      </c>
    </row>
    <row r="20380" spans="25:26" x14ac:dyDescent="0.25">
      <c r="Y20380" s="63">
        <v>62913</v>
      </c>
      <c r="Z20380" s="61">
        <f>_xll.qlYieldTSDiscount($U$35,Y20380,,Trigger)</f>
        <v>0.32826188978975857</v>
      </c>
    </row>
    <row r="20381" spans="25:26" x14ac:dyDescent="0.25">
      <c r="Y20381" s="63">
        <v>62914</v>
      </c>
      <c r="Z20381" s="61">
        <f>_xll.qlYieldTSDiscount($U$35,Y20381,,Trigger)</f>
        <v>0.32824203950434583</v>
      </c>
    </row>
    <row r="20382" spans="25:26" x14ac:dyDescent="0.25">
      <c r="Y20382" s="63">
        <v>62915</v>
      </c>
      <c r="Z20382" s="61">
        <f>_xll.qlYieldTSDiscount($U$35,Y20382,,Trigger)</f>
        <v>0.32822218979168871</v>
      </c>
    </row>
    <row r="20383" spans="25:26" x14ac:dyDescent="0.25">
      <c r="Y20383" s="63">
        <v>62916</v>
      </c>
      <c r="Z20383" s="61">
        <f>_xll.qlYieldTSDiscount($U$35,Y20383,,Trigger)</f>
        <v>0.32820234065142151</v>
      </c>
    </row>
    <row r="20384" spans="25:26" x14ac:dyDescent="0.25">
      <c r="Y20384" s="63">
        <v>62917</v>
      </c>
      <c r="Z20384" s="61">
        <f>_xll.qlYieldTSDiscount($U$35,Y20384,,Trigger)</f>
        <v>0.32818249208317807</v>
      </c>
    </row>
    <row r="20385" spans="25:26" x14ac:dyDescent="0.25">
      <c r="Y20385" s="63">
        <v>62918</v>
      </c>
      <c r="Z20385" s="61">
        <f>_xll.qlYieldTSDiscount($U$35,Y20385,,Trigger)</f>
        <v>0.32816264408659251</v>
      </c>
    </row>
    <row r="20386" spans="25:26" x14ac:dyDescent="0.25">
      <c r="Y20386" s="63">
        <v>62919</v>
      </c>
      <c r="Z20386" s="61">
        <f>_xll.qlYieldTSDiscount($U$35,Y20386,,Trigger)</f>
        <v>0.32814279666129881</v>
      </c>
    </row>
    <row r="20387" spans="25:26" x14ac:dyDescent="0.25">
      <c r="Y20387" s="63">
        <v>62920</v>
      </c>
      <c r="Z20387" s="61">
        <f>_xll.qlYieldTSDiscount($U$35,Y20387,,Trigger)</f>
        <v>0.32812294980693102</v>
      </c>
    </row>
    <row r="20388" spans="25:26" x14ac:dyDescent="0.25">
      <c r="Y20388" s="63">
        <v>62921</v>
      </c>
      <c r="Z20388" s="61">
        <f>_xll.qlYieldTSDiscount($U$35,Y20388,,Trigger)</f>
        <v>0.32810310352312316</v>
      </c>
    </row>
    <row r="20389" spans="25:26" x14ac:dyDescent="0.25">
      <c r="Y20389" s="63">
        <v>62922</v>
      </c>
      <c r="Z20389" s="61">
        <f>_xll.qlYieldTSDiscount($U$35,Y20389,,Trigger)</f>
        <v>0.3280832578095092</v>
      </c>
    </row>
    <row r="20390" spans="25:26" x14ac:dyDescent="0.25">
      <c r="Y20390" s="63">
        <v>62923</v>
      </c>
      <c r="Z20390" s="61">
        <f>_xll.qlYieldTSDiscount($U$35,Y20390,,Trigger)</f>
        <v>0.3280634126657232</v>
      </c>
    </row>
    <row r="20391" spans="25:26" x14ac:dyDescent="0.25">
      <c r="Y20391" s="63">
        <v>62924</v>
      </c>
      <c r="Z20391" s="61">
        <f>_xll.qlYieldTSDiscount($U$35,Y20391,,Trigger)</f>
        <v>0.32804356809139923</v>
      </c>
    </row>
    <row r="20392" spans="25:26" x14ac:dyDescent="0.25">
      <c r="Y20392" s="63">
        <v>62925</v>
      </c>
      <c r="Z20392" s="61">
        <f>_xll.qlYieldTSDiscount($U$35,Y20392,,Trigger)</f>
        <v>0.32802372408617114</v>
      </c>
    </row>
    <row r="20393" spans="25:26" x14ac:dyDescent="0.25">
      <c r="Y20393" s="63">
        <v>62926</v>
      </c>
      <c r="Z20393" s="61">
        <f>_xll.qlYieldTSDiscount($U$35,Y20393,,Trigger)</f>
        <v>0.32800388064967312</v>
      </c>
    </row>
    <row r="20394" spans="25:26" x14ac:dyDescent="0.25">
      <c r="Y20394" s="63">
        <v>62927</v>
      </c>
      <c r="Z20394" s="61">
        <f>_xll.qlYieldTSDiscount($U$35,Y20394,,Trigger)</f>
        <v>0.32798403778153923</v>
      </c>
    </row>
    <row r="20395" spans="25:26" x14ac:dyDescent="0.25">
      <c r="Y20395" s="63">
        <v>62928</v>
      </c>
      <c r="Z20395" s="61">
        <f>_xll.qlYieldTSDiscount($U$35,Y20395,,Trigger)</f>
        <v>0.32796419548140332</v>
      </c>
    </row>
    <row r="20396" spans="25:26" x14ac:dyDescent="0.25">
      <c r="Y20396" s="63">
        <v>62929</v>
      </c>
      <c r="Z20396" s="61">
        <f>_xll.qlYieldTSDiscount($U$35,Y20396,,Trigger)</f>
        <v>0.32794435374889952</v>
      </c>
    </row>
    <row r="20397" spans="25:26" x14ac:dyDescent="0.25">
      <c r="Y20397" s="63">
        <v>62930</v>
      </c>
      <c r="Z20397" s="61">
        <f>_xll.qlYieldTSDiscount($U$35,Y20397,,Trigger)</f>
        <v>0.32792451258366184</v>
      </c>
    </row>
    <row r="20398" spans="25:26" x14ac:dyDescent="0.25">
      <c r="Y20398" s="63">
        <v>62931</v>
      </c>
      <c r="Z20398" s="61">
        <f>_xll.qlYieldTSDiscount($U$35,Y20398,,Trigger)</f>
        <v>0.32790467198532436</v>
      </c>
    </row>
    <row r="20399" spans="25:26" x14ac:dyDescent="0.25">
      <c r="Y20399" s="63">
        <v>62932</v>
      </c>
      <c r="Z20399" s="61">
        <f>_xll.qlYieldTSDiscount($U$35,Y20399,,Trigger)</f>
        <v>0.32788483195352086</v>
      </c>
    </row>
    <row r="20400" spans="25:26" x14ac:dyDescent="0.25">
      <c r="Y20400" s="63">
        <v>62933</v>
      </c>
      <c r="Z20400" s="61">
        <f>_xll.qlYieldTSDiscount($U$35,Y20400,,Trigger)</f>
        <v>0.32786499248788575</v>
      </c>
    </row>
    <row r="20401" spans="25:26" x14ac:dyDescent="0.25">
      <c r="Y20401" s="63">
        <v>62934</v>
      </c>
      <c r="Z20401" s="61">
        <f>_xll.qlYieldTSDiscount($U$35,Y20401,,Trigger)</f>
        <v>0.32784515358805266</v>
      </c>
    </row>
    <row r="20402" spans="25:26" x14ac:dyDescent="0.25">
      <c r="Y20402" s="63">
        <v>62935</v>
      </c>
      <c r="Z20402" s="61">
        <f>_xll.qlYieldTSDiscount($U$35,Y20402,,Trigger)</f>
        <v>0.32782531525365582</v>
      </c>
    </row>
    <row r="20403" spans="25:26" x14ac:dyDescent="0.25">
      <c r="Y20403" s="63">
        <v>62936</v>
      </c>
      <c r="Z20403" s="61">
        <f>_xll.qlYieldTSDiscount($U$35,Y20403,,Trigger)</f>
        <v>0.32780547748432931</v>
      </c>
    </row>
    <row r="20404" spans="25:26" x14ac:dyDescent="0.25">
      <c r="Y20404" s="63">
        <v>62937</v>
      </c>
      <c r="Z20404" s="61">
        <f>_xll.qlYieldTSDiscount($U$35,Y20404,,Trigger)</f>
        <v>0.32778564027970697</v>
      </c>
    </row>
    <row r="20405" spans="25:26" x14ac:dyDescent="0.25">
      <c r="Y20405" s="63">
        <v>62938</v>
      </c>
      <c r="Z20405" s="61">
        <f>_xll.qlYieldTSDiscount($U$35,Y20405,,Trigger)</f>
        <v>0.32776580363942298</v>
      </c>
    </row>
    <row r="20406" spans="25:26" x14ac:dyDescent="0.25">
      <c r="Y20406" s="63">
        <v>62939</v>
      </c>
      <c r="Z20406" s="61">
        <f>_xll.qlYieldTSDiscount($U$35,Y20406,,Trigger)</f>
        <v>0.32774596756311131</v>
      </c>
    </row>
    <row r="20407" spans="25:26" x14ac:dyDescent="0.25">
      <c r="Y20407" s="63">
        <v>62940</v>
      </c>
      <c r="Z20407" s="61">
        <f>_xll.qlYieldTSDiscount($U$35,Y20407,,Trigger)</f>
        <v>0.32772613205040585</v>
      </c>
    </row>
    <row r="20408" spans="25:26" x14ac:dyDescent="0.25">
      <c r="Y20408" s="63">
        <v>62941</v>
      </c>
      <c r="Z20408" s="61">
        <f>_xll.qlYieldTSDiscount($U$35,Y20408,,Trigger)</f>
        <v>0.32770629710094085</v>
      </c>
    </row>
    <row r="20409" spans="25:26" x14ac:dyDescent="0.25">
      <c r="Y20409" s="63">
        <v>62942</v>
      </c>
      <c r="Z20409" s="61">
        <f>_xll.qlYieldTSDiscount($U$35,Y20409,,Trigger)</f>
        <v>0.32768646271435015</v>
      </c>
    </row>
    <row r="20410" spans="25:26" x14ac:dyDescent="0.25">
      <c r="Y20410" s="63">
        <v>62943</v>
      </c>
      <c r="Z20410" s="61">
        <f>_xll.qlYieldTSDiscount($U$35,Y20410,,Trigger)</f>
        <v>0.32766662889026793</v>
      </c>
    </row>
    <row r="20411" spans="25:26" x14ac:dyDescent="0.25">
      <c r="Y20411" s="63">
        <v>62944</v>
      </c>
      <c r="Z20411" s="61">
        <f>_xll.qlYieldTSDiscount($U$35,Y20411,,Trigger)</f>
        <v>0.32764679562832805</v>
      </c>
    </row>
    <row r="20412" spans="25:26" x14ac:dyDescent="0.25">
      <c r="Y20412" s="63">
        <v>62945</v>
      </c>
      <c r="Z20412" s="61">
        <f>_xll.qlYieldTSDiscount($U$35,Y20412,,Trigger)</f>
        <v>0.32762696292816462</v>
      </c>
    </row>
    <row r="20413" spans="25:26" x14ac:dyDescent="0.25">
      <c r="Y20413" s="63">
        <v>62946</v>
      </c>
      <c r="Z20413" s="61">
        <f>_xll.qlYieldTSDiscount($U$35,Y20413,,Trigger)</f>
        <v>0.32760713078941173</v>
      </c>
    </row>
    <row r="20414" spans="25:26" x14ac:dyDescent="0.25">
      <c r="Y20414" s="63">
        <v>62947</v>
      </c>
      <c r="Z20414" s="61">
        <f>_xll.qlYieldTSDiscount($U$35,Y20414,,Trigger)</f>
        <v>0.32758729921170326</v>
      </c>
    </row>
    <row r="20415" spans="25:26" x14ac:dyDescent="0.25">
      <c r="Y20415" s="63">
        <v>62948</v>
      </c>
      <c r="Z20415" s="61">
        <f>_xll.qlYieldTSDiscount($U$35,Y20415,,Trigger)</f>
        <v>0.32756746819467325</v>
      </c>
    </row>
    <row r="20416" spans="25:26" x14ac:dyDescent="0.25">
      <c r="Y20416" s="63">
        <v>62949</v>
      </c>
      <c r="Z20416" s="61">
        <f>_xll.qlYieldTSDiscount($U$35,Y20416,,Trigger)</f>
        <v>0.32754763773795587</v>
      </c>
    </row>
    <row r="20417" spans="25:26" x14ac:dyDescent="0.25">
      <c r="Y20417" s="63">
        <v>62950</v>
      </c>
      <c r="Z20417" s="61">
        <f>_xll.qlYieldTSDiscount($U$35,Y20417,,Trigger)</f>
        <v>0.32752780784118496</v>
      </c>
    </row>
    <row r="20418" spans="25:26" x14ac:dyDescent="0.25">
      <c r="Y20418" s="63">
        <v>62951</v>
      </c>
      <c r="Z20418" s="61">
        <f>_xll.qlYieldTSDiscount($U$35,Y20418,,Trigger)</f>
        <v>0.32750797850399455</v>
      </c>
    </row>
    <row r="20419" spans="25:26" x14ac:dyDescent="0.25">
      <c r="Y20419" s="63">
        <v>62952</v>
      </c>
      <c r="Z20419" s="61">
        <f>_xll.qlYieldTSDiscount($U$35,Y20419,,Trigger)</f>
        <v>0.32748814972601886</v>
      </c>
    </row>
    <row r="20420" spans="25:26" x14ac:dyDescent="0.25">
      <c r="Y20420" s="63">
        <v>62953</v>
      </c>
      <c r="Z20420" s="61">
        <f>_xll.qlYieldTSDiscount($U$35,Y20420,,Trigger)</f>
        <v>0.32746832150689176</v>
      </c>
    </row>
    <row r="20421" spans="25:26" x14ac:dyDescent="0.25">
      <c r="Y20421" s="63">
        <v>62954</v>
      </c>
      <c r="Z20421" s="61">
        <f>_xll.qlYieldTSDiscount($U$35,Y20421,,Trigger)</f>
        <v>0.32744849384624725</v>
      </c>
    </row>
    <row r="20422" spans="25:26" x14ac:dyDescent="0.25">
      <c r="Y20422" s="63">
        <v>62955</v>
      </c>
      <c r="Z20422" s="61">
        <f>_xll.qlYieldTSDiscount($U$35,Y20422,,Trigger)</f>
        <v>0.3274286667437194</v>
      </c>
    </row>
    <row r="20423" spans="25:26" x14ac:dyDescent="0.25">
      <c r="Y20423" s="63">
        <v>62956</v>
      </c>
      <c r="Z20423" s="61">
        <f>_xll.qlYieldTSDiscount($U$35,Y20423,,Trigger)</f>
        <v>0.32740884019894229</v>
      </c>
    </row>
    <row r="20424" spans="25:26" x14ac:dyDescent="0.25">
      <c r="Y20424" s="63">
        <v>62957</v>
      </c>
      <c r="Z20424" s="61">
        <f>_xll.qlYieldTSDiscount($U$35,Y20424,,Trigger)</f>
        <v>0.32738901421154987</v>
      </c>
    </row>
    <row r="20425" spans="25:26" x14ac:dyDescent="0.25">
      <c r="Y20425" s="63">
        <v>62958</v>
      </c>
      <c r="Z20425" s="61">
        <f>_xll.qlYieldTSDiscount($U$35,Y20425,,Trigger)</f>
        <v>0.3273691887811761</v>
      </c>
    </row>
    <row r="20426" spans="25:26" x14ac:dyDescent="0.25">
      <c r="Y20426" s="63">
        <v>62959</v>
      </c>
      <c r="Z20426" s="61">
        <f>_xll.qlYieldTSDiscount($U$35,Y20426,,Trigger)</f>
        <v>0.32734936390745512</v>
      </c>
    </row>
    <row r="20427" spans="25:26" x14ac:dyDescent="0.25">
      <c r="Y20427" s="63">
        <v>62960</v>
      </c>
      <c r="Z20427" s="61">
        <f>_xll.qlYieldTSDiscount($U$35,Y20427,,Trigger)</f>
        <v>0.32732953959002087</v>
      </c>
    </row>
    <row r="20428" spans="25:26" x14ac:dyDescent="0.25">
      <c r="Y20428" s="63">
        <v>62961</v>
      </c>
      <c r="Z20428" s="61">
        <f>_xll.qlYieldTSDiscount($U$35,Y20428,,Trigger)</f>
        <v>0.32730971582850743</v>
      </c>
    </row>
    <row r="20429" spans="25:26" x14ac:dyDescent="0.25">
      <c r="Y20429" s="63">
        <v>62962</v>
      </c>
      <c r="Z20429" s="61">
        <f>_xll.qlYieldTSDiscount($U$35,Y20429,,Trigger)</f>
        <v>0.32728989262254882</v>
      </c>
    </row>
    <row r="20430" spans="25:26" x14ac:dyDescent="0.25">
      <c r="Y20430" s="63">
        <v>62963</v>
      </c>
      <c r="Z20430" s="61">
        <f>_xll.qlYieldTSDiscount($U$35,Y20430,,Trigger)</f>
        <v>0.32727006997177904</v>
      </c>
    </row>
    <row r="20431" spans="25:26" x14ac:dyDescent="0.25">
      <c r="Y20431" s="63">
        <v>62964</v>
      </c>
      <c r="Z20431" s="61">
        <f>_xll.qlYieldTSDiscount($U$35,Y20431,,Trigger)</f>
        <v>0.32725024787583212</v>
      </c>
    </row>
    <row r="20432" spans="25:26" x14ac:dyDescent="0.25">
      <c r="Y20432" s="63">
        <v>62965</v>
      </c>
      <c r="Z20432" s="61">
        <f>_xll.qlYieldTSDiscount($U$35,Y20432,,Trigger)</f>
        <v>0.32723042633434202</v>
      </c>
    </row>
    <row r="20433" spans="25:26" x14ac:dyDescent="0.25">
      <c r="Y20433" s="63">
        <v>62966</v>
      </c>
      <c r="Z20433" s="61">
        <f>_xll.qlYieldTSDiscount($U$35,Y20433,,Trigger)</f>
        <v>0.32721060534694291</v>
      </c>
    </row>
    <row r="20434" spans="25:26" x14ac:dyDescent="0.25">
      <c r="Y20434" s="63">
        <v>62967</v>
      </c>
      <c r="Z20434" s="61">
        <f>_xll.qlYieldTSDiscount($U$35,Y20434,,Trigger)</f>
        <v>0.32719078491326864</v>
      </c>
    </row>
    <row r="20435" spans="25:26" x14ac:dyDescent="0.25">
      <c r="Y20435" s="63">
        <v>62968</v>
      </c>
      <c r="Z20435" s="61">
        <f>_xll.qlYieldTSDiscount($U$35,Y20435,,Trigger)</f>
        <v>0.3271709650329534</v>
      </c>
    </row>
    <row r="20436" spans="25:26" x14ac:dyDescent="0.25">
      <c r="Y20436" s="63">
        <v>62969</v>
      </c>
      <c r="Z20436" s="61">
        <f>_xll.qlYieldTSDiscount($U$35,Y20436,,Trigger)</f>
        <v>0.32715114570563103</v>
      </c>
    </row>
    <row r="20437" spans="25:26" x14ac:dyDescent="0.25">
      <c r="Y20437" s="63">
        <v>62970</v>
      </c>
      <c r="Z20437" s="61">
        <f>_xll.qlYieldTSDiscount($U$35,Y20437,,Trigger)</f>
        <v>0.32713132693093561</v>
      </c>
    </row>
    <row r="20438" spans="25:26" x14ac:dyDescent="0.25">
      <c r="Y20438" s="63">
        <v>62971</v>
      </c>
      <c r="Z20438" s="61">
        <f>_xll.qlYieldTSDiscount($U$35,Y20438,,Trigger)</f>
        <v>0.32711150870850125</v>
      </c>
    </row>
    <row r="20439" spans="25:26" x14ac:dyDescent="0.25">
      <c r="Y20439" s="63">
        <v>62972</v>
      </c>
      <c r="Z20439" s="61">
        <f>_xll.qlYieldTSDiscount($U$35,Y20439,,Trigger)</f>
        <v>0.32709169103796198</v>
      </c>
    </row>
    <row r="20440" spans="25:26" x14ac:dyDescent="0.25">
      <c r="Y20440" s="63">
        <v>62973</v>
      </c>
      <c r="Z20440" s="61">
        <f>_xll.qlYieldTSDiscount($U$35,Y20440,,Trigger)</f>
        <v>0.32707187391895165</v>
      </c>
    </row>
    <row r="20441" spans="25:26" x14ac:dyDescent="0.25">
      <c r="Y20441" s="63">
        <v>62974</v>
      </c>
      <c r="Z20441" s="61">
        <f>_xll.qlYieldTSDiscount($U$35,Y20441,,Trigger)</f>
        <v>0.32705205735110449</v>
      </c>
    </row>
    <row r="20442" spans="25:26" x14ac:dyDescent="0.25">
      <c r="Y20442" s="63">
        <v>62975</v>
      </c>
      <c r="Z20442" s="61">
        <f>_xll.qlYieldTSDiscount($U$35,Y20442,,Trigger)</f>
        <v>0.32703224133405434</v>
      </c>
    </row>
    <row r="20443" spans="25:26" x14ac:dyDescent="0.25">
      <c r="Y20443" s="63">
        <v>62976</v>
      </c>
      <c r="Z20443" s="61">
        <f>_xll.qlYieldTSDiscount($U$35,Y20443,,Trigger)</f>
        <v>0.32701242586743534</v>
      </c>
    </row>
    <row r="20444" spans="25:26" x14ac:dyDescent="0.25">
      <c r="Y20444" s="63">
        <v>62977</v>
      </c>
      <c r="Z20444" s="61">
        <f>_xll.qlYieldTSDiscount($U$35,Y20444,,Trigger)</f>
        <v>0.3269926109508815</v>
      </c>
    </row>
    <row r="20445" spans="25:26" x14ac:dyDescent="0.25">
      <c r="Y20445" s="63">
        <v>62978</v>
      </c>
      <c r="Z20445" s="61">
        <f>_xll.qlYieldTSDiscount($U$35,Y20445,,Trigger)</f>
        <v>0.32697279658402684</v>
      </c>
    </row>
    <row r="20446" spans="25:26" x14ac:dyDescent="0.25">
      <c r="Y20446" s="63">
        <v>62979</v>
      </c>
      <c r="Z20446" s="61">
        <f>_xll.qlYieldTSDiscount($U$35,Y20446,,Trigger)</f>
        <v>0.32695298276650536</v>
      </c>
    </row>
    <row r="20447" spans="25:26" x14ac:dyDescent="0.25">
      <c r="Y20447" s="63">
        <v>62980</v>
      </c>
      <c r="Z20447" s="61">
        <f>_xll.qlYieldTSDiscount($U$35,Y20447,,Trigger)</f>
        <v>0.32693316949795098</v>
      </c>
    </row>
    <row r="20448" spans="25:26" x14ac:dyDescent="0.25">
      <c r="Y20448" s="63">
        <v>62981</v>
      </c>
      <c r="Z20448" s="61">
        <f>_xll.qlYieldTSDiscount($U$35,Y20448,,Trigger)</f>
        <v>0.32691335677799793</v>
      </c>
    </row>
    <row r="20449" spans="25:26" x14ac:dyDescent="0.25">
      <c r="Y20449" s="63">
        <v>62982</v>
      </c>
      <c r="Z20449" s="61">
        <f>_xll.qlYieldTSDiscount($U$35,Y20449,,Trigger)</f>
        <v>0.32689354460628006</v>
      </c>
    </row>
    <row r="20450" spans="25:26" x14ac:dyDescent="0.25">
      <c r="Y20450" s="63">
        <v>62983</v>
      </c>
      <c r="Z20450" s="61">
        <f>_xll.qlYieldTSDiscount($U$35,Y20450,,Trigger)</f>
        <v>0.3268737329824315</v>
      </c>
    </row>
    <row r="20451" spans="25:26" x14ac:dyDescent="0.25">
      <c r="Y20451" s="63">
        <v>62984</v>
      </c>
      <c r="Z20451" s="61">
        <f>_xll.qlYieldTSDiscount($U$35,Y20451,,Trigger)</f>
        <v>0.32685392190608625</v>
      </c>
    </row>
    <row r="20452" spans="25:26" x14ac:dyDescent="0.25">
      <c r="Y20452" s="63">
        <v>62985</v>
      </c>
      <c r="Z20452" s="61">
        <f>_xll.qlYieldTSDiscount($U$35,Y20452,,Trigger)</f>
        <v>0.32683411137687829</v>
      </c>
    </row>
    <row r="20453" spans="25:26" x14ac:dyDescent="0.25">
      <c r="Y20453" s="63">
        <v>62986</v>
      </c>
      <c r="Z20453" s="61">
        <f>_xll.qlYieldTSDiscount($U$35,Y20453,,Trigger)</f>
        <v>0.32681430139444162</v>
      </c>
    </row>
    <row r="20454" spans="25:26" x14ac:dyDescent="0.25">
      <c r="Y20454" s="63">
        <v>62987</v>
      </c>
      <c r="Z20454" s="61">
        <f>_xll.qlYieldTSDiscount($U$35,Y20454,,Trigger)</f>
        <v>0.32679449195841032</v>
      </c>
    </row>
    <row r="20455" spans="25:26" x14ac:dyDescent="0.25">
      <c r="Y20455" s="63">
        <v>62988</v>
      </c>
      <c r="Z20455" s="61">
        <f>_xll.qlYieldTSDiscount($U$35,Y20455,,Trigger)</f>
        <v>0.3267746830684185</v>
      </c>
    </row>
    <row r="20456" spans="25:26" x14ac:dyDescent="0.25">
      <c r="Y20456" s="63">
        <v>62989</v>
      </c>
      <c r="Z20456" s="61">
        <f>_xll.qlYieldTSDiscount($U$35,Y20456,,Trigger)</f>
        <v>0.32675487472409998</v>
      </c>
    </row>
    <row r="20457" spans="25:26" x14ac:dyDescent="0.25">
      <c r="Y20457" s="63">
        <v>62990</v>
      </c>
      <c r="Z20457" s="61">
        <f>_xll.qlYieldTSDiscount($U$35,Y20457,,Trigger)</f>
        <v>0.32673506692508886</v>
      </c>
    </row>
    <row r="20458" spans="25:26" x14ac:dyDescent="0.25">
      <c r="Y20458" s="63">
        <v>62991</v>
      </c>
      <c r="Z20458" s="61">
        <f>_xll.qlYieldTSDiscount($U$35,Y20458,,Trigger)</f>
        <v>0.32671525967101928</v>
      </c>
    </row>
    <row r="20459" spans="25:26" x14ac:dyDescent="0.25">
      <c r="Y20459" s="63">
        <v>62992</v>
      </c>
      <c r="Z20459" s="61">
        <f>_xll.qlYieldTSDiscount($U$35,Y20459,,Trigger)</f>
        <v>0.32669545296152508</v>
      </c>
    </row>
    <row r="20460" spans="25:26" x14ac:dyDescent="0.25">
      <c r="Y20460" s="63">
        <v>62993</v>
      </c>
      <c r="Z20460" s="61">
        <f>_xll.qlYieldTSDiscount($U$35,Y20460,,Trigger)</f>
        <v>0.32667564679624039</v>
      </c>
    </row>
    <row r="20461" spans="25:26" x14ac:dyDescent="0.25">
      <c r="Y20461" s="63">
        <v>62994</v>
      </c>
      <c r="Z20461" s="61">
        <f>_xll.qlYieldTSDiscount($U$35,Y20461,,Trigger)</f>
        <v>0.32665584117479923</v>
      </c>
    </row>
    <row r="20462" spans="25:26" x14ac:dyDescent="0.25">
      <c r="Y20462" s="63">
        <v>62995</v>
      </c>
      <c r="Z20462" s="61">
        <f>_xll.qlYieldTSDiscount($U$35,Y20462,,Trigger)</f>
        <v>0.32663603609683556</v>
      </c>
    </row>
    <row r="20463" spans="25:26" x14ac:dyDescent="0.25">
      <c r="Y20463" s="63">
        <v>62996</v>
      </c>
      <c r="Z20463" s="61">
        <f>_xll.qlYieldTSDiscount($U$35,Y20463,,Trigger)</f>
        <v>0.32661623156198355</v>
      </c>
    </row>
    <row r="20464" spans="25:26" x14ac:dyDescent="0.25">
      <c r="Y20464" s="63">
        <v>62997</v>
      </c>
      <c r="Z20464" s="61">
        <f>_xll.qlYieldTSDiscount($U$35,Y20464,,Trigger)</f>
        <v>0.326596427569877</v>
      </c>
    </row>
    <row r="20465" spans="25:26" x14ac:dyDescent="0.25">
      <c r="Y20465" s="63">
        <v>62998</v>
      </c>
      <c r="Z20465" s="61">
        <f>_xll.qlYieldTSDiscount($U$35,Y20465,,Trigger)</f>
        <v>0.32657662412015009</v>
      </c>
    </row>
    <row r="20466" spans="25:26" x14ac:dyDescent="0.25">
      <c r="Y20466" s="63">
        <v>62999</v>
      </c>
      <c r="Z20466" s="61">
        <f>_xll.qlYieldTSDiscount($U$35,Y20466,,Trigger)</f>
        <v>0.32655682121243679</v>
      </c>
    </row>
    <row r="20467" spans="25:26" x14ac:dyDescent="0.25">
      <c r="Y20467" s="63">
        <v>63000</v>
      </c>
      <c r="Z20467" s="61">
        <f>_xll.qlYieldTSDiscount($U$35,Y20467,,Trigger)</f>
        <v>0.3265370188463711</v>
      </c>
    </row>
    <row r="20468" spans="25:26" x14ac:dyDescent="0.25">
      <c r="Y20468" s="63">
        <v>63001</v>
      </c>
      <c r="Z20468" s="61">
        <f>_xll.qlYieldTSDiscount($U$35,Y20468,,Trigger)</f>
        <v>0.32651721702158715</v>
      </c>
    </row>
    <row r="20469" spans="25:26" x14ac:dyDescent="0.25">
      <c r="Y20469" s="63">
        <v>63002</v>
      </c>
      <c r="Z20469" s="61">
        <f>_xll.qlYieldTSDiscount($U$35,Y20469,,Trigger)</f>
        <v>0.32649741573771879</v>
      </c>
    </row>
    <row r="20470" spans="25:26" x14ac:dyDescent="0.25">
      <c r="Y20470" s="63">
        <v>63003</v>
      </c>
      <c r="Z20470" s="61">
        <f>_xll.qlYieldTSDiscount($U$35,Y20470,,Trigger)</f>
        <v>0.32647761499440026</v>
      </c>
    </row>
    <row r="20471" spans="25:26" x14ac:dyDescent="0.25">
      <c r="Y20471" s="63">
        <v>63004</v>
      </c>
      <c r="Z20471" s="61">
        <f>_xll.qlYieldTSDiscount($U$35,Y20471,,Trigger)</f>
        <v>0.32645781479126534</v>
      </c>
    </row>
    <row r="20472" spans="25:26" x14ac:dyDescent="0.25">
      <c r="Y20472" s="63">
        <v>63005</v>
      </c>
      <c r="Z20472" s="61">
        <f>_xll.qlYieldTSDiscount($U$35,Y20472,,Trigger)</f>
        <v>0.32643801512794818</v>
      </c>
    </row>
    <row r="20473" spans="25:26" x14ac:dyDescent="0.25">
      <c r="Y20473" s="63">
        <v>63006</v>
      </c>
      <c r="Z20473" s="61">
        <f>_xll.qlYieldTSDiscount($U$35,Y20473,,Trigger)</f>
        <v>0.32641821600408288</v>
      </c>
    </row>
    <row r="20474" spans="25:26" x14ac:dyDescent="0.25">
      <c r="Y20474" s="63">
        <v>63007</v>
      </c>
      <c r="Z20474" s="61">
        <f>_xll.qlYieldTSDiscount($U$35,Y20474,,Trigger)</f>
        <v>0.32639841741930331</v>
      </c>
    </row>
    <row r="20475" spans="25:26" x14ac:dyDescent="0.25">
      <c r="Y20475" s="63">
        <v>63008</v>
      </c>
      <c r="Z20475" s="61">
        <f>_xll.qlYieldTSDiscount($U$35,Y20475,,Trigger)</f>
        <v>0.32637861937324353</v>
      </c>
    </row>
    <row r="20476" spans="25:26" x14ac:dyDescent="0.25">
      <c r="Y20476" s="63">
        <v>63009</v>
      </c>
      <c r="Z20476" s="61">
        <f>_xll.qlYieldTSDiscount($U$35,Y20476,,Trigger)</f>
        <v>0.32635882186553761</v>
      </c>
    </row>
    <row r="20477" spans="25:26" x14ac:dyDescent="0.25">
      <c r="Y20477" s="63">
        <v>63010</v>
      </c>
      <c r="Z20477" s="61">
        <f>_xll.qlYieldTSDiscount($U$35,Y20477,,Trigger)</f>
        <v>0.32633902489581962</v>
      </c>
    </row>
    <row r="20478" spans="25:26" x14ac:dyDescent="0.25">
      <c r="Y20478" s="63">
        <v>63011</v>
      </c>
      <c r="Z20478" s="61">
        <f>_xll.qlYieldTSDiscount($U$35,Y20478,,Trigger)</f>
        <v>0.32631922846372341</v>
      </c>
    </row>
    <row r="20479" spans="25:26" x14ac:dyDescent="0.25">
      <c r="Y20479" s="63">
        <v>63012</v>
      </c>
      <c r="Z20479" s="61">
        <f>_xll.qlYieldTSDiscount($U$35,Y20479,,Trigger)</f>
        <v>0.32629943256888316</v>
      </c>
    </row>
    <row r="20480" spans="25:26" x14ac:dyDescent="0.25">
      <c r="Y20480" s="63">
        <v>63013</v>
      </c>
      <c r="Z20480" s="61">
        <f>_xll.qlYieldTSDiscount($U$35,Y20480,,Trigger)</f>
        <v>0.32627963721093284</v>
      </c>
    </row>
    <row r="20481" spans="25:26" x14ac:dyDescent="0.25">
      <c r="Y20481" s="63">
        <v>63014</v>
      </c>
      <c r="Z20481" s="61">
        <f>_xll.qlYieldTSDiscount($U$35,Y20481,,Trigger)</f>
        <v>0.32625984238950645</v>
      </c>
    </row>
    <row r="20482" spans="25:26" x14ac:dyDescent="0.25">
      <c r="Y20482" s="63">
        <v>63015</v>
      </c>
      <c r="Z20482" s="61">
        <f>_xll.qlYieldTSDiscount($U$35,Y20482,,Trigger)</f>
        <v>0.32624004810423801</v>
      </c>
    </row>
    <row r="20483" spans="25:26" x14ac:dyDescent="0.25">
      <c r="Y20483" s="63">
        <v>63016</v>
      </c>
      <c r="Z20483" s="61">
        <f>_xll.qlYieldTSDiscount($U$35,Y20483,,Trigger)</f>
        <v>0.32622025435476154</v>
      </c>
    </row>
    <row r="20484" spans="25:26" x14ac:dyDescent="0.25">
      <c r="Y20484" s="63">
        <v>63017</v>
      </c>
      <c r="Z20484" s="61">
        <f>_xll.qlYieldTSDiscount($U$35,Y20484,,Trigger)</f>
        <v>0.32620046114071116</v>
      </c>
    </row>
    <row r="20485" spans="25:26" x14ac:dyDescent="0.25">
      <c r="Y20485" s="63">
        <v>63018</v>
      </c>
      <c r="Z20485" s="61">
        <f>_xll.qlYieldTSDiscount($U$35,Y20485,,Trigger)</f>
        <v>0.32618066846172072</v>
      </c>
    </row>
    <row r="20486" spans="25:26" x14ac:dyDescent="0.25">
      <c r="Y20486" s="63">
        <v>63019</v>
      </c>
      <c r="Z20486" s="61">
        <f>_xll.qlYieldTSDiscount($U$35,Y20486,,Trigger)</f>
        <v>0.32616087631742441</v>
      </c>
    </row>
    <row r="20487" spans="25:26" x14ac:dyDescent="0.25">
      <c r="Y20487" s="63">
        <v>63020</v>
      </c>
      <c r="Z20487" s="61">
        <f>_xll.qlYieldTSDiscount($U$35,Y20487,,Trigger)</f>
        <v>0.32614108470745617</v>
      </c>
    </row>
    <row r="20488" spans="25:26" x14ac:dyDescent="0.25">
      <c r="Y20488" s="63">
        <v>63021</v>
      </c>
      <c r="Z20488" s="61">
        <f>_xll.qlYieldTSDiscount($U$35,Y20488,,Trigger)</f>
        <v>0.32612129363145004</v>
      </c>
    </row>
    <row r="20489" spans="25:26" x14ac:dyDescent="0.25">
      <c r="Y20489" s="63">
        <v>63022</v>
      </c>
      <c r="Z20489" s="61">
        <f>_xll.qlYieldTSDiscount($U$35,Y20489,,Trigger)</f>
        <v>0.32610150308904001</v>
      </c>
    </row>
    <row r="20490" spans="25:26" x14ac:dyDescent="0.25">
      <c r="Y20490" s="63">
        <v>63023</v>
      </c>
      <c r="Z20490" s="61">
        <f>_xll.qlYieldTSDiscount($U$35,Y20490,,Trigger)</f>
        <v>0.32608171307986011</v>
      </c>
    </row>
    <row r="20491" spans="25:26" x14ac:dyDescent="0.25">
      <c r="Y20491" s="63">
        <v>63024</v>
      </c>
      <c r="Z20491" s="61">
        <f>_xll.qlYieldTSDiscount($U$35,Y20491,,Trigger)</f>
        <v>0.32606192360354436</v>
      </c>
    </row>
    <row r="20492" spans="25:26" x14ac:dyDescent="0.25">
      <c r="Y20492" s="63">
        <v>63025</v>
      </c>
      <c r="Z20492" s="61">
        <f>_xll.qlYieldTSDiscount($U$35,Y20492,,Trigger)</f>
        <v>0.32604213465972681</v>
      </c>
    </row>
    <row r="20493" spans="25:26" x14ac:dyDescent="0.25">
      <c r="Y20493" s="63">
        <v>63026</v>
      </c>
      <c r="Z20493" s="61">
        <f>_xll.qlYieldTSDiscount($U$35,Y20493,,Trigger)</f>
        <v>0.32602234624804155</v>
      </c>
    </row>
    <row r="20494" spans="25:26" x14ac:dyDescent="0.25">
      <c r="Y20494" s="63">
        <v>63027</v>
      </c>
      <c r="Z20494" s="61">
        <f>_xll.qlYieldTSDiscount($U$35,Y20494,,Trigger)</f>
        <v>0.32600255836812242</v>
      </c>
    </row>
    <row r="20495" spans="25:26" x14ac:dyDescent="0.25">
      <c r="Y20495" s="63">
        <v>63028</v>
      </c>
      <c r="Z20495" s="61">
        <f>_xll.qlYieldTSDiscount($U$35,Y20495,,Trigger)</f>
        <v>0.32598277101960349</v>
      </c>
    </row>
    <row r="20496" spans="25:26" x14ac:dyDescent="0.25">
      <c r="Y20496" s="63">
        <v>63029</v>
      </c>
      <c r="Z20496" s="61">
        <f>_xll.qlYieldTSDiscount($U$35,Y20496,,Trigger)</f>
        <v>0.32596298420211905</v>
      </c>
    </row>
    <row r="20497" spans="25:26" x14ac:dyDescent="0.25">
      <c r="Y20497" s="63">
        <v>63030</v>
      </c>
      <c r="Z20497" s="61">
        <f>_xll.qlYieldTSDiscount($U$35,Y20497,,Trigger)</f>
        <v>0.32594319791530268</v>
      </c>
    </row>
    <row r="20498" spans="25:26" x14ac:dyDescent="0.25">
      <c r="Y20498" s="63">
        <v>63031</v>
      </c>
      <c r="Z20498" s="61">
        <f>_xll.qlYieldTSDiscount($U$35,Y20498,,Trigger)</f>
        <v>0.32592341215878873</v>
      </c>
    </row>
    <row r="20499" spans="25:26" x14ac:dyDescent="0.25">
      <c r="Y20499" s="63">
        <v>63032</v>
      </c>
      <c r="Z20499" s="61">
        <f>_xll.qlYieldTSDiscount($U$35,Y20499,,Trigger)</f>
        <v>0.32590362693221114</v>
      </c>
    </row>
    <row r="20500" spans="25:26" x14ac:dyDescent="0.25">
      <c r="Y20500" s="63">
        <v>63033</v>
      </c>
      <c r="Z20500" s="61">
        <f>_xll.qlYieldTSDiscount($U$35,Y20500,,Trigger)</f>
        <v>0.32588384223520389</v>
      </c>
    </row>
    <row r="20501" spans="25:26" x14ac:dyDescent="0.25">
      <c r="Y20501" s="63">
        <v>63034</v>
      </c>
      <c r="Z20501" s="61">
        <f>_xll.qlYieldTSDiscount($U$35,Y20501,,Trigger)</f>
        <v>0.32586405806740104</v>
      </c>
    </row>
    <row r="20502" spans="25:26" x14ac:dyDescent="0.25">
      <c r="Y20502" s="63">
        <v>63035</v>
      </c>
      <c r="Z20502" s="61">
        <f>_xll.qlYieldTSDiscount($U$35,Y20502,,Trigger)</f>
        <v>0.32584427442843655</v>
      </c>
    </row>
    <row r="20503" spans="25:26" x14ac:dyDescent="0.25">
      <c r="Y20503" s="63">
        <v>63036</v>
      </c>
      <c r="Z20503" s="61">
        <f>_xll.qlYieldTSDiscount($U$35,Y20503,,Trigger)</f>
        <v>0.32582449131794455</v>
      </c>
    </row>
    <row r="20504" spans="25:26" x14ac:dyDescent="0.25">
      <c r="Y20504" s="63">
        <v>63037</v>
      </c>
      <c r="Z20504" s="61">
        <f>_xll.qlYieldTSDiscount($U$35,Y20504,,Trigger)</f>
        <v>0.32580470873555889</v>
      </c>
    </row>
    <row r="20505" spans="25:26" x14ac:dyDescent="0.25">
      <c r="Y20505" s="63">
        <v>63038</v>
      </c>
      <c r="Z20505" s="61">
        <f>_xll.qlYieldTSDiscount($U$35,Y20505,,Trigger)</f>
        <v>0.3257849266809138</v>
      </c>
    </row>
    <row r="20506" spans="25:26" x14ac:dyDescent="0.25">
      <c r="Y20506" s="63">
        <v>63039</v>
      </c>
      <c r="Z20506" s="61">
        <f>_xll.qlYieldTSDiscount($U$35,Y20506,,Trigger)</f>
        <v>0.32576514515364319</v>
      </c>
    </row>
    <row r="20507" spans="25:26" x14ac:dyDescent="0.25">
      <c r="Y20507" s="63">
        <v>63040</v>
      </c>
      <c r="Z20507" s="61">
        <f>_xll.qlYieldTSDiscount($U$35,Y20507,,Trigger)</f>
        <v>0.32574536415338107</v>
      </c>
    </row>
    <row r="20508" spans="25:26" x14ac:dyDescent="0.25">
      <c r="Y20508" s="63">
        <v>63041</v>
      </c>
      <c r="Z20508" s="61">
        <f>_xll.qlYieldTSDiscount($U$35,Y20508,,Trigger)</f>
        <v>0.32572558367976145</v>
      </c>
    </row>
    <row r="20509" spans="25:26" x14ac:dyDescent="0.25">
      <c r="Y20509" s="63">
        <v>63042</v>
      </c>
      <c r="Z20509" s="61">
        <f>_xll.qlYieldTSDiscount($U$35,Y20509,,Trigger)</f>
        <v>0.32570580373241853</v>
      </c>
    </row>
    <row r="20510" spans="25:26" x14ac:dyDescent="0.25">
      <c r="Y20510" s="63">
        <v>63043</v>
      </c>
      <c r="Z20510" s="61">
        <f>_xll.qlYieldTSDiscount($U$35,Y20510,,Trigger)</f>
        <v>0.32568602431098603</v>
      </c>
    </row>
    <row r="20511" spans="25:26" x14ac:dyDescent="0.25">
      <c r="Y20511" s="63">
        <v>63044</v>
      </c>
      <c r="Z20511" s="61">
        <f>_xll.qlYieldTSDiscount($U$35,Y20511,,Trigger)</f>
        <v>0.3256662454150982</v>
      </c>
    </row>
    <row r="20512" spans="25:26" x14ac:dyDescent="0.25">
      <c r="Y20512" s="63">
        <v>63045</v>
      </c>
      <c r="Z20512" s="61">
        <f>_xll.qlYieldTSDiscount($U$35,Y20512,,Trigger)</f>
        <v>0.32564646704438899</v>
      </c>
    </row>
    <row r="20513" spans="25:26" x14ac:dyDescent="0.25">
      <c r="Y20513" s="63">
        <v>63046</v>
      </c>
      <c r="Z20513" s="61">
        <f>_xll.qlYieldTSDiscount($U$35,Y20513,,Trigger)</f>
        <v>0.32562668919849247</v>
      </c>
    </row>
    <row r="20514" spans="25:26" x14ac:dyDescent="0.25">
      <c r="Y20514" s="63">
        <v>63047</v>
      </c>
      <c r="Z20514" s="61">
        <f>_xll.qlYieldTSDiscount($U$35,Y20514,,Trigger)</f>
        <v>0.32560691187704255</v>
      </c>
    </row>
    <row r="20515" spans="25:26" x14ac:dyDescent="0.25">
      <c r="Y20515" s="63">
        <v>63048</v>
      </c>
      <c r="Z20515" s="61">
        <f>_xll.qlYieldTSDiscount($U$35,Y20515,,Trigger)</f>
        <v>0.32558713507967335</v>
      </c>
    </row>
    <row r="20516" spans="25:26" x14ac:dyDescent="0.25">
      <c r="Y20516" s="63">
        <v>63049</v>
      </c>
      <c r="Z20516" s="61">
        <f>_xll.qlYieldTSDiscount($U$35,Y20516,,Trigger)</f>
        <v>0.32556735880601889</v>
      </c>
    </row>
    <row r="20517" spans="25:26" x14ac:dyDescent="0.25">
      <c r="Y20517" s="63">
        <v>63050</v>
      </c>
      <c r="Z20517" s="61">
        <f>_xll.qlYieldTSDiscount($U$35,Y20517,,Trigger)</f>
        <v>0.32554758305571313</v>
      </c>
    </row>
    <row r="20518" spans="25:26" x14ac:dyDescent="0.25">
      <c r="Y20518" s="63">
        <v>63051</v>
      </c>
      <c r="Z20518" s="61">
        <f>_xll.qlYieldTSDiscount($U$35,Y20518,,Trigger)</f>
        <v>0.32552780782839014</v>
      </c>
    </row>
    <row r="20519" spans="25:26" x14ac:dyDescent="0.25">
      <c r="Y20519" s="63">
        <v>63052</v>
      </c>
      <c r="Z20519" s="61">
        <f>_xll.qlYieldTSDiscount($U$35,Y20519,,Trigger)</f>
        <v>0.32550803312368393</v>
      </c>
    </row>
    <row r="20520" spans="25:26" x14ac:dyDescent="0.25">
      <c r="Y20520" s="63">
        <v>63053</v>
      </c>
      <c r="Z20520" s="61">
        <f>_xll.qlYieldTSDiscount($U$35,Y20520,,Trigger)</f>
        <v>0.32548825894122846</v>
      </c>
    </row>
    <row r="20521" spans="25:26" x14ac:dyDescent="0.25">
      <c r="Y20521" s="63">
        <v>63054</v>
      </c>
      <c r="Z20521" s="61">
        <f>_xll.qlYieldTSDiscount($U$35,Y20521,,Trigger)</f>
        <v>0.32546848528065786</v>
      </c>
    </row>
    <row r="20522" spans="25:26" x14ac:dyDescent="0.25">
      <c r="Y20522" s="63">
        <v>63055</v>
      </c>
      <c r="Z20522" s="61">
        <f>_xll.qlYieldTSDiscount($U$35,Y20522,,Trigger)</f>
        <v>0.32544871214160614</v>
      </c>
    </row>
    <row r="20523" spans="25:26" x14ac:dyDescent="0.25">
      <c r="Y20523" s="63">
        <v>63056</v>
      </c>
      <c r="Z20523" s="61">
        <f>_xll.qlYieldTSDiscount($U$35,Y20523,,Trigger)</f>
        <v>0.32542893952370722</v>
      </c>
    </row>
    <row r="20524" spans="25:26" x14ac:dyDescent="0.25">
      <c r="Y20524" s="63">
        <v>63057</v>
      </c>
      <c r="Z20524" s="61">
        <f>_xll.qlYieldTSDiscount($U$35,Y20524,,Trigger)</f>
        <v>0.3254091674265952</v>
      </c>
    </row>
    <row r="20525" spans="25:26" x14ac:dyDescent="0.25">
      <c r="Y20525" s="63">
        <v>63058</v>
      </c>
      <c r="Z20525" s="61">
        <f>_xll.qlYieldTSDiscount($U$35,Y20525,,Trigger)</f>
        <v>0.32538939584990417</v>
      </c>
    </row>
    <row r="20526" spans="25:26" x14ac:dyDescent="0.25">
      <c r="Y20526" s="63">
        <v>63059</v>
      </c>
      <c r="Z20526" s="61">
        <f>_xll.qlYieldTSDiscount($U$35,Y20526,,Trigger)</f>
        <v>0.32536962479326798</v>
      </c>
    </row>
    <row r="20527" spans="25:26" x14ac:dyDescent="0.25">
      <c r="Y20527" s="63">
        <v>63060</v>
      </c>
      <c r="Z20527" s="61">
        <f>_xll.qlYieldTSDiscount($U$35,Y20527,,Trigger)</f>
        <v>0.32534985425632068</v>
      </c>
    </row>
    <row r="20528" spans="25:26" x14ac:dyDescent="0.25">
      <c r="Y20528" s="63">
        <v>63061</v>
      </c>
      <c r="Z20528" s="61">
        <f>_xll.qlYieldTSDiscount($U$35,Y20528,,Trigger)</f>
        <v>0.32533008423869647</v>
      </c>
    </row>
    <row r="20529" spans="25:26" x14ac:dyDescent="0.25">
      <c r="Y20529" s="63">
        <v>63062</v>
      </c>
      <c r="Z20529" s="61">
        <f>_xll.qlYieldTSDiscount($U$35,Y20529,,Trigger)</f>
        <v>0.32531031474002925</v>
      </c>
    </row>
    <row r="20530" spans="25:26" x14ac:dyDescent="0.25">
      <c r="Y20530" s="63">
        <v>63063</v>
      </c>
      <c r="Z20530" s="61">
        <f>_xll.qlYieldTSDiscount($U$35,Y20530,,Trigger)</f>
        <v>0.32529054575995303</v>
      </c>
    </row>
    <row r="20531" spans="25:26" x14ac:dyDescent="0.25">
      <c r="Y20531" s="63">
        <v>63064</v>
      </c>
      <c r="Z20531" s="61">
        <f>_xll.qlYieldTSDiscount($U$35,Y20531,,Trigger)</f>
        <v>0.32527077729810178</v>
      </c>
    </row>
    <row r="20532" spans="25:26" x14ac:dyDescent="0.25">
      <c r="Y20532" s="63">
        <v>63065</v>
      </c>
      <c r="Z20532" s="61">
        <f>_xll.qlYieldTSDiscount($U$35,Y20532,,Trigger)</f>
        <v>0.32525100935410972</v>
      </c>
    </row>
    <row r="20533" spans="25:26" x14ac:dyDescent="0.25">
      <c r="Y20533" s="63">
        <v>63066</v>
      </c>
      <c r="Z20533" s="61">
        <f>_xll.qlYieldTSDiscount($U$35,Y20533,,Trigger)</f>
        <v>0.32523124192761066</v>
      </c>
    </row>
    <row r="20534" spans="25:26" x14ac:dyDescent="0.25">
      <c r="Y20534" s="63">
        <v>63067</v>
      </c>
      <c r="Z20534" s="61">
        <f>_xll.qlYieldTSDiscount($U$35,Y20534,,Trigger)</f>
        <v>0.32521147501823866</v>
      </c>
    </row>
    <row r="20535" spans="25:26" x14ac:dyDescent="0.25">
      <c r="Y20535" s="63">
        <v>63068</v>
      </c>
      <c r="Z20535" s="61">
        <f>_xll.qlYieldTSDiscount($U$35,Y20535,,Trigger)</f>
        <v>0.32519170862562791</v>
      </c>
    </row>
    <row r="20536" spans="25:26" x14ac:dyDescent="0.25">
      <c r="Y20536" s="63">
        <v>63069</v>
      </c>
      <c r="Z20536" s="61">
        <f>_xll.qlYieldTSDiscount($U$35,Y20536,,Trigger)</f>
        <v>0.32517194274941225</v>
      </c>
    </row>
    <row r="20537" spans="25:26" x14ac:dyDescent="0.25">
      <c r="Y20537" s="63">
        <v>63070</v>
      </c>
      <c r="Z20537" s="61">
        <f>_xll.qlYieldTSDiscount($U$35,Y20537,,Trigger)</f>
        <v>0.32515217738922575</v>
      </c>
    </row>
    <row r="20538" spans="25:26" x14ac:dyDescent="0.25">
      <c r="Y20538" s="63">
        <v>63071</v>
      </c>
      <c r="Z20538" s="61">
        <f>_xll.qlYieldTSDiscount($U$35,Y20538,,Trigger)</f>
        <v>0.32513241254470249</v>
      </c>
    </row>
    <row r="20539" spans="25:26" x14ac:dyDescent="0.25">
      <c r="Y20539" s="63">
        <v>63072</v>
      </c>
      <c r="Z20539" s="61">
        <f>_xll.qlYieldTSDiscount($U$35,Y20539,,Trigger)</f>
        <v>0.32511264821547636</v>
      </c>
    </row>
    <row r="20540" spans="25:26" x14ac:dyDescent="0.25">
      <c r="Y20540" s="63">
        <v>63073</v>
      </c>
      <c r="Z20540" s="61">
        <f>_xll.qlYieldTSDiscount($U$35,Y20540,,Trigger)</f>
        <v>0.3250928844011815</v>
      </c>
    </row>
    <row r="20541" spans="25:26" x14ac:dyDescent="0.25">
      <c r="Y20541" s="63">
        <v>63074</v>
      </c>
      <c r="Z20541" s="61">
        <f>_xll.qlYieldTSDiscount($U$35,Y20541,,Trigger)</f>
        <v>0.32507312110145198</v>
      </c>
    </row>
    <row r="20542" spans="25:26" x14ac:dyDescent="0.25">
      <c r="Y20542" s="63">
        <v>63075</v>
      </c>
      <c r="Z20542" s="61">
        <f>_xll.qlYieldTSDiscount($U$35,Y20542,,Trigger)</f>
        <v>0.32505335831592164</v>
      </c>
    </row>
    <row r="20543" spans="25:26" x14ac:dyDescent="0.25">
      <c r="Y20543" s="63">
        <v>63076</v>
      </c>
      <c r="Z20543" s="61">
        <f>_xll.qlYieldTSDiscount($U$35,Y20543,,Trigger)</f>
        <v>0.3250335960442246</v>
      </c>
    </row>
    <row r="20544" spans="25:26" x14ac:dyDescent="0.25">
      <c r="Y20544" s="63">
        <v>63077</v>
      </c>
      <c r="Z20544" s="61">
        <f>_xll.qlYieldTSDiscount($U$35,Y20544,,Trigger)</f>
        <v>0.3250138342859949</v>
      </c>
    </row>
    <row r="20545" spans="25:26" x14ac:dyDescent="0.25">
      <c r="Y20545" s="63">
        <v>63078</v>
      </c>
      <c r="Z20545" s="61">
        <f>_xll.qlYieldTSDiscount($U$35,Y20545,,Trigger)</f>
        <v>0.32499407304086664</v>
      </c>
    </row>
    <row r="20546" spans="25:26" x14ac:dyDescent="0.25">
      <c r="Y20546" s="63">
        <v>63079</v>
      </c>
      <c r="Z20546" s="61">
        <f>_xll.qlYieldTSDiscount($U$35,Y20546,,Trigger)</f>
        <v>0.32497431230847362</v>
      </c>
    </row>
    <row r="20547" spans="25:26" x14ac:dyDescent="0.25">
      <c r="Y20547" s="63">
        <v>63080</v>
      </c>
      <c r="Z20547" s="61">
        <f>_xll.qlYieldTSDiscount($U$35,Y20547,,Trigger)</f>
        <v>0.32495455208845003</v>
      </c>
    </row>
    <row r="20548" spans="25:26" x14ac:dyDescent="0.25">
      <c r="Y20548" s="63">
        <v>63081</v>
      </c>
      <c r="Z20548" s="61">
        <f>_xll.qlYieldTSDiscount($U$35,Y20548,,Trigger)</f>
        <v>0.32493479238042994</v>
      </c>
    </row>
    <row r="20549" spans="25:26" x14ac:dyDescent="0.25">
      <c r="Y20549" s="63">
        <v>63082</v>
      </c>
      <c r="Z20549" s="61">
        <f>_xll.qlYieldTSDiscount($U$35,Y20549,,Trigger)</f>
        <v>0.32491503318404719</v>
      </c>
    </row>
    <row r="20550" spans="25:26" x14ac:dyDescent="0.25">
      <c r="Y20550" s="63">
        <v>63083</v>
      </c>
      <c r="Z20550" s="61">
        <f>_xll.qlYieldTSDiscount($U$35,Y20550,,Trigger)</f>
        <v>0.32489527449893585</v>
      </c>
    </row>
    <row r="20551" spans="25:26" x14ac:dyDescent="0.25">
      <c r="Y20551" s="63">
        <v>63084</v>
      </c>
      <c r="Z20551" s="61">
        <f>_xll.qlYieldTSDiscount($U$35,Y20551,,Trigger)</f>
        <v>0.32487551632473011</v>
      </c>
    </row>
    <row r="20552" spans="25:26" x14ac:dyDescent="0.25">
      <c r="Y20552" s="63">
        <v>63085</v>
      </c>
      <c r="Z20552" s="61">
        <f>_xll.qlYieldTSDiscount($U$35,Y20552,,Trigger)</f>
        <v>0.32485575866106375</v>
      </c>
    </row>
    <row r="20553" spans="25:26" x14ac:dyDescent="0.25">
      <c r="Y20553" s="63">
        <v>63086</v>
      </c>
      <c r="Z20553" s="61">
        <f>_xll.qlYieldTSDiscount($U$35,Y20553,,Trigger)</f>
        <v>0.32483600150757097</v>
      </c>
    </row>
    <row r="20554" spans="25:26" x14ac:dyDescent="0.25">
      <c r="Y20554" s="63">
        <v>63087</v>
      </c>
      <c r="Z20554" s="61">
        <f>_xll.qlYieldTSDiscount($U$35,Y20554,,Trigger)</f>
        <v>0.32481624486388577</v>
      </c>
    </row>
    <row r="20555" spans="25:26" x14ac:dyDescent="0.25">
      <c r="Y20555" s="63">
        <v>63088</v>
      </c>
      <c r="Z20555" s="61">
        <f>_xll.qlYieldTSDiscount($U$35,Y20555,,Trigger)</f>
        <v>0.32479648872964206</v>
      </c>
    </row>
    <row r="20556" spans="25:26" x14ac:dyDescent="0.25">
      <c r="Y20556" s="63">
        <v>63089</v>
      </c>
      <c r="Z20556" s="61">
        <f>_xll.qlYieldTSDiscount($U$35,Y20556,,Trigger)</f>
        <v>0.32477673310447402</v>
      </c>
    </row>
    <row r="20557" spans="25:26" x14ac:dyDescent="0.25">
      <c r="Y20557" s="63">
        <v>63090</v>
      </c>
      <c r="Z20557" s="61">
        <f>_xll.qlYieldTSDiscount($U$35,Y20557,,Trigger)</f>
        <v>0.3247569779880155</v>
      </c>
    </row>
    <row r="20558" spans="25:26" x14ac:dyDescent="0.25">
      <c r="Y20558" s="63">
        <v>63091</v>
      </c>
      <c r="Z20558" s="61">
        <f>_xll.qlYieldTSDiscount($U$35,Y20558,,Trigger)</f>
        <v>0.32473722337990069</v>
      </c>
    </row>
    <row r="20559" spans="25:26" x14ac:dyDescent="0.25">
      <c r="Y20559" s="63">
        <v>63092</v>
      </c>
      <c r="Z20559" s="61">
        <f>_xll.qlYieldTSDiscount($U$35,Y20559,,Trigger)</f>
        <v>0.32471746927976347</v>
      </c>
    </row>
    <row r="20560" spans="25:26" x14ac:dyDescent="0.25">
      <c r="Y20560" s="63">
        <v>63093</v>
      </c>
      <c r="Z20560" s="61">
        <f>_xll.qlYieldTSDiscount($U$35,Y20560,,Trigger)</f>
        <v>0.32469771568723788</v>
      </c>
    </row>
    <row r="20561" spans="25:26" x14ac:dyDescent="0.25">
      <c r="Y20561" s="63">
        <v>63094</v>
      </c>
      <c r="Z20561" s="61">
        <f>_xll.qlYieldTSDiscount($U$35,Y20561,,Trigger)</f>
        <v>0.32467796260195814</v>
      </c>
    </row>
    <row r="20562" spans="25:26" x14ac:dyDescent="0.25">
      <c r="Y20562" s="63">
        <v>63095</v>
      </c>
      <c r="Z20562" s="61">
        <f>_xll.qlYieldTSDiscount($U$35,Y20562,,Trigger)</f>
        <v>0.32465821002355799</v>
      </c>
    </row>
    <row r="20563" spans="25:26" x14ac:dyDescent="0.25">
      <c r="Y20563" s="63">
        <v>63096</v>
      </c>
      <c r="Z20563" s="61">
        <f>_xll.qlYieldTSDiscount($U$35,Y20563,,Trigger)</f>
        <v>0.32463845795167162</v>
      </c>
    </row>
    <row r="20564" spans="25:26" x14ac:dyDescent="0.25">
      <c r="Y20564" s="63">
        <v>63097</v>
      </c>
      <c r="Z20564" s="61">
        <f>_xll.qlYieldTSDiscount($U$35,Y20564,,Trigger)</f>
        <v>0.32461870638593299</v>
      </c>
    </row>
    <row r="20565" spans="25:26" x14ac:dyDescent="0.25">
      <c r="Y20565" s="63">
        <v>63098</v>
      </c>
      <c r="Z20565" s="61">
        <f>_xll.qlYieldTSDiscount($U$35,Y20565,,Trigger)</f>
        <v>0.32459895532597616</v>
      </c>
    </row>
    <row r="20566" spans="25:26" x14ac:dyDescent="0.25">
      <c r="Y20566" s="63">
        <v>63099</v>
      </c>
      <c r="Z20566" s="61">
        <f>_xll.qlYieldTSDiscount($U$35,Y20566,,Trigger)</f>
        <v>0.32457920477143515</v>
      </c>
    </row>
    <row r="20567" spans="25:26" x14ac:dyDescent="0.25">
      <c r="Y20567" s="63">
        <v>63100</v>
      </c>
      <c r="Z20567" s="61">
        <f>_xll.qlYieldTSDiscount($U$35,Y20567,,Trigger)</f>
        <v>0.32455945472194397</v>
      </c>
    </row>
    <row r="20568" spans="25:26" x14ac:dyDescent="0.25">
      <c r="Y20568" s="63">
        <v>63101</v>
      </c>
      <c r="Z20568" s="61">
        <f>_xll.qlYieldTSDiscount($U$35,Y20568,,Trigger)</f>
        <v>0.32453970517713665</v>
      </c>
    </row>
    <row r="20569" spans="25:26" x14ac:dyDescent="0.25">
      <c r="Y20569" s="63">
        <v>63102</v>
      </c>
      <c r="Z20569" s="61">
        <f>_xll.qlYieldTSDiscount($U$35,Y20569,,Trigger)</f>
        <v>0.32451995613664714</v>
      </c>
    </row>
    <row r="20570" spans="25:26" x14ac:dyDescent="0.25">
      <c r="Y20570" s="63">
        <v>63103</v>
      </c>
      <c r="Z20570" s="61">
        <f>_xll.qlYieldTSDiscount($U$35,Y20570,,Trigger)</f>
        <v>0.32450020760010961</v>
      </c>
    </row>
    <row r="20571" spans="25:26" x14ac:dyDescent="0.25">
      <c r="Y20571" s="63">
        <v>63104</v>
      </c>
      <c r="Z20571" s="61">
        <f>_xll.qlYieldTSDiscount($U$35,Y20571,,Trigger)</f>
        <v>0.32448045956715788</v>
      </c>
    </row>
    <row r="20572" spans="25:26" x14ac:dyDescent="0.25">
      <c r="Y20572" s="63">
        <v>63105</v>
      </c>
      <c r="Z20572" s="61">
        <f>_xll.qlYieldTSDiscount($U$35,Y20572,,Trigger)</f>
        <v>0.32446071203742616</v>
      </c>
    </row>
    <row r="20573" spans="25:26" x14ac:dyDescent="0.25">
      <c r="Y20573" s="63">
        <v>63106</v>
      </c>
      <c r="Z20573" s="61">
        <f>_xll.qlYieldTSDiscount($U$35,Y20573,,Trigger)</f>
        <v>0.32444096501054837</v>
      </c>
    </row>
    <row r="20574" spans="25:26" x14ac:dyDescent="0.25">
      <c r="Y20574" s="63">
        <v>63107</v>
      </c>
      <c r="Z20574" s="61">
        <f>_xll.qlYieldTSDiscount($U$35,Y20574,,Trigger)</f>
        <v>0.32442121848615857</v>
      </c>
    </row>
    <row r="20575" spans="25:26" x14ac:dyDescent="0.25">
      <c r="Y20575" s="63">
        <v>63108</v>
      </c>
      <c r="Z20575" s="61">
        <f>_xll.qlYieldTSDiscount($U$35,Y20575,,Trigger)</f>
        <v>0.32440147246389084</v>
      </c>
    </row>
    <row r="20576" spans="25:26" x14ac:dyDescent="0.25">
      <c r="Y20576" s="63">
        <v>63109</v>
      </c>
      <c r="Z20576" s="61">
        <f>_xll.qlYieldTSDiscount($U$35,Y20576,,Trigger)</f>
        <v>0.32438172694337902</v>
      </c>
    </row>
    <row r="20577" spans="25:26" x14ac:dyDescent="0.25">
      <c r="Y20577" s="63">
        <v>63110</v>
      </c>
      <c r="Z20577" s="61">
        <f>_xll.qlYieldTSDiscount($U$35,Y20577,,Trigger)</f>
        <v>0.32436198192425736</v>
      </c>
    </row>
    <row r="20578" spans="25:26" x14ac:dyDescent="0.25">
      <c r="Y20578" s="63">
        <v>63111</v>
      </c>
      <c r="Z20578" s="61">
        <f>_xll.qlYieldTSDiscount($U$35,Y20578,,Trigger)</f>
        <v>0.32434223740615964</v>
      </c>
    </row>
    <row r="20579" spans="25:26" x14ac:dyDescent="0.25">
      <c r="Y20579" s="63">
        <v>63112</v>
      </c>
      <c r="Z20579" s="61">
        <f>_xll.qlYieldTSDiscount($U$35,Y20579,,Trigger)</f>
        <v>0.32432249338872005</v>
      </c>
    </row>
    <row r="20580" spans="25:26" x14ac:dyDescent="0.25">
      <c r="Y20580" s="63">
        <v>63113</v>
      </c>
      <c r="Z20580" s="61">
        <f>_xll.qlYieldTSDiscount($U$35,Y20580,,Trigger)</f>
        <v>0.32430274987157265</v>
      </c>
    </row>
    <row r="20581" spans="25:26" x14ac:dyDescent="0.25">
      <c r="Y20581" s="63">
        <v>63114</v>
      </c>
      <c r="Z20581" s="61">
        <f>_xll.qlYieldTSDiscount($U$35,Y20581,,Trigger)</f>
        <v>0.3242830068543513</v>
      </c>
    </row>
    <row r="20582" spans="25:26" x14ac:dyDescent="0.25">
      <c r="Y20582" s="63">
        <v>63115</v>
      </c>
      <c r="Z20582" s="61">
        <f>_xll.qlYieldTSDiscount($U$35,Y20582,,Trigger)</f>
        <v>0.32426326433669012</v>
      </c>
    </row>
    <row r="20583" spans="25:26" x14ac:dyDescent="0.25">
      <c r="Y20583" s="63">
        <v>63116</v>
      </c>
      <c r="Z20583" s="61">
        <f>_xll.qlYieldTSDiscount($U$35,Y20583,,Trigger)</f>
        <v>0.32424352231822318</v>
      </c>
    </row>
    <row r="20584" spans="25:26" x14ac:dyDescent="0.25">
      <c r="Y20584" s="63">
        <v>63117</v>
      </c>
      <c r="Z20584" s="61">
        <f>_xll.qlYieldTSDiscount($U$35,Y20584,,Trigger)</f>
        <v>0.32422378079858438</v>
      </c>
    </row>
    <row r="20585" spans="25:26" x14ac:dyDescent="0.25">
      <c r="Y20585" s="63">
        <v>63118</v>
      </c>
      <c r="Z20585" s="61">
        <f>_xll.qlYieldTSDiscount($U$35,Y20585,,Trigger)</f>
        <v>0.3242040397774078</v>
      </c>
    </row>
    <row r="20586" spans="25:26" x14ac:dyDescent="0.25">
      <c r="Y20586" s="63">
        <v>63119</v>
      </c>
      <c r="Z20586" s="61">
        <f>_xll.qlYieldTSDiscount($U$35,Y20586,,Trigger)</f>
        <v>0.32418429925432746</v>
      </c>
    </row>
    <row r="20587" spans="25:26" x14ac:dyDescent="0.25">
      <c r="Y20587" s="63">
        <v>63120</v>
      </c>
      <c r="Z20587" s="61">
        <f>_xll.qlYieldTSDiscount($U$35,Y20587,,Trigger)</f>
        <v>0.32416455922897741</v>
      </c>
    </row>
    <row r="20588" spans="25:26" x14ac:dyDescent="0.25">
      <c r="Y20588" s="63">
        <v>63121</v>
      </c>
      <c r="Z20588" s="61">
        <f>_xll.qlYieldTSDiscount($U$35,Y20588,,Trigger)</f>
        <v>0.32414481970099163</v>
      </c>
    </row>
    <row r="20589" spans="25:26" x14ac:dyDescent="0.25">
      <c r="Y20589" s="63">
        <v>63122</v>
      </c>
      <c r="Z20589" s="61">
        <f>_xll.qlYieldTSDiscount($U$35,Y20589,,Trigger)</f>
        <v>0.32412508067000406</v>
      </c>
    </row>
    <row r="20590" spans="25:26" x14ac:dyDescent="0.25">
      <c r="Y20590" s="63">
        <v>63123</v>
      </c>
      <c r="Z20590" s="61">
        <f>_xll.qlYieldTSDiscount($U$35,Y20590,,Trigger)</f>
        <v>0.32410534213564901</v>
      </c>
    </row>
    <row r="20591" spans="25:26" x14ac:dyDescent="0.25">
      <c r="Y20591" s="63">
        <v>63124</v>
      </c>
      <c r="Z20591" s="61">
        <f>_xll.qlYieldTSDiscount($U$35,Y20591,,Trigger)</f>
        <v>0.32408560409756015</v>
      </c>
    </row>
    <row r="20592" spans="25:26" x14ac:dyDescent="0.25">
      <c r="Y20592" s="63">
        <v>63125</v>
      </c>
      <c r="Z20592" s="61">
        <f>_xll.qlYieldTSDiscount($U$35,Y20592,,Trigger)</f>
        <v>0.32406586655537178</v>
      </c>
    </row>
    <row r="20593" spans="25:26" x14ac:dyDescent="0.25">
      <c r="Y20593" s="63">
        <v>63126</v>
      </c>
      <c r="Z20593" s="61">
        <f>_xll.qlYieldTSDiscount($U$35,Y20593,,Trigger)</f>
        <v>0.32404612950871781</v>
      </c>
    </row>
    <row r="20594" spans="25:26" x14ac:dyDescent="0.25">
      <c r="Y20594" s="63">
        <v>63127</v>
      </c>
      <c r="Z20594" s="61">
        <f>_xll.qlYieldTSDiscount($U$35,Y20594,,Trigger)</f>
        <v>0.32402639295723218</v>
      </c>
    </row>
    <row r="20595" spans="25:26" x14ac:dyDescent="0.25">
      <c r="Y20595" s="63">
        <v>63128</v>
      </c>
      <c r="Z20595" s="61">
        <f>_xll.qlYieldTSDiscount($U$35,Y20595,,Trigger)</f>
        <v>0.32400665690054897</v>
      </c>
    </row>
    <row r="20596" spans="25:26" x14ac:dyDescent="0.25">
      <c r="Y20596" s="63">
        <v>63129</v>
      </c>
      <c r="Z20596" s="61">
        <f>_xll.qlYieldTSDiscount($U$35,Y20596,,Trigger)</f>
        <v>0.32398692133830231</v>
      </c>
    </row>
    <row r="20597" spans="25:26" x14ac:dyDescent="0.25">
      <c r="Y20597" s="63">
        <v>63130</v>
      </c>
      <c r="Z20597" s="61">
        <f>_xll.qlYieldTSDiscount($U$35,Y20597,,Trigger)</f>
        <v>0.32396718627012611</v>
      </c>
    </row>
    <row r="20598" spans="25:26" x14ac:dyDescent="0.25">
      <c r="Y20598" s="63">
        <v>63131</v>
      </c>
      <c r="Z20598" s="61">
        <f>_xll.qlYieldTSDiscount($U$35,Y20598,,Trigger)</f>
        <v>0.32394745169565436</v>
      </c>
    </row>
    <row r="20599" spans="25:26" x14ac:dyDescent="0.25">
      <c r="Y20599" s="63">
        <v>63132</v>
      </c>
      <c r="Z20599" s="61">
        <f>_xll.qlYieldTSDiscount($U$35,Y20599,,Trigger)</f>
        <v>0.32392771761452122</v>
      </c>
    </row>
    <row r="20600" spans="25:26" x14ac:dyDescent="0.25">
      <c r="Y20600" s="63">
        <v>63133</v>
      </c>
      <c r="Z20600" s="61">
        <f>_xll.qlYieldTSDiscount($U$35,Y20600,,Trigger)</f>
        <v>0.32390798402636056</v>
      </c>
    </row>
    <row r="20601" spans="25:26" x14ac:dyDescent="0.25">
      <c r="Y20601" s="63">
        <v>63134</v>
      </c>
      <c r="Z20601" s="61">
        <f>_xll.qlYieldTSDiscount($U$35,Y20601,,Trigger)</f>
        <v>0.32388825093080648</v>
      </c>
    </row>
    <row r="20602" spans="25:26" x14ac:dyDescent="0.25">
      <c r="Y20602" s="63">
        <v>63135</v>
      </c>
      <c r="Z20602" s="61">
        <f>_xll.qlYieldTSDiscount($U$35,Y20602,,Trigger)</f>
        <v>0.32386851832749303</v>
      </c>
    </row>
    <row r="20603" spans="25:26" x14ac:dyDescent="0.25">
      <c r="Y20603" s="63">
        <v>63136</v>
      </c>
      <c r="Z20603" s="61">
        <f>_xll.qlYieldTSDiscount($U$35,Y20603,,Trigger)</f>
        <v>0.32384878621605412</v>
      </c>
    </row>
    <row r="20604" spans="25:26" x14ac:dyDescent="0.25">
      <c r="Y20604" s="63">
        <v>63137</v>
      </c>
      <c r="Z20604" s="61">
        <f>_xll.qlYieldTSDiscount($U$35,Y20604,,Trigger)</f>
        <v>0.32382905459612393</v>
      </c>
    </row>
    <row r="20605" spans="25:26" x14ac:dyDescent="0.25">
      <c r="Y20605" s="63">
        <v>63138</v>
      </c>
      <c r="Z20605" s="61">
        <f>_xll.qlYieldTSDiscount($U$35,Y20605,,Trigger)</f>
        <v>0.32380932346733632</v>
      </c>
    </row>
    <row r="20606" spans="25:26" x14ac:dyDescent="0.25">
      <c r="Y20606" s="63">
        <v>63139</v>
      </c>
      <c r="Z20606" s="61">
        <f>_xll.qlYieldTSDiscount($U$35,Y20606,,Trigger)</f>
        <v>0.32378959282932546</v>
      </c>
    </row>
    <row r="20607" spans="25:26" x14ac:dyDescent="0.25">
      <c r="Y20607" s="63">
        <v>63140</v>
      </c>
      <c r="Z20607" s="61">
        <f>_xll.qlYieldTSDiscount($U$35,Y20607,,Trigger)</f>
        <v>0.32376986268172525</v>
      </c>
    </row>
    <row r="20608" spans="25:26" x14ac:dyDescent="0.25">
      <c r="Y20608" s="63">
        <v>63141</v>
      </c>
      <c r="Z20608" s="61">
        <f>_xll.qlYieldTSDiscount($U$35,Y20608,,Trigger)</f>
        <v>0.32375013302416977</v>
      </c>
    </row>
    <row r="20609" spans="25:26" x14ac:dyDescent="0.25">
      <c r="Y20609" s="63">
        <v>63142</v>
      </c>
      <c r="Z20609" s="61">
        <f>_xll.qlYieldTSDiscount($U$35,Y20609,,Trigger)</f>
        <v>0.32373040385629309</v>
      </c>
    </row>
    <row r="20610" spans="25:26" x14ac:dyDescent="0.25">
      <c r="Y20610" s="63">
        <v>63143</v>
      </c>
      <c r="Z20610" s="61">
        <f>_xll.qlYieldTSDiscount($U$35,Y20610,,Trigger)</f>
        <v>0.32371067517772906</v>
      </c>
    </row>
    <row r="20611" spans="25:26" x14ac:dyDescent="0.25">
      <c r="Y20611" s="63">
        <v>63144</v>
      </c>
      <c r="Z20611" s="61">
        <f>_xll.qlYieldTSDiscount($U$35,Y20611,,Trigger)</f>
        <v>0.32369094698811191</v>
      </c>
    </row>
    <row r="20612" spans="25:26" x14ac:dyDescent="0.25">
      <c r="Y20612" s="63">
        <v>63145</v>
      </c>
      <c r="Z20612" s="61">
        <f>_xll.qlYieldTSDiscount($U$35,Y20612,,Trigger)</f>
        <v>0.3236712192870756</v>
      </c>
    </row>
    <row r="20613" spans="25:26" x14ac:dyDescent="0.25">
      <c r="Y20613" s="63">
        <v>63146</v>
      </c>
      <c r="Z20613" s="61">
        <f>_xll.qlYieldTSDiscount($U$35,Y20613,,Trigger)</f>
        <v>0.32365149207425409</v>
      </c>
    </row>
    <row r="20614" spans="25:26" x14ac:dyDescent="0.25">
      <c r="Y20614" s="63">
        <v>63147</v>
      </c>
      <c r="Z20614" s="61">
        <f>_xll.qlYieldTSDiscount($U$35,Y20614,,Trigger)</f>
        <v>0.3236317653492814</v>
      </c>
    </row>
    <row r="20615" spans="25:26" x14ac:dyDescent="0.25">
      <c r="Y20615" s="63">
        <v>63148</v>
      </c>
      <c r="Z20615" s="61">
        <f>_xll.qlYieldTSDiscount($U$35,Y20615,,Trigger)</f>
        <v>0.32361203911179159</v>
      </c>
    </row>
    <row r="20616" spans="25:26" x14ac:dyDescent="0.25">
      <c r="Y20616" s="63">
        <v>63149</v>
      </c>
      <c r="Z20616" s="61">
        <f>_xll.qlYieldTSDiscount($U$35,Y20616,,Trigger)</f>
        <v>0.32359231336141875</v>
      </c>
    </row>
    <row r="20617" spans="25:26" x14ac:dyDescent="0.25">
      <c r="Y20617" s="63">
        <v>63150</v>
      </c>
      <c r="Z20617" s="61">
        <f>_xll.qlYieldTSDiscount($U$35,Y20617,,Trigger)</f>
        <v>0.32357258809779677</v>
      </c>
    </row>
    <row r="20618" spans="25:26" x14ac:dyDescent="0.25">
      <c r="Y20618" s="63">
        <v>63151</v>
      </c>
      <c r="Z20618" s="61">
        <f>_xll.qlYieldTSDiscount($U$35,Y20618,,Trigger)</f>
        <v>0.32355286332055966</v>
      </c>
    </row>
    <row r="20619" spans="25:26" x14ac:dyDescent="0.25">
      <c r="Y20619" s="63">
        <v>63152</v>
      </c>
      <c r="Z20619" s="61">
        <f>_xll.qlYieldTSDiscount($U$35,Y20619,,Trigger)</f>
        <v>0.32353313902934167</v>
      </c>
    </row>
    <row r="20620" spans="25:26" x14ac:dyDescent="0.25">
      <c r="Y20620" s="63">
        <v>63153</v>
      </c>
      <c r="Z20620" s="61">
        <f>_xll.qlYieldTSDiscount($U$35,Y20620,,Trigger)</f>
        <v>0.32351341522377658</v>
      </c>
    </row>
    <row r="20621" spans="25:26" x14ac:dyDescent="0.25">
      <c r="Y20621" s="63">
        <v>63154</v>
      </c>
      <c r="Z20621" s="61">
        <f>_xll.qlYieldTSDiscount($U$35,Y20621,,Trigger)</f>
        <v>0.32349369190349853</v>
      </c>
    </row>
    <row r="20622" spans="25:26" x14ac:dyDescent="0.25">
      <c r="Y20622" s="63">
        <v>63155</v>
      </c>
      <c r="Z20622" s="61">
        <f>_xll.qlYieldTSDiscount($U$35,Y20622,,Trigger)</f>
        <v>0.32347396906814146</v>
      </c>
    </row>
    <row r="20623" spans="25:26" x14ac:dyDescent="0.25">
      <c r="Y20623" s="63">
        <v>63156</v>
      </c>
      <c r="Z20623" s="61">
        <f>_xll.qlYieldTSDiscount($U$35,Y20623,,Trigger)</f>
        <v>0.32345424671733947</v>
      </c>
    </row>
    <row r="20624" spans="25:26" x14ac:dyDescent="0.25">
      <c r="Y20624" s="63">
        <v>63157</v>
      </c>
      <c r="Z20624" s="61">
        <f>_xll.qlYieldTSDiscount($U$35,Y20624,,Trigger)</f>
        <v>0.32343452485072649</v>
      </c>
    </row>
    <row r="20625" spans="25:26" x14ac:dyDescent="0.25">
      <c r="Y20625" s="63">
        <v>63158</v>
      </c>
      <c r="Z20625" s="61">
        <f>_xll.qlYieldTSDiscount($U$35,Y20625,,Trigger)</f>
        <v>0.32341480346793677</v>
      </c>
    </row>
    <row r="20626" spans="25:26" x14ac:dyDescent="0.25">
      <c r="Y20626" s="63">
        <v>63159</v>
      </c>
      <c r="Z20626" s="61">
        <f>_xll.qlYieldTSDiscount($U$35,Y20626,,Trigger)</f>
        <v>0.32339508256860405</v>
      </c>
    </row>
    <row r="20627" spans="25:26" x14ac:dyDescent="0.25">
      <c r="Y20627" s="63">
        <v>63160</v>
      </c>
      <c r="Z20627" s="61">
        <f>_xll.qlYieldTSDiscount($U$35,Y20627,,Trigger)</f>
        <v>0.32337536215236246</v>
      </c>
    </row>
    <row r="20628" spans="25:26" x14ac:dyDescent="0.25">
      <c r="Y20628" s="63">
        <v>63161</v>
      </c>
      <c r="Z20628" s="61">
        <f>_xll.qlYieldTSDiscount($U$35,Y20628,,Trigger)</f>
        <v>0.32335564221884605</v>
      </c>
    </row>
    <row r="20629" spans="25:26" x14ac:dyDescent="0.25">
      <c r="Y20629" s="63">
        <v>63162</v>
      </c>
      <c r="Z20629" s="61">
        <f>_xll.qlYieldTSDiscount($U$35,Y20629,,Trigger)</f>
        <v>0.32333592276768885</v>
      </c>
    </row>
    <row r="20630" spans="25:26" x14ac:dyDescent="0.25">
      <c r="Y20630" s="63">
        <v>63163</v>
      </c>
      <c r="Z20630" s="61">
        <f>_xll.qlYieldTSDiscount($U$35,Y20630,,Trigger)</f>
        <v>0.32331620379852483</v>
      </c>
    </row>
    <row r="20631" spans="25:26" x14ac:dyDescent="0.25">
      <c r="Y20631" s="63">
        <v>63164</v>
      </c>
      <c r="Z20631" s="61">
        <f>_xll.qlYieldTSDiscount($U$35,Y20631,,Trigger)</f>
        <v>0.32329648531098804</v>
      </c>
    </row>
    <row r="20632" spans="25:26" x14ac:dyDescent="0.25">
      <c r="Y20632" s="63">
        <v>63165</v>
      </c>
      <c r="Z20632" s="61">
        <f>_xll.qlYieldTSDiscount($U$35,Y20632,,Trigger)</f>
        <v>0.3232767673047125</v>
      </c>
    </row>
    <row r="20633" spans="25:26" x14ac:dyDescent="0.25">
      <c r="Y20633" s="63">
        <v>63166</v>
      </c>
      <c r="Z20633" s="61">
        <f>_xll.qlYieldTSDiscount($U$35,Y20633,,Trigger)</f>
        <v>0.32325704977933217</v>
      </c>
    </row>
    <row r="20634" spans="25:26" x14ac:dyDescent="0.25">
      <c r="Y20634" s="63">
        <v>63167</v>
      </c>
      <c r="Z20634" s="61">
        <f>_xll.qlYieldTSDiscount($U$35,Y20634,,Trigger)</f>
        <v>0.32323733273448119</v>
      </c>
    </row>
    <row r="20635" spans="25:26" x14ac:dyDescent="0.25">
      <c r="Y20635" s="63">
        <v>63168</v>
      </c>
      <c r="Z20635" s="61">
        <f>_xll.qlYieldTSDiscount($U$35,Y20635,,Trigger)</f>
        <v>0.32321761616979355</v>
      </c>
    </row>
    <row r="20636" spans="25:26" x14ac:dyDescent="0.25">
      <c r="Y20636" s="63">
        <v>63169</v>
      </c>
      <c r="Z20636" s="61">
        <f>_xll.qlYieldTSDiscount($U$35,Y20636,,Trigger)</f>
        <v>0.32319790008490318</v>
      </c>
    </row>
    <row r="20637" spans="25:26" x14ac:dyDescent="0.25">
      <c r="Y20637" s="63">
        <v>63170</v>
      </c>
      <c r="Z20637" s="61">
        <f>_xll.qlYieldTSDiscount($U$35,Y20637,,Trigger)</f>
        <v>0.32317818447944419</v>
      </c>
    </row>
    <row r="20638" spans="25:26" x14ac:dyDescent="0.25">
      <c r="Y20638" s="63">
        <v>63171</v>
      </c>
      <c r="Z20638" s="61">
        <f>_xll.qlYieldTSDiscount($U$35,Y20638,,Trigger)</f>
        <v>0.32315846935305059</v>
      </c>
    </row>
    <row r="20639" spans="25:26" x14ac:dyDescent="0.25">
      <c r="Y20639" s="63">
        <v>63172</v>
      </c>
      <c r="Z20639" s="61">
        <f>_xll.qlYieldTSDiscount($U$35,Y20639,,Trigger)</f>
        <v>0.32313875470535641</v>
      </c>
    </row>
    <row r="20640" spans="25:26" x14ac:dyDescent="0.25">
      <c r="Y20640" s="63">
        <v>63173</v>
      </c>
      <c r="Z20640" s="61">
        <f>_xll.qlYieldTSDiscount($U$35,Y20640,,Trigger)</f>
        <v>0.32311904053599566</v>
      </c>
    </row>
    <row r="20641" spans="25:26" x14ac:dyDescent="0.25">
      <c r="Y20641" s="63">
        <v>63174</v>
      </c>
      <c r="Z20641" s="61">
        <f>_xll.qlYieldTSDiscount($U$35,Y20641,,Trigger)</f>
        <v>0.32309932684460235</v>
      </c>
    </row>
    <row r="20642" spans="25:26" x14ac:dyDescent="0.25">
      <c r="Y20642" s="63">
        <v>63175</v>
      </c>
      <c r="Z20642" s="61">
        <f>_xll.qlYieldTSDiscount($U$35,Y20642,,Trigger)</f>
        <v>0.32307961363081045</v>
      </c>
    </row>
    <row r="20643" spans="25:26" x14ac:dyDescent="0.25">
      <c r="Y20643" s="63">
        <v>63176</v>
      </c>
      <c r="Z20643" s="61">
        <f>_xll.qlYieldTSDiscount($U$35,Y20643,,Trigger)</f>
        <v>0.32305990089425407</v>
      </c>
    </row>
    <row r="20644" spans="25:26" x14ac:dyDescent="0.25">
      <c r="Y20644" s="63">
        <v>63177</v>
      </c>
      <c r="Z20644" s="61">
        <f>_xll.qlYieldTSDiscount($U$35,Y20644,,Trigger)</f>
        <v>0.32304018863456724</v>
      </c>
    </row>
    <row r="20645" spans="25:26" x14ac:dyDescent="0.25">
      <c r="Y20645" s="63">
        <v>63178</v>
      </c>
      <c r="Z20645" s="61">
        <f>_xll.qlYieldTSDiscount($U$35,Y20645,,Trigger)</f>
        <v>0.32302047685138391</v>
      </c>
    </row>
    <row r="20646" spans="25:26" x14ac:dyDescent="0.25">
      <c r="Y20646" s="63">
        <v>63179</v>
      </c>
      <c r="Z20646" s="61">
        <f>_xll.qlYieldTSDiscount($U$35,Y20646,,Trigger)</f>
        <v>0.3230007655443381</v>
      </c>
    </row>
    <row r="20647" spans="25:26" x14ac:dyDescent="0.25">
      <c r="Y20647" s="63">
        <v>63180</v>
      </c>
      <c r="Z20647" s="61">
        <f>_xll.qlYieldTSDiscount($U$35,Y20647,,Trigger)</f>
        <v>0.32298105471306393</v>
      </c>
    </row>
    <row r="20648" spans="25:26" x14ac:dyDescent="0.25">
      <c r="Y20648" s="63">
        <v>63181</v>
      </c>
      <c r="Z20648" s="61">
        <f>_xll.qlYieldTSDiscount($U$35,Y20648,,Trigger)</f>
        <v>0.32296134435719531</v>
      </c>
    </row>
    <row r="20649" spans="25:26" x14ac:dyDescent="0.25">
      <c r="Y20649" s="63">
        <v>63182</v>
      </c>
      <c r="Z20649" s="61">
        <f>_xll.qlYieldTSDiscount($U$35,Y20649,,Trigger)</f>
        <v>0.32294163447636631</v>
      </c>
    </row>
    <row r="20650" spans="25:26" x14ac:dyDescent="0.25">
      <c r="Y20650" s="63">
        <v>63183</v>
      </c>
      <c r="Z20650" s="61">
        <f>_xll.qlYieldTSDiscount($U$35,Y20650,,Trigger)</f>
        <v>0.32292192507021095</v>
      </c>
    </row>
    <row r="20651" spans="25:26" x14ac:dyDescent="0.25">
      <c r="Y20651" s="63">
        <v>63184</v>
      </c>
      <c r="Z20651" s="61">
        <f>_xll.qlYieldTSDiscount($U$35,Y20651,,Trigger)</f>
        <v>0.32290221613836334</v>
      </c>
    </row>
    <row r="20652" spans="25:26" x14ac:dyDescent="0.25">
      <c r="Y20652" s="63">
        <v>63185</v>
      </c>
      <c r="Z20652" s="61">
        <f>_xll.qlYieldTSDiscount($U$35,Y20652,,Trigger)</f>
        <v>0.32288250768045734</v>
      </c>
    </row>
    <row r="20653" spans="25:26" x14ac:dyDescent="0.25">
      <c r="Y20653" s="63">
        <v>63186</v>
      </c>
      <c r="Z20653" s="61">
        <f>_xll.qlYieldTSDiscount($U$35,Y20653,,Trigger)</f>
        <v>0.32286279969612702</v>
      </c>
    </row>
    <row r="20654" spans="25:26" x14ac:dyDescent="0.25">
      <c r="Y20654" s="63">
        <v>63187</v>
      </c>
      <c r="Z20654" s="61">
        <f>_xll.qlYieldTSDiscount($U$35,Y20654,,Trigger)</f>
        <v>0.32284309218500651</v>
      </c>
    </row>
    <row r="20655" spans="25:26" x14ac:dyDescent="0.25">
      <c r="Y20655" s="63">
        <v>63188</v>
      </c>
      <c r="Z20655" s="61">
        <f>_xll.qlYieldTSDiscount($U$35,Y20655,,Trigger)</f>
        <v>0.3228233851467297</v>
      </c>
    </row>
    <row r="20656" spans="25:26" x14ac:dyDescent="0.25">
      <c r="Y20656" s="63">
        <v>63189</v>
      </c>
      <c r="Z20656" s="61">
        <f>_xll.qlYieldTSDiscount($U$35,Y20656,,Trigger)</f>
        <v>0.32280367858093062</v>
      </c>
    </row>
    <row r="20657" spans="25:26" x14ac:dyDescent="0.25">
      <c r="Y20657" s="63">
        <v>63190</v>
      </c>
      <c r="Z20657" s="61">
        <f>_xll.qlYieldTSDiscount($U$35,Y20657,,Trigger)</f>
        <v>0.32278397248724339</v>
      </c>
    </row>
    <row r="20658" spans="25:26" x14ac:dyDescent="0.25">
      <c r="Y20658" s="63">
        <v>63191</v>
      </c>
      <c r="Z20658" s="61">
        <f>_xll.qlYieldTSDiscount($U$35,Y20658,,Trigger)</f>
        <v>0.32276426686530196</v>
      </c>
    </row>
    <row r="20659" spans="25:26" x14ac:dyDescent="0.25">
      <c r="Y20659" s="63">
        <v>63192</v>
      </c>
      <c r="Z20659" s="61">
        <f>_xll.qlYieldTSDiscount($U$35,Y20659,,Trigger)</f>
        <v>0.32274456171474036</v>
      </c>
    </row>
    <row r="20660" spans="25:26" x14ac:dyDescent="0.25">
      <c r="Y20660" s="63">
        <v>63193</v>
      </c>
      <c r="Z20660" s="61">
        <f>_xll.qlYieldTSDiscount($U$35,Y20660,,Trigger)</f>
        <v>0.32272485703519266</v>
      </c>
    </row>
    <row r="20661" spans="25:26" x14ac:dyDescent="0.25">
      <c r="Y20661" s="63">
        <v>63194</v>
      </c>
      <c r="Z20661" s="61">
        <f>_xll.qlYieldTSDiscount($U$35,Y20661,,Trigger)</f>
        <v>0.32270515282629281</v>
      </c>
    </row>
    <row r="20662" spans="25:26" x14ac:dyDescent="0.25">
      <c r="Y20662" s="63">
        <v>63195</v>
      </c>
      <c r="Z20662" s="61">
        <f>_xll.qlYieldTSDiscount($U$35,Y20662,,Trigger)</f>
        <v>0.32268544908767488</v>
      </c>
    </row>
    <row r="20663" spans="25:26" x14ac:dyDescent="0.25">
      <c r="Y20663" s="63">
        <v>63196</v>
      </c>
      <c r="Z20663" s="61">
        <f>_xll.qlYieldTSDiscount($U$35,Y20663,,Trigger)</f>
        <v>0.32266574581897284</v>
      </c>
    </row>
    <row r="20664" spans="25:26" x14ac:dyDescent="0.25">
      <c r="Y20664" s="63">
        <v>63197</v>
      </c>
      <c r="Z20664" s="61">
        <f>_xll.qlYieldTSDiscount($U$35,Y20664,,Trigger)</f>
        <v>0.32264604301982086</v>
      </c>
    </row>
    <row r="20665" spans="25:26" x14ac:dyDescent="0.25">
      <c r="Y20665" s="63">
        <v>63198</v>
      </c>
      <c r="Z20665" s="61">
        <f>_xll.qlYieldTSDiscount($U$35,Y20665,,Trigger)</f>
        <v>0.32262634068985269</v>
      </c>
    </row>
    <row r="20666" spans="25:26" x14ac:dyDescent="0.25">
      <c r="Y20666" s="63">
        <v>63199</v>
      </c>
      <c r="Z20666" s="61">
        <f>_xll.qlYieldTSDiscount($U$35,Y20666,,Trigger)</f>
        <v>0.32260663882870261</v>
      </c>
    </row>
    <row r="20667" spans="25:26" x14ac:dyDescent="0.25">
      <c r="Y20667" s="63">
        <v>63200</v>
      </c>
      <c r="Z20667" s="61">
        <f>_xll.qlYieldTSDiscount($U$35,Y20667,,Trigger)</f>
        <v>0.32258693743600458</v>
      </c>
    </row>
    <row r="20668" spans="25:26" x14ac:dyDescent="0.25">
      <c r="Y20668" s="63">
        <v>63201</v>
      </c>
      <c r="Z20668" s="61">
        <f>_xll.qlYieldTSDiscount($U$35,Y20668,,Trigger)</f>
        <v>0.32256723651139246</v>
      </c>
    </row>
    <row r="20669" spans="25:26" x14ac:dyDescent="0.25">
      <c r="Y20669" s="63">
        <v>63202</v>
      </c>
      <c r="Z20669" s="61">
        <f>_xll.qlYieldTSDiscount($U$35,Y20669,,Trigger)</f>
        <v>0.32254753605450043</v>
      </c>
    </row>
    <row r="20670" spans="25:26" x14ac:dyDescent="0.25">
      <c r="Y20670" s="63">
        <v>63203</v>
      </c>
      <c r="Z20670" s="61">
        <f>_xll.qlYieldTSDiscount($U$35,Y20670,,Trigger)</f>
        <v>0.3225278360649626</v>
      </c>
    </row>
    <row r="20671" spans="25:26" x14ac:dyDescent="0.25">
      <c r="Y20671" s="63">
        <v>63204</v>
      </c>
      <c r="Z20671" s="61">
        <f>_xll.qlYieldTSDiscount($U$35,Y20671,,Trigger)</f>
        <v>0.32250813654241278</v>
      </c>
    </row>
    <row r="20672" spans="25:26" x14ac:dyDescent="0.25">
      <c r="Y20672" s="63">
        <v>63205</v>
      </c>
      <c r="Z20672" s="61">
        <f>_xll.qlYieldTSDiscount($U$35,Y20672,,Trigger)</f>
        <v>0.32248843748648504</v>
      </c>
    </row>
    <row r="20673" spans="25:26" x14ac:dyDescent="0.25">
      <c r="Y20673" s="63">
        <v>63206</v>
      </c>
      <c r="Z20673" s="61">
        <f>_xll.qlYieldTSDiscount($U$35,Y20673,,Trigger)</f>
        <v>0.32246873889681354</v>
      </c>
    </row>
    <row r="20674" spans="25:26" x14ac:dyDescent="0.25">
      <c r="Y20674" s="63">
        <v>63207</v>
      </c>
      <c r="Z20674" s="61">
        <f>_xll.qlYieldTSDiscount($U$35,Y20674,,Trigger)</f>
        <v>0.3224490407730321</v>
      </c>
    </row>
    <row r="20675" spans="25:26" x14ac:dyDescent="0.25">
      <c r="Y20675" s="63">
        <v>63208</v>
      </c>
      <c r="Z20675" s="61">
        <f>_xll.qlYieldTSDiscount($U$35,Y20675,,Trigger)</f>
        <v>0.32242934311477495</v>
      </c>
    </row>
    <row r="20676" spans="25:26" x14ac:dyDescent="0.25">
      <c r="Y20676" s="63">
        <v>63209</v>
      </c>
      <c r="Z20676" s="61">
        <f>_xll.qlYieldTSDiscount($U$35,Y20676,,Trigger)</f>
        <v>0.32240964592167598</v>
      </c>
    </row>
    <row r="20677" spans="25:26" x14ac:dyDescent="0.25">
      <c r="Y20677" s="63">
        <v>63210</v>
      </c>
      <c r="Z20677" s="61">
        <f>_xll.qlYieldTSDiscount($U$35,Y20677,,Trigger)</f>
        <v>0.32238994919336922</v>
      </c>
    </row>
    <row r="20678" spans="25:26" x14ac:dyDescent="0.25">
      <c r="Y20678" s="63">
        <v>63211</v>
      </c>
      <c r="Z20678" s="61">
        <f>_xll.qlYieldTSDiscount($U$35,Y20678,,Trigger)</f>
        <v>0.32237025292948873</v>
      </c>
    </row>
    <row r="20679" spans="25:26" x14ac:dyDescent="0.25">
      <c r="Y20679" s="63">
        <v>63212</v>
      </c>
      <c r="Z20679" s="61">
        <f>_xll.qlYieldTSDiscount($U$35,Y20679,,Trigger)</f>
        <v>0.32235055712966848</v>
      </c>
    </row>
    <row r="20680" spans="25:26" x14ac:dyDescent="0.25">
      <c r="Y20680" s="63">
        <v>63213</v>
      </c>
      <c r="Z20680" s="61">
        <f>_xll.qlYieldTSDiscount($U$35,Y20680,,Trigger)</f>
        <v>0.32233086179354259</v>
      </c>
    </row>
    <row r="20681" spans="25:26" x14ac:dyDescent="0.25">
      <c r="Y20681" s="63">
        <v>63214</v>
      </c>
      <c r="Z20681" s="61">
        <f>_xll.qlYieldTSDiscount($U$35,Y20681,,Trigger)</f>
        <v>0.32231116692074496</v>
      </c>
    </row>
    <row r="20682" spans="25:26" x14ac:dyDescent="0.25">
      <c r="Y20682" s="63">
        <v>63215</v>
      </c>
      <c r="Z20682" s="61">
        <f>_xll.qlYieldTSDiscount($U$35,Y20682,,Trigger)</f>
        <v>0.32229147251090962</v>
      </c>
    </row>
    <row r="20683" spans="25:26" x14ac:dyDescent="0.25">
      <c r="Y20683" s="63">
        <v>63216</v>
      </c>
      <c r="Z20683" s="61">
        <f>_xll.qlYieldTSDiscount($U$35,Y20683,,Trigger)</f>
        <v>0.32227177856367079</v>
      </c>
    </row>
    <row r="20684" spans="25:26" x14ac:dyDescent="0.25">
      <c r="Y20684" s="63">
        <v>63217</v>
      </c>
      <c r="Z20684" s="61">
        <f>_xll.qlYieldTSDiscount($U$35,Y20684,,Trigger)</f>
        <v>0.32225208507866226</v>
      </c>
    </row>
    <row r="20685" spans="25:26" x14ac:dyDescent="0.25">
      <c r="Y20685" s="63">
        <v>63218</v>
      </c>
      <c r="Z20685" s="61">
        <f>_xll.qlYieldTSDiscount($U$35,Y20685,,Trigger)</f>
        <v>0.32223239205551818</v>
      </c>
    </row>
    <row r="20686" spans="25:26" x14ac:dyDescent="0.25">
      <c r="Y20686" s="63">
        <v>63219</v>
      </c>
      <c r="Z20686" s="61">
        <f>_xll.qlYieldTSDiscount($U$35,Y20686,,Trigger)</f>
        <v>0.32221269949387249</v>
      </c>
    </row>
    <row r="20687" spans="25:26" x14ac:dyDescent="0.25">
      <c r="Y20687" s="63">
        <v>63220</v>
      </c>
      <c r="Z20687" s="61">
        <f>_xll.qlYieldTSDiscount($U$35,Y20687,,Trigger)</f>
        <v>0.32219300739335927</v>
      </c>
    </row>
    <row r="20688" spans="25:26" x14ac:dyDescent="0.25">
      <c r="Y20688" s="63">
        <v>63221</v>
      </c>
      <c r="Z20688" s="61">
        <f>_xll.qlYieldTSDiscount($U$35,Y20688,,Trigger)</f>
        <v>0.32217331575361252</v>
      </c>
    </row>
    <row r="20689" spans="25:26" x14ac:dyDescent="0.25">
      <c r="Y20689" s="63">
        <v>63222</v>
      </c>
      <c r="Z20689" s="61">
        <f>_xll.qlYieldTSDiscount($U$35,Y20689,,Trigger)</f>
        <v>0.32215362457426627</v>
      </c>
    </row>
    <row r="20690" spans="25:26" x14ac:dyDescent="0.25">
      <c r="Y20690" s="63">
        <v>63223</v>
      </c>
      <c r="Z20690" s="61">
        <f>_xll.qlYieldTSDiscount($U$35,Y20690,,Trigger)</f>
        <v>0.32213393385495454</v>
      </c>
    </row>
    <row r="20691" spans="25:26" x14ac:dyDescent="0.25">
      <c r="Y20691" s="63">
        <v>63224</v>
      </c>
      <c r="Z20691" s="61">
        <f>_xll.qlYieldTSDiscount($U$35,Y20691,,Trigger)</f>
        <v>0.32211424359531127</v>
      </c>
    </row>
    <row r="20692" spans="25:26" x14ac:dyDescent="0.25">
      <c r="Y20692" s="63">
        <v>63225</v>
      </c>
      <c r="Z20692" s="61">
        <f>_xll.qlYieldTSDiscount($U$35,Y20692,,Trigger)</f>
        <v>0.3220945537949706</v>
      </c>
    </row>
    <row r="20693" spans="25:26" x14ac:dyDescent="0.25">
      <c r="Y20693" s="63">
        <v>63226</v>
      </c>
      <c r="Z20693" s="61">
        <f>_xll.qlYieldTSDiscount($U$35,Y20693,,Trigger)</f>
        <v>0.32207486445356659</v>
      </c>
    </row>
    <row r="20694" spans="25:26" x14ac:dyDescent="0.25">
      <c r="Y20694" s="63">
        <v>63227</v>
      </c>
      <c r="Z20694" s="61">
        <f>_xll.qlYieldTSDiscount($U$35,Y20694,,Trigger)</f>
        <v>0.3220551755707331</v>
      </c>
    </row>
    <row r="20695" spans="25:26" x14ac:dyDescent="0.25">
      <c r="Y20695" s="63">
        <v>63228</v>
      </c>
      <c r="Z20695" s="61">
        <f>_xll.qlYieldTSDiscount($U$35,Y20695,,Trigger)</f>
        <v>0.32203548714610425</v>
      </c>
    </row>
    <row r="20696" spans="25:26" x14ac:dyDescent="0.25">
      <c r="Y20696" s="63">
        <v>63229</v>
      </c>
      <c r="Z20696" s="61">
        <f>_xll.qlYieldTSDiscount($U$35,Y20696,,Trigger)</f>
        <v>0.32201579917931411</v>
      </c>
    </row>
    <row r="20697" spans="25:26" x14ac:dyDescent="0.25">
      <c r="Y20697" s="63">
        <v>63230</v>
      </c>
      <c r="Z20697" s="61">
        <f>_xll.qlYieldTSDiscount($U$35,Y20697,,Trigger)</f>
        <v>0.32199611166999653</v>
      </c>
    </row>
    <row r="20698" spans="25:26" x14ac:dyDescent="0.25">
      <c r="Y20698" s="63">
        <v>63231</v>
      </c>
      <c r="Z20698" s="61">
        <f>_xll.qlYieldTSDiscount($U$35,Y20698,,Trigger)</f>
        <v>0.32197642461778569</v>
      </c>
    </row>
    <row r="20699" spans="25:26" x14ac:dyDescent="0.25">
      <c r="Y20699" s="63">
        <v>63232</v>
      </c>
      <c r="Z20699" s="61">
        <f>_xll.qlYieldTSDiscount($U$35,Y20699,,Trigger)</f>
        <v>0.32195673802231567</v>
      </c>
    </row>
    <row r="20700" spans="25:26" x14ac:dyDescent="0.25">
      <c r="Y20700" s="63">
        <v>63233</v>
      </c>
      <c r="Z20700" s="61">
        <f>_xll.qlYieldTSDiscount($U$35,Y20700,,Trigger)</f>
        <v>0.32193705188322019</v>
      </c>
    </row>
    <row r="20701" spans="25:26" x14ac:dyDescent="0.25">
      <c r="Y20701" s="63">
        <v>63234</v>
      </c>
      <c r="Z20701" s="61">
        <f>_xll.qlYieldTSDiscount($U$35,Y20701,,Trigger)</f>
        <v>0.32191736620013361</v>
      </c>
    </row>
    <row r="20702" spans="25:26" x14ac:dyDescent="0.25">
      <c r="Y20702" s="63">
        <v>63235</v>
      </c>
      <c r="Z20702" s="61">
        <f>_xll.qlYieldTSDiscount($U$35,Y20702,,Trigger)</f>
        <v>0.32189768097268984</v>
      </c>
    </row>
    <row r="20703" spans="25:26" x14ac:dyDescent="0.25">
      <c r="Y20703" s="63">
        <v>63236</v>
      </c>
      <c r="Z20703" s="61">
        <f>_xll.qlYieldTSDiscount($U$35,Y20703,,Trigger)</f>
        <v>0.32187799620052271</v>
      </c>
    </row>
    <row r="20704" spans="25:26" x14ac:dyDescent="0.25">
      <c r="Y20704" s="63">
        <v>63237</v>
      </c>
      <c r="Z20704" s="61">
        <f>_xll.qlYieldTSDiscount($U$35,Y20704,,Trigger)</f>
        <v>0.32185831188326647</v>
      </c>
    </row>
    <row r="20705" spans="25:26" x14ac:dyDescent="0.25">
      <c r="Y20705" s="63">
        <v>63238</v>
      </c>
      <c r="Z20705" s="61">
        <f>_xll.qlYieldTSDiscount($U$35,Y20705,,Trigger)</f>
        <v>0.32183862802055513</v>
      </c>
    </row>
    <row r="20706" spans="25:26" x14ac:dyDescent="0.25">
      <c r="Y20706" s="63">
        <v>63239</v>
      </c>
      <c r="Z20706" s="61">
        <f>_xll.qlYieldTSDiscount($U$35,Y20706,,Trigger)</f>
        <v>0.32181894461202265</v>
      </c>
    </row>
    <row r="20707" spans="25:26" x14ac:dyDescent="0.25">
      <c r="Y20707" s="63">
        <v>63240</v>
      </c>
      <c r="Z20707" s="61">
        <f>_xll.qlYieldTSDiscount($U$35,Y20707,,Trigger)</f>
        <v>0.32179926165730299</v>
      </c>
    </row>
    <row r="20708" spans="25:26" x14ac:dyDescent="0.25">
      <c r="Y20708" s="63">
        <v>63241</v>
      </c>
      <c r="Z20708" s="61">
        <f>_xll.qlYieldTSDiscount($U$35,Y20708,,Trigger)</f>
        <v>0.32177957915603028</v>
      </c>
    </row>
    <row r="20709" spans="25:26" x14ac:dyDescent="0.25">
      <c r="Y20709" s="63">
        <v>63242</v>
      </c>
      <c r="Z20709" s="61">
        <f>_xll.qlYieldTSDiscount($U$35,Y20709,,Trigger)</f>
        <v>0.32175989710783853</v>
      </c>
    </row>
    <row r="20710" spans="25:26" x14ac:dyDescent="0.25">
      <c r="Y20710" s="63">
        <v>63243</v>
      </c>
      <c r="Z20710" s="61">
        <f>_xll.qlYieldTSDiscount($U$35,Y20710,,Trigger)</f>
        <v>0.32174021551236165</v>
      </c>
    </row>
    <row r="20711" spans="25:26" x14ac:dyDescent="0.25">
      <c r="Y20711" s="63">
        <v>63244</v>
      </c>
      <c r="Z20711" s="61">
        <f>_xll.qlYieldTSDiscount($U$35,Y20711,,Trigger)</f>
        <v>0.32172053436923381</v>
      </c>
    </row>
    <row r="20712" spans="25:26" x14ac:dyDescent="0.25">
      <c r="Y20712" s="63">
        <v>63245</v>
      </c>
      <c r="Z20712" s="61">
        <f>_xll.qlYieldTSDiscount($U$35,Y20712,,Trigger)</f>
        <v>0.32170085367808898</v>
      </c>
    </row>
    <row r="20713" spans="25:26" x14ac:dyDescent="0.25">
      <c r="Y20713" s="63">
        <v>63246</v>
      </c>
      <c r="Z20713" s="61">
        <f>_xll.qlYieldTSDiscount($U$35,Y20713,,Trigger)</f>
        <v>0.32168117343856112</v>
      </c>
    </row>
    <row r="20714" spans="25:26" x14ac:dyDescent="0.25">
      <c r="Y20714" s="63">
        <v>63247</v>
      </c>
      <c r="Z20714" s="61">
        <f>_xll.qlYieldTSDiscount($U$35,Y20714,,Trigger)</f>
        <v>0.32166149365028429</v>
      </c>
    </row>
    <row r="20715" spans="25:26" x14ac:dyDescent="0.25">
      <c r="Y20715" s="63">
        <v>63248</v>
      </c>
      <c r="Z20715" s="61">
        <f>_xll.qlYieldTSDiscount($U$35,Y20715,,Trigger)</f>
        <v>0.32164181431289257</v>
      </c>
    </row>
    <row r="20716" spans="25:26" x14ac:dyDescent="0.25">
      <c r="Y20716" s="63">
        <v>63249</v>
      </c>
      <c r="Z20716" s="61">
        <f>_xll.qlYieldTSDiscount($U$35,Y20716,,Trigger)</f>
        <v>0.32162213542601992</v>
      </c>
    </row>
    <row r="20717" spans="25:26" x14ac:dyDescent="0.25">
      <c r="Y20717" s="63">
        <v>63250</v>
      </c>
      <c r="Z20717" s="61">
        <f>_xll.qlYieldTSDiscount($U$35,Y20717,,Trigger)</f>
        <v>0.3216024569893004</v>
      </c>
    </row>
    <row r="20718" spans="25:26" x14ac:dyDescent="0.25">
      <c r="Y20718" s="63">
        <v>63251</v>
      </c>
      <c r="Z20718" s="61">
        <f>_xll.qlYieldTSDiscount($U$35,Y20718,,Trigger)</f>
        <v>0.32158277900236798</v>
      </c>
    </row>
    <row r="20719" spans="25:26" x14ac:dyDescent="0.25">
      <c r="Y20719" s="63">
        <v>63252</v>
      </c>
      <c r="Z20719" s="61">
        <f>_xll.qlYieldTSDiscount($U$35,Y20719,,Trigger)</f>
        <v>0.32156310146485673</v>
      </c>
    </row>
    <row r="20720" spans="25:26" x14ac:dyDescent="0.25">
      <c r="Y20720" s="63">
        <v>63253</v>
      </c>
      <c r="Z20720" s="61">
        <f>_xll.qlYieldTSDiscount($U$35,Y20720,,Trigger)</f>
        <v>0.3215434243764006</v>
      </c>
    </row>
    <row r="20721" spans="25:26" x14ac:dyDescent="0.25">
      <c r="Y20721" s="63">
        <v>63254</v>
      </c>
      <c r="Z20721" s="61">
        <f>_xll.qlYieldTSDiscount($U$35,Y20721,,Trigger)</f>
        <v>0.32152374773663372</v>
      </c>
    </row>
    <row r="20722" spans="25:26" x14ac:dyDescent="0.25">
      <c r="Y20722" s="63">
        <v>63255</v>
      </c>
      <c r="Z20722" s="61">
        <f>_xll.qlYieldTSDiscount($U$35,Y20722,,Trigger)</f>
        <v>0.32150407154519001</v>
      </c>
    </row>
    <row r="20723" spans="25:26" x14ac:dyDescent="0.25">
      <c r="Y20723" s="63">
        <v>63256</v>
      </c>
      <c r="Z20723" s="61">
        <f>_xll.qlYieldTSDiscount($U$35,Y20723,,Trigger)</f>
        <v>0.32148439580170363</v>
      </c>
    </row>
    <row r="20724" spans="25:26" x14ac:dyDescent="0.25">
      <c r="Y20724" s="63">
        <v>63257</v>
      </c>
      <c r="Z20724" s="61">
        <f>_xll.qlYieldTSDiscount($U$35,Y20724,,Trigger)</f>
        <v>0.32146472050580838</v>
      </c>
    </row>
    <row r="20725" spans="25:26" x14ac:dyDescent="0.25">
      <c r="Y20725" s="63">
        <v>63258</v>
      </c>
      <c r="Z20725" s="61">
        <f>_xll.qlYieldTSDiscount($U$35,Y20725,,Trigger)</f>
        <v>0.32144504565713855</v>
      </c>
    </row>
    <row r="20726" spans="25:26" x14ac:dyDescent="0.25">
      <c r="Y20726" s="63">
        <v>63259</v>
      </c>
      <c r="Z20726" s="61">
        <f>_xll.qlYieldTSDiscount($U$35,Y20726,,Trigger)</f>
        <v>0.32142537125532794</v>
      </c>
    </row>
    <row r="20727" spans="25:26" x14ac:dyDescent="0.25">
      <c r="Y20727" s="63">
        <v>63260</v>
      </c>
      <c r="Z20727" s="61">
        <f>_xll.qlYieldTSDiscount($U$35,Y20727,,Trigger)</f>
        <v>0.32140569730001062</v>
      </c>
    </row>
    <row r="20728" spans="25:26" x14ac:dyDescent="0.25">
      <c r="Y20728" s="63">
        <v>63261</v>
      </c>
      <c r="Z20728" s="61">
        <f>_xll.qlYieldTSDiscount($U$35,Y20728,,Trigger)</f>
        <v>0.32138602379082071</v>
      </c>
    </row>
    <row r="20729" spans="25:26" x14ac:dyDescent="0.25">
      <c r="Y20729" s="63">
        <v>63262</v>
      </c>
      <c r="Z20729" s="61">
        <f>_xll.qlYieldTSDiscount($U$35,Y20729,,Trigger)</f>
        <v>0.32136635072739211</v>
      </c>
    </row>
    <row r="20730" spans="25:26" x14ac:dyDescent="0.25">
      <c r="Y20730" s="63">
        <v>63263</v>
      </c>
      <c r="Z20730" s="61">
        <f>_xll.qlYieldTSDiscount($U$35,Y20730,,Trigger)</f>
        <v>0.32134667810935896</v>
      </c>
    </row>
    <row r="20731" spans="25:26" x14ac:dyDescent="0.25">
      <c r="Y20731" s="63">
        <v>63264</v>
      </c>
      <c r="Z20731" s="61">
        <f>_xll.qlYieldTSDiscount($U$35,Y20731,,Trigger)</f>
        <v>0.32132700593635527</v>
      </c>
    </row>
    <row r="20732" spans="25:26" x14ac:dyDescent="0.25">
      <c r="Y20732" s="63">
        <v>63265</v>
      </c>
      <c r="Z20732" s="61">
        <f>_xll.qlYieldTSDiscount($U$35,Y20732,,Trigger)</f>
        <v>0.32130733420801488</v>
      </c>
    </row>
    <row r="20733" spans="25:26" x14ac:dyDescent="0.25">
      <c r="Y20733" s="63">
        <v>63266</v>
      </c>
      <c r="Z20733" s="61">
        <f>_xll.qlYieldTSDiscount($U$35,Y20733,,Trigger)</f>
        <v>0.32128766292397204</v>
      </c>
    </row>
    <row r="20734" spans="25:26" x14ac:dyDescent="0.25">
      <c r="Y20734" s="63">
        <v>63267</v>
      </c>
      <c r="Z20734" s="61">
        <f>_xll.qlYieldTSDiscount($U$35,Y20734,,Trigger)</f>
        <v>0.32126799208386064</v>
      </c>
    </row>
    <row r="20735" spans="25:26" x14ac:dyDescent="0.25">
      <c r="Y20735" s="63">
        <v>63268</v>
      </c>
      <c r="Z20735" s="61">
        <f>_xll.qlYieldTSDiscount($U$35,Y20735,,Trigger)</f>
        <v>0.32124832168731476</v>
      </c>
    </row>
    <row r="20736" spans="25:26" x14ac:dyDescent="0.25">
      <c r="Y20736" s="63">
        <v>63269</v>
      </c>
      <c r="Z20736" s="61">
        <f>_xll.qlYieldTSDiscount($U$35,Y20736,,Trigger)</f>
        <v>0.32122865173396842</v>
      </c>
    </row>
    <row r="20737" spans="25:26" x14ac:dyDescent="0.25">
      <c r="Y20737" s="63">
        <v>63270</v>
      </c>
      <c r="Z20737" s="61">
        <f>_xll.qlYieldTSDiscount($U$35,Y20737,,Trigger)</f>
        <v>0.32120898222345556</v>
      </c>
    </row>
    <row r="20738" spans="25:26" x14ac:dyDescent="0.25">
      <c r="Y20738" s="63">
        <v>63271</v>
      </c>
      <c r="Z20738" s="61">
        <f>_xll.qlYieldTSDiscount($U$35,Y20738,,Trigger)</f>
        <v>0.32118931315541038</v>
      </c>
    </row>
    <row r="20739" spans="25:26" x14ac:dyDescent="0.25">
      <c r="Y20739" s="63">
        <v>63272</v>
      </c>
      <c r="Z20739" s="61">
        <f>_xll.qlYieldTSDiscount($U$35,Y20739,,Trigger)</f>
        <v>0.32116964452946672</v>
      </c>
    </row>
    <row r="20740" spans="25:26" x14ac:dyDescent="0.25">
      <c r="Y20740" s="63">
        <v>63273</v>
      </c>
      <c r="Z20740" s="61">
        <f>_xll.qlYieldTSDiscount($U$35,Y20740,,Trigger)</f>
        <v>0.3211499763452586</v>
      </c>
    </row>
    <row r="20741" spans="25:26" x14ac:dyDescent="0.25">
      <c r="Y20741" s="63">
        <v>63274</v>
      </c>
      <c r="Z20741" s="61">
        <f>_xll.qlYieldTSDiscount($U$35,Y20741,,Trigger)</f>
        <v>0.3211303086024202</v>
      </c>
    </row>
    <row r="20742" spans="25:26" x14ac:dyDescent="0.25">
      <c r="Y20742" s="63">
        <v>63275</v>
      </c>
      <c r="Z20742" s="61">
        <f>_xll.qlYieldTSDiscount($U$35,Y20742,,Trigger)</f>
        <v>0.32111064130058542</v>
      </c>
    </row>
    <row r="20743" spans="25:26" x14ac:dyDescent="0.25">
      <c r="Y20743" s="63">
        <v>63276</v>
      </c>
      <c r="Z20743" s="61">
        <f>_xll.qlYieldTSDiscount($U$35,Y20743,,Trigger)</f>
        <v>0.32109097443938828</v>
      </c>
    </row>
    <row r="20744" spans="25:26" x14ac:dyDescent="0.25">
      <c r="Y20744" s="63">
        <v>63277</v>
      </c>
      <c r="Z20744" s="61">
        <f>_xll.qlYieldTSDiscount($U$35,Y20744,,Trigger)</f>
        <v>0.32107130801846295</v>
      </c>
    </row>
    <row r="20745" spans="25:26" x14ac:dyDescent="0.25">
      <c r="Y20745" s="63">
        <v>63278</v>
      </c>
      <c r="Z20745" s="61">
        <f>_xll.qlYieldTSDiscount($U$35,Y20745,,Trigger)</f>
        <v>0.32105164203744324</v>
      </c>
    </row>
    <row r="20746" spans="25:26" x14ac:dyDescent="0.25">
      <c r="Y20746" s="63">
        <v>63279</v>
      </c>
      <c r="Z20746" s="61">
        <f>_xll.qlYieldTSDiscount($U$35,Y20746,,Trigger)</f>
        <v>0.32103197649596327</v>
      </c>
    </row>
    <row r="20747" spans="25:26" x14ac:dyDescent="0.25">
      <c r="Y20747" s="63">
        <v>63280</v>
      </c>
      <c r="Z20747" s="61">
        <f>_xll.qlYieldTSDiscount($U$35,Y20747,,Trigger)</f>
        <v>0.32101231139365716</v>
      </c>
    </row>
    <row r="20748" spans="25:26" x14ac:dyDescent="0.25">
      <c r="Y20748" s="63">
        <v>63281</v>
      </c>
      <c r="Z20748" s="61">
        <f>_xll.qlYieldTSDiscount($U$35,Y20748,,Trigger)</f>
        <v>0.32099264673015876</v>
      </c>
    </row>
    <row r="20749" spans="25:26" x14ac:dyDescent="0.25">
      <c r="Y20749" s="63">
        <v>63282</v>
      </c>
      <c r="Z20749" s="61">
        <f>_xll.qlYieldTSDiscount($U$35,Y20749,,Trigger)</f>
        <v>0.32097298250510209</v>
      </c>
    </row>
    <row r="20750" spans="25:26" x14ac:dyDescent="0.25">
      <c r="Y20750" s="63">
        <v>63283</v>
      </c>
      <c r="Z20750" s="61">
        <f>_xll.qlYieldTSDiscount($U$35,Y20750,,Trigger)</f>
        <v>0.32095331871812144</v>
      </c>
    </row>
    <row r="20751" spans="25:26" x14ac:dyDescent="0.25">
      <c r="Y20751" s="63">
        <v>63284</v>
      </c>
      <c r="Z20751" s="61">
        <f>_xll.qlYieldTSDiscount($U$35,Y20751,,Trigger)</f>
        <v>0.32093365536885049</v>
      </c>
    </row>
    <row r="20752" spans="25:26" x14ac:dyDescent="0.25">
      <c r="Y20752" s="63">
        <v>63285</v>
      </c>
      <c r="Z20752" s="61">
        <f>_xll.qlYieldTSDiscount($U$35,Y20752,,Trigger)</f>
        <v>0.32091399245692348</v>
      </c>
    </row>
    <row r="20753" spans="25:26" x14ac:dyDescent="0.25">
      <c r="Y20753" s="63">
        <v>63286</v>
      </c>
      <c r="Z20753" s="61">
        <f>_xll.qlYieldTSDiscount($U$35,Y20753,,Trigger)</f>
        <v>0.32089432998197431</v>
      </c>
    </row>
    <row r="20754" spans="25:26" x14ac:dyDescent="0.25">
      <c r="Y20754" s="63">
        <v>63287</v>
      </c>
      <c r="Z20754" s="61">
        <f>_xll.qlYieldTSDiscount($U$35,Y20754,,Trigger)</f>
        <v>0.32087466794363712</v>
      </c>
    </row>
    <row r="20755" spans="25:26" x14ac:dyDescent="0.25">
      <c r="Y20755" s="63">
        <v>63288</v>
      </c>
      <c r="Z20755" s="61">
        <f>_xll.qlYieldTSDiscount($U$35,Y20755,,Trigger)</f>
        <v>0.32085500634154579</v>
      </c>
    </row>
    <row r="20756" spans="25:26" x14ac:dyDescent="0.25">
      <c r="Y20756" s="63">
        <v>63289</v>
      </c>
      <c r="Z20756" s="61">
        <f>_xll.qlYieldTSDiscount($U$35,Y20756,,Trigger)</f>
        <v>0.32083534517533441</v>
      </c>
    </row>
    <row r="20757" spans="25:26" x14ac:dyDescent="0.25">
      <c r="Y20757" s="63">
        <v>63290</v>
      </c>
      <c r="Z20757" s="61">
        <f>_xll.qlYieldTSDiscount($U$35,Y20757,,Trigger)</f>
        <v>0.32081568444463715</v>
      </c>
    </row>
    <row r="20758" spans="25:26" x14ac:dyDescent="0.25">
      <c r="Y20758" s="63">
        <v>63291</v>
      </c>
      <c r="Z20758" s="61">
        <f>_xll.qlYieldTSDiscount($U$35,Y20758,,Trigger)</f>
        <v>0.32079602414908776</v>
      </c>
    </row>
    <row r="20759" spans="25:26" x14ac:dyDescent="0.25">
      <c r="Y20759" s="63">
        <v>63292</v>
      </c>
      <c r="Z20759" s="61">
        <f>_xll.qlYieldTSDiscount($U$35,Y20759,,Trigger)</f>
        <v>0.3207763642883204</v>
      </c>
    </row>
    <row r="20760" spans="25:26" x14ac:dyDescent="0.25">
      <c r="Y20760" s="63">
        <v>63293</v>
      </c>
      <c r="Z20760" s="61">
        <f>_xll.qlYieldTSDiscount($U$35,Y20760,,Trigger)</f>
        <v>0.32075670486196917</v>
      </c>
    </row>
    <row r="20761" spans="25:26" x14ac:dyDescent="0.25">
      <c r="Y20761" s="63">
        <v>63294</v>
      </c>
      <c r="Z20761" s="61">
        <f>_xll.qlYieldTSDiscount($U$35,Y20761,,Trigger)</f>
        <v>0.32073704586966795</v>
      </c>
    </row>
    <row r="20762" spans="25:26" x14ac:dyDescent="0.25">
      <c r="Y20762" s="63">
        <v>63295</v>
      </c>
      <c r="Z20762" s="61">
        <f>_xll.qlYieldTSDiscount($U$35,Y20762,,Trigger)</f>
        <v>0.32071738731105082</v>
      </c>
    </row>
    <row r="20763" spans="25:26" x14ac:dyDescent="0.25">
      <c r="Y20763" s="63">
        <v>63296</v>
      </c>
      <c r="Z20763" s="61">
        <f>_xll.qlYieldTSDiscount($U$35,Y20763,,Trigger)</f>
        <v>0.32069772918575185</v>
      </c>
    </row>
    <row r="20764" spans="25:26" x14ac:dyDescent="0.25">
      <c r="Y20764" s="63">
        <v>63297</v>
      </c>
      <c r="Z20764" s="61">
        <f>_xll.qlYieldTSDiscount($U$35,Y20764,,Trigger)</f>
        <v>0.32067807149340499</v>
      </c>
    </row>
    <row r="20765" spans="25:26" x14ac:dyDescent="0.25">
      <c r="Y20765" s="63">
        <v>63298</v>
      </c>
      <c r="Z20765" s="61">
        <f>_xll.qlYieldTSDiscount($U$35,Y20765,,Trigger)</f>
        <v>0.32065841423364422</v>
      </c>
    </row>
    <row r="20766" spans="25:26" x14ac:dyDescent="0.25">
      <c r="Y20766" s="63">
        <v>63299</v>
      </c>
      <c r="Z20766" s="61">
        <f>_xll.qlYieldTSDiscount($U$35,Y20766,,Trigger)</f>
        <v>0.32063875740610376</v>
      </c>
    </row>
    <row r="20767" spans="25:26" x14ac:dyDescent="0.25">
      <c r="Y20767" s="63">
        <v>63300</v>
      </c>
      <c r="Z20767" s="61">
        <f>_xll.qlYieldTSDiscount($U$35,Y20767,,Trigger)</f>
        <v>0.32061910101041741</v>
      </c>
    </row>
    <row r="20768" spans="25:26" x14ac:dyDescent="0.25">
      <c r="Y20768" s="63">
        <v>63301</v>
      </c>
      <c r="Z20768" s="61">
        <f>_xll.qlYieldTSDiscount($U$35,Y20768,,Trigger)</f>
        <v>0.32059944504621929</v>
      </c>
    </row>
    <row r="20769" spans="25:26" x14ac:dyDescent="0.25">
      <c r="Y20769" s="63">
        <v>63302</v>
      </c>
      <c r="Z20769" s="61">
        <f>_xll.qlYieldTSDiscount($U$35,Y20769,,Trigger)</f>
        <v>0.32057978951314342</v>
      </c>
    </row>
    <row r="20770" spans="25:26" x14ac:dyDescent="0.25">
      <c r="Y20770" s="63">
        <v>63303</v>
      </c>
      <c r="Z20770" s="61">
        <f>_xll.qlYieldTSDiscount($U$35,Y20770,,Trigger)</f>
        <v>0.32056013441082382</v>
      </c>
    </row>
    <row r="20771" spans="25:26" x14ac:dyDescent="0.25">
      <c r="Y20771" s="63">
        <v>63304</v>
      </c>
      <c r="Z20771" s="61">
        <f>_xll.qlYieldTSDiscount($U$35,Y20771,,Trigger)</f>
        <v>0.32054047973889449</v>
      </c>
    </row>
    <row r="20772" spans="25:26" x14ac:dyDescent="0.25">
      <c r="Y20772" s="63">
        <v>63305</v>
      </c>
      <c r="Z20772" s="61">
        <f>_xll.qlYieldTSDiscount($U$35,Y20772,,Trigger)</f>
        <v>0.32052082549698946</v>
      </c>
    </row>
    <row r="20773" spans="25:26" x14ac:dyDescent="0.25">
      <c r="Y20773" s="63">
        <v>63306</v>
      </c>
      <c r="Z20773" s="61">
        <f>_xll.qlYieldTSDiscount($U$35,Y20773,,Trigger)</f>
        <v>0.32050117168474285</v>
      </c>
    </row>
    <row r="20774" spans="25:26" x14ac:dyDescent="0.25">
      <c r="Y20774" s="63">
        <v>63307</v>
      </c>
      <c r="Z20774" s="61">
        <f>_xll.qlYieldTSDiscount($U$35,Y20774,,Trigger)</f>
        <v>0.32048151830178845</v>
      </c>
    </row>
    <row r="20775" spans="25:26" x14ac:dyDescent="0.25">
      <c r="Y20775" s="63">
        <v>63308</v>
      </c>
      <c r="Z20775" s="61">
        <f>_xll.qlYieldTSDiscount($U$35,Y20775,,Trigger)</f>
        <v>0.3204618653477605</v>
      </c>
    </row>
    <row r="20776" spans="25:26" x14ac:dyDescent="0.25">
      <c r="Y20776" s="63">
        <v>63309</v>
      </c>
      <c r="Z20776" s="61">
        <f>_xll.qlYieldTSDiscount($U$35,Y20776,,Trigger)</f>
        <v>0.32044221282229296</v>
      </c>
    </row>
    <row r="20777" spans="25:26" x14ac:dyDescent="0.25">
      <c r="Y20777" s="63">
        <v>63310</v>
      </c>
      <c r="Z20777" s="61">
        <f>_xll.qlYieldTSDiscount($U$35,Y20777,,Trigger)</f>
        <v>0.32042256072501984</v>
      </c>
    </row>
    <row r="20778" spans="25:26" x14ac:dyDescent="0.25">
      <c r="Y20778" s="63">
        <v>63311</v>
      </c>
      <c r="Z20778" s="61">
        <f>_xll.qlYieldTSDiscount($U$35,Y20778,,Trigger)</f>
        <v>0.32040290905557511</v>
      </c>
    </row>
    <row r="20779" spans="25:26" x14ac:dyDescent="0.25">
      <c r="Y20779" s="63">
        <v>63312</v>
      </c>
      <c r="Z20779" s="61">
        <f>_xll.qlYieldTSDiscount($U$35,Y20779,,Trigger)</f>
        <v>0.32038325781359289</v>
      </c>
    </row>
    <row r="20780" spans="25:26" x14ac:dyDescent="0.25">
      <c r="Y20780" s="63">
        <v>63313</v>
      </c>
      <c r="Z20780" s="61">
        <f>_xll.qlYieldTSDiscount($U$35,Y20780,,Trigger)</f>
        <v>0.32036360699870714</v>
      </c>
    </row>
    <row r="20781" spans="25:26" x14ac:dyDescent="0.25">
      <c r="Y20781" s="63">
        <v>63314</v>
      </c>
      <c r="Z20781" s="61">
        <f>_xll.qlYieldTSDiscount($U$35,Y20781,,Trigger)</f>
        <v>0.32034395661055187</v>
      </c>
    </row>
    <row r="20782" spans="25:26" x14ac:dyDescent="0.25">
      <c r="Y20782" s="63">
        <v>63315</v>
      </c>
      <c r="Z20782" s="61">
        <f>_xll.qlYieldTSDiscount($U$35,Y20782,,Trigger)</f>
        <v>0.32032430664876121</v>
      </c>
    </row>
    <row r="20783" spans="25:26" x14ac:dyDescent="0.25">
      <c r="Y20783" s="63">
        <v>63316</v>
      </c>
      <c r="Z20783" s="61">
        <f>_xll.qlYieldTSDiscount($U$35,Y20783,,Trigger)</f>
        <v>0.32030465711296902</v>
      </c>
    </row>
    <row r="20784" spans="25:26" x14ac:dyDescent="0.25">
      <c r="Y20784" s="63">
        <v>63317</v>
      </c>
      <c r="Z20784" s="61">
        <f>_xll.qlYieldTSDiscount($U$35,Y20784,,Trigger)</f>
        <v>0.3202850080028094</v>
      </c>
    </row>
    <row r="20785" spans="25:26" x14ac:dyDescent="0.25">
      <c r="Y20785" s="63">
        <v>63318</v>
      </c>
      <c r="Z20785" s="61">
        <f>_xll.qlYieldTSDiscount($U$35,Y20785,,Trigger)</f>
        <v>0.32026535931791639</v>
      </c>
    </row>
    <row r="20786" spans="25:26" x14ac:dyDescent="0.25">
      <c r="Y20786" s="63">
        <v>63319</v>
      </c>
      <c r="Z20786" s="61">
        <f>_xll.qlYieldTSDiscount($U$35,Y20786,,Trigger)</f>
        <v>0.32024571105792404</v>
      </c>
    </row>
    <row r="20787" spans="25:26" x14ac:dyDescent="0.25">
      <c r="Y20787" s="63">
        <v>63320</v>
      </c>
      <c r="Z20787" s="61">
        <f>_xll.qlYieldTSDiscount($U$35,Y20787,,Trigger)</f>
        <v>0.32022606322246633</v>
      </c>
    </row>
    <row r="20788" spans="25:26" x14ac:dyDescent="0.25">
      <c r="Y20788" s="63">
        <v>63321</v>
      </c>
      <c r="Z20788" s="61">
        <f>_xll.qlYieldTSDiscount($U$35,Y20788,,Trigger)</f>
        <v>0.3202064158111772</v>
      </c>
    </row>
    <row r="20789" spans="25:26" x14ac:dyDescent="0.25">
      <c r="Y20789" s="63">
        <v>63322</v>
      </c>
      <c r="Z20789" s="61">
        <f>_xll.qlYieldTSDiscount($U$35,Y20789,,Trigger)</f>
        <v>0.32018676882369079</v>
      </c>
    </row>
    <row r="20790" spans="25:26" x14ac:dyDescent="0.25">
      <c r="Y20790" s="63">
        <v>63323</v>
      </c>
      <c r="Z20790" s="61">
        <f>_xll.qlYieldTSDiscount($U$35,Y20790,,Trigger)</f>
        <v>0.32016712225964111</v>
      </c>
    </row>
    <row r="20791" spans="25:26" x14ac:dyDescent="0.25">
      <c r="Y20791" s="63">
        <v>63324</v>
      </c>
      <c r="Z20791" s="61">
        <f>_xll.qlYieldTSDiscount($U$35,Y20791,,Trigger)</f>
        <v>0.32014747611866218</v>
      </c>
    </row>
    <row r="20792" spans="25:26" x14ac:dyDescent="0.25">
      <c r="Y20792" s="63">
        <v>63325</v>
      </c>
      <c r="Z20792" s="61">
        <f>_xll.qlYieldTSDiscount($U$35,Y20792,,Trigger)</f>
        <v>0.32012783040038789</v>
      </c>
    </row>
    <row r="20793" spans="25:26" x14ac:dyDescent="0.25">
      <c r="Y20793" s="63">
        <v>63326</v>
      </c>
      <c r="Z20793" s="61">
        <f>_xll.qlYieldTSDiscount($U$35,Y20793,,Trigger)</f>
        <v>0.32010818510445244</v>
      </c>
    </row>
    <row r="20794" spans="25:26" x14ac:dyDescent="0.25">
      <c r="Y20794" s="63">
        <v>63327</v>
      </c>
      <c r="Z20794" s="61">
        <f>_xll.qlYieldTSDiscount($U$35,Y20794,,Trigger)</f>
        <v>0.32008854023048977</v>
      </c>
    </row>
    <row r="20795" spans="25:26" x14ac:dyDescent="0.25">
      <c r="Y20795" s="63">
        <v>63328</v>
      </c>
      <c r="Z20795" s="61">
        <f>_xll.qlYieldTSDiscount($U$35,Y20795,,Trigger)</f>
        <v>0.32006889577813391</v>
      </c>
    </row>
    <row r="20796" spans="25:26" x14ac:dyDescent="0.25">
      <c r="Y20796" s="63">
        <v>63329</v>
      </c>
      <c r="Z20796" s="61">
        <f>_xll.qlYieldTSDiscount($U$35,Y20796,,Trigger)</f>
        <v>0.32004925174701887</v>
      </c>
    </row>
    <row r="20797" spans="25:26" x14ac:dyDescent="0.25">
      <c r="Y20797" s="63">
        <v>63330</v>
      </c>
      <c r="Z20797" s="61">
        <f>_xll.qlYieldTSDiscount($U$35,Y20797,,Trigger)</f>
        <v>0.32002960813677866</v>
      </c>
    </row>
    <row r="20798" spans="25:26" x14ac:dyDescent="0.25">
      <c r="Y20798" s="63">
        <v>63331</v>
      </c>
      <c r="Z20798" s="61">
        <f>_xll.qlYieldTSDiscount($U$35,Y20798,,Trigger)</f>
        <v>0.32000996494704737</v>
      </c>
    </row>
    <row r="20799" spans="25:26" x14ac:dyDescent="0.25">
      <c r="Y20799" s="63">
        <v>63332</v>
      </c>
      <c r="Z20799" s="61">
        <f>_xll.qlYieldTSDiscount($U$35,Y20799,,Trigger)</f>
        <v>0.31999032217745899</v>
      </c>
    </row>
    <row r="20800" spans="25:26" x14ac:dyDescent="0.25">
      <c r="Y20800" s="63">
        <v>63333</v>
      </c>
      <c r="Z20800" s="61">
        <f>_xll.qlYieldTSDiscount($U$35,Y20800,,Trigger)</f>
        <v>0.31997067982764749</v>
      </c>
    </row>
    <row r="20801" spans="25:26" x14ac:dyDescent="0.25">
      <c r="Y20801" s="63">
        <v>63334</v>
      </c>
      <c r="Z20801" s="61">
        <f>_xll.qlYieldTSDiscount($U$35,Y20801,,Trigger)</f>
        <v>0.31995103789724694</v>
      </c>
    </row>
    <row r="20802" spans="25:26" x14ac:dyDescent="0.25">
      <c r="Y20802" s="63">
        <v>63335</v>
      </c>
      <c r="Z20802" s="61">
        <f>_xll.qlYieldTSDiscount($U$35,Y20802,,Trigger)</f>
        <v>0.31993139638589141</v>
      </c>
    </row>
    <row r="20803" spans="25:26" x14ac:dyDescent="0.25">
      <c r="Y20803" s="63">
        <v>63336</v>
      </c>
      <c r="Z20803" s="61">
        <f>_xll.qlYieldTSDiscount($U$35,Y20803,,Trigger)</f>
        <v>0.31991175529321486</v>
      </c>
    </row>
    <row r="20804" spans="25:26" x14ac:dyDescent="0.25">
      <c r="Y20804" s="63">
        <v>63337</v>
      </c>
      <c r="Z20804" s="61">
        <f>_xll.qlYieldTSDiscount($U$35,Y20804,,Trigger)</f>
        <v>0.31989211461885125</v>
      </c>
    </row>
    <row r="20805" spans="25:26" x14ac:dyDescent="0.25">
      <c r="Y20805" s="63">
        <v>63338</v>
      </c>
      <c r="Z20805" s="61">
        <f>_xll.qlYieldTSDiscount($U$35,Y20805,,Trigger)</f>
        <v>0.31987247436243477</v>
      </c>
    </row>
    <row r="20806" spans="25:26" x14ac:dyDescent="0.25">
      <c r="Y20806" s="63">
        <v>63339</v>
      </c>
      <c r="Z20806" s="61">
        <f>_xll.qlYieldTSDiscount($U$35,Y20806,,Trigger)</f>
        <v>0.31985283452359925</v>
      </c>
    </row>
    <row r="20807" spans="25:26" x14ac:dyDescent="0.25">
      <c r="Y20807" s="63">
        <v>63340</v>
      </c>
      <c r="Z20807" s="61">
        <f>_xll.qlYieldTSDiscount($U$35,Y20807,,Trigger)</f>
        <v>0.31983319510197883</v>
      </c>
    </row>
    <row r="20808" spans="25:26" x14ac:dyDescent="0.25">
      <c r="Y20808" s="63">
        <v>63341</v>
      </c>
      <c r="Z20808" s="61">
        <f>_xll.qlYieldTSDiscount($U$35,Y20808,,Trigger)</f>
        <v>0.31981355609720752</v>
      </c>
    </row>
    <row r="20809" spans="25:26" x14ac:dyDescent="0.25">
      <c r="Y20809" s="63">
        <v>63342</v>
      </c>
      <c r="Z20809" s="61">
        <f>_xll.qlYieldTSDiscount($U$35,Y20809,,Trigger)</f>
        <v>0.31979391750891933</v>
      </c>
    </row>
    <row r="20810" spans="25:26" x14ac:dyDescent="0.25">
      <c r="Y20810" s="63">
        <v>63343</v>
      </c>
      <c r="Z20810" s="61">
        <f>_xll.qlYieldTSDiscount($U$35,Y20810,,Trigger)</f>
        <v>0.31977427933674824</v>
      </c>
    </row>
    <row r="20811" spans="25:26" x14ac:dyDescent="0.25">
      <c r="Y20811" s="63">
        <v>63344</v>
      </c>
      <c r="Z20811" s="61">
        <f>_xll.qlYieldTSDiscount($U$35,Y20811,,Trigger)</f>
        <v>0.31975464158032835</v>
      </c>
    </row>
    <row r="20812" spans="25:26" x14ac:dyDescent="0.25">
      <c r="Y20812" s="63">
        <v>63345</v>
      </c>
      <c r="Z20812" s="61">
        <f>_xll.qlYieldTSDiscount($U$35,Y20812,,Trigger)</f>
        <v>0.31973500423929363</v>
      </c>
    </row>
    <row r="20813" spans="25:26" x14ac:dyDescent="0.25">
      <c r="Y20813" s="63">
        <v>63346</v>
      </c>
      <c r="Z20813" s="61">
        <f>_xll.qlYieldTSDiscount($U$35,Y20813,,Trigger)</f>
        <v>0.31971536731327815</v>
      </c>
    </row>
    <row r="20814" spans="25:26" x14ac:dyDescent="0.25">
      <c r="Y20814" s="63">
        <v>63347</v>
      </c>
      <c r="Z20814" s="61">
        <f>_xll.qlYieldTSDiscount($U$35,Y20814,,Trigger)</f>
        <v>0.31969573080191582</v>
      </c>
    </row>
    <row r="20815" spans="25:26" x14ac:dyDescent="0.25">
      <c r="Y20815" s="63">
        <v>63348</v>
      </c>
      <c r="Z20815" s="61">
        <f>_xll.qlYieldTSDiscount($U$35,Y20815,,Trigger)</f>
        <v>0.31967609470484082</v>
      </c>
    </row>
    <row r="20816" spans="25:26" x14ac:dyDescent="0.25">
      <c r="Y20816" s="63">
        <v>63349</v>
      </c>
      <c r="Z20816" s="61">
        <f>_xll.qlYieldTSDiscount($U$35,Y20816,,Trigger)</f>
        <v>0.31965645902168704</v>
      </c>
    </row>
    <row r="20817" spans="25:26" x14ac:dyDescent="0.25">
      <c r="Y20817" s="63">
        <v>63350</v>
      </c>
      <c r="Z20817" s="61">
        <f>_xll.qlYieldTSDiscount($U$35,Y20817,,Trigger)</f>
        <v>0.31963682375208857</v>
      </c>
    </row>
    <row r="20818" spans="25:26" x14ac:dyDescent="0.25">
      <c r="Y20818" s="63">
        <v>63351</v>
      </c>
      <c r="Z20818" s="61">
        <f>_xll.qlYieldTSDiscount($U$35,Y20818,,Trigger)</f>
        <v>0.31961718889567942</v>
      </c>
    </row>
    <row r="20819" spans="25:26" x14ac:dyDescent="0.25">
      <c r="Y20819" s="63">
        <v>63352</v>
      </c>
      <c r="Z20819" s="61">
        <f>_xll.qlYieldTSDiscount($U$35,Y20819,,Trigger)</f>
        <v>0.31959755445209365</v>
      </c>
    </row>
    <row r="20820" spans="25:26" x14ac:dyDescent="0.25">
      <c r="Y20820" s="63">
        <v>63353</v>
      </c>
      <c r="Z20820" s="61">
        <f>_xll.qlYieldTSDiscount($U$35,Y20820,,Trigger)</f>
        <v>0.31957792042096511</v>
      </c>
    </row>
    <row r="20821" spans="25:26" x14ac:dyDescent="0.25">
      <c r="Y20821" s="63">
        <v>63354</v>
      </c>
      <c r="Z20821" s="61">
        <f>_xll.qlYieldTSDiscount($U$35,Y20821,,Trigger)</f>
        <v>0.3195582868019281</v>
      </c>
    </row>
    <row r="20822" spans="25:26" x14ac:dyDescent="0.25">
      <c r="Y20822" s="63">
        <v>63355</v>
      </c>
      <c r="Z20822" s="61">
        <f>_xll.qlYieldTSDiscount($U$35,Y20822,,Trigger)</f>
        <v>0.31953865359461642</v>
      </c>
    </row>
    <row r="20823" spans="25:26" x14ac:dyDescent="0.25">
      <c r="Y20823" s="63">
        <v>63356</v>
      </c>
      <c r="Z20823" s="61">
        <f>_xll.qlYieldTSDiscount($U$35,Y20823,,Trigger)</f>
        <v>0.31951902079866418</v>
      </c>
    </row>
    <row r="20824" spans="25:26" x14ac:dyDescent="0.25">
      <c r="Y20824" s="63">
        <v>63357</v>
      </c>
      <c r="Z20824" s="61">
        <f>_xll.qlYieldTSDiscount($U$35,Y20824,,Trigger)</f>
        <v>0.3194993884137054</v>
      </c>
    </row>
    <row r="20825" spans="25:26" x14ac:dyDescent="0.25">
      <c r="Y20825" s="63">
        <v>63358</v>
      </c>
      <c r="Z20825" s="61">
        <f>_xll.qlYieldTSDiscount($U$35,Y20825,,Trigger)</f>
        <v>0.31947975643937399</v>
      </c>
    </row>
    <row r="20826" spans="25:26" x14ac:dyDescent="0.25">
      <c r="Y20826" s="63">
        <v>63359</v>
      </c>
      <c r="Z20826" s="61">
        <f>_xll.qlYieldTSDiscount($U$35,Y20826,,Trigger)</f>
        <v>0.31946012487530412</v>
      </c>
    </row>
    <row r="20827" spans="25:26" x14ac:dyDescent="0.25">
      <c r="Y20827" s="63">
        <v>63360</v>
      </c>
      <c r="Z20827" s="61">
        <f>_xll.qlYieldTSDiscount($U$35,Y20827,,Trigger)</f>
        <v>0.31944049372112987</v>
      </c>
    </row>
    <row r="20828" spans="25:26" x14ac:dyDescent="0.25">
      <c r="Y20828" s="63">
        <v>63361</v>
      </c>
      <c r="Z20828" s="61">
        <f>_xll.qlYieldTSDiscount($U$35,Y20828,,Trigger)</f>
        <v>0.31942086297648509</v>
      </c>
    </row>
    <row r="20829" spans="25:26" x14ac:dyDescent="0.25">
      <c r="Y20829" s="63">
        <v>63362</v>
      </c>
      <c r="Z20829" s="61">
        <f>_xll.qlYieldTSDiscount($U$35,Y20829,,Trigger)</f>
        <v>0.31940123264100378</v>
      </c>
    </row>
    <row r="20830" spans="25:26" x14ac:dyDescent="0.25">
      <c r="Y20830" s="63">
        <v>63363</v>
      </c>
      <c r="Z20830" s="61">
        <f>_xll.qlYieldTSDiscount($U$35,Y20830,,Trigger)</f>
        <v>0.31938160271432009</v>
      </c>
    </row>
    <row r="20831" spans="25:26" x14ac:dyDescent="0.25">
      <c r="Y20831" s="63">
        <v>63364</v>
      </c>
      <c r="Z20831" s="61">
        <f>_xll.qlYieldTSDiscount($U$35,Y20831,,Trigger)</f>
        <v>0.31936197319606807</v>
      </c>
    </row>
    <row r="20832" spans="25:26" x14ac:dyDescent="0.25">
      <c r="Y20832" s="63">
        <v>63365</v>
      </c>
      <c r="Z20832" s="61">
        <f>_xll.qlYieldTSDiscount($U$35,Y20832,,Trigger)</f>
        <v>0.31934234408588164</v>
      </c>
    </row>
    <row r="20833" spans="25:26" x14ac:dyDescent="0.25">
      <c r="Y20833" s="63">
        <v>63366</v>
      </c>
      <c r="Z20833" s="61">
        <f>_xll.qlYieldTSDiscount($U$35,Y20833,,Trigger)</f>
        <v>0.3193227153833948</v>
      </c>
    </row>
    <row r="20834" spans="25:26" x14ac:dyDescent="0.25">
      <c r="Y20834" s="63">
        <v>63367</v>
      </c>
      <c r="Z20834" s="61">
        <f>_xll.qlYieldTSDiscount($U$35,Y20834,,Trigger)</f>
        <v>0.31930308708824173</v>
      </c>
    </row>
    <row r="20835" spans="25:26" x14ac:dyDescent="0.25">
      <c r="Y20835" s="63">
        <v>63368</v>
      </c>
      <c r="Z20835" s="61">
        <f>_xll.qlYieldTSDiscount($U$35,Y20835,,Trigger)</f>
        <v>0.31928345920005624</v>
      </c>
    </row>
    <row r="20836" spans="25:26" x14ac:dyDescent="0.25">
      <c r="Y20836" s="63">
        <v>63369</v>
      </c>
      <c r="Z20836" s="61">
        <f>_xll.qlYieldTSDiscount($U$35,Y20836,,Trigger)</f>
        <v>0.31926383171847245</v>
      </c>
    </row>
    <row r="20837" spans="25:26" x14ac:dyDescent="0.25">
      <c r="Y20837" s="63">
        <v>63370</v>
      </c>
      <c r="Z20837" s="61">
        <f>_xll.qlYieldTSDiscount($U$35,Y20837,,Trigger)</f>
        <v>0.31924420464312447</v>
      </c>
    </row>
    <row r="20838" spans="25:26" x14ac:dyDescent="0.25">
      <c r="Y20838" s="63">
        <v>63371</v>
      </c>
      <c r="Z20838" s="61">
        <f>_xll.qlYieldTSDiscount($U$35,Y20838,,Trigger)</f>
        <v>0.31922457797364623</v>
      </c>
    </row>
    <row r="20839" spans="25:26" x14ac:dyDescent="0.25">
      <c r="Y20839" s="63">
        <v>63372</v>
      </c>
      <c r="Z20839" s="61">
        <f>_xll.qlYieldTSDiscount($U$35,Y20839,,Trigger)</f>
        <v>0.31920495170967167</v>
      </c>
    </row>
    <row r="20840" spans="25:26" x14ac:dyDescent="0.25">
      <c r="Y20840" s="63">
        <v>63373</v>
      </c>
      <c r="Z20840" s="61">
        <f>_xll.qlYieldTSDiscount($U$35,Y20840,,Trigger)</f>
        <v>0.31918532585083503</v>
      </c>
    </row>
    <row r="20841" spans="25:26" x14ac:dyDescent="0.25">
      <c r="Y20841" s="63">
        <v>63374</v>
      </c>
      <c r="Z20841" s="61">
        <f>_xll.qlYieldTSDiscount($U$35,Y20841,,Trigger)</f>
        <v>0.31916570039677017</v>
      </c>
    </row>
    <row r="20842" spans="25:26" x14ac:dyDescent="0.25">
      <c r="Y20842" s="63">
        <v>63375</v>
      </c>
      <c r="Z20842" s="61">
        <f>_xll.qlYieldTSDiscount($U$35,Y20842,,Trigger)</f>
        <v>0.31914607534711109</v>
      </c>
    </row>
    <row r="20843" spans="25:26" x14ac:dyDescent="0.25">
      <c r="Y20843" s="63">
        <v>63376</v>
      </c>
      <c r="Z20843" s="61">
        <f>_xll.qlYieldTSDiscount($U$35,Y20843,,Trigger)</f>
        <v>0.31912645070149187</v>
      </c>
    </row>
    <row r="20844" spans="25:26" x14ac:dyDescent="0.25">
      <c r="Y20844" s="63">
        <v>63377</v>
      </c>
      <c r="Z20844" s="61">
        <f>_xll.qlYieldTSDiscount($U$35,Y20844,,Trigger)</f>
        <v>0.31910682645954663</v>
      </c>
    </row>
    <row r="20845" spans="25:26" x14ac:dyDescent="0.25">
      <c r="Y20845" s="63">
        <v>63378</v>
      </c>
      <c r="Z20845" s="61">
        <f>_xll.qlYieldTSDiscount($U$35,Y20845,,Trigger)</f>
        <v>0.31908720262090928</v>
      </c>
    </row>
    <row r="20846" spans="25:26" x14ac:dyDescent="0.25">
      <c r="Y20846" s="63">
        <v>63379</v>
      </c>
      <c r="Z20846" s="61">
        <f>_xll.qlYieldTSDiscount($U$35,Y20846,,Trigger)</f>
        <v>0.31906757918521378</v>
      </c>
    </row>
    <row r="20847" spans="25:26" x14ac:dyDescent="0.25">
      <c r="Y20847" s="63">
        <v>63380</v>
      </c>
      <c r="Z20847" s="61">
        <f>_xll.qlYieldTSDiscount($U$35,Y20847,,Trigger)</f>
        <v>0.3190479561520943</v>
      </c>
    </row>
    <row r="20848" spans="25:26" x14ac:dyDescent="0.25">
      <c r="Y20848" s="63">
        <v>63381</v>
      </c>
      <c r="Z20848" s="61">
        <f>_xll.qlYieldTSDiscount($U$35,Y20848,,Trigger)</f>
        <v>0.31902833352118476</v>
      </c>
    </row>
    <row r="20849" spans="25:26" x14ac:dyDescent="0.25">
      <c r="Y20849" s="63">
        <v>63382</v>
      </c>
      <c r="Z20849" s="61">
        <f>_xll.qlYieldTSDiscount($U$35,Y20849,,Trigger)</f>
        <v>0.31900871129211916</v>
      </c>
    </row>
    <row r="20850" spans="25:26" x14ac:dyDescent="0.25">
      <c r="Y20850" s="63">
        <v>63383</v>
      </c>
      <c r="Z20850" s="61">
        <f>_xll.qlYieldTSDiscount($U$35,Y20850,,Trigger)</f>
        <v>0.31898908946453169</v>
      </c>
    </row>
    <row r="20851" spans="25:26" x14ac:dyDescent="0.25">
      <c r="Y20851" s="63">
        <v>63384</v>
      </c>
      <c r="Z20851" s="61">
        <f>_xll.qlYieldTSDiscount($U$35,Y20851,,Trigger)</f>
        <v>0.31896946803805615</v>
      </c>
    </row>
    <row r="20852" spans="25:26" x14ac:dyDescent="0.25">
      <c r="Y20852" s="63">
        <v>63385</v>
      </c>
      <c r="Z20852" s="61">
        <f>_xll.qlYieldTSDiscount($U$35,Y20852,,Trigger)</f>
        <v>0.31894984701232676</v>
      </c>
    </row>
    <row r="20853" spans="25:26" x14ac:dyDescent="0.25">
      <c r="Y20853" s="63">
        <v>63386</v>
      </c>
      <c r="Z20853" s="61">
        <f>_xll.qlYieldTSDiscount($U$35,Y20853,,Trigger)</f>
        <v>0.31893022638697743</v>
      </c>
    </row>
    <row r="20854" spans="25:26" x14ac:dyDescent="0.25">
      <c r="Y20854" s="63">
        <v>63387</v>
      </c>
      <c r="Z20854" s="61">
        <f>_xll.qlYieldTSDiscount($U$35,Y20854,,Trigger)</f>
        <v>0.31891060616164213</v>
      </c>
    </row>
    <row r="20855" spans="25:26" x14ac:dyDescent="0.25">
      <c r="Y20855" s="63">
        <v>63388</v>
      </c>
      <c r="Z20855" s="61">
        <f>_xll.qlYieldTSDiscount($U$35,Y20855,,Trigger)</f>
        <v>0.31889098633595503</v>
      </c>
    </row>
    <row r="20856" spans="25:26" x14ac:dyDescent="0.25">
      <c r="Y20856" s="63">
        <v>63389</v>
      </c>
      <c r="Z20856" s="61">
        <f>_xll.qlYieldTSDiscount($U$35,Y20856,,Trigger)</f>
        <v>0.31887136690955004</v>
      </c>
    </row>
    <row r="20857" spans="25:26" x14ac:dyDescent="0.25">
      <c r="Y20857" s="63">
        <v>63390</v>
      </c>
      <c r="Z20857" s="61">
        <f>_xll.qlYieldTSDiscount($U$35,Y20857,,Trigger)</f>
        <v>0.31885174788206122</v>
      </c>
    </row>
    <row r="20858" spans="25:26" x14ac:dyDescent="0.25">
      <c r="Y20858" s="63">
        <v>63391</v>
      </c>
      <c r="Z20858" s="61">
        <f>_xll.qlYieldTSDiscount($U$35,Y20858,,Trigger)</f>
        <v>0.31883212925312254</v>
      </c>
    </row>
    <row r="20859" spans="25:26" x14ac:dyDescent="0.25">
      <c r="Y20859" s="63">
        <v>63392</v>
      </c>
      <c r="Z20859" s="61">
        <f>_xll.qlYieldTSDiscount($U$35,Y20859,,Trigger)</f>
        <v>0.31881251102236813</v>
      </c>
    </row>
    <row r="20860" spans="25:26" x14ac:dyDescent="0.25">
      <c r="Y20860" s="63">
        <v>63393</v>
      </c>
      <c r="Z20860" s="61">
        <f>_xll.qlYieldTSDiscount($U$35,Y20860,,Trigger)</f>
        <v>0.31879289318943199</v>
      </c>
    </row>
    <row r="20861" spans="25:26" x14ac:dyDescent="0.25">
      <c r="Y20861" s="63">
        <v>63394</v>
      </c>
      <c r="Z20861" s="61">
        <f>_xll.qlYieldTSDiscount($U$35,Y20861,,Trigger)</f>
        <v>0.31877327575394809</v>
      </c>
    </row>
    <row r="20862" spans="25:26" x14ac:dyDescent="0.25">
      <c r="Y20862" s="63">
        <v>63395</v>
      </c>
      <c r="Z20862" s="61">
        <f>_xll.qlYieldTSDiscount($U$35,Y20862,,Trigger)</f>
        <v>0.31875365871555034</v>
      </c>
    </row>
    <row r="20863" spans="25:26" x14ac:dyDescent="0.25">
      <c r="Y20863" s="63">
        <v>63396</v>
      </c>
      <c r="Z20863" s="61">
        <f>_xll.qlYieldTSDiscount($U$35,Y20863,,Trigger)</f>
        <v>0.31873404207387313</v>
      </c>
    </row>
    <row r="20864" spans="25:26" x14ac:dyDescent="0.25">
      <c r="Y20864" s="63">
        <v>63397</v>
      </c>
      <c r="Z20864" s="61">
        <f>_xll.qlYieldTSDiscount($U$35,Y20864,,Trigger)</f>
        <v>0.31871442582854997</v>
      </c>
    </row>
    <row r="20865" spans="25:26" x14ac:dyDescent="0.25">
      <c r="Y20865" s="63">
        <v>63398</v>
      </c>
      <c r="Z20865" s="61">
        <f>_xll.qlYieldTSDiscount($U$35,Y20865,,Trigger)</f>
        <v>0.31869480997921534</v>
      </c>
    </row>
    <row r="20866" spans="25:26" x14ac:dyDescent="0.25">
      <c r="Y20866" s="63">
        <v>63399</v>
      </c>
      <c r="Z20866" s="61">
        <f>_xll.qlYieldTSDiscount($U$35,Y20866,,Trigger)</f>
        <v>0.31867519452550302</v>
      </c>
    </row>
    <row r="20867" spans="25:26" x14ac:dyDescent="0.25">
      <c r="Y20867" s="63">
        <v>63400</v>
      </c>
      <c r="Z20867" s="61">
        <f>_xll.qlYieldTSDiscount($U$35,Y20867,,Trigger)</f>
        <v>0.31865557946704709</v>
      </c>
    </row>
    <row r="20868" spans="25:26" x14ac:dyDescent="0.25">
      <c r="Y20868" s="63">
        <v>63401</v>
      </c>
      <c r="Z20868" s="61">
        <f>_xll.qlYieldTSDiscount($U$35,Y20868,,Trigger)</f>
        <v>0.31863596480348155</v>
      </c>
    </row>
    <row r="20869" spans="25:26" x14ac:dyDescent="0.25">
      <c r="Y20869" s="63">
        <v>63402</v>
      </c>
      <c r="Z20869" s="61">
        <f>_xll.qlYieldTSDiscount($U$35,Y20869,,Trigger)</f>
        <v>0.31861635053444048</v>
      </c>
    </row>
    <row r="20870" spans="25:26" x14ac:dyDescent="0.25">
      <c r="Y20870" s="63">
        <v>63403</v>
      </c>
      <c r="Z20870" s="61">
        <f>_xll.qlYieldTSDiscount($U$35,Y20870,,Trigger)</f>
        <v>0.31859673665955779</v>
      </c>
    </row>
    <row r="20871" spans="25:26" x14ac:dyDescent="0.25">
      <c r="Y20871" s="63">
        <v>63404</v>
      </c>
      <c r="Z20871" s="61">
        <f>_xll.qlYieldTSDiscount($U$35,Y20871,,Trigger)</f>
        <v>0.31857712317846759</v>
      </c>
    </row>
    <row r="20872" spans="25:26" x14ac:dyDescent="0.25">
      <c r="Y20872" s="63">
        <v>63405</v>
      </c>
      <c r="Z20872" s="61">
        <f>_xll.qlYieldTSDiscount($U$35,Y20872,,Trigger)</f>
        <v>0.31855751009080396</v>
      </c>
    </row>
    <row r="20873" spans="25:26" x14ac:dyDescent="0.25">
      <c r="Y20873" s="63">
        <v>63406</v>
      </c>
      <c r="Z20873" s="61">
        <f>_xll.qlYieldTSDiscount($U$35,Y20873,,Trigger)</f>
        <v>0.31853789739620081</v>
      </c>
    </row>
    <row r="20874" spans="25:26" x14ac:dyDescent="0.25">
      <c r="Y20874" s="63">
        <v>63407</v>
      </c>
      <c r="Z20874" s="61">
        <f>_xll.qlYieldTSDiscount($U$35,Y20874,,Trigger)</f>
        <v>0.31851828509429214</v>
      </c>
    </row>
    <row r="20875" spans="25:26" x14ac:dyDescent="0.25">
      <c r="Y20875" s="63">
        <v>63408</v>
      </c>
      <c r="Z20875" s="61">
        <f>_xll.qlYieldTSDiscount($U$35,Y20875,,Trigger)</f>
        <v>0.31849867318471209</v>
      </c>
    </row>
    <row r="20876" spans="25:26" x14ac:dyDescent="0.25">
      <c r="Y20876" s="63">
        <v>63409</v>
      </c>
      <c r="Z20876" s="61">
        <f>_xll.qlYieldTSDiscount($U$35,Y20876,,Trigger)</f>
        <v>0.31847906166709467</v>
      </c>
    </row>
    <row r="20877" spans="25:26" x14ac:dyDescent="0.25">
      <c r="Y20877" s="63">
        <v>63410</v>
      </c>
      <c r="Z20877" s="61">
        <f>_xll.qlYieldTSDiscount($U$35,Y20877,,Trigger)</f>
        <v>0.31845945054107377</v>
      </c>
    </row>
    <row r="20878" spans="25:26" x14ac:dyDescent="0.25">
      <c r="Y20878" s="63">
        <v>63411</v>
      </c>
      <c r="Z20878" s="61">
        <f>_xll.qlYieldTSDiscount($U$35,Y20878,,Trigger)</f>
        <v>0.31843983980628349</v>
      </c>
    </row>
    <row r="20879" spans="25:26" x14ac:dyDescent="0.25">
      <c r="Y20879" s="63">
        <v>63412</v>
      </c>
      <c r="Z20879" s="61">
        <f>_xll.qlYieldTSDiscount($U$35,Y20879,,Trigger)</f>
        <v>0.31842022946235798</v>
      </c>
    </row>
    <row r="20880" spans="25:26" x14ac:dyDescent="0.25">
      <c r="Y20880" s="63">
        <v>63413</v>
      </c>
      <c r="Z20880" s="61">
        <f>_xll.qlYieldTSDiscount($U$35,Y20880,,Trigger)</f>
        <v>0.318400619508931</v>
      </c>
    </row>
    <row r="20881" spans="25:26" x14ac:dyDescent="0.25">
      <c r="Y20881" s="63">
        <v>63414</v>
      </c>
      <c r="Z20881" s="61">
        <f>_xll.qlYieldTSDiscount($U$35,Y20881,,Trigger)</f>
        <v>0.31838100994563678</v>
      </c>
    </row>
    <row r="20882" spans="25:26" x14ac:dyDescent="0.25">
      <c r="Y20882" s="63">
        <v>63415</v>
      </c>
      <c r="Z20882" s="61">
        <f>_xll.qlYieldTSDiscount($U$35,Y20882,,Trigger)</f>
        <v>0.31836140077210928</v>
      </c>
    </row>
    <row r="20883" spans="25:26" x14ac:dyDescent="0.25">
      <c r="Y20883" s="63">
        <v>63416</v>
      </c>
      <c r="Z20883" s="61">
        <f>_xll.qlYieldTSDiscount($U$35,Y20883,,Trigger)</f>
        <v>0.31834179198798246</v>
      </c>
    </row>
    <row r="20884" spans="25:26" x14ac:dyDescent="0.25">
      <c r="Y20884" s="63">
        <v>63417</v>
      </c>
      <c r="Z20884" s="61">
        <f>_xll.qlYieldTSDiscount($U$35,Y20884,,Trigger)</f>
        <v>0.31832218359289044</v>
      </c>
    </row>
    <row r="20885" spans="25:26" x14ac:dyDescent="0.25">
      <c r="Y20885" s="63">
        <v>63418</v>
      </c>
      <c r="Z20885" s="61">
        <f>_xll.qlYieldTSDiscount($U$35,Y20885,,Trigger)</f>
        <v>0.31830257558646724</v>
      </c>
    </row>
    <row r="20886" spans="25:26" x14ac:dyDescent="0.25">
      <c r="Y20886" s="63">
        <v>63419</v>
      </c>
      <c r="Z20886" s="61">
        <f>_xll.qlYieldTSDiscount($U$35,Y20886,,Trigger)</f>
        <v>0.31828296796834671</v>
      </c>
    </row>
    <row r="20887" spans="25:26" x14ac:dyDescent="0.25">
      <c r="Y20887" s="63">
        <v>63420</v>
      </c>
      <c r="Z20887" s="61">
        <f>_xll.qlYieldTSDiscount($U$35,Y20887,,Trigger)</f>
        <v>0.31826336073816314</v>
      </c>
    </row>
    <row r="20888" spans="25:26" x14ac:dyDescent="0.25">
      <c r="Y20888" s="63">
        <v>63421</v>
      </c>
      <c r="Z20888" s="61">
        <f>_xll.qlYieldTSDiscount($U$35,Y20888,,Trigger)</f>
        <v>0.31824375389555032</v>
      </c>
    </row>
    <row r="20889" spans="25:26" x14ac:dyDescent="0.25">
      <c r="Y20889" s="63">
        <v>63422</v>
      </c>
      <c r="Z20889" s="61">
        <f>_xll.qlYieldTSDiscount($U$35,Y20889,,Trigger)</f>
        <v>0.31822414744014244</v>
      </c>
    </row>
    <row r="20890" spans="25:26" x14ac:dyDescent="0.25">
      <c r="Y20890" s="63">
        <v>63423</v>
      </c>
      <c r="Z20890" s="61">
        <f>_xll.qlYieldTSDiscount($U$35,Y20890,,Trigger)</f>
        <v>0.31820454137157339</v>
      </c>
    </row>
    <row r="20891" spans="25:26" x14ac:dyDescent="0.25">
      <c r="Y20891" s="63">
        <v>63424</v>
      </c>
      <c r="Z20891" s="61">
        <f>_xll.qlYieldTSDiscount($U$35,Y20891,,Trigger)</f>
        <v>0.31818493568947726</v>
      </c>
    </row>
    <row r="20892" spans="25:26" x14ac:dyDescent="0.25">
      <c r="Y20892" s="63">
        <v>63425</v>
      </c>
      <c r="Z20892" s="61">
        <f>_xll.qlYieldTSDiscount($U$35,Y20892,,Trigger)</f>
        <v>0.31816533039348815</v>
      </c>
    </row>
    <row r="20893" spans="25:26" x14ac:dyDescent="0.25">
      <c r="Y20893" s="63">
        <v>63426</v>
      </c>
      <c r="Z20893" s="61">
        <f>_xll.qlYieldTSDiscount($U$35,Y20893,,Trigger)</f>
        <v>0.31814572548323994</v>
      </c>
    </row>
    <row r="20894" spans="25:26" x14ac:dyDescent="0.25">
      <c r="Y20894" s="63">
        <v>63427</v>
      </c>
      <c r="Z20894" s="61">
        <f>_xll.qlYieldTSDiscount($U$35,Y20894,,Trigger)</f>
        <v>0.31812612095836668</v>
      </c>
    </row>
    <row r="20895" spans="25:26" x14ac:dyDescent="0.25">
      <c r="Y20895" s="63">
        <v>63428</v>
      </c>
      <c r="Z20895" s="61">
        <f>_xll.qlYieldTSDiscount($U$35,Y20895,,Trigger)</f>
        <v>0.31810651681850244</v>
      </c>
    </row>
    <row r="20896" spans="25:26" x14ac:dyDescent="0.25">
      <c r="Y20896" s="63">
        <v>63429</v>
      </c>
      <c r="Z20896" s="61">
        <f>_xll.qlYieldTSDiscount($U$35,Y20896,,Trigger)</f>
        <v>0.31808691306328118</v>
      </c>
    </row>
    <row r="20897" spans="25:26" x14ac:dyDescent="0.25">
      <c r="Y20897" s="63">
        <v>63430</v>
      </c>
      <c r="Z20897" s="61">
        <f>_xll.qlYieldTSDiscount($U$35,Y20897,,Trigger)</f>
        <v>0.31806730969233704</v>
      </c>
    </row>
    <row r="20898" spans="25:26" x14ac:dyDescent="0.25">
      <c r="Y20898" s="63">
        <v>63431</v>
      </c>
      <c r="Z20898" s="61">
        <f>_xll.qlYieldTSDiscount($U$35,Y20898,,Trigger)</f>
        <v>0.31804770670530397</v>
      </c>
    </row>
    <row r="20899" spans="25:26" x14ac:dyDescent="0.25">
      <c r="Y20899" s="63">
        <v>63432</v>
      </c>
      <c r="Z20899" s="61">
        <f>_xll.qlYieldTSDiscount($U$35,Y20899,,Trigger)</f>
        <v>0.31802810410181587</v>
      </c>
    </row>
    <row r="20900" spans="25:26" x14ac:dyDescent="0.25">
      <c r="Y20900" s="63">
        <v>63433</v>
      </c>
      <c r="Z20900" s="61">
        <f>_xll.qlYieldTSDiscount($U$35,Y20900,,Trigger)</f>
        <v>0.31800850188150692</v>
      </c>
    </row>
    <row r="20901" spans="25:26" x14ac:dyDescent="0.25">
      <c r="Y20901" s="63">
        <v>63434</v>
      </c>
      <c r="Z20901" s="61">
        <f>_xll.qlYieldTSDiscount($U$35,Y20901,,Trigger)</f>
        <v>0.3179889000440112</v>
      </c>
    </row>
    <row r="20902" spans="25:26" x14ac:dyDescent="0.25">
      <c r="Y20902" s="63">
        <v>63435</v>
      </c>
      <c r="Z20902" s="61">
        <f>_xll.qlYieldTSDiscount($U$35,Y20902,,Trigger)</f>
        <v>0.3179692985889625</v>
      </c>
    </row>
    <row r="20903" spans="25:26" x14ac:dyDescent="0.25">
      <c r="Y20903" s="63">
        <v>63436</v>
      </c>
      <c r="Z20903" s="61">
        <f>_xll.qlYieldTSDiscount($U$35,Y20903,,Trigger)</f>
        <v>0.31794969751599506</v>
      </c>
    </row>
    <row r="20904" spans="25:26" x14ac:dyDescent="0.25">
      <c r="Y20904" s="63">
        <v>63437</v>
      </c>
      <c r="Z20904" s="61">
        <f>_xll.qlYieldTSDiscount($U$35,Y20904,,Trigger)</f>
        <v>0.31793009682474277</v>
      </c>
    </row>
    <row r="20905" spans="25:26" x14ac:dyDescent="0.25">
      <c r="Y20905" s="63">
        <v>63438</v>
      </c>
      <c r="Z20905" s="61">
        <f>_xll.qlYieldTSDiscount($U$35,Y20905,,Trigger)</f>
        <v>0.31791049651483971</v>
      </c>
    </row>
    <row r="20906" spans="25:26" x14ac:dyDescent="0.25">
      <c r="Y20906" s="63">
        <v>63439</v>
      </c>
      <c r="Z20906" s="61">
        <f>_xll.qlYieldTSDiscount($U$35,Y20906,,Trigger)</f>
        <v>0.3178908965859199</v>
      </c>
    </row>
    <row r="20907" spans="25:26" x14ac:dyDescent="0.25">
      <c r="Y20907" s="63">
        <v>63440</v>
      </c>
      <c r="Z20907" s="61">
        <f>_xll.qlYieldTSDiscount($U$35,Y20907,,Trigger)</f>
        <v>0.3178712970376173</v>
      </c>
    </row>
    <row r="20908" spans="25:26" x14ac:dyDescent="0.25">
      <c r="Y20908" s="63">
        <v>63441</v>
      </c>
      <c r="Z20908" s="61">
        <f>_xll.qlYieldTSDiscount($U$35,Y20908,,Trigger)</f>
        <v>0.31785169786956607</v>
      </c>
    </row>
    <row r="20909" spans="25:26" x14ac:dyDescent="0.25">
      <c r="Y20909" s="63">
        <v>63442</v>
      </c>
      <c r="Z20909" s="61">
        <f>_xll.qlYieldTSDiscount($U$35,Y20909,,Trigger)</f>
        <v>0.31783209908140009</v>
      </c>
    </row>
    <row r="20910" spans="25:26" x14ac:dyDescent="0.25">
      <c r="Y20910" s="63">
        <v>63443</v>
      </c>
      <c r="Z20910" s="61">
        <f>_xll.qlYieldTSDiscount($U$35,Y20910,,Trigger)</f>
        <v>0.31781250067275341</v>
      </c>
    </row>
    <row r="20911" spans="25:26" x14ac:dyDescent="0.25">
      <c r="Y20911" s="63">
        <v>63444</v>
      </c>
      <c r="Z20911" s="61">
        <f>_xll.qlYieldTSDiscount($U$35,Y20911,,Trigger)</f>
        <v>0.31779290264326016</v>
      </c>
    </row>
    <row r="20912" spans="25:26" x14ac:dyDescent="0.25">
      <c r="Y20912" s="63">
        <v>63445</v>
      </c>
      <c r="Z20912" s="61">
        <f>_xll.qlYieldTSDiscount($U$35,Y20912,,Trigger)</f>
        <v>0.31777330499255424</v>
      </c>
    </row>
    <row r="20913" spans="25:26" x14ac:dyDescent="0.25">
      <c r="Y20913" s="63">
        <v>63446</v>
      </c>
      <c r="Z20913" s="61">
        <f>_xll.qlYieldTSDiscount($U$35,Y20913,,Trigger)</f>
        <v>0.31775370772026973</v>
      </c>
    </row>
    <row r="20914" spans="25:26" x14ac:dyDescent="0.25">
      <c r="Y20914" s="63">
        <v>63447</v>
      </c>
      <c r="Z20914" s="61">
        <f>_xll.qlYieldTSDiscount($U$35,Y20914,,Trigger)</f>
        <v>0.31773411082604058</v>
      </c>
    </row>
    <row r="20915" spans="25:26" x14ac:dyDescent="0.25">
      <c r="Y20915" s="63">
        <v>63448</v>
      </c>
      <c r="Z20915" s="61">
        <f>_xll.qlYieldTSDiscount($U$35,Y20915,,Trigger)</f>
        <v>0.31771451430950087</v>
      </c>
    </row>
    <row r="20916" spans="25:26" x14ac:dyDescent="0.25">
      <c r="Y20916" s="63">
        <v>63449</v>
      </c>
      <c r="Z20916" s="61">
        <f>_xll.qlYieldTSDiscount($U$35,Y20916,,Trigger)</f>
        <v>0.31769491817028467</v>
      </c>
    </row>
    <row r="20917" spans="25:26" x14ac:dyDescent="0.25">
      <c r="Y20917" s="63">
        <v>63450</v>
      </c>
      <c r="Z20917" s="61">
        <f>_xll.qlYieldTSDiscount($U$35,Y20917,,Trigger)</f>
        <v>0.31767532240802587</v>
      </c>
    </row>
    <row r="20918" spans="25:26" x14ac:dyDescent="0.25">
      <c r="Y20918" s="63">
        <v>63451</v>
      </c>
      <c r="Z20918" s="61">
        <f>_xll.qlYieldTSDiscount($U$35,Y20918,,Trigger)</f>
        <v>0.31765572702235867</v>
      </c>
    </row>
    <row r="20919" spans="25:26" x14ac:dyDescent="0.25">
      <c r="Y20919" s="63">
        <v>63452</v>
      </c>
      <c r="Z20919" s="61">
        <f>_xll.qlYieldTSDiscount($U$35,Y20919,,Trigger)</f>
        <v>0.31763613201291696</v>
      </c>
    </row>
    <row r="20920" spans="25:26" x14ac:dyDescent="0.25">
      <c r="Y20920" s="63">
        <v>63453</v>
      </c>
      <c r="Z20920" s="61">
        <f>_xll.qlYieldTSDiscount($U$35,Y20920,,Trigger)</f>
        <v>0.31761653737933476</v>
      </c>
    </row>
    <row r="20921" spans="25:26" x14ac:dyDescent="0.25">
      <c r="Y20921" s="63">
        <v>63454</v>
      </c>
      <c r="Z20921" s="61">
        <f>_xll.qlYieldTSDiscount($U$35,Y20921,,Trigger)</f>
        <v>0.31759694312124614</v>
      </c>
    </row>
    <row r="20922" spans="25:26" x14ac:dyDescent="0.25">
      <c r="Y20922" s="63">
        <v>63455</v>
      </c>
      <c r="Z20922" s="61">
        <f>_xll.qlYieldTSDiscount($U$35,Y20922,,Trigger)</f>
        <v>0.31757734923828512</v>
      </c>
    </row>
    <row r="20923" spans="25:26" x14ac:dyDescent="0.25">
      <c r="Y20923" s="63">
        <v>63456</v>
      </c>
      <c r="Z20923" s="61">
        <f>_xll.qlYieldTSDiscount($U$35,Y20923,,Trigger)</f>
        <v>0.31755775573008571</v>
      </c>
    </row>
    <row r="20924" spans="25:26" x14ac:dyDescent="0.25">
      <c r="Y20924" s="63">
        <v>63457</v>
      </c>
      <c r="Z20924" s="61">
        <f>_xll.qlYieldTSDiscount($U$35,Y20924,,Trigger)</f>
        <v>0.31753816259628198</v>
      </c>
    </row>
    <row r="20925" spans="25:26" x14ac:dyDescent="0.25">
      <c r="Y20925" s="63">
        <v>63458</v>
      </c>
      <c r="Z20925" s="61">
        <f>_xll.qlYieldTSDiscount($U$35,Y20925,,Trigger)</f>
        <v>0.31751856983650784</v>
      </c>
    </row>
    <row r="20926" spans="25:26" x14ac:dyDescent="0.25">
      <c r="Y20926" s="63">
        <v>63459</v>
      </c>
      <c r="Z20926" s="61">
        <f>_xll.qlYieldTSDiscount($U$35,Y20926,,Trigger)</f>
        <v>0.31749897745039735</v>
      </c>
    </row>
    <row r="20927" spans="25:26" x14ac:dyDescent="0.25">
      <c r="Y20927" s="63">
        <v>63460</v>
      </c>
      <c r="Z20927" s="61">
        <f>_xll.qlYieldTSDiscount($U$35,Y20927,,Trigger)</f>
        <v>0.31747938543758469</v>
      </c>
    </row>
    <row r="20928" spans="25:26" x14ac:dyDescent="0.25">
      <c r="Y20928" s="63">
        <v>63461</v>
      </c>
      <c r="Z20928" s="61">
        <f>_xll.qlYieldTSDiscount($U$35,Y20928,,Trigger)</f>
        <v>0.31745979379770362</v>
      </c>
    </row>
    <row r="20929" spans="25:26" x14ac:dyDescent="0.25">
      <c r="Y20929" s="63">
        <v>63462</v>
      </c>
      <c r="Z20929" s="61">
        <f>_xll.qlYieldTSDiscount($U$35,Y20929,,Trigger)</f>
        <v>0.31744020253038829</v>
      </c>
    </row>
    <row r="20930" spans="25:26" x14ac:dyDescent="0.25">
      <c r="Y20930" s="63">
        <v>63463</v>
      </c>
      <c r="Z20930" s="61">
        <f>_xll.qlYieldTSDiscount($U$35,Y20930,,Trigger)</f>
        <v>0.31742061163527285</v>
      </c>
    </row>
    <row r="20931" spans="25:26" x14ac:dyDescent="0.25">
      <c r="Y20931" s="63">
        <v>63464</v>
      </c>
      <c r="Z20931" s="61">
        <f>_xll.qlYieldTSDiscount($U$35,Y20931,,Trigger)</f>
        <v>0.31740102111199109</v>
      </c>
    </row>
    <row r="20932" spans="25:26" x14ac:dyDescent="0.25">
      <c r="Y20932" s="63">
        <v>63465</v>
      </c>
      <c r="Z20932" s="61">
        <f>_xll.qlYieldTSDiscount($U$35,Y20932,,Trigger)</f>
        <v>0.31738143096017712</v>
      </c>
    </row>
    <row r="20933" spans="25:26" x14ac:dyDescent="0.25">
      <c r="Y20933" s="63">
        <v>63466</v>
      </c>
      <c r="Z20933" s="61">
        <f>_xll.qlYieldTSDiscount($U$35,Y20933,,Trigger)</f>
        <v>0.31736184117946498</v>
      </c>
    </row>
    <row r="20934" spans="25:26" x14ac:dyDescent="0.25">
      <c r="Y20934" s="63">
        <v>63467</v>
      </c>
      <c r="Z20934" s="61">
        <f>_xll.qlYieldTSDiscount($U$35,Y20934,,Trigger)</f>
        <v>0.31734225176948883</v>
      </c>
    </row>
    <row r="20935" spans="25:26" x14ac:dyDescent="0.25">
      <c r="Y20935" s="63">
        <v>63468</v>
      </c>
      <c r="Z20935" s="61">
        <f>_xll.qlYieldTSDiscount($U$35,Y20935,,Trigger)</f>
        <v>0.31732266272988241</v>
      </c>
    </row>
    <row r="20936" spans="25:26" x14ac:dyDescent="0.25">
      <c r="Y20936" s="63">
        <v>63469</v>
      </c>
      <c r="Z20936" s="61">
        <f>_xll.qlYieldTSDiscount($U$35,Y20936,,Trigger)</f>
        <v>0.31730307406027985</v>
      </c>
    </row>
    <row r="20937" spans="25:26" x14ac:dyDescent="0.25">
      <c r="Y20937" s="63">
        <v>63470</v>
      </c>
      <c r="Z20937" s="61">
        <f>_xll.qlYieldTSDiscount($U$35,Y20937,,Trigger)</f>
        <v>0.3172834857603154</v>
      </c>
    </row>
    <row r="20938" spans="25:26" x14ac:dyDescent="0.25">
      <c r="Y20938" s="63">
        <v>63471</v>
      </c>
      <c r="Z20938" s="61">
        <f>_xll.qlYieldTSDiscount($U$35,Y20938,,Trigger)</f>
        <v>0.31726389782962278</v>
      </c>
    </row>
    <row r="20939" spans="25:26" x14ac:dyDescent="0.25">
      <c r="Y20939" s="63">
        <v>63472</v>
      </c>
      <c r="Z20939" s="61">
        <f>_xll.qlYieldTSDiscount($U$35,Y20939,,Trigger)</f>
        <v>0.31724431026783606</v>
      </c>
    </row>
    <row r="20940" spans="25:26" x14ac:dyDescent="0.25">
      <c r="Y20940" s="63">
        <v>63473</v>
      </c>
      <c r="Z20940" s="61">
        <f>_xll.qlYieldTSDiscount($U$35,Y20940,,Trigger)</f>
        <v>0.31722472307458938</v>
      </c>
    </row>
    <row r="20941" spans="25:26" x14ac:dyDescent="0.25">
      <c r="Y20941" s="63">
        <v>63474</v>
      </c>
      <c r="Z20941" s="61">
        <f>_xll.qlYieldTSDiscount($U$35,Y20941,,Trigger)</f>
        <v>0.31720513624951674</v>
      </c>
    </row>
    <row r="20942" spans="25:26" x14ac:dyDescent="0.25">
      <c r="Y20942" s="63">
        <v>63475</v>
      </c>
      <c r="Z20942" s="61">
        <f>_xll.qlYieldTSDiscount($U$35,Y20942,,Trigger)</f>
        <v>0.317185549792252</v>
      </c>
    </row>
    <row r="20943" spans="25:26" x14ac:dyDescent="0.25">
      <c r="Y20943" s="63">
        <v>63476</v>
      </c>
      <c r="Z20943" s="61">
        <f>_xll.qlYieldTSDiscount($U$35,Y20943,,Trigger)</f>
        <v>0.3171659637024295</v>
      </c>
    </row>
    <row r="20944" spans="25:26" x14ac:dyDescent="0.25">
      <c r="Y20944" s="63">
        <v>63477</v>
      </c>
      <c r="Z20944" s="61">
        <f>_xll.qlYieldTSDiscount($U$35,Y20944,,Trigger)</f>
        <v>0.31714637797968293</v>
      </c>
    </row>
    <row r="20945" spans="25:26" x14ac:dyDescent="0.25">
      <c r="Y20945" s="63">
        <v>63478</v>
      </c>
      <c r="Z20945" s="61">
        <f>_xll.qlYieldTSDiscount($U$35,Y20945,,Trigger)</f>
        <v>0.31712679262364646</v>
      </c>
    </row>
    <row r="20946" spans="25:26" x14ac:dyDescent="0.25">
      <c r="Y20946" s="63">
        <v>63479</v>
      </c>
      <c r="Z20946" s="61">
        <f>_xll.qlYieldTSDiscount($U$35,Y20946,,Trigger)</f>
        <v>0.31710720763395417</v>
      </c>
    </row>
    <row r="20947" spans="25:26" x14ac:dyDescent="0.25">
      <c r="Y20947" s="63">
        <v>63480</v>
      </c>
      <c r="Z20947" s="61">
        <f>_xll.qlYieldTSDiscount($U$35,Y20947,,Trigger)</f>
        <v>0.31708762301023991</v>
      </c>
    </row>
    <row r="20948" spans="25:26" x14ac:dyDescent="0.25">
      <c r="Y20948" s="63">
        <v>63481</v>
      </c>
      <c r="Z20948" s="61">
        <f>_xll.qlYieldTSDiscount($U$35,Y20948,,Trigger)</f>
        <v>0.31706803875213785</v>
      </c>
    </row>
    <row r="20949" spans="25:26" x14ac:dyDescent="0.25">
      <c r="Y20949" s="63">
        <v>63482</v>
      </c>
      <c r="Z20949" s="61">
        <f>_xll.qlYieldTSDiscount($U$35,Y20949,,Trigger)</f>
        <v>0.31704845485928207</v>
      </c>
    </row>
    <row r="20950" spans="25:26" x14ac:dyDescent="0.25">
      <c r="Y20950" s="63">
        <v>63483</v>
      </c>
      <c r="Z20950" s="61">
        <f>_xll.qlYieldTSDiscount($U$35,Y20950,,Trigger)</f>
        <v>0.31702887133130636</v>
      </c>
    </row>
    <row r="20951" spans="25:26" x14ac:dyDescent="0.25">
      <c r="Y20951" s="63">
        <v>63484</v>
      </c>
      <c r="Z20951" s="61">
        <f>_xll.qlYieldTSDiscount($U$35,Y20951,,Trigger)</f>
        <v>0.31700928816784496</v>
      </c>
    </row>
    <row r="20952" spans="25:26" x14ac:dyDescent="0.25">
      <c r="Y20952" s="63">
        <v>63485</v>
      </c>
      <c r="Z20952" s="61">
        <f>_xll.qlYieldTSDiscount($U$35,Y20952,,Trigger)</f>
        <v>0.31698970536853177</v>
      </c>
    </row>
    <row r="20953" spans="25:26" x14ac:dyDescent="0.25">
      <c r="Y20953" s="63">
        <v>63486</v>
      </c>
      <c r="Z20953" s="61">
        <f>_xll.qlYieldTSDiscount($U$35,Y20953,,Trigger)</f>
        <v>0.31697012293300086</v>
      </c>
    </row>
    <row r="20954" spans="25:26" x14ac:dyDescent="0.25">
      <c r="Y20954" s="63">
        <v>63487</v>
      </c>
      <c r="Z20954" s="61">
        <f>_xll.qlYieldTSDiscount($U$35,Y20954,,Trigger)</f>
        <v>0.3169505408608862</v>
      </c>
    </row>
    <row r="20955" spans="25:26" x14ac:dyDescent="0.25">
      <c r="Y20955" s="63">
        <v>63488</v>
      </c>
      <c r="Z20955" s="61">
        <f>_xll.qlYieldTSDiscount($U$35,Y20955,,Trigger)</f>
        <v>0.3169309591518219</v>
      </c>
    </row>
    <row r="20956" spans="25:26" x14ac:dyDescent="0.25">
      <c r="Y20956" s="63">
        <v>63489</v>
      </c>
      <c r="Z20956" s="61">
        <f>_xll.qlYieldTSDiscount($U$35,Y20956,,Trigger)</f>
        <v>0.31691137780544193</v>
      </c>
    </row>
    <row r="20957" spans="25:26" x14ac:dyDescent="0.25">
      <c r="Y20957" s="63">
        <v>63490</v>
      </c>
      <c r="Z20957" s="61">
        <f>_xll.qlYieldTSDiscount($U$35,Y20957,,Trigger)</f>
        <v>0.31689179682138024</v>
      </c>
    </row>
    <row r="20958" spans="25:26" x14ac:dyDescent="0.25">
      <c r="Y20958" s="63">
        <v>63491</v>
      </c>
      <c r="Z20958" s="61">
        <f>_xll.qlYieldTSDiscount($U$35,Y20958,,Trigger)</f>
        <v>0.31687221619927097</v>
      </c>
    </row>
    <row r="20959" spans="25:26" x14ac:dyDescent="0.25">
      <c r="Y20959" s="63">
        <v>63492</v>
      </c>
      <c r="Z20959" s="61">
        <f>_xll.qlYieldTSDiscount($U$35,Y20959,,Trigger)</f>
        <v>0.31685263593874818</v>
      </c>
    </row>
    <row r="20960" spans="25:26" x14ac:dyDescent="0.25">
      <c r="Y20960" s="63">
        <v>63493</v>
      </c>
      <c r="Z20960" s="61">
        <f>_xll.qlYieldTSDiscount($U$35,Y20960,,Trigger)</f>
        <v>0.31683305603944567</v>
      </c>
    </row>
    <row r="20961" spans="25:26" x14ac:dyDescent="0.25">
      <c r="Y20961" s="63">
        <v>63494</v>
      </c>
      <c r="Z20961" s="61">
        <f>_xll.qlYieldTSDiscount($U$35,Y20961,,Trigger)</f>
        <v>0.31681347650099773</v>
      </c>
    </row>
    <row r="20962" spans="25:26" x14ac:dyDescent="0.25">
      <c r="Y20962" s="63">
        <v>63495</v>
      </c>
      <c r="Z20962" s="61">
        <f>_xll.qlYieldTSDiscount($U$35,Y20962,,Trigger)</f>
        <v>0.31679389732303814</v>
      </c>
    </row>
    <row r="20963" spans="25:26" x14ac:dyDescent="0.25">
      <c r="Y20963" s="63">
        <v>63496</v>
      </c>
      <c r="Z20963" s="61">
        <f>_xll.qlYieldTSDiscount($U$35,Y20963,,Trigger)</f>
        <v>0.3167743185052011</v>
      </c>
    </row>
    <row r="20964" spans="25:26" x14ac:dyDescent="0.25">
      <c r="Y20964" s="63">
        <v>63497</v>
      </c>
      <c r="Z20964" s="61">
        <f>_xll.qlYieldTSDiscount($U$35,Y20964,,Trigger)</f>
        <v>0.31675474004712051</v>
      </c>
    </row>
    <row r="20965" spans="25:26" x14ac:dyDescent="0.25">
      <c r="Y20965" s="63">
        <v>63498</v>
      </c>
      <c r="Z20965" s="61">
        <f>_xll.qlYieldTSDiscount($U$35,Y20965,,Trigger)</f>
        <v>0.31673516194843049</v>
      </c>
    </row>
    <row r="20966" spans="25:26" x14ac:dyDescent="0.25">
      <c r="Y20966" s="63">
        <v>63499</v>
      </c>
      <c r="Z20966" s="61">
        <f>_xll.qlYieldTSDiscount($U$35,Y20966,,Trigger)</f>
        <v>0.31671558420876506</v>
      </c>
    </row>
    <row r="20967" spans="25:26" x14ac:dyDescent="0.25">
      <c r="Y20967" s="63">
        <v>63500</v>
      </c>
      <c r="Z20967" s="61">
        <f>_xll.qlYieldTSDiscount($U$35,Y20967,,Trigger)</f>
        <v>0.31669600682775817</v>
      </c>
    </row>
    <row r="20968" spans="25:26" x14ac:dyDescent="0.25">
      <c r="Y20968" s="63">
        <v>63501</v>
      </c>
      <c r="Z20968" s="61">
        <f>_xll.qlYieldTSDiscount($U$35,Y20968,,Trigger)</f>
        <v>0.3166764298050439</v>
      </c>
    </row>
    <row r="20969" spans="25:26" x14ac:dyDescent="0.25">
      <c r="Y20969" s="63">
        <v>63502</v>
      </c>
      <c r="Z20969" s="61">
        <f>_xll.qlYieldTSDiscount($U$35,Y20969,,Trigger)</f>
        <v>0.31665685314025621</v>
      </c>
    </row>
    <row r="20970" spans="25:26" x14ac:dyDescent="0.25">
      <c r="Y20970" s="63">
        <v>63503</v>
      </c>
      <c r="Z20970" s="61">
        <f>_xll.qlYieldTSDiscount($U$35,Y20970,,Trigger)</f>
        <v>0.31663727683302917</v>
      </c>
    </row>
    <row r="20971" spans="25:26" x14ac:dyDescent="0.25">
      <c r="Y20971" s="63">
        <v>63504</v>
      </c>
      <c r="Z20971" s="61">
        <f>_xll.qlYieldTSDiscount($U$35,Y20971,,Trigger)</f>
        <v>0.31661770088299679</v>
      </c>
    </row>
    <row r="20972" spans="25:26" x14ac:dyDescent="0.25">
      <c r="Y20972" s="63">
        <v>63505</v>
      </c>
      <c r="Z20972" s="61">
        <f>_xll.qlYieldTSDiscount($U$35,Y20972,,Trigger)</f>
        <v>0.31659812528979309</v>
      </c>
    </row>
    <row r="20973" spans="25:26" x14ac:dyDescent="0.25">
      <c r="Y20973" s="63">
        <v>63506</v>
      </c>
      <c r="Z20973" s="61">
        <f>_xll.qlYieldTSDiscount($U$35,Y20973,,Trigger)</f>
        <v>0.31657855005305213</v>
      </c>
    </row>
    <row r="20974" spans="25:26" x14ac:dyDescent="0.25">
      <c r="Y20974" s="63">
        <v>63507</v>
      </c>
      <c r="Z20974" s="61">
        <f>_xll.qlYieldTSDiscount($U$35,Y20974,,Trigger)</f>
        <v>0.31655897517240777</v>
      </c>
    </row>
    <row r="20975" spans="25:26" x14ac:dyDescent="0.25">
      <c r="Y20975" s="63">
        <v>63508</v>
      </c>
      <c r="Z20975" s="61">
        <f>_xll.qlYieldTSDiscount($U$35,Y20975,,Trigger)</f>
        <v>0.31653940064749431</v>
      </c>
    </row>
    <row r="20976" spans="25:26" x14ac:dyDescent="0.25">
      <c r="Y20976" s="63">
        <v>63509</v>
      </c>
      <c r="Z20976" s="61">
        <f>_xll.qlYieldTSDiscount($U$35,Y20976,,Trigger)</f>
        <v>0.31651982647794552</v>
      </c>
    </row>
    <row r="20977" spans="25:26" x14ac:dyDescent="0.25">
      <c r="Y20977" s="63">
        <v>63510</v>
      </c>
      <c r="Z20977" s="61">
        <f>_xll.qlYieldTSDiscount($U$35,Y20977,,Trigger)</f>
        <v>0.31650025266339554</v>
      </c>
    </row>
    <row r="20978" spans="25:26" x14ac:dyDescent="0.25">
      <c r="Y20978" s="63">
        <v>63511</v>
      </c>
      <c r="Z20978" s="61">
        <f>_xll.qlYieldTSDiscount($U$35,Y20978,,Trigger)</f>
        <v>0.31648067920347839</v>
      </c>
    </row>
    <row r="20979" spans="25:26" x14ac:dyDescent="0.25">
      <c r="Y20979" s="63">
        <v>63512</v>
      </c>
      <c r="Z20979" s="61">
        <f>_xll.qlYieldTSDiscount($U$35,Y20979,,Trigger)</f>
        <v>0.31646110609782813</v>
      </c>
    </row>
    <row r="20980" spans="25:26" x14ac:dyDescent="0.25">
      <c r="Y20980" s="63">
        <v>63513</v>
      </c>
      <c r="Z20980" s="61">
        <f>_xll.qlYieldTSDiscount($U$35,Y20980,,Trigger)</f>
        <v>0.31644153334607866</v>
      </c>
    </row>
    <row r="20981" spans="25:26" x14ac:dyDescent="0.25">
      <c r="Y20981" s="63">
        <v>63514</v>
      </c>
      <c r="Z20981" s="61">
        <f>_xll.qlYieldTSDiscount($U$35,Y20981,,Trigger)</f>
        <v>0.31642196094786407</v>
      </c>
    </row>
    <row r="20982" spans="25:26" x14ac:dyDescent="0.25">
      <c r="Y20982" s="63">
        <v>63515</v>
      </c>
      <c r="Z20982" s="61">
        <f>_xll.qlYieldTSDiscount($U$35,Y20982,,Trigger)</f>
        <v>0.31640238890281841</v>
      </c>
    </row>
    <row r="20983" spans="25:26" x14ac:dyDescent="0.25">
      <c r="Y20983" s="63">
        <v>63516</v>
      </c>
      <c r="Z20983" s="61">
        <f>_xll.qlYieldTSDiscount($U$35,Y20983,,Trigger)</f>
        <v>0.3163828172105756</v>
      </c>
    </row>
    <row r="20984" spans="25:26" x14ac:dyDescent="0.25">
      <c r="Y20984" s="63">
        <v>63517</v>
      </c>
      <c r="Z20984" s="61">
        <f>_xll.qlYieldTSDiscount($U$35,Y20984,,Trigger)</f>
        <v>0.31636324587076975</v>
      </c>
    </row>
    <row r="20985" spans="25:26" x14ac:dyDescent="0.25">
      <c r="Y20985" s="63">
        <v>63518</v>
      </c>
      <c r="Z20985" s="61">
        <f>_xll.qlYieldTSDiscount($U$35,Y20985,,Trigger)</f>
        <v>0.31634367488303494</v>
      </c>
    </row>
    <row r="20986" spans="25:26" x14ac:dyDescent="0.25">
      <c r="Y20986" s="63">
        <v>63519</v>
      </c>
      <c r="Z20986" s="61">
        <f>_xll.qlYieldTSDiscount($U$35,Y20986,,Trigger)</f>
        <v>0.31632410424700508</v>
      </c>
    </row>
    <row r="20987" spans="25:26" x14ac:dyDescent="0.25">
      <c r="Y20987" s="63">
        <v>63520</v>
      </c>
      <c r="Z20987" s="61">
        <f>_xll.qlYieldTSDiscount($U$35,Y20987,,Trigger)</f>
        <v>0.31630453396231423</v>
      </c>
    </row>
    <row r="20988" spans="25:26" x14ac:dyDescent="0.25">
      <c r="Y20988" s="63">
        <v>63521</v>
      </c>
      <c r="Z20988" s="61">
        <f>_xll.qlYieldTSDiscount($U$35,Y20988,,Trigger)</f>
        <v>0.31628496402859646</v>
      </c>
    </row>
    <row r="20989" spans="25:26" x14ac:dyDescent="0.25">
      <c r="Y20989" s="63">
        <v>63522</v>
      </c>
      <c r="Z20989" s="61">
        <f>_xll.qlYieldTSDiscount($U$35,Y20989,,Trigger)</f>
        <v>0.31626539444548568</v>
      </c>
    </row>
    <row r="20990" spans="25:26" x14ac:dyDescent="0.25">
      <c r="Y20990" s="63">
        <v>63523</v>
      </c>
      <c r="Z20990" s="61">
        <f>_xll.qlYieldTSDiscount($U$35,Y20990,,Trigger)</f>
        <v>0.31624582521261596</v>
      </c>
    </row>
    <row r="20991" spans="25:26" x14ac:dyDescent="0.25">
      <c r="Y20991" s="63">
        <v>63524</v>
      </c>
      <c r="Z20991" s="61">
        <f>_xll.qlYieldTSDiscount($U$35,Y20991,,Trigger)</f>
        <v>0.31622625632962142</v>
      </c>
    </row>
    <row r="20992" spans="25:26" x14ac:dyDescent="0.25">
      <c r="Y20992" s="63">
        <v>63525</v>
      </c>
      <c r="Z20992" s="61">
        <f>_xll.qlYieldTSDiscount($U$35,Y20992,,Trigger)</f>
        <v>0.31620668779613598</v>
      </c>
    </row>
    <row r="20993" spans="25:26" x14ac:dyDescent="0.25">
      <c r="Y20993" s="63">
        <v>63526</v>
      </c>
      <c r="Z20993" s="61">
        <f>_xll.qlYieldTSDiscount($U$35,Y20993,,Trigger)</f>
        <v>0.31618711961179358</v>
      </c>
    </row>
    <row r="20994" spans="25:26" x14ac:dyDescent="0.25">
      <c r="Y20994" s="63">
        <v>63527</v>
      </c>
      <c r="Z20994" s="61">
        <f>_xll.qlYieldTSDiscount($U$35,Y20994,,Trigger)</f>
        <v>0.31616755177622841</v>
      </c>
    </row>
    <row r="20995" spans="25:26" x14ac:dyDescent="0.25">
      <c r="Y20995" s="63">
        <v>63528</v>
      </c>
      <c r="Z20995" s="61">
        <f>_xll.qlYieldTSDiscount($U$35,Y20995,,Trigger)</f>
        <v>0.31614798428907448</v>
      </c>
    </row>
    <row r="20996" spans="25:26" x14ac:dyDescent="0.25">
      <c r="Y20996" s="63">
        <v>63529</v>
      </c>
      <c r="Z20996" s="61">
        <f>_xll.qlYieldTSDiscount($U$35,Y20996,,Trigger)</f>
        <v>0.31612841714996565</v>
      </c>
    </row>
    <row r="20997" spans="25:26" x14ac:dyDescent="0.25">
      <c r="Y20997" s="63">
        <v>63530</v>
      </c>
      <c r="Z20997" s="61">
        <f>_xll.qlYieldTSDiscount($U$35,Y20997,,Trigger)</f>
        <v>0.31610885035853614</v>
      </c>
    </row>
    <row r="20998" spans="25:26" x14ac:dyDescent="0.25">
      <c r="Y20998" s="63">
        <v>63531</v>
      </c>
      <c r="Z20998" s="61">
        <f>_xll.qlYieldTSDiscount($U$35,Y20998,,Trigger)</f>
        <v>0.31608928391441987</v>
      </c>
    </row>
    <row r="20999" spans="25:26" x14ac:dyDescent="0.25">
      <c r="Y20999" s="63">
        <v>63532</v>
      </c>
      <c r="Z20999" s="61">
        <f>_xll.qlYieldTSDiscount($U$35,Y20999,,Trigger)</f>
        <v>0.31606971781725079</v>
      </c>
    </row>
    <row r="21000" spans="25:26" x14ac:dyDescent="0.25">
      <c r="Y21000" s="63">
        <v>63533</v>
      </c>
      <c r="Z21000" s="61">
        <f>_xll.qlYieldTSDiscount($U$35,Y21000,,Trigger)</f>
        <v>0.31605015206666309</v>
      </c>
    </row>
    <row r="21001" spans="25:26" x14ac:dyDescent="0.25">
      <c r="Y21001" s="63">
        <v>63534</v>
      </c>
      <c r="Z21001" s="61">
        <f>_xll.qlYieldTSDiscount($U$35,Y21001,,Trigger)</f>
        <v>0.31603058666229072</v>
      </c>
    </row>
    <row r="21002" spans="25:26" x14ac:dyDescent="0.25">
      <c r="Y21002" s="63">
        <v>63535</v>
      </c>
      <c r="Z21002" s="61">
        <f>_xll.qlYieldTSDiscount($U$35,Y21002,,Trigger)</f>
        <v>0.31601102160376765</v>
      </c>
    </row>
    <row r="21003" spans="25:26" x14ac:dyDescent="0.25">
      <c r="Y21003" s="63">
        <v>63536</v>
      </c>
      <c r="Z21003" s="61">
        <f>_xll.qlYieldTSDiscount($U$35,Y21003,,Trigger)</f>
        <v>0.31599145689072783</v>
      </c>
    </row>
    <row r="21004" spans="25:26" x14ac:dyDescent="0.25">
      <c r="Y21004" s="63">
        <v>63537</v>
      </c>
      <c r="Z21004" s="61">
        <f>_xll.qlYieldTSDiscount($U$35,Y21004,,Trigger)</f>
        <v>0.31597189252280555</v>
      </c>
    </row>
    <row r="21005" spans="25:26" x14ac:dyDescent="0.25">
      <c r="Y21005" s="63">
        <v>63538</v>
      </c>
      <c r="Z21005" s="61">
        <f>_xll.qlYieldTSDiscount($U$35,Y21005,,Trigger)</f>
        <v>0.31595232849963462</v>
      </c>
    </row>
    <row r="21006" spans="25:26" x14ac:dyDescent="0.25">
      <c r="Y21006" s="63">
        <v>63539</v>
      </c>
      <c r="Z21006" s="61">
        <f>_xll.qlYieldTSDiscount($U$35,Y21006,,Trigger)</f>
        <v>0.31593276482084914</v>
      </c>
    </row>
    <row r="21007" spans="25:26" x14ac:dyDescent="0.25">
      <c r="Y21007" s="63">
        <v>63540</v>
      </c>
      <c r="Z21007" s="61">
        <f>_xll.qlYieldTSDiscount($U$35,Y21007,,Trigger)</f>
        <v>0.31591320148608304</v>
      </c>
    </row>
    <row r="21008" spans="25:26" x14ac:dyDescent="0.25">
      <c r="Y21008" s="63">
        <v>63541</v>
      </c>
      <c r="Z21008" s="61">
        <f>_xll.qlYieldTSDiscount($U$35,Y21008,,Trigger)</f>
        <v>0.31589363849497049</v>
      </c>
    </row>
    <row r="21009" spans="25:26" x14ac:dyDescent="0.25">
      <c r="Y21009" s="63">
        <v>63542</v>
      </c>
      <c r="Z21009" s="61">
        <f>_xll.qlYieldTSDiscount($U$35,Y21009,,Trigger)</f>
        <v>0.31587407584714544</v>
      </c>
    </row>
    <row r="21010" spans="25:26" x14ac:dyDescent="0.25">
      <c r="Y21010" s="63">
        <v>63543</v>
      </c>
      <c r="Z21010" s="61">
        <f>_xll.qlYieldTSDiscount($U$35,Y21010,,Trigger)</f>
        <v>0.31585451354224175</v>
      </c>
    </row>
    <row r="21011" spans="25:26" x14ac:dyDescent="0.25">
      <c r="Y21011" s="63">
        <v>63544</v>
      </c>
      <c r="Z21011" s="61">
        <f>_xll.qlYieldTSDiscount($U$35,Y21011,,Trigger)</f>
        <v>0.31583495157989377</v>
      </c>
    </row>
    <row r="21012" spans="25:26" x14ac:dyDescent="0.25">
      <c r="Y21012" s="63">
        <v>63545</v>
      </c>
      <c r="Z21012" s="61">
        <f>_xll.qlYieldTSDiscount($U$35,Y21012,,Trigger)</f>
        <v>0.31581538995973529</v>
      </c>
    </row>
    <row r="21013" spans="25:26" x14ac:dyDescent="0.25">
      <c r="Y21013" s="63">
        <v>63546</v>
      </c>
      <c r="Z21013" s="61">
        <f>_xll.qlYieldTSDiscount($U$35,Y21013,,Trigger)</f>
        <v>0.31579582868140033</v>
      </c>
    </row>
    <row r="21014" spans="25:26" x14ac:dyDescent="0.25">
      <c r="Y21014" s="63">
        <v>63547</v>
      </c>
      <c r="Z21014" s="61">
        <f>_xll.qlYieldTSDiscount($U$35,Y21014,,Trigger)</f>
        <v>0.31577626774452305</v>
      </c>
    </row>
    <row r="21015" spans="25:26" x14ac:dyDescent="0.25">
      <c r="Y21015" s="63">
        <v>63548</v>
      </c>
      <c r="Z21015" s="61">
        <f>_xll.qlYieldTSDiscount($U$35,Y21015,,Trigger)</f>
        <v>0.31575670714873738</v>
      </c>
    </row>
    <row r="21016" spans="25:26" x14ac:dyDescent="0.25">
      <c r="Y21016" s="63">
        <v>63549</v>
      </c>
      <c r="Z21016" s="61">
        <f>_xll.qlYieldTSDiscount($U$35,Y21016,,Trigger)</f>
        <v>0.31573714689367732</v>
      </c>
    </row>
    <row r="21017" spans="25:26" x14ac:dyDescent="0.25">
      <c r="Y21017" s="63">
        <v>63550</v>
      </c>
      <c r="Z21017" s="61">
        <f>_xll.qlYieldTSDiscount($U$35,Y21017,,Trigger)</f>
        <v>0.31571758697897695</v>
      </c>
    </row>
    <row r="21018" spans="25:26" x14ac:dyDescent="0.25">
      <c r="Y21018" s="63">
        <v>63551</v>
      </c>
      <c r="Z21018" s="61">
        <f>_xll.qlYieldTSDiscount($U$35,Y21018,,Trigger)</f>
        <v>0.31569802740427028</v>
      </c>
    </row>
    <row r="21019" spans="25:26" x14ac:dyDescent="0.25">
      <c r="Y21019" s="63">
        <v>63552</v>
      </c>
      <c r="Z21019" s="61">
        <f>_xll.qlYieldTSDiscount($U$35,Y21019,,Trigger)</f>
        <v>0.31567846816919126</v>
      </c>
    </row>
    <row r="21020" spans="25:26" x14ac:dyDescent="0.25">
      <c r="Y21020" s="63">
        <v>63553</v>
      </c>
      <c r="Z21020" s="61">
        <f>_xll.qlYieldTSDiscount($U$35,Y21020,,Trigger)</f>
        <v>0.31565890927337403</v>
      </c>
    </row>
    <row r="21021" spans="25:26" x14ac:dyDescent="0.25">
      <c r="Y21021" s="63">
        <v>63554</v>
      </c>
      <c r="Z21021" s="61">
        <f>_xll.qlYieldTSDiscount($U$35,Y21021,,Trigger)</f>
        <v>0.31563935071645249</v>
      </c>
    </row>
    <row r="21022" spans="25:26" x14ac:dyDescent="0.25">
      <c r="Y21022" s="63">
        <v>63555</v>
      </c>
      <c r="Z21022" s="61">
        <f>_xll.qlYieldTSDiscount($U$35,Y21022,,Trigger)</f>
        <v>0.31561979249806077</v>
      </c>
    </row>
    <row r="21023" spans="25:26" x14ac:dyDescent="0.25">
      <c r="Y21023" s="63">
        <v>63556</v>
      </c>
      <c r="Z21023" s="61">
        <f>_xll.qlYieldTSDiscount($U$35,Y21023,,Trigger)</f>
        <v>0.31560023461783282</v>
      </c>
    </row>
    <row r="21024" spans="25:26" x14ac:dyDescent="0.25">
      <c r="Y21024" s="63">
        <v>63557</v>
      </c>
      <c r="Z21024" s="61">
        <f>_xll.qlYieldTSDiscount($U$35,Y21024,,Trigger)</f>
        <v>0.31558067707540277</v>
      </c>
    </row>
    <row r="21025" spans="25:26" x14ac:dyDescent="0.25">
      <c r="Y21025" s="63">
        <v>63558</v>
      </c>
      <c r="Z21025" s="61">
        <f>_xll.qlYieldTSDiscount($U$35,Y21025,,Trigger)</f>
        <v>0.31556111987040453</v>
      </c>
    </row>
    <row r="21026" spans="25:26" x14ac:dyDescent="0.25">
      <c r="Y21026" s="63">
        <v>63559</v>
      </c>
      <c r="Z21026" s="61">
        <f>_xll.qlYieldTSDiscount($U$35,Y21026,,Trigger)</f>
        <v>0.3155415630024721</v>
      </c>
    </row>
    <row r="21027" spans="25:26" x14ac:dyDescent="0.25">
      <c r="Y21027" s="63">
        <v>63560</v>
      </c>
      <c r="Z21027" s="61">
        <f>_xll.qlYieldTSDiscount($U$35,Y21027,,Trigger)</f>
        <v>0.31552200647123957</v>
      </c>
    </row>
    <row r="21028" spans="25:26" x14ac:dyDescent="0.25">
      <c r="Y21028" s="63">
        <v>63561</v>
      </c>
      <c r="Z21028" s="61">
        <f>_xll.qlYieldTSDiscount($U$35,Y21028,,Trigger)</f>
        <v>0.315502450276341</v>
      </c>
    </row>
    <row r="21029" spans="25:26" x14ac:dyDescent="0.25">
      <c r="Y21029" s="63">
        <v>63562</v>
      </c>
      <c r="Z21029" s="61">
        <f>_xll.qlYieldTSDiscount($U$35,Y21029,,Trigger)</f>
        <v>0.31548289441741029</v>
      </c>
    </row>
    <row r="21030" spans="25:26" x14ac:dyDescent="0.25">
      <c r="Y21030" s="63">
        <v>63563</v>
      </c>
      <c r="Z21030" s="61">
        <f>_xll.qlYieldTSDiscount($U$35,Y21030,,Trigger)</f>
        <v>0.31546333889408157</v>
      </c>
    </row>
    <row r="21031" spans="25:26" x14ac:dyDescent="0.25">
      <c r="Y21031" s="63">
        <v>63564</v>
      </c>
      <c r="Z21031" s="61">
        <f>_xll.qlYieldTSDiscount($U$35,Y21031,,Trigger)</f>
        <v>0.31544378370598875</v>
      </c>
    </row>
    <row r="21032" spans="25:26" x14ac:dyDescent="0.25">
      <c r="Y21032" s="63">
        <v>63565</v>
      </c>
      <c r="Z21032" s="61">
        <f>_xll.qlYieldTSDiscount($U$35,Y21032,,Trigger)</f>
        <v>0.315424228852766</v>
      </c>
    </row>
    <row r="21033" spans="25:26" x14ac:dyDescent="0.25">
      <c r="Y21033" s="63">
        <v>63566</v>
      </c>
      <c r="Z21033" s="61">
        <f>_xll.qlYieldTSDiscount($U$35,Y21033,,Trigger)</f>
        <v>0.31540467433404729</v>
      </c>
    </row>
    <row r="21034" spans="25:26" x14ac:dyDescent="0.25">
      <c r="Y21034" s="63">
        <v>63567</v>
      </c>
      <c r="Z21034" s="61">
        <f>_xll.qlYieldTSDiscount($U$35,Y21034,,Trigger)</f>
        <v>0.31538512014946651</v>
      </c>
    </row>
    <row r="21035" spans="25:26" x14ac:dyDescent="0.25">
      <c r="Y21035" s="63">
        <v>63568</v>
      </c>
      <c r="Z21035" s="61">
        <f>_xll.qlYieldTSDiscount($U$35,Y21035,,Trigger)</f>
        <v>0.31536556629865792</v>
      </c>
    </row>
    <row r="21036" spans="25:26" x14ac:dyDescent="0.25">
      <c r="Y21036" s="63">
        <v>63569</v>
      </c>
      <c r="Z21036" s="61">
        <f>_xll.qlYieldTSDiscount($U$35,Y21036,,Trigger)</f>
        <v>0.31534601278125535</v>
      </c>
    </row>
    <row r="21037" spans="25:26" x14ac:dyDescent="0.25">
      <c r="Y21037" s="63">
        <v>63570</v>
      </c>
      <c r="Z21037" s="61">
        <f>_xll.qlYieldTSDiscount($U$35,Y21037,,Trigger)</f>
        <v>0.31532645959689287</v>
      </c>
    </row>
    <row r="21038" spans="25:26" x14ac:dyDescent="0.25">
      <c r="Y21038" s="63">
        <v>63571</v>
      </c>
      <c r="Z21038" s="61">
        <f>_xll.qlYieldTSDiscount($U$35,Y21038,,Trigger)</f>
        <v>0.31530690674520451</v>
      </c>
    </row>
    <row r="21039" spans="25:26" x14ac:dyDescent="0.25">
      <c r="Y21039" s="63">
        <v>63572</v>
      </c>
      <c r="Z21039" s="61">
        <f>_xll.qlYieldTSDiscount($U$35,Y21039,,Trigger)</f>
        <v>0.31528735422582427</v>
      </c>
    </row>
    <row r="21040" spans="25:26" x14ac:dyDescent="0.25">
      <c r="Y21040" s="63">
        <v>63573</v>
      </c>
      <c r="Z21040" s="61">
        <f>_xll.qlYieldTSDiscount($U$35,Y21040,,Trigger)</f>
        <v>0.31526780203838634</v>
      </c>
    </row>
    <row r="21041" spans="25:26" x14ac:dyDescent="0.25">
      <c r="Y21041" s="63">
        <v>63574</v>
      </c>
      <c r="Z21041" s="61">
        <f>_xll.qlYieldTSDiscount($U$35,Y21041,,Trigger)</f>
        <v>0.31524825018252445</v>
      </c>
    </row>
    <row r="21042" spans="25:26" x14ac:dyDescent="0.25">
      <c r="Y21042" s="63">
        <v>63575</v>
      </c>
      <c r="Z21042" s="61">
        <f>_xll.qlYieldTSDiscount($U$35,Y21042,,Trigger)</f>
        <v>0.31522869865787284</v>
      </c>
    </row>
    <row r="21043" spans="25:26" x14ac:dyDescent="0.25">
      <c r="Y21043" s="63">
        <v>63576</v>
      </c>
      <c r="Z21043" s="61">
        <f>_xll.qlYieldTSDiscount($U$35,Y21043,,Trigger)</f>
        <v>0.31520914746406542</v>
      </c>
    </row>
    <row r="21044" spans="25:26" x14ac:dyDescent="0.25">
      <c r="Y21044" s="63">
        <v>63577</v>
      </c>
      <c r="Z21044" s="61">
        <f>_xll.qlYieldTSDiscount($U$35,Y21044,,Trigger)</f>
        <v>0.31518959660073625</v>
      </c>
    </row>
    <row r="21045" spans="25:26" x14ac:dyDescent="0.25">
      <c r="Y21045" s="63">
        <v>63578</v>
      </c>
      <c r="Z21045" s="61">
        <f>_xll.qlYieldTSDiscount($U$35,Y21045,,Trigger)</f>
        <v>0.31517004606751942</v>
      </c>
    </row>
    <row r="21046" spans="25:26" x14ac:dyDescent="0.25">
      <c r="Y21046" s="63">
        <v>63579</v>
      </c>
      <c r="Z21046" s="61">
        <f>_xll.qlYieldTSDiscount($U$35,Y21046,,Trigger)</f>
        <v>0.31515049586404886</v>
      </c>
    </row>
    <row r="21047" spans="25:26" x14ac:dyDescent="0.25">
      <c r="Y21047" s="63">
        <v>63580</v>
      </c>
      <c r="Z21047" s="61">
        <f>_xll.qlYieldTSDiscount($U$35,Y21047,,Trigger)</f>
        <v>0.31513094598995867</v>
      </c>
    </row>
    <row r="21048" spans="25:26" x14ac:dyDescent="0.25">
      <c r="Y21048" s="63">
        <v>63581</v>
      </c>
      <c r="Z21048" s="61">
        <f>_xll.qlYieldTSDiscount($U$35,Y21048,,Trigger)</f>
        <v>0.31511139644488279</v>
      </c>
    </row>
    <row r="21049" spans="25:26" x14ac:dyDescent="0.25">
      <c r="Y21049" s="63">
        <v>63582</v>
      </c>
      <c r="Z21049" s="61">
        <f>_xll.qlYieldTSDiscount($U$35,Y21049,,Trigger)</f>
        <v>0.31509184722845524</v>
      </c>
    </row>
    <row r="21050" spans="25:26" x14ac:dyDescent="0.25">
      <c r="Y21050" s="63">
        <v>63583</v>
      </c>
      <c r="Z21050" s="61">
        <f>_xll.qlYieldTSDiscount($U$35,Y21050,,Trigger)</f>
        <v>0.31507229834031014</v>
      </c>
    </row>
    <row r="21051" spans="25:26" x14ac:dyDescent="0.25">
      <c r="Y21051" s="63">
        <v>63584</v>
      </c>
      <c r="Z21051" s="61">
        <f>_xll.qlYieldTSDiscount($U$35,Y21051,,Trigger)</f>
        <v>0.3150527497800813</v>
      </c>
    </row>
    <row r="21052" spans="25:26" x14ac:dyDescent="0.25">
      <c r="Y21052" s="63">
        <v>63585</v>
      </c>
      <c r="Z21052" s="61">
        <f>_xll.qlYieldTSDiscount($U$35,Y21052,,Trigger)</f>
        <v>0.31503320154740305</v>
      </c>
    </row>
    <row r="21053" spans="25:26" x14ac:dyDescent="0.25">
      <c r="Y21053" s="63">
        <v>63586</v>
      </c>
      <c r="Z21053" s="61">
        <f>_xll.qlYieldTSDiscount($U$35,Y21053,,Trigger)</f>
        <v>0.31501365364190925</v>
      </c>
    </row>
    <row r="21054" spans="25:26" x14ac:dyDescent="0.25">
      <c r="Y21054" s="63">
        <v>63587</v>
      </c>
      <c r="Z21054" s="61">
        <f>_xll.qlYieldTSDiscount($U$35,Y21054,,Trigger)</f>
        <v>0.31499410606323386</v>
      </c>
    </row>
    <row r="21055" spans="25:26" x14ac:dyDescent="0.25">
      <c r="Y21055" s="63">
        <v>63588</v>
      </c>
      <c r="Z21055" s="61">
        <f>_xll.qlYieldTSDiscount($U$35,Y21055,,Trigger)</f>
        <v>0.314974558811011</v>
      </c>
    </row>
    <row r="21056" spans="25:26" x14ac:dyDescent="0.25">
      <c r="Y21056" s="63">
        <v>63589</v>
      </c>
      <c r="Z21056" s="61">
        <f>_xll.qlYieldTSDiscount($U$35,Y21056,,Trigger)</f>
        <v>0.31495501188487462</v>
      </c>
    </row>
    <row r="21057" spans="25:26" x14ac:dyDescent="0.25">
      <c r="Y21057" s="63">
        <v>63590</v>
      </c>
      <c r="Z21057" s="61">
        <f>_xll.qlYieldTSDiscount($U$35,Y21057,,Trigger)</f>
        <v>0.31493546528445882</v>
      </c>
    </row>
    <row r="21058" spans="25:26" x14ac:dyDescent="0.25">
      <c r="Y21058" s="63">
        <v>63591</v>
      </c>
      <c r="Z21058" s="61">
        <f>_xll.qlYieldTSDiscount($U$35,Y21058,,Trigger)</f>
        <v>0.31491591900939758</v>
      </c>
    </row>
    <row r="21059" spans="25:26" x14ac:dyDescent="0.25">
      <c r="Y21059" s="63">
        <v>63592</v>
      </c>
      <c r="Z21059" s="61">
        <f>_xll.qlYieldTSDiscount($U$35,Y21059,,Trigger)</f>
        <v>0.31489637305932489</v>
      </c>
    </row>
    <row r="21060" spans="25:26" x14ac:dyDescent="0.25">
      <c r="Y21060" s="63">
        <v>63593</v>
      </c>
      <c r="Z21060" s="61">
        <f>_xll.qlYieldTSDiscount($U$35,Y21060,,Trigger)</f>
        <v>0.31487682743387485</v>
      </c>
    </row>
    <row r="21061" spans="25:26" x14ac:dyDescent="0.25">
      <c r="Y21061" s="63">
        <v>63594</v>
      </c>
      <c r="Z21061" s="61">
        <f>_xll.qlYieldTSDiscount($U$35,Y21061,,Trigger)</f>
        <v>0.31485728213268138</v>
      </c>
    </row>
    <row r="21062" spans="25:26" x14ac:dyDescent="0.25">
      <c r="Y21062" s="63">
        <v>63595</v>
      </c>
      <c r="Z21062" s="61">
        <f>_xll.qlYieldTSDiscount($U$35,Y21062,,Trigger)</f>
        <v>0.31483773715537866</v>
      </c>
    </row>
    <row r="21063" spans="25:26" x14ac:dyDescent="0.25">
      <c r="Y21063" s="63">
        <v>63596</v>
      </c>
      <c r="Z21063" s="61">
        <f>_xll.qlYieldTSDiscount($U$35,Y21063,,Trigger)</f>
        <v>0.31481819250160054</v>
      </c>
    </row>
    <row r="21064" spans="25:26" x14ac:dyDescent="0.25">
      <c r="Y21064" s="63">
        <v>63597</v>
      </c>
      <c r="Z21064" s="61">
        <f>_xll.qlYieldTSDiscount($U$35,Y21064,,Trigger)</f>
        <v>0.31479864817098113</v>
      </c>
    </row>
    <row r="21065" spans="25:26" x14ac:dyDescent="0.25">
      <c r="Y21065" s="63">
        <v>63598</v>
      </c>
      <c r="Z21065" s="61">
        <f>_xll.qlYieldTSDiscount($U$35,Y21065,,Trigger)</f>
        <v>0.31477910416315447</v>
      </c>
    </row>
    <row r="21066" spans="25:26" x14ac:dyDescent="0.25">
      <c r="Y21066" s="63">
        <v>63599</v>
      </c>
      <c r="Z21066" s="61">
        <f>_xll.qlYieldTSDiscount($U$35,Y21066,,Trigger)</f>
        <v>0.31475956047775444</v>
      </c>
    </row>
    <row r="21067" spans="25:26" x14ac:dyDescent="0.25">
      <c r="Y21067" s="63">
        <v>63600</v>
      </c>
      <c r="Z21067" s="61">
        <f>_xll.qlYieldTSDiscount($U$35,Y21067,,Trigger)</f>
        <v>0.31474001711441524</v>
      </c>
    </row>
    <row r="21068" spans="25:26" x14ac:dyDescent="0.25">
      <c r="Y21068" s="63">
        <v>63601</v>
      </c>
      <c r="Z21068" s="61">
        <f>_xll.qlYieldTSDiscount($U$35,Y21068,,Trigger)</f>
        <v>0.31472047407277082</v>
      </c>
    </row>
    <row r="21069" spans="25:26" x14ac:dyDescent="0.25">
      <c r="Y21069" s="63">
        <v>63602</v>
      </c>
      <c r="Z21069" s="61">
        <f>_xll.qlYieldTSDiscount($U$35,Y21069,,Trigger)</f>
        <v>0.31470093135245525</v>
      </c>
    </row>
    <row r="21070" spans="25:26" x14ac:dyDescent="0.25">
      <c r="Y21070" s="63">
        <v>63603</v>
      </c>
      <c r="Z21070" s="61">
        <f>_xll.qlYieldTSDiscount($U$35,Y21070,,Trigger)</f>
        <v>0.31468138895310244</v>
      </c>
    </row>
    <row r="21071" spans="25:26" x14ac:dyDescent="0.25">
      <c r="Y21071" s="63">
        <v>63604</v>
      </c>
      <c r="Z21071" s="61">
        <f>_xll.qlYieldTSDiscount($U$35,Y21071,,Trigger)</f>
        <v>0.31466184687434645</v>
      </c>
    </row>
    <row r="21072" spans="25:26" x14ac:dyDescent="0.25">
      <c r="Y21072" s="63">
        <v>63605</v>
      </c>
      <c r="Z21072" s="61">
        <f>_xll.qlYieldTSDiscount($U$35,Y21072,,Trigger)</f>
        <v>0.31464230511582136</v>
      </c>
    </row>
    <row r="21073" spans="25:26" x14ac:dyDescent="0.25">
      <c r="Y21073" s="63">
        <v>63606</v>
      </c>
      <c r="Z21073" s="61">
        <f>_xll.qlYieldTSDiscount($U$35,Y21073,,Trigger)</f>
        <v>0.31462276367716119</v>
      </c>
    </row>
    <row r="21074" spans="25:26" x14ac:dyDescent="0.25">
      <c r="Y21074" s="63">
        <v>63607</v>
      </c>
      <c r="Z21074" s="61">
        <f>_xll.qlYieldTSDiscount($U$35,Y21074,,Trigger)</f>
        <v>0.31460322255799988</v>
      </c>
    </row>
    <row r="21075" spans="25:26" x14ac:dyDescent="0.25">
      <c r="Y21075" s="63">
        <v>63608</v>
      </c>
      <c r="Z21075" s="61">
        <f>_xll.qlYieldTSDiscount($U$35,Y21075,,Trigger)</f>
        <v>0.31458368175797163</v>
      </c>
    </row>
    <row r="21076" spans="25:26" x14ac:dyDescent="0.25">
      <c r="Y21076" s="63">
        <v>63609</v>
      </c>
      <c r="Z21076" s="61">
        <f>_xll.qlYieldTSDiscount($U$35,Y21076,,Trigger)</f>
        <v>0.31456414127671017</v>
      </c>
    </row>
    <row r="21077" spans="25:26" x14ac:dyDescent="0.25">
      <c r="Y21077" s="63">
        <v>63610</v>
      </c>
      <c r="Z21077" s="61">
        <f>_xll.qlYieldTSDiscount($U$35,Y21077,,Trigger)</f>
        <v>0.31454460111384969</v>
      </c>
    </row>
    <row r="21078" spans="25:26" x14ac:dyDescent="0.25">
      <c r="Y21078" s="63">
        <v>63611</v>
      </c>
      <c r="Z21078" s="61">
        <f>_xll.qlYieldTSDiscount($U$35,Y21078,,Trigger)</f>
        <v>0.31452506126902435</v>
      </c>
    </row>
    <row r="21079" spans="25:26" x14ac:dyDescent="0.25">
      <c r="Y21079" s="63">
        <v>63612</v>
      </c>
      <c r="Z21079" s="61">
        <f>_xll.qlYieldTSDiscount($U$35,Y21079,,Trigger)</f>
        <v>0.31450552174186797</v>
      </c>
    </row>
    <row r="21080" spans="25:26" x14ac:dyDescent="0.25">
      <c r="Y21080" s="63">
        <v>63613</v>
      </c>
      <c r="Z21080" s="61">
        <f>_xll.qlYieldTSDiscount($U$35,Y21080,,Trigger)</f>
        <v>0.3144859825320146</v>
      </c>
    </row>
    <row r="21081" spans="25:26" x14ac:dyDescent="0.25">
      <c r="Y21081" s="63">
        <v>63614</v>
      </c>
      <c r="Z21081" s="61">
        <f>_xll.qlYieldTSDiscount($U$35,Y21081,,Trigger)</f>
        <v>0.31446644363909837</v>
      </c>
    </row>
    <row r="21082" spans="25:26" x14ac:dyDescent="0.25">
      <c r="Y21082" s="63">
        <v>63615</v>
      </c>
      <c r="Z21082" s="61">
        <f>_xll.qlYieldTSDiscount($U$35,Y21082,,Trigger)</f>
        <v>0.31444690506275319</v>
      </c>
    </row>
    <row r="21083" spans="25:26" x14ac:dyDescent="0.25">
      <c r="Y21083" s="63">
        <v>63616</v>
      </c>
      <c r="Z21083" s="61">
        <f>_xll.qlYieldTSDiscount($U$35,Y21083,,Trigger)</f>
        <v>0.31442736680261307</v>
      </c>
    </row>
    <row r="21084" spans="25:26" x14ac:dyDescent="0.25">
      <c r="Y21084" s="63">
        <v>63617</v>
      </c>
      <c r="Z21084" s="61">
        <f>_xll.qlYieldTSDiscount($U$35,Y21084,,Trigger)</f>
        <v>0.31440782885831209</v>
      </c>
    </row>
    <row r="21085" spans="25:26" x14ac:dyDescent="0.25">
      <c r="Y21085" s="63">
        <v>63618</v>
      </c>
      <c r="Z21085" s="61">
        <f>_xll.qlYieldTSDiscount($U$35,Y21085,,Trigger)</f>
        <v>0.31438829122948431</v>
      </c>
    </row>
    <row r="21086" spans="25:26" x14ac:dyDescent="0.25">
      <c r="Y21086" s="63">
        <v>63619</v>
      </c>
      <c r="Z21086" s="61">
        <f>_xll.qlYieldTSDiscount($U$35,Y21086,,Trigger)</f>
        <v>0.31436875391576369</v>
      </c>
    </row>
    <row r="21087" spans="25:26" x14ac:dyDescent="0.25">
      <c r="Y21087" s="63">
        <v>63620</v>
      </c>
      <c r="Z21087" s="61">
        <f>_xll.qlYieldTSDiscount($U$35,Y21087,,Trigger)</f>
        <v>0.31434921691678425</v>
      </c>
    </row>
    <row r="21088" spans="25:26" x14ac:dyDescent="0.25">
      <c r="Y21088" s="63">
        <v>63621</v>
      </c>
      <c r="Z21088" s="61">
        <f>_xll.qlYieldTSDiscount($U$35,Y21088,,Trigger)</f>
        <v>0.31432968023218005</v>
      </c>
    </row>
    <row r="21089" spans="25:26" x14ac:dyDescent="0.25">
      <c r="Y21089" s="63">
        <v>63622</v>
      </c>
      <c r="Z21089" s="61">
        <f>_xll.qlYieldTSDiscount($U$35,Y21089,,Trigger)</f>
        <v>0.31431014386158507</v>
      </c>
    </row>
    <row r="21090" spans="25:26" x14ac:dyDescent="0.25">
      <c r="Y21090" s="63">
        <v>63623</v>
      </c>
      <c r="Z21090" s="61">
        <f>_xll.qlYieldTSDiscount($U$35,Y21090,,Trigger)</f>
        <v>0.31429060780463336</v>
      </c>
    </row>
    <row r="21091" spans="25:26" x14ac:dyDescent="0.25">
      <c r="Y21091" s="63">
        <v>63624</v>
      </c>
      <c r="Z21091" s="61">
        <f>_xll.qlYieldTSDiscount($U$35,Y21091,,Trigger)</f>
        <v>0.31427107206095894</v>
      </c>
    </row>
    <row r="21092" spans="25:26" x14ac:dyDescent="0.25">
      <c r="Y21092" s="63">
        <v>63625</v>
      </c>
      <c r="Z21092" s="61">
        <f>_xll.qlYieldTSDiscount($U$35,Y21092,,Trigger)</f>
        <v>0.31425153663019578</v>
      </c>
    </row>
    <row r="21093" spans="25:26" x14ac:dyDescent="0.25">
      <c r="Y21093" s="63">
        <v>63626</v>
      </c>
      <c r="Z21093" s="61">
        <f>_xll.qlYieldTSDiscount($U$35,Y21093,,Trigger)</f>
        <v>0.314232001511978</v>
      </c>
    </row>
    <row r="21094" spans="25:26" x14ac:dyDescent="0.25">
      <c r="Y21094" s="63">
        <v>63627</v>
      </c>
      <c r="Z21094" s="61">
        <f>_xll.qlYieldTSDiscount($U$35,Y21094,,Trigger)</f>
        <v>0.31421246670593961</v>
      </c>
    </row>
    <row r="21095" spans="25:26" x14ac:dyDescent="0.25">
      <c r="Y21095" s="63">
        <v>63628</v>
      </c>
      <c r="Z21095" s="61">
        <f>_xll.qlYieldTSDiscount($U$35,Y21095,,Trigger)</f>
        <v>0.31419293221171452</v>
      </c>
    </row>
    <row r="21096" spans="25:26" x14ac:dyDescent="0.25">
      <c r="Y21096" s="63">
        <v>63629</v>
      </c>
      <c r="Z21096" s="61">
        <f>_xll.qlYieldTSDiscount($U$35,Y21096,,Trigger)</f>
        <v>0.31417339802893685</v>
      </c>
    </row>
    <row r="21097" spans="25:26" x14ac:dyDescent="0.25">
      <c r="Y21097" s="63">
        <v>63630</v>
      </c>
      <c r="Z21097" s="61">
        <f>_xll.qlYieldTSDiscount($U$35,Y21097,,Trigger)</f>
        <v>0.31415386415724056</v>
      </c>
    </row>
    <row r="21098" spans="25:26" x14ac:dyDescent="0.25">
      <c r="Y21098" s="63">
        <v>63631</v>
      </c>
      <c r="Z21098" s="61">
        <f>_xll.qlYieldTSDiscount($U$35,Y21098,,Trigger)</f>
        <v>0.31413433059625973</v>
      </c>
    </row>
    <row r="21099" spans="25:26" x14ac:dyDescent="0.25">
      <c r="Y21099" s="63">
        <v>63632</v>
      </c>
      <c r="Z21099" s="61">
        <f>_xll.qlYieldTSDiscount($U$35,Y21099,,Trigger)</f>
        <v>0.31411479734562836</v>
      </c>
    </row>
    <row r="21100" spans="25:26" x14ac:dyDescent="0.25">
      <c r="Y21100" s="63">
        <v>63633</v>
      </c>
      <c r="Z21100" s="61">
        <f>_xll.qlYieldTSDiscount($U$35,Y21100,,Trigger)</f>
        <v>0.31409526440498048</v>
      </c>
    </row>
    <row r="21101" spans="25:26" x14ac:dyDescent="0.25">
      <c r="Y21101" s="63">
        <v>63634</v>
      </c>
      <c r="Z21101" s="61">
        <f>_xll.qlYieldTSDiscount($U$35,Y21101,,Trigger)</f>
        <v>0.31407573177395015</v>
      </c>
    </row>
    <row r="21102" spans="25:26" x14ac:dyDescent="0.25">
      <c r="Y21102" s="63">
        <v>63635</v>
      </c>
      <c r="Z21102" s="61">
        <f>_xll.qlYieldTSDiscount($U$35,Y21102,,Trigger)</f>
        <v>0.31405619945217128</v>
      </c>
    </row>
    <row r="21103" spans="25:26" x14ac:dyDescent="0.25">
      <c r="Y21103" s="63">
        <v>63636</v>
      </c>
      <c r="Z21103" s="61">
        <f>_xll.qlYieldTSDiscount($U$35,Y21103,,Trigger)</f>
        <v>0.31403666743927794</v>
      </c>
    </row>
    <row r="21104" spans="25:26" x14ac:dyDescent="0.25">
      <c r="Y21104" s="63">
        <v>63637</v>
      </c>
      <c r="Z21104" s="61">
        <f>_xll.qlYieldTSDiscount($U$35,Y21104,,Trigger)</f>
        <v>0.31401713573490425</v>
      </c>
    </row>
    <row r="21105" spans="25:26" x14ac:dyDescent="0.25">
      <c r="Y21105" s="63">
        <v>63638</v>
      </c>
      <c r="Z21105" s="61">
        <f>_xll.qlYieldTSDiscount($U$35,Y21105,,Trigger)</f>
        <v>0.31399760433868407</v>
      </c>
    </row>
    <row r="21106" spans="25:26" x14ac:dyDescent="0.25">
      <c r="Y21106" s="63">
        <v>63639</v>
      </c>
      <c r="Z21106" s="61">
        <f>_xll.qlYieldTSDiscount($U$35,Y21106,,Trigger)</f>
        <v>0.31397807325025151</v>
      </c>
    </row>
    <row r="21107" spans="25:26" x14ac:dyDescent="0.25">
      <c r="Y21107" s="63">
        <v>63640</v>
      </c>
      <c r="Z21107" s="61">
        <f>_xll.qlYieldTSDiscount($U$35,Y21107,,Trigger)</f>
        <v>0.3139585424692406</v>
      </c>
    </row>
    <row r="21108" spans="25:26" x14ac:dyDescent="0.25">
      <c r="Y21108" s="63">
        <v>63641</v>
      </c>
      <c r="Z21108" s="61">
        <f>_xll.qlYieldTSDiscount($U$35,Y21108,,Trigger)</f>
        <v>0.31393901199528534</v>
      </c>
    </row>
    <row r="21109" spans="25:26" x14ac:dyDescent="0.25">
      <c r="Y21109" s="63">
        <v>63642</v>
      </c>
      <c r="Z21109" s="61">
        <f>_xll.qlYieldTSDiscount($U$35,Y21109,,Trigger)</f>
        <v>0.31391948182801976</v>
      </c>
    </row>
    <row r="21110" spans="25:26" x14ac:dyDescent="0.25">
      <c r="Y21110" s="63">
        <v>63643</v>
      </c>
      <c r="Z21110" s="61">
        <f>_xll.qlYieldTSDiscount($U$35,Y21110,,Trigger)</f>
        <v>0.31389995196707787</v>
      </c>
    </row>
    <row r="21111" spans="25:26" x14ac:dyDescent="0.25">
      <c r="Y21111" s="63">
        <v>63644</v>
      </c>
      <c r="Z21111" s="61">
        <f>_xll.qlYieldTSDiscount($U$35,Y21111,,Trigger)</f>
        <v>0.31388042241209374</v>
      </c>
    </row>
    <row r="21112" spans="25:26" x14ac:dyDescent="0.25">
      <c r="Y21112" s="63">
        <v>63645</v>
      </c>
      <c r="Z21112" s="61">
        <f>_xll.qlYieldTSDiscount($U$35,Y21112,,Trigger)</f>
        <v>0.31386089316270133</v>
      </c>
    </row>
    <row r="21113" spans="25:26" x14ac:dyDescent="0.25">
      <c r="Y21113" s="63">
        <v>63646</v>
      </c>
      <c r="Z21113" s="61">
        <f>_xll.qlYieldTSDiscount($U$35,Y21113,,Trigger)</f>
        <v>0.31384136421853465</v>
      </c>
    </row>
    <row r="21114" spans="25:26" x14ac:dyDescent="0.25">
      <c r="Y21114" s="63">
        <v>63647</v>
      </c>
      <c r="Z21114" s="61">
        <f>_xll.qlYieldTSDiscount($U$35,Y21114,,Trigger)</f>
        <v>0.31382183557922783</v>
      </c>
    </row>
    <row r="21115" spans="25:26" x14ac:dyDescent="0.25">
      <c r="Y21115" s="63">
        <v>63648</v>
      </c>
      <c r="Z21115" s="61">
        <f>_xll.qlYieldTSDiscount($U$35,Y21115,,Trigger)</f>
        <v>0.31380230724441477</v>
      </c>
    </row>
    <row r="21116" spans="25:26" x14ac:dyDescent="0.25">
      <c r="Y21116" s="63">
        <v>63649</v>
      </c>
      <c r="Z21116" s="61">
        <f>_xll.qlYieldTSDiscount($U$35,Y21116,,Trigger)</f>
        <v>0.31378277921372955</v>
      </c>
    </row>
    <row r="21117" spans="25:26" x14ac:dyDescent="0.25">
      <c r="Y21117" s="63">
        <v>63650</v>
      </c>
      <c r="Z21117" s="61">
        <f>_xll.qlYieldTSDiscount($U$35,Y21117,,Trigger)</f>
        <v>0.31376325148680617</v>
      </c>
    </row>
    <row r="21118" spans="25:26" x14ac:dyDescent="0.25">
      <c r="Y21118" s="63">
        <v>63651</v>
      </c>
      <c r="Z21118" s="61">
        <f>_xll.qlYieldTSDiscount($U$35,Y21118,,Trigger)</f>
        <v>0.31374372406327866</v>
      </c>
    </row>
    <row r="21119" spans="25:26" x14ac:dyDescent="0.25">
      <c r="Y21119" s="63">
        <v>63652</v>
      </c>
      <c r="Z21119" s="61">
        <f>_xll.qlYieldTSDiscount($U$35,Y21119,,Trigger)</f>
        <v>0.31372419694278109</v>
      </c>
    </row>
    <row r="21120" spans="25:26" x14ac:dyDescent="0.25">
      <c r="Y21120" s="63">
        <v>63653</v>
      </c>
      <c r="Z21120" s="61">
        <f>_xll.qlYieldTSDiscount($U$35,Y21120,,Trigger)</f>
        <v>0.3137046701249474</v>
      </c>
    </row>
    <row r="21121" spans="25:26" x14ac:dyDescent="0.25">
      <c r="Y21121" s="63">
        <v>63654</v>
      </c>
      <c r="Z21121" s="61">
        <f>_xll.qlYieldTSDiscount($U$35,Y21121,,Trigger)</f>
        <v>0.31368514360941169</v>
      </c>
    </row>
    <row r="21122" spans="25:26" x14ac:dyDescent="0.25">
      <c r="Y21122" s="63">
        <v>63655</v>
      </c>
      <c r="Z21122" s="61">
        <f>_xll.qlYieldTSDiscount($U$35,Y21122,,Trigger)</f>
        <v>0.31366561739580789</v>
      </c>
    </row>
    <row r="21123" spans="25:26" x14ac:dyDescent="0.25">
      <c r="Y21123" s="63">
        <v>63656</v>
      </c>
      <c r="Z21123" s="61">
        <f>_xll.qlYieldTSDiscount($U$35,Y21123,,Trigger)</f>
        <v>0.31364609148377015</v>
      </c>
    </row>
    <row r="21124" spans="25:26" x14ac:dyDescent="0.25">
      <c r="Y21124" s="63">
        <v>63657</v>
      </c>
      <c r="Z21124" s="61">
        <f>_xll.qlYieldTSDiscount($U$35,Y21124,,Trigger)</f>
        <v>0.31362656587293236</v>
      </c>
    </row>
    <row r="21125" spans="25:26" x14ac:dyDescent="0.25">
      <c r="Y21125" s="63">
        <v>63658</v>
      </c>
      <c r="Z21125" s="61">
        <f>_xll.qlYieldTSDiscount($U$35,Y21125,,Trigger)</f>
        <v>0.31360704056292849</v>
      </c>
    </row>
    <row r="21126" spans="25:26" x14ac:dyDescent="0.25">
      <c r="Y21126" s="63">
        <v>63659</v>
      </c>
      <c r="Z21126" s="61">
        <f>_xll.qlYieldTSDiscount($U$35,Y21126,,Trigger)</f>
        <v>0.31358751555339281</v>
      </c>
    </row>
    <row r="21127" spans="25:26" x14ac:dyDescent="0.25">
      <c r="Y21127" s="63">
        <v>63660</v>
      </c>
      <c r="Z21127" s="61">
        <f>_xll.qlYieldTSDiscount($U$35,Y21127,,Trigger)</f>
        <v>0.3135679908439592</v>
      </c>
    </row>
    <row r="21128" spans="25:26" x14ac:dyDescent="0.25">
      <c r="Y21128" s="63">
        <v>63661</v>
      </c>
      <c r="Z21128" s="61">
        <f>_xll.qlYieldTSDiscount($U$35,Y21128,,Trigger)</f>
        <v>0.31354846643426165</v>
      </c>
    </row>
    <row r="21129" spans="25:26" x14ac:dyDescent="0.25">
      <c r="Y21129" s="63">
        <v>63662</v>
      </c>
      <c r="Z21129" s="61">
        <f>_xll.qlYieldTSDiscount($U$35,Y21129,,Trigger)</f>
        <v>0.31352894232393419</v>
      </c>
    </row>
    <row r="21130" spans="25:26" x14ac:dyDescent="0.25">
      <c r="Y21130" s="63">
        <v>63663</v>
      </c>
      <c r="Z21130" s="61">
        <f>_xll.qlYieldTSDiscount($U$35,Y21130,,Trigger)</f>
        <v>0.31350941851261094</v>
      </c>
    </row>
    <row r="21131" spans="25:26" x14ac:dyDescent="0.25">
      <c r="Y21131" s="63">
        <v>63664</v>
      </c>
      <c r="Z21131" s="61">
        <f>_xll.qlYieldTSDiscount($U$35,Y21131,,Trigger)</f>
        <v>0.3134898949999258</v>
      </c>
    </row>
    <row r="21132" spans="25:26" x14ac:dyDescent="0.25">
      <c r="Y21132" s="63">
        <v>63665</v>
      </c>
      <c r="Z21132" s="61">
        <f>_xll.qlYieldTSDiscount($U$35,Y21132,,Trigger)</f>
        <v>0.31347037178551279</v>
      </c>
    </row>
    <row r="21133" spans="25:26" x14ac:dyDescent="0.25">
      <c r="Y21133" s="63">
        <v>63666</v>
      </c>
      <c r="Z21133" s="61">
        <f>_xll.qlYieldTSDiscount($U$35,Y21133,,Trigger)</f>
        <v>0.31345084886900609</v>
      </c>
    </row>
    <row r="21134" spans="25:26" x14ac:dyDescent="0.25">
      <c r="Y21134" s="63">
        <v>63667</v>
      </c>
      <c r="Z21134" s="61">
        <f>_xll.qlYieldTSDiscount($U$35,Y21134,,Trigger)</f>
        <v>0.31343132625003955</v>
      </c>
    </row>
    <row r="21135" spans="25:26" x14ac:dyDescent="0.25">
      <c r="Y21135" s="63">
        <v>63668</v>
      </c>
      <c r="Z21135" s="61">
        <f>_xll.qlYieldTSDiscount($U$35,Y21135,,Trigger)</f>
        <v>0.31341180392824725</v>
      </c>
    </row>
    <row r="21136" spans="25:26" x14ac:dyDescent="0.25">
      <c r="Y21136" s="63">
        <v>63669</v>
      </c>
      <c r="Z21136" s="61">
        <f>_xll.qlYieldTSDiscount($U$35,Y21136,,Trigger)</f>
        <v>0.31339228190326324</v>
      </c>
    </row>
    <row r="21137" spans="25:26" x14ac:dyDescent="0.25">
      <c r="Y21137" s="63">
        <v>63670</v>
      </c>
      <c r="Z21137" s="61">
        <f>_xll.qlYieldTSDiscount($U$35,Y21137,,Trigger)</f>
        <v>0.31337276017472149</v>
      </c>
    </row>
    <row r="21138" spans="25:26" x14ac:dyDescent="0.25">
      <c r="Y21138" s="63">
        <v>63671</v>
      </c>
      <c r="Z21138" s="61">
        <f>_xll.qlYieldTSDiscount($U$35,Y21138,,Trigger)</f>
        <v>0.31335323874225607</v>
      </c>
    </row>
    <row r="21139" spans="25:26" x14ac:dyDescent="0.25">
      <c r="Y21139" s="63">
        <v>63672</v>
      </c>
      <c r="Z21139" s="61">
        <f>_xll.qlYieldTSDiscount($U$35,Y21139,,Trigger)</f>
        <v>0.31333371760550099</v>
      </c>
    </row>
    <row r="21140" spans="25:26" x14ac:dyDescent="0.25">
      <c r="Y21140" s="63">
        <v>63673</v>
      </c>
      <c r="Z21140" s="61">
        <f>_xll.qlYieldTSDiscount($U$35,Y21140,,Trigger)</f>
        <v>0.31331419676409028</v>
      </c>
    </row>
    <row r="21141" spans="25:26" x14ac:dyDescent="0.25">
      <c r="Y21141" s="63">
        <v>63674</v>
      </c>
      <c r="Z21141" s="61">
        <f>_xll.qlYieldTSDiscount($U$35,Y21141,,Trigger)</f>
        <v>0.31329467621765794</v>
      </c>
    </row>
    <row r="21142" spans="25:26" x14ac:dyDescent="0.25">
      <c r="Y21142" s="63">
        <v>63675</v>
      </c>
      <c r="Z21142" s="61">
        <f>_xll.qlYieldTSDiscount($U$35,Y21142,,Trigger)</f>
        <v>0.31327515596583799</v>
      </c>
    </row>
    <row r="21143" spans="25:26" x14ac:dyDescent="0.25">
      <c r="Y21143" s="63">
        <v>63676</v>
      </c>
      <c r="Z21143" s="61">
        <f>_xll.qlYieldTSDiscount($U$35,Y21143,,Trigger)</f>
        <v>0.3132556360082645</v>
      </c>
    </row>
    <row r="21144" spans="25:26" x14ac:dyDescent="0.25">
      <c r="Y21144" s="63">
        <v>63677</v>
      </c>
      <c r="Z21144" s="61">
        <f>_xll.qlYieldTSDiscount($U$35,Y21144,,Trigger)</f>
        <v>0.31323611634457138</v>
      </c>
    </row>
    <row r="21145" spans="25:26" x14ac:dyDescent="0.25">
      <c r="Y21145" s="63">
        <v>63678</v>
      </c>
      <c r="Z21145" s="61">
        <f>_xll.qlYieldTSDiscount($U$35,Y21145,,Trigger)</f>
        <v>0.31321659697439269</v>
      </c>
    </row>
    <row r="21146" spans="25:26" x14ac:dyDescent="0.25">
      <c r="Y21146" s="63">
        <v>63679</v>
      </c>
      <c r="Z21146" s="61">
        <f>_xll.qlYieldTSDiscount($U$35,Y21146,,Trigger)</f>
        <v>0.31319707789736256</v>
      </c>
    </row>
    <row r="21147" spans="25:26" x14ac:dyDescent="0.25">
      <c r="Y21147" s="63">
        <v>63680</v>
      </c>
      <c r="Z21147" s="61">
        <f>_xll.qlYieldTSDiscount($U$35,Y21147,,Trigger)</f>
        <v>0.31317755911311496</v>
      </c>
    </row>
    <row r="21148" spans="25:26" x14ac:dyDescent="0.25">
      <c r="Y21148" s="63">
        <v>63681</v>
      </c>
      <c r="Z21148" s="61">
        <f>_xll.qlYieldTSDiscount($U$35,Y21148,,Trigger)</f>
        <v>0.31315804062128388</v>
      </c>
    </row>
    <row r="21149" spans="25:26" x14ac:dyDescent="0.25">
      <c r="Y21149" s="63">
        <v>63682</v>
      </c>
      <c r="Z21149" s="61">
        <f>_xll.qlYieldTSDiscount($U$35,Y21149,,Trigger)</f>
        <v>0.31313852242150331</v>
      </c>
    </row>
    <row r="21150" spans="25:26" x14ac:dyDescent="0.25">
      <c r="Y21150" s="63">
        <v>63683</v>
      </c>
      <c r="Z21150" s="61">
        <f>_xll.qlYieldTSDiscount($U$35,Y21150,,Trigger)</f>
        <v>0.31311900451340735</v>
      </c>
    </row>
    <row r="21151" spans="25:26" x14ac:dyDescent="0.25">
      <c r="Y21151" s="63">
        <v>63684</v>
      </c>
      <c r="Z21151" s="61">
        <f>_xll.qlYieldTSDiscount($U$35,Y21151,,Trigger)</f>
        <v>0.31309948689662992</v>
      </c>
    </row>
    <row r="21152" spans="25:26" x14ac:dyDescent="0.25">
      <c r="Y21152" s="63">
        <v>63685</v>
      </c>
      <c r="Z21152" s="61">
        <f>_xll.qlYieldTSDiscount($U$35,Y21152,,Trigger)</f>
        <v>0.31307996957080519</v>
      </c>
    </row>
    <row r="21153" spans="25:26" x14ac:dyDescent="0.25">
      <c r="Y21153" s="63">
        <v>63686</v>
      </c>
      <c r="Z21153" s="61">
        <f>_xll.qlYieldTSDiscount($U$35,Y21153,,Trigger)</f>
        <v>0.31306045253556708</v>
      </c>
    </row>
    <row r="21154" spans="25:26" x14ac:dyDescent="0.25">
      <c r="Y21154" s="63">
        <v>63687</v>
      </c>
      <c r="Z21154" s="61">
        <f>_xll.qlYieldTSDiscount($U$35,Y21154,,Trigger)</f>
        <v>0.31304093579054965</v>
      </c>
    </row>
    <row r="21155" spans="25:26" x14ac:dyDescent="0.25">
      <c r="Y21155" s="63">
        <v>63688</v>
      </c>
      <c r="Z21155" s="61">
        <f>_xll.qlYieldTSDiscount($U$35,Y21155,,Trigger)</f>
        <v>0.31302141933538685</v>
      </c>
    </row>
    <row r="21156" spans="25:26" x14ac:dyDescent="0.25">
      <c r="Y21156" s="63">
        <v>63689</v>
      </c>
      <c r="Z21156" s="61">
        <f>_xll.qlYieldTSDiscount($U$35,Y21156,,Trigger)</f>
        <v>0.31300190316971283</v>
      </c>
    </row>
    <row r="21157" spans="25:26" x14ac:dyDescent="0.25">
      <c r="Y21157" s="63">
        <v>63690</v>
      </c>
      <c r="Z21157" s="61">
        <f>_xll.qlYieldTSDiscount($U$35,Y21157,,Trigger)</f>
        <v>0.31298238729316141</v>
      </c>
    </row>
    <row r="21158" spans="25:26" x14ac:dyDescent="0.25">
      <c r="Y21158" s="63">
        <v>63691</v>
      </c>
      <c r="Z21158" s="61">
        <f>_xll.qlYieldTSDiscount($U$35,Y21158,,Trigger)</f>
        <v>0.31296287170536685</v>
      </c>
    </row>
    <row r="21159" spans="25:26" x14ac:dyDescent="0.25">
      <c r="Y21159" s="63">
        <v>63692</v>
      </c>
      <c r="Z21159" s="61">
        <f>_xll.qlYieldTSDiscount($U$35,Y21159,,Trigger)</f>
        <v>0.31294335640596299</v>
      </c>
    </row>
    <row r="21160" spans="25:26" x14ac:dyDescent="0.25">
      <c r="Y21160" s="63">
        <v>63693</v>
      </c>
      <c r="Z21160" s="61">
        <f>_xll.qlYieldTSDiscount($U$35,Y21160,,Trigger)</f>
        <v>0.31292384139458401</v>
      </c>
    </row>
    <row r="21161" spans="25:26" x14ac:dyDescent="0.25">
      <c r="Y21161" s="63">
        <v>63694</v>
      </c>
      <c r="Z21161" s="61">
        <f>_xll.qlYieldTSDiscount($U$35,Y21161,,Trigger)</f>
        <v>0.31290432667086376</v>
      </c>
    </row>
    <row r="21162" spans="25:26" x14ac:dyDescent="0.25">
      <c r="Y21162" s="63">
        <v>63695</v>
      </c>
      <c r="Z21162" s="61">
        <f>_xll.qlYieldTSDiscount($U$35,Y21162,,Trigger)</f>
        <v>0.31288481223443643</v>
      </c>
    </row>
    <row r="21163" spans="25:26" x14ac:dyDescent="0.25">
      <c r="Y21163" s="63">
        <v>63696</v>
      </c>
      <c r="Z21163" s="61">
        <f>_xll.qlYieldTSDiscount($U$35,Y21163,,Trigger)</f>
        <v>0.31286529808493591</v>
      </c>
    </row>
    <row r="21164" spans="25:26" x14ac:dyDescent="0.25">
      <c r="Y21164" s="63">
        <v>63697</v>
      </c>
      <c r="Z21164" s="61">
        <f>_xll.qlYieldTSDiscount($U$35,Y21164,,Trigger)</f>
        <v>0.31284578422199621</v>
      </c>
    </row>
    <row r="21165" spans="25:26" x14ac:dyDescent="0.25">
      <c r="Y21165" s="63">
        <v>63698</v>
      </c>
      <c r="Z21165" s="61">
        <f>_xll.qlYieldTSDiscount($U$35,Y21165,,Trigger)</f>
        <v>0.31282627064525154</v>
      </c>
    </row>
    <row r="21166" spans="25:26" x14ac:dyDescent="0.25">
      <c r="Y21166" s="63">
        <v>63699</v>
      </c>
      <c r="Z21166" s="61">
        <f>_xll.qlYieldTSDiscount($U$35,Y21166,,Trigger)</f>
        <v>0.31280675735433572</v>
      </c>
    </row>
    <row r="21167" spans="25:26" x14ac:dyDescent="0.25">
      <c r="Y21167" s="63">
        <v>63700</v>
      </c>
      <c r="Z21167" s="61">
        <f>_xll.qlYieldTSDiscount($U$35,Y21167,,Trigger)</f>
        <v>0.31278724434888283</v>
      </c>
    </row>
    <row r="21168" spans="25:26" x14ac:dyDescent="0.25">
      <c r="Y21168" s="63">
        <v>63701</v>
      </c>
      <c r="Z21168" s="61">
        <f>_xll.qlYieldTSDiscount($U$35,Y21168,,Trigger)</f>
        <v>0.312767731628527</v>
      </c>
    </row>
    <row r="21169" spans="25:26" x14ac:dyDescent="0.25">
      <c r="Y21169" s="63">
        <v>63702</v>
      </c>
      <c r="Z21169" s="61">
        <f>_xll.qlYieldTSDiscount($U$35,Y21169,,Trigger)</f>
        <v>0.31274821919290202</v>
      </c>
    </row>
    <row r="21170" spans="25:26" x14ac:dyDescent="0.25">
      <c r="Y21170" s="63">
        <v>63703</v>
      </c>
      <c r="Z21170" s="61">
        <f>_xll.qlYieldTSDiscount($U$35,Y21170,,Trigger)</f>
        <v>0.31272870704164207</v>
      </c>
    </row>
    <row r="21171" spans="25:26" x14ac:dyDescent="0.25">
      <c r="Y21171" s="63">
        <v>63704</v>
      </c>
      <c r="Z21171" s="61">
        <f>_xll.qlYieldTSDiscount($U$35,Y21171,,Trigger)</f>
        <v>0.31270919517438128</v>
      </c>
    </row>
    <row r="21172" spans="25:26" x14ac:dyDescent="0.25">
      <c r="Y21172" s="63">
        <v>63705</v>
      </c>
      <c r="Z21172" s="61">
        <f>_xll.qlYieldTSDiscount($U$35,Y21172,,Trigger)</f>
        <v>0.31268968359075339</v>
      </c>
    </row>
    <row r="21173" spans="25:26" x14ac:dyDescent="0.25">
      <c r="Y21173" s="63">
        <v>63706</v>
      </c>
      <c r="Z21173" s="61">
        <f>_xll.qlYieldTSDiscount($U$35,Y21173,,Trigger)</f>
        <v>0.31267017229039268</v>
      </c>
    </row>
    <row r="21174" spans="25:26" x14ac:dyDescent="0.25">
      <c r="Y21174" s="63">
        <v>63707</v>
      </c>
      <c r="Z21174" s="61">
        <f>_xll.qlYieldTSDiscount($U$35,Y21174,,Trigger)</f>
        <v>0.31265066127293306</v>
      </c>
    </row>
    <row r="21175" spans="25:26" x14ac:dyDescent="0.25">
      <c r="Y21175" s="63">
        <v>63708</v>
      </c>
      <c r="Z21175" s="61">
        <f>_xll.qlYieldTSDiscount($U$35,Y21175,,Trigger)</f>
        <v>0.31263115053800855</v>
      </c>
    </row>
    <row r="21176" spans="25:26" x14ac:dyDescent="0.25">
      <c r="Y21176" s="63">
        <v>63709</v>
      </c>
      <c r="Z21176" s="61">
        <f>_xll.qlYieldTSDiscount($U$35,Y21176,,Trigger)</f>
        <v>0.31261164008525316</v>
      </c>
    </row>
    <row r="21177" spans="25:26" x14ac:dyDescent="0.25">
      <c r="Y21177" s="63">
        <v>63710</v>
      </c>
      <c r="Z21177" s="61">
        <f>_xll.qlYieldTSDiscount($U$35,Y21177,,Trigger)</f>
        <v>0.31259212991430091</v>
      </c>
    </row>
    <row r="21178" spans="25:26" x14ac:dyDescent="0.25">
      <c r="Y21178" s="63">
        <v>63711</v>
      </c>
      <c r="Z21178" s="61">
        <f>_xll.qlYieldTSDiscount($U$35,Y21178,,Trigger)</f>
        <v>0.31257262002478592</v>
      </c>
    </row>
    <row r="21179" spans="25:26" x14ac:dyDescent="0.25">
      <c r="Y21179" s="63">
        <v>63712</v>
      </c>
      <c r="Z21179" s="61">
        <f>_xll.qlYieldTSDiscount($U$35,Y21179,,Trigger)</f>
        <v>0.31255311041634215</v>
      </c>
    </row>
    <row r="21180" spans="25:26" x14ac:dyDescent="0.25">
      <c r="Y21180" s="63">
        <v>63713</v>
      </c>
      <c r="Z21180" s="61">
        <f>_xll.qlYieldTSDiscount($U$35,Y21180,,Trigger)</f>
        <v>0.31253360108860345</v>
      </c>
    </row>
    <row r="21181" spans="25:26" x14ac:dyDescent="0.25">
      <c r="Y21181" s="63">
        <v>63714</v>
      </c>
      <c r="Z21181" s="61">
        <f>_xll.qlYieldTSDiscount($U$35,Y21181,,Trigger)</f>
        <v>0.31251409204120423</v>
      </c>
    </row>
    <row r="21182" spans="25:26" x14ac:dyDescent="0.25">
      <c r="Y21182" s="63">
        <v>63715</v>
      </c>
      <c r="Z21182" s="61">
        <f>_xll.qlYieldTSDiscount($U$35,Y21182,,Trigger)</f>
        <v>0.31249458327377816</v>
      </c>
    </row>
    <row r="21183" spans="25:26" x14ac:dyDescent="0.25">
      <c r="Y21183" s="63">
        <v>63716</v>
      </c>
      <c r="Z21183" s="61">
        <f>_xll.qlYieldTSDiscount($U$35,Y21183,,Trigger)</f>
        <v>0.31247507478595937</v>
      </c>
    </row>
    <row r="21184" spans="25:26" x14ac:dyDescent="0.25">
      <c r="Y21184" s="63">
        <v>63717</v>
      </c>
      <c r="Z21184" s="61">
        <f>_xll.qlYieldTSDiscount($U$35,Y21184,,Trigger)</f>
        <v>0.31245556657738194</v>
      </c>
    </row>
    <row r="21185" spans="25:26" x14ac:dyDescent="0.25">
      <c r="Y21185" s="63">
        <v>63718</v>
      </c>
      <c r="Z21185" s="61">
        <f>_xll.qlYieldTSDiscount($U$35,Y21185,,Trigger)</f>
        <v>0.31243605864767982</v>
      </c>
    </row>
    <row r="21186" spans="25:26" x14ac:dyDescent="0.25">
      <c r="Y21186" s="63">
        <v>63719</v>
      </c>
      <c r="Z21186" s="61">
        <f>_xll.qlYieldTSDiscount($U$35,Y21186,,Trigger)</f>
        <v>0.31241655099648702</v>
      </c>
    </row>
    <row r="21187" spans="25:26" x14ac:dyDescent="0.25">
      <c r="Y21187" s="63">
        <v>63720</v>
      </c>
      <c r="Z21187" s="61">
        <f>_xll.qlYieldTSDiscount($U$35,Y21187,,Trigger)</f>
        <v>0.31239704362343768</v>
      </c>
    </row>
    <row r="21188" spans="25:26" x14ac:dyDescent="0.25">
      <c r="Y21188" s="63">
        <v>63721</v>
      </c>
      <c r="Z21188" s="61">
        <f>_xll.qlYieldTSDiscount($U$35,Y21188,,Trigger)</f>
        <v>0.31237753652816574</v>
      </c>
    </row>
    <row r="21189" spans="25:26" x14ac:dyDescent="0.25">
      <c r="Y21189" s="63">
        <v>63722</v>
      </c>
      <c r="Z21189" s="61">
        <f>_xll.qlYieldTSDiscount($U$35,Y21189,,Trigger)</f>
        <v>0.31235802971030519</v>
      </c>
    </row>
    <row r="21190" spans="25:26" x14ac:dyDescent="0.25">
      <c r="Y21190" s="63">
        <v>63723</v>
      </c>
      <c r="Z21190" s="61">
        <f>_xll.qlYieldTSDiscount($U$35,Y21190,,Trigger)</f>
        <v>0.31233852316949007</v>
      </c>
    </row>
    <row r="21191" spans="25:26" x14ac:dyDescent="0.25">
      <c r="Y21191" s="63">
        <v>63724</v>
      </c>
      <c r="Z21191" s="61">
        <f>_xll.qlYieldTSDiscount($U$35,Y21191,,Trigger)</f>
        <v>0.31231901690535452</v>
      </c>
    </row>
    <row r="21192" spans="25:26" x14ac:dyDescent="0.25">
      <c r="Y21192" s="63">
        <v>63725</v>
      </c>
      <c r="Z21192" s="61">
        <f>_xll.qlYieldTSDiscount($U$35,Y21192,,Trigger)</f>
        <v>0.31229951091753239</v>
      </c>
    </row>
    <row r="21193" spans="25:26" x14ac:dyDescent="0.25">
      <c r="Y21193" s="63">
        <v>63726</v>
      </c>
      <c r="Z21193" s="61">
        <f>_xll.qlYieldTSDiscount($U$35,Y21193,,Trigger)</f>
        <v>0.31228000520565774</v>
      </c>
    </row>
    <row r="21194" spans="25:26" x14ac:dyDescent="0.25">
      <c r="Y21194" s="63">
        <v>63727</v>
      </c>
      <c r="Z21194" s="61">
        <f>_xll.qlYieldTSDiscount($U$35,Y21194,,Trigger)</f>
        <v>0.31226049976936471</v>
      </c>
    </row>
    <row r="21195" spans="25:26" x14ac:dyDescent="0.25">
      <c r="Y21195" s="63">
        <v>63728</v>
      </c>
      <c r="Z21195" s="61">
        <f>_xll.qlYieldTSDiscount($U$35,Y21195,,Trigger)</f>
        <v>0.31224099460828714</v>
      </c>
    </row>
    <row r="21196" spans="25:26" x14ac:dyDescent="0.25">
      <c r="Y21196" s="63">
        <v>63729</v>
      </c>
      <c r="Z21196" s="61">
        <f>_xll.qlYieldTSDiscount($U$35,Y21196,,Trigger)</f>
        <v>0.31222148972205921</v>
      </c>
    </row>
    <row r="21197" spans="25:26" x14ac:dyDescent="0.25">
      <c r="Y21197" s="63">
        <v>63730</v>
      </c>
      <c r="Z21197" s="61">
        <f>_xll.qlYieldTSDiscount($U$35,Y21197,,Trigger)</f>
        <v>0.31220198511031494</v>
      </c>
    </row>
    <row r="21198" spans="25:26" x14ac:dyDescent="0.25">
      <c r="Y21198" s="63">
        <v>63731</v>
      </c>
      <c r="Z21198" s="61">
        <f>_xll.qlYieldTSDiscount($U$35,Y21198,,Trigger)</f>
        <v>0.31218248077268818</v>
      </c>
    </row>
    <row r="21199" spans="25:26" x14ac:dyDescent="0.25">
      <c r="Y21199" s="63">
        <v>63732</v>
      </c>
      <c r="Z21199" s="61">
        <f>_xll.qlYieldTSDiscount($U$35,Y21199,,Trigger)</f>
        <v>0.3121629767088131</v>
      </c>
    </row>
    <row r="21200" spans="25:26" x14ac:dyDescent="0.25">
      <c r="Y21200" s="63">
        <v>63733</v>
      </c>
      <c r="Z21200" s="61">
        <f>_xll.qlYieldTSDiscount($U$35,Y21200,,Trigger)</f>
        <v>0.31214347291832373</v>
      </c>
    </row>
    <row r="21201" spans="25:26" x14ac:dyDescent="0.25">
      <c r="Y21201" s="63">
        <v>63734</v>
      </c>
      <c r="Z21201" s="61">
        <f>_xll.qlYieldTSDiscount($U$35,Y21201,,Trigger)</f>
        <v>0.31212396940085402</v>
      </c>
    </row>
    <row r="21202" spans="25:26" x14ac:dyDescent="0.25">
      <c r="Y21202" s="63">
        <v>63735</v>
      </c>
      <c r="Z21202" s="61">
        <f>_xll.qlYieldTSDiscount($U$35,Y21202,,Trigger)</f>
        <v>0.31210446615603804</v>
      </c>
    </row>
    <row r="21203" spans="25:26" x14ac:dyDescent="0.25">
      <c r="Y21203" s="63">
        <v>63736</v>
      </c>
      <c r="Z21203" s="61">
        <f>_xll.qlYieldTSDiscount($U$35,Y21203,,Trigger)</f>
        <v>0.3120849631835097</v>
      </c>
    </row>
    <row r="21204" spans="25:26" x14ac:dyDescent="0.25">
      <c r="Y21204" s="63">
        <v>63737</v>
      </c>
      <c r="Z21204" s="61">
        <f>_xll.qlYieldTSDiscount($U$35,Y21204,,Trigger)</f>
        <v>0.31206546048290329</v>
      </c>
    </row>
    <row r="21205" spans="25:26" x14ac:dyDescent="0.25">
      <c r="Y21205" s="63">
        <v>63738</v>
      </c>
      <c r="Z21205" s="61">
        <f>_xll.qlYieldTSDiscount($U$35,Y21205,,Trigger)</f>
        <v>0.31204595805385249</v>
      </c>
    </row>
    <row r="21206" spans="25:26" x14ac:dyDescent="0.25">
      <c r="Y21206" s="63">
        <v>63739</v>
      </c>
      <c r="Z21206" s="61">
        <f>_xll.qlYieldTSDiscount($U$35,Y21206,,Trigger)</f>
        <v>0.31202645589599154</v>
      </c>
    </row>
    <row r="21207" spans="25:26" x14ac:dyDescent="0.25">
      <c r="Y21207" s="63">
        <v>63740</v>
      </c>
      <c r="Z21207" s="61">
        <f>_xll.qlYieldTSDiscount($U$35,Y21207,,Trigger)</f>
        <v>0.31200695400895451</v>
      </c>
    </row>
    <row r="21208" spans="25:26" x14ac:dyDescent="0.25">
      <c r="Y21208" s="63">
        <v>63741</v>
      </c>
      <c r="Z21208" s="61">
        <f>_xll.qlYieldTSDiscount($U$35,Y21208,,Trigger)</f>
        <v>0.31198745239237519</v>
      </c>
    </row>
    <row r="21209" spans="25:26" x14ac:dyDescent="0.25">
      <c r="Y21209" s="63">
        <v>63742</v>
      </c>
      <c r="Z21209" s="61">
        <f>_xll.qlYieldTSDiscount($U$35,Y21209,,Trigger)</f>
        <v>0.31196795104588776</v>
      </c>
    </row>
    <row r="21210" spans="25:26" x14ac:dyDescent="0.25">
      <c r="Y21210" s="63">
        <v>63743</v>
      </c>
      <c r="Z21210" s="61">
        <f>_xll.qlYieldTSDiscount($U$35,Y21210,,Trigger)</f>
        <v>0.3119484499691263</v>
      </c>
    </row>
    <row r="21211" spans="25:26" x14ac:dyDescent="0.25">
      <c r="Y21211" s="63">
        <v>63744</v>
      </c>
      <c r="Z21211" s="61">
        <f>_xll.qlYieldTSDiscount($U$35,Y21211,,Trigger)</f>
        <v>0.31192894916172464</v>
      </c>
    </row>
    <row r="21212" spans="25:26" x14ac:dyDescent="0.25">
      <c r="Y21212" s="63">
        <v>63745</v>
      </c>
      <c r="Z21212" s="61">
        <f>_xll.qlYieldTSDiscount($U$35,Y21212,,Trigger)</f>
        <v>0.31190944862331693</v>
      </c>
    </row>
    <row r="21213" spans="25:26" x14ac:dyDescent="0.25">
      <c r="Y21213" s="63">
        <v>63746</v>
      </c>
      <c r="Z21213" s="61">
        <f>_xll.qlYieldTSDiscount($U$35,Y21213,,Trigger)</f>
        <v>0.31188994835353723</v>
      </c>
    </row>
    <row r="21214" spans="25:26" x14ac:dyDescent="0.25">
      <c r="Y21214" s="63">
        <v>63747</v>
      </c>
      <c r="Z21214" s="61">
        <f>_xll.qlYieldTSDiscount($U$35,Y21214,,Trigger)</f>
        <v>0.31187044835201944</v>
      </c>
    </row>
    <row r="21215" spans="25:26" x14ac:dyDescent="0.25">
      <c r="Y21215" s="63">
        <v>63748</v>
      </c>
      <c r="Z21215" s="61">
        <f>_xll.qlYieldTSDiscount($U$35,Y21215,,Trigger)</f>
        <v>0.31185094861839768</v>
      </c>
    </row>
    <row r="21216" spans="25:26" x14ac:dyDescent="0.25">
      <c r="Y21216" s="63">
        <v>63749</v>
      </c>
      <c r="Z21216" s="61">
        <f>_xll.qlYieldTSDiscount($U$35,Y21216,,Trigger)</f>
        <v>0.31183144915230598</v>
      </c>
    </row>
    <row r="21217" spans="25:26" x14ac:dyDescent="0.25">
      <c r="Y21217" s="63">
        <v>63750</v>
      </c>
      <c r="Z21217" s="61">
        <f>_xll.qlYieldTSDiscount($U$35,Y21217,,Trigger)</f>
        <v>0.31181194995337824</v>
      </c>
    </row>
    <row r="21218" spans="25:26" x14ac:dyDescent="0.25">
      <c r="Y21218" s="63">
        <v>63751</v>
      </c>
      <c r="Z21218" s="61">
        <f>_xll.qlYieldTSDiscount($U$35,Y21218,,Trigger)</f>
        <v>0.31179245102124858</v>
      </c>
    </row>
    <row r="21219" spans="25:26" x14ac:dyDescent="0.25">
      <c r="Y21219" s="63">
        <v>63752</v>
      </c>
      <c r="Z21219" s="61">
        <f>_xll.qlYieldTSDiscount($U$35,Y21219,,Trigger)</f>
        <v>0.31177295235555103</v>
      </c>
    </row>
    <row r="21220" spans="25:26" x14ac:dyDescent="0.25">
      <c r="Y21220" s="63">
        <v>63753</v>
      </c>
      <c r="Z21220" s="61">
        <f>_xll.qlYieldTSDiscount($U$35,Y21220,,Trigger)</f>
        <v>0.31175345395591952</v>
      </c>
    </row>
    <row r="21221" spans="25:26" x14ac:dyDescent="0.25">
      <c r="Y21221" s="63">
        <v>63754</v>
      </c>
      <c r="Z21221" s="61">
        <f>_xll.qlYieldTSDiscount($U$35,Y21221,,Trigger)</f>
        <v>0.31173395582198821</v>
      </c>
    </row>
    <row r="21222" spans="25:26" x14ac:dyDescent="0.25">
      <c r="Y21222" s="63">
        <v>63755</v>
      </c>
      <c r="Z21222" s="61">
        <f>_xll.qlYieldTSDiscount($U$35,Y21222,,Trigger)</f>
        <v>0.31171445795339103</v>
      </c>
    </row>
    <row r="21223" spans="25:26" x14ac:dyDescent="0.25">
      <c r="Y21223" s="63">
        <v>63756</v>
      </c>
      <c r="Z21223" s="61">
        <f>_xll.qlYieldTSDiscount($U$35,Y21223,,Trigger)</f>
        <v>0.31169496034976196</v>
      </c>
    </row>
    <row r="21224" spans="25:26" x14ac:dyDescent="0.25">
      <c r="Y21224" s="63">
        <v>63757</v>
      </c>
      <c r="Z21224" s="61">
        <f>_xll.qlYieldTSDiscount($U$35,Y21224,,Trigger)</f>
        <v>0.31167546301073523</v>
      </c>
    </row>
    <row r="21225" spans="25:26" x14ac:dyDescent="0.25">
      <c r="Y21225" s="63">
        <v>63758</v>
      </c>
      <c r="Z21225" s="61">
        <f>_xll.qlYieldTSDiscount($U$35,Y21225,,Trigger)</f>
        <v>0.31165596593594458</v>
      </c>
    </row>
    <row r="21226" spans="25:26" x14ac:dyDescent="0.25">
      <c r="Y21226" s="63">
        <v>63759</v>
      </c>
      <c r="Z21226" s="61">
        <f>_xll.qlYieldTSDiscount($U$35,Y21226,,Trigger)</f>
        <v>0.31163646912502424</v>
      </c>
    </row>
    <row r="21227" spans="25:26" x14ac:dyDescent="0.25">
      <c r="Y21227" s="63">
        <v>63760</v>
      </c>
      <c r="Z21227" s="61">
        <f>_xll.qlYieldTSDiscount($U$35,Y21227,,Trigger)</f>
        <v>0.31161697257760806</v>
      </c>
    </row>
    <row r="21228" spans="25:26" x14ac:dyDescent="0.25">
      <c r="Y21228" s="63">
        <v>63761</v>
      </c>
      <c r="Z21228" s="61">
        <f>_xll.qlYieldTSDiscount($U$35,Y21228,,Trigger)</f>
        <v>0.31159747629333023</v>
      </c>
    </row>
    <row r="21229" spans="25:26" x14ac:dyDescent="0.25">
      <c r="Y21229" s="63">
        <v>63762</v>
      </c>
      <c r="Z21229" s="61">
        <f>_xll.qlYieldTSDiscount($U$35,Y21229,,Trigger)</f>
        <v>0.31157798027182471</v>
      </c>
    </row>
    <row r="21230" spans="25:26" x14ac:dyDescent="0.25">
      <c r="Y21230" s="63">
        <v>63763</v>
      </c>
      <c r="Z21230" s="61">
        <f>_xll.qlYieldTSDiscount($U$35,Y21230,,Trigger)</f>
        <v>0.3115584845127255</v>
      </c>
    </row>
    <row r="21231" spans="25:26" x14ac:dyDescent="0.25">
      <c r="Y21231" s="63">
        <v>63764</v>
      </c>
      <c r="Z21231" s="61">
        <f>_xll.qlYieldTSDiscount($U$35,Y21231,,Trigger)</f>
        <v>0.31153898901566662</v>
      </c>
    </row>
    <row r="21232" spans="25:26" x14ac:dyDescent="0.25">
      <c r="Y21232" s="63">
        <v>63765</v>
      </c>
      <c r="Z21232" s="61">
        <f>_xll.qlYieldTSDiscount($U$35,Y21232,,Trigger)</f>
        <v>0.3115194937802821</v>
      </c>
    </row>
    <row r="21233" spans="25:26" x14ac:dyDescent="0.25">
      <c r="Y21233" s="63">
        <v>63766</v>
      </c>
      <c r="Z21233" s="61">
        <f>_xll.qlYieldTSDiscount($U$35,Y21233,,Trigger)</f>
        <v>0.31149999880620605</v>
      </c>
    </row>
    <row r="21234" spans="25:26" x14ac:dyDescent="0.25">
      <c r="Y21234" s="63">
        <v>63767</v>
      </c>
      <c r="Z21234" s="61">
        <f>_xll.qlYieldTSDiscount($U$35,Y21234,,Trigger)</f>
        <v>0.31148050409307232</v>
      </c>
    </row>
    <row r="21235" spans="25:26" x14ac:dyDescent="0.25">
      <c r="Y21235" s="63">
        <v>63768</v>
      </c>
      <c r="Z21235" s="61">
        <f>_xll.qlYieldTSDiscount($U$35,Y21235,,Trigger)</f>
        <v>0.31146100964051499</v>
      </c>
    </row>
    <row r="21236" spans="25:26" x14ac:dyDescent="0.25">
      <c r="Y21236" s="63">
        <v>63769</v>
      </c>
      <c r="Z21236" s="61">
        <f>_xll.qlYieldTSDiscount($U$35,Y21236,,Trigger)</f>
        <v>0.31144151544816823</v>
      </c>
    </row>
    <row r="21237" spans="25:26" x14ac:dyDescent="0.25">
      <c r="Y21237" s="63">
        <v>63770</v>
      </c>
      <c r="Z21237" s="61">
        <f>_xll.qlYieldTSDiscount($U$35,Y21237,,Trigger)</f>
        <v>0.31142202151566584</v>
      </c>
    </row>
    <row r="21238" spans="25:26" x14ac:dyDescent="0.25">
      <c r="Y21238" s="63">
        <v>63771</v>
      </c>
      <c r="Z21238" s="61">
        <f>_xll.qlYieldTSDiscount($U$35,Y21238,,Trigger)</f>
        <v>0.311402527842642</v>
      </c>
    </row>
    <row r="21239" spans="25:26" x14ac:dyDescent="0.25">
      <c r="Y21239" s="63">
        <v>63772</v>
      </c>
      <c r="Z21239" s="61">
        <f>_xll.qlYieldTSDiscount($U$35,Y21239,,Trigger)</f>
        <v>0.31138303442873072</v>
      </c>
    </row>
    <row r="21240" spans="25:26" x14ac:dyDescent="0.25">
      <c r="Y21240" s="63">
        <v>63773</v>
      </c>
      <c r="Z21240" s="61">
        <f>_xll.qlYieldTSDiscount($U$35,Y21240,,Trigger)</f>
        <v>0.31136354127356591</v>
      </c>
    </row>
    <row r="21241" spans="25:26" x14ac:dyDescent="0.25">
      <c r="Y21241" s="63">
        <v>63774</v>
      </c>
      <c r="Z21241" s="61">
        <f>_xll.qlYieldTSDiscount($U$35,Y21241,,Trigger)</f>
        <v>0.3113440483767817</v>
      </c>
    </row>
    <row r="21242" spans="25:26" x14ac:dyDescent="0.25">
      <c r="Y21242" s="63">
        <v>63775</v>
      </c>
      <c r="Z21242" s="61">
        <f>_xll.qlYieldTSDiscount($U$35,Y21242,,Trigger)</f>
        <v>0.3113245557380121</v>
      </c>
    </row>
    <row r="21243" spans="25:26" x14ac:dyDescent="0.25">
      <c r="Y21243" s="63">
        <v>63776</v>
      </c>
      <c r="Z21243" s="61">
        <f>_xll.qlYieldTSDiscount($U$35,Y21243,,Trigger)</f>
        <v>0.31130506335689101</v>
      </c>
    </row>
    <row r="21244" spans="25:26" x14ac:dyDescent="0.25">
      <c r="Y21244" s="63">
        <v>63777</v>
      </c>
      <c r="Z21244" s="61">
        <f>_xll.qlYieldTSDiscount($U$35,Y21244,,Trigger)</f>
        <v>0.31128557123305267</v>
      </c>
    </row>
    <row r="21245" spans="25:26" x14ac:dyDescent="0.25">
      <c r="Y21245" s="63">
        <v>63778</v>
      </c>
      <c r="Z21245" s="61">
        <f>_xll.qlYieldTSDiscount($U$35,Y21245,,Trigger)</f>
        <v>0.31126607936613093</v>
      </c>
    </row>
    <row r="21246" spans="25:26" x14ac:dyDescent="0.25">
      <c r="Y21246" s="63">
        <v>63779</v>
      </c>
      <c r="Z21246" s="61">
        <f>_xll.qlYieldTSDiscount($U$35,Y21246,,Trigger)</f>
        <v>0.31124658775575986</v>
      </c>
    </row>
    <row r="21247" spans="25:26" x14ac:dyDescent="0.25">
      <c r="Y21247" s="63">
        <v>63780</v>
      </c>
      <c r="Z21247" s="61">
        <f>_xll.qlYieldTSDiscount($U$35,Y21247,,Trigger)</f>
        <v>0.31122709640157348</v>
      </c>
    </row>
    <row r="21248" spans="25:26" x14ac:dyDescent="0.25">
      <c r="Y21248" s="63">
        <v>63781</v>
      </c>
      <c r="Z21248" s="61">
        <f>_xll.qlYieldTSDiscount($U$35,Y21248,,Trigger)</f>
        <v>0.31120760530320579</v>
      </c>
    </row>
    <row r="21249" spans="25:26" x14ac:dyDescent="0.25">
      <c r="Y21249" s="63">
        <v>63782</v>
      </c>
      <c r="Z21249" s="61">
        <f>_xll.qlYieldTSDiscount($U$35,Y21249,,Trigger)</f>
        <v>0.31118811446029088</v>
      </c>
    </row>
    <row r="21250" spans="25:26" x14ac:dyDescent="0.25">
      <c r="Y21250" s="63">
        <v>63783</v>
      </c>
      <c r="Z21250" s="61">
        <f>_xll.qlYieldTSDiscount($U$35,Y21250,,Trigger)</f>
        <v>0.31116862387246269</v>
      </c>
    </row>
    <row r="21251" spans="25:26" x14ac:dyDescent="0.25">
      <c r="Y21251" s="63">
        <v>63784</v>
      </c>
      <c r="Z21251" s="61">
        <f>_xll.qlYieldTSDiscount($U$35,Y21251,,Trigger)</f>
        <v>0.3111491335393553</v>
      </c>
    </row>
    <row r="21252" spans="25:26" x14ac:dyDescent="0.25">
      <c r="Y21252" s="63">
        <v>63785</v>
      </c>
      <c r="Z21252" s="61">
        <f>_xll.qlYieldTSDiscount($U$35,Y21252,,Trigger)</f>
        <v>0.31112964346060279</v>
      </c>
    </row>
    <row r="21253" spans="25:26" x14ac:dyDescent="0.25">
      <c r="Y21253" s="63">
        <v>63786</v>
      </c>
      <c r="Z21253" s="61">
        <f>_xll.qlYieldTSDiscount($U$35,Y21253,,Trigger)</f>
        <v>0.31111015363583899</v>
      </c>
    </row>
    <row r="21254" spans="25:26" x14ac:dyDescent="0.25">
      <c r="Y21254" s="63">
        <v>63787</v>
      </c>
      <c r="Z21254" s="61">
        <f>_xll.qlYieldTSDiscount($U$35,Y21254,,Trigger)</f>
        <v>0.3110906640646981</v>
      </c>
    </row>
    <row r="21255" spans="25:26" x14ac:dyDescent="0.25">
      <c r="Y21255" s="63">
        <v>63788</v>
      </c>
      <c r="Z21255" s="61">
        <f>_xll.qlYieldTSDiscount($U$35,Y21255,,Trigger)</f>
        <v>0.31107117474681406</v>
      </c>
    </row>
    <row r="21256" spans="25:26" x14ac:dyDescent="0.25">
      <c r="Y21256" s="63">
        <v>63789</v>
      </c>
      <c r="Z21256" s="61">
        <f>_xll.qlYieldTSDiscount($U$35,Y21256,,Trigger)</f>
        <v>0.31105168568182096</v>
      </c>
    </row>
    <row r="21257" spans="25:26" x14ac:dyDescent="0.25">
      <c r="Y21257" s="63">
        <v>63790</v>
      </c>
      <c r="Z21257" s="61">
        <f>_xll.qlYieldTSDiscount($U$35,Y21257,,Trigger)</f>
        <v>0.31103219686935268</v>
      </c>
    </row>
    <row r="21258" spans="25:26" x14ac:dyDescent="0.25">
      <c r="Y21258" s="63">
        <v>63791</v>
      </c>
      <c r="Z21258" s="61">
        <f>_xll.qlYieldTSDiscount($U$35,Y21258,,Trigger)</f>
        <v>0.31101270830904343</v>
      </c>
    </row>
    <row r="21259" spans="25:26" x14ac:dyDescent="0.25">
      <c r="Y21259" s="63">
        <v>63792</v>
      </c>
      <c r="Z21259" s="61">
        <f>_xll.qlYieldTSDiscount($U$35,Y21259,,Trigger)</f>
        <v>0.31099322000052709</v>
      </c>
    </row>
    <row r="21260" spans="25:26" x14ac:dyDescent="0.25">
      <c r="Y21260" s="63">
        <v>63793</v>
      </c>
      <c r="Z21260" s="61">
        <f>_xll.qlYieldTSDiscount($U$35,Y21260,,Trigger)</f>
        <v>0.31097373194343769</v>
      </c>
    </row>
    <row r="21261" spans="25:26" x14ac:dyDescent="0.25">
      <c r="Y21261" s="63">
        <v>63794</v>
      </c>
      <c r="Z21261" s="61">
        <f>_xll.qlYieldTSDiscount($U$35,Y21261,,Trigger)</f>
        <v>0.31095424413740935</v>
      </c>
    </row>
    <row r="21262" spans="25:26" x14ac:dyDescent="0.25">
      <c r="Y21262" s="63">
        <v>63795</v>
      </c>
      <c r="Z21262" s="61">
        <f>_xll.qlYieldTSDiscount($U$35,Y21262,,Trigger)</f>
        <v>0.31093475658207603</v>
      </c>
    </row>
    <row r="21263" spans="25:26" x14ac:dyDescent="0.25">
      <c r="Y21263" s="63">
        <v>63796</v>
      </c>
      <c r="Z21263" s="61">
        <f>_xll.qlYieldTSDiscount($U$35,Y21263,,Trigger)</f>
        <v>0.31091526927707169</v>
      </c>
    </row>
    <row r="21264" spans="25:26" x14ac:dyDescent="0.25">
      <c r="Y21264" s="63">
        <v>63797</v>
      </c>
      <c r="Z21264" s="61">
        <f>_xll.qlYieldTSDiscount($U$35,Y21264,,Trigger)</f>
        <v>0.31089578222203046</v>
      </c>
    </row>
    <row r="21265" spans="25:26" x14ac:dyDescent="0.25">
      <c r="Y21265" s="63">
        <v>63798</v>
      </c>
      <c r="Z21265" s="61">
        <f>_xll.qlYieldTSDiscount($U$35,Y21265,,Trigger)</f>
        <v>0.3108762954165864</v>
      </c>
    </row>
    <row r="21266" spans="25:26" x14ac:dyDescent="0.25">
      <c r="Y21266" s="63">
        <v>63799</v>
      </c>
      <c r="Z21266" s="61">
        <f>_xll.qlYieldTSDiscount($U$35,Y21266,,Trigger)</f>
        <v>0.31085680886037337</v>
      </c>
    </row>
    <row r="21267" spans="25:26" x14ac:dyDescent="0.25">
      <c r="Y21267" s="63">
        <v>63800</v>
      </c>
      <c r="Z21267" s="61">
        <f>_xll.qlYieldTSDiscount($U$35,Y21267,,Trigger)</f>
        <v>0.31083732255302549</v>
      </c>
    </row>
    <row r="21268" spans="25:26" x14ac:dyDescent="0.25">
      <c r="Y21268" s="63">
        <v>63801</v>
      </c>
      <c r="Z21268" s="61">
        <f>_xll.qlYieldTSDiscount($U$35,Y21268,,Trigger)</f>
        <v>0.31081783649417677</v>
      </c>
    </row>
    <row r="21269" spans="25:26" x14ac:dyDescent="0.25">
      <c r="Y21269" s="63">
        <v>63802</v>
      </c>
      <c r="Z21269" s="61">
        <f>_xll.qlYieldTSDiscount($U$35,Y21269,,Trigger)</f>
        <v>0.31079835068346118</v>
      </c>
    </row>
    <row r="21270" spans="25:26" x14ac:dyDescent="0.25">
      <c r="Y21270" s="63">
        <v>63803</v>
      </c>
      <c r="Z21270" s="61">
        <f>_xll.qlYieldTSDiscount($U$35,Y21270,,Trigger)</f>
        <v>0.31077886512051278</v>
      </c>
    </row>
    <row r="21271" spans="25:26" x14ac:dyDescent="0.25">
      <c r="Y21271" s="63">
        <v>63804</v>
      </c>
      <c r="Z21271" s="61">
        <f>_xll.qlYieldTSDiscount($U$35,Y21271,,Trigger)</f>
        <v>0.31075937980496571</v>
      </c>
    </row>
    <row r="21272" spans="25:26" x14ac:dyDescent="0.25">
      <c r="Y21272" s="63">
        <v>63805</v>
      </c>
      <c r="Z21272" s="61">
        <f>_xll.qlYieldTSDiscount($U$35,Y21272,,Trigger)</f>
        <v>0.3107398947364538</v>
      </c>
    </row>
    <row r="21273" spans="25:26" x14ac:dyDescent="0.25">
      <c r="Y21273" s="63">
        <v>63806</v>
      </c>
      <c r="Z21273" s="61">
        <f>_xll.qlYieldTSDiscount($U$35,Y21273,,Trigger)</f>
        <v>0.31072040991461114</v>
      </c>
    </row>
    <row r="21274" spans="25:26" x14ac:dyDescent="0.25">
      <c r="Y21274" s="63">
        <v>63807</v>
      </c>
      <c r="Z21274" s="61">
        <f>_xll.qlYieldTSDiscount($U$35,Y21274,,Trigger)</f>
        <v>0.31070092533907184</v>
      </c>
    </row>
    <row r="21275" spans="25:26" x14ac:dyDescent="0.25">
      <c r="Y21275" s="63">
        <v>63808</v>
      </c>
      <c r="Z21275" s="61">
        <f>_xll.qlYieldTSDiscount($U$35,Y21275,,Trigger)</f>
        <v>0.31068144100946976</v>
      </c>
    </row>
    <row r="21276" spans="25:26" x14ac:dyDescent="0.25">
      <c r="Y21276" s="63">
        <v>63809</v>
      </c>
      <c r="Z21276" s="61">
        <f>_xll.qlYieldTSDiscount($U$35,Y21276,,Trigger)</f>
        <v>0.31066195692543896</v>
      </c>
    </row>
    <row r="21277" spans="25:26" x14ac:dyDescent="0.25">
      <c r="Y21277" s="63">
        <v>63810</v>
      </c>
      <c r="Z21277" s="61">
        <f>_xll.qlYieldTSDiscount($U$35,Y21277,,Trigger)</f>
        <v>0.31064247308661364</v>
      </c>
    </row>
    <row r="21278" spans="25:26" x14ac:dyDescent="0.25">
      <c r="Y21278" s="63">
        <v>63811</v>
      </c>
      <c r="Z21278" s="61">
        <f>_xll.qlYieldTSDiscount($U$35,Y21278,,Trigger)</f>
        <v>0.31062298949262768</v>
      </c>
    </row>
    <row r="21279" spans="25:26" x14ac:dyDescent="0.25">
      <c r="Y21279" s="63">
        <v>63812</v>
      </c>
      <c r="Z21279" s="61">
        <f>_xll.qlYieldTSDiscount($U$35,Y21279,,Trigger)</f>
        <v>0.31060350614311505</v>
      </c>
    </row>
    <row r="21280" spans="25:26" x14ac:dyDescent="0.25">
      <c r="Y21280" s="63">
        <v>63813</v>
      </c>
      <c r="Z21280" s="61">
        <f>_xll.qlYieldTSDiscount($U$35,Y21280,,Trigger)</f>
        <v>0.31058402303770988</v>
      </c>
    </row>
    <row r="21281" spans="25:26" x14ac:dyDescent="0.25">
      <c r="Y21281" s="63">
        <v>63814</v>
      </c>
      <c r="Z21281" s="61">
        <f>_xll.qlYieldTSDiscount($U$35,Y21281,,Trigger)</f>
        <v>0.31056454017604618</v>
      </c>
    </row>
    <row r="21282" spans="25:26" x14ac:dyDescent="0.25">
      <c r="Y21282" s="63">
        <v>63815</v>
      </c>
      <c r="Z21282" s="61">
        <f>_xll.qlYieldTSDiscount($U$35,Y21282,,Trigger)</f>
        <v>0.31054505755775785</v>
      </c>
    </row>
    <row r="21283" spans="25:26" x14ac:dyDescent="0.25">
      <c r="Y21283" s="63">
        <v>63816</v>
      </c>
      <c r="Z21283" s="61">
        <f>_xll.qlYieldTSDiscount($U$35,Y21283,,Trigger)</f>
        <v>0.31052557518247903</v>
      </c>
    </row>
    <row r="21284" spans="25:26" x14ac:dyDescent="0.25">
      <c r="Y21284" s="63">
        <v>63817</v>
      </c>
      <c r="Z21284" s="61">
        <f>_xll.qlYieldTSDiscount($U$35,Y21284,,Trigger)</f>
        <v>0.31050609304984383</v>
      </c>
    </row>
    <row r="21285" spans="25:26" x14ac:dyDescent="0.25">
      <c r="Y21285" s="63">
        <v>63818</v>
      </c>
      <c r="Z21285" s="61">
        <f>_xll.qlYieldTSDiscount($U$35,Y21285,,Trigger)</f>
        <v>0.31048661115948595</v>
      </c>
    </row>
    <row r="21286" spans="25:26" x14ac:dyDescent="0.25">
      <c r="Y21286" s="63">
        <v>63819</v>
      </c>
      <c r="Z21286" s="61">
        <f>_xll.qlYieldTSDiscount($U$35,Y21286,,Trigger)</f>
        <v>0.31046712951103977</v>
      </c>
    </row>
    <row r="21287" spans="25:26" x14ac:dyDescent="0.25">
      <c r="Y21287" s="63">
        <v>63820</v>
      </c>
      <c r="Z21287" s="61">
        <f>_xll.qlYieldTSDiscount($U$35,Y21287,,Trigger)</f>
        <v>0.31044764810413911</v>
      </c>
    </row>
    <row r="21288" spans="25:26" x14ac:dyDescent="0.25">
      <c r="Y21288" s="63">
        <v>63821</v>
      </c>
      <c r="Z21288" s="61">
        <f>_xll.qlYieldTSDiscount($U$35,Y21288,,Trigger)</f>
        <v>0.31042816693841807</v>
      </c>
    </row>
    <row r="21289" spans="25:26" x14ac:dyDescent="0.25">
      <c r="Y21289" s="63">
        <v>63822</v>
      </c>
      <c r="Z21289" s="61">
        <f>_xll.qlYieldTSDiscount($U$35,Y21289,,Trigger)</f>
        <v>0.31040868601351057</v>
      </c>
    </row>
    <row r="21290" spans="25:26" x14ac:dyDescent="0.25">
      <c r="Y21290" s="63">
        <v>63823</v>
      </c>
      <c r="Z21290" s="61">
        <f>_xll.qlYieldTSDiscount($U$35,Y21290,,Trigger)</f>
        <v>0.31038920532905079</v>
      </c>
    </row>
    <row r="21291" spans="25:26" x14ac:dyDescent="0.25">
      <c r="Y21291" s="63">
        <v>63824</v>
      </c>
      <c r="Z21291" s="61">
        <f>_xll.qlYieldTSDiscount($U$35,Y21291,,Trigger)</f>
        <v>0.31036972488467268</v>
      </c>
    </row>
    <row r="21292" spans="25:26" x14ac:dyDescent="0.25">
      <c r="Y21292" s="63">
        <v>63825</v>
      </c>
      <c r="Z21292" s="61">
        <f>_xll.qlYieldTSDiscount($U$35,Y21292,,Trigger)</f>
        <v>0.3103502446800101</v>
      </c>
    </row>
    <row r="21293" spans="25:26" x14ac:dyDescent="0.25">
      <c r="Y21293" s="63">
        <v>63826</v>
      </c>
      <c r="Z21293" s="61">
        <f>_xll.qlYieldTSDiscount($U$35,Y21293,,Trigger)</f>
        <v>0.31033076471469734</v>
      </c>
    </row>
    <row r="21294" spans="25:26" x14ac:dyDescent="0.25">
      <c r="Y21294" s="63">
        <v>63827</v>
      </c>
      <c r="Z21294" s="61">
        <f>_xll.qlYieldTSDiscount($U$35,Y21294,,Trigger)</f>
        <v>0.3103112849883683</v>
      </c>
    </row>
    <row r="21295" spans="25:26" x14ac:dyDescent="0.25">
      <c r="Y21295" s="63">
        <v>63828</v>
      </c>
      <c r="Z21295" s="61">
        <f>_xll.qlYieldTSDiscount($U$35,Y21295,,Trigger)</f>
        <v>0.31029180550065699</v>
      </c>
    </row>
    <row r="21296" spans="25:26" x14ac:dyDescent="0.25">
      <c r="Y21296" s="63">
        <v>63829</v>
      </c>
      <c r="Z21296" s="61">
        <f>_xll.qlYieldTSDiscount($U$35,Y21296,,Trigger)</f>
        <v>0.31027232625119744</v>
      </c>
    </row>
    <row r="21297" spans="25:26" x14ac:dyDescent="0.25">
      <c r="Y21297" s="63">
        <v>63830</v>
      </c>
      <c r="Z21297" s="61">
        <f>_xll.qlYieldTSDiscount($U$35,Y21297,,Trigger)</f>
        <v>0.31025284723962371</v>
      </c>
    </row>
    <row r="21298" spans="25:26" x14ac:dyDescent="0.25">
      <c r="Y21298" s="63">
        <v>63831</v>
      </c>
      <c r="Z21298" s="61">
        <f>_xll.qlYieldTSDiscount($U$35,Y21298,,Trigger)</f>
        <v>0.31023336846556976</v>
      </c>
    </row>
    <row r="21299" spans="25:26" x14ac:dyDescent="0.25">
      <c r="Y21299" s="63">
        <v>63832</v>
      </c>
      <c r="Z21299" s="61">
        <f>_xll.qlYieldTSDiscount($U$35,Y21299,,Trigger)</f>
        <v>0.31021388992866961</v>
      </c>
    </row>
    <row r="21300" spans="25:26" x14ac:dyDescent="0.25">
      <c r="Y21300" s="63">
        <v>63833</v>
      </c>
      <c r="Z21300" s="61">
        <f>_xll.qlYieldTSDiscount($U$35,Y21300,,Trigger)</f>
        <v>0.31019441162855738</v>
      </c>
    </row>
    <row r="21301" spans="25:26" x14ac:dyDescent="0.25">
      <c r="Y21301" s="63">
        <v>63834</v>
      </c>
      <c r="Z21301" s="61">
        <f>_xll.qlYieldTSDiscount($U$35,Y21301,,Trigger)</f>
        <v>0.31017493356486703</v>
      </c>
    </row>
    <row r="21302" spans="25:26" x14ac:dyDescent="0.25">
      <c r="Y21302" s="63">
        <v>63835</v>
      </c>
      <c r="Z21302" s="61">
        <f>_xll.qlYieldTSDiscount($U$35,Y21302,,Trigger)</f>
        <v>0.31015545573723241</v>
      </c>
    </row>
    <row r="21303" spans="25:26" x14ac:dyDescent="0.25">
      <c r="Y21303" s="63">
        <v>63836</v>
      </c>
      <c r="Z21303" s="61">
        <f>_xll.qlYieldTSDiscount($U$35,Y21303,,Trigger)</f>
        <v>0.31013597814528793</v>
      </c>
    </row>
    <row r="21304" spans="25:26" x14ac:dyDescent="0.25">
      <c r="Y21304" s="63">
        <v>63837</v>
      </c>
      <c r="Z21304" s="61">
        <f>_xll.qlYieldTSDiscount($U$35,Y21304,,Trigger)</f>
        <v>0.31011650078866726</v>
      </c>
    </row>
    <row r="21305" spans="25:26" x14ac:dyDescent="0.25">
      <c r="Y21305" s="63">
        <v>63838</v>
      </c>
      <c r="Z21305" s="61">
        <f>_xll.qlYieldTSDiscount($U$35,Y21305,,Trigger)</f>
        <v>0.31009702366700465</v>
      </c>
    </row>
    <row r="21306" spans="25:26" x14ac:dyDescent="0.25">
      <c r="Y21306" s="63">
        <v>63839</v>
      </c>
      <c r="Z21306" s="61">
        <f>_xll.qlYieldTSDiscount($U$35,Y21306,,Trigger)</f>
        <v>0.31007754677993393</v>
      </c>
    </row>
    <row r="21307" spans="25:26" x14ac:dyDescent="0.25">
      <c r="Y21307" s="63">
        <v>63840</v>
      </c>
      <c r="Z21307" s="61">
        <f>_xll.qlYieldTSDiscount($U$35,Y21307,,Trigger)</f>
        <v>0.31005807012708925</v>
      </c>
    </row>
    <row r="21308" spans="25:26" x14ac:dyDescent="0.25">
      <c r="Y21308" s="63">
        <v>63841</v>
      </c>
      <c r="Z21308" s="61">
        <f>_xll.qlYieldTSDiscount($U$35,Y21308,,Trigger)</f>
        <v>0.31003859370810455</v>
      </c>
    </row>
    <row r="21309" spans="25:26" x14ac:dyDescent="0.25">
      <c r="Y21309" s="63">
        <v>63842</v>
      </c>
      <c r="Z21309" s="61">
        <f>_xll.qlYieldTSDiscount($U$35,Y21309,,Trigger)</f>
        <v>0.31001911752261402</v>
      </c>
    </row>
    <row r="21310" spans="25:26" x14ac:dyDescent="0.25">
      <c r="Y21310" s="63">
        <v>63843</v>
      </c>
      <c r="Z21310" s="61">
        <f>_xll.qlYieldTSDiscount($U$35,Y21310,,Trigger)</f>
        <v>0.30999964157025145</v>
      </c>
    </row>
    <row r="21311" spans="25:26" x14ac:dyDescent="0.25">
      <c r="Y21311" s="63">
        <v>63844</v>
      </c>
      <c r="Z21311" s="61">
        <f>_xll.qlYieldTSDiscount($U$35,Y21311,,Trigger)</f>
        <v>0.30998016585065108</v>
      </c>
    </row>
    <row r="21312" spans="25:26" x14ac:dyDescent="0.25">
      <c r="Y21312" s="63">
        <v>63845</v>
      </c>
      <c r="Z21312" s="61">
        <f>_xll.qlYieldTSDiscount($U$35,Y21312,,Trigger)</f>
        <v>0.3099606903634467</v>
      </c>
    </row>
    <row r="21313" spans="25:26" x14ac:dyDescent="0.25">
      <c r="Y21313" s="63">
        <v>63846</v>
      </c>
      <c r="Z21313" s="61">
        <f>_xll.qlYieldTSDiscount($U$35,Y21313,,Trigger)</f>
        <v>0.30994121510827255</v>
      </c>
    </row>
    <row r="21314" spans="25:26" x14ac:dyDescent="0.25">
      <c r="Y21314" s="63">
        <v>63847</v>
      </c>
      <c r="Z21314" s="61">
        <f>_xll.qlYieldTSDiscount($U$35,Y21314,,Trigger)</f>
        <v>0.30992174008476253</v>
      </c>
    </row>
    <row r="21315" spans="25:26" x14ac:dyDescent="0.25">
      <c r="Y21315" s="63">
        <v>63848</v>
      </c>
      <c r="Z21315" s="61">
        <f>_xll.qlYieldTSDiscount($U$35,Y21315,,Trigger)</f>
        <v>0.30990226529255072</v>
      </c>
    </row>
    <row r="21316" spans="25:26" x14ac:dyDescent="0.25">
      <c r="Y21316" s="63">
        <v>63849</v>
      </c>
      <c r="Z21316" s="61">
        <f>_xll.qlYieldTSDiscount($U$35,Y21316,,Trigger)</f>
        <v>0.30988279073127106</v>
      </c>
    </row>
    <row r="21317" spans="25:26" x14ac:dyDescent="0.25">
      <c r="Y21317" s="63">
        <v>63850</v>
      </c>
      <c r="Z21317" s="61">
        <f>_xll.qlYieldTSDiscount($U$35,Y21317,,Trigger)</f>
        <v>0.30986331640055764</v>
      </c>
    </row>
    <row r="21318" spans="25:26" x14ac:dyDescent="0.25">
      <c r="Y21318" s="63">
        <v>63851</v>
      </c>
      <c r="Z21318" s="61">
        <f>_xll.qlYieldTSDiscount($U$35,Y21318,,Trigger)</f>
        <v>0.30984384230004447</v>
      </c>
    </row>
    <row r="21319" spans="25:26" x14ac:dyDescent="0.25">
      <c r="Y21319" s="63">
        <v>63852</v>
      </c>
      <c r="Z21319" s="61">
        <f>_xll.qlYieldTSDiscount($U$35,Y21319,,Trigger)</f>
        <v>0.30982436842936562</v>
      </c>
    </row>
    <row r="21320" spans="25:26" x14ac:dyDescent="0.25">
      <c r="Y21320" s="63">
        <v>63853</v>
      </c>
      <c r="Z21320" s="61">
        <f>_xll.qlYieldTSDiscount($U$35,Y21320,,Trigger)</f>
        <v>0.30980489478815504</v>
      </c>
    </row>
    <row r="21321" spans="25:26" x14ac:dyDescent="0.25">
      <c r="Y21321" s="63">
        <v>63854</v>
      </c>
      <c r="Z21321" s="61">
        <f>_xll.qlYieldTSDiscount($U$35,Y21321,,Trigger)</f>
        <v>0.3097854213760467</v>
      </c>
    </row>
    <row r="21322" spans="25:26" x14ac:dyDescent="0.25">
      <c r="Y21322" s="63">
        <v>63855</v>
      </c>
      <c r="Z21322" s="61">
        <f>_xll.qlYieldTSDiscount($U$35,Y21322,,Trigger)</f>
        <v>0.30976594819267472</v>
      </c>
    </row>
    <row r="21323" spans="25:26" x14ac:dyDescent="0.25">
      <c r="Y21323" s="63">
        <v>63856</v>
      </c>
      <c r="Z21323" s="61">
        <f>_xll.qlYieldTSDiscount($U$35,Y21323,,Trigger)</f>
        <v>0.30974647523767318</v>
      </c>
    </row>
    <row r="21324" spans="25:26" x14ac:dyDescent="0.25">
      <c r="Y21324" s="63">
        <v>63857</v>
      </c>
      <c r="Z21324" s="61">
        <f>_xll.qlYieldTSDiscount($U$35,Y21324,,Trigger)</f>
        <v>0.30972700251067592</v>
      </c>
    </row>
    <row r="21325" spans="25:26" x14ac:dyDescent="0.25">
      <c r="Y21325" s="63">
        <v>63858</v>
      </c>
      <c r="Z21325" s="61">
        <f>_xll.qlYieldTSDiscount($U$35,Y21325,,Trigger)</f>
        <v>0.30970753001131712</v>
      </c>
    </row>
    <row r="21326" spans="25:26" x14ac:dyDescent="0.25">
      <c r="Y21326" s="63">
        <v>63859</v>
      </c>
      <c r="Z21326" s="61">
        <f>_xll.qlYieldTSDiscount($U$35,Y21326,,Trigger)</f>
        <v>0.30968805773923075</v>
      </c>
    </row>
    <row r="21327" spans="25:26" x14ac:dyDescent="0.25">
      <c r="Y21327" s="63">
        <v>63860</v>
      </c>
      <c r="Z21327" s="61">
        <f>_xll.qlYieldTSDiscount($U$35,Y21327,,Trigger)</f>
        <v>0.30966858569405081</v>
      </c>
    </row>
    <row r="21328" spans="25:26" x14ac:dyDescent="0.25">
      <c r="Y21328" s="63">
        <v>63861</v>
      </c>
      <c r="Z21328" s="61">
        <f>_xll.qlYieldTSDiscount($U$35,Y21328,,Trigger)</f>
        <v>0.30964911387541127</v>
      </c>
    </row>
    <row r="21329" spans="25:26" x14ac:dyDescent="0.25">
      <c r="Y21329" s="63">
        <v>63862</v>
      </c>
      <c r="Z21329" s="61">
        <f>_xll.qlYieldTSDiscount($U$35,Y21329,,Trigger)</f>
        <v>0.30962964228294632</v>
      </c>
    </row>
    <row r="21330" spans="25:26" x14ac:dyDescent="0.25">
      <c r="Y21330" s="63">
        <v>63863</v>
      </c>
      <c r="Z21330" s="61">
        <f>_xll.qlYieldTSDiscount($U$35,Y21330,,Trigger)</f>
        <v>0.30961017091628984</v>
      </c>
    </row>
    <row r="21331" spans="25:26" x14ac:dyDescent="0.25">
      <c r="Y21331" s="63">
        <v>63864</v>
      </c>
      <c r="Z21331" s="61">
        <f>_xll.qlYieldTSDiscount($U$35,Y21331,,Trigger)</f>
        <v>0.30959069977507581</v>
      </c>
    </row>
    <row r="21332" spans="25:26" x14ac:dyDescent="0.25">
      <c r="Y21332" s="63">
        <v>63865</v>
      </c>
      <c r="Z21332" s="61">
        <f>_xll.qlYieldTSDiscount($U$35,Y21332,,Trigger)</f>
        <v>0.30957122885893845</v>
      </c>
    </row>
    <row r="21333" spans="25:26" x14ac:dyDescent="0.25">
      <c r="Y21333" s="63">
        <v>63866</v>
      </c>
      <c r="Z21333" s="61">
        <f>_xll.qlYieldTSDiscount($U$35,Y21333,,Trigger)</f>
        <v>0.30955175816751168</v>
      </c>
    </row>
    <row r="21334" spans="25:26" x14ac:dyDescent="0.25">
      <c r="Y21334" s="63">
        <v>63867</v>
      </c>
      <c r="Z21334" s="61">
        <f>_xll.qlYieldTSDiscount($U$35,Y21334,,Trigger)</f>
        <v>0.30953228770042934</v>
      </c>
    </row>
    <row r="21335" spans="25:26" x14ac:dyDescent="0.25">
      <c r="Y21335" s="63">
        <v>63868</v>
      </c>
      <c r="Z21335" s="61">
        <f>_xll.qlYieldTSDiscount($U$35,Y21335,,Trigger)</f>
        <v>0.30951281745732584</v>
      </c>
    </row>
    <row r="21336" spans="25:26" x14ac:dyDescent="0.25">
      <c r="Y21336" s="63">
        <v>63869</v>
      </c>
      <c r="Z21336" s="61">
        <f>_xll.qlYieldTSDiscount($U$35,Y21336,,Trigger)</f>
        <v>0.3094933474378348</v>
      </c>
    </row>
    <row r="21337" spans="25:26" x14ac:dyDescent="0.25">
      <c r="Y21337" s="63">
        <v>63870</v>
      </c>
      <c r="Z21337" s="61">
        <f>_xll.qlYieldTSDiscount($U$35,Y21337,,Trigger)</f>
        <v>0.30947387764159051</v>
      </c>
    </row>
    <row r="21338" spans="25:26" x14ac:dyDescent="0.25">
      <c r="Y21338" s="63">
        <v>63871</v>
      </c>
      <c r="Z21338" s="61">
        <f>_xll.qlYieldTSDiscount($U$35,Y21338,,Trigger)</f>
        <v>0.30945440806822683</v>
      </c>
    </row>
    <row r="21339" spans="25:26" x14ac:dyDescent="0.25">
      <c r="Y21339" s="63">
        <v>63872</v>
      </c>
      <c r="Z21339" s="61">
        <f>_xll.qlYieldTSDiscount($U$35,Y21339,,Trigger)</f>
        <v>0.30943493871737804</v>
      </c>
    </row>
    <row r="21340" spans="25:26" x14ac:dyDescent="0.25">
      <c r="Y21340" s="63">
        <v>63873</v>
      </c>
      <c r="Z21340" s="61">
        <f>_xll.qlYieldTSDiscount($U$35,Y21340,,Trigger)</f>
        <v>0.30941546958867777</v>
      </c>
    </row>
    <row r="21341" spans="25:26" x14ac:dyDescent="0.25">
      <c r="Y21341" s="63">
        <v>63874</v>
      </c>
      <c r="Z21341" s="61">
        <f>_xll.qlYieldTSDiscount($U$35,Y21341,,Trigger)</f>
        <v>0.30939600068176026</v>
      </c>
    </row>
    <row r="21342" spans="25:26" x14ac:dyDescent="0.25">
      <c r="Y21342" s="63">
        <v>63875</v>
      </c>
      <c r="Z21342" s="61">
        <f>_xll.qlYieldTSDiscount($U$35,Y21342,,Trigger)</f>
        <v>0.3093765319962597</v>
      </c>
    </row>
    <row r="21343" spans="25:26" x14ac:dyDescent="0.25">
      <c r="Y21343" s="63">
        <v>63876</v>
      </c>
      <c r="Z21343" s="61">
        <f>_xll.qlYieldTSDiscount($U$35,Y21343,,Trigger)</f>
        <v>0.30935706353180975</v>
      </c>
    </row>
    <row r="21344" spans="25:26" x14ac:dyDescent="0.25">
      <c r="Y21344" s="63">
        <v>63877</v>
      </c>
      <c r="Z21344" s="61">
        <f>_xll.qlYieldTSDiscount($U$35,Y21344,,Trigger)</f>
        <v>0.30933759528804472</v>
      </c>
    </row>
    <row r="21345" spans="25:26" x14ac:dyDescent="0.25">
      <c r="Y21345" s="63">
        <v>63878</v>
      </c>
      <c r="Z21345" s="61">
        <f>_xll.qlYieldTSDiscount($U$35,Y21345,,Trigger)</f>
        <v>0.30931812726459856</v>
      </c>
    </row>
    <row r="21346" spans="25:26" x14ac:dyDescent="0.25">
      <c r="Y21346" s="63">
        <v>63879</v>
      </c>
      <c r="Z21346" s="61">
        <f>_xll.qlYieldTSDiscount($U$35,Y21346,,Trigger)</f>
        <v>0.30929865946110519</v>
      </c>
    </row>
    <row r="21347" spans="25:26" x14ac:dyDescent="0.25">
      <c r="Y21347" s="63">
        <v>63880</v>
      </c>
      <c r="Z21347" s="61">
        <f>_xll.qlYieldTSDiscount($U$35,Y21347,,Trigger)</f>
        <v>0.30927919187719866</v>
      </c>
    </row>
    <row r="21348" spans="25:26" x14ac:dyDescent="0.25">
      <c r="Y21348" s="63">
        <v>63881</v>
      </c>
      <c r="Z21348" s="61">
        <f>_xll.qlYieldTSDiscount($U$35,Y21348,,Trigger)</f>
        <v>0.3092597245125131</v>
      </c>
    </row>
    <row r="21349" spans="25:26" x14ac:dyDescent="0.25">
      <c r="Y21349" s="63">
        <v>63882</v>
      </c>
      <c r="Z21349" s="61">
        <f>_xll.qlYieldTSDiscount($U$35,Y21349,,Trigger)</f>
        <v>0.30924025736668243</v>
      </c>
    </row>
    <row r="21350" spans="25:26" x14ac:dyDescent="0.25">
      <c r="Y21350" s="63">
        <v>63883</v>
      </c>
      <c r="Z21350" s="61">
        <f>_xll.qlYieldTSDiscount($U$35,Y21350,,Trigger)</f>
        <v>0.3092207904393407</v>
      </c>
    </row>
    <row r="21351" spans="25:26" x14ac:dyDescent="0.25">
      <c r="Y21351" s="63">
        <v>63884</v>
      </c>
      <c r="Z21351" s="61">
        <f>_xll.qlYieldTSDiscount($U$35,Y21351,,Trigger)</f>
        <v>0.30920132373012199</v>
      </c>
    </row>
    <row r="21352" spans="25:26" x14ac:dyDescent="0.25">
      <c r="Y21352" s="63">
        <v>63885</v>
      </c>
      <c r="Z21352" s="61">
        <f>_xll.qlYieldTSDiscount($U$35,Y21352,,Trigger)</f>
        <v>0.30918185723866021</v>
      </c>
    </row>
    <row r="21353" spans="25:26" x14ac:dyDescent="0.25">
      <c r="Y21353" s="63">
        <v>63886</v>
      </c>
      <c r="Z21353" s="61">
        <f>_xll.qlYieldTSDiscount($U$35,Y21353,,Trigger)</f>
        <v>0.30916239096458947</v>
      </c>
    </row>
    <row r="21354" spans="25:26" x14ac:dyDescent="0.25">
      <c r="Y21354" s="63">
        <v>63887</v>
      </c>
      <c r="Z21354" s="61">
        <f>_xll.qlYieldTSDiscount($U$35,Y21354,,Trigger)</f>
        <v>0.30914292490754375</v>
      </c>
    </row>
    <row r="21355" spans="25:26" x14ac:dyDescent="0.25">
      <c r="Y21355" s="63">
        <v>63888</v>
      </c>
      <c r="Z21355" s="61">
        <f>_xll.qlYieldTSDiscount($U$35,Y21355,,Trigger)</f>
        <v>0.30912345906715716</v>
      </c>
    </row>
    <row r="21356" spans="25:26" x14ac:dyDescent="0.25">
      <c r="Y21356" s="63">
        <v>63889</v>
      </c>
      <c r="Z21356" s="61">
        <f>_xll.qlYieldTSDiscount($U$35,Y21356,,Trigger)</f>
        <v>0.30910399344306361</v>
      </c>
    </row>
    <row r="21357" spans="25:26" x14ac:dyDescent="0.25">
      <c r="Y21357" s="63">
        <v>63890</v>
      </c>
      <c r="Z21357" s="61">
        <f>_xll.qlYieldTSDiscount($U$35,Y21357,,Trigger)</f>
        <v>0.30908452803489711</v>
      </c>
    </row>
    <row r="21358" spans="25:26" x14ac:dyDescent="0.25">
      <c r="Y21358" s="63">
        <v>63891</v>
      </c>
      <c r="Z21358" s="61">
        <f>_xll.qlYieldTSDiscount($U$35,Y21358,,Trigger)</f>
        <v>0.30906506284229179</v>
      </c>
    </row>
    <row r="21359" spans="25:26" x14ac:dyDescent="0.25">
      <c r="Y21359" s="63">
        <v>63892</v>
      </c>
      <c r="Z21359" s="61">
        <f>_xll.qlYieldTSDiscount($U$35,Y21359,,Trigger)</f>
        <v>0.30904559786488162</v>
      </c>
    </row>
    <row r="21360" spans="25:26" x14ac:dyDescent="0.25">
      <c r="Y21360" s="63">
        <v>63893</v>
      </c>
      <c r="Z21360" s="61">
        <f>_xll.qlYieldTSDiscount($U$35,Y21360,,Trigger)</f>
        <v>0.30902613310230054</v>
      </c>
    </row>
    <row r="21361" spans="25:26" x14ac:dyDescent="0.25">
      <c r="Y21361" s="63">
        <v>63894</v>
      </c>
      <c r="Z21361" s="61">
        <f>_xll.qlYieldTSDiscount($U$35,Y21361,,Trigger)</f>
        <v>0.30900666855418268</v>
      </c>
    </row>
    <row r="21362" spans="25:26" x14ac:dyDescent="0.25">
      <c r="Y21362" s="63">
        <v>63895</v>
      </c>
      <c r="Z21362" s="61">
        <f>_xll.qlYieldTSDiscount($U$35,Y21362,,Trigger)</f>
        <v>0.30898720422016207</v>
      </c>
    </row>
    <row r="21363" spans="25:26" x14ac:dyDescent="0.25">
      <c r="Y21363" s="63">
        <v>63896</v>
      </c>
      <c r="Z21363" s="61">
        <f>_xll.qlYieldTSDiscount($U$35,Y21363,,Trigger)</f>
        <v>0.30896774009987266</v>
      </c>
    </row>
    <row r="21364" spans="25:26" x14ac:dyDescent="0.25">
      <c r="Y21364" s="63">
        <v>63897</v>
      </c>
      <c r="Z21364" s="61">
        <f>_xll.qlYieldTSDiscount($U$35,Y21364,,Trigger)</f>
        <v>0.30894827619294851</v>
      </c>
    </row>
    <row r="21365" spans="25:26" x14ac:dyDescent="0.25">
      <c r="Y21365" s="63">
        <v>63898</v>
      </c>
      <c r="Z21365" s="61">
        <f>_xll.qlYieldTSDiscount($U$35,Y21365,,Trigger)</f>
        <v>0.30892881249902365</v>
      </c>
    </row>
    <row r="21366" spans="25:26" x14ac:dyDescent="0.25">
      <c r="Y21366" s="63">
        <v>63899</v>
      </c>
      <c r="Z21366" s="61">
        <f>_xll.qlYieldTSDiscount($U$35,Y21366,,Trigger)</f>
        <v>0.30890934901773204</v>
      </c>
    </row>
    <row r="21367" spans="25:26" x14ac:dyDescent="0.25">
      <c r="Y21367" s="63">
        <v>63900</v>
      </c>
      <c r="Z21367" s="61">
        <f>_xll.qlYieldTSDiscount($U$35,Y21367,,Trigger)</f>
        <v>0.30888988574870779</v>
      </c>
    </row>
    <row r="21368" spans="25:26" x14ac:dyDescent="0.25">
      <c r="Y21368" s="63">
        <v>63901</v>
      </c>
      <c r="Z21368" s="61">
        <f>_xll.qlYieldTSDiscount($U$35,Y21368,,Trigger)</f>
        <v>0.30887042269158488</v>
      </c>
    </row>
    <row r="21369" spans="25:26" x14ac:dyDescent="0.25">
      <c r="Y21369" s="63">
        <v>63902</v>
      </c>
      <c r="Z21369" s="61">
        <f>_xll.qlYieldTSDiscount($U$35,Y21369,,Trigger)</f>
        <v>0.30885095984599725</v>
      </c>
    </row>
    <row r="21370" spans="25:26" x14ac:dyDescent="0.25">
      <c r="Y21370" s="63">
        <v>63903</v>
      </c>
      <c r="Z21370" s="61">
        <f>_xll.qlYieldTSDiscount($U$35,Y21370,,Trigger)</f>
        <v>0.3088314972115791</v>
      </c>
    </row>
    <row r="21371" spans="25:26" x14ac:dyDescent="0.25">
      <c r="Y21371" s="63">
        <v>63904</v>
      </c>
      <c r="Z21371" s="61">
        <f>_xll.qlYieldTSDiscount($U$35,Y21371,,Trigger)</f>
        <v>0.30881203478796432</v>
      </c>
    </row>
    <row r="21372" spans="25:26" x14ac:dyDescent="0.25">
      <c r="Y21372" s="63">
        <v>63905</v>
      </c>
      <c r="Z21372" s="61">
        <f>_xll.qlYieldTSDiscount($U$35,Y21372,,Trigger)</f>
        <v>0.30879257257478704</v>
      </c>
    </row>
    <row r="21373" spans="25:26" x14ac:dyDescent="0.25">
      <c r="Y21373" s="63">
        <v>63906</v>
      </c>
      <c r="Z21373" s="61">
        <f>_xll.qlYieldTSDiscount($U$35,Y21373,,Trigger)</f>
        <v>0.30877311057168111</v>
      </c>
    </row>
    <row r="21374" spans="25:26" x14ac:dyDescent="0.25">
      <c r="Y21374" s="63">
        <v>63907</v>
      </c>
      <c r="Z21374" s="61">
        <f>_xll.qlYieldTSDiscount($U$35,Y21374,,Trigger)</f>
        <v>0.30875364877828071</v>
      </c>
    </row>
    <row r="21375" spans="25:26" x14ac:dyDescent="0.25">
      <c r="Y21375" s="63">
        <v>63908</v>
      </c>
      <c r="Z21375" s="61">
        <f>_xll.qlYieldTSDiscount($U$35,Y21375,,Trigger)</f>
        <v>0.3087341871942198</v>
      </c>
    </row>
    <row r="21376" spans="25:26" x14ac:dyDescent="0.25">
      <c r="Y21376" s="63">
        <v>63909</v>
      </c>
      <c r="Z21376" s="61">
        <f>_xll.qlYieldTSDiscount($U$35,Y21376,,Trigger)</f>
        <v>0.30871472581913234</v>
      </c>
    </row>
    <row r="21377" spans="25:26" x14ac:dyDescent="0.25">
      <c r="Y21377" s="63">
        <v>63910</v>
      </c>
      <c r="Z21377" s="61">
        <f>_xll.qlYieldTSDiscount($U$35,Y21377,,Trigger)</f>
        <v>0.30869526465265251</v>
      </c>
    </row>
    <row r="21378" spans="25:26" x14ac:dyDescent="0.25">
      <c r="Y21378" s="63">
        <v>63911</v>
      </c>
      <c r="Z21378" s="61">
        <f>_xll.qlYieldTSDiscount($U$35,Y21378,,Trigger)</f>
        <v>0.30867580369441416</v>
      </c>
    </row>
    <row r="21379" spans="25:26" x14ac:dyDescent="0.25">
      <c r="Y21379" s="63">
        <v>63912</v>
      </c>
      <c r="Z21379" s="61">
        <f>_xll.qlYieldTSDiscount($U$35,Y21379,,Trigger)</f>
        <v>0.30865634294405142</v>
      </c>
    </row>
    <row r="21380" spans="25:26" x14ac:dyDescent="0.25">
      <c r="Y21380" s="63">
        <v>63913</v>
      </c>
      <c r="Z21380" s="61">
        <f>_xll.qlYieldTSDiscount($U$35,Y21380,,Trigger)</f>
        <v>0.3086368824011983</v>
      </c>
    </row>
    <row r="21381" spans="25:26" x14ac:dyDescent="0.25">
      <c r="Y21381" s="63">
        <v>63914</v>
      </c>
      <c r="Z21381" s="61">
        <f>_xll.qlYieldTSDiscount($U$35,Y21381,,Trigger)</f>
        <v>0.30861742206548881</v>
      </c>
    </row>
    <row r="21382" spans="25:26" x14ac:dyDescent="0.25">
      <c r="Y21382" s="63">
        <v>63915</v>
      </c>
      <c r="Z21382" s="61">
        <f>_xll.qlYieldTSDiscount($U$35,Y21382,,Trigger)</f>
        <v>0.30859796193655692</v>
      </c>
    </row>
    <row r="21383" spans="25:26" x14ac:dyDescent="0.25">
      <c r="Y21383" s="63">
        <v>63916</v>
      </c>
      <c r="Z21383" s="61">
        <f>_xll.qlYieldTSDiscount($U$35,Y21383,,Trigger)</f>
        <v>0.30857850201403675</v>
      </c>
    </row>
    <row r="21384" spans="25:26" x14ac:dyDescent="0.25">
      <c r="Y21384" s="63">
        <v>63917</v>
      </c>
      <c r="Z21384" s="61">
        <f>_xll.qlYieldTSDiscount($U$35,Y21384,,Trigger)</f>
        <v>0.3085590422975622</v>
      </c>
    </row>
    <row r="21385" spans="25:26" x14ac:dyDescent="0.25">
      <c r="Y21385" s="63">
        <v>63918</v>
      </c>
      <c r="Z21385" s="61">
        <f>_xll.qlYieldTSDiscount($U$35,Y21385,,Trigger)</f>
        <v>0.30853958278676746</v>
      </c>
    </row>
    <row r="21386" spans="25:26" x14ac:dyDescent="0.25">
      <c r="Y21386" s="63">
        <v>63919</v>
      </c>
      <c r="Z21386" s="61">
        <f>_xll.qlYieldTSDiscount($U$35,Y21386,,Trigger)</f>
        <v>0.30852012348128638</v>
      </c>
    </row>
    <row r="21387" spans="25:26" x14ac:dyDescent="0.25">
      <c r="Y21387" s="63">
        <v>63920</v>
      </c>
      <c r="Z21387" s="61">
        <f>_xll.qlYieldTSDiscount($U$35,Y21387,,Trigger)</f>
        <v>0.30850066438075313</v>
      </c>
    </row>
    <row r="21388" spans="25:26" x14ac:dyDescent="0.25">
      <c r="Y21388" s="63">
        <v>63921</v>
      </c>
      <c r="Z21388" s="61">
        <f>_xll.qlYieldTSDiscount($U$35,Y21388,,Trigger)</f>
        <v>0.30848120548480157</v>
      </c>
    </row>
    <row r="21389" spans="25:26" x14ac:dyDescent="0.25">
      <c r="Y21389" s="63">
        <v>63922</v>
      </c>
      <c r="Z21389" s="61">
        <f>_xll.qlYieldTSDiscount($U$35,Y21389,,Trigger)</f>
        <v>0.30846174679306582</v>
      </c>
    </row>
    <row r="21390" spans="25:26" x14ac:dyDescent="0.25">
      <c r="Y21390" s="63">
        <v>63923</v>
      </c>
      <c r="Z21390" s="61">
        <f>_xll.qlYieldTSDiscount($U$35,Y21390,,Trigger)</f>
        <v>0.30844228830518</v>
      </c>
    </row>
    <row r="21391" spans="25:26" x14ac:dyDescent="0.25">
      <c r="Y21391" s="63">
        <v>63924</v>
      </c>
      <c r="Z21391" s="61">
        <f>_xll.qlYieldTSDiscount($U$35,Y21391,,Trigger)</f>
        <v>0.30842283002077786</v>
      </c>
    </row>
    <row r="21392" spans="25:26" x14ac:dyDescent="0.25">
      <c r="Y21392" s="63">
        <v>63925</v>
      </c>
      <c r="Z21392" s="61">
        <f>_xll.qlYieldTSDiscount($U$35,Y21392,,Trigger)</f>
        <v>0.30840337193949369</v>
      </c>
    </row>
    <row r="21393" spans="25:26" x14ac:dyDescent="0.25">
      <c r="Y21393" s="63">
        <v>63926</v>
      </c>
      <c r="Z21393" s="61">
        <f>_xll.qlYieldTSDiscount($U$35,Y21393,,Trigger)</f>
        <v>0.30838391406096138</v>
      </c>
    </row>
    <row r="21394" spans="25:26" x14ac:dyDescent="0.25">
      <c r="Y21394" s="63">
        <v>63927</v>
      </c>
      <c r="Z21394" s="61">
        <f>_xll.qlYieldTSDiscount($U$35,Y21394,,Trigger)</f>
        <v>0.30836445638481502</v>
      </c>
    </row>
    <row r="21395" spans="25:26" x14ac:dyDescent="0.25">
      <c r="Y21395" s="63">
        <v>63928</v>
      </c>
      <c r="Z21395" s="61">
        <f>_xll.qlYieldTSDiscount($U$35,Y21395,,Trigger)</f>
        <v>0.30834499891068856</v>
      </c>
    </row>
    <row r="21396" spans="25:26" x14ac:dyDescent="0.25">
      <c r="Y21396" s="63">
        <v>63929</v>
      </c>
      <c r="Z21396" s="61">
        <f>_xll.qlYieldTSDiscount($U$35,Y21396,,Trigger)</f>
        <v>0.30832554163821607</v>
      </c>
    </row>
    <row r="21397" spans="25:26" x14ac:dyDescent="0.25">
      <c r="Y21397" s="63">
        <v>63930</v>
      </c>
      <c r="Z21397" s="61">
        <f>_xll.qlYieldTSDiscount($U$35,Y21397,,Trigger)</f>
        <v>0.30830608456703146</v>
      </c>
    </row>
    <row r="21398" spans="25:26" x14ac:dyDescent="0.25">
      <c r="Y21398" s="63">
        <v>63931</v>
      </c>
      <c r="Z21398" s="61">
        <f>_xll.qlYieldTSDiscount($U$35,Y21398,,Trigger)</f>
        <v>0.3082866276967689</v>
      </c>
    </row>
    <row r="21399" spans="25:26" x14ac:dyDescent="0.25">
      <c r="Y21399" s="63">
        <v>63932</v>
      </c>
      <c r="Z21399" s="61">
        <f>_xll.qlYieldTSDiscount($U$35,Y21399,,Trigger)</f>
        <v>0.30826717102706236</v>
      </c>
    </row>
    <row r="21400" spans="25:26" x14ac:dyDescent="0.25">
      <c r="Y21400" s="63">
        <v>63933</v>
      </c>
      <c r="Z21400" s="61">
        <f>_xll.qlYieldTSDiscount($U$35,Y21400,,Trigger)</f>
        <v>0.3082477145575459</v>
      </c>
    </row>
    <row r="21401" spans="25:26" x14ac:dyDescent="0.25">
      <c r="Y21401" s="63">
        <v>63934</v>
      </c>
      <c r="Z21401" s="61">
        <f>_xll.qlYieldTSDiscount($U$35,Y21401,,Trigger)</f>
        <v>0.30822825828785344</v>
      </c>
    </row>
    <row r="21402" spans="25:26" x14ac:dyDescent="0.25">
      <c r="Y21402" s="63">
        <v>63935</v>
      </c>
      <c r="Z21402" s="61">
        <f>_xll.qlYieldTSDiscount($U$35,Y21402,,Trigger)</f>
        <v>0.30820880221761909</v>
      </c>
    </row>
    <row r="21403" spans="25:26" x14ac:dyDescent="0.25">
      <c r="Y21403" s="63">
        <v>63936</v>
      </c>
      <c r="Z21403" s="61">
        <f>_xll.qlYieldTSDiscount($U$35,Y21403,,Trigger)</f>
        <v>0.30818934634647693</v>
      </c>
    </row>
    <row r="21404" spans="25:26" x14ac:dyDescent="0.25">
      <c r="Y21404" s="63">
        <v>63937</v>
      </c>
      <c r="Z21404" s="61">
        <f>_xll.qlYieldTSDiscount($U$35,Y21404,,Trigger)</f>
        <v>0.30816989067406081</v>
      </c>
    </row>
    <row r="21405" spans="25:26" x14ac:dyDescent="0.25">
      <c r="Y21405" s="63">
        <v>63938</v>
      </c>
      <c r="Z21405" s="61">
        <f>_xll.qlYieldTSDiscount($U$35,Y21405,,Trigger)</f>
        <v>0.30815043520000485</v>
      </c>
    </row>
    <row r="21406" spans="25:26" x14ac:dyDescent="0.25">
      <c r="Y21406" s="63">
        <v>63939</v>
      </c>
      <c r="Z21406" s="61">
        <f>_xll.qlYieldTSDiscount($U$35,Y21406,,Trigger)</f>
        <v>0.30813097992394312</v>
      </c>
    </row>
    <row r="21407" spans="25:26" x14ac:dyDescent="0.25">
      <c r="Y21407" s="63">
        <v>63940</v>
      </c>
      <c r="Z21407" s="61">
        <f>_xll.qlYieldTSDiscount($U$35,Y21407,,Trigger)</f>
        <v>0.30811152484550947</v>
      </c>
    </row>
    <row r="21408" spans="25:26" x14ac:dyDescent="0.25">
      <c r="Y21408" s="63">
        <v>63941</v>
      </c>
      <c r="Z21408" s="61">
        <f>_xll.qlYieldTSDiscount($U$35,Y21408,,Trigger)</f>
        <v>0.30809206996433808</v>
      </c>
    </row>
    <row r="21409" spans="25:26" x14ac:dyDescent="0.25">
      <c r="Y21409" s="63">
        <v>63942</v>
      </c>
      <c r="Z21409" s="61">
        <f>_xll.qlYieldTSDiscount($U$35,Y21409,,Trigger)</f>
        <v>0.30807261528006297</v>
      </c>
    </row>
    <row r="21410" spans="25:26" x14ac:dyDescent="0.25">
      <c r="Y21410" s="63">
        <v>63943</v>
      </c>
      <c r="Z21410" s="61">
        <f>_xll.qlYieldTSDiscount($U$35,Y21410,,Trigger)</f>
        <v>0.30805316079231804</v>
      </c>
    </row>
    <row r="21411" spans="25:26" x14ac:dyDescent="0.25">
      <c r="Y21411" s="63">
        <v>63944</v>
      </c>
      <c r="Z21411" s="61">
        <f>_xll.qlYieldTSDiscount($U$35,Y21411,,Trigger)</f>
        <v>0.30803370650073753</v>
      </c>
    </row>
    <row r="21412" spans="25:26" x14ac:dyDescent="0.25">
      <c r="Y21412" s="63">
        <v>63945</v>
      </c>
      <c r="Z21412" s="61">
        <f>_xll.qlYieldTSDiscount($U$35,Y21412,,Trigger)</f>
        <v>0.30801425240495517</v>
      </c>
    </row>
    <row r="21413" spans="25:26" x14ac:dyDescent="0.25">
      <c r="Y21413" s="63">
        <v>63946</v>
      </c>
      <c r="Z21413" s="61">
        <f>_xll.qlYieldTSDiscount($U$35,Y21413,,Trigger)</f>
        <v>0.30799479850460526</v>
      </c>
    </row>
    <row r="21414" spans="25:26" x14ac:dyDescent="0.25">
      <c r="Y21414" s="63">
        <v>63947</v>
      </c>
      <c r="Z21414" s="61">
        <f>_xll.qlYieldTSDiscount($U$35,Y21414,,Trigger)</f>
        <v>0.30797534479932154</v>
      </c>
    </row>
    <row r="21415" spans="25:26" x14ac:dyDescent="0.25">
      <c r="Y21415" s="63">
        <v>63948</v>
      </c>
      <c r="Z21415" s="61">
        <f>_xll.qlYieldTSDiscount($U$35,Y21415,,Trigger)</f>
        <v>0.30795589128873829</v>
      </c>
    </row>
    <row r="21416" spans="25:26" x14ac:dyDescent="0.25">
      <c r="Y21416" s="63">
        <v>63949</v>
      </c>
      <c r="Z21416" s="61">
        <f>_xll.qlYieldTSDiscount($U$35,Y21416,,Trigger)</f>
        <v>0.30793643797248943</v>
      </c>
    </row>
    <row r="21417" spans="25:26" x14ac:dyDescent="0.25">
      <c r="Y21417" s="63">
        <v>63950</v>
      </c>
      <c r="Z21417" s="61">
        <f>_xll.qlYieldTSDiscount($U$35,Y21417,,Trigger)</f>
        <v>0.30791698485020896</v>
      </c>
    </row>
    <row r="21418" spans="25:26" x14ac:dyDescent="0.25">
      <c r="Y21418" s="63">
        <v>63951</v>
      </c>
      <c r="Z21418" s="61">
        <f>_xll.qlYieldTSDiscount($U$35,Y21418,,Trigger)</f>
        <v>0.30789753192153096</v>
      </c>
    </row>
    <row r="21419" spans="25:26" x14ac:dyDescent="0.25">
      <c r="Y21419" s="63">
        <v>63952</v>
      </c>
      <c r="Z21419" s="61">
        <f>_xll.qlYieldTSDiscount($U$35,Y21419,,Trigger)</f>
        <v>0.30787807918608939</v>
      </c>
    </row>
    <row r="21420" spans="25:26" x14ac:dyDescent="0.25">
      <c r="Y21420" s="63">
        <v>63953</v>
      </c>
      <c r="Z21420" s="61">
        <f>_xll.qlYieldTSDiscount($U$35,Y21420,,Trigger)</f>
        <v>0.30785862664351832</v>
      </c>
    </row>
    <row r="21421" spans="25:26" x14ac:dyDescent="0.25">
      <c r="Y21421" s="63">
        <v>63954</v>
      </c>
      <c r="Z21421" s="61">
        <f>_xll.qlYieldTSDiscount($U$35,Y21421,,Trigger)</f>
        <v>0.3078391742934517</v>
      </c>
    </row>
    <row r="21422" spans="25:26" x14ac:dyDescent="0.25">
      <c r="Y21422" s="63">
        <v>63955</v>
      </c>
      <c r="Z21422" s="61">
        <f>_xll.qlYieldTSDiscount($U$35,Y21422,,Trigger)</f>
        <v>0.30781972213552361</v>
      </c>
    </row>
    <row r="21423" spans="25:26" x14ac:dyDescent="0.25">
      <c r="Y21423" s="63">
        <v>63956</v>
      </c>
      <c r="Z21423" s="61">
        <f>_xll.qlYieldTSDiscount($U$35,Y21423,,Trigger)</f>
        <v>0.30780027016936812</v>
      </c>
    </row>
    <row r="21424" spans="25:26" x14ac:dyDescent="0.25">
      <c r="Y21424" s="63">
        <v>63957</v>
      </c>
      <c r="Z21424" s="61">
        <f>_xll.qlYieldTSDiscount($U$35,Y21424,,Trigger)</f>
        <v>0.30778081839461913</v>
      </c>
    </row>
    <row r="21425" spans="25:26" x14ac:dyDescent="0.25">
      <c r="Y21425" s="63">
        <v>63958</v>
      </c>
      <c r="Z21425" s="61">
        <f>_xll.qlYieldTSDiscount($U$35,Y21425,,Trigger)</f>
        <v>0.30776136681091082</v>
      </c>
    </row>
    <row r="21426" spans="25:26" x14ac:dyDescent="0.25">
      <c r="Y21426" s="63">
        <v>63959</v>
      </c>
      <c r="Z21426" s="61">
        <f>_xll.qlYieldTSDiscount($U$35,Y21426,,Trigger)</f>
        <v>0.30774191541787704</v>
      </c>
    </row>
    <row r="21427" spans="25:26" x14ac:dyDescent="0.25">
      <c r="Y21427" s="63">
        <v>63960</v>
      </c>
      <c r="Z21427" s="61">
        <f>_xll.qlYieldTSDiscount($U$35,Y21427,,Trigger)</f>
        <v>0.30772246421515187</v>
      </c>
    </row>
    <row r="21428" spans="25:26" x14ac:dyDescent="0.25">
      <c r="Y21428" s="63">
        <v>63961</v>
      </c>
      <c r="Z21428" s="61">
        <f>_xll.qlYieldTSDiscount($U$35,Y21428,,Trigger)</f>
        <v>0.30770301320236937</v>
      </c>
    </row>
    <row r="21429" spans="25:26" x14ac:dyDescent="0.25">
      <c r="Y21429" s="63">
        <v>63962</v>
      </c>
      <c r="Z21429" s="61">
        <f>_xll.qlYieldTSDiscount($U$35,Y21429,,Trigger)</f>
        <v>0.30768356237916356</v>
      </c>
    </row>
    <row r="21430" spans="25:26" x14ac:dyDescent="0.25">
      <c r="Y21430" s="63">
        <v>63963</v>
      </c>
      <c r="Z21430" s="61">
        <f>_xll.qlYieldTSDiscount($U$35,Y21430,,Trigger)</f>
        <v>0.3076641117451685</v>
      </c>
    </row>
    <row r="21431" spans="25:26" x14ac:dyDescent="0.25">
      <c r="Y21431" s="63">
        <v>63964</v>
      </c>
      <c r="Z21431" s="61">
        <f>_xll.qlYieldTSDiscount($U$35,Y21431,,Trigger)</f>
        <v>0.30764466130001805</v>
      </c>
    </row>
    <row r="21432" spans="25:26" x14ac:dyDescent="0.25">
      <c r="Y21432" s="63">
        <v>63965</v>
      </c>
      <c r="Z21432" s="61">
        <f>_xll.qlYieldTSDiscount($U$35,Y21432,,Trigger)</f>
        <v>0.30762521104334639</v>
      </c>
    </row>
    <row r="21433" spans="25:26" x14ac:dyDescent="0.25">
      <c r="Y21433" s="63">
        <v>63966</v>
      </c>
      <c r="Z21433" s="61">
        <f>_xll.qlYieldTSDiscount($U$35,Y21433,,Trigger)</f>
        <v>0.30760576097478748</v>
      </c>
    </row>
    <row r="21434" spans="25:26" x14ac:dyDescent="0.25">
      <c r="Y21434" s="63">
        <v>63967</v>
      </c>
      <c r="Z21434" s="61">
        <f>_xll.qlYieldTSDiscount($U$35,Y21434,,Trigger)</f>
        <v>0.30758631109397538</v>
      </c>
    </row>
    <row r="21435" spans="25:26" x14ac:dyDescent="0.25">
      <c r="Y21435" s="63">
        <v>63968</v>
      </c>
      <c r="Z21435" s="61">
        <f>_xll.qlYieldTSDiscount($U$35,Y21435,,Trigger)</f>
        <v>0.30756686140054412</v>
      </c>
    </row>
    <row r="21436" spans="25:26" x14ac:dyDescent="0.25">
      <c r="Y21436" s="63">
        <v>63969</v>
      </c>
      <c r="Z21436" s="61">
        <f>_xll.qlYieldTSDiscount($U$35,Y21436,,Trigger)</f>
        <v>0.3075474118941276</v>
      </c>
    </row>
    <row r="21437" spans="25:26" x14ac:dyDescent="0.25">
      <c r="Y21437" s="63">
        <v>63970</v>
      </c>
      <c r="Z21437" s="61">
        <f>_xll.qlYieldTSDiscount($U$35,Y21437,,Trigger)</f>
        <v>0.30752796257435994</v>
      </c>
    </row>
    <row r="21438" spans="25:26" x14ac:dyDescent="0.25">
      <c r="Y21438" s="63">
        <v>63971</v>
      </c>
      <c r="Z21438" s="61">
        <f>_xll.qlYieldTSDiscount($U$35,Y21438,,Trigger)</f>
        <v>0.30750851344087521</v>
      </c>
    </row>
    <row r="21439" spans="25:26" x14ac:dyDescent="0.25">
      <c r="Y21439" s="63">
        <v>63972</v>
      </c>
      <c r="Z21439" s="61">
        <f>_xll.qlYieldTSDiscount($U$35,Y21439,,Trigger)</f>
        <v>0.30748906449330737</v>
      </c>
    </row>
    <row r="21440" spans="25:26" x14ac:dyDescent="0.25">
      <c r="Y21440" s="63">
        <v>63973</v>
      </c>
      <c r="Z21440" s="61">
        <f>_xll.qlYieldTSDiscount($U$35,Y21440,,Trigger)</f>
        <v>0.30746961573129039</v>
      </c>
    </row>
    <row r="21441" spans="25:26" x14ac:dyDescent="0.25">
      <c r="Y21441" s="63">
        <v>63974</v>
      </c>
      <c r="Z21441" s="61">
        <f>_xll.qlYieldTSDiscount($U$35,Y21441,,Trigger)</f>
        <v>0.30745016715445839</v>
      </c>
    </row>
    <row r="21442" spans="25:26" x14ac:dyDescent="0.25">
      <c r="Y21442" s="63">
        <v>63975</v>
      </c>
      <c r="Z21442" s="61">
        <f>_xll.qlYieldTSDiscount($U$35,Y21442,,Trigger)</f>
        <v>0.30743071876244532</v>
      </c>
    </row>
    <row r="21443" spans="25:26" x14ac:dyDescent="0.25">
      <c r="Y21443" s="63">
        <v>63976</v>
      </c>
      <c r="Z21443" s="61">
        <f>_xll.qlYieldTSDiscount($U$35,Y21443,,Trigger)</f>
        <v>0.30741127055488526</v>
      </c>
    </row>
    <row r="21444" spans="25:26" x14ac:dyDescent="0.25">
      <c r="Y21444" s="63">
        <v>63977</v>
      </c>
      <c r="Z21444" s="61">
        <f>_xll.qlYieldTSDiscount($U$35,Y21444,,Trigger)</f>
        <v>0.30739182253141217</v>
      </c>
    </row>
    <row r="21445" spans="25:26" x14ac:dyDescent="0.25">
      <c r="Y21445" s="63">
        <v>63978</v>
      </c>
      <c r="Z21445" s="61">
        <f>_xll.qlYieldTSDiscount($U$35,Y21445,,Trigger)</f>
        <v>0.30737237469166012</v>
      </c>
    </row>
    <row r="21446" spans="25:26" x14ac:dyDescent="0.25">
      <c r="Y21446" s="63">
        <v>63979</v>
      </c>
      <c r="Z21446" s="61">
        <f>_xll.qlYieldTSDiscount($U$35,Y21446,,Trigger)</f>
        <v>0.30735292703526307</v>
      </c>
    </row>
    <row r="21447" spans="25:26" x14ac:dyDescent="0.25">
      <c r="Y21447" s="63">
        <v>63980</v>
      </c>
      <c r="Z21447" s="61">
        <f>_xll.qlYieldTSDiscount($U$35,Y21447,,Trigger)</f>
        <v>0.30733347956185519</v>
      </c>
    </row>
    <row r="21448" spans="25:26" x14ac:dyDescent="0.25">
      <c r="Y21448" s="63">
        <v>63981</v>
      </c>
      <c r="Z21448" s="61">
        <f>_xll.qlYieldTSDiscount($U$35,Y21448,,Trigger)</f>
        <v>0.30731403227107035</v>
      </c>
    </row>
    <row r="21449" spans="25:26" x14ac:dyDescent="0.25">
      <c r="Y21449" s="63">
        <v>63982</v>
      </c>
      <c r="Z21449" s="61">
        <f>_xll.qlYieldTSDiscount($U$35,Y21449,,Trigger)</f>
        <v>0.3072945851625426</v>
      </c>
    </row>
    <row r="21450" spans="25:26" x14ac:dyDescent="0.25">
      <c r="Y21450" s="63">
        <v>63983</v>
      </c>
      <c r="Z21450" s="61">
        <f>_xll.qlYieldTSDiscount($U$35,Y21450,,Trigger)</f>
        <v>0.30727513823590602</v>
      </c>
    </row>
    <row r="21451" spans="25:26" x14ac:dyDescent="0.25">
      <c r="Y21451" s="63">
        <v>63984</v>
      </c>
      <c r="Z21451" s="61">
        <f>_xll.qlYieldTSDiscount($U$35,Y21451,,Trigger)</f>
        <v>0.30725569149079457</v>
      </c>
    </row>
    <row r="21452" spans="25:26" x14ac:dyDescent="0.25">
      <c r="Y21452" s="63">
        <v>63985</v>
      </c>
      <c r="Z21452" s="61">
        <f>_xll.qlYieldTSDiscount($U$35,Y21452,,Trigger)</f>
        <v>0.30723624492684226</v>
      </c>
    </row>
    <row r="21453" spans="25:26" x14ac:dyDescent="0.25">
      <c r="Y21453" s="63">
        <v>63986</v>
      </c>
      <c r="Z21453" s="61">
        <f>_xll.qlYieldTSDiscount($U$35,Y21453,,Trigger)</f>
        <v>0.30721679854368322</v>
      </c>
    </row>
    <row r="21454" spans="25:26" x14ac:dyDescent="0.25">
      <c r="Y21454" s="63">
        <v>63987</v>
      </c>
      <c r="Z21454" s="61">
        <f>_xll.qlYieldTSDiscount($U$35,Y21454,,Trigger)</f>
        <v>0.30719735234095136</v>
      </c>
    </row>
    <row r="21455" spans="25:26" x14ac:dyDescent="0.25">
      <c r="Y21455" s="63">
        <v>63988</v>
      </c>
      <c r="Z21455" s="61">
        <f>_xll.qlYieldTSDiscount($U$35,Y21455,,Trigger)</f>
        <v>0.30717790631828068</v>
      </c>
    </row>
    <row r="21456" spans="25:26" x14ac:dyDescent="0.25">
      <c r="Y21456" s="63">
        <v>63989</v>
      </c>
      <c r="Z21456" s="61">
        <f>_xll.qlYieldTSDiscount($U$35,Y21456,,Trigger)</f>
        <v>0.30715846047530537</v>
      </c>
    </row>
    <row r="21457" spans="25:26" x14ac:dyDescent="0.25">
      <c r="Y21457" s="63">
        <v>63990</v>
      </c>
      <c r="Z21457" s="61">
        <f>_xll.qlYieldTSDiscount($U$35,Y21457,,Trigger)</f>
        <v>0.30713901481165934</v>
      </c>
    </row>
    <row r="21458" spans="25:26" x14ac:dyDescent="0.25">
      <c r="Y21458" s="63">
        <v>63991</v>
      </c>
      <c r="Z21458" s="61">
        <f>_xll.qlYieldTSDiscount($U$35,Y21458,,Trigger)</f>
        <v>0.30711956932697654</v>
      </c>
    </row>
    <row r="21459" spans="25:26" x14ac:dyDescent="0.25">
      <c r="Y21459" s="63">
        <v>63992</v>
      </c>
      <c r="Z21459" s="61">
        <f>_xll.qlYieldTSDiscount($U$35,Y21459,,Trigger)</f>
        <v>0.30710012402089115</v>
      </c>
    </row>
    <row r="21460" spans="25:26" x14ac:dyDescent="0.25">
      <c r="Y21460" s="63">
        <v>63993</v>
      </c>
      <c r="Z21460" s="61">
        <f>_xll.qlYieldTSDiscount($U$35,Y21460,,Trigger)</f>
        <v>0.30708067889303703</v>
      </c>
    </row>
    <row r="21461" spans="25:26" x14ac:dyDescent="0.25">
      <c r="Y21461" s="63">
        <v>63994</v>
      </c>
      <c r="Z21461" s="61">
        <f>_xll.qlYieldTSDiscount($U$35,Y21461,,Trigger)</f>
        <v>0.30706123394304841</v>
      </c>
    </row>
    <row r="21462" spans="25:26" x14ac:dyDescent="0.25">
      <c r="Y21462" s="63">
        <v>63995</v>
      </c>
      <c r="Z21462" s="61">
        <f>_xll.qlYieldTSDiscount($U$35,Y21462,,Trigger)</f>
        <v>0.30704178917055908</v>
      </c>
    </row>
    <row r="21463" spans="25:26" x14ac:dyDescent="0.25">
      <c r="Y21463" s="63">
        <v>63996</v>
      </c>
      <c r="Z21463" s="61">
        <f>_xll.qlYieldTSDiscount($U$35,Y21463,,Trigger)</f>
        <v>0.30702234457520322</v>
      </c>
    </row>
    <row r="21464" spans="25:26" x14ac:dyDescent="0.25">
      <c r="Y21464" s="63">
        <v>63997</v>
      </c>
      <c r="Z21464" s="61">
        <f>_xll.qlYieldTSDiscount($U$35,Y21464,,Trigger)</f>
        <v>0.30700290015661474</v>
      </c>
    </row>
    <row r="21465" spans="25:26" x14ac:dyDescent="0.25">
      <c r="Y21465" s="63">
        <v>63998</v>
      </c>
      <c r="Z21465" s="61">
        <f>_xll.qlYieldTSDiscount($U$35,Y21465,,Trigger)</f>
        <v>0.30698345591442777</v>
      </c>
    </row>
    <row r="21466" spans="25:26" x14ac:dyDescent="0.25">
      <c r="Y21466" s="63">
        <v>63999</v>
      </c>
      <c r="Z21466" s="61">
        <f>_xll.qlYieldTSDiscount($U$35,Y21466,,Trigger)</f>
        <v>0.30696401184827632</v>
      </c>
    </row>
    <row r="21467" spans="25:26" x14ac:dyDescent="0.25">
      <c r="Y21467" s="63">
        <v>64000</v>
      </c>
      <c r="Z21467" s="61">
        <f>_xll.qlYieldTSDiscount($U$35,Y21467,,Trigger)</f>
        <v>0.30694456795779435</v>
      </c>
    </row>
    <row r="21468" spans="25:26" x14ac:dyDescent="0.25">
      <c r="Y21468" s="63">
        <v>64001</v>
      </c>
      <c r="Z21468" s="61">
        <f>_xll.qlYieldTSDiscount($U$35,Y21468,,Trigger)</f>
        <v>0.30692512424261581</v>
      </c>
    </row>
    <row r="21469" spans="25:26" x14ac:dyDescent="0.25">
      <c r="Y21469" s="63">
        <v>64002</v>
      </c>
      <c r="Z21469" s="61">
        <f>_xll.qlYieldTSDiscount($U$35,Y21469,,Trigger)</f>
        <v>0.30690568070237495</v>
      </c>
    </row>
    <row r="21470" spans="25:26" x14ac:dyDescent="0.25">
      <c r="Y21470" s="63">
        <v>64003</v>
      </c>
      <c r="Z21470" s="61">
        <f>_xll.qlYieldTSDiscount($U$35,Y21470,,Trigger)</f>
        <v>0.30688623733670561</v>
      </c>
    </row>
    <row r="21471" spans="25:26" x14ac:dyDescent="0.25">
      <c r="Y21471" s="63">
        <v>64004</v>
      </c>
      <c r="Z21471" s="61">
        <f>_xll.qlYieldTSDiscount($U$35,Y21471,,Trigger)</f>
        <v>0.30686679414524182</v>
      </c>
    </row>
    <row r="21472" spans="25:26" x14ac:dyDescent="0.25">
      <c r="Y21472" s="63">
        <v>64005</v>
      </c>
      <c r="Z21472" s="61">
        <f>_xll.qlYieldTSDiscount($U$35,Y21472,,Trigger)</f>
        <v>0.30684735112761768</v>
      </c>
    </row>
    <row r="21473" spans="25:26" x14ac:dyDescent="0.25">
      <c r="Y21473" s="63">
        <v>64006</v>
      </c>
      <c r="Z21473" s="61">
        <f>_xll.qlYieldTSDiscount($U$35,Y21473,,Trigger)</f>
        <v>0.30682790828346718</v>
      </c>
    </row>
    <row r="21474" spans="25:26" x14ac:dyDescent="0.25">
      <c r="Y21474" s="63">
        <v>64007</v>
      </c>
      <c r="Z21474" s="61">
        <f>_xll.qlYieldTSDiscount($U$35,Y21474,,Trigger)</f>
        <v>0.30680846561242436</v>
      </c>
    </row>
    <row r="21475" spans="25:26" x14ac:dyDescent="0.25">
      <c r="Y21475" s="63">
        <v>64008</v>
      </c>
      <c r="Z21475" s="61">
        <f>_xll.qlYieldTSDiscount($U$35,Y21475,,Trigger)</f>
        <v>0.30678902311412315</v>
      </c>
    </row>
    <row r="21476" spans="25:26" x14ac:dyDescent="0.25">
      <c r="Y21476" s="63">
        <v>64009</v>
      </c>
      <c r="Z21476" s="61">
        <f>_xll.qlYieldTSDiscount($U$35,Y21476,,Trigger)</f>
        <v>0.30676958078819766</v>
      </c>
    </row>
    <row r="21477" spans="25:26" x14ac:dyDescent="0.25">
      <c r="Y21477" s="63">
        <v>64010</v>
      </c>
      <c r="Z21477" s="61">
        <f>_xll.qlYieldTSDiscount($U$35,Y21477,,Trigger)</f>
        <v>0.30675013863428197</v>
      </c>
    </row>
    <row r="21478" spans="25:26" x14ac:dyDescent="0.25">
      <c r="Y21478" s="63">
        <v>64011</v>
      </c>
      <c r="Z21478" s="61">
        <f>_xll.qlYieldTSDiscount($U$35,Y21478,,Trigger)</f>
        <v>0.30673069665200997</v>
      </c>
    </row>
    <row r="21479" spans="25:26" x14ac:dyDescent="0.25">
      <c r="Y21479" s="63">
        <v>64012</v>
      </c>
      <c r="Z21479" s="61">
        <f>_xll.qlYieldTSDiscount($U$35,Y21479,,Trigger)</f>
        <v>0.30671125484101575</v>
      </c>
    </row>
    <row r="21480" spans="25:26" x14ac:dyDescent="0.25">
      <c r="Y21480" s="63">
        <v>64013</v>
      </c>
      <c r="Z21480" s="61">
        <f>_xll.qlYieldTSDiscount($U$35,Y21480,,Trigger)</f>
        <v>0.30669181320093331</v>
      </c>
    </row>
    <row r="21481" spans="25:26" x14ac:dyDescent="0.25">
      <c r="Y21481" s="63">
        <v>64014</v>
      </c>
      <c r="Z21481" s="61">
        <f>_xll.qlYieldTSDiscount($U$35,Y21481,,Trigger)</f>
        <v>0.30667237173139672</v>
      </c>
    </row>
    <row r="21482" spans="25:26" x14ac:dyDescent="0.25">
      <c r="Y21482" s="63">
        <v>64015</v>
      </c>
      <c r="Z21482" s="61">
        <f>_xll.qlYieldTSDiscount($U$35,Y21482,,Trigger)</f>
        <v>0.30665293043203984</v>
      </c>
    </row>
    <row r="21483" spans="25:26" x14ac:dyDescent="0.25">
      <c r="Y21483" s="63">
        <v>64016</v>
      </c>
      <c r="Z21483" s="61">
        <f>_xll.qlYieldTSDiscount($U$35,Y21483,,Trigger)</f>
        <v>0.30663348930249695</v>
      </c>
    </row>
    <row r="21484" spans="25:26" x14ac:dyDescent="0.25">
      <c r="Y21484" s="63">
        <v>64017</v>
      </c>
      <c r="Z21484" s="61">
        <f>_xll.qlYieldTSDiscount($U$35,Y21484,,Trigger)</f>
        <v>0.30661404834240186</v>
      </c>
    </row>
    <row r="21485" spans="25:26" x14ac:dyDescent="0.25">
      <c r="Y21485" s="63">
        <v>64018</v>
      </c>
      <c r="Z21485" s="61">
        <f>_xll.qlYieldTSDiscount($U$35,Y21485,,Trigger)</f>
        <v>0.30659460755138868</v>
      </c>
    </row>
    <row r="21486" spans="25:26" x14ac:dyDescent="0.25">
      <c r="Y21486" s="63">
        <v>64019</v>
      </c>
      <c r="Z21486" s="61">
        <f>_xll.qlYieldTSDiscount($U$35,Y21486,,Trigger)</f>
        <v>0.30657516692909148</v>
      </c>
    </row>
    <row r="21487" spans="25:26" x14ac:dyDescent="0.25">
      <c r="Y21487" s="63">
        <v>64020</v>
      </c>
      <c r="Z21487" s="61">
        <f>_xll.qlYieldTSDiscount($U$35,Y21487,,Trigger)</f>
        <v>0.30655572647514423</v>
      </c>
    </row>
    <row r="21488" spans="25:26" x14ac:dyDescent="0.25">
      <c r="Y21488" s="63">
        <v>64021</v>
      </c>
      <c r="Z21488" s="61">
        <f>_xll.qlYieldTSDiscount($U$35,Y21488,,Trigger)</f>
        <v>0.30653628618918083</v>
      </c>
    </row>
    <row r="21489" spans="25:26" x14ac:dyDescent="0.25">
      <c r="Y21489" s="63">
        <v>64022</v>
      </c>
      <c r="Z21489" s="61">
        <f>_xll.qlYieldTSDiscount($U$35,Y21489,,Trigger)</f>
        <v>0.30651684607083551</v>
      </c>
    </row>
    <row r="21490" spans="25:26" x14ac:dyDescent="0.25">
      <c r="Y21490" s="63">
        <v>64023</v>
      </c>
      <c r="Z21490" s="61">
        <f>_xll.qlYieldTSDiscount($U$35,Y21490,,Trigger)</f>
        <v>0.30649740611974219</v>
      </c>
    </row>
    <row r="21491" spans="25:26" x14ac:dyDescent="0.25">
      <c r="Y21491" s="63">
        <v>64024</v>
      </c>
      <c r="Z21491" s="61">
        <f>_xll.qlYieldTSDiscount($U$35,Y21491,,Trigger)</f>
        <v>0.30647796633553481</v>
      </c>
    </row>
    <row r="21492" spans="25:26" x14ac:dyDescent="0.25">
      <c r="Y21492" s="63">
        <v>64025</v>
      </c>
      <c r="Z21492" s="61">
        <f>_xll.qlYieldTSDiscount($U$35,Y21492,,Trigger)</f>
        <v>0.30645852671784757</v>
      </c>
    </row>
    <row r="21493" spans="25:26" x14ac:dyDescent="0.25">
      <c r="Y21493" s="63">
        <v>64026</v>
      </c>
      <c r="Z21493" s="61">
        <f>_xll.qlYieldTSDiscount($U$35,Y21493,,Trigger)</f>
        <v>0.30643908726631441</v>
      </c>
    </row>
    <row r="21494" spans="25:26" x14ac:dyDescent="0.25">
      <c r="Y21494" s="63">
        <v>64027</v>
      </c>
      <c r="Z21494" s="61">
        <f>_xll.qlYieldTSDiscount($U$35,Y21494,,Trigger)</f>
        <v>0.30641964798056931</v>
      </c>
    </row>
    <row r="21495" spans="25:26" x14ac:dyDescent="0.25">
      <c r="Y21495" s="63">
        <v>64028</v>
      </c>
      <c r="Z21495" s="61">
        <f>_xll.qlYieldTSDiscount($U$35,Y21495,,Trigger)</f>
        <v>0.30640020886024633</v>
      </c>
    </row>
    <row r="21496" spans="25:26" x14ac:dyDescent="0.25">
      <c r="Y21496" s="63">
        <v>64029</v>
      </c>
      <c r="Z21496" s="61">
        <f>_xll.qlYieldTSDiscount($U$35,Y21496,,Trigger)</f>
        <v>0.30638076990497948</v>
      </c>
    </row>
    <row r="21497" spans="25:26" x14ac:dyDescent="0.25">
      <c r="Y21497" s="63">
        <v>64030</v>
      </c>
      <c r="Z21497" s="61">
        <f>_xll.qlYieldTSDiscount($U$35,Y21497,,Trigger)</f>
        <v>0.30636133111440284</v>
      </c>
    </row>
    <row r="21498" spans="25:26" x14ac:dyDescent="0.25">
      <c r="Y21498" s="63">
        <v>64031</v>
      </c>
      <c r="Z21498" s="61">
        <f>_xll.qlYieldTSDiscount($U$35,Y21498,,Trigger)</f>
        <v>0.3063418924881503</v>
      </c>
    </row>
    <row r="21499" spans="25:26" x14ac:dyDescent="0.25">
      <c r="Y21499" s="63">
        <v>64032</v>
      </c>
      <c r="Z21499" s="61">
        <f>_xll.qlYieldTSDiscount($U$35,Y21499,,Trigger)</f>
        <v>0.30632245402585612</v>
      </c>
    </row>
    <row r="21500" spans="25:26" x14ac:dyDescent="0.25">
      <c r="Y21500" s="63">
        <v>64033</v>
      </c>
      <c r="Z21500" s="61">
        <f>_xll.qlYieldTSDiscount($U$35,Y21500,,Trigger)</f>
        <v>0.30630301572715396</v>
      </c>
    </row>
    <row r="21501" spans="25:26" x14ac:dyDescent="0.25">
      <c r="Y21501" s="63">
        <v>64034</v>
      </c>
      <c r="Z21501" s="61">
        <f>_xll.qlYieldTSDiscount($U$35,Y21501,,Trigger)</f>
        <v>0.30628357759167812</v>
      </c>
    </row>
    <row r="21502" spans="25:26" x14ac:dyDescent="0.25">
      <c r="Y21502" s="63">
        <v>64035</v>
      </c>
      <c r="Z21502" s="61">
        <f>_xll.qlYieldTSDiscount($U$35,Y21502,,Trigger)</f>
        <v>0.30626413961906263</v>
      </c>
    </row>
    <row r="21503" spans="25:26" x14ac:dyDescent="0.25">
      <c r="Y21503" s="63">
        <v>64036</v>
      </c>
      <c r="Z21503" s="61">
        <f>_xll.qlYieldTSDiscount($U$35,Y21503,,Trigger)</f>
        <v>0.30624470180894142</v>
      </c>
    </row>
    <row r="21504" spans="25:26" x14ac:dyDescent="0.25">
      <c r="Y21504" s="63">
        <v>64037</v>
      </c>
      <c r="Z21504" s="61">
        <f>_xll.qlYieldTSDiscount($U$35,Y21504,,Trigger)</f>
        <v>0.30622526416094842</v>
      </c>
    </row>
    <row r="21505" spans="25:26" x14ac:dyDescent="0.25">
      <c r="Y21505" s="63">
        <v>64038</v>
      </c>
      <c r="Z21505" s="61">
        <f>_xll.qlYieldTSDiscount($U$35,Y21505,,Trigger)</f>
        <v>0.30620582667471785</v>
      </c>
    </row>
    <row r="21506" spans="25:26" x14ac:dyDescent="0.25">
      <c r="Y21506" s="63">
        <v>64039</v>
      </c>
      <c r="Z21506" s="61">
        <f>_xll.qlYieldTSDiscount($U$35,Y21506,,Trigger)</f>
        <v>0.30618638934988363</v>
      </c>
    </row>
    <row r="21507" spans="25:26" x14ac:dyDescent="0.25">
      <c r="Y21507" s="63">
        <v>64040</v>
      </c>
      <c r="Z21507" s="61">
        <f>_xll.qlYieldTSDiscount($U$35,Y21507,,Trigger)</f>
        <v>0.3061669521860797</v>
      </c>
    </row>
    <row r="21508" spans="25:26" x14ac:dyDescent="0.25">
      <c r="Y21508" s="63">
        <v>64041</v>
      </c>
      <c r="Z21508" s="61">
        <f>_xll.qlYieldTSDiscount($U$35,Y21508,,Trigger)</f>
        <v>0.30614751518294026</v>
      </c>
    </row>
    <row r="21509" spans="25:26" x14ac:dyDescent="0.25">
      <c r="Y21509" s="63">
        <v>64042</v>
      </c>
      <c r="Z21509" s="61">
        <f>_xll.qlYieldTSDiscount($U$35,Y21509,,Trigger)</f>
        <v>0.30612807834009925</v>
      </c>
    </row>
    <row r="21510" spans="25:26" x14ac:dyDescent="0.25">
      <c r="Y21510" s="63">
        <v>64043</v>
      </c>
      <c r="Z21510" s="61">
        <f>_xll.qlYieldTSDiscount($U$35,Y21510,,Trigger)</f>
        <v>0.30610864165719059</v>
      </c>
    </row>
    <row r="21511" spans="25:26" x14ac:dyDescent="0.25">
      <c r="Y21511" s="63">
        <v>64044</v>
      </c>
      <c r="Z21511" s="61">
        <f>_xll.qlYieldTSDiscount($U$35,Y21511,,Trigger)</f>
        <v>0.30608920513384852</v>
      </c>
    </row>
    <row r="21512" spans="25:26" x14ac:dyDescent="0.25">
      <c r="Y21512" s="63">
        <v>64045</v>
      </c>
      <c r="Z21512" s="61">
        <f>_xll.qlYieldTSDiscount($U$35,Y21512,,Trigger)</f>
        <v>0.30606976876970693</v>
      </c>
    </row>
    <row r="21513" spans="25:26" x14ac:dyDescent="0.25">
      <c r="Y21513" s="63">
        <v>64046</v>
      </c>
      <c r="Z21513" s="61">
        <f>_xll.qlYieldTSDiscount($U$35,Y21513,,Trigger)</f>
        <v>0.30605033256439973</v>
      </c>
    </row>
    <row r="21514" spans="25:26" x14ac:dyDescent="0.25">
      <c r="Y21514" s="63">
        <v>64047</v>
      </c>
      <c r="Z21514" s="61">
        <f>_xll.qlYieldTSDiscount($U$35,Y21514,,Trigger)</f>
        <v>0.30603089651756121</v>
      </c>
    </row>
    <row r="21515" spans="25:26" x14ac:dyDescent="0.25">
      <c r="Y21515" s="63">
        <v>64048</v>
      </c>
      <c r="Z21515" s="61">
        <f>_xll.qlYieldTSDiscount($U$35,Y21515,,Trigger)</f>
        <v>0.30601146062882517</v>
      </c>
    </row>
    <row r="21516" spans="25:26" x14ac:dyDescent="0.25">
      <c r="Y21516" s="63">
        <v>64049</v>
      </c>
      <c r="Z21516" s="61">
        <f>_xll.qlYieldTSDiscount($U$35,Y21516,,Trigger)</f>
        <v>0.30599202489782568</v>
      </c>
    </row>
    <row r="21517" spans="25:26" x14ac:dyDescent="0.25">
      <c r="Y21517" s="63">
        <v>64050</v>
      </c>
      <c r="Z21517" s="61">
        <f>_xll.qlYieldTSDiscount($U$35,Y21517,,Trigger)</f>
        <v>0.3059725893241968</v>
      </c>
    </row>
    <row r="21518" spans="25:26" x14ac:dyDescent="0.25">
      <c r="Y21518" s="63">
        <v>64051</v>
      </c>
      <c r="Z21518" s="61">
        <f>_xll.qlYieldTSDiscount($U$35,Y21518,,Trigger)</f>
        <v>0.30595315390757255</v>
      </c>
    </row>
    <row r="21519" spans="25:26" x14ac:dyDescent="0.25">
      <c r="Y21519" s="63">
        <v>64052</v>
      </c>
      <c r="Z21519" s="61">
        <f>_xll.qlYieldTSDiscount($U$35,Y21519,,Trigger)</f>
        <v>0.30593371864758695</v>
      </c>
    </row>
    <row r="21520" spans="25:26" x14ac:dyDescent="0.25">
      <c r="Y21520" s="63">
        <v>64053</v>
      </c>
      <c r="Z21520" s="61">
        <f>_xll.qlYieldTSDiscount($U$35,Y21520,,Trigger)</f>
        <v>0.30591428354387401</v>
      </c>
    </row>
    <row r="21521" spans="25:26" x14ac:dyDescent="0.25">
      <c r="Y21521" s="63">
        <v>64054</v>
      </c>
      <c r="Z21521" s="61">
        <f>_xll.qlYieldTSDiscount($U$35,Y21521,,Trigger)</f>
        <v>0.30589484859606775</v>
      </c>
    </row>
    <row r="21522" spans="25:26" x14ac:dyDescent="0.25">
      <c r="Y21522" s="63">
        <v>64055</v>
      </c>
      <c r="Z21522" s="61">
        <f>_xll.qlYieldTSDiscount($U$35,Y21522,,Trigger)</f>
        <v>0.30587541380380229</v>
      </c>
    </row>
    <row r="21523" spans="25:26" x14ac:dyDescent="0.25">
      <c r="Y21523" s="63">
        <v>64056</v>
      </c>
      <c r="Z21523" s="61">
        <f>_xll.qlYieldTSDiscount($U$35,Y21523,,Trigger)</f>
        <v>0.30585597916671142</v>
      </c>
    </row>
    <row r="21524" spans="25:26" x14ac:dyDescent="0.25">
      <c r="Y21524" s="63">
        <v>64057</v>
      </c>
      <c r="Z21524" s="61">
        <f>_xll.qlYieldTSDiscount($U$35,Y21524,,Trigger)</f>
        <v>0.30583654468442939</v>
      </c>
    </row>
    <row r="21525" spans="25:26" x14ac:dyDescent="0.25">
      <c r="Y21525" s="63">
        <v>64058</v>
      </c>
      <c r="Z21525" s="61">
        <f>_xll.qlYieldTSDiscount($U$35,Y21525,,Trigger)</f>
        <v>0.30581711035659009</v>
      </c>
    </row>
    <row r="21526" spans="25:26" x14ac:dyDescent="0.25">
      <c r="Y21526" s="63">
        <v>64059</v>
      </c>
      <c r="Z21526" s="61">
        <f>_xll.qlYieldTSDiscount($U$35,Y21526,,Trigger)</f>
        <v>0.3057976761828276</v>
      </c>
    </row>
    <row r="21527" spans="25:26" x14ac:dyDescent="0.25">
      <c r="Y21527" s="63">
        <v>64060</v>
      </c>
      <c r="Z21527" s="61">
        <f>_xll.qlYieldTSDiscount($U$35,Y21527,,Trigger)</f>
        <v>0.30577824216277588</v>
      </c>
    </row>
    <row r="21528" spans="25:26" x14ac:dyDescent="0.25">
      <c r="Y21528" s="63">
        <v>64061</v>
      </c>
      <c r="Z21528" s="61">
        <f>_xll.qlYieldTSDiscount($U$35,Y21528,,Trigger)</f>
        <v>0.30575880829606905</v>
      </c>
    </row>
    <row r="21529" spans="25:26" x14ac:dyDescent="0.25">
      <c r="Y21529" s="63">
        <v>64062</v>
      </c>
      <c r="Z21529" s="61">
        <f>_xll.qlYieldTSDiscount($U$35,Y21529,,Trigger)</f>
        <v>0.30573937458234107</v>
      </c>
    </row>
    <row r="21530" spans="25:26" x14ac:dyDescent="0.25">
      <c r="Y21530" s="63">
        <v>64063</v>
      </c>
      <c r="Z21530" s="61">
        <f>_xll.qlYieldTSDiscount($U$35,Y21530,,Trigger)</f>
        <v>0.3057199410212259</v>
      </c>
    </row>
    <row r="21531" spans="25:26" x14ac:dyDescent="0.25">
      <c r="Y21531" s="63">
        <v>64064</v>
      </c>
      <c r="Z21531" s="61">
        <f>_xll.qlYieldTSDiscount($U$35,Y21531,,Trigger)</f>
        <v>0.30570050761235779</v>
      </c>
    </row>
    <row r="21532" spans="25:26" x14ac:dyDescent="0.25">
      <c r="Y21532" s="63">
        <v>64065</v>
      </c>
      <c r="Z21532" s="61">
        <f>_xll.qlYieldTSDiscount($U$35,Y21532,,Trigger)</f>
        <v>0.30568107435537051</v>
      </c>
    </row>
    <row r="21533" spans="25:26" x14ac:dyDescent="0.25">
      <c r="Y21533" s="63">
        <v>64066</v>
      </c>
      <c r="Z21533" s="61">
        <f>_xll.qlYieldTSDiscount($U$35,Y21533,,Trigger)</f>
        <v>0.3056616412498982</v>
      </c>
    </row>
    <row r="21534" spans="25:26" x14ac:dyDescent="0.25">
      <c r="Y21534" s="63">
        <v>64067</v>
      </c>
      <c r="Z21534" s="61">
        <f>_xll.qlYieldTSDiscount($U$35,Y21534,,Trigger)</f>
        <v>0.30564220829557481</v>
      </c>
    </row>
    <row r="21535" spans="25:26" x14ac:dyDescent="0.25">
      <c r="Y21535" s="63">
        <v>64068</v>
      </c>
      <c r="Z21535" s="61">
        <f>_xll.qlYieldTSDiscount($U$35,Y21535,,Trigger)</f>
        <v>0.30562277549203448</v>
      </c>
    </row>
    <row r="21536" spans="25:26" x14ac:dyDescent="0.25">
      <c r="Y21536" s="63">
        <v>64069</v>
      </c>
      <c r="Z21536" s="61">
        <f>_xll.qlYieldTSDiscount($U$35,Y21536,,Trigger)</f>
        <v>0.30560334283891116</v>
      </c>
    </row>
    <row r="21537" spans="25:26" x14ac:dyDescent="0.25">
      <c r="Y21537" s="63">
        <v>64070</v>
      </c>
      <c r="Z21537" s="61">
        <f>_xll.qlYieldTSDiscount($U$35,Y21537,,Trigger)</f>
        <v>0.30558391033583882</v>
      </c>
    </row>
    <row r="21538" spans="25:26" x14ac:dyDescent="0.25">
      <c r="Y21538" s="63">
        <v>64071</v>
      </c>
      <c r="Z21538" s="61">
        <f>_xll.qlYieldTSDiscount($U$35,Y21538,,Trigger)</f>
        <v>0.30556447798245162</v>
      </c>
    </row>
    <row r="21539" spans="25:26" x14ac:dyDescent="0.25">
      <c r="Y21539" s="63">
        <v>64072</v>
      </c>
      <c r="Z21539" s="61">
        <f>_xll.qlYieldTSDiscount($U$35,Y21539,,Trigger)</f>
        <v>0.30554504577838337</v>
      </c>
    </row>
    <row r="21540" spans="25:26" x14ac:dyDescent="0.25">
      <c r="Y21540" s="63">
        <v>64073</v>
      </c>
      <c r="Z21540" s="61">
        <f>_xll.qlYieldTSDiscount($U$35,Y21540,,Trigger)</f>
        <v>0.30552561372326831</v>
      </c>
    </row>
    <row r="21541" spans="25:26" x14ac:dyDescent="0.25">
      <c r="Y21541" s="63">
        <v>64074</v>
      </c>
      <c r="Z21541" s="61">
        <f>_xll.qlYieldTSDiscount($U$35,Y21541,,Trigger)</f>
        <v>0.30550618181674039</v>
      </c>
    </row>
    <row r="21542" spans="25:26" x14ac:dyDescent="0.25">
      <c r="Y21542" s="63">
        <v>64075</v>
      </c>
      <c r="Z21542" s="61">
        <f>_xll.qlYieldTSDiscount($U$35,Y21542,,Trigger)</f>
        <v>0.30548675005843356</v>
      </c>
    </row>
    <row r="21543" spans="25:26" x14ac:dyDescent="0.25">
      <c r="Y21543" s="63">
        <v>64076</v>
      </c>
      <c r="Z21543" s="61">
        <f>_xll.qlYieldTSDiscount($U$35,Y21543,,Trigger)</f>
        <v>0.30546731844798197</v>
      </c>
    </row>
    <row r="21544" spans="25:26" x14ac:dyDescent="0.25">
      <c r="Y21544" s="63">
        <v>64077</v>
      </c>
      <c r="Z21544" s="61">
        <f>_xll.qlYieldTSDiscount($U$35,Y21544,,Trigger)</f>
        <v>0.30544788698501957</v>
      </c>
    </row>
    <row r="21545" spans="25:26" x14ac:dyDescent="0.25">
      <c r="Y21545" s="63">
        <v>64078</v>
      </c>
      <c r="Z21545" s="61">
        <f>_xll.qlYieldTSDiscount($U$35,Y21545,,Trigger)</f>
        <v>0.30542845566918031</v>
      </c>
    </row>
    <row r="21546" spans="25:26" x14ac:dyDescent="0.25">
      <c r="Y21546" s="63">
        <v>64079</v>
      </c>
      <c r="Z21546" s="61">
        <f>_xll.qlYieldTSDiscount($U$35,Y21546,,Trigger)</f>
        <v>0.30540902450009827</v>
      </c>
    </row>
    <row r="21547" spans="25:26" x14ac:dyDescent="0.25">
      <c r="Y21547" s="63">
        <v>64080</v>
      </c>
      <c r="Z21547" s="61">
        <f>_xll.qlYieldTSDiscount($U$35,Y21547,,Trigger)</f>
        <v>0.30538959347740752</v>
      </c>
    </row>
    <row r="21548" spans="25:26" x14ac:dyDescent="0.25">
      <c r="Y21548" s="63">
        <v>64081</v>
      </c>
      <c r="Z21548" s="61">
        <f>_xll.qlYieldTSDiscount($U$35,Y21548,,Trigger)</f>
        <v>0.30537016260074207</v>
      </c>
    </row>
    <row r="21549" spans="25:26" x14ac:dyDescent="0.25">
      <c r="Y21549" s="63">
        <v>64082</v>
      </c>
      <c r="Z21549" s="61">
        <f>_xll.qlYieldTSDiscount($U$35,Y21549,,Trigger)</f>
        <v>0.30535073186973583</v>
      </c>
    </row>
    <row r="21550" spans="25:26" x14ac:dyDescent="0.25">
      <c r="Y21550" s="63">
        <v>64083</v>
      </c>
      <c r="Z21550" s="61">
        <f>_xll.qlYieldTSDiscount($U$35,Y21550,,Trigger)</f>
        <v>0.30533130128402297</v>
      </c>
    </row>
    <row r="21551" spans="25:26" x14ac:dyDescent="0.25">
      <c r="Y21551" s="63">
        <v>64084</v>
      </c>
      <c r="Z21551" s="61">
        <f>_xll.qlYieldTSDiscount($U$35,Y21551,,Trigger)</f>
        <v>0.30531187084323747</v>
      </c>
    </row>
    <row r="21552" spans="25:26" x14ac:dyDescent="0.25">
      <c r="Y21552" s="63">
        <v>64085</v>
      </c>
      <c r="Z21552" s="61">
        <f>_xll.qlYieldTSDiscount($U$35,Y21552,,Trigger)</f>
        <v>0.30529244054701332</v>
      </c>
    </row>
    <row r="21553" spans="25:26" x14ac:dyDescent="0.25">
      <c r="Y21553" s="63">
        <v>64086</v>
      </c>
      <c r="Z21553" s="61">
        <f>_xll.qlYieldTSDiscount($U$35,Y21553,,Trigger)</f>
        <v>0.30527301039498461</v>
      </c>
    </row>
    <row r="21554" spans="25:26" x14ac:dyDescent="0.25">
      <c r="Y21554" s="63">
        <v>64087</v>
      </c>
      <c r="Z21554" s="61">
        <f>_xll.qlYieldTSDiscount($U$35,Y21554,,Trigger)</f>
        <v>0.30525358038678524</v>
      </c>
    </row>
    <row r="21555" spans="25:26" x14ac:dyDescent="0.25">
      <c r="Y21555" s="63">
        <v>64088</v>
      </c>
      <c r="Z21555" s="61">
        <f>_xll.qlYieldTSDiscount($U$35,Y21555,,Trigger)</f>
        <v>0.30523415052204933</v>
      </c>
    </row>
    <row r="21556" spans="25:26" x14ac:dyDescent="0.25">
      <c r="Y21556" s="63">
        <v>64089</v>
      </c>
      <c r="Z21556" s="61">
        <f>_xll.qlYieldTSDiscount($U$35,Y21556,,Trigger)</f>
        <v>0.30521472080041079</v>
      </c>
    </row>
    <row r="21557" spans="25:26" x14ac:dyDescent="0.25">
      <c r="Y21557" s="63">
        <v>64090</v>
      </c>
      <c r="Z21557" s="61">
        <f>_xll.qlYieldTSDiscount($U$35,Y21557,,Trigger)</f>
        <v>0.30519529122150385</v>
      </c>
    </row>
    <row r="21558" spans="25:26" x14ac:dyDescent="0.25">
      <c r="Y21558" s="63">
        <v>64091</v>
      </c>
      <c r="Z21558" s="61">
        <f>_xll.qlYieldTSDiscount($U$35,Y21558,,Trigger)</f>
        <v>0.30517586178496231</v>
      </c>
    </row>
    <row r="21559" spans="25:26" x14ac:dyDescent="0.25">
      <c r="Y21559" s="63">
        <v>64092</v>
      </c>
      <c r="Z21559" s="61">
        <f>_xll.qlYieldTSDiscount($U$35,Y21559,,Trigger)</f>
        <v>0.30515643249042029</v>
      </c>
    </row>
    <row r="21560" spans="25:26" x14ac:dyDescent="0.25">
      <c r="Y21560" s="63">
        <v>64093</v>
      </c>
      <c r="Z21560" s="61">
        <f>_xll.qlYieldTSDiscount($U$35,Y21560,,Trigger)</f>
        <v>0.30513700333751187</v>
      </c>
    </row>
    <row r="21561" spans="25:26" x14ac:dyDescent="0.25">
      <c r="Y21561" s="63">
        <v>64094</v>
      </c>
      <c r="Z21561" s="61">
        <f>_xll.qlYieldTSDiscount($U$35,Y21561,,Trigger)</f>
        <v>0.30511757432587094</v>
      </c>
    </row>
    <row r="21562" spans="25:26" x14ac:dyDescent="0.25">
      <c r="Y21562" s="63">
        <v>64095</v>
      </c>
      <c r="Z21562" s="61">
        <f>_xll.qlYieldTSDiscount($U$35,Y21562,,Trigger)</f>
        <v>0.30509814545513164</v>
      </c>
    </row>
    <row r="21563" spans="25:26" x14ac:dyDescent="0.25">
      <c r="Y21563" s="63">
        <v>64096</v>
      </c>
      <c r="Z21563" s="61">
        <f>_xll.qlYieldTSDiscount($U$35,Y21563,,Trigger)</f>
        <v>0.30507871672492792</v>
      </c>
    </row>
    <row r="21564" spans="25:26" x14ac:dyDescent="0.25">
      <c r="Y21564" s="63">
        <v>64097</v>
      </c>
      <c r="Z21564" s="61">
        <f>_xll.qlYieldTSDiscount($U$35,Y21564,,Trigger)</f>
        <v>0.30505928813489391</v>
      </c>
    </row>
    <row r="21565" spans="25:26" x14ac:dyDescent="0.25">
      <c r="Y21565" s="63">
        <v>64098</v>
      </c>
      <c r="Z21565" s="61">
        <f>_xll.qlYieldTSDiscount($U$35,Y21565,,Trigger)</f>
        <v>0.30503985968466341</v>
      </c>
    </row>
    <row r="21566" spans="25:26" x14ac:dyDescent="0.25">
      <c r="Y21566" s="63">
        <v>64099</v>
      </c>
      <c r="Z21566" s="61">
        <f>_xll.qlYieldTSDiscount($U$35,Y21566,,Trigger)</f>
        <v>0.30502043137387064</v>
      </c>
    </row>
    <row r="21567" spans="25:26" x14ac:dyDescent="0.25">
      <c r="Y21567" s="63">
        <v>64100</v>
      </c>
      <c r="Z21567" s="61">
        <f>_xll.qlYieldTSDiscount($U$35,Y21567,,Trigger)</f>
        <v>0.30500100320214962</v>
      </c>
    </row>
    <row r="21568" spans="25:26" x14ac:dyDescent="0.25">
      <c r="Y21568" s="63">
        <v>64101</v>
      </c>
      <c r="Z21568" s="61">
        <f>_xll.qlYieldTSDiscount($U$35,Y21568,,Trigger)</f>
        <v>0.30498157516913421</v>
      </c>
    </row>
    <row r="21569" spans="25:26" x14ac:dyDescent="0.25">
      <c r="Y21569" s="63">
        <v>64102</v>
      </c>
      <c r="Z21569" s="61">
        <f>_xll.qlYieldTSDiscount($U$35,Y21569,,Trigger)</f>
        <v>0.30496214727445858</v>
      </c>
    </row>
    <row r="21570" spans="25:26" x14ac:dyDescent="0.25">
      <c r="Y21570" s="63">
        <v>64103</v>
      </c>
      <c r="Z21570" s="61">
        <f>_xll.qlYieldTSDiscount($U$35,Y21570,,Trigger)</f>
        <v>0.30494271951775676</v>
      </c>
    </row>
    <row r="21571" spans="25:26" x14ac:dyDescent="0.25">
      <c r="Y21571" s="63">
        <v>64104</v>
      </c>
      <c r="Z21571" s="61">
        <f>_xll.qlYieldTSDiscount($U$35,Y21571,,Trigger)</f>
        <v>0.30492329189866269</v>
      </c>
    </row>
    <row r="21572" spans="25:26" x14ac:dyDescent="0.25">
      <c r="Y21572" s="63">
        <v>64105</v>
      </c>
      <c r="Z21572" s="61">
        <f>_xll.qlYieldTSDiscount($U$35,Y21572,,Trigger)</f>
        <v>0.30490386441681033</v>
      </c>
    </row>
    <row r="21573" spans="25:26" x14ac:dyDescent="0.25">
      <c r="Y21573" s="63">
        <v>64106</v>
      </c>
      <c r="Z21573" s="61">
        <f>_xll.qlYieldTSDiscount($U$35,Y21573,,Trigger)</f>
        <v>0.30488443707183388</v>
      </c>
    </row>
    <row r="21574" spans="25:26" x14ac:dyDescent="0.25">
      <c r="Y21574" s="63">
        <v>64107</v>
      </c>
      <c r="Z21574" s="61">
        <f>_xll.qlYieldTSDiscount($U$35,Y21574,,Trigger)</f>
        <v>0.30486500986336729</v>
      </c>
    </row>
    <row r="21575" spans="25:26" x14ac:dyDescent="0.25">
      <c r="Y21575" s="63">
        <v>64108</v>
      </c>
      <c r="Z21575" s="61">
        <f>_xll.qlYieldTSDiscount($U$35,Y21575,,Trigger)</f>
        <v>0.30484558279104446</v>
      </c>
    </row>
    <row r="21576" spans="25:26" x14ac:dyDescent="0.25">
      <c r="Y21576" s="63">
        <v>64109</v>
      </c>
      <c r="Z21576" s="61">
        <f>_xll.qlYieldTSDiscount($U$35,Y21576,,Trigger)</f>
        <v>0.30482615585449968</v>
      </c>
    </row>
    <row r="21577" spans="25:26" x14ac:dyDescent="0.25">
      <c r="Y21577" s="63">
        <v>64110</v>
      </c>
      <c r="Z21577" s="61">
        <f>_xll.qlYieldTSDiscount($U$35,Y21577,,Trigger)</f>
        <v>0.30480672905336664</v>
      </c>
    </row>
    <row r="21578" spans="25:26" x14ac:dyDescent="0.25">
      <c r="Y21578" s="63">
        <v>64111</v>
      </c>
      <c r="Z21578" s="61">
        <f>_xll.qlYieldTSDiscount($U$35,Y21578,,Trigger)</f>
        <v>0.30478730238727963</v>
      </c>
    </row>
    <row r="21579" spans="25:26" x14ac:dyDescent="0.25">
      <c r="Y21579" s="63">
        <v>64112</v>
      </c>
      <c r="Z21579" s="61">
        <f>_xll.qlYieldTSDiscount($U$35,Y21579,,Trigger)</f>
        <v>0.30476787585587256</v>
      </c>
    </row>
    <row r="21580" spans="25:26" x14ac:dyDescent="0.25">
      <c r="Y21580" s="63">
        <v>64113</v>
      </c>
      <c r="Z21580" s="61">
        <f>_xll.qlYieldTSDiscount($U$35,Y21580,,Trigger)</f>
        <v>0.30474844945877949</v>
      </c>
    </row>
    <row r="21581" spans="25:26" x14ac:dyDescent="0.25">
      <c r="Y21581" s="63">
        <v>64114</v>
      </c>
      <c r="Z21581" s="61">
        <f>_xll.qlYieldTSDiscount($U$35,Y21581,,Trigger)</f>
        <v>0.30472902319563439</v>
      </c>
    </row>
    <row r="21582" spans="25:26" x14ac:dyDescent="0.25">
      <c r="Y21582" s="63">
        <v>64115</v>
      </c>
      <c r="Z21582" s="61">
        <f>_xll.qlYieldTSDiscount($U$35,Y21582,,Trigger)</f>
        <v>0.30470959706607126</v>
      </c>
    </row>
    <row r="21583" spans="25:26" x14ac:dyDescent="0.25">
      <c r="Y21583" s="63">
        <v>64116</v>
      </c>
      <c r="Z21583" s="61">
        <f>_xll.qlYieldTSDiscount($U$35,Y21583,,Trigger)</f>
        <v>0.30469017106972424</v>
      </c>
    </row>
    <row r="21584" spans="25:26" x14ac:dyDescent="0.25">
      <c r="Y21584" s="63">
        <v>64117</v>
      </c>
      <c r="Z21584" s="61">
        <f>_xll.qlYieldTSDiscount($U$35,Y21584,,Trigger)</f>
        <v>0.30467074520622728</v>
      </c>
    </row>
    <row r="21585" spans="25:26" x14ac:dyDescent="0.25">
      <c r="Y21585" s="63">
        <v>64118</v>
      </c>
      <c r="Z21585" s="61">
        <f>_xll.qlYieldTSDiscount($U$35,Y21585,,Trigger)</f>
        <v>0.3046513194752144</v>
      </c>
    </row>
    <row r="21586" spans="25:26" x14ac:dyDescent="0.25">
      <c r="Y21586" s="63">
        <v>64119</v>
      </c>
      <c r="Z21586" s="61">
        <f>_xll.qlYieldTSDiscount($U$35,Y21586,,Trigger)</f>
        <v>0.30463189387631961</v>
      </c>
    </row>
    <row r="21587" spans="25:26" x14ac:dyDescent="0.25">
      <c r="Y21587" s="63">
        <v>64120</v>
      </c>
      <c r="Z21587" s="61">
        <f>_xll.qlYieldTSDiscount($U$35,Y21587,,Trigger)</f>
        <v>0.30461246840917694</v>
      </c>
    </row>
    <row r="21588" spans="25:26" x14ac:dyDescent="0.25">
      <c r="Y21588" s="63">
        <v>64121</v>
      </c>
      <c r="Z21588" s="61">
        <f>_xll.qlYieldTSDiscount($U$35,Y21588,,Trigger)</f>
        <v>0.30459304307342044</v>
      </c>
    </row>
    <row r="21589" spans="25:26" x14ac:dyDescent="0.25">
      <c r="Y21589" s="63">
        <v>64122</v>
      </c>
      <c r="Z21589" s="61">
        <f>_xll.qlYieldTSDiscount($U$35,Y21589,,Trigger)</f>
        <v>0.30457361786868414</v>
      </c>
    </row>
    <row r="21590" spans="25:26" x14ac:dyDescent="0.25">
      <c r="Y21590" s="63">
        <v>64123</v>
      </c>
      <c r="Z21590" s="61">
        <f>_xll.qlYieldTSDiscount($U$35,Y21590,,Trigger)</f>
        <v>0.304554192794602</v>
      </c>
    </row>
    <row r="21591" spans="25:26" x14ac:dyDescent="0.25">
      <c r="Y21591" s="63">
        <v>64124</v>
      </c>
      <c r="Z21591" s="61">
        <f>_xll.qlYieldTSDiscount($U$35,Y21591,,Trigger)</f>
        <v>0.30453476785080807</v>
      </c>
    </row>
    <row r="21592" spans="25:26" x14ac:dyDescent="0.25">
      <c r="Y21592" s="63">
        <v>64125</v>
      </c>
      <c r="Z21592" s="61">
        <f>_xll.qlYieldTSDiscount($U$35,Y21592,,Trigger)</f>
        <v>0.30451534303693634</v>
      </c>
    </row>
    <row r="21593" spans="25:26" x14ac:dyDescent="0.25">
      <c r="Y21593" s="63">
        <v>64126</v>
      </c>
      <c r="Z21593" s="61">
        <f>_xll.qlYieldTSDiscount($U$35,Y21593,,Trigger)</f>
        <v>0.30449591835262096</v>
      </c>
    </row>
    <row r="21594" spans="25:26" x14ac:dyDescent="0.25">
      <c r="Y21594" s="63">
        <v>64127</v>
      </c>
      <c r="Z21594" s="61">
        <f>_xll.qlYieldTSDiscount($U$35,Y21594,,Trigger)</f>
        <v>0.30447649379749581</v>
      </c>
    </row>
    <row r="21595" spans="25:26" x14ac:dyDescent="0.25">
      <c r="Y21595" s="63">
        <v>64128</v>
      </c>
      <c r="Z21595" s="61">
        <f>_xll.qlYieldTSDiscount($U$35,Y21595,,Trigger)</f>
        <v>0.30445706937119499</v>
      </c>
    </row>
    <row r="21596" spans="25:26" x14ac:dyDescent="0.25">
      <c r="Y21596" s="63">
        <v>64129</v>
      </c>
      <c r="Z21596" s="61">
        <f>_xll.qlYieldTSDiscount($U$35,Y21596,,Trigger)</f>
        <v>0.30443764507335247</v>
      </c>
    </row>
    <row r="21597" spans="25:26" x14ac:dyDescent="0.25">
      <c r="Y21597" s="63">
        <v>64130</v>
      </c>
      <c r="Z21597" s="61">
        <f>_xll.qlYieldTSDiscount($U$35,Y21597,,Trigger)</f>
        <v>0.30441822090360232</v>
      </c>
    </row>
    <row r="21598" spans="25:26" x14ac:dyDescent="0.25">
      <c r="Y21598" s="63">
        <v>64131</v>
      </c>
      <c r="Z21598" s="61">
        <f>_xll.qlYieldTSDiscount($U$35,Y21598,,Trigger)</f>
        <v>0.3043987968615785</v>
      </c>
    </row>
    <row r="21599" spans="25:26" x14ac:dyDescent="0.25">
      <c r="Y21599" s="63">
        <v>64132</v>
      </c>
      <c r="Z21599" s="61">
        <f>_xll.qlYieldTSDiscount($U$35,Y21599,,Trigger)</f>
        <v>0.30437937294691514</v>
      </c>
    </row>
    <row r="21600" spans="25:26" x14ac:dyDescent="0.25">
      <c r="Y21600" s="63">
        <v>64133</v>
      </c>
      <c r="Z21600" s="61">
        <f>_xll.qlYieldTSDiscount($U$35,Y21600,,Trigger)</f>
        <v>0.30435994915924613</v>
      </c>
    </row>
    <row r="21601" spans="25:26" x14ac:dyDescent="0.25">
      <c r="Y21601" s="63">
        <v>64134</v>
      </c>
      <c r="Z21601" s="61">
        <f>_xll.qlYieldTSDiscount($U$35,Y21601,,Trigger)</f>
        <v>0.30434052549820556</v>
      </c>
    </row>
    <row r="21602" spans="25:26" x14ac:dyDescent="0.25">
      <c r="Y21602" s="63">
        <v>64135</v>
      </c>
      <c r="Z21602" s="61">
        <f>_xll.qlYieldTSDiscount($U$35,Y21602,,Trigger)</f>
        <v>0.30432110196342749</v>
      </c>
    </row>
    <row r="21603" spans="25:26" x14ac:dyDescent="0.25">
      <c r="Y21603" s="63">
        <v>64136</v>
      </c>
      <c r="Z21603" s="61">
        <f>_xll.qlYieldTSDiscount($U$35,Y21603,,Trigger)</f>
        <v>0.30430167855454587</v>
      </c>
    </row>
    <row r="21604" spans="25:26" x14ac:dyDescent="0.25">
      <c r="Y21604" s="63">
        <v>64137</v>
      </c>
      <c r="Z21604" s="61">
        <f>_xll.qlYieldTSDiscount($U$35,Y21604,,Trigger)</f>
        <v>0.30428225527119468</v>
      </c>
    </row>
    <row r="21605" spans="25:26" x14ac:dyDescent="0.25">
      <c r="Y21605" s="63">
        <v>64138</v>
      </c>
      <c r="Z21605" s="61">
        <f>_xll.qlYieldTSDiscount($U$35,Y21605,,Trigger)</f>
        <v>0.3042628321130082</v>
      </c>
    </row>
    <row r="21606" spans="25:26" x14ac:dyDescent="0.25">
      <c r="Y21606" s="63">
        <v>64139</v>
      </c>
      <c r="Z21606" s="61">
        <f>_xll.qlYieldTSDiscount($U$35,Y21606,,Trigger)</f>
        <v>0.30424340907962005</v>
      </c>
    </row>
    <row r="21607" spans="25:26" x14ac:dyDescent="0.25">
      <c r="Y21607" s="63">
        <v>64140</v>
      </c>
      <c r="Z21607" s="61">
        <f>_xll.qlYieldTSDiscount($U$35,Y21607,,Trigger)</f>
        <v>0.3042239861706646</v>
      </c>
    </row>
    <row r="21608" spans="25:26" x14ac:dyDescent="0.25">
      <c r="Y21608" s="63">
        <v>64141</v>
      </c>
      <c r="Z21608" s="61">
        <f>_xll.qlYieldTSDiscount($U$35,Y21608,,Trigger)</f>
        <v>0.30420456338577567</v>
      </c>
    </row>
    <row r="21609" spans="25:26" x14ac:dyDescent="0.25">
      <c r="Y21609" s="63">
        <v>64142</v>
      </c>
      <c r="Z21609" s="61">
        <f>_xll.qlYieldTSDiscount($U$35,Y21609,,Trigger)</f>
        <v>0.30418514072458741</v>
      </c>
    </row>
    <row r="21610" spans="25:26" x14ac:dyDescent="0.25">
      <c r="Y21610" s="63">
        <v>64143</v>
      </c>
      <c r="Z21610" s="61">
        <f>_xll.qlYieldTSDiscount($U$35,Y21610,,Trigger)</f>
        <v>0.30416571818673377</v>
      </c>
    </row>
    <row r="21611" spans="25:26" x14ac:dyDescent="0.25">
      <c r="Y21611" s="63">
        <v>64144</v>
      </c>
      <c r="Z21611" s="61">
        <f>_xll.qlYieldTSDiscount($U$35,Y21611,,Trigger)</f>
        <v>0.30414629577184871</v>
      </c>
    </row>
    <row r="21612" spans="25:26" x14ac:dyDescent="0.25">
      <c r="Y21612" s="63">
        <v>64145</v>
      </c>
      <c r="Z21612" s="61">
        <f>_xll.qlYieldTSDiscount($U$35,Y21612,,Trigger)</f>
        <v>0.30412687347956646</v>
      </c>
    </row>
    <row r="21613" spans="25:26" x14ac:dyDescent="0.25">
      <c r="Y21613" s="63">
        <v>64146</v>
      </c>
      <c r="Z21613" s="61">
        <f>_xll.qlYieldTSDiscount($U$35,Y21613,,Trigger)</f>
        <v>0.30410745130952083</v>
      </c>
    </row>
    <row r="21614" spans="25:26" x14ac:dyDescent="0.25">
      <c r="Y21614" s="63">
        <v>64147</v>
      </c>
      <c r="Z21614" s="61">
        <f>_xll.qlYieldTSDiscount($U$35,Y21614,,Trigger)</f>
        <v>0.30408802926134582</v>
      </c>
    </row>
    <row r="21615" spans="25:26" x14ac:dyDescent="0.25">
      <c r="Y21615" s="63">
        <v>64148</v>
      </c>
      <c r="Z21615" s="61">
        <f>_xll.qlYieldTSDiscount($U$35,Y21615,,Trigger)</f>
        <v>0.30406860733467572</v>
      </c>
    </row>
    <row r="21616" spans="25:26" x14ac:dyDescent="0.25">
      <c r="Y21616" s="63">
        <v>64149</v>
      </c>
      <c r="Z21616" s="61">
        <f>_xll.qlYieldTSDiscount($U$35,Y21616,,Trigger)</f>
        <v>0.30404918552914428</v>
      </c>
    </row>
    <row r="21617" spans="25:26" x14ac:dyDescent="0.25">
      <c r="Y21617" s="63">
        <v>64150</v>
      </c>
      <c r="Z21617" s="61">
        <f>_xll.qlYieldTSDiscount($U$35,Y21617,,Trigger)</f>
        <v>0.30402976384438568</v>
      </c>
    </row>
    <row r="21618" spans="25:26" x14ac:dyDescent="0.25">
      <c r="Y21618" s="63">
        <v>64151</v>
      </c>
      <c r="Z21618" s="61">
        <f>_xll.qlYieldTSDiscount($U$35,Y21618,,Trigger)</f>
        <v>0.30401034228003387</v>
      </c>
    </row>
    <row r="21619" spans="25:26" x14ac:dyDescent="0.25">
      <c r="Y21619" s="63">
        <v>64152</v>
      </c>
      <c r="Z21619" s="61">
        <f>_xll.qlYieldTSDiscount($U$35,Y21619,,Trigger)</f>
        <v>0.30399092083572282</v>
      </c>
    </row>
    <row r="21620" spans="25:26" x14ac:dyDescent="0.25">
      <c r="Y21620" s="63">
        <v>64153</v>
      </c>
      <c r="Z21620" s="61">
        <f>_xll.qlYieldTSDiscount($U$35,Y21620,,Trigger)</f>
        <v>0.30397149951108671</v>
      </c>
    </row>
    <row r="21621" spans="25:26" x14ac:dyDescent="0.25">
      <c r="Y21621" s="63">
        <v>64154</v>
      </c>
      <c r="Z21621" s="61">
        <f>_xll.qlYieldTSDiscount($U$35,Y21621,,Trigger)</f>
        <v>0.30395207830575949</v>
      </c>
    </row>
    <row r="21622" spans="25:26" x14ac:dyDescent="0.25">
      <c r="Y21622" s="63">
        <v>64155</v>
      </c>
      <c r="Z21622" s="61">
        <f>_xll.qlYieldTSDiscount($U$35,Y21622,,Trigger)</f>
        <v>0.30393265721937512</v>
      </c>
    </row>
    <row r="21623" spans="25:26" x14ac:dyDescent="0.25">
      <c r="Y21623" s="63">
        <v>64156</v>
      </c>
      <c r="Z21623" s="61">
        <f>_xll.qlYieldTSDiscount($U$35,Y21623,,Trigger)</f>
        <v>0.30391323625156763</v>
      </c>
    </row>
    <row r="21624" spans="25:26" x14ac:dyDescent="0.25">
      <c r="Y21624" s="63">
        <v>64157</v>
      </c>
      <c r="Z21624" s="61">
        <f>_xll.qlYieldTSDiscount($U$35,Y21624,,Trigger)</f>
        <v>0.30389381540197108</v>
      </c>
    </row>
    <row r="21625" spans="25:26" x14ac:dyDescent="0.25">
      <c r="Y21625" s="63">
        <v>64158</v>
      </c>
      <c r="Z21625" s="61">
        <f>_xll.qlYieldTSDiscount($U$35,Y21625,,Trigger)</f>
        <v>0.30387439467021954</v>
      </c>
    </row>
    <row r="21626" spans="25:26" x14ac:dyDescent="0.25">
      <c r="Y21626" s="63">
        <v>64159</v>
      </c>
      <c r="Z21626" s="61">
        <f>_xll.qlYieldTSDiscount($U$35,Y21626,,Trigger)</f>
        <v>0.30385497405594702</v>
      </c>
    </row>
    <row r="21627" spans="25:26" x14ac:dyDescent="0.25">
      <c r="Y21627" s="63">
        <v>64160</v>
      </c>
      <c r="Z21627" s="61">
        <f>_xll.qlYieldTSDiscount($U$35,Y21627,,Trigger)</f>
        <v>0.30383555355878739</v>
      </c>
    </row>
    <row r="21628" spans="25:26" x14ac:dyDescent="0.25">
      <c r="Y21628" s="63">
        <v>64161</v>
      </c>
      <c r="Z21628" s="61">
        <f>_xll.qlYieldTSDiscount($U$35,Y21628,,Trigger)</f>
        <v>0.30381613317837486</v>
      </c>
    </row>
    <row r="21629" spans="25:26" x14ac:dyDescent="0.25">
      <c r="Y21629" s="63">
        <v>64162</v>
      </c>
      <c r="Z21629" s="61">
        <f>_xll.qlYieldTSDiscount($U$35,Y21629,,Trigger)</f>
        <v>0.30379671291434335</v>
      </c>
    </row>
    <row r="21630" spans="25:26" x14ac:dyDescent="0.25">
      <c r="Y21630" s="63">
        <v>64163</v>
      </c>
      <c r="Z21630" s="61">
        <f>_xll.qlYieldTSDiscount($U$35,Y21630,,Trigger)</f>
        <v>0.30377729276632692</v>
      </c>
    </row>
    <row r="21631" spans="25:26" x14ac:dyDescent="0.25">
      <c r="Y21631" s="63">
        <v>64164</v>
      </c>
      <c r="Z21631" s="61">
        <f>_xll.qlYieldTSDiscount($U$35,Y21631,,Trigger)</f>
        <v>0.30375787273395966</v>
      </c>
    </row>
    <row r="21632" spans="25:26" x14ac:dyDescent="0.25">
      <c r="Y21632" s="63">
        <v>64165</v>
      </c>
      <c r="Z21632" s="61">
        <f>_xll.qlYieldTSDiscount($U$35,Y21632,,Trigger)</f>
        <v>0.30373845281687534</v>
      </c>
    </row>
    <row r="21633" spans="25:26" x14ac:dyDescent="0.25">
      <c r="Y21633" s="63">
        <v>64166</v>
      </c>
      <c r="Z21633" s="61">
        <f>_xll.qlYieldTSDiscount($U$35,Y21633,,Trigger)</f>
        <v>0.30371903301470821</v>
      </c>
    </row>
    <row r="21634" spans="25:26" x14ac:dyDescent="0.25">
      <c r="Y21634" s="63">
        <v>64167</v>
      </c>
      <c r="Z21634" s="61">
        <f>_xll.qlYieldTSDiscount($U$35,Y21634,,Trigger)</f>
        <v>0.30369961332709233</v>
      </c>
    </row>
    <row r="21635" spans="25:26" x14ac:dyDescent="0.25">
      <c r="Y21635" s="63">
        <v>64168</v>
      </c>
      <c r="Z21635" s="61">
        <f>_xll.qlYieldTSDiscount($U$35,Y21635,,Trigger)</f>
        <v>0.30368019375366156</v>
      </c>
    </row>
    <row r="21636" spans="25:26" x14ac:dyDescent="0.25">
      <c r="Y21636" s="63">
        <v>64169</v>
      </c>
      <c r="Z21636" s="61">
        <f>_xll.qlYieldTSDiscount($U$35,Y21636,,Trigger)</f>
        <v>0.30366077429404997</v>
      </c>
    </row>
    <row r="21637" spans="25:26" x14ac:dyDescent="0.25">
      <c r="Y21637" s="63">
        <v>64170</v>
      </c>
      <c r="Z21637" s="61">
        <f>_xll.qlYieldTSDiscount($U$35,Y21637,,Trigger)</f>
        <v>0.30364135494789168</v>
      </c>
    </row>
    <row r="21638" spans="25:26" x14ac:dyDescent="0.25">
      <c r="Y21638" s="63">
        <v>64171</v>
      </c>
      <c r="Z21638" s="61">
        <f>_xll.qlYieldTSDiscount($U$35,Y21638,,Trigger)</f>
        <v>0.30362193571482055</v>
      </c>
    </row>
    <row r="21639" spans="25:26" x14ac:dyDescent="0.25">
      <c r="Y21639" s="63">
        <v>64172</v>
      </c>
      <c r="Z21639" s="61">
        <f>_xll.qlYieldTSDiscount($U$35,Y21639,,Trigger)</f>
        <v>0.30360251659447074</v>
      </c>
    </row>
    <row r="21640" spans="25:26" x14ac:dyDescent="0.25">
      <c r="Y21640" s="63">
        <v>64173</v>
      </c>
      <c r="Z21640" s="61">
        <f>_xll.qlYieldTSDiscount($U$35,Y21640,,Trigger)</f>
        <v>0.30358309758647611</v>
      </c>
    </row>
    <row r="21641" spans="25:26" x14ac:dyDescent="0.25">
      <c r="Y21641" s="63">
        <v>64174</v>
      </c>
      <c r="Z21641" s="61">
        <f>_xll.qlYieldTSDiscount($U$35,Y21641,,Trigger)</f>
        <v>0.30356367869047096</v>
      </c>
    </row>
    <row r="21642" spans="25:26" x14ac:dyDescent="0.25">
      <c r="Y21642" s="63">
        <v>64175</v>
      </c>
      <c r="Z21642" s="61">
        <f>_xll.qlYieldTSDiscount($U$35,Y21642,,Trigger)</f>
        <v>0.30354425990608902</v>
      </c>
    </row>
    <row r="21643" spans="25:26" x14ac:dyDescent="0.25">
      <c r="Y21643" s="63">
        <v>64176</v>
      </c>
      <c r="Z21643" s="61">
        <f>_xll.qlYieldTSDiscount($U$35,Y21643,,Trigger)</f>
        <v>0.30352484123296447</v>
      </c>
    </row>
    <row r="21644" spans="25:26" x14ac:dyDescent="0.25">
      <c r="Y21644" s="63">
        <v>64177</v>
      </c>
      <c r="Z21644" s="61">
        <f>_xll.qlYieldTSDiscount($U$35,Y21644,,Trigger)</f>
        <v>0.30350542267073133</v>
      </c>
    </row>
    <row r="21645" spans="25:26" x14ac:dyDescent="0.25">
      <c r="Y21645" s="63">
        <v>64178</v>
      </c>
      <c r="Z21645" s="61">
        <f>_xll.qlYieldTSDiscount($U$35,Y21645,,Trigger)</f>
        <v>0.30348600421902355</v>
      </c>
    </row>
    <row r="21646" spans="25:26" x14ac:dyDescent="0.25">
      <c r="Y21646" s="63">
        <v>64179</v>
      </c>
      <c r="Z21646" s="61">
        <f>_xll.qlYieldTSDiscount($U$35,Y21646,,Trigger)</f>
        <v>0.30346658587747516</v>
      </c>
    </row>
    <row r="21647" spans="25:26" x14ac:dyDescent="0.25">
      <c r="Y21647" s="63">
        <v>64180</v>
      </c>
      <c r="Z21647" s="61">
        <f>_xll.qlYieldTSDiscount($U$35,Y21647,,Trigger)</f>
        <v>0.30344716764572027</v>
      </c>
    </row>
    <row r="21648" spans="25:26" x14ac:dyDescent="0.25">
      <c r="Y21648" s="63">
        <v>64181</v>
      </c>
      <c r="Z21648" s="61">
        <f>_xll.qlYieldTSDiscount($U$35,Y21648,,Trigger)</f>
        <v>0.30342774952339285</v>
      </c>
    </row>
    <row r="21649" spans="25:26" x14ac:dyDescent="0.25">
      <c r="Y21649" s="63">
        <v>64182</v>
      </c>
      <c r="Z21649" s="61">
        <f>_xll.qlYieldTSDiscount($U$35,Y21649,,Trigger)</f>
        <v>0.30340833151012686</v>
      </c>
    </row>
    <row r="21650" spans="25:26" x14ac:dyDescent="0.25">
      <c r="Y21650" s="63">
        <v>64183</v>
      </c>
      <c r="Z21650" s="61">
        <f>_xll.qlYieldTSDiscount($U$35,Y21650,,Trigger)</f>
        <v>0.30338891360555642</v>
      </c>
    </row>
    <row r="21651" spans="25:26" x14ac:dyDescent="0.25">
      <c r="Y21651" s="63">
        <v>64184</v>
      </c>
      <c r="Z21651" s="61">
        <f>_xll.qlYieldTSDiscount($U$35,Y21651,,Trigger)</f>
        <v>0.30336949580931549</v>
      </c>
    </row>
    <row r="21652" spans="25:26" x14ac:dyDescent="0.25">
      <c r="Y21652" s="63">
        <v>64185</v>
      </c>
      <c r="Z21652" s="61">
        <f>_xll.qlYieldTSDiscount($U$35,Y21652,,Trigger)</f>
        <v>0.30335007812103804</v>
      </c>
    </row>
    <row r="21653" spans="25:26" x14ac:dyDescent="0.25">
      <c r="Y21653" s="63">
        <v>64186</v>
      </c>
      <c r="Z21653" s="61">
        <f>_xll.qlYieldTSDiscount($U$35,Y21653,,Trigger)</f>
        <v>0.30333066054035823</v>
      </c>
    </row>
    <row r="21654" spans="25:26" x14ac:dyDescent="0.25">
      <c r="Y21654" s="63">
        <v>64187</v>
      </c>
      <c r="Z21654" s="61">
        <f>_xll.qlYieldTSDiscount($U$35,Y21654,,Trigger)</f>
        <v>0.30331124306691004</v>
      </c>
    </row>
    <row r="21655" spans="25:26" x14ac:dyDescent="0.25">
      <c r="Y21655" s="63">
        <v>64188</v>
      </c>
      <c r="Z21655" s="61">
        <f>_xll.qlYieldTSDiscount($U$35,Y21655,,Trigger)</f>
        <v>0.30329182570032748</v>
      </c>
    </row>
    <row r="21656" spans="25:26" x14ac:dyDescent="0.25">
      <c r="Y21656" s="63">
        <v>64189</v>
      </c>
      <c r="Z21656" s="61">
        <f>_xll.qlYieldTSDiscount($U$35,Y21656,,Trigger)</f>
        <v>0.30327240844024445</v>
      </c>
    </row>
    <row r="21657" spans="25:26" x14ac:dyDescent="0.25">
      <c r="Y21657" s="63">
        <v>64190</v>
      </c>
      <c r="Z21657" s="61">
        <f>_xll.qlYieldTSDiscount($U$35,Y21657,,Trigger)</f>
        <v>0.30325299128629518</v>
      </c>
    </row>
    <row r="21658" spans="25:26" x14ac:dyDescent="0.25">
      <c r="Y21658" s="63">
        <v>64191</v>
      </c>
      <c r="Z21658" s="61">
        <f>_xll.qlYieldTSDiscount($U$35,Y21658,,Trigger)</f>
        <v>0.30323357423811353</v>
      </c>
    </row>
    <row r="21659" spans="25:26" x14ac:dyDescent="0.25">
      <c r="Y21659" s="63">
        <v>64192</v>
      </c>
      <c r="Z21659" s="61">
        <f>_xll.qlYieldTSDiscount($U$35,Y21659,,Trigger)</f>
        <v>0.30321415729533358</v>
      </c>
    </row>
    <row r="21660" spans="25:26" x14ac:dyDescent="0.25">
      <c r="Y21660" s="63">
        <v>64193</v>
      </c>
      <c r="Z21660" s="61">
        <f>_xll.qlYieldTSDiscount($U$35,Y21660,,Trigger)</f>
        <v>0.30319474045758943</v>
      </c>
    </row>
    <row r="21661" spans="25:26" x14ac:dyDescent="0.25">
      <c r="Y21661" s="63">
        <v>64194</v>
      </c>
      <c r="Z21661" s="61">
        <f>_xll.qlYieldTSDiscount($U$35,Y21661,,Trigger)</f>
        <v>0.30317532372451494</v>
      </c>
    </row>
    <row r="21662" spans="25:26" x14ac:dyDescent="0.25">
      <c r="Y21662" s="63">
        <v>64195</v>
      </c>
      <c r="Z21662" s="61">
        <f>_xll.qlYieldTSDiscount($U$35,Y21662,,Trigger)</f>
        <v>0.30315590709574425</v>
      </c>
    </row>
    <row r="21663" spans="25:26" x14ac:dyDescent="0.25">
      <c r="Y21663" s="63">
        <v>64196</v>
      </c>
      <c r="Z21663" s="61">
        <f>_xll.qlYieldTSDiscount($U$35,Y21663,,Trigger)</f>
        <v>0.30313649057091141</v>
      </c>
    </row>
    <row r="21664" spans="25:26" x14ac:dyDescent="0.25">
      <c r="Y21664" s="63">
        <v>64197</v>
      </c>
      <c r="Z21664" s="61">
        <f>_xll.qlYieldTSDiscount($U$35,Y21664,,Trigger)</f>
        <v>0.30311707414965028</v>
      </c>
    </row>
    <row r="21665" spans="25:26" x14ac:dyDescent="0.25">
      <c r="Y21665" s="63">
        <v>64198</v>
      </c>
      <c r="Z21665" s="61">
        <f>_xll.qlYieldTSDiscount($U$35,Y21665,,Trigger)</f>
        <v>0.30309765783159504</v>
      </c>
    </row>
    <row r="21666" spans="25:26" x14ac:dyDescent="0.25">
      <c r="Y21666" s="63">
        <v>64199</v>
      </c>
      <c r="Z21666" s="61">
        <f>_xll.qlYieldTSDiscount($U$35,Y21666,,Trigger)</f>
        <v>0.3030782416163797</v>
      </c>
    </row>
    <row r="21667" spans="25:26" x14ac:dyDescent="0.25">
      <c r="Y21667" s="63">
        <v>64200</v>
      </c>
      <c r="Z21667" s="61">
        <f>_xll.qlYieldTSDiscount($U$35,Y21667,,Trigger)</f>
        <v>0.30305882550363822</v>
      </c>
    </row>
    <row r="21668" spans="25:26" x14ac:dyDescent="0.25">
      <c r="Y21668" s="63">
        <v>64201</v>
      </c>
      <c r="Z21668" s="61">
        <f>_xll.qlYieldTSDiscount($U$35,Y21668,,Trigger)</f>
        <v>0.30303940949300456</v>
      </c>
    </row>
    <row r="21669" spans="25:26" x14ac:dyDescent="0.25">
      <c r="Y21669" s="63">
        <v>64202</v>
      </c>
      <c r="Z21669" s="61">
        <f>_xll.qlYieldTSDiscount($U$35,Y21669,,Trigger)</f>
        <v>0.3030199935841128</v>
      </c>
    </row>
    <row r="21670" spans="25:26" x14ac:dyDescent="0.25">
      <c r="Y21670" s="63">
        <v>64203</v>
      </c>
      <c r="Z21670" s="61">
        <f>_xll.qlYieldTSDiscount($U$35,Y21670,,Trigger)</f>
        <v>0.30300057777659711</v>
      </c>
    </row>
    <row r="21671" spans="25:26" x14ac:dyDescent="0.25">
      <c r="Y21671" s="63">
        <v>64204</v>
      </c>
      <c r="Z21671" s="61">
        <f>_xll.qlYieldTSDiscount($U$35,Y21671,,Trigger)</f>
        <v>0.30298116207009129</v>
      </c>
    </row>
    <row r="21672" spans="25:26" x14ac:dyDescent="0.25">
      <c r="Y21672" s="63">
        <v>64205</v>
      </c>
      <c r="Z21672" s="61">
        <f>_xll.qlYieldTSDiscount($U$35,Y21672,,Trigger)</f>
        <v>0.30296174646422952</v>
      </c>
    </row>
    <row r="21673" spans="25:26" x14ac:dyDescent="0.25">
      <c r="Y21673" s="63">
        <v>64206</v>
      </c>
      <c r="Z21673" s="61">
        <f>_xll.qlYieldTSDiscount($U$35,Y21673,,Trigger)</f>
        <v>0.30294233095864576</v>
      </c>
    </row>
    <row r="21674" spans="25:26" x14ac:dyDescent="0.25">
      <c r="Y21674" s="63">
        <v>64207</v>
      </c>
      <c r="Z21674" s="61">
        <f>_xll.qlYieldTSDiscount($U$35,Y21674,,Trigger)</f>
        <v>0.30292291555297401</v>
      </c>
    </row>
    <row r="21675" spans="25:26" x14ac:dyDescent="0.25">
      <c r="Y21675" s="63">
        <v>64208</v>
      </c>
      <c r="Z21675" s="61">
        <f>_xll.qlYieldTSDiscount($U$35,Y21675,,Trigger)</f>
        <v>0.30290350024684831</v>
      </c>
    </row>
    <row r="21676" spans="25:26" x14ac:dyDescent="0.25">
      <c r="Y21676" s="63">
        <v>64209</v>
      </c>
      <c r="Z21676" s="61">
        <f>_xll.qlYieldTSDiscount($U$35,Y21676,,Trigger)</f>
        <v>0.30288408503990266</v>
      </c>
    </row>
    <row r="21677" spans="25:26" x14ac:dyDescent="0.25">
      <c r="Y21677" s="63">
        <v>64210</v>
      </c>
      <c r="Z21677" s="61">
        <f>_xll.qlYieldTSDiscount($U$35,Y21677,,Trigger)</f>
        <v>0.30286466993177114</v>
      </c>
    </row>
    <row r="21678" spans="25:26" x14ac:dyDescent="0.25">
      <c r="Y21678" s="63">
        <v>64211</v>
      </c>
      <c r="Z21678" s="61">
        <f>_xll.qlYieldTSDiscount($U$35,Y21678,,Trigger)</f>
        <v>0.30284525492208769</v>
      </c>
    </row>
    <row r="21679" spans="25:26" x14ac:dyDescent="0.25">
      <c r="Y21679" s="63">
        <v>64212</v>
      </c>
      <c r="Z21679" s="61">
        <f>_xll.qlYieldTSDiscount($U$35,Y21679,,Trigger)</f>
        <v>0.30282584001048646</v>
      </c>
    </row>
    <row r="21680" spans="25:26" x14ac:dyDescent="0.25">
      <c r="Y21680" s="63">
        <v>64213</v>
      </c>
      <c r="Z21680" s="61">
        <f>_xll.qlYieldTSDiscount($U$35,Y21680,,Trigger)</f>
        <v>0.30280642519660134</v>
      </c>
    </row>
    <row r="21681" spans="25:26" x14ac:dyDescent="0.25">
      <c r="Y21681" s="63">
        <v>64214</v>
      </c>
      <c r="Z21681" s="61">
        <f>_xll.qlYieldTSDiscount($U$35,Y21681,,Trigger)</f>
        <v>0.3027870104800664</v>
      </c>
    </row>
    <row r="21682" spans="25:26" x14ac:dyDescent="0.25">
      <c r="Y21682" s="63">
        <v>64215</v>
      </c>
      <c r="Z21682" s="61">
        <f>_xll.qlYieldTSDiscount($U$35,Y21682,,Trigger)</f>
        <v>0.30276759586051571</v>
      </c>
    </row>
    <row r="21683" spans="25:26" x14ac:dyDescent="0.25">
      <c r="Y21683" s="63">
        <v>64216</v>
      </c>
      <c r="Z21683" s="61">
        <f>_xll.qlYieldTSDiscount($U$35,Y21683,,Trigger)</f>
        <v>0.30274818133758319</v>
      </c>
    </row>
    <row r="21684" spans="25:26" x14ac:dyDescent="0.25">
      <c r="Y21684" s="63">
        <v>64217</v>
      </c>
      <c r="Z21684" s="61">
        <f>_xll.qlYieldTSDiscount($U$35,Y21684,,Trigger)</f>
        <v>0.30272876691090295</v>
      </c>
    </row>
    <row r="21685" spans="25:26" x14ac:dyDescent="0.25">
      <c r="Y21685" s="63">
        <v>64218</v>
      </c>
      <c r="Z21685" s="61">
        <f>_xll.qlYieldTSDiscount($U$35,Y21685,,Trigger)</f>
        <v>0.302709352580109</v>
      </c>
    </row>
    <row r="21686" spans="25:26" x14ac:dyDescent="0.25">
      <c r="Y21686" s="63">
        <v>64219</v>
      </c>
      <c r="Z21686" s="61">
        <f>_xll.qlYieldTSDiscount($U$35,Y21686,,Trigger)</f>
        <v>0.30268993834483537</v>
      </c>
    </row>
    <row r="21687" spans="25:26" x14ac:dyDescent="0.25">
      <c r="Y21687" s="63">
        <v>64220</v>
      </c>
      <c r="Z21687" s="61">
        <f>_xll.qlYieldTSDiscount($U$35,Y21687,,Trigger)</f>
        <v>0.30267052420471602</v>
      </c>
    </row>
    <row r="21688" spans="25:26" x14ac:dyDescent="0.25">
      <c r="Y21688" s="63">
        <v>64221</v>
      </c>
      <c r="Z21688" s="61">
        <f>_xll.qlYieldTSDiscount($U$35,Y21688,,Trigger)</f>
        <v>0.30265111015938495</v>
      </c>
    </row>
    <row r="21689" spans="25:26" x14ac:dyDescent="0.25">
      <c r="Y21689" s="63">
        <v>64222</v>
      </c>
      <c r="Z21689" s="61">
        <f>_xll.qlYieldTSDiscount($U$35,Y21689,,Trigger)</f>
        <v>0.3026316962084763</v>
      </c>
    </row>
    <row r="21690" spans="25:26" x14ac:dyDescent="0.25">
      <c r="Y21690" s="63">
        <v>64223</v>
      </c>
      <c r="Z21690" s="61">
        <f>_xll.qlYieldTSDiscount($U$35,Y21690,,Trigger)</f>
        <v>0.30261228235162396</v>
      </c>
    </row>
    <row r="21691" spans="25:26" x14ac:dyDescent="0.25">
      <c r="Y21691" s="63">
        <v>64224</v>
      </c>
      <c r="Z21691" s="61">
        <f>_xll.qlYieldTSDiscount($U$35,Y21691,,Trigger)</f>
        <v>0.30259286858846213</v>
      </c>
    </row>
    <row r="21692" spans="25:26" x14ac:dyDescent="0.25">
      <c r="Y21692" s="63">
        <v>64225</v>
      </c>
      <c r="Z21692" s="61">
        <f>_xll.qlYieldTSDiscount($U$35,Y21692,,Trigger)</f>
        <v>0.30257345491862464</v>
      </c>
    </row>
    <row r="21693" spans="25:26" x14ac:dyDescent="0.25">
      <c r="Y21693" s="63">
        <v>64226</v>
      </c>
      <c r="Z21693" s="61">
        <f>_xll.qlYieldTSDiscount($U$35,Y21693,,Trigger)</f>
        <v>0.30255404134174563</v>
      </c>
    </row>
    <row r="21694" spans="25:26" x14ac:dyDescent="0.25">
      <c r="Y21694" s="63">
        <v>64227</v>
      </c>
      <c r="Z21694" s="61">
        <f>_xll.qlYieldTSDiscount($U$35,Y21694,,Trigger)</f>
        <v>0.3025346278574591</v>
      </c>
    </row>
    <row r="21695" spans="25:26" x14ac:dyDescent="0.25">
      <c r="Y21695" s="63">
        <v>64228</v>
      </c>
      <c r="Z21695" s="61">
        <f>_xll.qlYieldTSDiscount($U$35,Y21695,,Trigger)</f>
        <v>0.30251521446539908</v>
      </c>
    </row>
    <row r="21696" spans="25:26" x14ac:dyDescent="0.25">
      <c r="Y21696" s="63">
        <v>64229</v>
      </c>
      <c r="Z21696" s="61">
        <f>_xll.qlYieldTSDiscount($U$35,Y21696,,Trigger)</f>
        <v>0.30249580116519953</v>
      </c>
    </row>
    <row r="21697" spans="25:26" x14ac:dyDescent="0.25">
      <c r="Y21697" s="63">
        <v>64230</v>
      </c>
      <c r="Z21697" s="61">
        <f>_xll.qlYieldTSDiscount($U$35,Y21697,,Trigger)</f>
        <v>0.30247638795649451</v>
      </c>
    </row>
    <row r="21698" spans="25:26" x14ac:dyDescent="0.25">
      <c r="Y21698" s="63">
        <v>64231</v>
      </c>
      <c r="Z21698" s="61">
        <f>_xll.qlYieldTSDiscount($U$35,Y21698,,Trigger)</f>
        <v>0.30245697483891798</v>
      </c>
    </row>
    <row r="21699" spans="25:26" x14ac:dyDescent="0.25">
      <c r="Y21699" s="63">
        <v>64232</v>
      </c>
      <c r="Z21699" s="61">
        <f>_xll.qlYieldTSDiscount($U$35,Y21699,,Trigger)</f>
        <v>0.30243756181210418</v>
      </c>
    </row>
    <row r="21700" spans="25:26" x14ac:dyDescent="0.25">
      <c r="Y21700" s="63">
        <v>64233</v>
      </c>
      <c r="Z21700" s="61">
        <f>_xll.qlYieldTSDiscount($U$35,Y21700,,Trigger)</f>
        <v>0.30241814887568685</v>
      </c>
    </row>
    <row r="21701" spans="25:26" x14ac:dyDescent="0.25">
      <c r="Y21701" s="63">
        <v>64234</v>
      </c>
      <c r="Z21701" s="61">
        <f>_xll.qlYieldTSDiscount($U$35,Y21701,,Trigger)</f>
        <v>0.30239873602930023</v>
      </c>
    </row>
    <row r="21702" spans="25:26" x14ac:dyDescent="0.25">
      <c r="Y21702" s="63">
        <v>64235</v>
      </c>
      <c r="Z21702" s="61">
        <f>_xll.qlYieldTSDiscount($U$35,Y21702,,Trigger)</f>
        <v>0.30237932327257822</v>
      </c>
    </row>
    <row r="21703" spans="25:26" x14ac:dyDescent="0.25">
      <c r="Y21703" s="63">
        <v>64236</v>
      </c>
      <c r="Z21703" s="61">
        <f>_xll.qlYieldTSDiscount($U$35,Y21703,,Trigger)</f>
        <v>0.30235991060515488</v>
      </c>
    </row>
    <row r="21704" spans="25:26" x14ac:dyDescent="0.25">
      <c r="Y21704" s="63">
        <v>64237</v>
      </c>
      <c r="Z21704" s="61">
        <f>_xll.qlYieldTSDiscount($U$35,Y21704,,Trigger)</f>
        <v>0.30234049802666418</v>
      </c>
    </row>
    <row r="21705" spans="25:26" x14ac:dyDescent="0.25">
      <c r="Y21705" s="63">
        <v>64238</v>
      </c>
      <c r="Z21705" s="61">
        <f>_xll.qlYieldTSDiscount($U$35,Y21705,,Trigger)</f>
        <v>0.30232108553674031</v>
      </c>
    </row>
    <row r="21706" spans="25:26" x14ac:dyDescent="0.25">
      <c r="Y21706" s="63">
        <v>64239</v>
      </c>
      <c r="Z21706" s="61">
        <f>_xll.qlYieldTSDiscount($U$35,Y21706,,Trigger)</f>
        <v>0.3023016731350171</v>
      </c>
    </row>
    <row r="21707" spans="25:26" x14ac:dyDescent="0.25">
      <c r="Y21707" s="63">
        <v>64240</v>
      </c>
      <c r="Z21707" s="61">
        <f>_xll.qlYieldTSDiscount($U$35,Y21707,,Trigger)</f>
        <v>0.30228226082112852</v>
      </c>
    </row>
    <row r="21708" spans="25:26" x14ac:dyDescent="0.25">
      <c r="Y21708" s="63">
        <v>64241</v>
      </c>
      <c r="Z21708" s="61">
        <f>_xll.qlYieldTSDiscount($U$35,Y21708,,Trigger)</f>
        <v>0.30226284859470898</v>
      </c>
    </row>
    <row r="21709" spans="25:26" x14ac:dyDescent="0.25">
      <c r="Y21709" s="63">
        <v>64242</v>
      </c>
      <c r="Z21709" s="61">
        <f>_xll.qlYieldTSDiscount($U$35,Y21709,,Trigger)</f>
        <v>0.30224343645539198</v>
      </c>
    </row>
    <row r="21710" spans="25:26" x14ac:dyDescent="0.25">
      <c r="Y21710" s="63">
        <v>64243</v>
      </c>
      <c r="Z21710" s="61">
        <f>_xll.qlYieldTSDiscount($U$35,Y21710,,Trigger)</f>
        <v>0.30222402440281187</v>
      </c>
    </row>
    <row r="21711" spans="25:26" x14ac:dyDescent="0.25">
      <c r="Y21711" s="63">
        <v>64244</v>
      </c>
      <c r="Z21711" s="61">
        <f>_xll.qlYieldTSDiscount($U$35,Y21711,,Trigger)</f>
        <v>0.30220461243660274</v>
      </c>
    </row>
    <row r="21712" spans="25:26" x14ac:dyDescent="0.25">
      <c r="Y21712" s="63">
        <v>64245</v>
      </c>
      <c r="Z21712" s="61">
        <f>_xll.qlYieldTSDiscount($U$35,Y21712,,Trigger)</f>
        <v>0.3021852005563983</v>
      </c>
    </row>
    <row r="21713" spans="25:26" x14ac:dyDescent="0.25">
      <c r="Y21713" s="63">
        <v>64246</v>
      </c>
      <c r="Z21713" s="61">
        <f>_xll.qlYieldTSDiscount($U$35,Y21713,,Trigger)</f>
        <v>0.30216578876183281</v>
      </c>
    </row>
    <row r="21714" spans="25:26" x14ac:dyDescent="0.25">
      <c r="Y21714" s="63">
        <v>64247</v>
      </c>
      <c r="Z21714" s="61">
        <f>_xll.qlYieldTSDiscount($U$35,Y21714,,Trigger)</f>
        <v>0.30214637705254022</v>
      </c>
    </row>
    <row r="21715" spans="25:26" x14ac:dyDescent="0.25">
      <c r="Y21715" s="63">
        <v>64248</v>
      </c>
      <c r="Z21715" s="61">
        <f>_xll.qlYieldTSDiscount($U$35,Y21715,,Trigger)</f>
        <v>0.30212696542815459</v>
      </c>
    </row>
    <row r="21716" spans="25:26" x14ac:dyDescent="0.25">
      <c r="Y21716" s="63">
        <v>64249</v>
      </c>
      <c r="Z21716" s="61">
        <f>_xll.qlYieldTSDiscount($U$35,Y21716,,Trigger)</f>
        <v>0.30210755388830984</v>
      </c>
    </row>
    <row r="21717" spans="25:26" x14ac:dyDescent="0.25">
      <c r="Y21717" s="63">
        <v>64250</v>
      </c>
      <c r="Z21717" s="61">
        <f>_xll.qlYieldTSDiscount($U$35,Y21717,,Trigger)</f>
        <v>0.30208814243264009</v>
      </c>
    </row>
    <row r="21718" spans="25:26" x14ac:dyDescent="0.25">
      <c r="Y21718" s="63">
        <v>64251</v>
      </c>
      <c r="Z21718" s="61">
        <f>_xll.qlYieldTSDiscount($U$35,Y21718,,Trigger)</f>
        <v>0.30206873106077936</v>
      </c>
    </row>
    <row r="21719" spans="25:26" x14ac:dyDescent="0.25">
      <c r="Y21719" s="63">
        <v>64252</v>
      </c>
      <c r="Z21719" s="61">
        <f>_xll.qlYieldTSDiscount($U$35,Y21719,,Trigger)</f>
        <v>0.30204931977236166</v>
      </c>
    </row>
    <row r="21720" spans="25:26" x14ac:dyDescent="0.25">
      <c r="Y21720" s="63">
        <v>64253</v>
      </c>
      <c r="Z21720" s="61">
        <f>_xll.qlYieldTSDiscount($U$35,Y21720,,Trigger)</f>
        <v>0.30202990856702094</v>
      </c>
    </row>
    <row r="21721" spans="25:26" x14ac:dyDescent="0.25">
      <c r="Y21721" s="63">
        <v>64254</v>
      </c>
      <c r="Z21721" s="61">
        <f>_xll.qlYieldTSDiscount($U$35,Y21721,,Trigger)</f>
        <v>0.30201049744439135</v>
      </c>
    </row>
    <row r="21722" spans="25:26" x14ac:dyDescent="0.25">
      <c r="Y21722" s="63">
        <v>64255</v>
      </c>
      <c r="Z21722" s="61">
        <f>_xll.qlYieldTSDiscount($U$35,Y21722,,Trigger)</f>
        <v>0.30199108640410677</v>
      </c>
    </row>
    <row r="21723" spans="25:26" x14ac:dyDescent="0.25">
      <c r="Y21723" s="63">
        <v>64256</v>
      </c>
      <c r="Z21723" s="61">
        <f>_xll.qlYieldTSDiscount($U$35,Y21723,,Trigger)</f>
        <v>0.30197167544580128</v>
      </c>
    </row>
    <row r="21724" spans="25:26" x14ac:dyDescent="0.25">
      <c r="Y21724" s="63">
        <v>64257</v>
      </c>
      <c r="Z21724" s="61">
        <f>_xll.qlYieldTSDiscount($U$35,Y21724,,Trigger)</f>
        <v>0.30195226456910906</v>
      </c>
    </row>
    <row r="21725" spans="25:26" x14ac:dyDescent="0.25">
      <c r="Y21725" s="63">
        <v>64258</v>
      </c>
      <c r="Z21725" s="61">
        <f>_xll.qlYieldTSDiscount($U$35,Y21725,,Trigger)</f>
        <v>0.3019328537736638</v>
      </c>
    </row>
    <row r="21726" spans="25:26" x14ac:dyDescent="0.25">
      <c r="Y21726" s="63">
        <v>64259</v>
      </c>
      <c r="Z21726" s="61">
        <f>_xll.qlYieldTSDiscount($U$35,Y21726,,Trigger)</f>
        <v>0.30191344305909978</v>
      </c>
    </row>
    <row r="21727" spans="25:26" x14ac:dyDescent="0.25">
      <c r="Y21727" s="63">
        <v>64260</v>
      </c>
      <c r="Z21727" s="61">
        <f>_xll.qlYieldTSDiscount($U$35,Y21727,,Trigger)</f>
        <v>0.30189403242505092</v>
      </c>
    </row>
    <row r="21728" spans="25:26" x14ac:dyDescent="0.25">
      <c r="Y21728" s="63">
        <v>64261</v>
      </c>
      <c r="Z21728" s="61">
        <f>_xll.qlYieldTSDiscount($U$35,Y21728,,Trigger)</f>
        <v>0.30187462187115138</v>
      </c>
    </row>
    <row r="21729" spans="25:26" x14ac:dyDescent="0.25">
      <c r="Y21729" s="63">
        <v>64262</v>
      </c>
      <c r="Z21729" s="61">
        <f>_xll.qlYieldTSDiscount($U$35,Y21729,,Trigger)</f>
        <v>0.30185521139703497</v>
      </c>
    </row>
    <row r="21730" spans="25:26" x14ac:dyDescent="0.25">
      <c r="Y21730" s="63">
        <v>64263</v>
      </c>
      <c r="Z21730" s="61">
        <f>_xll.qlYieldTSDiscount($U$35,Y21730,,Trigger)</f>
        <v>0.30183580100233581</v>
      </c>
    </row>
    <row r="21731" spans="25:26" x14ac:dyDescent="0.25">
      <c r="Y21731" s="63">
        <v>64264</v>
      </c>
      <c r="Z21731" s="61">
        <f>_xll.qlYieldTSDiscount($U$35,Y21731,,Trigger)</f>
        <v>0.30181639068668803</v>
      </c>
    </row>
    <row r="21732" spans="25:26" x14ac:dyDescent="0.25">
      <c r="Y21732" s="63">
        <v>64265</v>
      </c>
      <c r="Z21732" s="61">
        <f>_xll.qlYieldTSDiscount($U$35,Y21732,,Trigger)</f>
        <v>0.30179698044972542</v>
      </c>
    </row>
    <row r="21733" spans="25:26" x14ac:dyDescent="0.25">
      <c r="Y21733" s="63">
        <v>64266</v>
      </c>
      <c r="Z21733" s="61">
        <f>_xll.qlYieldTSDiscount($U$35,Y21733,,Trigger)</f>
        <v>0.30177757029108221</v>
      </c>
    </row>
    <row r="21734" spans="25:26" x14ac:dyDescent="0.25">
      <c r="Y21734" s="63">
        <v>64267</v>
      </c>
      <c r="Z21734" s="61">
        <f>_xll.qlYieldTSDiscount($U$35,Y21734,,Trigger)</f>
        <v>0.30175816021039237</v>
      </c>
    </row>
    <row r="21735" spans="25:26" x14ac:dyDescent="0.25">
      <c r="Y21735" s="63">
        <v>64268</v>
      </c>
      <c r="Z21735" s="61">
        <f>_xll.qlYieldTSDiscount($U$35,Y21735,,Trigger)</f>
        <v>0.3017387502072898</v>
      </c>
    </row>
    <row r="21736" spans="25:26" x14ac:dyDescent="0.25">
      <c r="Y21736" s="63">
        <v>64269</v>
      </c>
      <c r="Z21736" s="61">
        <f>_xll.qlYieldTSDiscount($U$35,Y21736,,Trigger)</f>
        <v>0.30171934028140862</v>
      </c>
    </row>
    <row r="21737" spans="25:26" x14ac:dyDescent="0.25">
      <c r="Y21737" s="63">
        <v>64270</v>
      </c>
      <c r="Z21737" s="61">
        <f>_xll.qlYieldTSDiscount($U$35,Y21737,,Trigger)</f>
        <v>0.30169993043238297</v>
      </c>
    </row>
    <row r="21738" spans="25:26" x14ac:dyDescent="0.25">
      <c r="Y21738" s="63">
        <v>64271</v>
      </c>
      <c r="Z21738" s="61">
        <f>_xll.qlYieldTSDiscount($U$35,Y21738,,Trigger)</f>
        <v>0.30168052065984668</v>
      </c>
    </row>
    <row r="21739" spans="25:26" x14ac:dyDescent="0.25">
      <c r="Y21739" s="63">
        <v>64272</v>
      </c>
      <c r="Z21739" s="61">
        <f>_xll.qlYieldTSDiscount($U$35,Y21739,,Trigger)</f>
        <v>0.30166111096343384</v>
      </c>
    </row>
    <row r="21740" spans="25:26" x14ac:dyDescent="0.25">
      <c r="Y21740" s="63">
        <v>64273</v>
      </c>
      <c r="Z21740" s="61">
        <f>_xll.qlYieldTSDiscount($U$35,Y21740,,Trigger)</f>
        <v>0.30164170134277846</v>
      </c>
    </row>
    <row r="21741" spans="25:26" x14ac:dyDescent="0.25">
      <c r="Y21741" s="63">
        <v>64274</v>
      </c>
      <c r="Z21741" s="61">
        <f>_xll.qlYieldTSDiscount($U$35,Y21741,,Trigger)</f>
        <v>0.3016222917975146</v>
      </c>
    </row>
    <row r="21742" spans="25:26" x14ac:dyDescent="0.25">
      <c r="Y21742" s="63">
        <v>64275</v>
      </c>
      <c r="Z21742" s="61">
        <f>_xll.qlYieldTSDiscount($U$35,Y21742,,Trigger)</f>
        <v>0.30160288232727628</v>
      </c>
    </row>
    <row r="21743" spans="25:26" x14ac:dyDescent="0.25">
      <c r="Y21743" s="63">
        <v>64276</v>
      </c>
      <c r="Z21743" s="61">
        <f>_xll.qlYieldTSDiscount($U$35,Y21743,,Trigger)</f>
        <v>0.3015834729316974</v>
      </c>
    </row>
    <row r="21744" spans="25:26" x14ac:dyDescent="0.25">
      <c r="Y21744" s="63">
        <v>64277</v>
      </c>
      <c r="Z21744" s="61">
        <f>_xll.qlYieldTSDiscount($U$35,Y21744,,Trigger)</f>
        <v>0.30156406361041221</v>
      </c>
    </row>
    <row r="21745" spans="25:26" x14ac:dyDescent="0.25">
      <c r="Y21745" s="63">
        <v>64278</v>
      </c>
      <c r="Z21745" s="61">
        <f>_xll.qlYieldTSDiscount($U$35,Y21745,,Trigger)</f>
        <v>0.3015446543630545</v>
      </c>
    </row>
    <row r="21746" spans="25:26" x14ac:dyDescent="0.25">
      <c r="Y21746" s="63">
        <v>64279</v>
      </c>
      <c r="Z21746" s="61">
        <f>_xll.qlYieldTSDiscount($U$35,Y21746,,Trigger)</f>
        <v>0.30152524518925844</v>
      </c>
    </row>
    <row r="21747" spans="25:26" x14ac:dyDescent="0.25">
      <c r="Y21747" s="63">
        <v>64280</v>
      </c>
      <c r="Z21747" s="61">
        <f>_xll.qlYieldTSDiscount($U$35,Y21747,,Trigger)</f>
        <v>0.30150583608865805</v>
      </c>
    </row>
    <row r="21748" spans="25:26" x14ac:dyDescent="0.25">
      <c r="Y21748" s="63">
        <v>64281</v>
      </c>
      <c r="Z21748" s="61">
        <f>_xll.qlYieldTSDiscount($U$35,Y21748,,Trigger)</f>
        <v>0.30148642706088724</v>
      </c>
    </row>
    <row r="21749" spans="25:26" x14ac:dyDescent="0.25">
      <c r="Y21749" s="63">
        <v>64282</v>
      </c>
      <c r="Z21749" s="61">
        <f>_xll.qlYieldTSDiscount($U$35,Y21749,,Trigger)</f>
        <v>0.30146701810558008</v>
      </c>
    </row>
    <row r="21750" spans="25:26" x14ac:dyDescent="0.25">
      <c r="Y21750" s="63">
        <v>64283</v>
      </c>
      <c r="Z21750" s="61">
        <f>_xll.qlYieldTSDiscount($U$35,Y21750,,Trigger)</f>
        <v>0.30144760922237074</v>
      </c>
    </row>
    <row r="21751" spans="25:26" x14ac:dyDescent="0.25">
      <c r="Y21751" s="63">
        <v>64284</v>
      </c>
      <c r="Z21751" s="61">
        <f>_xll.qlYieldTSDiscount($U$35,Y21751,,Trigger)</f>
        <v>0.30142820041089297</v>
      </c>
    </row>
    <row r="21752" spans="25:26" x14ac:dyDescent="0.25">
      <c r="Y21752" s="63">
        <v>64285</v>
      </c>
      <c r="Z21752" s="61">
        <f>_xll.qlYieldTSDiscount($U$35,Y21752,,Trigger)</f>
        <v>0.301408791670781</v>
      </c>
    </row>
    <row r="21753" spans="25:26" x14ac:dyDescent="0.25">
      <c r="Y21753" s="63">
        <v>64286</v>
      </c>
      <c r="Z21753" s="61">
        <f>_xll.qlYieldTSDiscount($U$35,Y21753,,Trigger)</f>
        <v>0.30138938300166879</v>
      </c>
    </row>
    <row r="21754" spans="25:26" x14ac:dyDescent="0.25">
      <c r="Y21754" s="63">
        <v>64287</v>
      </c>
      <c r="Z21754" s="61">
        <f>_xll.qlYieldTSDiscount($U$35,Y21754,,Trigger)</f>
        <v>0.30136997440319041</v>
      </c>
    </row>
    <row r="21755" spans="25:26" x14ac:dyDescent="0.25">
      <c r="Y21755" s="63">
        <v>64288</v>
      </c>
      <c r="Z21755" s="61">
        <f>_xll.qlYieldTSDiscount($U$35,Y21755,,Trigger)</f>
        <v>0.30135056587497971</v>
      </c>
    </row>
    <row r="21756" spans="25:26" x14ac:dyDescent="0.25">
      <c r="Y21756" s="63">
        <v>64289</v>
      </c>
      <c r="Z21756" s="61">
        <f>_xll.qlYieldTSDiscount($U$35,Y21756,,Trigger)</f>
        <v>0.30133115741667088</v>
      </c>
    </row>
    <row r="21757" spans="25:26" x14ac:dyDescent="0.25">
      <c r="Y21757" s="63">
        <v>64290</v>
      </c>
      <c r="Z21757" s="61">
        <f>_xll.qlYieldTSDiscount($U$35,Y21757,,Trigger)</f>
        <v>0.30131174902789798</v>
      </c>
    </row>
    <row r="21758" spans="25:26" x14ac:dyDescent="0.25">
      <c r="Y21758" s="63">
        <v>64291</v>
      </c>
      <c r="Z21758" s="61">
        <f>_xll.qlYieldTSDiscount($U$35,Y21758,,Trigger)</f>
        <v>0.3012923407082948</v>
      </c>
    </row>
    <row r="21759" spans="25:26" x14ac:dyDescent="0.25">
      <c r="Y21759" s="63">
        <v>64292</v>
      </c>
      <c r="Z21759" s="61">
        <f>_xll.qlYieldTSDiscount($U$35,Y21759,,Trigger)</f>
        <v>0.30127293245749559</v>
      </c>
    </row>
    <row r="21760" spans="25:26" x14ac:dyDescent="0.25">
      <c r="Y21760" s="63">
        <v>64293</v>
      </c>
      <c r="Z21760" s="61">
        <f>_xll.qlYieldTSDiscount($U$35,Y21760,,Trigger)</f>
        <v>0.3012535242751343</v>
      </c>
    </row>
    <row r="21761" spans="25:26" x14ac:dyDescent="0.25">
      <c r="Y21761" s="63">
        <v>64294</v>
      </c>
      <c r="Z21761" s="61">
        <f>_xll.qlYieldTSDiscount($U$35,Y21761,,Trigger)</f>
        <v>0.301234116160845</v>
      </c>
    </row>
    <row r="21762" spans="25:26" x14ac:dyDescent="0.25">
      <c r="Y21762" s="63">
        <v>64295</v>
      </c>
      <c r="Z21762" s="61">
        <f>_xll.qlYieldTSDiscount($U$35,Y21762,,Trigger)</f>
        <v>0.30121470811426154</v>
      </c>
    </row>
    <row r="21763" spans="25:26" x14ac:dyDescent="0.25">
      <c r="Y21763" s="63">
        <v>64296</v>
      </c>
      <c r="Z21763" s="61">
        <f>_xll.qlYieldTSDiscount($U$35,Y21763,,Trigger)</f>
        <v>0.30119530013501816</v>
      </c>
    </row>
    <row r="21764" spans="25:26" x14ac:dyDescent="0.25">
      <c r="Y21764" s="63">
        <v>64297</v>
      </c>
      <c r="Z21764" s="61">
        <f>_xll.qlYieldTSDiscount($U$35,Y21764,,Trigger)</f>
        <v>0.30117589222274871</v>
      </c>
    </row>
    <row r="21765" spans="25:26" x14ac:dyDescent="0.25">
      <c r="Y21765" s="63">
        <v>64298</v>
      </c>
      <c r="Z21765" s="61">
        <f>_xll.qlYieldTSDiscount($U$35,Y21765,,Trigger)</f>
        <v>0.30115648437708731</v>
      </c>
    </row>
    <row r="21766" spans="25:26" x14ac:dyDescent="0.25">
      <c r="Y21766" s="63">
        <v>64299</v>
      </c>
      <c r="Z21766" s="61">
        <f>_xll.qlYieldTSDiscount($U$35,Y21766,,Trigger)</f>
        <v>0.30113707659766792</v>
      </c>
    </row>
    <row r="21767" spans="25:26" x14ac:dyDescent="0.25">
      <c r="Y21767" s="63">
        <v>64300</v>
      </c>
      <c r="Z21767" s="61">
        <f>_xll.qlYieldTSDiscount($U$35,Y21767,,Trigger)</f>
        <v>0.30111766888412461</v>
      </c>
    </row>
    <row r="21768" spans="25:26" x14ac:dyDescent="0.25">
      <c r="Y21768" s="63">
        <v>64301</v>
      </c>
      <c r="Z21768" s="61">
        <f>_xll.qlYieldTSDiscount($U$35,Y21768,,Trigger)</f>
        <v>0.3010982612360914</v>
      </c>
    </row>
    <row r="21769" spans="25:26" x14ac:dyDescent="0.25">
      <c r="Y21769" s="63">
        <v>64302</v>
      </c>
      <c r="Z21769" s="61">
        <f>_xll.qlYieldTSDiscount($U$35,Y21769,,Trigger)</f>
        <v>0.30107885365320231</v>
      </c>
    </row>
    <row r="21770" spans="25:26" x14ac:dyDescent="0.25">
      <c r="Y21770" s="63">
        <v>64303</v>
      </c>
      <c r="Z21770" s="61">
        <f>_xll.qlYieldTSDiscount($U$35,Y21770,,Trigger)</f>
        <v>0.30105944613509134</v>
      </c>
    </row>
    <row r="21771" spans="25:26" x14ac:dyDescent="0.25">
      <c r="Y21771" s="63">
        <v>64304</v>
      </c>
      <c r="Z21771" s="61">
        <f>_xll.qlYieldTSDiscount($U$35,Y21771,,Trigger)</f>
        <v>0.30104003868139245</v>
      </c>
    </row>
    <row r="21772" spans="25:26" x14ac:dyDescent="0.25">
      <c r="Y21772" s="63">
        <v>64305</v>
      </c>
      <c r="Z21772" s="61">
        <f>_xll.qlYieldTSDiscount($U$35,Y21772,,Trigger)</f>
        <v>0.30102063129173984</v>
      </c>
    </row>
    <row r="21773" spans="25:26" x14ac:dyDescent="0.25">
      <c r="Y21773" s="63">
        <v>64306</v>
      </c>
      <c r="Z21773" s="61">
        <f>_xll.qlYieldTSDiscount($U$35,Y21773,,Trigger)</f>
        <v>0.30100122396576739</v>
      </c>
    </row>
    <row r="21774" spans="25:26" x14ac:dyDescent="0.25">
      <c r="Y21774" s="63">
        <v>64307</v>
      </c>
      <c r="Z21774" s="61">
        <f>_xll.qlYieldTSDiscount($U$35,Y21774,,Trigger)</f>
        <v>0.30098181670310914</v>
      </c>
    </row>
    <row r="21775" spans="25:26" x14ac:dyDescent="0.25">
      <c r="Y21775" s="63">
        <v>64308</v>
      </c>
      <c r="Z21775" s="61">
        <f>_xll.qlYieldTSDiscount($U$35,Y21775,,Trigger)</f>
        <v>0.30096240950339914</v>
      </c>
    </row>
    <row r="21776" spans="25:26" x14ac:dyDescent="0.25">
      <c r="Y21776" s="63">
        <v>64309</v>
      </c>
      <c r="Z21776" s="61">
        <f>_xll.qlYieldTSDiscount($U$35,Y21776,,Trigger)</f>
        <v>0.30094300236627142</v>
      </c>
    </row>
    <row r="21777" spans="25:26" x14ac:dyDescent="0.25">
      <c r="Y21777" s="63">
        <v>64310</v>
      </c>
      <c r="Z21777" s="61">
        <f>_xll.qlYieldTSDiscount($U$35,Y21777,,Trigger)</f>
        <v>0.30092359529135998</v>
      </c>
    </row>
    <row r="21778" spans="25:26" x14ac:dyDescent="0.25">
      <c r="Y21778" s="63">
        <v>64311</v>
      </c>
      <c r="Z21778" s="61">
        <f>_xll.qlYieldTSDiscount($U$35,Y21778,,Trigger)</f>
        <v>0.30090418827829879</v>
      </c>
    </row>
    <row r="21779" spans="25:26" x14ac:dyDescent="0.25">
      <c r="Y21779" s="63">
        <v>64312</v>
      </c>
      <c r="Z21779" s="61">
        <f>_xll.qlYieldTSDiscount($U$35,Y21779,,Trigger)</f>
        <v>0.30088478132672197</v>
      </c>
    </row>
    <row r="21780" spans="25:26" x14ac:dyDescent="0.25">
      <c r="Y21780" s="63">
        <v>64313</v>
      </c>
      <c r="Z21780" s="61">
        <f>_xll.qlYieldTSDiscount($U$35,Y21780,,Trigger)</f>
        <v>0.30086537443626349</v>
      </c>
    </row>
    <row r="21781" spans="25:26" x14ac:dyDescent="0.25">
      <c r="Y21781" s="63">
        <v>64314</v>
      </c>
      <c r="Z21781" s="61">
        <f>_xll.qlYieldTSDiscount($U$35,Y21781,,Trigger)</f>
        <v>0.30084596760655735</v>
      </c>
    </row>
    <row r="21782" spans="25:26" x14ac:dyDescent="0.25">
      <c r="Y21782" s="63">
        <v>64315</v>
      </c>
      <c r="Z21782" s="61">
        <f>_xll.qlYieldTSDiscount($U$35,Y21782,,Trigger)</f>
        <v>0.30082656083723774</v>
      </c>
    </row>
    <row r="21783" spans="25:26" x14ac:dyDescent="0.25">
      <c r="Y21783" s="63">
        <v>64316</v>
      </c>
      <c r="Z21783" s="61">
        <f>_xll.qlYieldTSDiscount($U$35,Y21783,,Trigger)</f>
        <v>0.30080715412793835</v>
      </c>
    </row>
    <row r="21784" spans="25:26" x14ac:dyDescent="0.25">
      <c r="Y21784" s="63">
        <v>64317</v>
      </c>
      <c r="Z21784" s="61">
        <f>_xll.qlYieldTSDiscount($U$35,Y21784,,Trigger)</f>
        <v>0.30078774747829345</v>
      </c>
    </row>
    <row r="21785" spans="25:26" x14ac:dyDescent="0.25">
      <c r="Y21785" s="63">
        <v>64318</v>
      </c>
      <c r="Z21785" s="61">
        <f>_xll.qlYieldTSDiscount($U$35,Y21785,,Trigger)</f>
        <v>0.30076834088793708</v>
      </c>
    </row>
    <row r="21786" spans="25:26" x14ac:dyDescent="0.25">
      <c r="Y21786" s="63">
        <v>64319</v>
      </c>
      <c r="Z21786" s="61">
        <f>_xll.qlYieldTSDiscount($U$35,Y21786,,Trigger)</f>
        <v>0.30074893435650313</v>
      </c>
    </row>
    <row r="21787" spans="25:26" x14ac:dyDescent="0.25">
      <c r="Y21787" s="63">
        <v>64320</v>
      </c>
      <c r="Z21787" s="61">
        <f>_xll.qlYieldTSDiscount($U$35,Y21787,,Trigger)</f>
        <v>0.30072952788362578</v>
      </c>
    </row>
    <row r="21788" spans="25:26" x14ac:dyDescent="0.25">
      <c r="Y21788" s="63">
        <v>64321</v>
      </c>
      <c r="Z21788" s="61">
        <f>_xll.qlYieldTSDiscount($U$35,Y21788,,Trigger)</f>
        <v>0.30071012146893883</v>
      </c>
    </row>
    <row r="21789" spans="25:26" x14ac:dyDescent="0.25">
      <c r="Y21789" s="63">
        <v>64322</v>
      </c>
      <c r="Z21789" s="61">
        <f>_xll.qlYieldTSDiscount($U$35,Y21789,,Trigger)</f>
        <v>0.30069071511207651</v>
      </c>
    </row>
    <row r="21790" spans="25:26" x14ac:dyDescent="0.25">
      <c r="Y21790" s="63">
        <v>64323</v>
      </c>
      <c r="Z21790" s="61">
        <f>_xll.qlYieldTSDiscount($U$35,Y21790,,Trigger)</f>
        <v>0.30067130881267268</v>
      </c>
    </row>
    <row r="21791" spans="25:26" x14ac:dyDescent="0.25">
      <c r="Y21791" s="63">
        <v>64324</v>
      </c>
      <c r="Z21791" s="61">
        <f>_xll.qlYieldTSDiscount($U$35,Y21791,,Trigger)</f>
        <v>0.30065190257036151</v>
      </c>
    </row>
    <row r="21792" spans="25:26" x14ac:dyDescent="0.25">
      <c r="Y21792" s="63">
        <v>64325</v>
      </c>
      <c r="Z21792" s="61">
        <f>_xll.qlYieldTSDiscount($U$35,Y21792,,Trigger)</f>
        <v>0.30063249638477696</v>
      </c>
    </row>
    <row r="21793" spans="25:26" x14ac:dyDescent="0.25">
      <c r="Y21793" s="63">
        <v>64326</v>
      </c>
      <c r="Z21793" s="61">
        <f>_xll.qlYieldTSDiscount($U$35,Y21793,,Trigger)</f>
        <v>0.30061309025555294</v>
      </c>
    </row>
    <row r="21794" spans="25:26" x14ac:dyDescent="0.25">
      <c r="Y21794" s="63">
        <v>64327</v>
      </c>
      <c r="Z21794" s="61">
        <f>_xll.qlYieldTSDiscount($U$35,Y21794,,Trigger)</f>
        <v>0.30059368418232368</v>
      </c>
    </row>
    <row r="21795" spans="25:26" x14ac:dyDescent="0.25">
      <c r="Y21795" s="63">
        <v>64328</v>
      </c>
      <c r="Z21795" s="61">
        <f>_xll.qlYieldTSDiscount($U$35,Y21795,,Trigger)</f>
        <v>0.30057427816472304</v>
      </c>
    </row>
    <row r="21796" spans="25:26" x14ac:dyDescent="0.25">
      <c r="Y21796" s="63">
        <v>64329</v>
      </c>
      <c r="Z21796" s="61">
        <f>_xll.qlYieldTSDiscount($U$35,Y21796,,Trigger)</f>
        <v>0.30055487220238508</v>
      </c>
    </row>
    <row r="21797" spans="25:26" x14ac:dyDescent="0.25">
      <c r="Y21797" s="63">
        <v>64330</v>
      </c>
      <c r="Z21797" s="61">
        <f>_xll.qlYieldTSDiscount($U$35,Y21797,,Trigger)</f>
        <v>0.30053546629494393</v>
      </c>
    </row>
    <row r="21798" spans="25:26" x14ac:dyDescent="0.25">
      <c r="Y21798" s="63">
        <v>64331</v>
      </c>
      <c r="Z21798" s="61">
        <f>_xll.qlYieldTSDiscount($U$35,Y21798,,Trigger)</f>
        <v>0.30051606044203344</v>
      </c>
    </row>
    <row r="21799" spans="25:26" x14ac:dyDescent="0.25">
      <c r="Y21799" s="63">
        <v>64332</v>
      </c>
      <c r="Z21799" s="61">
        <f>_xll.qlYieldTSDiscount($U$35,Y21799,,Trigger)</f>
        <v>0.30049665464328773</v>
      </c>
    </row>
    <row r="21800" spans="25:26" x14ac:dyDescent="0.25">
      <c r="Y21800" s="63">
        <v>64333</v>
      </c>
      <c r="Z21800" s="61">
        <f>_xll.qlYieldTSDiscount($U$35,Y21800,,Trigger)</f>
        <v>0.30047724889834082</v>
      </c>
    </row>
    <row r="21801" spans="25:26" x14ac:dyDescent="0.25">
      <c r="Y21801" s="63">
        <v>64334</v>
      </c>
      <c r="Z21801" s="61">
        <f>_xll.qlYieldTSDiscount($U$35,Y21801,,Trigger)</f>
        <v>0.30045784320682678</v>
      </c>
    </row>
    <row r="21802" spans="25:26" x14ac:dyDescent="0.25">
      <c r="Y21802" s="63">
        <v>64335</v>
      </c>
      <c r="Z21802" s="61">
        <f>_xll.qlYieldTSDiscount($U$35,Y21802,,Trigger)</f>
        <v>0.30043843756837946</v>
      </c>
    </row>
    <row r="21803" spans="25:26" x14ac:dyDescent="0.25">
      <c r="Y21803" s="63">
        <v>64336</v>
      </c>
      <c r="Z21803" s="61">
        <f>_xll.qlYieldTSDiscount($U$35,Y21803,,Trigger)</f>
        <v>0.30041903198263298</v>
      </c>
    </row>
    <row r="21804" spans="25:26" x14ac:dyDescent="0.25">
      <c r="Y21804" s="63">
        <v>64337</v>
      </c>
      <c r="Z21804" s="61">
        <f>_xll.qlYieldTSDiscount($U$35,Y21804,,Trigger)</f>
        <v>0.30039962644922147</v>
      </c>
    </row>
    <row r="21805" spans="25:26" x14ac:dyDescent="0.25">
      <c r="Y21805" s="63">
        <v>64338</v>
      </c>
      <c r="Z21805" s="61">
        <f>_xll.qlYieldTSDiscount($U$35,Y21805,,Trigger)</f>
        <v>0.30038022096777883</v>
      </c>
    </row>
    <row r="21806" spans="25:26" x14ac:dyDescent="0.25">
      <c r="Y21806" s="63">
        <v>64339</v>
      </c>
      <c r="Z21806" s="61">
        <f>_xll.qlYieldTSDiscount($U$35,Y21806,,Trigger)</f>
        <v>0.30036081553793909</v>
      </c>
    </row>
    <row r="21807" spans="25:26" x14ac:dyDescent="0.25">
      <c r="Y21807" s="63">
        <v>64340</v>
      </c>
      <c r="Z21807" s="61">
        <f>_xll.qlYieldTSDiscount($U$35,Y21807,,Trigger)</f>
        <v>0.30034141015933624</v>
      </c>
    </row>
    <row r="21808" spans="25:26" x14ac:dyDescent="0.25">
      <c r="Y21808" s="63">
        <v>64341</v>
      </c>
      <c r="Z21808" s="61">
        <f>_xll.qlYieldTSDiscount($U$35,Y21808,,Trigger)</f>
        <v>0.30032200483160443</v>
      </c>
    </row>
    <row r="21809" spans="25:26" x14ac:dyDescent="0.25">
      <c r="Y21809" s="63">
        <v>64342</v>
      </c>
      <c r="Z21809" s="61">
        <f>_xll.qlYieldTSDiscount($U$35,Y21809,,Trigger)</f>
        <v>0.3003025995543776</v>
      </c>
    </row>
    <row r="21810" spans="25:26" x14ac:dyDescent="0.25">
      <c r="Y21810" s="63">
        <v>64343</v>
      </c>
      <c r="Z21810" s="61">
        <f>_xll.qlYieldTSDiscount($U$35,Y21810,,Trigger)</f>
        <v>0.30028319432728973</v>
      </c>
    </row>
    <row r="21811" spans="25:26" x14ac:dyDescent="0.25">
      <c r="Y21811" s="63">
        <v>64344</v>
      </c>
      <c r="Z21811" s="61">
        <f>_xll.qlYieldTSDiscount($U$35,Y21811,,Trigger)</f>
        <v>0.30026378914997492</v>
      </c>
    </row>
    <row r="21812" spans="25:26" x14ac:dyDescent="0.25">
      <c r="Y21812" s="63">
        <v>64345</v>
      </c>
      <c r="Z21812" s="61">
        <f>_xll.qlYieldTSDiscount($U$35,Y21812,,Trigger)</f>
        <v>0.3002443840220671</v>
      </c>
    </row>
    <row r="21813" spans="25:26" x14ac:dyDescent="0.25">
      <c r="Y21813" s="63">
        <v>64346</v>
      </c>
      <c r="Z21813" s="61">
        <f>_xll.qlYieldTSDiscount($U$35,Y21813,,Trigger)</f>
        <v>0.30022497894320038</v>
      </c>
    </row>
    <row r="21814" spans="25:26" x14ac:dyDescent="0.25">
      <c r="Y21814" s="63">
        <v>64347</v>
      </c>
      <c r="Z21814" s="61">
        <f>_xll.qlYieldTSDiscount($U$35,Y21814,,Trigger)</f>
        <v>0.30020557391300884</v>
      </c>
    </row>
    <row r="21815" spans="25:26" x14ac:dyDescent="0.25">
      <c r="Y21815" s="63">
        <v>64348</v>
      </c>
      <c r="Z21815" s="61">
        <f>_xll.qlYieldTSDiscount($U$35,Y21815,,Trigger)</f>
        <v>0.30018616893112626</v>
      </c>
    </row>
    <row r="21816" spans="25:26" x14ac:dyDescent="0.25">
      <c r="Y21816" s="63">
        <v>64349</v>
      </c>
      <c r="Z21816" s="61">
        <f>_xll.qlYieldTSDiscount($U$35,Y21816,,Trigger)</f>
        <v>0.30016676399718695</v>
      </c>
    </row>
    <row r="21817" spans="25:26" x14ac:dyDescent="0.25">
      <c r="Y21817" s="63">
        <v>64350</v>
      </c>
      <c r="Z21817" s="61">
        <f>_xll.qlYieldTSDiscount($U$35,Y21817,,Trigger)</f>
        <v>0.30014735911082469</v>
      </c>
    </row>
    <row r="21818" spans="25:26" x14ac:dyDescent="0.25">
      <c r="Y21818" s="63">
        <v>64351</v>
      </c>
      <c r="Z21818" s="61">
        <f>_xll.qlYieldTSDiscount($U$35,Y21818,,Trigger)</f>
        <v>0.30012795427167371</v>
      </c>
    </row>
    <row r="21819" spans="25:26" x14ac:dyDescent="0.25">
      <c r="Y21819" s="63">
        <v>64352</v>
      </c>
      <c r="Z21819" s="61">
        <f>_xll.qlYieldTSDiscount($U$35,Y21819,,Trigger)</f>
        <v>0.30010854947936783</v>
      </c>
    </row>
    <row r="21820" spans="25:26" x14ac:dyDescent="0.25">
      <c r="Y21820" s="63">
        <v>64353</v>
      </c>
      <c r="Z21820" s="61">
        <f>_xll.qlYieldTSDiscount($U$35,Y21820,,Trigger)</f>
        <v>0.30008914473354126</v>
      </c>
    </row>
    <row r="21821" spans="25:26" x14ac:dyDescent="0.25">
      <c r="Y21821" s="63">
        <v>64354</v>
      </c>
      <c r="Z21821" s="61">
        <f>_xll.qlYieldTSDiscount($U$35,Y21821,,Trigger)</f>
        <v>0.30006974003382791</v>
      </c>
    </row>
    <row r="21822" spans="25:26" x14ac:dyDescent="0.25">
      <c r="Y21822" s="63">
        <v>64355</v>
      </c>
      <c r="Z21822" s="61">
        <f>_xll.qlYieldTSDiscount($U$35,Y21822,,Trigger)</f>
        <v>0.30005033537986181</v>
      </c>
    </row>
    <row r="21823" spans="25:26" x14ac:dyDescent="0.25">
      <c r="Y21823" s="63">
        <v>64356</v>
      </c>
      <c r="Z21823" s="61">
        <f>_xll.qlYieldTSDiscount($U$35,Y21823,,Trigger)</f>
        <v>0.30003093077127696</v>
      </c>
    </row>
    <row r="21824" spans="25:26" x14ac:dyDescent="0.25">
      <c r="Y21824" s="63">
        <v>64357</v>
      </c>
      <c r="Z21824" s="61">
        <f>_xll.qlYieldTSDiscount($U$35,Y21824,,Trigger)</f>
        <v>0.30001152620770755</v>
      </c>
    </row>
    <row r="21825" spans="25:26" x14ac:dyDescent="0.25">
      <c r="Y21825" s="63">
        <v>64358</v>
      </c>
      <c r="Z21825" s="61">
        <f>_xll.qlYieldTSDiscount($U$35,Y21825,,Trigger)</f>
        <v>0.29999212168878736</v>
      </c>
    </row>
    <row r="21826" spans="25:26" x14ac:dyDescent="0.25">
      <c r="Y21826" s="63">
        <v>64359</v>
      </c>
      <c r="Z21826" s="61">
        <f>_xll.qlYieldTSDiscount($U$35,Y21826,,Trigger)</f>
        <v>0.29997271721415053</v>
      </c>
    </row>
    <row r="21827" spans="25:26" x14ac:dyDescent="0.25">
      <c r="Y21827" s="63">
        <v>64360</v>
      </c>
      <c r="Z21827" s="61">
        <f>_xll.qlYieldTSDiscount($U$35,Y21827,,Trigger)</f>
        <v>0.29995331278343118</v>
      </c>
    </row>
    <row r="21828" spans="25:26" x14ac:dyDescent="0.25">
      <c r="Y21828" s="63">
        <v>64361</v>
      </c>
      <c r="Z21828" s="61">
        <f>_xll.qlYieldTSDiscount($U$35,Y21828,,Trigger)</f>
        <v>0.2999339083962631</v>
      </c>
    </row>
    <row r="21829" spans="25:26" x14ac:dyDescent="0.25">
      <c r="Y21829" s="63">
        <v>64362</v>
      </c>
      <c r="Z21829" s="61">
        <f>_xll.qlYieldTSDiscount($U$35,Y21829,,Trigger)</f>
        <v>0.29991450405228048</v>
      </c>
    </row>
    <row r="21830" spans="25:26" x14ac:dyDescent="0.25">
      <c r="Y21830" s="63">
        <v>64363</v>
      </c>
      <c r="Z21830" s="61">
        <f>_xll.qlYieldTSDiscount($U$35,Y21830,,Trigger)</f>
        <v>0.29989509975111733</v>
      </c>
    </row>
    <row r="21831" spans="25:26" x14ac:dyDescent="0.25">
      <c r="Y21831" s="63">
        <v>64364</v>
      </c>
      <c r="Z21831" s="61">
        <f>_xll.qlYieldTSDiscount($U$35,Y21831,,Trigger)</f>
        <v>0.29987569549240767</v>
      </c>
    </row>
    <row r="21832" spans="25:26" x14ac:dyDescent="0.25">
      <c r="Y21832" s="63">
        <v>64365</v>
      </c>
      <c r="Z21832" s="61">
        <f>_xll.qlYieldTSDiscount($U$35,Y21832,,Trigger)</f>
        <v>0.29985629127578545</v>
      </c>
    </row>
    <row r="21833" spans="25:26" x14ac:dyDescent="0.25">
      <c r="Y21833" s="63">
        <v>64366</v>
      </c>
      <c r="Z21833" s="61">
        <f>_xll.qlYieldTSDiscount($U$35,Y21833,,Trigger)</f>
        <v>0.29983688710088469</v>
      </c>
    </row>
    <row r="21834" spans="25:26" x14ac:dyDescent="0.25">
      <c r="Y21834" s="63">
        <v>64367</v>
      </c>
      <c r="Z21834" s="61">
        <f>_xll.qlYieldTSDiscount($U$35,Y21834,,Trigger)</f>
        <v>0.29981748296733957</v>
      </c>
    </row>
    <row r="21835" spans="25:26" x14ac:dyDescent="0.25">
      <c r="Y21835" s="63">
        <v>64368</v>
      </c>
      <c r="Z21835" s="61">
        <f>_xll.qlYieldTSDiscount($U$35,Y21835,,Trigger)</f>
        <v>0.29979807887478388</v>
      </c>
    </row>
    <row r="21836" spans="25:26" x14ac:dyDescent="0.25">
      <c r="Y21836" s="63">
        <v>64369</v>
      </c>
      <c r="Z21836" s="61">
        <f>_xll.qlYieldTSDiscount($U$35,Y21836,,Trigger)</f>
        <v>0.29977867482285181</v>
      </c>
    </row>
    <row r="21837" spans="25:26" x14ac:dyDescent="0.25">
      <c r="Y21837" s="63">
        <v>64370</v>
      </c>
      <c r="Z21837" s="61">
        <f>_xll.qlYieldTSDiscount($U$35,Y21837,,Trigger)</f>
        <v>0.29975927081117737</v>
      </c>
    </row>
    <row r="21838" spans="25:26" x14ac:dyDescent="0.25">
      <c r="Y21838" s="63">
        <v>64371</v>
      </c>
      <c r="Z21838" s="61">
        <f>_xll.qlYieldTSDiscount($U$35,Y21838,,Trigger)</f>
        <v>0.29973986683939452</v>
      </c>
    </row>
    <row r="21839" spans="25:26" x14ac:dyDescent="0.25">
      <c r="Y21839" s="63">
        <v>64372</v>
      </c>
      <c r="Z21839" s="61">
        <f>_xll.qlYieldTSDiscount($U$35,Y21839,,Trigger)</f>
        <v>0.29972046290713728</v>
      </c>
    </row>
    <row r="21840" spans="25:26" x14ac:dyDescent="0.25">
      <c r="Y21840" s="63">
        <v>64373</v>
      </c>
      <c r="Z21840" s="61">
        <f>_xll.qlYieldTSDiscount($U$35,Y21840,,Trigger)</f>
        <v>0.29970105901403982</v>
      </c>
    </row>
    <row r="21841" spans="25:26" x14ac:dyDescent="0.25">
      <c r="Y21841" s="63">
        <v>64374</v>
      </c>
      <c r="Z21841" s="61">
        <f>_xll.qlYieldTSDiscount($U$35,Y21841,,Trigger)</f>
        <v>0.29968165515973588</v>
      </c>
    </row>
    <row r="21842" spans="25:26" x14ac:dyDescent="0.25">
      <c r="Y21842" s="63">
        <v>64375</v>
      </c>
      <c r="Z21842" s="61">
        <f>_xll.qlYieldTSDiscount($U$35,Y21842,,Trigger)</f>
        <v>0.29966225134385971</v>
      </c>
    </row>
    <row r="21843" spans="25:26" x14ac:dyDescent="0.25">
      <c r="Y21843" s="63">
        <v>64376</v>
      </c>
      <c r="Z21843" s="61">
        <f>_xll.qlYieldTSDiscount($U$35,Y21843,,Trigger)</f>
        <v>0.29964284756604526</v>
      </c>
    </row>
    <row r="21844" spans="25:26" x14ac:dyDescent="0.25">
      <c r="Y21844" s="63">
        <v>64377</v>
      </c>
      <c r="Z21844" s="61">
        <f>_xll.qlYieldTSDiscount($U$35,Y21844,,Trigger)</f>
        <v>0.29962344382592665</v>
      </c>
    </row>
    <row r="21845" spans="25:26" x14ac:dyDescent="0.25">
      <c r="Y21845" s="63">
        <v>64378</v>
      </c>
      <c r="Z21845" s="61">
        <f>_xll.qlYieldTSDiscount($U$35,Y21845,,Trigger)</f>
        <v>0.29960404012313768</v>
      </c>
    </row>
    <row r="21846" spans="25:26" x14ac:dyDescent="0.25">
      <c r="Y21846" s="63">
        <v>64379</v>
      </c>
      <c r="Z21846" s="61">
        <f>_xll.qlYieldTSDiscount($U$35,Y21846,,Trigger)</f>
        <v>0.29958463645731259</v>
      </c>
    </row>
    <row r="21847" spans="25:26" x14ac:dyDescent="0.25">
      <c r="Y21847" s="63">
        <v>64380</v>
      </c>
      <c r="Z21847" s="61">
        <f>_xll.qlYieldTSDiscount($U$35,Y21847,,Trigger)</f>
        <v>0.29956523282808523</v>
      </c>
    </row>
    <row r="21848" spans="25:26" x14ac:dyDescent="0.25">
      <c r="Y21848" s="63">
        <v>64381</v>
      </c>
      <c r="Z21848" s="61">
        <f>_xll.qlYieldTSDiscount($U$35,Y21848,,Trigger)</f>
        <v>0.29954582923508977</v>
      </c>
    </row>
    <row r="21849" spans="25:26" x14ac:dyDescent="0.25">
      <c r="Y21849" s="63">
        <v>64382</v>
      </c>
      <c r="Z21849" s="61">
        <f>_xll.qlYieldTSDiscount($U$35,Y21849,,Trigger)</f>
        <v>0.29952642567796017</v>
      </c>
    </row>
    <row r="21850" spans="25:26" x14ac:dyDescent="0.25">
      <c r="Y21850" s="63">
        <v>64383</v>
      </c>
      <c r="Z21850" s="61">
        <f>_xll.qlYieldTSDiscount($U$35,Y21850,,Trigger)</f>
        <v>0.29950702215633046</v>
      </c>
    </row>
    <row r="21851" spans="25:26" x14ac:dyDescent="0.25">
      <c r="Y21851" s="63">
        <v>64384</v>
      </c>
      <c r="Z21851" s="61">
        <f>_xll.qlYieldTSDiscount($U$35,Y21851,,Trigger)</f>
        <v>0.29948761866983459</v>
      </c>
    </row>
    <row r="21852" spans="25:26" x14ac:dyDescent="0.25">
      <c r="Y21852" s="63">
        <v>64385</v>
      </c>
      <c r="Z21852" s="61">
        <f>_xll.qlYieldTSDiscount($U$35,Y21852,,Trigger)</f>
        <v>0.29946821521810663</v>
      </c>
    </row>
    <row r="21853" spans="25:26" x14ac:dyDescent="0.25">
      <c r="Y21853" s="63">
        <v>64386</v>
      </c>
      <c r="Z21853" s="61">
        <f>_xll.qlYieldTSDiscount($U$35,Y21853,,Trigger)</f>
        <v>0.2994488118007807</v>
      </c>
    </row>
    <row r="21854" spans="25:26" x14ac:dyDescent="0.25">
      <c r="Y21854" s="63">
        <v>64387</v>
      </c>
      <c r="Z21854" s="61">
        <f>_xll.qlYieldTSDiscount($U$35,Y21854,,Trigger)</f>
        <v>0.29942940841749066</v>
      </c>
    </row>
    <row r="21855" spans="25:26" x14ac:dyDescent="0.25">
      <c r="Y21855" s="63">
        <v>64388</v>
      </c>
      <c r="Z21855" s="61">
        <f>_xll.qlYieldTSDiscount($U$35,Y21855,,Trigger)</f>
        <v>0.29941000506787069</v>
      </c>
    </row>
    <row r="21856" spans="25:26" x14ac:dyDescent="0.25">
      <c r="Y21856" s="63">
        <v>64389</v>
      </c>
      <c r="Z21856" s="61">
        <f>_xll.qlYieldTSDiscount($U$35,Y21856,,Trigger)</f>
        <v>0.29939060175155469</v>
      </c>
    </row>
    <row r="21857" spans="25:26" x14ac:dyDescent="0.25">
      <c r="Y21857" s="63">
        <v>64390</v>
      </c>
      <c r="Z21857" s="61">
        <f>_xll.qlYieldTSDiscount($U$35,Y21857,,Trigger)</f>
        <v>0.29937119846817667</v>
      </c>
    </row>
    <row r="21858" spans="25:26" x14ac:dyDescent="0.25">
      <c r="Y21858" s="63">
        <v>64391</v>
      </c>
      <c r="Z21858" s="61">
        <f>_xll.qlYieldTSDiscount($U$35,Y21858,,Trigger)</f>
        <v>0.29935179521737071</v>
      </c>
    </row>
    <row r="21859" spans="25:26" x14ac:dyDescent="0.25">
      <c r="Y21859" s="63">
        <v>64392</v>
      </c>
      <c r="Z21859" s="61">
        <f>_xll.qlYieldTSDiscount($U$35,Y21859,,Trigger)</f>
        <v>0.29933239199877093</v>
      </c>
    </row>
    <row r="21860" spans="25:26" x14ac:dyDescent="0.25">
      <c r="Y21860" s="63">
        <v>64393</v>
      </c>
      <c r="Z21860" s="61">
        <f>_xll.qlYieldTSDiscount($U$35,Y21860,,Trigger)</f>
        <v>0.29931298881201113</v>
      </c>
    </row>
    <row r="21861" spans="25:26" x14ac:dyDescent="0.25">
      <c r="Y21861" s="63">
        <v>64394</v>
      </c>
      <c r="Z21861" s="61">
        <f>_xll.qlYieldTSDiscount($U$35,Y21861,,Trigger)</f>
        <v>0.29929358565672554</v>
      </c>
    </row>
    <row r="21862" spans="25:26" x14ac:dyDescent="0.25">
      <c r="Y21862" s="63">
        <v>64395</v>
      </c>
      <c r="Z21862" s="61">
        <f>_xll.qlYieldTSDiscount($U$35,Y21862,,Trigger)</f>
        <v>0.29927418253254806</v>
      </c>
    </row>
    <row r="21863" spans="25:26" x14ac:dyDescent="0.25">
      <c r="Y21863" s="63">
        <v>64396</v>
      </c>
      <c r="Z21863" s="61">
        <f>_xll.qlYieldTSDiscount($U$35,Y21863,,Trigger)</f>
        <v>0.29925477943911277</v>
      </c>
    </row>
    <row r="21864" spans="25:26" x14ac:dyDescent="0.25">
      <c r="Y21864" s="63">
        <v>64397</v>
      </c>
      <c r="Z21864" s="61">
        <f>_xll.qlYieldTSDiscount($U$35,Y21864,,Trigger)</f>
        <v>0.29923537637605363</v>
      </c>
    </row>
    <row r="21865" spans="25:26" x14ac:dyDescent="0.25">
      <c r="Y21865" s="63">
        <v>64398</v>
      </c>
      <c r="Z21865" s="61">
        <f>_xll.qlYieldTSDiscount($U$35,Y21865,,Trigger)</f>
        <v>0.29921597334300465</v>
      </c>
    </row>
    <row r="21866" spans="25:26" x14ac:dyDescent="0.25">
      <c r="Y21866" s="63">
        <v>64399</v>
      </c>
      <c r="Z21866" s="61">
        <f>_xll.qlYieldTSDiscount($U$35,Y21866,,Trigger)</f>
        <v>0.29919657033960001</v>
      </c>
    </row>
    <row r="21867" spans="25:26" x14ac:dyDescent="0.25">
      <c r="Y21867" s="63">
        <v>64400</v>
      </c>
      <c r="Z21867" s="61">
        <f>_xll.qlYieldTSDiscount($U$35,Y21867,,Trigger)</f>
        <v>0.29917716736547351</v>
      </c>
    </row>
    <row r="21868" spans="25:26" x14ac:dyDescent="0.25">
      <c r="Y21868" s="63">
        <v>64401</v>
      </c>
      <c r="Z21868" s="61">
        <f>_xll.qlYieldTSDiscount($U$35,Y21868,,Trigger)</f>
        <v>0.29915776442025938</v>
      </c>
    </row>
    <row r="21869" spans="25:26" x14ac:dyDescent="0.25">
      <c r="Y21869" s="63">
        <v>64402</v>
      </c>
      <c r="Z21869" s="61">
        <f>_xll.qlYieldTSDiscount($U$35,Y21869,,Trigger)</f>
        <v>0.29913836150359147</v>
      </c>
    </row>
    <row r="21870" spans="25:26" x14ac:dyDescent="0.25">
      <c r="Y21870" s="63">
        <v>64403</v>
      </c>
      <c r="Z21870" s="61">
        <f>_xll.qlYieldTSDiscount($U$35,Y21870,,Trigger)</f>
        <v>0.29911895861510385</v>
      </c>
    </row>
    <row r="21871" spans="25:26" x14ac:dyDescent="0.25">
      <c r="Y21871" s="63">
        <v>64404</v>
      </c>
      <c r="Z21871" s="61">
        <f>_xll.qlYieldTSDiscount($U$35,Y21871,,Trigger)</f>
        <v>0.29909955575443065</v>
      </c>
    </row>
    <row r="21872" spans="25:26" x14ac:dyDescent="0.25">
      <c r="Y21872" s="63">
        <v>64405</v>
      </c>
      <c r="Z21872" s="61">
        <f>_xll.qlYieldTSDiscount($U$35,Y21872,,Trigger)</f>
        <v>0.29908015292120582</v>
      </c>
    </row>
    <row r="21873" spans="25:26" x14ac:dyDescent="0.25">
      <c r="Y21873" s="63">
        <v>64406</v>
      </c>
      <c r="Z21873" s="61">
        <f>_xll.qlYieldTSDiscount($U$35,Y21873,,Trigger)</f>
        <v>0.29906075011506339</v>
      </c>
    </row>
    <row r="21874" spans="25:26" x14ac:dyDescent="0.25">
      <c r="Y21874" s="63">
        <v>64407</v>
      </c>
      <c r="Z21874" s="61">
        <f>_xll.qlYieldTSDiscount($U$35,Y21874,,Trigger)</f>
        <v>0.29904134733563725</v>
      </c>
    </row>
    <row r="21875" spans="25:26" x14ac:dyDescent="0.25">
      <c r="Y21875" s="63">
        <v>64408</v>
      </c>
      <c r="Z21875" s="61">
        <f>_xll.qlYieldTSDiscount($U$35,Y21875,,Trigger)</f>
        <v>0.29902194458256165</v>
      </c>
    </row>
    <row r="21876" spans="25:26" x14ac:dyDescent="0.25">
      <c r="Y21876" s="63">
        <v>64409</v>
      </c>
      <c r="Z21876" s="61">
        <f>_xll.qlYieldTSDiscount($U$35,Y21876,,Trigger)</f>
        <v>0.29900254185547043</v>
      </c>
    </row>
    <row r="21877" spans="25:26" x14ac:dyDescent="0.25">
      <c r="Y21877" s="63">
        <v>64410</v>
      </c>
      <c r="Z21877" s="61">
        <f>_xll.qlYieldTSDiscount($U$35,Y21877,,Trigger)</f>
        <v>0.2989831391539976</v>
      </c>
    </row>
    <row r="21878" spans="25:26" x14ac:dyDescent="0.25">
      <c r="Y21878" s="63">
        <v>64411</v>
      </c>
      <c r="Z21878" s="61">
        <f>_xll.qlYieldTSDiscount($U$35,Y21878,,Trigger)</f>
        <v>0.29896373647777735</v>
      </c>
    </row>
    <row r="21879" spans="25:26" x14ac:dyDescent="0.25">
      <c r="Y21879" s="63">
        <v>64412</v>
      </c>
      <c r="Z21879" s="61">
        <f>_xll.qlYieldTSDiscount($U$35,Y21879,,Trigger)</f>
        <v>0.29894433382644364</v>
      </c>
    </row>
    <row r="21880" spans="25:26" x14ac:dyDescent="0.25">
      <c r="Y21880" s="63">
        <v>64413</v>
      </c>
      <c r="Z21880" s="61">
        <f>_xll.qlYieldTSDiscount($U$35,Y21880,,Trigger)</f>
        <v>0.29892493119963048</v>
      </c>
    </row>
    <row r="21881" spans="25:26" x14ac:dyDescent="0.25">
      <c r="Y21881" s="63">
        <v>64414</v>
      </c>
      <c r="Z21881" s="61">
        <f>_xll.qlYieldTSDiscount($U$35,Y21881,,Trigger)</f>
        <v>0.29890552859697184</v>
      </c>
    </row>
    <row r="21882" spans="25:26" x14ac:dyDescent="0.25">
      <c r="Y21882" s="63">
        <v>64415</v>
      </c>
      <c r="Z21882" s="61">
        <f>_xll.qlYieldTSDiscount($U$35,Y21882,,Trigger)</f>
        <v>0.29888612601810177</v>
      </c>
    </row>
    <row r="21883" spans="25:26" x14ac:dyDescent="0.25">
      <c r="Y21883" s="63">
        <v>64416</v>
      </c>
      <c r="Z21883" s="61">
        <f>_xll.qlYieldTSDiscount($U$35,Y21883,,Trigger)</f>
        <v>0.29886672346265436</v>
      </c>
    </row>
    <row r="21884" spans="25:26" x14ac:dyDescent="0.25">
      <c r="Y21884" s="63">
        <v>64417</v>
      </c>
      <c r="Z21884" s="61">
        <f>_xll.qlYieldTSDiscount($U$35,Y21884,,Trigger)</f>
        <v>0.29884732093026345</v>
      </c>
    </row>
    <row r="21885" spans="25:26" x14ac:dyDescent="0.25">
      <c r="Y21885" s="63">
        <v>64418</v>
      </c>
      <c r="Z21885" s="61">
        <f>_xll.qlYieldTSDiscount($U$35,Y21885,,Trigger)</f>
        <v>0.29882791842056328</v>
      </c>
    </row>
    <row r="21886" spans="25:26" x14ac:dyDescent="0.25">
      <c r="Y21886" s="63">
        <v>64419</v>
      </c>
      <c r="Z21886" s="61">
        <f>_xll.qlYieldTSDiscount($U$35,Y21886,,Trigger)</f>
        <v>0.29880851593318775</v>
      </c>
    </row>
    <row r="21887" spans="25:26" x14ac:dyDescent="0.25">
      <c r="Y21887" s="63">
        <v>64420</v>
      </c>
      <c r="Z21887" s="61">
        <f>_xll.qlYieldTSDiscount($U$35,Y21887,,Trigger)</f>
        <v>0.29878911346777087</v>
      </c>
    </row>
    <row r="21888" spans="25:26" x14ac:dyDescent="0.25">
      <c r="Y21888" s="63">
        <v>64421</v>
      </c>
      <c r="Z21888" s="61">
        <f>_xll.qlYieldTSDiscount($U$35,Y21888,,Trigger)</f>
        <v>0.29876971102394678</v>
      </c>
    </row>
    <row r="21889" spans="25:26" x14ac:dyDescent="0.25">
      <c r="Y21889" s="63">
        <v>64422</v>
      </c>
      <c r="Z21889" s="61">
        <f>_xll.qlYieldTSDiscount($U$35,Y21889,,Trigger)</f>
        <v>0.29875030860134932</v>
      </c>
    </row>
    <row r="21890" spans="25:26" x14ac:dyDescent="0.25">
      <c r="Y21890" s="63">
        <v>64423</v>
      </c>
      <c r="Z21890" s="61">
        <f>_xll.qlYieldTSDiscount($U$35,Y21890,,Trigger)</f>
        <v>0.29873090619961273</v>
      </c>
    </row>
    <row r="21891" spans="25:26" x14ac:dyDescent="0.25">
      <c r="Y21891" s="63">
        <v>64424</v>
      </c>
      <c r="Z21891" s="61">
        <f>_xll.qlYieldTSDiscount($U$35,Y21891,,Trigger)</f>
        <v>0.2987115038183708</v>
      </c>
    </row>
    <row r="21892" spans="25:26" x14ac:dyDescent="0.25">
      <c r="Y21892" s="63">
        <v>64425</v>
      </c>
      <c r="Z21892" s="61">
        <f>_xll.qlYieldTSDiscount($U$35,Y21892,,Trigger)</f>
        <v>0.29869210145725777</v>
      </c>
    </row>
    <row r="21893" spans="25:26" x14ac:dyDescent="0.25">
      <c r="Y21893" s="63">
        <v>64426</v>
      </c>
      <c r="Z21893" s="61">
        <f>_xll.qlYieldTSDiscount($U$35,Y21893,,Trigger)</f>
        <v>0.29867269911590749</v>
      </c>
    </row>
    <row r="21894" spans="25:26" x14ac:dyDescent="0.25">
      <c r="Y21894" s="63">
        <v>64427</v>
      </c>
      <c r="Z21894" s="61">
        <f>_xll.qlYieldTSDiscount($U$35,Y21894,,Trigger)</f>
        <v>0.29865329679395403</v>
      </c>
    </row>
    <row r="21895" spans="25:26" x14ac:dyDescent="0.25">
      <c r="Y21895" s="63">
        <v>64428</v>
      </c>
      <c r="Z21895" s="61">
        <f>_xll.qlYieldTSDiscount($U$35,Y21895,,Trigger)</f>
        <v>0.29863389449103162</v>
      </c>
    </row>
    <row r="21896" spans="25:26" x14ac:dyDescent="0.25">
      <c r="Y21896" s="63">
        <v>64429</v>
      </c>
      <c r="Z21896" s="61">
        <f>_xll.qlYieldTSDiscount($U$35,Y21896,,Trigger)</f>
        <v>0.29861449220677383</v>
      </c>
    </row>
    <row r="21897" spans="25:26" x14ac:dyDescent="0.25">
      <c r="Y21897" s="63">
        <v>64430</v>
      </c>
      <c r="Z21897" s="61">
        <f>_xll.qlYieldTSDiscount($U$35,Y21897,,Trigger)</f>
        <v>0.29859508994081507</v>
      </c>
    </row>
    <row r="21898" spans="25:26" x14ac:dyDescent="0.25">
      <c r="Y21898" s="63">
        <v>64431</v>
      </c>
      <c r="Z21898" s="61">
        <f>_xll.qlYieldTSDiscount($U$35,Y21898,,Trigger)</f>
        <v>0.2985756876927893</v>
      </c>
    </row>
    <row r="21899" spans="25:26" x14ac:dyDescent="0.25">
      <c r="Y21899" s="63">
        <v>64432</v>
      </c>
      <c r="Z21899" s="61">
        <f>_xll.qlYieldTSDiscount($U$35,Y21899,,Trigger)</f>
        <v>0.29855628546233043</v>
      </c>
    </row>
    <row r="21900" spans="25:26" x14ac:dyDescent="0.25">
      <c r="Y21900" s="63">
        <v>64433</v>
      </c>
      <c r="Z21900" s="61">
        <f>_xll.qlYieldTSDiscount($U$35,Y21900,,Trigger)</f>
        <v>0.29853688324907252</v>
      </c>
    </row>
    <row r="21901" spans="25:26" x14ac:dyDescent="0.25">
      <c r="Y21901" s="63">
        <v>64434</v>
      </c>
      <c r="Z21901" s="61">
        <f>_xll.qlYieldTSDiscount($U$35,Y21901,,Trigger)</f>
        <v>0.29851748105264964</v>
      </c>
    </row>
    <row r="21902" spans="25:26" x14ac:dyDescent="0.25">
      <c r="Y21902" s="63">
        <v>64435</v>
      </c>
      <c r="Z21902" s="61">
        <f>_xll.qlYieldTSDiscount($U$35,Y21902,,Trigger)</f>
        <v>0.29849807887269569</v>
      </c>
    </row>
    <row r="21903" spans="25:26" x14ac:dyDescent="0.25">
      <c r="Y21903" s="63">
        <v>64436</v>
      </c>
      <c r="Z21903" s="61">
        <f>_xll.qlYieldTSDiscount($U$35,Y21903,,Trigger)</f>
        <v>0.29847867670884481</v>
      </c>
    </row>
    <row r="21904" spans="25:26" x14ac:dyDescent="0.25">
      <c r="Y21904" s="63">
        <v>64437</v>
      </c>
      <c r="Z21904" s="61">
        <f>_xll.qlYieldTSDiscount($U$35,Y21904,,Trigger)</f>
        <v>0.29845927456073107</v>
      </c>
    </row>
    <row r="21905" spans="25:26" x14ac:dyDescent="0.25">
      <c r="Y21905" s="63">
        <v>64438</v>
      </c>
      <c r="Z21905" s="61">
        <f>_xll.qlYieldTSDiscount($U$35,Y21905,,Trigger)</f>
        <v>0.29843987242798836</v>
      </c>
    </row>
    <row r="21906" spans="25:26" x14ac:dyDescent="0.25">
      <c r="Y21906" s="63">
        <v>64439</v>
      </c>
      <c r="Z21906" s="61">
        <f>_xll.qlYieldTSDiscount($U$35,Y21906,,Trigger)</f>
        <v>0.29842047031025071</v>
      </c>
    </row>
    <row r="21907" spans="25:26" x14ac:dyDescent="0.25">
      <c r="Y21907" s="63">
        <v>64440</v>
      </c>
      <c r="Z21907" s="61">
        <f>_xll.qlYieldTSDiscount($U$35,Y21907,,Trigger)</f>
        <v>0.29840106820715223</v>
      </c>
    </row>
    <row r="21908" spans="25:26" x14ac:dyDescent="0.25">
      <c r="Y21908" s="63">
        <v>64441</v>
      </c>
      <c r="Z21908" s="61">
        <f>_xll.qlYieldTSDiscount($U$35,Y21908,,Trigger)</f>
        <v>0.29838166611832695</v>
      </c>
    </row>
    <row r="21909" spans="25:26" x14ac:dyDescent="0.25">
      <c r="Y21909" s="63">
        <v>64442</v>
      </c>
      <c r="Z21909" s="61">
        <f>_xll.qlYieldTSDiscount($U$35,Y21909,,Trigger)</f>
        <v>0.29836226404340871</v>
      </c>
    </row>
    <row r="21910" spans="25:26" x14ac:dyDescent="0.25">
      <c r="Y21910" s="63">
        <v>64443</v>
      </c>
      <c r="Z21910" s="61">
        <f>_xll.qlYieldTSDiscount($U$35,Y21910,,Trigger)</f>
        <v>0.29834286198203169</v>
      </c>
    </row>
    <row r="21911" spans="25:26" x14ac:dyDescent="0.25">
      <c r="Y21911" s="63">
        <v>64444</v>
      </c>
      <c r="Z21911" s="61">
        <f>_xll.qlYieldTSDiscount($U$35,Y21911,,Trigger)</f>
        <v>0.29832345993383003</v>
      </c>
    </row>
    <row r="21912" spans="25:26" x14ac:dyDescent="0.25">
      <c r="Y21912" s="63">
        <v>64445</v>
      </c>
      <c r="Z21912" s="61">
        <f>_xll.qlYieldTSDiscount($U$35,Y21912,,Trigger)</f>
        <v>0.2983040578984375</v>
      </c>
    </row>
    <row r="21913" spans="25:26" x14ac:dyDescent="0.25">
      <c r="Y21913" s="63">
        <v>64446</v>
      </c>
      <c r="Z21913" s="61">
        <f>_xll.qlYieldTSDiscount($U$35,Y21913,,Trigger)</f>
        <v>0.29828465587548814</v>
      </c>
    </row>
    <row r="21914" spans="25:26" x14ac:dyDescent="0.25">
      <c r="Y21914" s="63">
        <v>64447</v>
      </c>
      <c r="Z21914" s="61">
        <f>_xll.qlYieldTSDiscount($U$35,Y21914,,Trigger)</f>
        <v>0.29826525386461616</v>
      </c>
    </row>
    <row r="21915" spans="25:26" x14ac:dyDescent="0.25">
      <c r="Y21915" s="63">
        <v>64448</v>
      </c>
      <c r="Z21915" s="61">
        <f>_xll.qlYieldTSDiscount($U$35,Y21915,,Trigger)</f>
        <v>0.29824585186545544</v>
      </c>
    </row>
    <row r="21916" spans="25:26" x14ac:dyDescent="0.25">
      <c r="Y21916" s="63">
        <v>64449</v>
      </c>
      <c r="Z21916" s="61">
        <f>_xll.qlYieldTSDiscount($U$35,Y21916,,Trigger)</f>
        <v>0.29822644987764008</v>
      </c>
    </row>
    <row r="21917" spans="25:26" x14ac:dyDescent="0.25">
      <c r="Y21917" s="63">
        <v>64450</v>
      </c>
      <c r="Z21917" s="61">
        <f>_xll.qlYieldTSDiscount($U$35,Y21917,,Trigger)</f>
        <v>0.2982070479008041</v>
      </c>
    </row>
    <row r="21918" spans="25:26" x14ac:dyDescent="0.25">
      <c r="Y21918" s="63">
        <v>64451</v>
      </c>
      <c r="Z21918" s="61">
        <f>_xll.qlYieldTSDiscount($U$35,Y21918,,Trigger)</f>
        <v>0.29818764593458141</v>
      </c>
    </row>
    <row r="21919" spans="25:26" x14ac:dyDescent="0.25">
      <c r="Y21919" s="63">
        <v>64452</v>
      </c>
      <c r="Z21919" s="61">
        <f>_xll.qlYieldTSDiscount($U$35,Y21919,,Trigger)</f>
        <v>0.29816824397860614</v>
      </c>
    </row>
    <row r="21920" spans="25:26" x14ac:dyDescent="0.25">
      <c r="Y21920" s="63">
        <v>64453</v>
      </c>
      <c r="Z21920" s="61">
        <f>_xll.qlYieldTSDiscount($U$35,Y21920,,Trigger)</f>
        <v>0.2981488420325123</v>
      </c>
    </row>
    <row r="21921" spans="25:26" x14ac:dyDescent="0.25">
      <c r="Y21921" s="63">
        <v>64454</v>
      </c>
      <c r="Z21921" s="61">
        <f>_xll.qlYieldTSDiscount($U$35,Y21921,,Trigger)</f>
        <v>0.2981294400959339</v>
      </c>
    </row>
    <row r="21922" spans="25:26" x14ac:dyDescent="0.25">
      <c r="Y21922" s="63">
        <v>64455</v>
      </c>
      <c r="Z21922" s="61">
        <f>_xll.qlYieldTSDiscount($U$35,Y21922,,Trigger)</f>
        <v>0.29811003816850484</v>
      </c>
    </row>
    <row r="21923" spans="25:26" x14ac:dyDescent="0.25">
      <c r="Y21923" s="63">
        <v>64456</v>
      </c>
      <c r="Z21923" s="61">
        <f>_xll.qlYieldTSDiscount($U$35,Y21923,,Trigger)</f>
        <v>0.29809063624985932</v>
      </c>
    </row>
    <row r="21924" spans="25:26" x14ac:dyDescent="0.25">
      <c r="Y21924" s="63">
        <v>64457</v>
      </c>
      <c r="Z21924" s="61">
        <f>_xll.qlYieldTSDiscount($U$35,Y21924,,Trigger)</f>
        <v>0.29807123433963134</v>
      </c>
    </row>
    <row r="21925" spans="25:26" x14ac:dyDescent="0.25">
      <c r="Y21925" s="63">
        <v>64458</v>
      </c>
      <c r="Z21925" s="61">
        <f>_xll.qlYieldTSDiscount($U$35,Y21925,,Trigger)</f>
        <v>0.29805183243745487</v>
      </c>
    </row>
    <row r="21926" spans="25:26" x14ac:dyDescent="0.25">
      <c r="Y21926" s="63">
        <v>64459</v>
      </c>
      <c r="Z21926" s="61">
        <f>_xll.qlYieldTSDiscount($U$35,Y21926,,Trigger)</f>
        <v>0.29803243054296386</v>
      </c>
    </row>
    <row r="21927" spans="25:26" x14ac:dyDescent="0.25">
      <c r="Y21927" s="63">
        <v>64460</v>
      </c>
      <c r="Z21927" s="61">
        <f>_xll.qlYieldTSDiscount($U$35,Y21927,,Trigger)</f>
        <v>0.29801302865579249</v>
      </c>
    </row>
    <row r="21928" spans="25:26" x14ac:dyDescent="0.25">
      <c r="Y21928" s="63">
        <v>64461</v>
      </c>
      <c r="Z21928" s="61">
        <f>_xll.qlYieldTSDiscount($U$35,Y21928,,Trigger)</f>
        <v>0.29799362677557467</v>
      </c>
    </row>
    <row r="21929" spans="25:26" x14ac:dyDescent="0.25">
      <c r="Y21929" s="63">
        <v>64462</v>
      </c>
      <c r="Z21929" s="61">
        <f>_xll.qlYieldTSDiscount($U$35,Y21929,,Trigger)</f>
        <v>0.29797422490194447</v>
      </c>
    </row>
    <row r="21930" spans="25:26" x14ac:dyDescent="0.25">
      <c r="Y21930" s="63">
        <v>64463</v>
      </c>
      <c r="Z21930" s="61">
        <f>_xll.qlYieldTSDiscount($U$35,Y21930,,Trigger)</f>
        <v>0.29795482303453596</v>
      </c>
    </row>
    <row r="21931" spans="25:26" x14ac:dyDescent="0.25">
      <c r="Y21931" s="63">
        <v>64464</v>
      </c>
      <c r="Z21931" s="61">
        <f>_xll.qlYieldTSDiscount($U$35,Y21931,,Trigger)</f>
        <v>0.29793542117298305</v>
      </c>
    </row>
    <row r="21932" spans="25:26" x14ac:dyDescent="0.25">
      <c r="Y21932" s="63">
        <v>64465</v>
      </c>
      <c r="Z21932" s="61">
        <f>_xll.qlYieldTSDiscount($U$35,Y21932,,Trigger)</f>
        <v>0.29791601931691974</v>
      </c>
    </row>
    <row r="21933" spans="25:26" x14ac:dyDescent="0.25">
      <c r="Y21933" s="63">
        <v>64466</v>
      </c>
      <c r="Z21933" s="61">
        <f>_xll.qlYieldTSDiscount($U$35,Y21933,,Trigger)</f>
        <v>0.29789661746598023</v>
      </c>
    </row>
    <row r="21934" spans="25:26" x14ac:dyDescent="0.25">
      <c r="Y21934" s="63">
        <v>64467</v>
      </c>
      <c r="Z21934" s="61">
        <f>_xll.qlYieldTSDiscount($U$35,Y21934,,Trigger)</f>
        <v>0.29787721561979835</v>
      </c>
    </row>
    <row r="21935" spans="25:26" x14ac:dyDescent="0.25">
      <c r="Y21935" s="63">
        <v>64468</v>
      </c>
      <c r="Z21935" s="61">
        <f>_xll.qlYieldTSDiscount($U$35,Y21935,,Trigger)</f>
        <v>0.2978578137780083</v>
      </c>
    </row>
    <row r="21936" spans="25:26" x14ac:dyDescent="0.25">
      <c r="Y21936" s="63">
        <v>64469</v>
      </c>
      <c r="Z21936" s="61">
        <f>_xll.qlYieldTSDiscount($U$35,Y21936,,Trigger)</f>
        <v>0.29783841194024396</v>
      </c>
    </row>
    <row r="21937" spans="25:26" x14ac:dyDescent="0.25">
      <c r="Y21937" s="63">
        <v>64470</v>
      </c>
      <c r="Z21937" s="61">
        <f>_xll.qlYieldTSDiscount($U$35,Y21937,,Trigger)</f>
        <v>0.29781901010613937</v>
      </c>
    </row>
    <row r="21938" spans="25:26" x14ac:dyDescent="0.25">
      <c r="Y21938" s="63">
        <v>64471</v>
      </c>
      <c r="Z21938" s="61">
        <f>_xll.qlYieldTSDiscount($U$35,Y21938,,Trigger)</f>
        <v>0.29779960827532864</v>
      </c>
    </row>
    <row r="21939" spans="25:26" x14ac:dyDescent="0.25">
      <c r="Y21939" s="63">
        <v>64472</v>
      </c>
      <c r="Z21939" s="61">
        <f>_xll.qlYieldTSDiscount($U$35,Y21939,,Trigger)</f>
        <v>0.29778020644744568</v>
      </c>
    </row>
    <row r="21940" spans="25:26" x14ac:dyDescent="0.25">
      <c r="Y21940" s="63">
        <v>64473</v>
      </c>
      <c r="Z21940" s="61">
        <f>_xll.qlYieldTSDiscount($U$35,Y21940,,Trigger)</f>
        <v>0.29776080462212462</v>
      </c>
    </row>
    <row r="21941" spans="25:26" x14ac:dyDescent="0.25">
      <c r="Y21941" s="63">
        <v>64474</v>
      </c>
      <c r="Z21941" s="61">
        <f>_xll.qlYieldTSDiscount($U$35,Y21941,,Trigger)</f>
        <v>0.29774140279899941</v>
      </c>
    </row>
    <row r="21942" spans="25:26" x14ac:dyDescent="0.25">
      <c r="Y21942" s="63">
        <v>64475</v>
      </c>
      <c r="Z21942" s="61">
        <f>_xll.qlYieldTSDiscount($U$35,Y21942,,Trigger)</f>
        <v>0.29772200097770402</v>
      </c>
    </row>
    <row r="21943" spans="25:26" x14ac:dyDescent="0.25">
      <c r="Y21943" s="63">
        <v>64476</v>
      </c>
      <c r="Z21943" s="61">
        <f>_xll.qlYieldTSDiscount($U$35,Y21943,,Trigger)</f>
        <v>0.29770259915787273</v>
      </c>
    </row>
    <row r="21944" spans="25:26" x14ac:dyDescent="0.25">
      <c r="Y21944" s="63">
        <v>64477</v>
      </c>
      <c r="Z21944" s="61">
        <f>_xll.qlYieldTSDiscount($U$35,Y21944,,Trigger)</f>
        <v>0.29768319733913917</v>
      </c>
    </row>
    <row r="21945" spans="25:26" x14ac:dyDescent="0.25">
      <c r="Y21945" s="63">
        <v>64478</v>
      </c>
      <c r="Z21945" s="61">
        <f>_xll.qlYieldTSDiscount($U$35,Y21945,,Trigger)</f>
        <v>0.29766379552113764</v>
      </c>
    </row>
    <row r="21946" spans="25:26" x14ac:dyDescent="0.25">
      <c r="Y21946" s="63">
        <v>64479</v>
      </c>
      <c r="Z21946" s="61">
        <f>_xll.qlYieldTSDiscount($U$35,Y21946,,Trigger)</f>
        <v>0.29764439370350215</v>
      </c>
    </row>
    <row r="21947" spans="25:26" x14ac:dyDescent="0.25">
      <c r="Y21947" s="63"/>
    </row>
    <row r="21948" spans="25:26" x14ac:dyDescent="0.25">
      <c r="Y21948" s="63"/>
    </row>
    <row r="21949" spans="25:26" x14ac:dyDescent="0.25">
      <c r="Y21949" s="63"/>
    </row>
    <row r="21950" spans="25:26" x14ac:dyDescent="0.25">
      <c r="Y21950" s="63"/>
    </row>
    <row r="21951" spans="25:26" x14ac:dyDescent="0.25">
      <c r="Y21951" s="63"/>
    </row>
    <row r="21952" spans="25:26" x14ac:dyDescent="0.25">
      <c r="Y21952" s="63"/>
    </row>
    <row r="21953" spans="25:25" x14ac:dyDescent="0.25">
      <c r="Y21953" s="63"/>
    </row>
    <row r="21954" spans="25:25" x14ac:dyDescent="0.25">
      <c r="Y21954" s="63"/>
    </row>
    <row r="21955" spans="25:25" x14ac:dyDescent="0.25">
      <c r="Y21955" s="63"/>
    </row>
    <row r="21956" spans="25:25" x14ac:dyDescent="0.25">
      <c r="Y21956" s="63"/>
    </row>
    <row r="21957" spans="25:25" x14ac:dyDescent="0.25">
      <c r="Y21957" s="63"/>
    </row>
    <row r="21958" spans="25:25" x14ac:dyDescent="0.25">
      <c r="Y21958" s="63"/>
    </row>
    <row r="21959" spans="25:25" x14ac:dyDescent="0.25">
      <c r="Y21959" s="63"/>
    </row>
    <row r="21960" spans="25:25" x14ac:dyDescent="0.25">
      <c r="Y21960" s="63"/>
    </row>
    <row r="21961" spans="25:25" x14ac:dyDescent="0.25">
      <c r="Y21961" s="63"/>
    </row>
    <row r="21962" spans="25:25" x14ac:dyDescent="0.25">
      <c r="Y21962" s="63"/>
    </row>
    <row r="21963" spans="25:25" x14ac:dyDescent="0.25">
      <c r="Y21963" s="63"/>
    </row>
    <row r="21964" spans="25:25" x14ac:dyDescent="0.25">
      <c r="Y21964" s="63"/>
    </row>
    <row r="21965" spans="25:25" x14ac:dyDescent="0.25">
      <c r="Y21965" s="63"/>
    </row>
    <row r="21966" spans="25:25" x14ac:dyDescent="0.25">
      <c r="Y21966" s="63"/>
    </row>
    <row r="21967" spans="25:25" x14ac:dyDescent="0.25">
      <c r="Y21967" s="63"/>
    </row>
    <row r="21968" spans="25:25" x14ac:dyDescent="0.25">
      <c r="Y21968" s="63"/>
    </row>
    <row r="21969" spans="25:25" x14ac:dyDescent="0.25">
      <c r="Y21969" s="63"/>
    </row>
    <row r="21970" spans="25:25" x14ac:dyDescent="0.25">
      <c r="Y21970" s="63"/>
    </row>
    <row r="21971" spans="25:25" x14ac:dyDescent="0.25">
      <c r="Y21971" s="63"/>
    </row>
    <row r="21972" spans="25:25" x14ac:dyDescent="0.25">
      <c r="Y21972" s="63"/>
    </row>
    <row r="21973" spans="25:25" x14ac:dyDescent="0.25">
      <c r="Y21973" s="63"/>
    </row>
    <row r="21974" spans="25:25" x14ac:dyDescent="0.25">
      <c r="Y21974" s="63"/>
    </row>
    <row r="21975" spans="25:25" x14ac:dyDescent="0.25">
      <c r="Y21975" s="63"/>
    </row>
    <row r="21976" spans="25:25" x14ac:dyDescent="0.25">
      <c r="Y21976" s="63"/>
    </row>
    <row r="21977" spans="25:25" x14ac:dyDescent="0.25">
      <c r="Y21977" s="63"/>
    </row>
    <row r="21978" spans="25:25" x14ac:dyDescent="0.25">
      <c r="Y21978" s="63"/>
    </row>
    <row r="21979" spans="25:25" x14ac:dyDescent="0.25">
      <c r="Y21979" s="63"/>
    </row>
    <row r="21980" spans="25:25" x14ac:dyDescent="0.25">
      <c r="Y21980" s="63"/>
    </row>
    <row r="21981" spans="25:25" x14ac:dyDescent="0.25">
      <c r="Y21981" s="63"/>
    </row>
    <row r="21982" spans="25:25" x14ac:dyDescent="0.25">
      <c r="Y21982" s="63"/>
    </row>
    <row r="21983" spans="25:25" x14ac:dyDescent="0.25">
      <c r="Y21983" s="63"/>
    </row>
    <row r="21984" spans="25:25" x14ac:dyDescent="0.25">
      <c r="Y21984" s="63"/>
    </row>
    <row r="21985" spans="25:25" x14ac:dyDescent="0.25">
      <c r="Y21985" s="63"/>
    </row>
    <row r="21986" spans="25:25" x14ac:dyDescent="0.25">
      <c r="Y21986" s="63"/>
    </row>
    <row r="21987" spans="25:25" x14ac:dyDescent="0.25">
      <c r="Y21987" s="63"/>
    </row>
    <row r="21988" spans="25:25" x14ac:dyDescent="0.25">
      <c r="Y21988" s="63"/>
    </row>
    <row r="21989" spans="25:25" x14ac:dyDescent="0.25">
      <c r="Y21989" s="63"/>
    </row>
    <row r="21990" spans="25:25" x14ac:dyDescent="0.25">
      <c r="Y21990" s="63"/>
    </row>
    <row r="21991" spans="25:25" x14ac:dyDescent="0.25">
      <c r="Y21991" s="63"/>
    </row>
    <row r="21992" spans="25:25" x14ac:dyDescent="0.25">
      <c r="Y21992" s="63"/>
    </row>
    <row r="21993" spans="25:25" x14ac:dyDescent="0.25">
      <c r="Y21993" s="63"/>
    </row>
    <row r="21994" spans="25:25" x14ac:dyDescent="0.25">
      <c r="Y21994" s="63"/>
    </row>
    <row r="21995" spans="25:25" x14ac:dyDescent="0.25">
      <c r="Y21995" s="63"/>
    </row>
    <row r="21996" spans="25:25" x14ac:dyDescent="0.25">
      <c r="Y21996" s="63"/>
    </row>
    <row r="21997" spans="25:25" x14ac:dyDescent="0.25">
      <c r="Y21997" s="63"/>
    </row>
    <row r="21998" spans="25:25" x14ac:dyDescent="0.25">
      <c r="Y21998" s="63"/>
    </row>
    <row r="21999" spans="25:25" x14ac:dyDescent="0.25">
      <c r="Y21999" s="63"/>
    </row>
    <row r="22000" spans="25:25" x14ac:dyDescent="0.25">
      <c r="Y22000" s="63"/>
    </row>
    <row r="22001" spans="25:25" x14ac:dyDescent="0.25">
      <c r="Y22001" s="63"/>
    </row>
    <row r="22002" spans="25:25" x14ac:dyDescent="0.25">
      <c r="Y22002" s="63"/>
    </row>
    <row r="22003" spans="25:25" x14ac:dyDescent="0.25">
      <c r="Y22003" s="63"/>
    </row>
    <row r="22004" spans="25:25" x14ac:dyDescent="0.25">
      <c r="Y22004" s="63"/>
    </row>
    <row r="22005" spans="25:25" x14ac:dyDescent="0.25">
      <c r="Y22005" s="63"/>
    </row>
    <row r="22006" spans="25:25" x14ac:dyDescent="0.25">
      <c r="Y22006" s="63"/>
    </row>
    <row r="22007" spans="25:25" x14ac:dyDescent="0.25">
      <c r="Y22007" s="63"/>
    </row>
    <row r="22008" spans="25:25" x14ac:dyDescent="0.25">
      <c r="Y22008" s="63"/>
    </row>
    <row r="22009" spans="25:25" x14ac:dyDescent="0.25">
      <c r="Y22009" s="63"/>
    </row>
    <row r="22010" spans="25:25" x14ac:dyDescent="0.25">
      <c r="Y22010" s="63"/>
    </row>
    <row r="22011" spans="25:25" x14ac:dyDescent="0.25">
      <c r="Y22011" s="63"/>
    </row>
    <row r="22012" spans="25:25" x14ac:dyDescent="0.25">
      <c r="Y22012" s="63"/>
    </row>
    <row r="22013" spans="25:25" x14ac:dyDescent="0.25">
      <c r="Y22013" s="63"/>
    </row>
    <row r="22014" spans="25:25" x14ac:dyDescent="0.25">
      <c r="Y22014" s="63"/>
    </row>
    <row r="22015" spans="25:25" x14ac:dyDescent="0.25">
      <c r="Y22015" s="63"/>
    </row>
    <row r="22016" spans="25:25" x14ac:dyDescent="0.25">
      <c r="Y22016" s="63"/>
    </row>
    <row r="22017" spans="25:25" x14ac:dyDescent="0.25">
      <c r="Y22017" s="63"/>
    </row>
    <row r="22018" spans="25:25" x14ac:dyDescent="0.25">
      <c r="Y22018" s="63"/>
    </row>
    <row r="22019" spans="25:25" x14ac:dyDescent="0.25">
      <c r="Y22019" s="63"/>
    </row>
    <row r="22020" spans="25:25" x14ac:dyDescent="0.25">
      <c r="Y22020" s="63"/>
    </row>
    <row r="22021" spans="25:25" x14ac:dyDescent="0.25">
      <c r="Y22021" s="63"/>
    </row>
    <row r="22022" spans="25:25" x14ac:dyDescent="0.25">
      <c r="Y22022" s="63"/>
    </row>
    <row r="22023" spans="25:25" x14ac:dyDescent="0.25">
      <c r="Y22023" s="63"/>
    </row>
    <row r="22024" spans="25:25" x14ac:dyDescent="0.25">
      <c r="Y22024" s="63"/>
    </row>
    <row r="22025" spans="25:25" x14ac:dyDescent="0.25">
      <c r="Y22025" s="63"/>
    </row>
    <row r="22026" spans="25:25" x14ac:dyDescent="0.25">
      <c r="Y22026" s="63"/>
    </row>
    <row r="22027" spans="25:25" x14ac:dyDescent="0.25">
      <c r="Y22027" s="63"/>
    </row>
    <row r="22028" spans="25:25" x14ac:dyDescent="0.25">
      <c r="Y22028" s="63"/>
    </row>
    <row r="22029" spans="25:25" x14ac:dyDescent="0.25">
      <c r="Y22029" s="63"/>
    </row>
    <row r="22030" spans="25:25" x14ac:dyDescent="0.25">
      <c r="Y22030" s="63"/>
    </row>
    <row r="22031" spans="25:25" x14ac:dyDescent="0.25">
      <c r="Y22031" s="63"/>
    </row>
    <row r="22032" spans="25:25" x14ac:dyDescent="0.25">
      <c r="Y22032" s="63"/>
    </row>
    <row r="22033" spans="25:25" x14ac:dyDescent="0.25">
      <c r="Y22033" s="63"/>
    </row>
    <row r="22034" spans="25:25" x14ac:dyDescent="0.25">
      <c r="Y22034" s="63"/>
    </row>
    <row r="22035" spans="25:25" x14ac:dyDescent="0.25">
      <c r="Y22035" s="63"/>
    </row>
    <row r="22036" spans="25:25" x14ac:dyDescent="0.25">
      <c r="Y22036" s="63"/>
    </row>
    <row r="22037" spans="25:25" x14ac:dyDescent="0.25">
      <c r="Y22037" s="63"/>
    </row>
    <row r="22038" spans="25:25" x14ac:dyDescent="0.25">
      <c r="Y22038" s="63"/>
    </row>
    <row r="22039" spans="25:25" x14ac:dyDescent="0.25">
      <c r="Y22039" s="63"/>
    </row>
    <row r="22040" spans="25:25" x14ac:dyDescent="0.25">
      <c r="Y22040" s="63"/>
    </row>
    <row r="22041" spans="25:25" x14ac:dyDescent="0.25">
      <c r="Y22041" s="63"/>
    </row>
    <row r="22042" spans="25:25" x14ac:dyDescent="0.25">
      <c r="Y22042" s="63"/>
    </row>
    <row r="22043" spans="25:25" x14ac:dyDescent="0.25">
      <c r="Y22043" s="63"/>
    </row>
    <row r="22044" spans="25:25" x14ac:dyDescent="0.25">
      <c r="Y22044" s="63"/>
    </row>
    <row r="22045" spans="25:25" x14ac:dyDescent="0.25">
      <c r="Y22045" s="63"/>
    </row>
    <row r="22046" spans="25:25" x14ac:dyDescent="0.25">
      <c r="Y22046" s="63"/>
    </row>
    <row r="22047" spans="25:25" x14ac:dyDescent="0.25">
      <c r="Y22047" s="63"/>
    </row>
    <row r="22048" spans="25:25" x14ac:dyDescent="0.25">
      <c r="Y22048" s="63"/>
    </row>
    <row r="22049" spans="25:25" x14ac:dyDescent="0.25">
      <c r="Y22049" s="63"/>
    </row>
    <row r="22050" spans="25:25" x14ac:dyDescent="0.25">
      <c r="Y22050" s="63"/>
    </row>
    <row r="22051" spans="25:25" x14ac:dyDescent="0.25">
      <c r="Y22051" s="63"/>
    </row>
    <row r="22052" spans="25:25" x14ac:dyDescent="0.25">
      <c r="Y22052" s="63"/>
    </row>
    <row r="22053" spans="25:25" x14ac:dyDescent="0.25">
      <c r="Y22053" s="63"/>
    </row>
    <row r="22054" spans="25:25" x14ac:dyDescent="0.25">
      <c r="Y22054" s="63"/>
    </row>
    <row r="22055" spans="25:25" x14ac:dyDescent="0.25">
      <c r="Y22055" s="63"/>
    </row>
    <row r="22056" spans="25:25" x14ac:dyDescent="0.25">
      <c r="Y22056" s="63"/>
    </row>
    <row r="22057" spans="25:25" x14ac:dyDescent="0.25">
      <c r="Y22057" s="63"/>
    </row>
    <row r="22058" spans="25:25" x14ac:dyDescent="0.25">
      <c r="Y22058" s="63"/>
    </row>
    <row r="22059" spans="25:25" x14ac:dyDescent="0.25">
      <c r="Y22059" s="63"/>
    </row>
    <row r="22060" spans="25:25" x14ac:dyDescent="0.25">
      <c r="Y22060" s="63"/>
    </row>
    <row r="22061" spans="25:25" x14ac:dyDescent="0.25">
      <c r="Y22061" s="63"/>
    </row>
    <row r="22062" spans="25:25" x14ac:dyDescent="0.25">
      <c r="Y22062" s="63"/>
    </row>
    <row r="22063" spans="25:25" x14ac:dyDescent="0.25">
      <c r="Y22063" s="63"/>
    </row>
    <row r="22064" spans="25:25" x14ac:dyDescent="0.25">
      <c r="Y22064" s="63"/>
    </row>
    <row r="22065" spans="25:25" x14ac:dyDescent="0.25">
      <c r="Y22065" s="63"/>
    </row>
    <row r="22066" spans="25:25" x14ac:dyDescent="0.25">
      <c r="Y22066" s="63"/>
    </row>
    <row r="22067" spans="25:25" x14ac:dyDescent="0.25">
      <c r="Y22067" s="63"/>
    </row>
    <row r="22068" spans="25:25" x14ac:dyDescent="0.25">
      <c r="Y22068" s="63"/>
    </row>
    <row r="22069" spans="25:25" x14ac:dyDescent="0.25">
      <c r="Y22069" s="63"/>
    </row>
    <row r="22070" spans="25:25" x14ac:dyDescent="0.25">
      <c r="Y22070" s="63"/>
    </row>
    <row r="22071" spans="25:25" x14ac:dyDescent="0.25">
      <c r="Y22071" s="63"/>
    </row>
    <row r="22072" spans="25:25" x14ac:dyDescent="0.25">
      <c r="Y22072" s="63"/>
    </row>
    <row r="22073" spans="25:25" x14ac:dyDescent="0.25">
      <c r="Y22073" s="63"/>
    </row>
    <row r="22074" spans="25:25" x14ac:dyDescent="0.25">
      <c r="Y22074" s="63"/>
    </row>
    <row r="22075" spans="25:25" x14ac:dyDescent="0.25">
      <c r="Y22075" s="63"/>
    </row>
    <row r="22076" spans="25:25" x14ac:dyDescent="0.25">
      <c r="Y22076" s="63"/>
    </row>
    <row r="22077" spans="25:25" x14ac:dyDescent="0.25">
      <c r="Y22077" s="63"/>
    </row>
    <row r="22078" spans="25:25" x14ac:dyDescent="0.25">
      <c r="Y22078" s="63"/>
    </row>
    <row r="22079" spans="25:25" x14ac:dyDescent="0.25">
      <c r="Y22079" s="63"/>
    </row>
    <row r="22080" spans="25:25" x14ac:dyDescent="0.25">
      <c r="Y22080" s="63"/>
    </row>
    <row r="22081" spans="25:25" x14ac:dyDescent="0.25">
      <c r="Y22081" s="63"/>
    </row>
    <row r="22082" spans="25:25" x14ac:dyDescent="0.25">
      <c r="Y22082" s="63"/>
    </row>
    <row r="22083" spans="25:25" x14ac:dyDescent="0.25">
      <c r="Y22083" s="63"/>
    </row>
    <row r="22084" spans="25:25" x14ac:dyDescent="0.25">
      <c r="Y22084" s="63"/>
    </row>
    <row r="22085" spans="25:25" x14ac:dyDescent="0.25">
      <c r="Y22085" s="63"/>
    </row>
    <row r="22086" spans="25:25" x14ac:dyDescent="0.25">
      <c r="Y22086" s="63"/>
    </row>
    <row r="22087" spans="25:25" x14ac:dyDescent="0.25">
      <c r="Y22087" s="63"/>
    </row>
    <row r="22088" spans="25:25" x14ac:dyDescent="0.25">
      <c r="Y22088" s="63"/>
    </row>
    <row r="22089" spans="25:25" x14ac:dyDescent="0.25">
      <c r="Y22089" s="63"/>
    </row>
    <row r="22090" spans="25:25" x14ac:dyDescent="0.25">
      <c r="Y22090" s="63"/>
    </row>
    <row r="22091" spans="25:25" x14ac:dyDescent="0.25">
      <c r="Y22091" s="63"/>
    </row>
    <row r="22092" spans="25:25" x14ac:dyDescent="0.25">
      <c r="Y22092" s="63"/>
    </row>
    <row r="22093" spans="25:25" x14ac:dyDescent="0.25">
      <c r="Y22093" s="63"/>
    </row>
    <row r="22094" spans="25:25" x14ac:dyDescent="0.25">
      <c r="Y22094" s="63"/>
    </row>
    <row r="22095" spans="25:25" x14ac:dyDescent="0.25">
      <c r="Y22095" s="63"/>
    </row>
    <row r="22096" spans="25:25" x14ac:dyDescent="0.25">
      <c r="Y22096" s="63"/>
    </row>
    <row r="22097" spans="25:25" x14ac:dyDescent="0.25">
      <c r="Y22097" s="63"/>
    </row>
    <row r="22098" spans="25:25" x14ac:dyDescent="0.25">
      <c r="Y22098" s="63"/>
    </row>
    <row r="22099" spans="25:25" x14ac:dyDescent="0.25">
      <c r="Y22099" s="63"/>
    </row>
    <row r="22100" spans="25:25" x14ac:dyDescent="0.25">
      <c r="Y22100" s="63"/>
    </row>
    <row r="22101" spans="25:25" x14ac:dyDescent="0.25">
      <c r="Y22101" s="63"/>
    </row>
    <row r="22102" spans="25:25" x14ac:dyDescent="0.25">
      <c r="Y22102" s="63"/>
    </row>
    <row r="22103" spans="25:25" x14ac:dyDescent="0.25">
      <c r="Y22103" s="63"/>
    </row>
    <row r="22104" spans="25:25" x14ac:dyDescent="0.25">
      <c r="Y22104" s="63"/>
    </row>
    <row r="22105" spans="25:25" x14ac:dyDescent="0.25">
      <c r="Y22105" s="63"/>
    </row>
    <row r="22106" spans="25:25" x14ac:dyDescent="0.25">
      <c r="Y22106" s="63"/>
    </row>
    <row r="22107" spans="25:25" x14ac:dyDescent="0.25">
      <c r="Y22107" s="63"/>
    </row>
    <row r="22108" spans="25:25" x14ac:dyDescent="0.25">
      <c r="Y22108" s="63"/>
    </row>
    <row r="22109" spans="25:25" x14ac:dyDescent="0.25">
      <c r="Y22109" s="63"/>
    </row>
    <row r="22110" spans="25:25" x14ac:dyDescent="0.25">
      <c r="Y22110" s="63"/>
    </row>
    <row r="22111" spans="25:25" x14ac:dyDescent="0.25">
      <c r="Y22111" s="63"/>
    </row>
    <row r="22112" spans="25:25" x14ac:dyDescent="0.25">
      <c r="Y22112" s="63"/>
    </row>
    <row r="22113" spans="25:25" x14ac:dyDescent="0.25">
      <c r="Y22113" s="63"/>
    </row>
    <row r="22114" spans="25:25" x14ac:dyDescent="0.25">
      <c r="Y22114" s="63"/>
    </row>
    <row r="22115" spans="25:25" x14ac:dyDescent="0.25">
      <c r="Y22115" s="63"/>
    </row>
    <row r="22116" spans="25:25" x14ac:dyDescent="0.25">
      <c r="Y22116" s="63"/>
    </row>
    <row r="22117" spans="25:25" x14ac:dyDescent="0.25">
      <c r="Y22117" s="63"/>
    </row>
    <row r="22118" spans="25:25" x14ac:dyDescent="0.25">
      <c r="Y22118" s="63"/>
    </row>
    <row r="22119" spans="25:25" x14ac:dyDescent="0.25">
      <c r="Y22119" s="63"/>
    </row>
    <row r="22120" spans="25:25" x14ac:dyDescent="0.25">
      <c r="Y22120" s="63"/>
    </row>
    <row r="22121" spans="25:25" x14ac:dyDescent="0.25">
      <c r="Y22121" s="63"/>
    </row>
    <row r="22122" spans="25:25" x14ac:dyDescent="0.25">
      <c r="Y22122" s="63"/>
    </row>
    <row r="22123" spans="25:25" x14ac:dyDescent="0.25">
      <c r="Y22123" s="63"/>
    </row>
    <row r="22124" spans="25:25" x14ac:dyDescent="0.25">
      <c r="Y22124" s="63"/>
    </row>
    <row r="22125" spans="25:25" x14ac:dyDescent="0.25">
      <c r="Y22125" s="63"/>
    </row>
    <row r="22126" spans="25:25" x14ac:dyDescent="0.25">
      <c r="Y22126" s="63"/>
    </row>
    <row r="22127" spans="25:25" x14ac:dyDescent="0.25">
      <c r="Y22127" s="63"/>
    </row>
    <row r="22128" spans="25:25" x14ac:dyDescent="0.25">
      <c r="Y22128" s="63"/>
    </row>
    <row r="22129" spans="25:25" x14ac:dyDescent="0.25">
      <c r="Y22129" s="63"/>
    </row>
    <row r="22130" spans="25:25" x14ac:dyDescent="0.25">
      <c r="Y22130" s="63"/>
    </row>
    <row r="22131" spans="25:25" x14ac:dyDescent="0.25">
      <c r="Y22131" s="63"/>
    </row>
    <row r="22132" spans="25:25" x14ac:dyDescent="0.25">
      <c r="Y22132" s="63"/>
    </row>
    <row r="22133" spans="25:25" x14ac:dyDescent="0.25">
      <c r="Y22133" s="63"/>
    </row>
    <row r="22134" spans="25:25" x14ac:dyDescent="0.25">
      <c r="Y22134" s="63"/>
    </row>
    <row r="22135" spans="25:25" x14ac:dyDescent="0.25">
      <c r="Y22135" s="63"/>
    </row>
    <row r="22136" spans="25:25" x14ac:dyDescent="0.25">
      <c r="Y22136" s="63"/>
    </row>
    <row r="22137" spans="25:25" x14ac:dyDescent="0.25">
      <c r="Y22137" s="63"/>
    </row>
    <row r="22138" spans="25:25" x14ac:dyDescent="0.25">
      <c r="Y22138" s="63"/>
    </row>
    <row r="22139" spans="25:25" x14ac:dyDescent="0.25">
      <c r="Y22139" s="63"/>
    </row>
    <row r="22140" spans="25:25" x14ac:dyDescent="0.25">
      <c r="Y22140" s="63"/>
    </row>
    <row r="22141" spans="25:25" x14ac:dyDescent="0.25">
      <c r="Y22141" s="63"/>
    </row>
    <row r="22142" spans="25:25" x14ac:dyDescent="0.25">
      <c r="Y22142" s="63"/>
    </row>
    <row r="22143" spans="25:25" x14ac:dyDescent="0.25">
      <c r="Y22143" s="63"/>
    </row>
    <row r="22144" spans="25:25" x14ac:dyDescent="0.25">
      <c r="Y22144" s="63"/>
    </row>
    <row r="22145" spans="25:25" x14ac:dyDescent="0.25">
      <c r="Y22145" s="63"/>
    </row>
    <row r="22146" spans="25:25" x14ac:dyDescent="0.25">
      <c r="Y22146" s="63"/>
    </row>
    <row r="22147" spans="25:25" x14ac:dyDescent="0.25">
      <c r="Y22147" s="63"/>
    </row>
    <row r="22148" spans="25:25" x14ac:dyDescent="0.25">
      <c r="Y22148" s="63"/>
    </row>
    <row r="22149" spans="25:25" x14ac:dyDescent="0.25">
      <c r="Y22149" s="63"/>
    </row>
    <row r="22150" spans="25:25" x14ac:dyDescent="0.25">
      <c r="Y22150" s="63"/>
    </row>
    <row r="22151" spans="25:25" x14ac:dyDescent="0.25">
      <c r="Y22151" s="63"/>
    </row>
    <row r="22152" spans="25:25" x14ac:dyDescent="0.25">
      <c r="Y22152" s="63"/>
    </row>
    <row r="22153" spans="25:25" x14ac:dyDescent="0.25">
      <c r="Y22153" s="63"/>
    </row>
    <row r="22154" spans="25:25" x14ac:dyDescent="0.25">
      <c r="Y22154" s="63"/>
    </row>
    <row r="22155" spans="25:25" x14ac:dyDescent="0.25">
      <c r="Y22155" s="63"/>
    </row>
    <row r="22156" spans="25:25" x14ac:dyDescent="0.25">
      <c r="Y22156" s="63"/>
    </row>
    <row r="22157" spans="25:25" x14ac:dyDescent="0.25">
      <c r="Y22157" s="63"/>
    </row>
    <row r="22158" spans="25:25" x14ac:dyDescent="0.25">
      <c r="Y22158" s="63"/>
    </row>
    <row r="22159" spans="25:25" x14ac:dyDescent="0.25">
      <c r="Y22159" s="63"/>
    </row>
    <row r="22160" spans="25:25" x14ac:dyDescent="0.25">
      <c r="Y22160" s="63"/>
    </row>
    <row r="22161" spans="25:25" x14ac:dyDescent="0.25">
      <c r="Y22161" s="63"/>
    </row>
    <row r="22162" spans="25:25" x14ac:dyDescent="0.25">
      <c r="Y22162" s="63"/>
    </row>
    <row r="22163" spans="25:25" x14ac:dyDescent="0.25">
      <c r="Y22163" s="63"/>
    </row>
    <row r="22164" spans="25:25" x14ac:dyDescent="0.25">
      <c r="Y22164" s="63"/>
    </row>
    <row r="22165" spans="25:25" x14ac:dyDescent="0.25">
      <c r="Y22165" s="63"/>
    </row>
    <row r="22166" spans="25:25" x14ac:dyDescent="0.25">
      <c r="Y22166" s="63"/>
    </row>
    <row r="22167" spans="25:25" x14ac:dyDescent="0.25">
      <c r="Y22167" s="63"/>
    </row>
    <row r="22168" spans="25:25" x14ac:dyDescent="0.25">
      <c r="Y22168" s="63"/>
    </row>
    <row r="22169" spans="25:25" x14ac:dyDescent="0.25">
      <c r="Y22169" s="63"/>
    </row>
    <row r="22170" spans="25:25" x14ac:dyDescent="0.25">
      <c r="Y22170" s="63"/>
    </row>
    <row r="22171" spans="25:25" x14ac:dyDescent="0.25">
      <c r="Y22171" s="63"/>
    </row>
    <row r="22172" spans="25:25" x14ac:dyDescent="0.25">
      <c r="Y22172" s="63"/>
    </row>
    <row r="22173" spans="25:25" x14ac:dyDescent="0.25">
      <c r="Y22173" s="63"/>
    </row>
    <row r="22174" spans="25:25" x14ac:dyDescent="0.25">
      <c r="Y22174" s="63"/>
    </row>
    <row r="22175" spans="25:25" x14ac:dyDescent="0.25">
      <c r="Y22175" s="63"/>
    </row>
    <row r="22176" spans="25:25" x14ac:dyDescent="0.25">
      <c r="Y22176" s="63"/>
    </row>
    <row r="22177" spans="25:25" x14ac:dyDescent="0.25">
      <c r="Y22177" s="63"/>
    </row>
    <row r="22178" spans="25:25" x14ac:dyDescent="0.25">
      <c r="Y22178" s="63"/>
    </row>
    <row r="22179" spans="25:25" x14ac:dyDescent="0.25">
      <c r="Y22179" s="63"/>
    </row>
    <row r="22180" spans="25:25" x14ac:dyDescent="0.25">
      <c r="Y22180" s="63"/>
    </row>
    <row r="22181" spans="25:25" x14ac:dyDescent="0.25">
      <c r="Y22181" s="63"/>
    </row>
    <row r="22182" spans="25:25" x14ac:dyDescent="0.25">
      <c r="Y22182" s="63"/>
    </row>
    <row r="22183" spans="25:25" x14ac:dyDescent="0.25">
      <c r="Y22183" s="63"/>
    </row>
    <row r="22184" spans="25:25" x14ac:dyDescent="0.25">
      <c r="Y22184" s="63"/>
    </row>
    <row r="22185" spans="25:25" x14ac:dyDescent="0.25">
      <c r="Y22185" s="63"/>
    </row>
    <row r="22186" spans="25:25" x14ac:dyDescent="0.25">
      <c r="Y22186" s="63"/>
    </row>
    <row r="22187" spans="25:25" x14ac:dyDescent="0.25">
      <c r="Y22187" s="63"/>
    </row>
    <row r="22188" spans="25:25" x14ac:dyDescent="0.25">
      <c r="Y22188" s="63"/>
    </row>
    <row r="22189" spans="25:25" x14ac:dyDescent="0.25">
      <c r="Y22189" s="63"/>
    </row>
    <row r="22190" spans="25:25" x14ac:dyDescent="0.25">
      <c r="Y22190" s="63"/>
    </row>
    <row r="22191" spans="25:25" x14ac:dyDescent="0.25">
      <c r="Y22191" s="63"/>
    </row>
    <row r="22192" spans="25:25" x14ac:dyDescent="0.25">
      <c r="Y22192" s="63"/>
    </row>
    <row r="22193" spans="25:25" x14ac:dyDescent="0.25">
      <c r="Y22193" s="63"/>
    </row>
    <row r="22194" spans="25:25" x14ac:dyDescent="0.25">
      <c r="Y22194" s="63"/>
    </row>
    <row r="22195" spans="25:25" x14ac:dyDescent="0.25">
      <c r="Y22195" s="63"/>
    </row>
    <row r="22196" spans="25:25" x14ac:dyDescent="0.25">
      <c r="Y22196" s="63"/>
    </row>
    <row r="22197" spans="25:25" x14ac:dyDescent="0.25">
      <c r="Y22197" s="63"/>
    </row>
    <row r="22198" spans="25:25" x14ac:dyDescent="0.25">
      <c r="Y22198" s="63"/>
    </row>
    <row r="22199" spans="25:25" x14ac:dyDescent="0.25">
      <c r="Y22199" s="63"/>
    </row>
    <row r="22200" spans="25:25" x14ac:dyDescent="0.25">
      <c r="Y22200" s="63"/>
    </row>
    <row r="22201" spans="25:25" x14ac:dyDescent="0.25">
      <c r="Y22201" s="63"/>
    </row>
    <row r="22202" spans="25:25" x14ac:dyDescent="0.25">
      <c r="Y22202" s="63"/>
    </row>
    <row r="22203" spans="25:25" x14ac:dyDescent="0.25">
      <c r="Y22203" s="63"/>
    </row>
    <row r="22204" spans="25:25" x14ac:dyDescent="0.25">
      <c r="Y22204" s="63"/>
    </row>
    <row r="22205" spans="25:25" x14ac:dyDescent="0.25">
      <c r="Y22205" s="63"/>
    </row>
    <row r="22206" spans="25:25" x14ac:dyDescent="0.25">
      <c r="Y22206" s="63"/>
    </row>
    <row r="22207" spans="25:25" x14ac:dyDescent="0.25">
      <c r="Y22207" s="63"/>
    </row>
    <row r="22208" spans="25:25" x14ac:dyDescent="0.25">
      <c r="Y22208" s="63"/>
    </row>
    <row r="22209" spans="25:25" x14ac:dyDescent="0.25">
      <c r="Y22209" s="63"/>
    </row>
    <row r="22210" spans="25:25" x14ac:dyDescent="0.25">
      <c r="Y22210" s="63"/>
    </row>
    <row r="22211" spans="25:25" x14ac:dyDescent="0.25">
      <c r="Y22211" s="63"/>
    </row>
    <row r="22212" spans="25:25" x14ac:dyDescent="0.25">
      <c r="Y22212" s="63"/>
    </row>
    <row r="22213" spans="25:25" x14ac:dyDescent="0.25">
      <c r="Y22213" s="63"/>
    </row>
    <row r="22214" spans="25:25" x14ac:dyDescent="0.25">
      <c r="Y22214" s="63"/>
    </row>
    <row r="22215" spans="25:25" x14ac:dyDescent="0.25">
      <c r="Y22215" s="63"/>
    </row>
    <row r="22216" spans="25:25" x14ac:dyDescent="0.25">
      <c r="Y22216" s="63"/>
    </row>
    <row r="22217" spans="25:25" x14ac:dyDescent="0.25">
      <c r="Y22217" s="63"/>
    </row>
    <row r="22218" spans="25:25" x14ac:dyDescent="0.25">
      <c r="Y22218" s="63"/>
    </row>
    <row r="22219" spans="25:25" x14ac:dyDescent="0.25">
      <c r="Y22219" s="63"/>
    </row>
    <row r="22220" spans="25:25" x14ac:dyDescent="0.25">
      <c r="Y22220" s="63"/>
    </row>
    <row r="22221" spans="25:25" x14ac:dyDescent="0.25">
      <c r="Y22221" s="63"/>
    </row>
    <row r="22222" spans="25:25" x14ac:dyDescent="0.25">
      <c r="Y22222" s="63"/>
    </row>
    <row r="22223" spans="25:25" x14ac:dyDescent="0.25">
      <c r="Y22223" s="63"/>
    </row>
    <row r="22224" spans="25:25" x14ac:dyDescent="0.25">
      <c r="Y22224" s="63"/>
    </row>
    <row r="22225" spans="25:25" x14ac:dyDescent="0.25">
      <c r="Y22225" s="63"/>
    </row>
    <row r="22226" spans="25:25" x14ac:dyDescent="0.25">
      <c r="Y22226" s="63"/>
    </row>
    <row r="22227" spans="25:25" x14ac:dyDescent="0.25">
      <c r="Y22227" s="63"/>
    </row>
    <row r="22228" spans="25:25" x14ac:dyDescent="0.25">
      <c r="Y22228" s="63"/>
    </row>
    <row r="22229" spans="25:25" x14ac:dyDescent="0.25">
      <c r="Y22229" s="63"/>
    </row>
    <row r="22230" spans="25:25" x14ac:dyDescent="0.25">
      <c r="Y22230" s="63"/>
    </row>
    <row r="22231" spans="25:25" x14ac:dyDescent="0.25">
      <c r="Y22231" s="63"/>
    </row>
    <row r="22232" spans="25:25" x14ac:dyDescent="0.25">
      <c r="Y22232" s="63"/>
    </row>
    <row r="22233" spans="25:25" x14ac:dyDescent="0.25">
      <c r="Y22233" s="63"/>
    </row>
    <row r="22234" spans="25:25" x14ac:dyDescent="0.25">
      <c r="Y22234" s="63"/>
    </row>
    <row r="22235" spans="25:25" x14ac:dyDescent="0.25">
      <c r="Y22235" s="63"/>
    </row>
    <row r="22236" spans="25:25" x14ac:dyDescent="0.25">
      <c r="Y22236" s="63"/>
    </row>
    <row r="22237" spans="25:25" x14ac:dyDescent="0.25">
      <c r="Y22237" s="63"/>
    </row>
    <row r="22238" spans="25:25" x14ac:dyDescent="0.25">
      <c r="Y22238" s="63"/>
    </row>
    <row r="22239" spans="25:25" x14ac:dyDescent="0.25">
      <c r="Y22239" s="63"/>
    </row>
    <row r="22240" spans="25:25" x14ac:dyDescent="0.25">
      <c r="Y22240" s="63"/>
    </row>
    <row r="22241" spans="25:25" x14ac:dyDescent="0.25">
      <c r="Y22241" s="63"/>
    </row>
    <row r="22242" spans="25:25" x14ac:dyDescent="0.25">
      <c r="Y22242" s="63"/>
    </row>
    <row r="22243" spans="25:25" x14ac:dyDescent="0.25">
      <c r="Y22243" s="63"/>
    </row>
    <row r="22244" spans="25:25" x14ac:dyDescent="0.25">
      <c r="Y22244" s="63"/>
    </row>
    <row r="22245" spans="25:25" x14ac:dyDescent="0.25">
      <c r="Y22245" s="63"/>
    </row>
    <row r="22246" spans="25:25" x14ac:dyDescent="0.25">
      <c r="Y22246" s="63"/>
    </row>
    <row r="22247" spans="25:25" x14ac:dyDescent="0.25">
      <c r="Y22247" s="63"/>
    </row>
    <row r="22248" spans="25:25" x14ac:dyDescent="0.25">
      <c r="Y22248" s="63"/>
    </row>
    <row r="22249" spans="25:25" x14ac:dyDescent="0.25">
      <c r="Y22249" s="63"/>
    </row>
    <row r="22250" spans="25:25" x14ac:dyDescent="0.25">
      <c r="Y22250" s="63"/>
    </row>
    <row r="22251" spans="25:25" x14ac:dyDescent="0.25">
      <c r="Y22251" s="63"/>
    </row>
    <row r="22252" spans="25:25" x14ac:dyDescent="0.25">
      <c r="Y22252" s="63"/>
    </row>
    <row r="22253" spans="25:25" x14ac:dyDescent="0.25">
      <c r="Y22253" s="63"/>
    </row>
    <row r="22254" spans="25:25" x14ac:dyDescent="0.25">
      <c r="Y22254" s="63"/>
    </row>
    <row r="22255" spans="25:25" x14ac:dyDescent="0.25">
      <c r="Y22255" s="63"/>
    </row>
    <row r="22256" spans="25:25" x14ac:dyDescent="0.25">
      <c r="Y22256" s="63"/>
    </row>
    <row r="22257" spans="25:25" x14ac:dyDescent="0.25">
      <c r="Y22257" s="63"/>
    </row>
    <row r="22258" spans="25:25" x14ac:dyDescent="0.25">
      <c r="Y22258" s="63"/>
    </row>
    <row r="22259" spans="25:25" x14ac:dyDescent="0.25">
      <c r="Y22259" s="63"/>
    </row>
    <row r="22260" spans="25:25" x14ac:dyDescent="0.25">
      <c r="Y22260" s="63"/>
    </row>
    <row r="22261" spans="25:25" x14ac:dyDescent="0.25">
      <c r="Y22261" s="63"/>
    </row>
    <row r="22262" spans="25:25" x14ac:dyDescent="0.25">
      <c r="Y22262" s="63"/>
    </row>
    <row r="22263" spans="25:25" x14ac:dyDescent="0.25">
      <c r="Y22263" s="63"/>
    </row>
    <row r="22264" spans="25:25" x14ac:dyDescent="0.25">
      <c r="Y22264" s="63"/>
    </row>
    <row r="22265" spans="25:25" x14ac:dyDescent="0.25">
      <c r="Y22265" s="63"/>
    </row>
    <row r="22266" spans="25:25" x14ac:dyDescent="0.25">
      <c r="Y22266" s="63"/>
    </row>
    <row r="22267" spans="25:25" x14ac:dyDescent="0.25">
      <c r="Y22267" s="63"/>
    </row>
    <row r="22268" spans="25:25" x14ac:dyDescent="0.25">
      <c r="Y22268" s="63"/>
    </row>
    <row r="22269" spans="25:25" x14ac:dyDescent="0.25">
      <c r="Y22269" s="63"/>
    </row>
    <row r="22270" spans="25:25" x14ac:dyDescent="0.25">
      <c r="Y22270" s="63"/>
    </row>
    <row r="22271" spans="25:25" x14ac:dyDescent="0.25">
      <c r="Y22271" s="63"/>
    </row>
    <row r="22272" spans="25:25" x14ac:dyDescent="0.25">
      <c r="Y22272" s="63"/>
    </row>
    <row r="22273" spans="25:25" x14ac:dyDescent="0.25">
      <c r="Y22273" s="63"/>
    </row>
    <row r="22274" spans="25:25" x14ac:dyDescent="0.25">
      <c r="Y22274" s="63"/>
    </row>
    <row r="22275" spans="25:25" x14ac:dyDescent="0.25">
      <c r="Y22275" s="63"/>
    </row>
    <row r="22276" spans="25:25" x14ac:dyDescent="0.25">
      <c r="Y22276" s="63"/>
    </row>
    <row r="22277" spans="25:25" x14ac:dyDescent="0.25">
      <c r="Y22277" s="63"/>
    </row>
    <row r="22278" spans="25:25" x14ac:dyDescent="0.25">
      <c r="Y22278" s="63"/>
    </row>
    <row r="22279" spans="25:25" x14ac:dyDescent="0.25">
      <c r="Y22279" s="63"/>
    </row>
    <row r="22280" spans="25:25" x14ac:dyDescent="0.25">
      <c r="Y22280" s="63"/>
    </row>
    <row r="22281" spans="25:25" x14ac:dyDescent="0.25">
      <c r="Y22281" s="63"/>
    </row>
    <row r="22282" spans="25:25" x14ac:dyDescent="0.25">
      <c r="Y22282" s="63"/>
    </row>
    <row r="22283" spans="25:25" x14ac:dyDescent="0.25">
      <c r="Y22283" s="63"/>
    </row>
    <row r="22284" spans="25:25" x14ac:dyDescent="0.25">
      <c r="Y22284" s="63"/>
    </row>
    <row r="22285" spans="25:25" x14ac:dyDescent="0.25">
      <c r="Y22285" s="63"/>
    </row>
    <row r="22286" spans="25:25" x14ac:dyDescent="0.25">
      <c r="Y22286" s="63"/>
    </row>
    <row r="22287" spans="25:25" x14ac:dyDescent="0.25">
      <c r="Y22287" s="63"/>
    </row>
    <row r="22288" spans="25:25" x14ac:dyDescent="0.25">
      <c r="Y22288" s="63"/>
    </row>
    <row r="22289" spans="25:25" x14ac:dyDescent="0.25">
      <c r="Y22289" s="63"/>
    </row>
    <row r="22290" spans="25:25" x14ac:dyDescent="0.25">
      <c r="Y22290" s="63"/>
    </row>
    <row r="22291" spans="25:25" x14ac:dyDescent="0.25">
      <c r="Y22291" s="63"/>
    </row>
    <row r="22292" spans="25:25" x14ac:dyDescent="0.25">
      <c r="Y22292" s="63"/>
    </row>
    <row r="22293" spans="25:25" x14ac:dyDescent="0.25">
      <c r="Y22293" s="63"/>
    </row>
    <row r="22294" spans="25:25" x14ac:dyDescent="0.25">
      <c r="Y22294" s="63"/>
    </row>
    <row r="22295" spans="25:25" x14ac:dyDescent="0.25">
      <c r="Y22295" s="63"/>
    </row>
    <row r="22296" spans="25:25" x14ac:dyDescent="0.25">
      <c r="Y22296" s="63"/>
    </row>
    <row r="22297" spans="25:25" x14ac:dyDescent="0.25">
      <c r="Y22297" s="63"/>
    </row>
    <row r="22298" spans="25:25" x14ac:dyDescent="0.25">
      <c r="Y22298" s="63"/>
    </row>
    <row r="22299" spans="25:25" x14ac:dyDescent="0.25">
      <c r="Y22299" s="63"/>
    </row>
    <row r="22300" spans="25:25" x14ac:dyDescent="0.25">
      <c r="Y22300" s="63"/>
    </row>
    <row r="22301" spans="25:25" x14ac:dyDescent="0.25">
      <c r="Y22301" s="63"/>
    </row>
    <row r="22302" spans="25:25" x14ac:dyDescent="0.25">
      <c r="Y22302" s="63"/>
    </row>
    <row r="22303" spans="25:25" x14ac:dyDescent="0.25">
      <c r="Y22303" s="63"/>
    </row>
    <row r="22304" spans="25:25" x14ac:dyDescent="0.25">
      <c r="Y22304" s="63"/>
    </row>
    <row r="22305" spans="25:25" x14ac:dyDescent="0.25">
      <c r="Y22305" s="63"/>
    </row>
    <row r="22306" spans="25:25" x14ac:dyDescent="0.25">
      <c r="Y22306" s="63"/>
    </row>
    <row r="22307" spans="25:25" x14ac:dyDescent="0.25">
      <c r="Y22307" s="63"/>
    </row>
    <row r="22308" spans="25:25" x14ac:dyDescent="0.25">
      <c r="Y22308" s="63"/>
    </row>
    <row r="22309" spans="25:25" x14ac:dyDescent="0.25">
      <c r="Y22309" s="63"/>
    </row>
    <row r="22310" spans="25:25" x14ac:dyDescent="0.25">
      <c r="Y22310" s="63"/>
    </row>
    <row r="22311" spans="25:25" x14ac:dyDescent="0.25">
      <c r="Y22311" s="63"/>
    </row>
    <row r="22312" spans="25:25" x14ac:dyDescent="0.25">
      <c r="Y22312" s="63"/>
    </row>
    <row r="22313" spans="25:25" x14ac:dyDescent="0.25">
      <c r="Y22313" s="63"/>
    </row>
    <row r="22314" spans="25:25" x14ac:dyDescent="0.25">
      <c r="Y22314" s="63"/>
    </row>
    <row r="22315" spans="25:25" x14ac:dyDescent="0.25">
      <c r="Y22315" s="63"/>
    </row>
    <row r="22316" spans="25:25" x14ac:dyDescent="0.25">
      <c r="Y22316" s="63"/>
    </row>
    <row r="22317" spans="25:25" x14ac:dyDescent="0.25">
      <c r="Y22317" s="63"/>
    </row>
    <row r="22318" spans="25:25" x14ac:dyDescent="0.25">
      <c r="Y22318" s="63"/>
    </row>
    <row r="22319" spans="25:25" x14ac:dyDescent="0.25">
      <c r="Y22319" s="63"/>
    </row>
    <row r="22320" spans="25:25" x14ac:dyDescent="0.25">
      <c r="Y22320" s="63"/>
    </row>
    <row r="22321" spans="25:25" x14ac:dyDescent="0.25">
      <c r="Y22321" s="63"/>
    </row>
    <row r="22322" spans="25:25" x14ac:dyDescent="0.25">
      <c r="Y22322" s="63"/>
    </row>
    <row r="22323" spans="25:25" x14ac:dyDescent="0.25">
      <c r="Y22323" s="63"/>
    </row>
    <row r="22324" spans="25:25" x14ac:dyDescent="0.25">
      <c r="Y22324" s="63"/>
    </row>
    <row r="22325" spans="25:25" x14ac:dyDescent="0.25">
      <c r="Y22325" s="63"/>
    </row>
    <row r="22326" spans="25:25" x14ac:dyDescent="0.25">
      <c r="Y22326" s="63"/>
    </row>
    <row r="22327" spans="25:25" x14ac:dyDescent="0.25">
      <c r="Y22327" s="63"/>
    </row>
    <row r="22328" spans="25:25" x14ac:dyDescent="0.25">
      <c r="Y22328" s="63"/>
    </row>
    <row r="22329" spans="25:25" x14ac:dyDescent="0.25">
      <c r="Y22329" s="63"/>
    </row>
    <row r="22330" spans="25:25" x14ac:dyDescent="0.25">
      <c r="Y22330" s="63"/>
    </row>
    <row r="22331" spans="25:25" x14ac:dyDescent="0.25">
      <c r="Y22331" s="63"/>
    </row>
    <row r="22332" spans="25:25" x14ac:dyDescent="0.25">
      <c r="Y22332" s="63"/>
    </row>
    <row r="22333" spans="25:25" x14ac:dyDescent="0.25">
      <c r="Y22333" s="63"/>
    </row>
    <row r="22334" spans="25:25" x14ac:dyDescent="0.25">
      <c r="Y22334" s="63"/>
    </row>
    <row r="22335" spans="25:25" x14ac:dyDescent="0.25">
      <c r="Y22335" s="63"/>
    </row>
    <row r="22336" spans="25:25" x14ac:dyDescent="0.25">
      <c r="Y22336" s="63"/>
    </row>
    <row r="22337" spans="25:25" x14ac:dyDescent="0.25">
      <c r="Y22337" s="63"/>
    </row>
    <row r="22338" spans="25:25" x14ac:dyDescent="0.25">
      <c r="Y22338" s="63"/>
    </row>
    <row r="22339" spans="25:25" x14ac:dyDescent="0.25">
      <c r="Y22339" s="63"/>
    </row>
    <row r="22340" spans="25:25" x14ac:dyDescent="0.25">
      <c r="Y22340" s="63"/>
    </row>
    <row r="22341" spans="25:25" x14ac:dyDescent="0.25">
      <c r="Y22341" s="63"/>
    </row>
    <row r="22342" spans="25:25" x14ac:dyDescent="0.25">
      <c r="Y22342" s="63"/>
    </row>
    <row r="22343" spans="25:25" x14ac:dyDescent="0.25">
      <c r="Y22343" s="63"/>
    </row>
    <row r="22344" spans="25:25" x14ac:dyDescent="0.25">
      <c r="Y22344" s="63"/>
    </row>
    <row r="22345" spans="25:25" x14ac:dyDescent="0.25">
      <c r="Y22345" s="63"/>
    </row>
    <row r="22346" spans="25:25" x14ac:dyDescent="0.25">
      <c r="Y22346" s="63"/>
    </row>
    <row r="22347" spans="25:25" x14ac:dyDescent="0.25">
      <c r="Y22347" s="63"/>
    </row>
    <row r="22348" spans="25:25" x14ac:dyDescent="0.25">
      <c r="Y22348" s="63"/>
    </row>
    <row r="22349" spans="25:25" x14ac:dyDescent="0.25">
      <c r="Y22349" s="63"/>
    </row>
    <row r="22350" spans="25:25" x14ac:dyDescent="0.25">
      <c r="Y22350" s="63"/>
    </row>
    <row r="22351" spans="25:25" x14ac:dyDescent="0.25">
      <c r="Y22351" s="63"/>
    </row>
    <row r="22352" spans="25:25" x14ac:dyDescent="0.25">
      <c r="Y22352" s="63"/>
    </row>
    <row r="22353" spans="25:25" x14ac:dyDescent="0.25">
      <c r="Y22353" s="63"/>
    </row>
    <row r="22354" spans="25:25" x14ac:dyDescent="0.25">
      <c r="Y22354" s="63"/>
    </row>
    <row r="22355" spans="25:25" x14ac:dyDescent="0.25">
      <c r="Y22355" s="63"/>
    </row>
    <row r="22356" spans="25:25" x14ac:dyDescent="0.25">
      <c r="Y22356" s="63"/>
    </row>
    <row r="22357" spans="25:25" x14ac:dyDescent="0.25">
      <c r="Y22357" s="63"/>
    </row>
    <row r="22358" spans="25:25" x14ac:dyDescent="0.25">
      <c r="Y22358" s="63"/>
    </row>
    <row r="22359" spans="25:25" x14ac:dyDescent="0.25">
      <c r="Y22359" s="63"/>
    </row>
    <row r="22360" spans="25:25" x14ac:dyDescent="0.25">
      <c r="Y22360" s="63"/>
    </row>
    <row r="22361" spans="25:25" x14ac:dyDescent="0.25">
      <c r="Y22361" s="63"/>
    </row>
    <row r="22362" spans="25:25" x14ac:dyDescent="0.25">
      <c r="Y22362" s="63"/>
    </row>
    <row r="22363" spans="25:25" x14ac:dyDescent="0.25">
      <c r="Y22363" s="63"/>
    </row>
    <row r="22364" spans="25:25" x14ac:dyDescent="0.25">
      <c r="Y22364" s="63"/>
    </row>
    <row r="22365" spans="25:25" x14ac:dyDescent="0.25">
      <c r="Y22365" s="63"/>
    </row>
    <row r="22366" spans="25:25" x14ac:dyDescent="0.25">
      <c r="Y22366" s="63"/>
    </row>
    <row r="22367" spans="25:25" x14ac:dyDescent="0.25">
      <c r="Y22367" s="63"/>
    </row>
    <row r="22368" spans="25:25" x14ac:dyDescent="0.25">
      <c r="Y22368" s="63"/>
    </row>
    <row r="22369" spans="25:25" x14ac:dyDescent="0.25">
      <c r="Y22369" s="63"/>
    </row>
    <row r="22370" spans="25:25" x14ac:dyDescent="0.25">
      <c r="Y22370" s="63"/>
    </row>
    <row r="22371" spans="25:25" x14ac:dyDescent="0.25">
      <c r="Y22371" s="63"/>
    </row>
    <row r="22372" spans="25:25" x14ac:dyDescent="0.25">
      <c r="Y22372" s="63"/>
    </row>
    <row r="22373" spans="25:25" x14ac:dyDescent="0.25">
      <c r="Y22373" s="63"/>
    </row>
    <row r="22374" spans="25:25" x14ac:dyDescent="0.25">
      <c r="Y22374" s="63"/>
    </row>
    <row r="22375" spans="25:25" x14ac:dyDescent="0.25">
      <c r="Y22375" s="63"/>
    </row>
    <row r="22376" spans="25:25" x14ac:dyDescent="0.25">
      <c r="Y22376" s="63"/>
    </row>
    <row r="22377" spans="25:25" x14ac:dyDescent="0.25">
      <c r="Y22377" s="63"/>
    </row>
    <row r="22378" spans="25:25" x14ac:dyDescent="0.25">
      <c r="Y22378" s="63"/>
    </row>
    <row r="22379" spans="25:25" x14ac:dyDescent="0.25">
      <c r="Y22379" s="63"/>
    </row>
    <row r="22380" spans="25:25" x14ac:dyDescent="0.25">
      <c r="Y22380" s="63"/>
    </row>
    <row r="22381" spans="25:25" x14ac:dyDescent="0.25">
      <c r="Y22381" s="63"/>
    </row>
    <row r="22382" spans="25:25" x14ac:dyDescent="0.25">
      <c r="Y22382" s="63"/>
    </row>
    <row r="22383" spans="25:25" x14ac:dyDescent="0.25">
      <c r="Y22383" s="63"/>
    </row>
    <row r="22384" spans="25:25" x14ac:dyDescent="0.25">
      <c r="Y22384" s="63"/>
    </row>
    <row r="22385" spans="25:25" x14ac:dyDescent="0.25">
      <c r="Y22385" s="63"/>
    </row>
    <row r="22386" spans="25:25" x14ac:dyDescent="0.25">
      <c r="Y22386" s="63"/>
    </row>
    <row r="22387" spans="25:25" x14ac:dyDescent="0.25">
      <c r="Y22387" s="63"/>
    </row>
    <row r="22388" spans="25:25" x14ac:dyDescent="0.25">
      <c r="Y22388" s="63"/>
    </row>
    <row r="22389" spans="25:25" x14ac:dyDescent="0.25">
      <c r="Y22389" s="63"/>
    </row>
    <row r="22390" spans="25:25" x14ac:dyDescent="0.25">
      <c r="Y22390" s="63"/>
    </row>
    <row r="22391" spans="25:25" x14ac:dyDescent="0.25">
      <c r="Y22391" s="63"/>
    </row>
    <row r="22392" spans="25:25" x14ac:dyDescent="0.25">
      <c r="Y22392" s="63"/>
    </row>
    <row r="22393" spans="25:25" x14ac:dyDescent="0.25">
      <c r="Y22393" s="63"/>
    </row>
    <row r="22394" spans="25:25" x14ac:dyDescent="0.25">
      <c r="Y22394" s="63"/>
    </row>
    <row r="22395" spans="25:25" x14ac:dyDescent="0.25">
      <c r="Y22395" s="63"/>
    </row>
    <row r="22396" spans="25:25" x14ac:dyDescent="0.25">
      <c r="Y22396" s="63"/>
    </row>
    <row r="22397" spans="25:25" x14ac:dyDescent="0.25">
      <c r="Y22397" s="63"/>
    </row>
    <row r="22398" spans="25:25" x14ac:dyDescent="0.25">
      <c r="Y22398" s="63"/>
    </row>
    <row r="22399" spans="25:25" x14ac:dyDescent="0.25">
      <c r="Y22399" s="63"/>
    </row>
    <row r="22400" spans="25:25" x14ac:dyDescent="0.25">
      <c r="Y22400" s="63"/>
    </row>
    <row r="22401" spans="25:25" x14ac:dyDescent="0.25">
      <c r="Y22401" s="63"/>
    </row>
    <row r="22402" spans="25:25" x14ac:dyDescent="0.25">
      <c r="Y22402" s="63"/>
    </row>
    <row r="22403" spans="25:25" x14ac:dyDescent="0.25">
      <c r="Y22403" s="63"/>
    </row>
    <row r="22404" spans="25:25" x14ac:dyDescent="0.25">
      <c r="Y22404" s="63"/>
    </row>
    <row r="22405" spans="25:25" x14ac:dyDescent="0.25">
      <c r="Y22405" s="63"/>
    </row>
    <row r="22406" spans="25:25" x14ac:dyDescent="0.25">
      <c r="Y22406" s="63"/>
    </row>
    <row r="22407" spans="25:25" x14ac:dyDescent="0.25">
      <c r="Y22407" s="63"/>
    </row>
    <row r="22408" spans="25:25" x14ac:dyDescent="0.25">
      <c r="Y22408" s="63"/>
    </row>
    <row r="22409" spans="25:25" x14ac:dyDescent="0.25">
      <c r="Y22409" s="63"/>
    </row>
    <row r="22410" spans="25:25" x14ac:dyDescent="0.25">
      <c r="Y22410" s="63"/>
    </row>
    <row r="22411" spans="25:25" x14ac:dyDescent="0.25">
      <c r="Y22411" s="63"/>
    </row>
    <row r="22412" spans="25:25" x14ac:dyDescent="0.25">
      <c r="Y22412" s="63"/>
    </row>
    <row r="22413" spans="25:25" x14ac:dyDescent="0.25">
      <c r="Y22413" s="63"/>
    </row>
    <row r="22414" spans="25:25" x14ac:dyDescent="0.25">
      <c r="Y22414" s="63"/>
    </row>
    <row r="22415" spans="25:25" x14ac:dyDescent="0.25">
      <c r="Y22415" s="63"/>
    </row>
    <row r="22416" spans="25:25" x14ac:dyDescent="0.25">
      <c r="Y22416" s="63"/>
    </row>
    <row r="22417" spans="25:25" x14ac:dyDescent="0.25">
      <c r="Y22417" s="63"/>
    </row>
    <row r="22418" spans="25:25" x14ac:dyDescent="0.25">
      <c r="Y22418" s="63"/>
    </row>
    <row r="22419" spans="25:25" x14ac:dyDescent="0.25">
      <c r="Y22419" s="63"/>
    </row>
    <row r="22420" spans="25:25" x14ac:dyDescent="0.25">
      <c r="Y22420" s="63"/>
    </row>
    <row r="22421" spans="25:25" x14ac:dyDescent="0.25">
      <c r="Y22421" s="63"/>
    </row>
    <row r="22422" spans="25:25" x14ac:dyDescent="0.25">
      <c r="Y22422" s="63"/>
    </row>
    <row r="22423" spans="25:25" x14ac:dyDescent="0.25">
      <c r="Y22423" s="63"/>
    </row>
    <row r="22424" spans="25:25" x14ac:dyDescent="0.25">
      <c r="Y22424" s="63"/>
    </row>
    <row r="22425" spans="25:25" x14ac:dyDescent="0.25">
      <c r="Y22425" s="63"/>
    </row>
    <row r="22426" spans="25:25" x14ac:dyDescent="0.25">
      <c r="Y22426" s="63"/>
    </row>
    <row r="22427" spans="25:25" x14ac:dyDescent="0.25">
      <c r="Y22427" s="63"/>
    </row>
    <row r="22428" spans="25:25" x14ac:dyDescent="0.25">
      <c r="Y22428" s="63"/>
    </row>
    <row r="22429" spans="25:25" x14ac:dyDescent="0.25">
      <c r="Y22429" s="63"/>
    </row>
    <row r="22430" spans="25:25" x14ac:dyDescent="0.25">
      <c r="Y22430" s="63"/>
    </row>
    <row r="22431" spans="25:25" x14ac:dyDescent="0.25">
      <c r="Y22431" s="63"/>
    </row>
    <row r="22432" spans="25:25" x14ac:dyDescent="0.25">
      <c r="Y22432" s="63"/>
    </row>
    <row r="22433" spans="25:25" x14ac:dyDescent="0.25">
      <c r="Y22433" s="63"/>
    </row>
    <row r="22434" spans="25:25" x14ac:dyDescent="0.25">
      <c r="Y22434" s="63"/>
    </row>
    <row r="22435" spans="25:25" x14ac:dyDescent="0.25">
      <c r="Y22435" s="63"/>
    </row>
    <row r="22436" spans="25:25" x14ac:dyDescent="0.25">
      <c r="Y22436" s="63"/>
    </row>
    <row r="22437" spans="25:25" x14ac:dyDescent="0.25">
      <c r="Y22437" s="63"/>
    </row>
    <row r="22438" spans="25:25" x14ac:dyDescent="0.25">
      <c r="Y22438" s="63"/>
    </row>
    <row r="22439" spans="25:25" x14ac:dyDescent="0.25">
      <c r="Y22439" s="63"/>
    </row>
    <row r="22440" spans="25:25" x14ac:dyDescent="0.25">
      <c r="Y22440" s="63"/>
    </row>
    <row r="22441" spans="25:25" x14ac:dyDescent="0.25">
      <c r="Y22441" s="63"/>
    </row>
    <row r="22442" spans="25:25" x14ac:dyDescent="0.25">
      <c r="Y22442" s="63"/>
    </row>
    <row r="22443" spans="25:25" x14ac:dyDescent="0.25">
      <c r="Y22443" s="63"/>
    </row>
    <row r="22444" spans="25:25" x14ac:dyDescent="0.25">
      <c r="Y22444" s="63"/>
    </row>
    <row r="22445" spans="25:25" x14ac:dyDescent="0.25">
      <c r="Y22445" s="63"/>
    </row>
    <row r="22446" spans="25:25" x14ac:dyDescent="0.25">
      <c r="Y22446" s="63"/>
    </row>
    <row r="22447" spans="25:25" x14ac:dyDescent="0.25">
      <c r="Y22447" s="63"/>
    </row>
    <row r="22448" spans="25:25" x14ac:dyDescent="0.25">
      <c r="Y22448" s="63"/>
    </row>
    <row r="22449" spans="25:25" x14ac:dyDescent="0.25">
      <c r="Y22449" s="63"/>
    </row>
    <row r="22450" spans="25:25" x14ac:dyDescent="0.25">
      <c r="Y22450" s="63"/>
    </row>
    <row r="22451" spans="25:25" x14ac:dyDescent="0.25">
      <c r="Y22451" s="63"/>
    </row>
    <row r="22452" spans="25:25" x14ac:dyDescent="0.25">
      <c r="Y22452" s="63"/>
    </row>
    <row r="22453" spans="25:25" x14ac:dyDescent="0.25">
      <c r="Y22453" s="63"/>
    </row>
    <row r="22454" spans="25:25" x14ac:dyDescent="0.25">
      <c r="Y22454" s="63"/>
    </row>
    <row r="22455" spans="25:25" x14ac:dyDescent="0.25">
      <c r="Y22455" s="63"/>
    </row>
    <row r="22456" spans="25:25" x14ac:dyDescent="0.25">
      <c r="Y22456" s="63"/>
    </row>
    <row r="22457" spans="25:25" x14ac:dyDescent="0.25">
      <c r="Y22457" s="63"/>
    </row>
    <row r="22458" spans="25:25" x14ac:dyDescent="0.25">
      <c r="Y22458" s="63"/>
    </row>
    <row r="22459" spans="25:25" x14ac:dyDescent="0.25">
      <c r="Y22459" s="63"/>
    </row>
    <row r="22460" spans="25:25" x14ac:dyDescent="0.25">
      <c r="Y22460" s="63"/>
    </row>
    <row r="22461" spans="25:25" x14ac:dyDescent="0.25">
      <c r="Y22461" s="63"/>
    </row>
    <row r="22462" spans="25:25" x14ac:dyDescent="0.25">
      <c r="Y22462" s="63"/>
    </row>
    <row r="22463" spans="25:25" x14ac:dyDescent="0.25">
      <c r="Y22463" s="63"/>
    </row>
    <row r="22464" spans="25:25" x14ac:dyDescent="0.25">
      <c r="Y22464" s="63"/>
    </row>
    <row r="22465" spans="25:25" x14ac:dyDescent="0.25">
      <c r="Y22465" s="63"/>
    </row>
    <row r="22466" spans="25:25" x14ac:dyDescent="0.25">
      <c r="Y22466" s="63"/>
    </row>
    <row r="22467" spans="25:25" x14ac:dyDescent="0.25">
      <c r="Y22467" s="63"/>
    </row>
    <row r="22468" spans="25:25" x14ac:dyDescent="0.25">
      <c r="Y22468" s="63"/>
    </row>
    <row r="22469" spans="25:25" x14ac:dyDescent="0.25">
      <c r="Y22469" s="63"/>
    </row>
    <row r="22470" spans="25:25" x14ac:dyDescent="0.25">
      <c r="Y22470" s="63"/>
    </row>
    <row r="22471" spans="25:25" x14ac:dyDescent="0.25">
      <c r="Y22471" s="63"/>
    </row>
    <row r="22472" spans="25:25" x14ac:dyDescent="0.25">
      <c r="Y22472" s="63"/>
    </row>
    <row r="22473" spans="25:25" x14ac:dyDescent="0.25">
      <c r="Y22473" s="63"/>
    </row>
    <row r="22474" spans="25:25" x14ac:dyDescent="0.25">
      <c r="Y22474" s="63"/>
    </row>
    <row r="22475" spans="25:25" x14ac:dyDescent="0.25">
      <c r="Y22475" s="63"/>
    </row>
    <row r="22476" spans="25:25" x14ac:dyDescent="0.25">
      <c r="Y22476" s="63"/>
    </row>
    <row r="22477" spans="25:25" x14ac:dyDescent="0.25">
      <c r="Y22477" s="63"/>
    </row>
    <row r="22478" spans="25:25" x14ac:dyDescent="0.25">
      <c r="Y22478" s="63"/>
    </row>
    <row r="22479" spans="25:25" x14ac:dyDescent="0.25">
      <c r="Y22479" s="63"/>
    </row>
    <row r="22480" spans="25:25" x14ac:dyDescent="0.25">
      <c r="Y22480" s="63"/>
    </row>
    <row r="22481" spans="25:25" x14ac:dyDescent="0.25">
      <c r="Y22481" s="63"/>
    </row>
    <row r="22482" spans="25:25" x14ac:dyDescent="0.25">
      <c r="Y22482" s="63"/>
    </row>
    <row r="22483" spans="25:25" x14ac:dyDescent="0.25">
      <c r="Y22483" s="63"/>
    </row>
    <row r="22484" spans="25:25" x14ac:dyDescent="0.25">
      <c r="Y22484" s="63"/>
    </row>
    <row r="22485" spans="25:25" x14ac:dyDescent="0.25">
      <c r="Y22485" s="63"/>
    </row>
    <row r="22486" spans="25:25" x14ac:dyDescent="0.25">
      <c r="Y22486" s="63"/>
    </row>
    <row r="22487" spans="25:25" x14ac:dyDescent="0.25">
      <c r="Y22487" s="63"/>
    </row>
    <row r="22488" spans="25:25" x14ac:dyDescent="0.25">
      <c r="Y22488" s="63"/>
    </row>
    <row r="22489" spans="25:25" x14ac:dyDescent="0.25">
      <c r="Y22489" s="63"/>
    </row>
    <row r="22490" spans="25:25" x14ac:dyDescent="0.25">
      <c r="Y22490" s="63"/>
    </row>
    <row r="22491" spans="25:25" x14ac:dyDescent="0.25">
      <c r="Y22491" s="63"/>
    </row>
    <row r="22492" spans="25:25" x14ac:dyDescent="0.25">
      <c r="Y22492" s="63"/>
    </row>
    <row r="22493" spans="25:25" x14ac:dyDescent="0.25">
      <c r="Y22493" s="63"/>
    </row>
    <row r="22494" spans="25:25" x14ac:dyDescent="0.25">
      <c r="Y22494" s="63"/>
    </row>
    <row r="22495" spans="25:25" x14ac:dyDescent="0.25">
      <c r="Y22495" s="63"/>
    </row>
    <row r="22496" spans="25:25" x14ac:dyDescent="0.25">
      <c r="Y22496" s="63"/>
    </row>
    <row r="22497" spans="25:25" x14ac:dyDescent="0.25">
      <c r="Y22497" s="63"/>
    </row>
    <row r="22498" spans="25:25" x14ac:dyDescent="0.25">
      <c r="Y22498" s="63"/>
    </row>
    <row r="22499" spans="25:25" x14ac:dyDescent="0.25">
      <c r="Y22499" s="63"/>
    </row>
    <row r="22500" spans="25:25" x14ac:dyDescent="0.25">
      <c r="Y22500" s="63"/>
    </row>
    <row r="22501" spans="25:25" x14ac:dyDescent="0.25">
      <c r="Y22501" s="63"/>
    </row>
    <row r="22502" spans="25:25" x14ac:dyDescent="0.25">
      <c r="Y22502" s="63"/>
    </row>
    <row r="22503" spans="25:25" x14ac:dyDescent="0.25">
      <c r="Y22503" s="63"/>
    </row>
    <row r="22504" spans="25:25" x14ac:dyDescent="0.25">
      <c r="Y22504" s="63"/>
    </row>
    <row r="22505" spans="25:25" x14ac:dyDescent="0.25">
      <c r="Y22505" s="63"/>
    </row>
    <row r="22506" spans="25:25" x14ac:dyDescent="0.25">
      <c r="Y22506" s="63"/>
    </row>
    <row r="22507" spans="25:25" x14ac:dyDescent="0.25">
      <c r="Y22507" s="63"/>
    </row>
    <row r="22508" spans="25:25" x14ac:dyDescent="0.25">
      <c r="Y22508" s="63"/>
    </row>
    <row r="22509" spans="25:25" x14ac:dyDescent="0.25">
      <c r="Y22509" s="63"/>
    </row>
    <row r="22510" spans="25:25" x14ac:dyDescent="0.25">
      <c r="Y22510" s="63"/>
    </row>
    <row r="22511" spans="25:25" x14ac:dyDescent="0.25">
      <c r="Y22511" s="63"/>
    </row>
    <row r="22512" spans="25:25" x14ac:dyDescent="0.25">
      <c r="Y22512" s="63"/>
    </row>
    <row r="22513" spans="25:25" x14ac:dyDescent="0.25">
      <c r="Y22513" s="63"/>
    </row>
    <row r="22514" spans="25:25" x14ac:dyDescent="0.25">
      <c r="Y22514" s="63"/>
    </row>
    <row r="22515" spans="25:25" x14ac:dyDescent="0.25">
      <c r="Y22515" s="63"/>
    </row>
    <row r="22516" spans="25:25" x14ac:dyDescent="0.25">
      <c r="Y22516" s="63"/>
    </row>
    <row r="22517" spans="25:25" x14ac:dyDescent="0.25">
      <c r="Y22517" s="63"/>
    </row>
    <row r="22518" spans="25:25" x14ac:dyDescent="0.25">
      <c r="Y22518" s="63"/>
    </row>
    <row r="22519" spans="25:25" x14ac:dyDescent="0.25">
      <c r="Y22519" s="63"/>
    </row>
    <row r="22520" spans="25:25" x14ac:dyDescent="0.25">
      <c r="Y22520" s="63"/>
    </row>
    <row r="22521" spans="25:25" x14ac:dyDescent="0.25">
      <c r="Y22521" s="63"/>
    </row>
    <row r="22522" spans="25:25" x14ac:dyDescent="0.25">
      <c r="Y22522" s="63"/>
    </row>
    <row r="22523" spans="25:25" x14ac:dyDescent="0.25">
      <c r="Y22523" s="63"/>
    </row>
    <row r="22524" spans="25:25" x14ac:dyDescent="0.25">
      <c r="Y22524" s="63"/>
    </row>
    <row r="22525" spans="25:25" x14ac:dyDescent="0.25">
      <c r="Y22525" s="63"/>
    </row>
    <row r="22526" spans="25:25" x14ac:dyDescent="0.25">
      <c r="Y22526" s="63"/>
    </row>
    <row r="22527" spans="25:25" x14ac:dyDescent="0.25">
      <c r="Y22527" s="63"/>
    </row>
    <row r="22528" spans="25:25" x14ac:dyDescent="0.25">
      <c r="Y22528" s="63"/>
    </row>
    <row r="22529" spans="25:25" x14ac:dyDescent="0.25">
      <c r="Y22529" s="63"/>
    </row>
    <row r="22530" spans="25:25" x14ac:dyDescent="0.25">
      <c r="Y22530" s="63"/>
    </row>
    <row r="22531" spans="25:25" x14ac:dyDescent="0.25">
      <c r="Y22531" s="63"/>
    </row>
    <row r="22532" spans="25:25" x14ac:dyDescent="0.25">
      <c r="Y22532" s="63"/>
    </row>
    <row r="22533" spans="25:25" x14ac:dyDescent="0.25">
      <c r="Y22533" s="63"/>
    </row>
    <row r="22534" spans="25:25" x14ac:dyDescent="0.25">
      <c r="Y22534" s="63"/>
    </row>
    <row r="22535" spans="25:25" x14ac:dyDescent="0.25">
      <c r="Y22535" s="63"/>
    </row>
    <row r="22536" spans="25:25" x14ac:dyDescent="0.25">
      <c r="Y22536" s="63"/>
    </row>
    <row r="22537" spans="25:25" x14ac:dyDescent="0.25">
      <c r="Y22537" s="63"/>
    </row>
    <row r="22538" spans="25:25" x14ac:dyDescent="0.25">
      <c r="Y22538" s="63"/>
    </row>
    <row r="22539" spans="25:25" x14ac:dyDescent="0.25">
      <c r="Y22539" s="63"/>
    </row>
    <row r="22540" spans="25:25" x14ac:dyDescent="0.25">
      <c r="Y22540" s="63"/>
    </row>
    <row r="22541" spans="25:25" x14ac:dyDescent="0.25">
      <c r="Y22541" s="63"/>
    </row>
    <row r="22542" spans="25:25" x14ac:dyDescent="0.25">
      <c r="Y22542" s="63"/>
    </row>
    <row r="22543" spans="25:25" x14ac:dyDescent="0.25">
      <c r="Y22543" s="63"/>
    </row>
    <row r="22544" spans="25:25" x14ac:dyDescent="0.25">
      <c r="Y22544" s="63"/>
    </row>
    <row r="22545" spans="25:25" x14ac:dyDescent="0.25">
      <c r="Y22545" s="63"/>
    </row>
    <row r="22546" spans="25:25" x14ac:dyDescent="0.25">
      <c r="Y22546" s="63"/>
    </row>
    <row r="22547" spans="25:25" x14ac:dyDescent="0.25">
      <c r="Y22547" s="63"/>
    </row>
    <row r="22548" spans="25:25" x14ac:dyDescent="0.25">
      <c r="Y22548" s="63"/>
    </row>
    <row r="22549" spans="25:25" x14ac:dyDescent="0.25">
      <c r="Y22549" s="63"/>
    </row>
    <row r="22550" spans="25:25" x14ac:dyDescent="0.25">
      <c r="Y22550" s="63"/>
    </row>
    <row r="22551" spans="25:25" x14ac:dyDescent="0.25">
      <c r="Y22551" s="63"/>
    </row>
    <row r="22552" spans="25:25" x14ac:dyDescent="0.25">
      <c r="Y22552" s="63"/>
    </row>
    <row r="22553" spans="25:25" x14ac:dyDescent="0.25">
      <c r="Y22553" s="63"/>
    </row>
    <row r="22554" spans="25:25" x14ac:dyDescent="0.25">
      <c r="Y22554" s="63"/>
    </row>
    <row r="22555" spans="25:25" x14ac:dyDescent="0.25">
      <c r="Y22555" s="63"/>
    </row>
    <row r="22556" spans="25:25" x14ac:dyDescent="0.25">
      <c r="Y22556" s="63"/>
    </row>
    <row r="22557" spans="25:25" x14ac:dyDescent="0.25">
      <c r="Y22557" s="63"/>
    </row>
    <row r="22558" spans="25:25" x14ac:dyDescent="0.25">
      <c r="Y22558" s="63"/>
    </row>
    <row r="22559" spans="25:25" x14ac:dyDescent="0.25">
      <c r="Y22559" s="63"/>
    </row>
    <row r="22560" spans="25:25" x14ac:dyDescent="0.25">
      <c r="Y22560" s="63"/>
    </row>
    <row r="22561" spans="25:25" x14ac:dyDescent="0.25">
      <c r="Y22561" s="63"/>
    </row>
    <row r="22562" spans="25:25" x14ac:dyDescent="0.25">
      <c r="Y22562" s="63"/>
    </row>
    <row r="22563" spans="25:25" x14ac:dyDescent="0.25">
      <c r="Y22563" s="63"/>
    </row>
    <row r="22564" spans="25:25" x14ac:dyDescent="0.25">
      <c r="Y22564" s="63"/>
    </row>
    <row r="22565" spans="25:25" x14ac:dyDescent="0.25">
      <c r="Y22565" s="63"/>
    </row>
    <row r="22566" spans="25:25" x14ac:dyDescent="0.25">
      <c r="Y22566" s="63"/>
    </row>
    <row r="22567" spans="25:25" x14ac:dyDescent="0.25">
      <c r="Y22567" s="63"/>
    </row>
    <row r="22568" spans="25:25" x14ac:dyDescent="0.25">
      <c r="Y22568" s="63"/>
    </row>
    <row r="22569" spans="25:25" x14ac:dyDescent="0.25">
      <c r="Y22569" s="63"/>
    </row>
    <row r="22570" spans="25:25" x14ac:dyDescent="0.25">
      <c r="Y22570" s="63"/>
    </row>
    <row r="22571" spans="25:25" x14ac:dyDescent="0.25">
      <c r="Y22571" s="63"/>
    </row>
    <row r="22572" spans="25:25" x14ac:dyDescent="0.25">
      <c r="Y22572" s="63"/>
    </row>
    <row r="22573" spans="25:25" x14ac:dyDescent="0.25">
      <c r="Y22573" s="63"/>
    </row>
    <row r="22574" spans="25:25" x14ac:dyDescent="0.25">
      <c r="Y22574" s="63"/>
    </row>
    <row r="22575" spans="25:25" x14ac:dyDescent="0.25">
      <c r="Y22575" s="63"/>
    </row>
    <row r="22576" spans="25:25" x14ac:dyDescent="0.25">
      <c r="Y22576" s="63"/>
    </row>
    <row r="22577" spans="25:25" x14ac:dyDescent="0.25">
      <c r="Y22577" s="63"/>
    </row>
    <row r="22578" spans="25:25" x14ac:dyDescent="0.25">
      <c r="Y22578" s="63"/>
    </row>
    <row r="22579" spans="25:25" x14ac:dyDescent="0.25">
      <c r="Y22579" s="63"/>
    </row>
    <row r="22580" spans="25:25" x14ac:dyDescent="0.25">
      <c r="Y22580" s="63"/>
    </row>
    <row r="22581" spans="25:25" x14ac:dyDescent="0.25">
      <c r="Y22581" s="63"/>
    </row>
    <row r="22582" spans="25:25" x14ac:dyDescent="0.25">
      <c r="Y22582" s="63"/>
    </row>
    <row r="22583" spans="25:25" x14ac:dyDescent="0.25">
      <c r="Y22583" s="63"/>
    </row>
    <row r="22584" spans="25:25" x14ac:dyDescent="0.25">
      <c r="Y22584" s="63"/>
    </row>
    <row r="22585" spans="25:25" x14ac:dyDescent="0.25">
      <c r="Y22585" s="63"/>
    </row>
    <row r="22586" spans="25:25" x14ac:dyDescent="0.25">
      <c r="Y22586" s="63"/>
    </row>
    <row r="22587" spans="25:25" x14ac:dyDescent="0.25">
      <c r="Y22587" s="63"/>
    </row>
    <row r="22588" spans="25:25" x14ac:dyDescent="0.25">
      <c r="Y22588" s="63"/>
    </row>
    <row r="22589" spans="25:25" x14ac:dyDescent="0.25">
      <c r="Y22589" s="63"/>
    </row>
    <row r="22590" spans="25:25" x14ac:dyDescent="0.25">
      <c r="Y22590" s="63"/>
    </row>
    <row r="22591" spans="25:25" x14ac:dyDescent="0.25">
      <c r="Y22591" s="63"/>
    </row>
    <row r="22592" spans="25:25" x14ac:dyDescent="0.25">
      <c r="Y22592" s="63"/>
    </row>
    <row r="22593" spans="25:25" x14ac:dyDescent="0.25">
      <c r="Y22593" s="63"/>
    </row>
    <row r="22594" spans="25:25" x14ac:dyDescent="0.25">
      <c r="Y22594" s="63"/>
    </row>
    <row r="22595" spans="25:25" x14ac:dyDescent="0.25">
      <c r="Y22595" s="63"/>
    </row>
    <row r="22596" spans="25:25" x14ac:dyDescent="0.25">
      <c r="Y22596" s="63"/>
    </row>
    <row r="22597" spans="25:25" x14ac:dyDescent="0.25">
      <c r="Y22597" s="63"/>
    </row>
    <row r="22598" spans="25:25" x14ac:dyDescent="0.25">
      <c r="Y22598" s="63"/>
    </row>
    <row r="22599" spans="25:25" x14ac:dyDescent="0.25">
      <c r="Y22599" s="63"/>
    </row>
    <row r="22600" spans="25:25" x14ac:dyDescent="0.25">
      <c r="Y22600" s="63"/>
    </row>
    <row r="22601" spans="25:25" x14ac:dyDescent="0.25">
      <c r="Y22601" s="63"/>
    </row>
    <row r="22602" spans="25:25" x14ac:dyDescent="0.25">
      <c r="Y22602" s="63"/>
    </row>
    <row r="22603" spans="25:25" x14ac:dyDescent="0.25">
      <c r="Y22603" s="63"/>
    </row>
    <row r="22604" spans="25:25" x14ac:dyDescent="0.25">
      <c r="Y22604" s="63"/>
    </row>
    <row r="22605" spans="25:25" x14ac:dyDescent="0.25">
      <c r="Y22605" s="63"/>
    </row>
    <row r="22606" spans="25:25" x14ac:dyDescent="0.25">
      <c r="Y22606" s="63"/>
    </row>
    <row r="22607" spans="25:25" x14ac:dyDescent="0.25">
      <c r="Y22607" s="63"/>
    </row>
    <row r="22608" spans="25:25" x14ac:dyDescent="0.25">
      <c r="Y22608" s="63"/>
    </row>
    <row r="22609" spans="25:25" x14ac:dyDescent="0.25">
      <c r="Y22609" s="63"/>
    </row>
    <row r="22610" spans="25:25" x14ac:dyDescent="0.25">
      <c r="Y22610" s="63"/>
    </row>
    <row r="22611" spans="25:25" x14ac:dyDescent="0.25">
      <c r="Y22611" s="63"/>
    </row>
    <row r="22612" spans="25:25" x14ac:dyDescent="0.25">
      <c r="Y22612" s="63"/>
    </row>
    <row r="22613" spans="25:25" x14ac:dyDescent="0.25">
      <c r="Y22613" s="63"/>
    </row>
    <row r="22614" spans="25:25" x14ac:dyDescent="0.25">
      <c r="Y22614" s="63"/>
    </row>
    <row r="22615" spans="25:25" x14ac:dyDescent="0.25">
      <c r="Y22615" s="63"/>
    </row>
    <row r="22616" spans="25:25" x14ac:dyDescent="0.25">
      <c r="Y22616" s="63"/>
    </row>
    <row r="22617" spans="25:25" x14ac:dyDescent="0.25">
      <c r="Y22617" s="63"/>
    </row>
    <row r="22618" spans="25:25" x14ac:dyDescent="0.25">
      <c r="Y22618" s="63"/>
    </row>
    <row r="22619" spans="25:25" x14ac:dyDescent="0.25">
      <c r="Y22619" s="63"/>
    </row>
    <row r="22620" spans="25:25" x14ac:dyDescent="0.25">
      <c r="Y22620" s="63"/>
    </row>
    <row r="22621" spans="25:25" x14ac:dyDescent="0.25">
      <c r="Y22621" s="63"/>
    </row>
    <row r="22622" spans="25:25" x14ac:dyDescent="0.25">
      <c r="Y22622" s="63"/>
    </row>
    <row r="22623" spans="25:25" x14ac:dyDescent="0.25">
      <c r="Y22623" s="63"/>
    </row>
    <row r="22624" spans="25:25" x14ac:dyDescent="0.25">
      <c r="Y22624" s="63"/>
    </row>
    <row r="22625" spans="25:25" x14ac:dyDescent="0.25">
      <c r="Y22625" s="63"/>
    </row>
    <row r="22626" spans="25:25" x14ac:dyDescent="0.25">
      <c r="Y22626" s="63"/>
    </row>
    <row r="22627" spans="25:25" x14ac:dyDescent="0.25">
      <c r="Y22627" s="63"/>
    </row>
    <row r="22628" spans="25:25" x14ac:dyDescent="0.25">
      <c r="Y22628" s="63"/>
    </row>
    <row r="22629" spans="25:25" x14ac:dyDescent="0.25">
      <c r="Y22629" s="63"/>
    </row>
    <row r="22630" spans="25:25" x14ac:dyDescent="0.25">
      <c r="Y22630" s="63"/>
    </row>
    <row r="22631" spans="25:25" x14ac:dyDescent="0.25">
      <c r="Y22631" s="63"/>
    </row>
    <row r="22632" spans="25:25" x14ac:dyDescent="0.25">
      <c r="Y22632" s="63"/>
    </row>
    <row r="22633" spans="25:25" x14ac:dyDescent="0.25">
      <c r="Y22633" s="63"/>
    </row>
    <row r="22634" spans="25:25" x14ac:dyDescent="0.25">
      <c r="Y22634" s="63"/>
    </row>
    <row r="22635" spans="25:25" x14ac:dyDescent="0.25">
      <c r="Y22635" s="63"/>
    </row>
    <row r="22636" spans="25:25" x14ac:dyDescent="0.25">
      <c r="Y22636" s="63"/>
    </row>
    <row r="22637" spans="25:25" x14ac:dyDescent="0.25">
      <c r="Y22637" s="63"/>
    </row>
    <row r="22638" spans="25:25" x14ac:dyDescent="0.25">
      <c r="Y22638" s="63"/>
    </row>
    <row r="22639" spans="25:25" x14ac:dyDescent="0.25">
      <c r="Y22639" s="63"/>
    </row>
    <row r="22640" spans="25:25" x14ac:dyDescent="0.25">
      <c r="Y22640" s="63"/>
    </row>
    <row r="22641" spans="25:25" x14ac:dyDescent="0.25">
      <c r="Y22641" s="63"/>
    </row>
    <row r="22642" spans="25:25" x14ac:dyDescent="0.25">
      <c r="Y22642" s="63"/>
    </row>
    <row r="22643" spans="25:25" x14ac:dyDescent="0.25">
      <c r="Y22643" s="63"/>
    </row>
    <row r="22644" spans="25:25" x14ac:dyDescent="0.25">
      <c r="Y22644" s="63"/>
    </row>
    <row r="22645" spans="25:25" x14ac:dyDescent="0.25">
      <c r="Y22645" s="63"/>
    </row>
    <row r="22646" spans="25:25" x14ac:dyDescent="0.25">
      <c r="Y22646" s="63"/>
    </row>
    <row r="22647" spans="25:25" x14ac:dyDescent="0.25">
      <c r="Y22647" s="63"/>
    </row>
    <row r="22648" spans="25:25" x14ac:dyDescent="0.25">
      <c r="Y22648" s="63"/>
    </row>
    <row r="22649" spans="25:25" x14ac:dyDescent="0.25">
      <c r="Y22649" s="63"/>
    </row>
    <row r="22650" spans="25:25" x14ac:dyDescent="0.25">
      <c r="Y22650" s="63"/>
    </row>
    <row r="22651" spans="25:25" x14ac:dyDescent="0.25">
      <c r="Y22651" s="63"/>
    </row>
    <row r="22652" spans="25:25" x14ac:dyDescent="0.25">
      <c r="Y22652" s="63"/>
    </row>
    <row r="22653" spans="25:25" x14ac:dyDescent="0.25">
      <c r="Y22653" s="63"/>
    </row>
    <row r="22654" spans="25:25" x14ac:dyDescent="0.25">
      <c r="Y22654" s="63"/>
    </row>
    <row r="22655" spans="25:25" x14ac:dyDescent="0.25">
      <c r="Y22655" s="63"/>
    </row>
    <row r="22656" spans="25:25" x14ac:dyDescent="0.25">
      <c r="Y22656" s="63"/>
    </row>
    <row r="22657" spans="25:25" x14ac:dyDescent="0.25">
      <c r="Y22657" s="63"/>
    </row>
    <row r="22658" spans="25:25" x14ac:dyDescent="0.25">
      <c r="Y22658" s="63"/>
    </row>
    <row r="22659" spans="25:25" x14ac:dyDescent="0.25">
      <c r="Y22659" s="63"/>
    </row>
    <row r="22660" spans="25:25" x14ac:dyDescent="0.25">
      <c r="Y22660" s="63"/>
    </row>
    <row r="22661" spans="25:25" x14ac:dyDescent="0.25">
      <c r="Y22661" s="63"/>
    </row>
    <row r="22662" spans="25:25" x14ac:dyDescent="0.25">
      <c r="Y22662" s="63"/>
    </row>
    <row r="22663" spans="25:25" x14ac:dyDescent="0.25">
      <c r="Y22663" s="63"/>
    </row>
    <row r="22664" spans="25:25" x14ac:dyDescent="0.25">
      <c r="Y22664" s="63"/>
    </row>
    <row r="22665" spans="25:25" x14ac:dyDescent="0.25">
      <c r="Y22665" s="63"/>
    </row>
    <row r="22666" spans="25:25" x14ac:dyDescent="0.25">
      <c r="Y22666" s="63"/>
    </row>
    <row r="22667" spans="25:25" x14ac:dyDescent="0.25">
      <c r="Y22667" s="63"/>
    </row>
    <row r="22668" spans="25:25" x14ac:dyDescent="0.25">
      <c r="Y22668" s="63"/>
    </row>
    <row r="22669" spans="25:25" x14ac:dyDescent="0.25">
      <c r="Y22669" s="63"/>
    </row>
    <row r="22670" spans="25:25" x14ac:dyDescent="0.25">
      <c r="Y22670" s="63"/>
    </row>
    <row r="22671" spans="25:25" x14ac:dyDescent="0.25">
      <c r="Y22671" s="63"/>
    </row>
    <row r="22672" spans="25:25" x14ac:dyDescent="0.25">
      <c r="Y22672" s="63"/>
    </row>
    <row r="22673" spans="25:25" x14ac:dyDescent="0.25">
      <c r="Y22673" s="63"/>
    </row>
    <row r="22674" spans="25:25" x14ac:dyDescent="0.25">
      <c r="Y22674" s="63"/>
    </row>
    <row r="22675" spans="25:25" x14ac:dyDescent="0.25">
      <c r="Y22675" s="63"/>
    </row>
    <row r="22676" spans="25:25" x14ac:dyDescent="0.25">
      <c r="Y22676" s="63"/>
    </row>
    <row r="22677" spans="25:25" x14ac:dyDescent="0.25">
      <c r="Y22677" s="63"/>
    </row>
    <row r="22678" spans="25:25" x14ac:dyDescent="0.25">
      <c r="Y22678" s="63"/>
    </row>
    <row r="22679" spans="25:25" x14ac:dyDescent="0.25">
      <c r="Y22679" s="63"/>
    </row>
    <row r="22680" spans="25:25" x14ac:dyDescent="0.25">
      <c r="Y22680" s="63"/>
    </row>
    <row r="22681" spans="25:25" x14ac:dyDescent="0.25">
      <c r="Y22681" s="63"/>
    </row>
    <row r="22682" spans="25:25" x14ac:dyDescent="0.25">
      <c r="Y22682" s="63"/>
    </row>
    <row r="22683" spans="25:25" x14ac:dyDescent="0.25">
      <c r="Y22683" s="63"/>
    </row>
    <row r="22684" spans="25:25" x14ac:dyDescent="0.25">
      <c r="Y22684" s="63"/>
    </row>
    <row r="22685" spans="25:25" x14ac:dyDescent="0.25">
      <c r="Y22685" s="63"/>
    </row>
    <row r="22686" spans="25:25" x14ac:dyDescent="0.25">
      <c r="Y22686" s="63"/>
    </row>
    <row r="22687" spans="25:25" x14ac:dyDescent="0.25">
      <c r="Y22687" s="63"/>
    </row>
    <row r="22688" spans="25:25" x14ac:dyDescent="0.25">
      <c r="Y22688" s="63"/>
    </row>
    <row r="22689" spans="25:25" x14ac:dyDescent="0.25">
      <c r="Y22689" s="63"/>
    </row>
    <row r="22690" spans="25:25" x14ac:dyDescent="0.25">
      <c r="Y22690" s="63"/>
    </row>
    <row r="22691" spans="25:25" x14ac:dyDescent="0.25">
      <c r="Y22691" s="63"/>
    </row>
    <row r="22692" spans="25:25" x14ac:dyDescent="0.25">
      <c r="Y22692" s="63"/>
    </row>
    <row r="22693" spans="25:25" x14ac:dyDescent="0.25">
      <c r="Y22693" s="63"/>
    </row>
    <row r="22694" spans="25:25" x14ac:dyDescent="0.25">
      <c r="Y22694" s="63"/>
    </row>
    <row r="22695" spans="25:25" x14ac:dyDescent="0.25">
      <c r="Y22695" s="63"/>
    </row>
    <row r="22696" spans="25:25" x14ac:dyDescent="0.25">
      <c r="Y22696" s="63"/>
    </row>
    <row r="22697" spans="25:25" x14ac:dyDescent="0.25">
      <c r="Y22697" s="63"/>
    </row>
    <row r="22698" spans="25:25" x14ac:dyDescent="0.25">
      <c r="Y22698" s="63"/>
    </row>
    <row r="22699" spans="25:25" x14ac:dyDescent="0.25">
      <c r="Y22699" s="63"/>
    </row>
    <row r="22700" spans="25:25" x14ac:dyDescent="0.25">
      <c r="Y22700" s="63"/>
    </row>
    <row r="22701" spans="25:25" x14ac:dyDescent="0.25">
      <c r="Y22701" s="63"/>
    </row>
    <row r="22702" spans="25:25" x14ac:dyDescent="0.25">
      <c r="Y22702" s="63"/>
    </row>
    <row r="22703" spans="25:25" x14ac:dyDescent="0.25">
      <c r="Y22703" s="63"/>
    </row>
    <row r="22704" spans="25:25" x14ac:dyDescent="0.25">
      <c r="Y22704" s="63"/>
    </row>
    <row r="22705" spans="25:25" x14ac:dyDescent="0.25">
      <c r="Y22705" s="63"/>
    </row>
    <row r="22706" spans="25:25" x14ac:dyDescent="0.25">
      <c r="Y22706" s="63"/>
    </row>
    <row r="22707" spans="25:25" x14ac:dyDescent="0.25">
      <c r="Y22707" s="63"/>
    </row>
    <row r="22708" spans="25:25" x14ac:dyDescent="0.25">
      <c r="Y22708" s="63"/>
    </row>
    <row r="22709" spans="25:25" x14ac:dyDescent="0.25">
      <c r="Y22709" s="63"/>
    </row>
    <row r="22710" spans="25:25" x14ac:dyDescent="0.25">
      <c r="Y22710" s="63"/>
    </row>
    <row r="22711" spans="25:25" x14ac:dyDescent="0.25">
      <c r="Y22711" s="63"/>
    </row>
    <row r="22712" spans="25:25" x14ac:dyDescent="0.25">
      <c r="Y22712" s="63"/>
    </row>
    <row r="22713" spans="25:25" x14ac:dyDescent="0.25">
      <c r="Y22713" s="63"/>
    </row>
    <row r="22714" spans="25:25" x14ac:dyDescent="0.25">
      <c r="Y22714" s="63"/>
    </row>
    <row r="22715" spans="25:25" x14ac:dyDescent="0.25">
      <c r="Y22715" s="63"/>
    </row>
    <row r="22716" spans="25:25" x14ac:dyDescent="0.25">
      <c r="Y22716" s="63"/>
    </row>
    <row r="22717" spans="25:25" x14ac:dyDescent="0.25">
      <c r="Y22717" s="63"/>
    </row>
    <row r="22718" spans="25:25" x14ac:dyDescent="0.25">
      <c r="Y22718" s="63"/>
    </row>
    <row r="22719" spans="25:25" x14ac:dyDescent="0.25">
      <c r="Y22719" s="63"/>
    </row>
    <row r="22720" spans="25:25" x14ac:dyDescent="0.25">
      <c r="Y22720" s="63"/>
    </row>
    <row r="22721" spans="25:25" x14ac:dyDescent="0.25">
      <c r="Y22721" s="63"/>
    </row>
    <row r="22722" spans="25:25" x14ac:dyDescent="0.25">
      <c r="Y22722" s="63"/>
    </row>
    <row r="22723" spans="25:25" x14ac:dyDescent="0.25">
      <c r="Y22723" s="63"/>
    </row>
    <row r="22724" spans="25:25" x14ac:dyDescent="0.25">
      <c r="Y22724" s="63"/>
    </row>
    <row r="22725" spans="25:25" x14ac:dyDescent="0.25">
      <c r="Y22725" s="63"/>
    </row>
    <row r="22726" spans="25:25" x14ac:dyDescent="0.25">
      <c r="Y22726" s="63"/>
    </row>
    <row r="22727" spans="25:25" x14ac:dyDescent="0.25">
      <c r="Y22727" s="63"/>
    </row>
    <row r="22728" spans="25:25" x14ac:dyDescent="0.25">
      <c r="Y22728" s="63"/>
    </row>
    <row r="22729" spans="25:25" x14ac:dyDescent="0.25">
      <c r="Y22729" s="63"/>
    </row>
    <row r="22730" spans="25:25" x14ac:dyDescent="0.25">
      <c r="Y22730" s="63"/>
    </row>
    <row r="22731" spans="25:25" x14ac:dyDescent="0.25">
      <c r="Y22731" s="63"/>
    </row>
    <row r="22732" spans="25:25" x14ac:dyDescent="0.25">
      <c r="Y22732" s="63"/>
    </row>
    <row r="22733" spans="25:25" x14ac:dyDescent="0.25">
      <c r="Y22733" s="63"/>
    </row>
    <row r="22734" spans="25:25" x14ac:dyDescent="0.25">
      <c r="Y22734" s="63"/>
    </row>
    <row r="22735" spans="25:25" x14ac:dyDescent="0.25">
      <c r="Y22735" s="63"/>
    </row>
    <row r="22736" spans="25:25" x14ac:dyDescent="0.25">
      <c r="Y22736" s="63"/>
    </row>
    <row r="22737" spans="25:25" x14ac:dyDescent="0.25">
      <c r="Y22737" s="63"/>
    </row>
    <row r="22738" spans="25:25" x14ac:dyDescent="0.25">
      <c r="Y22738" s="63"/>
    </row>
    <row r="22739" spans="25:25" x14ac:dyDescent="0.25">
      <c r="Y22739" s="63"/>
    </row>
    <row r="22740" spans="25:25" x14ac:dyDescent="0.25">
      <c r="Y22740" s="63"/>
    </row>
    <row r="22741" spans="25:25" x14ac:dyDescent="0.25">
      <c r="Y22741" s="63"/>
    </row>
    <row r="22742" spans="25:25" x14ac:dyDescent="0.25">
      <c r="Y22742" s="63"/>
    </row>
    <row r="22743" spans="25:25" x14ac:dyDescent="0.25">
      <c r="Y22743" s="63"/>
    </row>
    <row r="22744" spans="25:25" x14ac:dyDescent="0.25">
      <c r="Y22744" s="63"/>
    </row>
    <row r="22745" spans="25:25" x14ac:dyDescent="0.25">
      <c r="Y22745" s="63"/>
    </row>
    <row r="22746" spans="25:25" x14ac:dyDescent="0.25">
      <c r="Y22746" s="63"/>
    </row>
    <row r="22747" spans="25:25" x14ac:dyDescent="0.25">
      <c r="Y22747" s="63"/>
    </row>
    <row r="22748" spans="25:25" x14ac:dyDescent="0.25">
      <c r="Y22748" s="63"/>
    </row>
    <row r="22749" spans="25:25" x14ac:dyDescent="0.25">
      <c r="Y22749" s="63"/>
    </row>
    <row r="22750" spans="25:25" x14ac:dyDescent="0.25">
      <c r="Y22750" s="63"/>
    </row>
    <row r="22751" spans="25:25" x14ac:dyDescent="0.25">
      <c r="Y22751" s="63"/>
    </row>
    <row r="22752" spans="25:25" x14ac:dyDescent="0.25">
      <c r="Y22752" s="63"/>
    </row>
    <row r="22753" spans="25:25" x14ac:dyDescent="0.25">
      <c r="Y22753" s="63"/>
    </row>
    <row r="22754" spans="25:25" x14ac:dyDescent="0.25">
      <c r="Y22754" s="63"/>
    </row>
    <row r="22755" spans="25:25" x14ac:dyDescent="0.25">
      <c r="Y22755" s="63"/>
    </row>
    <row r="22756" spans="25:25" x14ac:dyDescent="0.25">
      <c r="Y22756" s="63"/>
    </row>
    <row r="22757" spans="25:25" x14ac:dyDescent="0.25">
      <c r="Y22757" s="63"/>
    </row>
    <row r="22758" spans="25:25" x14ac:dyDescent="0.25">
      <c r="Y22758" s="63"/>
    </row>
    <row r="22759" spans="25:25" x14ac:dyDescent="0.25">
      <c r="Y22759" s="63"/>
    </row>
    <row r="22760" spans="25:25" x14ac:dyDescent="0.25">
      <c r="Y22760" s="63"/>
    </row>
    <row r="22761" spans="25:25" x14ac:dyDescent="0.25">
      <c r="Y22761" s="63"/>
    </row>
    <row r="22762" spans="25:25" x14ac:dyDescent="0.25">
      <c r="Y22762" s="63"/>
    </row>
    <row r="22763" spans="25:25" x14ac:dyDescent="0.25">
      <c r="Y22763" s="63"/>
    </row>
    <row r="22764" spans="25:25" x14ac:dyDescent="0.25">
      <c r="Y22764" s="63"/>
    </row>
    <row r="22765" spans="25:25" x14ac:dyDescent="0.25">
      <c r="Y22765" s="63"/>
    </row>
    <row r="22766" spans="25:25" x14ac:dyDescent="0.25">
      <c r="Y22766" s="63"/>
    </row>
    <row r="22767" spans="25:25" x14ac:dyDescent="0.25">
      <c r="Y22767" s="63"/>
    </row>
    <row r="22768" spans="25:25" x14ac:dyDescent="0.25">
      <c r="Y22768" s="63"/>
    </row>
    <row r="22769" spans="25:25" x14ac:dyDescent="0.25">
      <c r="Y22769" s="63"/>
    </row>
    <row r="22770" spans="25:25" x14ac:dyDescent="0.25">
      <c r="Y22770" s="63"/>
    </row>
    <row r="22771" spans="25:25" x14ac:dyDescent="0.25">
      <c r="Y22771" s="63"/>
    </row>
    <row r="22772" spans="25:25" x14ac:dyDescent="0.25">
      <c r="Y22772" s="63"/>
    </row>
    <row r="22773" spans="25:25" x14ac:dyDescent="0.25">
      <c r="Y22773" s="63"/>
    </row>
    <row r="22774" spans="25:25" x14ac:dyDescent="0.25">
      <c r="Y22774" s="63"/>
    </row>
    <row r="22775" spans="25:25" x14ac:dyDescent="0.25">
      <c r="Y22775" s="63"/>
    </row>
    <row r="22776" spans="25:25" x14ac:dyDescent="0.25">
      <c r="Y22776" s="63"/>
    </row>
    <row r="22777" spans="25:25" x14ac:dyDescent="0.25">
      <c r="Y22777" s="63"/>
    </row>
    <row r="22778" spans="25:25" x14ac:dyDescent="0.25">
      <c r="Y22778" s="63"/>
    </row>
    <row r="22779" spans="25:25" x14ac:dyDescent="0.25">
      <c r="Y22779" s="63"/>
    </row>
    <row r="22780" spans="25:25" x14ac:dyDescent="0.25">
      <c r="Y22780" s="63"/>
    </row>
    <row r="22781" spans="25:25" x14ac:dyDescent="0.25">
      <c r="Y22781" s="63"/>
    </row>
    <row r="22782" spans="25:25" x14ac:dyDescent="0.25">
      <c r="Y22782" s="63"/>
    </row>
    <row r="22783" spans="25:25" x14ac:dyDescent="0.25">
      <c r="Y22783" s="63"/>
    </row>
    <row r="22784" spans="25:25" x14ac:dyDescent="0.25">
      <c r="Y22784" s="63"/>
    </row>
    <row r="22785" spans="25:25" x14ac:dyDescent="0.25">
      <c r="Y22785" s="63"/>
    </row>
    <row r="22786" spans="25:25" x14ac:dyDescent="0.25">
      <c r="Y22786" s="63"/>
    </row>
    <row r="22787" spans="25:25" x14ac:dyDescent="0.25">
      <c r="Y22787" s="63"/>
    </row>
    <row r="22788" spans="25:25" x14ac:dyDescent="0.25">
      <c r="Y22788" s="63"/>
    </row>
    <row r="22789" spans="25:25" x14ac:dyDescent="0.25">
      <c r="Y22789" s="63"/>
    </row>
    <row r="22790" spans="25:25" x14ac:dyDescent="0.25">
      <c r="Y22790" s="63"/>
    </row>
    <row r="22791" spans="25:25" x14ac:dyDescent="0.25">
      <c r="Y22791" s="63"/>
    </row>
    <row r="22792" spans="25:25" x14ac:dyDescent="0.25">
      <c r="Y22792" s="63"/>
    </row>
    <row r="22793" spans="25:25" x14ac:dyDescent="0.25">
      <c r="Y22793" s="63"/>
    </row>
    <row r="22794" spans="25:25" x14ac:dyDescent="0.25">
      <c r="Y22794" s="63"/>
    </row>
    <row r="22795" spans="25:25" x14ac:dyDescent="0.25">
      <c r="Y22795" s="63"/>
    </row>
    <row r="22796" spans="25:25" x14ac:dyDescent="0.25">
      <c r="Y22796" s="63"/>
    </row>
    <row r="22797" spans="25:25" x14ac:dyDescent="0.25">
      <c r="Y22797" s="63"/>
    </row>
    <row r="22798" spans="25:25" x14ac:dyDescent="0.25">
      <c r="Y22798" s="63"/>
    </row>
    <row r="22799" spans="25:25" x14ac:dyDescent="0.25">
      <c r="Y22799" s="63"/>
    </row>
    <row r="22800" spans="25:25" x14ac:dyDescent="0.25">
      <c r="Y22800" s="63"/>
    </row>
    <row r="22801" spans="25:25" x14ac:dyDescent="0.25">
      <c r="Y22801" s="63"/>
    </row>
    <row r="22802" spans="25:25" x14ac:dyDescent="0.25">
      <c r="Y22802" s="63"/>
    </row>
    <row r="22803" spans="25:25" x14ac:dyDescent="0.25">
      <c r="Y22803" s="63"/>
    </row>
    <row r="22804" spans="25:25" x14ac:dyDescent="0.25">
      <c r="Y22804" s="63"/>
    </row>
    <row r="22805" spans="25:25" x14ac:dyDescent="0.25">
      <c r="Y22805" s="63"/>
    </row>
    <row r="22806" spans="25:25" x14ac:dyDescent="0.25">
      <c r="Y22806" s="63"/>
    </row>
    <row r="22807" spans="25:25" x14ac:dyDescent="0.25">
      <c r="Y22807" s="63"/>
    </row>
    <row r="22808" spans="25:25" x14ac:dyDescent="0.25">
      <c r="Y22808" s="63"/>
    </row>
    <row r="22809" spans="25:25" x14ac:dyDescent="0.25">
      <c r="Y22809" s="63"/>
    </row>
    <row r="22810" spans="25:25" x14ac:dyDescent="0.25">
      <c r="Y22810" s="63"/>
    </row>
    <row r="22811" spans="25:25" x14ac:dyDescent="0.25">
      <c r="Y22811" s="63"/>
    </row>
    <row r="22812" spans="25:25" x14ac:dyDescent="0.25">
      <c r="Y22812" s="63"/>
    </row>
    <row r="22813" spans="25:25" x14ac:dyDescent="0.25">
      <c r="Y22813" s="63"/>
    </row>
    <row r="22814" spans="25:25" x14ac:dyDescent="0.25">
      <c r="Y22814" s="63"/>
    </row>
    <row r="22815" spans="25:25" x14ac:dyDescent="0.25">
      <c r="Y22815" s="63"/>
    </row>
    <row r="22816" spans="25:25" x14ac:dyDescent="0.25">
      <c r="Y22816" s="63"/>
    </row>
    <row r="22817" spans="25:25" x14ac:dyDescent="0.25">
      <c r="Y22817" s="63"/>
    </row>
    <row r="22818" spans="25:25" x14ac:dyDescent="0.25">
      <c r="Y22818" s="63"/>
    </row>
    <row r="22819" spans="25:25" x14ac:dyDescent="0.25">
      <c r="Y22819" s="63"/>
    </row>
    <row r="22820" spans="25:25" x14ac:dyDescent="0.25">
      <c r="Y22820" s="63"/>
    </row>
    <row r="22821" spans="25:25" x14ac:dyDescent="0.25">
      <c r="Y22821" s="63"/>
    </row>
    <row r="22822" spans="25:25" x14ac:dyDescent="0.25">
      <c r="Y22822" s="63"/>
    </row>
    <row r="22823" spans="25:25" x14ac:dyDescent="0.25">
      <c r="Y22823" s="63"/>
    </row>
    <row r="22824" spans="25:25" x14ac:dyDescent="0.25">
      <c r="Y22824" s="63"/>
    </row>
    <row r="22825" spans="25:25" x14ac:dyDescent="0.25">
      <c r="Y22825" s="63"/>
    </row>
    <row r="22826" spans="25:25" x14ac:dyDescent="0.25">
      <c r="Y22826" s="63"/>
    </row>
    <row r="22827" spans="25:25" x14ac:dyDescent="0.25">
      <c r="Y22827" s="63"/>
    </row>
    <row r="22828" spans="25:25" x14ac:dyDescent="0.25">
      <c r="Y22828" s="63"/>
    </row>
    <row r="22829" spans="25:25" x14ac:dyDescent="0.25">
      <c r="Y22829" s="63"/>
    </row>
    <row r="22830" spans="25:25" x14ac:dyDescent="0.25">
      <c r="Y22830" s="63"/>
    </row>
    <row r="22831" spans="25:25" x14ac:dyDescent="0.25">
      <c r="Y22831" s="63"/>
    </row>
    <row r="22832" spans="25:25" x14ac:dyDescent="0.25">
      <c r="Y22832" s="63"/>
    </row>
    <row r="22833" spans="25:25" x14ac:dyDescent="0.25">
      <c r="Y22833" s="63"/>
    </row>
    <row r="22834" spans="25:25" x14ac:dyDescent="0.25">
      <c r="Y22834" s="63"/>
    </row>
    <row r="22835" spans="25:25" x14ac:dyDescent="0.25">
      <c r="Y22835" s="63"/>
    </row>
    <row r="22836" spans="25:25" x14ac:dyDescent="0.25">
      <c r="Y22836" s="63"/>
    </row>
    <row r="22837" spans="25:25" x14ac:dyDescent="0.25">
      <c r="Y22837" s="63"/>
    </row>
    <row r="22838" spans="25:25" x14ac:dyDescent="0.25">
      <c r="Y22838" s="63"/>
    </row>
    <row r="22839" spans="25:25" x14ac:dyDescent="0.25">
      <c r="Y22839" s="63"/>
    </row>
    <row r="22840" spans="25:25" x14ac:dyDescent="0.25">
      <c r="Y22840" s="63"/>
    </row>
    <row r="22841" spans="25:25" x14ac:dyDescent="0.25">
      <c r="Y22841" s="63"/>
    </row>
    <row r="22842" spans="25:25" x14ac:dyDescent="0.25">
      <c r="Y22842" s="63"/>
    </row>
    <row r="22843" spans="25:25" x14ac:dyDescent="0.25">
      <c r="Y22843" s="63"/>
    </row>
    <row r="22844" spans="25:25" x14ac:dyDescent="0.25">
      <c r="Y22844" s="63"/>
    </row>
    <row r="22845" spans="25:25" x14ac:dyDescent="0.25">
      <c r="Y22845" s="63"/>
    </row>
    <row r="22846" spans="25:25" x14ac:dyDescent="0.25">
      <c r="Y22846" s="63"/>
    </row>
    <row r="22847" spans="25:25" x14ac:dyDescent="0.25">
      <c r="Y22847" s="63"/>
    </row>
    <row r="22848" spans="25:25" x14ac:dyDescent="0.25">
      <c r="Y22848" s="63"/>
    </row>
    <row r="22849" spans="25:25" x14ac:dyDescent="0.25">
      <c r="Y22849" s="63"/>
    </row>
    <row r="22850" spans="25:25" x14ac:dyDescent="0.25">
      <c r="Y22850" s="63"/>
    </row>
    <row r="22851" spans="25:25" x14ac:dyDescent="0.25">
      <c r="Y22851" s="63"/>
    </row>
    <row r="22852" spans="25:25" x14ac:dyDescent="0.25">
      <c r="Y22852" s="63"/>
    </row>
    <row r="22853" spans="25:25" x14ac:dyDescent="0.25">
      <c r="Y22853" s="63"/>
    </row>
    <row r="22854" spans="25:25" x14ac:dyDescent="0.25">
      <c r="Y22854" s="63"/>
    </row>
    <row r="22855" spans="25:25" x14ac:dyDescent="0.25">
      <c r="Y22855" s="63"/>
    </row>
    <row r="22856" spans="25:25" x14ac:dyDescent="0.25">
      <c r="Y22856" s="63"/>
    </row>
    <row r="22857" spans="25:25" x14ac:dyDescent="0.25">
      <c r="Y22857" s="63"/>
    </row>
    <row r="22858" spans="25:25" x14ac:dyDescent="0.25">
      <c r="Y22858" s="63"/>
    </row>
    <row r="22859" spans="25:25" x14ac:dyDescent="0.25">
      <c r="Y22859" s="63"/>
    </row>
    <row r="22860" spans="25:25" x14ac:dyDescent="0.25">
      <c r="Y22860" s="63"/>
    </row>
    <row r="22861" spans="25:25" x14ac:dyDescent="0.25">
      <c r="Y22861" s="63"/>
    </row>
    <row r="22862" spans="25:25" x14ac:dyDescent="0.25">
      <c r="Y22862" s="63"/>
    </row>
    <row r="22863" spans="25:25" x14ac:dyDescent="0.25">
      <c r="Y22863" s="63"/>
    </row>
    <row r="22864" spans="25:25" x14ac:dyDescent="0.25">
      <c r="Y22864" s="63"/>
    </row>
    <row r="22865" spans="25:25" x14ac:dyDescent="0.25">
      <c r="Y22865" s="63"/>
    </row>
    <row r="22866" spans="25:25" x14ac:dyDescent="0.25">
      <c r="Y22866" s="63"/>
    </row>
    <row r="22867" spans="25:25" x14ac:dyDescent="0.25">
      <c r="Y22867" s="63"/>
    </row>
    <row r="22868" spans="25:25" x14ac:dyDescent="0.25">
      <c r="Y22868" s="63"/>
    </row>
    <row r="22869" spans="25:25" x14ac:dyDescent="0.25">
      <c r="Y22869" s="63"/>
    </row>
    <row r="22870" spans="25:25" x14ac:dyDescent="0.25">
      <c r="Y22870" s="63"/>
    </row>
    <row r="22871" spans="25:25" x14ac:dyDescent="0.25">
      <c r="Y22871" s="63"/>
    </row>
    <row r="22872" spans="25:25" x14ac:dyDescent="0.25">
      <c r="Y22872" s="63"/>
    </row>
    <row r="22873" spans="25:25" x14ac:dyDescent="0.25">
      <c r="Y22873" s="63"/>
    </row>
    <row r="22874" spans="25:25" x14ac:dyDescent="0.25">
      <c r="Y22874" s="63"/>
    </row>
    <row r="22875" spans="25:25" x14ac:dyDescent="0.25">
      <c r="Y22875" s="63"/>
    </row>
    <row r="22876" spans="25:25" x14ac:dyDescent="0.25">
      <c r="Y22876" s="63"/>
    </row>
    <row r="22877" spans="25:25" x14ac:dyDescent="0.25">
      <c r="Y22877" s="63"/>
    </row>
    <row r="22878" spans="25:25" x14ac:dyDescent="0.25">
      <c r="Y22878" s="63"/>
    </row>
    <row r="22879" spans="25:25" x14ac:dyDescent="0.25">
      <c r="Y22879" s="63"/>
    </row>
    <row r="22880" spans="25:25" x14ac:dyDescent="0.25">
      <c r="Y22880" s="63"/>
    </row>
    <row r="22881" spans="25:25" x14ac:dyDescent="0.25">
      <c r="Y22881" s="63"/>
    </row>
    <row r="22882" spans="25:25" x14ac:dyDescent="0.25">
      <c r="Y22882" s="63"/>
    </row>
    <row r="22883" spans="25:25" x14ac:dyDescent="0.25">
      <c r="Y22883" s="63"/>
    </row>
    <row r="22884" spans="25:25" x14ac:dyDescent="0.25">
      <c r="Y22884" s="63"/>
    </row>
    <row r="22885" spans="25:25" x14ac:dyDescent="0.25">
      <c r="Y22885" s="63"/>
    </row>
    <row r="22886" spans="25:25" x14ac:dyDescent="0.25">
      <c r="Y22886" s="63"/>
    </row>
    <row r="22887" spans="25:25" x14ac:dyDescent="0.25">
      <c r="Y22887" s="63"/>
    </row>
    <row r="22888" spans="25:25" x14ac:dyDescent="0.25">
      <c r="Y22888" s="63"/>
    </row>
    <row r="22889" spans="25:25" x14ac:dyDescent="0.25">
      <c r="Y22889" s="63"/>
    </row>
    <row r="22890" spans="25:25" x14ac:dyDescent="0.25">
      <c r="Y22890" s="63"/>
    </row>
    <row r="22891" spans="25:25" x14ac:dyDescent="0.25">
      <c r="Y22891" s="63"/>
    </row>
    <row r="22892" spans="25:25" x14ac:dyDescent="0.25">
      <c r="Y22892" s="63"/>
    </row>
    <row r="22893" spans="25:25" x14ac:dyDescent="0.25">
      <c r="Y22893" s="63"/>
    </row>
    <row r="22894" spans="25:25" x14ac:dyDescent="0.25">
      <c r="Y22894" s="63"/>
    </row>
    <row r="22895" spans="25:25" x14ac:dyDescent="0.25">
      <c r="Y22895" s="63"/>
    </row>
    <row r="22896" spans="25:25" x14ac:dyDescent="0.25">
      <c r="Y22896" s="63"/>
    </row>
    <row r="22897" spans="25:25" x14ac:dyDescent="0.25">
      <c r="Y22897" s="63"/>
    </row>
    <row r="22898" spans="25:25" x14ac:dyDescent="0.25">
      <c r="Y22898" s="63"/>
    </row>
    <row r="22899" spans="25:25" x14ac:dyDescent="0.25">
      <c r="Y22899" s="63"/>
    </row>
    <row r="22900" spans="25:25" x14ac:dyDescent="0.25">
      <c r="Y22900" s="63"/>
    </row>
    <row r="22901" spans="25:25" x14ac:dyDescent="0.25">
      <c r="Y22901" s="63"/>
    </row>
    <row r="22902" spans="25:25" x14ac:dyDescent="0.25">
      <c r="Y22902" s="63"/>
    </row>
    <row r="22903" spans="25:25" x14ac:dyDescent="0.25">
      <c r="Y22903" s="63"/>
    </row>
    <row r="22904" spans="25:25" x14ac:dyDescent="0.25">
      <c r="Y22904" s="63"/>
    </row>
    <row r="22905" spans="25:25" x14ac:dyDescent="0.25">
      <c r="Y22905" s="63"/>
    </row>
    <row r="22906" spans="25:25" x14ac:dyDescent="0.25">
      <c r="Y22906" s="63"/>
    </row>
    <row r="22907" spans="25:25" x14ac:dyDescent="0.25">
      <c r="Y22907" s="63"/>
    </row>
    <row r="22908" spans="25:25" x14ac:dyDescent="0.25">
      <c r="Y22908" s="63"/>
    </row>
    <row r="22909" spans="25:25" x14ac:dyDescent="0.25">
      <c r="Y22909" s="63"/>
    </row>
    <row r="22910" spans="25:25" x14ac:dyDescent="0.25">
      <c r="Y22910" s="63"/>
    </row>
    <row r="22911" spans="25:25" x14ac:dyDescent="0.25">
      <c r="Y22911" s="63"/>
    </row>
    <row r="22912" spans="25:25" x14ac:dyDescent="0.25">
      <c r="Y22912" s="63"/>
    </row>
    <row r="22913" spans="25:25" x14ac:dyDescent="0.25">
      <c r="Y22913" s="63"/>
    </row>
    <row r="22914" spans="25:25" x14ac:dyDescent="0.25">
      <c r="Y22914" s="63"/>
    </row>
    <row r="22915" spans="25:25" x14ac:dyDescent="0.25">
      <c r="Y22915" s="63"/>
    </row>
    <row r="22916" spans="25:25" x14ac:dyDescent="0.25">
      <c r="Y22916" s="63"/>
    </row>
    <row r="22917" spans="25:25" x14ac:dyDescent="0.25">
      <c r="Y22917" s="63"/>
    </row>
    <row r="22918" spans="25:25" x14ac:dyDescent="0.25">
      <c r="Y22918" s="63"/>
    </row>
    <row r="22919" spans="25:25" x14ac:dyDescent="0.25">
      <c r="Y22919" s="63"/>
    </row>
    <row r="22920" spans="25:25" x14ac:dyDescent="0.25">
      <c r="Y22920" s="63"/>
    </row>
    <row r="22921" spans="25:25" x14ac:dyDescent="0.25">
      <c r="Y22921" s="63"/>
    </row>
    <row r="22922" spans="25:25" x14ac:dyDescent="0.25">
      <c r="Y22922" s="63"/>
    </row>
    <row r="22923" spans="25:25" x14ac:dyDescent="0.25">
      <c r="Y22923" s="63"/>
    </row>
    <row r="22924" spans="25:25" x14ac:dyDescent="0.25">
      <c r="Y22924" s="63"/>
    </row>
    <row r="22925" spans="25:25" x14ac:dyDescent="0.25">
      <c r="Y22925" s="63"/>
    </row>
    <row r="22926" spans="25:25" x14ac:dyDescent="0.25">
      <c r="Y22926" s="63"/>
    </row>
    <row r="22927" spans="25:25" x14ac:dyDescent="0.25">
      <c r="Y22927" s="63"/>
    </row>
    <row r="22928" spans="25:25" x14ac:dyDescent="0.25">
      <c r="Y22928" s="63"/>
    </row>
    <row r="22929" spans="25:25" x14ac:dyDescent="0.25">
      <c r="Y22929" s="63"/>
    </row>
    <row r="22930" spans="25:25" x14ac:dyDescent="0.25">
      <c r="Y22930" s="63"/>
    </row>
    <row r="22931" spans="25:25" x14ac:dyDescent="0.25">
      <c r="Y22931" s="63"/>
    </row>
    <row r="22932" spans="25:25" x14ac:dyDescent="0.25">
      <c r="Y22932" s="63"/>
    </row>
    <row r="22933" spans="25:25" x14ac:dyDescent="0.25">
      <c r="Y22933" s="63"/>
    </row>
    <row r="22934" spans="25:25" x14ac:dyDescent="0.25">
      <c r="Y22934" s="63"/>
    </row>
    <row r="22935" spans="25:25" x14ac:dyDescent="0.25">
      <c r="Y22935" s="63"/>
    </row>
    <row r="22936" spans="25:25" x14ac:dyDescent="0.25">
      <c r="Y22936" s="63"/>
    </row>
    <row r="22937" spans="25:25" x14ac:dyDescent="0.25">
      <c r="Y22937" s="63"/>
    </row>
    <row r="22938" spans="25:25" x14ac:dyDescent="0.25">
      <c r="Y22938" s="63"/>
    </row>
    <row r="22939" spans="25:25" x14ac:dyDescent="0.25">
      <c r="Y22939" s="63"/>
    </row>
    <row r="22940" spans="25:25" x14ac:dyDescent="0.25">
      <c r="Y22940" s="63"/>
    </row>
    <row r="22941" spans="25:25" x14ac:dyDescent="0.25">
      <c r="Y22941" s="63"/>
    </row>
    <row r="22942" spans="25:25" x14ac:dyDescent="0.25">
      <c r="Y22942" s="63"/>
    </row>
    <row r="22943" spans="25:25" x14ac:dyDescent="0.25">
      <c r="Y22943" s="63"/>
    </row>
    <row r="22944" spans="25:25" x14ac:dyDescent="0.25">
      <c r="Y22944" s="63"/>
    </row>
    <row r="22945" spans="25:25" x14ac:dyDescent="0.25">
      <c r="Y22945" s="63"/>
    </row>
    <row r="22946" spans="25:25" x14ac:dyDescent="0.25">
      <c r="Y22946" s="63"/>
    </row>
    <row r="22947" spans="25:25" x14ac:dyDescent="0.25">
      <c r="Y22947" s="63"/>
    </row>
    <row r="22948" spans="25:25" x14ac:dyDescent="0.25">
      <c r="Y22948" s="63"/>
    </row>
    <row r="22949" spans="25:25" x14ac:dyDescent="0.25">
      <c r="Y22949" s="63"/>
    </row>
    <row r="22950" spans="25:25" x14ac:dyDescent="0.25">
      <c r="Y22950" s="63"/>
    </row>
    <row r="22951" spans="25:25" x14ac:dyDescent="0.25">
      <c r="Y22951" s="63"/>
    </row>
    <row r="22952" spans="25:25" x14ac:dyDescent="0.25">
      <c r="Y22952" s="63"/>
    </row>
    <row r="22953" spans="25:25" x14ac:dyDescent="0.25">
      <c r="Y22953" s="63"/>
    </row>
    <row r="22954" spans="25:25" x14ac:dyDescent="0.25">
      <c r="Y22954" s="63"/>
    </row>
    <row r="22955" spans="25:25" x14ac:dyDescent="0.25">
      <c r="Y22955" s="63"/>
    </row>
    <row r="22956" spans="25:25" x14ac:dyDescent="0.25">
      <c r="Y22956" s="63"/>
    </row>
    <row r="22957" spans="25:25" x14ac:dyDescent="0.25">
      <c r="Y22957" s="63"/>
    </row>
    <row r="22958" spans="25:25" x14ac:dyDescent="0.25">
      <c r="Y22958" s="63"/>
    </row>
    <row r="22959" spans="25:25" x14ac:dyDescent="0.25">
      <c r="Y22959" s="63"/>
    </row>
    <row r="22960" spans="25:25" x14ac:dyDescent="0.25">
      <c r="Y22960" s="63"/>
    </row>
    <row r="22961" spans="25:25" x14ac:dyDescent="0.25">
      <c r="Y22961" s="63"/>
    </row>
    <row r="22962" spans="25:25" x14ac:dyDescent="0.25">
      <c r="Y22962" s="63"/>
    </row>
    <row r="22963" spans="25:25" x14ac:dyDescent="0.25">
      <c r="Y22963" s="63"/>
    </row>
    <row r="22964" spans="25:25" x14ac:dyDescent="0.25">
      <c r="Y22964" s="63"/>
    </row>
    <row r="22965" spans="25:25" x14ac:dyDescent="0.25">
      <c r="Y22965" s="63"/>
    </row>
    <row r="22966" spans="25:25" x14ac:dyDescent="0.25">
      <c r="Y22966" s="63"/>
    </row>
    <row r="22967" spans="25:25" x14ac:dyDescent="0.25">
      <c r="Y22967" s="63"/>
    </row>
    <row r="22968" spans="25:25" x14ac:dyDescent="0.25">
      <c r="Y22968" s="63"/>
    </row>
    <row r="22969" spans="25:25" x14ac:dyDescent="0.25">
      <c r="Y22969" s="63"/>
    </row>
    <row r="22970" spans="25:25" x14ac:dyDescent="0.25">
      <c r="Y22970" s="63"/>
    </row>
    <row r="22971" spans="25:25" x14ac:dyDescent="0.25">
      <c r="Y22971" s="63"/>
    </row>
    <row r="22972" spans="25:25" x14ac:dyDescent="0.25">
      <c r="Y22972" s="63"/>
    </row>
    <row r="22973" spans="25:25" x14ac:dyDescent="0.25">
      <c r="Y22973" s="63"/>
    </row>
    <row r="22974" spans="25:25" x14ac:dyDescent="0.25">
      <c r="Y22974" s="63"/>
    </row>
    <row r="22975" spans="25:25" x14ac:dyDescent="0.25">
      <c r="Y22975" s="63"/>
    </row>
    <row r="22976" spans="25:25" x14ac:dyDescent="0.25">
      <c r="Y22976" s="63"/>
    </row>
    <row r="22977" spans="25:25" x14ac:dyDescent="0.25">
      <c r="Y22977" s="63"/>
    </row>
    <row r="22978" spans="25:25" x14ac:dyDescent="0.25">
      <c r="Y22978" s="63"/>
    </row>
    <row r="22979" spans="25:25" x14ac:dyDescent="0.25">
      <c r="Y22979" s="63"/>
    </row>
    <row r="22980" spans="25:25" x14ac:dyDescent="0.25">
      <c r="Y22980" s="63"/>
    </row>
    <row r="22981" spans="25:25" x14ac:dyDescent="0.25">
      <c r="Y22981" s="63"/>
    </row>
    <row r="22982" spans="25:25" x14ac:dyDescent="0.25">
      <c r="Y22982" s="63"/>
    </row>
    <row r="22983" spans="25:25" x14ac:dyDescent="0.25">
      <c r="Y22983" s="63"/>
    </row>
    <row r="22984" spans="25:25" x14ac:dyDescent="0.25">
      <c r="Y22984" s="63"/>
    </row>
    <row r="22985" spans="25:25" x14ac:dyDescent="0.25">
      <c r="Y22985" s="63"/>
    </row>
    <row r="22986" spans="25:25" x14ac:dyDescent="0.25">
      <c r="Y22986" s="63"/>
    </row>
    <row r="22987" spans="25:25" x14ac:dyDescent="0.25">
      <c r="Y22987" s="63"/>
    </row>
    <row r="22988" spans="25:25" x14ac:dyDescent="0.25">
      <c r="Y22988" s="63"/>
    </row>
    <row r="22989" spans="25:25" x14ac:dyDescent="0.25">
      <c r="Y22989" s="63"/>
    </row>
    <row r="22990" spans="25:25" x14ac:dyDescent="0.25">
      <c r="Y22990" s="63"/>
    </row>
    <row r="22991" spans="25:25" x14ac:dyDescent="0.25">
      <c r="Y22991" s="63"/>
    </row>
    <row r="22992" spans="25:25" x14ac:dyDescent="0.25">
      <c r="Y22992" s="63"/>
    </row>
    <row r="22993" spans="25:25" x14ac:dyDescent="0.25">
      <c r="Y22993" s="63"/>
    </row>
    <row r="22994" spans="25:25" x14ac:dyDescent="0.25">
      <c r="Y22994" s="63"/>
    </row>
    <row r="22995" spans="25:25" x14ac:dyDescent="0.25">
      <c r="Y22995" s="63"/>
    </row>
    <row r="22996" spans="25:25" x14ac:dyDescent="0.25">
      <c r="Y22996" s="63"/>
    </row>
    <row r="22997" spans="25:25" x14ac:dyDescent="0.25">
      <c r="Y22997" s="63"/>
    </row>
    <row r="22998" spans="25:25" x14ac:dyDescent="0.25">
      <c r="Y22998" s="63"/>
    </row>
    <row r="22999" spans="25:25" x14ac:dyDescent="0.25">
      <c r="Y22999" s="63"/>
    </row>
    <row r="23000" spans="25:25" x14ac:dyDescent="0.25">
      <c r="Y23000" s="63"/>
    </row>
    <row r="23001" spans="25:25" x14ac:dyDescent="0.25">
      <c r="Y23001" s="63"/>
    </row>
    <row r="23002" spans="25:25" x14ac:dyDescent="0.25">
      <c r="Y23002" s="63"/>
    </row>
    <row r="23003" spans="25:25" x14ac:dyDescent="0.25">
      <c r="Y23003" s="63"/>
    </row>
    <row r="23004" spans="25:25" x14ac:dyDescent="0.25">
      <c r="Y23004" s="63"/>
    </row>
    <row r="23005" spans="25:25" x14ac:dyDescent="0.25">
      <c r="Y23005" s="63"/>
    </row>
    <row r="23006" spans="25:25" x14ac:dyDescent="0.25">
      <c r="Y23006" s="63"/>
    </row>
    <row r="23007" spans="25:25" x14ac:dyDescent="0.25">
      <c r="Y23007" s="63"/>
    </row>
    <row r="23008" spans="25:25" x14ac:dyDescent="0.25">
      <c r="Y23008" s="63"/>
    </row>
    <row r="23009" spans="25:25" x14ac:dyDescent="0.25">
      <c r="Y23009" s="63"/>
    </row>
    <row r="23010" spans="25:25" x14ac:dyDescent="0.25">
      <c r="Y23010" s="63"/>
    </row>
    <row r="23011" spans="25:25" x14ac:dyDescent="0.25">
      <c r="Y23011" s="63"/>
    </row>
    <row r="23012" spans="25:25" x14ac:dyDescent="0.25">
      <c r="Y23012" s="63"/>
    </row>
    <row r="23013" spans="25:25" x14ac:dyDescent="0.25">
      <c r="Y23013" s="63"/>
    </row>
    <row r="23014" spans="25:25" x14ac:dyDescent="0.25">
      <c r="Y23014" s="63"/>
    </row>
    <row r="23015" spans="25:25" x14ac:dyDescent="0.25">
      <c r="Y23015" s="63"/>
    </row>
    <row r="23016" spans="25:25" x14ac:dyDescent="0.25">
      <c r="Y23016" s="63"/>
    </row>
    <row r="23017" spans="25:25" x14ac:dyDescent="0.25">
      <c r="Y23017" s="63"/>
    </row>
    <row r="23018" spans="25:25" x14ac:dyDescent="0.25">
      <c r="Y23018" s="63"/>
    </row>
    <row r="23019" spans="25:25" x14ac:dyDescent="0.25">
      <c r="Y23019" s="63"/>
    </row>
    <row r="23020" spans="25:25" x14ac:dyDescent="0.25">
      <c r="Y23020" s="63"/>
    </row>
    <row r="23021" spans="25:25" x14ac:dyDescent="0.25">
      <c r="Y23021" s="63"/>
    </row>
    <row r="23022" spans="25:25" x14ac:dyDescent="0.25">
      <c r="Y23022" s="63"/>
    </row>
    <row r="23023" spans="25:25" x14ac:dyDescent="0.25">
      <c r="Y23023" s="63"/>
    </row>
    <row r="23024" spans="25:25" x14ac:dyDescent="0.25">
      <c r="Y23024" s="63"/>
    </row>
    <row r="23025" spans="25:25" x14ac:dyDescent="0.25">
      <c r="Y23025" s="63"/>
    </row>
    <row r="23026" spans="25:25" x14ac:dyDescent="0.25">
      <c r="Y23026" s="63"/>
    </row>
    <row r="23027" spans="25:25" x14ac:dyDescent="0.25">
      <c r="Y23027" s="63"/>
    </row>
    <row r="23028" spans="25:25" x14ac:dyDescent="0.25">
      <c r="Y23028" s="63"/>
    </row>
    <row r="23029" spans="25:25" x14ac:dyDescent="0.25">
      <c r="Y23029" s="63"/>
    </row>
    <row r="23030" spans="25:25" x14ac:dyDescent="0.25">
      <c r="Y23030" s="63"/>
    </row>
    <row r="23031" spans="25:25" x14ac:dyDescent="0.25">
      <c r="Y23031" s="63"/>
    </row>
    <row r="23032" spans="25:25" x14ac:dyDescent="0.25">
      <c r="Y23032" s="63"/>
    </row>
    <row r="23033" spans="25:25" x14ac:dyDescent="0.25">
      <c r="Y23033" s="63"/>
    </row>
    <row r="23034" spans="25:25" x14ac:dyDescent="0.25">
      <c r="Y23034" s="63"/>
    </row>
    <row r="23035" spans="25:25" x14ac:dyDescent="0.25">
      <c r="Y23035" s="63"/>
    </row>
    <row r="23036" spans="25:25" x14ac:dyDescent="0.25">
      <c r="Y23036" s="63"/>
    </row>
    <row r="23037" spans="25:25" x14ac:dyDescent="0.25">
      <c r="Y23037" s="63"/>
    </row>
    <row r="23038" spans="25:25" x14ac:dyDescent="0.25">
      <c r="Y23038" s="63"/>
    </row>
    <row r="23039" spans="25:25" x14ac:dyDescent="0.25">
      <c r="Y23039" s="63"/>
    </row>
    <row r="23040" spans="25:25" x14ac:dyDescent="0.25">
      <c r="Y23040" s="63"/>
    </row>
    <row r="23041" spans="25:25" x14ac:dyDescent="0.25">
      <c r="Y23041" s="63"/>
    </row>
    <row r="23042" spans="25:25" x14ac:dyDescent="0.25">
      <c r="Y23042" s="63"/>
    </row>
    <row r="23043" spans="25:25" x14ac:dyDescent="0.25">
      <c r="Y23043" s="63"/>
    </row>
    <row r="23044" spans="25:25" x14ac:dyDescent="0.25">
      <c r="Y23044" s="63"/>
    </row>
    <row r="23045" spans="25:25" x14ac:dyDescent="0.25">
      <c r="Y23045" s="63"/>
    </row>
    <row r="23046" spans="25:25" x14ac:dyDescent="0.25">
      <c r="Y23046" s="63"/>
    </row>
    <row r="23047" spans="25:25" x14ac:dyDescent="0.25">
      <c r="Y23047" s="63"/>
    </row>
    <row r="23048" spans="25:25" x14ac:dyDescent="0.25">
      <c r="Y23048" s="63"/>
    </row>
    <row r="23049" spans="25:25" x14ac:dyDescent="0.25">
      <c r="Y23049" s="63"/>
    </row>
    <row r="23050" spans="25:25" x14ac:dyDescent="0.25">
      <c r="Y23050" s="63"/>
    </row>
    <row r="23051" spans="25:25" x14ac:dyDescent="0.25">
      <c r="Y23051" s="63"/>
    </row>
    <row r="23052" spans="25:25" x14ac:dyDescent="0.25">
      <c r="Y23052" s="63"/>
    </row>
    <row r="23053" spans="25:25" x14ac:dyDescent="0.25">
      <c r="Y23053" s="63"/>
    </row>
    <row r="23054" spans="25:25" x14ac:dyDescent="0.25">
      <c r="Y23054" s="63"/>
    </row>
    <row r="23055" spans="25:25" x14ac:dyDescent="0.25">
      <c r="Y23055" s="63"/>
    </row>
    <row r="23056" spans="25:25" x14ac:dyDescent="0.25">
      <c r="Y23056" s="63"/>
    </row>
    <row r="23057" spans="25:25" x14ac:dyDescent="0.25">
      <c r="Y23057" s="63"/>
    </row>
    <row r="23058" spans="25:25" x14ac:dyDescent="0.25">
      <c r="Y23058" s="63"/>
    </row>
    <row r="23059" spans="25:25" x14ac:dyDescent="0.25">
      <c r="Y23059" s="63"/>
    </row>
    <row r="23060" spans="25:25" x14ac:dyDescent="0.25">
      <c r="Y23060" s="63"/>
    </row>
    <row r="23061" spans="25:25" x14ac:dyDescent="0.25">
      <c r="Y23061" s="63"/>
    </row>
    <row r="23062" spans="25:25" x14ac:dyDescent="0.25">
      <c r="Y23062" s="63"/>
    </row>
    <row r="23063" spans="25:25" x14ac:dyDescent="0.25">
      <c r="Y23063" s="63"/>
    </row>
    <row r="23064" spans="25:25" x14ac:dyDescent="0.25">
      <c r="Y23064" s="63"/>
    </row>
    <row r="23065" spans="25:25" x14ac:dyDescent="0.25">
      <c r="Y23065" s="63"/>
    </row>
    <row r="23066" spans="25:25" x14ac:dyDescent="0.25">
      <c r="Y23066" s="63"/>
    </row>
    <row r="23067" spans="25:25" x14ac:dyDescent="0.25">
      <c r="Y23067" s="63"/>
    </row>
    <row r="23068" spans="25:25" x14ac:dyDescent="0.25">
      <c r="Y23068" s="63"/>
    </row>
    <row r="23069" spans="25:25" x14ac:dyDescent="0.25">
      <c r="Y23069" s="63"/>
    </row>
    <row r="23070" spans="25:25" x14ac:dyDescent="0.25">
      <c r="Y23070" s="63"/>
    </row>
    <row r="23071" spans="25:25" x14ac:dyDescent="0.25">
      <c r="Y23071" s="63"/>
    </row>
    <row r="23072" spans="25:25" x14ac:dyDescent="0.25">
      <c r="Y23072" s="63"/>
    </row>
    <row r="23073" spans="25:25" x14ac:dyDescent="0.25">
      <c r="Y23073" s="63"/>
    </row>
    <row r="23074" spans="25:25" x14ac:dyDescent="0.25">
      <c r="Y23074" s="63"/>
    </row>
    <row r="23075" spans="25:25" x14ac:dyDescent="0.25">
      <c r="Y23075" s="63"/>
    </row>
    <row r="23076" spans="25:25" x14ac:dyDescent="0.25">
      <c r="Y23076" s="63"/>
    </row>
    <row r="23077" spans="25:25" x14ac:dyDescent="0.25">
      <c r="Y23077" s="63"/>
    </row>
    <row r="23078" spans="25:25" x14ac:dyDescent="0.25">
      <c r="Y23078" s="63"/>
    </row>
    <row r="23079" spans="25:25" x14ac:dyDescent="0.25">
      <c r="Y23079" s="63"/>
    </row>
    <row r="23080" spans="25:25" x14ac:dyDescent="0.25">
      <c r="Y23080" s="63"/>
    </row>
    <row r="23081" spans="25:25" x14ac:dyDescent="0.25">
      <c r="Y23081" s="63"/>
    </row>
    <row r="23082" spans="25:25" x14ac:dyDescent="0.25">
      <c r="Y23082" s="63"/>
    </row>
    <row r="23083" spans="25:25" x14ac:dyDescent="0.25">
      <c r="Y23083" s="63"/>
    </row>
    <row r="23084" spans="25:25" x14ac:dyDescent="0.25">
      <c r="Y23084" s="63"/>
    </row>
    <row r="23085" spans="25:25" x14ac:dyDescent="0.25">
      <c r="Y23085" s="63"/>
    </row>
    <row r="23086" spans="25:25" x14ac:dyDescent="0.25">
      <c r="Y23086" s="63"/>
    </row>
    <row r="23087" spans="25:25" x14ac:dyDescent="0.25">
      <c r="Y23087" s="63"/>
    </row>
    <row r="23088" spans="25:25" x14ac:dyDescent="0.25">
      <c r="Y23088" s="63"/>
    </row>
    <row r="23089" spans="25:25" x14ac:dyDescent="0.25">
      <c r="Y23089" s="63"/>
    </row>
    <row r="23090" spans="25:25" x14ac:dyDescent="0.25">
      <c r="Y23090" s="63"/>
    </row>
    <row r="23091" spans="25:25" x14ac:dyDescent="0.25">
      <c r="Y23091" s="63"/>
    </row>
    <row r="23092" spans="25:25" x14ac:dyDescent="0.25">
      <c r="Y23092" s="63"/>
    </row>
    <row r="23093" spans="25:25" x14ac:dyDescent="0.25">
      <c r="Y23093" s="63"/>
    </row>
    <row r="23094" spans="25:25" x14ac:dyDescent="0.25">
      <c r="Y23094" s="63"/>
    </row>
    <row r="23095" spans="25:25" x14ac:dyDescent="0.25">
      <c r="Y23095" s="63"/>
    </row>
    <row r="23096" spans="25:25" x14ac:dyDescent="0.25">
      <c r="Y23096" s="63"/>
    </row>
    <row r="23097" spans="25:25" x14ac:dyDescent="0.25">
      <c r="Y23097" s="63"/>
    </row>
    <row r="23098" spans="25:25" x14ac:dyDescent="0.25">
      <c r="Y23098" s="63"/>
    </row>
    <row r="23099" spans="25:25" x14ac:dyDescent="0.25">
      <c r="Y23099" s="63"/>
    </row>
    <row r="23100" spans="25:25" x14ac:dyDescent="0.25">
      <c r="Y23100" s="63"/>
    </row>
    <row r="23101" spans="25:25" x14ac:dyDescent="0.25">
      <c r="Y23101" s="63"/>
    </row>
    <row r="23102" spans="25:25" x14ac:dyDescent="0.25">
      <c r="Y23102" s="63"/>
    </row>
    <row r="23103" spans="25:25" x14ac:dyDescent="0.25">
      <c r="Y23103" s="63"/>
    </row>
    <row r="23104" spans="25:25" x14ac:dyDescent="0.25">
      <c r="Y23104" s="63"/>
    </row>
    <row r="23105" spans="25:25" x14ac:dyDescent="0.25">
      <c r="Y23105" s="63"/>
    </row>
    <row r="23106" spans="25:25" x14ac:dyDescent="0.25">
      <c r="Y23106" s="63"/>
    </row>
    <row r="23107" spans="25:25" x14ac:dyDescent="0.25">
      <c r="Y23107" s="63"/>
    </row>
    <row r="23108" spans="25:25" x14ac:dyDescent="0.25">
      <c r="Y23108" s="63"/>
    </row>
    <row r="23109" spans="25:25" x14ac:dyDescent="0.25">
      <c r="Y23109" s="63"/>
    </row>
    <row r="23110" spans="25:25" x14ac:dyDescent="0.25">
      <c r="Y23110" s="63"/>
    </row>
    <row r="23111" spans="25:25" x14ac:dyDescent="0.25">
      <c r="Y23111" s="63"/>
    </row>
    <row r="23112" spans="25:25" x14ac:dyDescent="0.25">
      <c r="Y23112" s="63"/>
    </row>
    <row r="23113" spans="25:25" x14ac:dyDescent="0.25">
      <c r="Y23113" s="63"/>
    </row>
    <row r="23114" spans="25:25" x14ac:dyDescent="0.25">
      <c r="Y23114" s="63"/>
    </row>
    <row r="23115" spans="25:25" x14ac:dyDescent="0.25">
      <c r="Y23115" s="63"/>
    </row>
    <row r="23116" spans="25:25" x14ac:dyDescent="0.25">
      <c r="Y23116" s="63"/>
    </row>
    <row r="23117" spans="25:25" x14ac:dyDescent="0.25">
      <c r="Y23117" s="63"/>
    </row>
    <row r="23118" spans="25:25" x14ac:dyDescent="0.25">
      <c r="Y23118" s="63"/>
    </row>
    <row r="23119" spans="25:25" x14ac:dyDescent="0.25">
      <c r="Y23119" s="63"/>
    </row>
    <row r="23120" spans="25:25" x14ac:dyDescent="0.25">
      <c r="Y23120" s="63"/>
    </row>
    <row r="23121" spans="25:25" x14ac:dyDescent="0.25">
      <c r="Y23121" s="63"/>
    </row>
    <row r="23122" spans="25:25" x14ac:dyDescent="0.25">
      <c r="Y23122" s="63"/>
    </row>
    <row r="23123" spans="25:25" x14ac:dyDescent="0.25">
      <c r="Y23123" s="63"/>
    </row>
    <row r="23124" spans="25:25" x14ac:dyDescent="0.25">
      <c r="Y23124" s="63"/>
    </row>
    <row r="23125" spans="25:25" x14ac:dyDescent="0.25">
      <c r="Y23125" s="63"/>
    </row>
    <row r="23126" spans="25:25" x14ac:dyDescent="0.25">
      <c r="Y23126" s="63"/>
    </row>
    <row r="23127" spans="25:25" x14ac:dyDescent="0.25">
      <c r="Y23127" s="63"/>
    </row>
    <row r="23128" spans="25:25" x14ac:dyDescent="0.25">
      <c r="Y23128" s="63"/>
    </row>
    <row r="23129" spans="25:25" x14ac:dyDescent="0.25">
      <c r="Y23129" s="63"/>
    </row>
    <row r="23130" spans="25:25" x14ac:dyDescent="0.25">
      <c r="Y23130" s="63"/>
    </row>
    <row r="23131" spans="25:25" x14ac:dyDescent="0.25">
      <c r="Y23131" s="63"/>
    </row>
    <row r="23132" spans="25:25" x14ac:dyDescent="0.25">
      <c r="Y23132" s="63"/>
    </row>
    <row r="23133" spans="25:25" x14ac:dyDescent="0.25">
      <c r="Y23133" s="63"/>
    </row>
    <row r="23134" spans="25:25" x14ac:dyDescent="0.25">
      <c r="Y23134" s="63"/>
    </row>
    <row r="23135" spans="25:25" x14ac:dyDescent="0.25">
      <c r="Y23135" s="63"/>
    </row>
    <row r="23136" spans="25:25" x14ac:dyDescent="0.25">
      <c r="Y23136" s="63"/>
    </row>
    <row r="23137" spans="25:25" x14ac:dyDescent="0.25">
      <c r="Y23137" s="63"/>
    </row>
    <row r="23138" spans="25:25" x14ac:dyDescent="0.25">
      <c r="Y23138" s="63"/>
    </row>
    <row r="23139" spans="25:25" x14ac:dyDescent="0.25">
      <c r="Y23139" s="63"/>
    </row>
    <row r="23140" spans="25:25" x14ac:dyDescent="0.25">
      <c r="Y23140" s="63"/>
    </row>
    <row r="23141" spans="25:25" x14ac:dyDescent="0.25">
      <c r="Y23141" s="63"/>
    </row>
    <row r="23142" spans="25:25" x14ac:dyDescent="0.25">
      <c r="Y23142" s="63"/>
    </row>
    <row r="23143" spans="25:25" x14ac:dyDescent="0.25">
      <c r="Y23143" s="63"/>
    </row>
    <row r="23144" spans="25:25" x14ac:dyDescent="0.25">
      <c r="Y23144" s="63"/>
    </row>
    <row r="23145" spans="25:25" x14ac:dyDescent="0.25">
      <c r="Y23145" s="63"/>
    </row>
    <row r="23146" spans="25:25" x14ac:dyDescent="0.25">
      <c r="Y23146" s="63"/>
    </row>
    <row r="23147" spans="25:25" x14ac:dyDescent="0.25">
      <c r="Y23147" s="63"/>
    </row>
    <row r="23148" spans="25:25" x14ac:dyDescent="0.25">
      <c r="Y23148" s="63"/>
    </row>
    <row r="23149" spans="25:25" x14ac:dyDescent="0.25">
      <c r="Y23149" s="63"/>
    </row>
    <row r="23150" spans="25:25" x14ac:dyDescent="0.25">
      <c r="Y23150" s="63"/>
    </row>
    <row r="23151" spans="25:25" x14ac:dyDescent="0.25">
      <c r="Y23151" s="63"/>
    </row>
    <row r="23152" spans="25:25" x14ac:dyDescent="0.25">
      <c r="Y23152" s="63"/>
    </row>
    <row r="23153" spans="25:25" x14ac:dyDescent="0.25">
      <c r="Y23153" s="63"/>
    </row>
    <row r="23154" spans="25:25" x14ac:dyDescent="0.25">
      <c r="Y23154" s="63"/>
    </row>
    <row r="23155" spans="25:25" x14ac:dyDescent="0.25">
      <c r="Y23155" s="63"/>
    </row>
    <row r="23156" spans="25:25" x14ac:dyDescent="0.25">
      <c r="Y23156" s="63"/>
    </row>
    <row r="23157" spans="25:25" x14ac:dyDescent="0.25">
      <c r="Y23157" s="63"/>
    </row>
    <row r="23158" spans="25:25" x14ac:dyDescent="0.25">
      <c r="Y23158" s="63"/>
    </row>
    <row r="23159" spans="25:25" x14ac:dyDescent="0.25">
      <c r="Y23159" s="63"/>
    </row>
    <row r="23160" spans="25:25" x14ac:dyDescent="0.25">
      <c r="Y23160" s="63"/>
    </row>
    <row r="23161" spans="25:25" x14ac:dyDescent="0.25">
      <c r="Y23161" s="63"/>
    </row>
    <row r="23162" spans="25:25" x14ac:dyDescent="0.25">
      <c r="Y23162" s="63"/>
    </row>
    <row r="23163" spans="25:25" x14ac:dyDescent="0.25">
      <c r="Y23163" s="63"/>
    </row>
    <row r="23164" spans="25:25" x14ac:dyDescent="0.25">
      <c r="Y23164" s="63"/>
    </row>
    <row r="23165" spans="25:25" x14ac:dyDescent="0.25">
      <c r="Y23165" s="63"/>
    </row>
    <row r="23166" spans="25:25" x14ac:dyDescent="0.25">
      <c r="Y23166" s="63"/>
    </row>
    <row r="23167" spans="25:25" x14ac:dyDescent="0.25">
      <c r="Y23167" s="63"/>
    </row>
    <row r="23168" spans="25:25" x14ac:dyDescent="0.25">
      <c r="Y23168" s="63"/>
    </row>
    <row r="23169" spans="25:25" x14ac:dyDescent="0.25">
      <c r="Y23169" s="63"/>
    </row>
    <row r="23170" spans="25:25" x14ac:dyDescent="0.25">
      <c r="Y23170" s="63"/>
    </row>
    <row r="23171" spans="25:25" x14ac:dyDescent="0.25">
      <c r="Y23171" s="63"/>
    </row>
    <row r="23172" spans="25:25" x14ac:dyDescent="0.25">
      <c r="Y23172" s="63"/>
    </row>
    <row r="23173" spans="25:25" x14ac:dyDescent="0.25">
      <c r="Y23173" s="63"/>
    </row>
    <row r="23174" spans="25:25" x14ac:dyDescent="0.25">
      <c r="Y23174" s="63"/>
    </row>
    <row r="23175" spans="25:25" x14ac:dyDescent="0.25">
      <c r="Y23175" s="63"/>
    </row>
    <row r="23176" spans="25:25" x14ac:dyDescent="0.25">
      <c r="Y23176" s="63"/>
    </row>
    <row r="23177" spans="25:25" x14ac:dyDescent="0.25">
      <c r="Y23177" s="63"/>
    </row>
    <row r="23178" spans="25:25" x14ac:dyDescent="0.25">
      <c r="Y23178" s="63"/>
    </row>
    <row r="23179" spans="25:25" x14ac:dyDescent="0.25">
      <c r="Y23179" s="63"/>
    </row>
    <row r="23180" spans="25:25" x14ac:dyDescent="0.25">
      <c r="Y23180" s="63"/>
    </row>
    <row r="23181" spans="25:25" x14ac:dyDescent="0.25">
      <c r="Y23181" s="63"/>
    </row>
    <row r="23182" spans="25:25" x14ac:dyDescent="0.25">
      <c r="Y23182" s="63"/>
    </row>
    <row r="23183" spans="25:25" x14ac:dyDescent="0.25">
      <c r="Y23183" s="63"/>
    </row>
    <row r="23184" spans="25:25" x14ac:dyDescent="0.25">
      <c r="Y23184" s="63"/>
    </row>
    <row r="23185" spans="25:25" x14ac:dyDescent="0.25">
      <c r="Y23185" s="63"/>
    </row>
    <row r="23186" spans="25:25" x14ac:dyDescent="0.25">
      <c r="Y23186" s="63"/>
    </row>
    <row r="23187" spans="25:25" x14ac:dyDescent="0.25">
      <c r="Y23187" s="63"/>
    </row>
    <row r="23188" spans="25:25" x14ac:dyDescent="0.25">
      <c r="Y23188" s="63"/>
    </row>
    <row r="23189" spans="25:25" x14ac:dyDescent="0.25">
      <c r="Y23189" s="63"/>
    </row>
    <row r="23190" spans="25:25" x14ac:dyDescent="0.25">
      <c r="Y23190" s="63"/>
    </row>
    <row r="23191" spans="25:25" x14ac:dyDescent="0.25">
      <c r="Y23191" s="63"/>
    </row>
    <row r="23192" spans="25:25" x14ac:dyDescent="0.25">
      <c r="Y23192" s="63"/>
    </row>
    <row r="23193" spans="25:25" x14ac:dyDescent="0.25">
      <c r="Y23193" s="63"/>
    </row>
    <row r="23194" spans="25:25" x14ac:dyDescent="0.25">
      <c r="Y23194" s="63"/>
    </row>
    <row r="23195" spans="25:25" x14ac:dyDescent="0.25">
      <c r="Y23195" s="63"/>
    </row>
    <row r="23196" spans="25:25" x14ac:dyDescent="0.25">
      <c r="Y23196" s="63"/>
    </row>
    <row r="23197" spans="25:25" x14ac:dyDescent="0.25">
      <c r="Y23197" s="63"/>
    </row>
    <row r="23198" spans="25:25" x14ac:dyDescent="0.25">
      <c r="Y23198" s="63"/>
    </row>
    <row r="23199" spans="25:25" x14ac:dyDescent="0.25">
      <c r="Y23199" s="63"/>
    </row>
    <row r="23200" spans="25:25" x14ac:dyDescent="0.25">
      <c r="Y23200" s="63"/>
    </row>
    <row r="23201" spans="25:25" x14ac:dyDescent="0.25">
      <c r="Y23201" s="63"/>
    </row>
    <row r="23202" spans="25:25" x14ac:dyDescent="0.25">
      <c r="Y23202" s="63"/>
    </row>
    <row r="23203" spans="25:25" x14ac:dyDescent="0.25">
      <c r="Y23203" s="63"/>
    </row>
    <row r="23204" spans="25:25" x14ac:dyDescent="0.25">
      <c r="Y23204" s="63"/>
    </row>
    <row r="23205" spans="25:25" x14ac:dyDescent="0.25">
      <c r="Y23205" s="63"/>
    </row>
    <row r="23206" spans="25:25" x14ac:dyDescent="0.25">
      <c r="Y23206" s="63"/>
    </row>
    <row r="23207" spans="25:25" x14ac:dyDescent="0.25">
      <c r="Y23207" s="63"/>
    </row>
    <row r="23208" spans="25:25" x14ac:dyDescent="0.25">
      <c r="Y23208" s="63"/>
    </row>
    <row r="23209" spans="25:25" x14ac:dyDescent="0.25">
      <c r="Y23209" s="63"/>
    </row>
    <row r="23210" spans="25:25" x14ac:dyDescent="0.25">
      <c r="Y23210" s="63"/>
    </row>
    <row r="23211" spans="25:25" x14ac:dyDescent="0.25">
      <c r="Y23211" s="63"/>
    </row>
    <row r="23212" spans="25:25" x14ac:dyDescent="0.25">
      <c r="Y23212" s="63"/>
    </row>
    <row r="23213" spans="25:25" x14ac:dyDescent="0.25">
      <c r="Y23213" s="63"/>
    </row>
    <row r="23214" spans="25:25" x14ac:dyDescent="0.25">
      <c r="Y23214" s="63"/>
    </row>
    <row r="23215" spans="25:25" x14ac:dyDescent="0.25">
      <c r="Y23215" s="63"/>
    </row>
    <row r="23216" spans="25:25" x14ac:dyDescent="0.25">
      <c r="Y23216" s="63"/>
    </row>
    <row r="23217" spans="25:25" x14ac:dyDescent="0.25">
      <c r="Y23217" s="63"/>
    </row>
    <row r="23218" spans="25:25" x14ac:dyDescent="0.25">
      <c r="Y23218" s="63"/>
    </row>
    <row r="23219" spans="25:25" x14ac:dyDescent="0.25">
      <c r="Y23219" s="63"/>
    </row>
    <row r="23220" spans="25:25" x14ac:dyDescent="0.25">
      <c r="Y23220" s="63"/>
    </row>
    <row r="23221" spans="25:25" x14ac:dyDescent="0.25">
      <c r="Y23221" s="63"/>
    </row>
    <row r="23222" spans="25:25" x14ac:dyDescent="0.25">
      <c r="Y23222" s="63"/>
    </row>
    <row r="23223" spans="25:25" x14ac:dyDescent="0.25">
      <c r="Y23223" s="63"/>
    </row>
    <row r="23224" spans="25:25" x14ac:dyDescent="0.25">
      <c r="Y23224" s="63"/>
    </row>
    <row r="23225" spans="25:25" x14ac:dyDescent="0.25">
      <c r="Y23225" s="63"/>
    </row>
    <row r="23226" spans="25:25" x14ac:dyDescent="0.25">
      <c r="Y23226" s="63"/>
    </row>
    <row r="23227" spans="25:25" x14ac:dyDescent="0.25">
      <c r="Y23227" s="63"/>
    </row>
    <row r="23228" spans="25:25" x14ac:dyDescent="0.25">
      <c r="Y23228" s="63"/>
    </row>
    <row r="23229" spans="25:25" x14ac:dyDescent="0.25">
      <c r="Y23229" s="63"/>
    </row>
    <row r="23230" spans="25:25" x14ac:dyDescent="0.25">
      <c r="Y23230" s="63"/>
    </row>
    <row r="23231" spans="25:25" x14ac:dyDescent="0.25">
      <c r="Y23231" s="63"/>
    </row>
    <row r="23232" spans="25:25" x14ac:dyDescent="0.25">
      <c r="Y23232" s="63"/>
    </row>
    <row r="23233" spans="25:25" x14ac:dyDescent="0.25">
      <c r="Y23233" s="63"/>
    </row>
    <row r="23234" spans="25:25" x14ac:dyDescent="0.25">
      <c r="Y23234" s="63"/>
    </row>
    <row r="23235" spans="25:25" x14ac:dyDescent="0.25">
      <c r="Y23235" s="63"/>
    </row>
    <row r="23236" spans="25:25" x14ac:dyDescent="0.25">
      <c r="Y23236" s="63"/>
    </row>
    <row r="23237" spans="25:25" x14ac:dyDescent="0.25">
      <c r="Y23237" s="63"/>
    </row>
    <row r="23238" spans="25:25" x14ac:dyDescent="0.25">
      <c r="Y23238" s="63"/>
    </row>
    <row r="23239" spans="25:25" x14ac:dyDescent="0.25">
      <c r="Y23239" s="63"/>
    </row>
    <row r="23240" spans="25:25" x14ac:dyDescent="0.25">
      <c r="Y23240" s="63"/>
    </row>
    <row r="23241" spans="25:25" x14ac:dyDescent="0.25">
      <c r="Y23241" s="63"/>
    </row>
    <row r="23242" spans="25:25" x14ac:dyDescent="0.25">
      <c r="Y23242" s="63"/>
    </row>
    <row r="23243" spans="25:25" x14ac:dyDescent="0.25">
      <c r="Y23243" s="63"/>
    </row>
    <row r="23244" spans="25:25" x14ac:dyDescent="0.25">
      <c r="Y23244" s="63"/>
    </row>
    <row r="23245" spans="25:25" x14ac:dyDescent="0.25">
      <c r="Y23245" s="63"/>
    </row>
    <row r="23246" spans="25:25" x14ac:dyDescent="0.25">
      <c r="Y23246" s="63"/>
    </row>
    <row r="23247" spans="25:25" x14ac:dyDescent="0.25">
      <c r="Y23247" s="63"/>
    </row>
    <row r="23248" spans="25:25" x14ac:dyDescent="0.25">
      <c r="Y23248" s="63"/>
    </row>
    <row r="23249" spans="25:25" x14ac:dyDescent="0.25">
      <c r="Y23249" s="63"/>
    </row>
    <row r="23250" spans="25:25" x14ac:dyDescent="0.25">
      <c r="Y23250" s="63"/>
    </row>
    <row r="23251" spans="25:25" x14ac:dyDescent="0.25">
      <c r="Y23251" s="63"/>
    </row>
    <row r="23252" spans="25:25" x14ac:dyDescent="0.25">
      <c r="Y23252" s="63"/>
    </row>
    <row r="23253" spans="25:25" x14ac:dyDescent="0.25">
      <c r="Y23253" s="63"/>
    </row>
    <row r="23254" spans="25:25" x14ac:dyDescent="0.25">
      <c r="Y23254" s="63"/>
    </row>
    <row r="23255" spans="25:25" x14ac:dyDescent="0.25">
      <c r="Y23255" s="63"/>
    </row>
    <row r="23256" spans="25:25" x14ac:dyDescent="0.25">
      <c r="Y23256" s="63"/>
    </row>
    <row r="23257" spans="25:25" x14ac:dyDescent="0.25">
      <c r="Y23257" s="63"/>
    </row>
    <row r="23258" spans="25:25" x14ac:dyDescent="0.25">
      <c r="Y23258" s="63"/>
    </row>
    <row r="23259" spans="25:25" x14ac:dyDescent="0.25">
      <c r="Y23259" s="63"/>
    </row>
    <row r="23260" spans="25:25" x14ac:dyDescent="0.25">
      <c r="Y23260" s="63"/>
    </row>
    <row r="23261" spans="25:25" x14ac:dyDescent="0.25">
      <c r="Y23261" s="63"/>
    </row>
    <row r="23262" spans="25:25" x14ac:dyDescent="0.25">
      <c r="Y23262" s="63"/>
    </row>
    <row r="23263" spans="25:25" x14ac:dyDescent="0.25">
      <c r="Y23263" s="63"/>
    </row>
    <row r="23264" spans="25:25" x14ac:dyDescent="0.25">
      <c r="Y23264" s="63"/>
    </row>
    <row r="23265" spans="25:25" x14ac:dyDescent="0.25">
      <c r="Y23265" s="63"/>
    </row>
    <row r="23266" spans="25:25" x14ac:dyDescent="0.25">
      <c r="Y23266" s="63"/>
    </row>
    <row r="23267" spans="25:25" x14ac:dyDescent="0.25">
      <c r="Y23267" s="63"/>
    </row>
    <row r="23268" spans="25:25" x14ac:dyDescent="0.25">
      <c r="Y23268" s="63"/>
    </row>
    <row r="23269" spans="25:25" x14ac:dyDescent="0.25">
      <c r="Y23269" s="63"/>
    </row>
    <row r="23270" spans="25:25" x14ac:dyDescent="0.25">
      <c r="Y23270" s="63"/>
    </row>
    <row r="23271" spans="25:25" x14ac:dyDescent="0.25">
      <c r="Y23271" s="63"/>
    </row>
    <row r="23272" spans="25:25" x14ac:dyDescent="0.25">
      <c r="Y23272" s="63"/>
    </row>
    <row r="23273" spans="25:25" x14ac:dyDescent="0.25">
      <c r="Y23273" s="63"/>
    </row>
    <row r="23274" spans="25:25" x14ac:dyDescent="0.25">
      <c r="Y23274" s="63"/>
    </row>
    <row r="23275" spans="25:25" x14ac:dyDescent="0.25">
      <c r="Y23275" s="63"/>
    </row>
    <row r="23276" spans="25:25" x14ac:dyDescent="0.25">
      <c r="Y23276" s="63"/>
    </row>
    <row r="23277" spans="25:25" x14ac:dyDescent="0.25">
      <c r="Y23277" s="63"/>
    </row>
    <row r="23278" spans="25:25" x14ac:dyDescent="0.25">
      <c r="Y23278" s="63"/>
    </row>
    <row r="23279" spans="25:25" x14ac:dyDescent="0.25">
      <c r="Y23279" s="63"/>
    </row>
    <row r="23280" spans="25:25" x14ac:dyDescent="0.25">
      <c r="Y23280" s="63"/>
    </row>
    <row r="23281" spans="25:25" x14ac:dyDescent="0.25">
      <c r="Y23281" s="63"/>
    </row>
    <row r="23282" spans="25:25" x14ac:dyDescent="0.25">
      <c r="Y23282" s="63"/>
    </row>
    <row r="23283" spans="25:25" x14ac:dyDescent="0.25">
      <c r="Y23283" s="63"/>
    </row>
    <row r="23284" spans="25:25" x14ac:dyDescent="0.25">
      <c r="Y23284" s="63"/>
    </row>
    <row r="23285" spans="25:25" x14ac:dyDescent="0.25">
      <c r="Y23285" s="63"/>
    </row>
    <row r="23286" spans="25:25" x14ac:dyDescent="0.25">
      <c r="Y23286" s="63"/>
    </row>
    <row r="23287" spans="25:25" x14ac:dyDescent="0.25">
      <c r="Y23287" s="63"/>
    </row>
    <row r="23288" spans="25:25" x14ac:dyDescent="0.25">
      <c r="Y23288" s="63"/>
    </row>
    <row r="23289" spans="25:25" x14ac:dyDescent="0.25">
      <c r="Y23289" s="63"/>
    </row>
    <row r="23290" spans="25:25" x14ac:dyDescent="0.25">
      <c r="Y23290" s="63"/>
    </row>
    <row r="23291" spans="25:25" x14ac:dyDescent="0.25">
      <c r="Y23291" s="63"/>
    </row>
    <row r="23292" spans="25:25" x14ac:dyDescent="0.25">
      <c r="Y23292" s="63"/>
    </row>
    <row r="23293" spans="25:25" x14ac:dyDescent="0.25">
      <c r="Y23293" s="63"/>
    </row>
    <row r="23294" spans="25:25" x14ac:dyDescent="0.25">
      <c r="Y23294" s="63"/>
    </row>
    <row r="23295" spans="25:25" x14ac:dyDescent="0.25">
      <c r="Y23295" s="63"/>
    </row>
    <row r="23296" spans="25:25" x14ac:dyDescent="0.25">
      <c r="Y23296" s="63"/>
    </row>
    <row r="23297" spans="25:25" x14ac:dyDescent="0.25">
      <c r="Y23297" s="63"/>
    </row>
    <row r="23298" spans="25:25" x14ac:dyDescent="0.25">
      <c r="Y23298" s="63"/>
    </row>
    <row r="23299" spans="25:25" x14ac:dyDescent="0.25">
      <c r="Y23299" s="63"/>
    </row>
    <row r="23300" spans="25:25" x14ac:dyDescent="0.25">
      <c r="Y23300" s="63"/>
    </row>
    <row r="23301" spans="25:25" x14ac:dyDescent="0.25">
      <c r="Y23301" s="63"/>
    </row>
    <row r="23302" spans="25:25" x14ac:dyDescent="0.25">
      <c r="Y23302" s="63"/>
    </row>
    <row r="23303" spans="25:25" x14ac:dyDescent="0.25">
      <c r="Y23303" s="63"/>
    </row>
    <row r="23304" spans="25:25" x14ac:dyDescent="0.25">
      <c r="Y23304" s="63"/>
    </row>
    <row r="23305" spans="25:25" x14ac:dyDescent="0.25">
      <c r="Y23305" s="63"/>
    </row>
    <row r="23306" spans="25:25" x14ac:dyDescent="0.25">
      <c r="Y23306" s="63"/>
    </row>
    <row r="23307" spans="25:25" x14ac:dyDescent="0.25">
      <c r="Y23307" s="63"/>
    </row>
    <row r="23308" spans="25:25" x14ac:dyDescent="0.25">
      <c r="Y23308" s="63"/>
    </row>
    <row r="23309" spans="25:25" x14ac:dyDescent="0.25">
      <c r="Y23309" s="63"/>
    </row>
    <row r="23310" spans="25:25" x14ac:dyDescent="0.25">
      <c r="Y23310" s="63"/>
    </row>
    <row r="23311" spans="25:25" x14ac:dyDescent="0.25">
      <c r="Y23311" s="63"/>
    </row>
    <row r="23312" spans="25:25" x14ac:dyDescent="0.25">
      <c r="Y23312" s="63"/>
    </row>
    <row r="23313" spans="25:25" x14ac:dyDescent="0.25">
      <c r="Y23313" s="63"/>
    </row>
    <row r="23314" spans="25:25" x14ac:dyDescent="0.25">
      <c r="Y23314" s="63"/>
    </row>
    <row r="23315" spans="25:25" x14ac:dyDescent="0.25">
      <c r="Y23315" s="63"/>
    </row>
    <row r="23316" spans="25:25" x14ac:dyDescent="0.25">
      <c r="Y23316" s="63"/>
    </row>
    <row r="23317" spans="25:25" x14ac:dyDescent="0.25">
      <c r="Y23317" s="63"/>
    </row>
    <row r="23318" spans="25:25" x14ac:dyDescent="0.25">
      <c r="Y23318" s="63"/>
    </row>
    <row r="23319" spans="25:25" x14ac:dyDescent="0.25">
      <c r="Y23319" s="63"/>
    </row>
    <row r="23320" spans="25:25" x14ac:dyDescent="0.25">
      <c r="Y23320" s="63"/>
    </row>
    <row r="23321" spans="25:25" x14ac:dyDescent="0.25">
      <c r="Y23321" s="63"/>
    </row>
    <row r="23322" spans="25:25" x14ac:dyDescent="0.25">
      <c r="Y23322" s="63"/>
    </row>
    <row r="23323" spans="25:25" x14ac:dyDescent="0.25">
      <c r="Y23323" s="63"/>
    </row>
    <row r="23324" spans="25:25" x14ac:dyDescent="0.25">
      <c r="Y23324" s="63"/>
    </row>
    <row r="23325" spans="25:25" x14ac:dyDescent="0.25">
      <c r="Y23325" s="63"/>
    </row>
    <row r="23326" spans="25:25" x14ac:dyDescent="0.25">
      <c r="Y23326" s="63"/>
    </row>
    <row r="23327" spans="25:25" x14ac:dyDescent="0.25">
      <c r="Y23327" s="63"/>
    </row>
    <row r="23328" spans="25:25" x14ac:dyDescent="0.25">
      <c r="Y23328" s="63"/>
    </row>
    <row r="23329" spans="25:25" x14ac:dyDescent="0.25">
      <c r="Y23329" s="63"/>
    </row>
    <row r="23330" spans="25:25" x14ac:dyDescent="0.25">
      <c r="Y23330" s="63"/>
    </row>
    <row r="23331" spans="25:25" x14ac:dyDescent="0.25">
      <c r="Y23331" s="63"/>
    </row>
    <row r="23332" spans="25:25" x14ac:dyDescent="0.25">
      <c r="Y23332" s="63"/>
    </row>
    <row r="23333" spans="25:25" x14ac:dyDescent="0.25">
      <c r="Y23333" s="63"/>
    </row>
    <row r="23334" spans="25:25" x14ac:dyDescent="0.25">
      <c r="Y23334" s="63"/>
    </row>
    <row r="23335" spans="25:25" x14ac:dyDescent="0.25">
      <c r="Y23335" s="63"/>
    </row>
    <row r="23336" spans="25:25" x14ac:dyDescent="0.25">
      <c r="Y23336" s="63"/>
    </row>
    <row r="23337" spans="25:25" x14ac:dyDescent="0.25">
      <c r="Y23337" s="63"/>
    </row>
    <row r="23338" spans="25:25" x14ac:dyDescent="0.25">
      <c r="Y23338" s="63"/>
    </row>
    <row r="23339" spans="25:25" x14ac:dyDescent="0.25">
      <c r="Y23339" s="63"/>
    </row>
    <row r="23340" spans="25:25" x14ac:dyDescent="0.25">
      <c r="Y23340" s="63"/>
    </row>
    <row r="23341" spans="25:25" x14ac:dyDescent="0.25">
      <c r="Y23341" s="63"/>
    </row>
    <row r="23342" spans="25:25" x14ac:dyDescent="0.25">
      <c r="Y23342" s="63"/>
    </row>
    <row r="23343" spans="25:25" x14ac:dyDescent="0.25">
      <c r="Y23343" s="63"/>
    </row>
    <row r="23344" spans="25:25" x14ac:dyDescent="0.25">
      <c r="Y23344" s="63"/>
    </row>
    <row r="23345" spans="25:25" x14ac:dyDescent="0.25">
      <c r="Y23345" s="63"/>
    </row>
    <row r="23346" spans="25:25" x14ac:dyDescent="0.25">
      <c r="Y23346" s="63"/>
    </row>
    <row r="23347" spans="25:25" x14ac:dyDescent="0.25">
      <c r="Y23347" s="63"/>
    </row>
    <row r="23348" spans="25:25" x14ac:dyDescent="0.25">
      <c r="Y23348" s="63"/>
    </row>
    <row r="23349" spans="25:25" x14ac:dyDescent="0.25">
      <c r="Y23349" s="63"/>
    </row>
    <row r="23350" spans="25:25" x14ac:dyDescent="0.25">
      <c r="Y23350" s="63"/>
    </row>
    <row r="23351" spans="25:25" x14ac:dyDescent="0.25">
      <c r="Y23351" s="63"/>
    </row>
    <row r="23352" spans="25:25" x14ac:dyDescent="0.25">
      <c r="Y23352" s="63"/>
    </row>
    <row r="23353" spans="25:25" x14ac:dyDescent="0.25">
      <c r="Y23353" s="63"/>
    </row>
    <row r="23354" spans="25:25" x14ac:dyDescent="0.25">
      <c r="Y23354" s="63"/>
    </row>
    <row r="23355" spans="25:25" x14ac:dyDescent="0.25">
      <c r="Y23355" s="63"/>
    </row>
    <row r="23356" spans="25:25" x14ac:dyDescent="0.25">
      <c r="Y23356" s="63"/>
    </row>
    <row r="23357" spans="25:25" x14ac:dyDescent="0.25">
      <c r="Y23357" s="63"/>
    </row>
    <row r="23358" spans="25:25" x14ac:dyDescent="0.25">
      <c r="Y23358" s="63"/>
    </row>
    <row r="23359" spans="25:25" x14ac:dyDescent="0.25">
      <c r="Y23359" s="63"/>
    </row>
    <row r="23360" spans="25:25" x14ac:dyDescent="0.25">
      <c r="Y23360" s="63"/>
    </row>
    <row r="23361" spans="25:25" x14ac:dyDescent="0.25">
      <c r="Y23361" s="63"/>
    </row>
    <row r="23362" spans="25:25" x14ac:dyDescent="0.25">
      <c r="Y23362" s="63"/>
    </row>
    <row r="23363" spans="25:25" x14ac:dyDescent="0.25">
      <c r="Y23363" s="63"/>
    </row>
    <row r="23364" spans="25:25" x14ac:dyDescent="0.25">
      <c r="Y23364" s="63"/>
    </row>
    <row r="23365" spans="25:25" x14ac:dyDescent="0.25">
      <c r="Y23365" s="63"/>
    </row>
    <row r="23366" spans="25:25" x14ac:dyDescent="0.25">
      <c r="Y23366" s="63"/>
    </row>
    <row r="23367" spans="25:25" x14ac:dyDescent="0.25">
      <c r="Y23367" s="63"/>
    </row>
    <row r="23368" spans="25:25" x14ac:dyDescent="0.25">
      <c r="Y23368" s="63"/>
    </row>
    <row r="23369" spans="25:25" x14ac:dyDescent="0.25">
      <c r="Y23369" s="63"/>
    </row>
    <row r="23370" spans="25:25" x14ac:dyDescent="0.25">
      <c r="Y23370" s="63"/>
    </row>
    <row r="23371" spans="25:25" x14ac:dyDescent="0.25">
      <c r="Y23371" s="63"/>
    </row>
    <row r="23372" spans="25:25" x14ac:dyDescent="0.25">
      <c r="Y23372" s="63"/>
    </row>
    <row r="23373" spans="25:25" x14ac:dyDescent="0.25">
      <c r="Y23373" s="63"/>
    </row>
    <row r="23374" spans="25:25" x14ac:dyDescent="0.25">
      <c r="Y23374" s="63"/>
    </row>
    <row r="23375" spans="25:25" x14ac:dyDescent="0.25">
      <c r="Y23375" s="63"/>
    </row>
    <row r="23376" spans="25:25" x14ac:dyDescent="0.25">
      <c r="Y23376" s="63"/>
    </row>
    <row r="23377" spans="25:25" x14ac:dyDescent="0.25">
      <c r="Y23377" s="63"/>
    </row>
    <row r="23378" spans="25:25" x14ac:dyDescent="0.25">
      <c r="Y23378" s="63"/>
    </row>
    <row r="23379" spans="25:25" x14ac:dyDescent="0.25">
      <c r="Y23379" s="63"/>
    </row>
    <row r="23380" spans="25:25" x14ac:dyDescent="0.25">
      <c r="Y23380" s="63"/>
    </row>
    <row r="23381" spans="25:25" x14ac:dyDescent="0.25">
      <c r="Y23381" s="63"/>
    </row>
    <row r="23382" spans="25:25" x14ac:dyDescent="0.25">
      <c r="Y23382" s="63"/>
    </row>
    <row r="23383" spans="25:25" x14ac:dyDescent="0.25">
      <c r="Y23383" s="63"/>
    </row>
    <row r="23384" spans="25:25" x14ac:dyDescent="0.25">
      <c r="Y23384" s="63"/>
    </row>
    <row r="23385" spans="25:25" x14ac:dyDescent="0.25">
      <c r="Y23385" s="63"/>
    </row>
    <row r="23386" spans="25:25" x14ac:dyDescent="0.25">
      <c r="Y23386" s="63"/>
    </row>
    <row r="23387" spans="25:25" x14ac:dyDescent="0.25">
      <c r="Y23387" s="63"/>
    </row>
    <row r="23388" spans="25:25" x14ac:dyDescent="0.25">
      <c r="Y23388" s="63"/>
    </row>
    <row r="23389" spans="25:25" x14ac:dyDescent="0.25">
      <c r="Y23389" s="63"/>
    </row>
    <row r="23390" spans="25:25" x14ac:dyDescent="0.25">
      <c r="Y23390" s="63"/>
    </row>
    <row r="23391" spans="25:25" x14ac:dyDescent="0.25">
      <c r="Y23391" s="63"/>
    </row>
    <row r="23392" spans="25:25" x14ac:dyDescent="0.25">
      <c r="Y23392" s="63"/>
    </row>
    <row r="23393" spans="25:25" x14ac:dyDescent="0.25">
      <c r="Y23393" s="63"/>
    </row>
    <row r="23394" spans="25:25" x14ac:dyDescent="0.25">
      <c r="Y23394" s="63"/>
    </row>
    <row r="23395" spans="25:25" x14ac:dyDescent="0.25">
      <c r="Y23395" s="63"/>
    </row>
    <row r="23396" spans="25:25" x14ac:dyDescent="0.25">
      <c r="Y23396" s="63"/>
    </row>
    <row r="23397" spans="25:25" x14ac:dyDescent="0.25">
      <c r="Y23397" s="63"/>
    </row>
    <row r="23398" spans="25:25" x14ac:dyDescent="0.25">
      <c r="Y23398" s="63"/>
    </row>
    <row r="23399" spans="25:25" x14ac:dyDescent="0.25">
      <c r="Y23399" s="63"/>
    </row>
    <row r="23400" spans="25:25" x14ac:dyDescent="0.25">
      <c r="Y23400" s="63"/>
    </row>
    <row r="23401" spans="25:25" x14ac:dyDescent="0.25">
      <c r="Y23401" s="63"/>
    </row>
    <row r="23402" spans="25:25" x14ac:dyDescent="0.25">
      <c r="Y23402" s="63"/>
    </row>
    <row r="23403" spans="25:25" x14ac:dyDescent="0.25">
      <c r="Y23403" s="63"/>
    </row>
    <row r="23404" spans="25:25" x14ac:dyDescent="0.25">
      <c r="Y23404" s="63"/>
    </row>
    <row r="23405" spans="25:25" x14ac:dyDescent="0.25">
      <c r="Y23405" s="63"/>
    </row>
    <row r="23406" spans="25:25" x14ac:dyDescent="0.25">
      <c r="Y23406" s="63"/>
    </row>
    <row r="23407" spans="25:25" x14ac:dyDescent="0.25">
      <c r="Y23407" s="63"/>
    </row>
    <row r="23408" spans="25:25" x14ac:dyDescent="0.25">
      <c r="Y23408" s="63"/>
    </row>
    <row r="23409" spans="25:25" x14ac:dyDescent="0.25">
      <c r="Y23409" s="63"/>
    </row>
    <row r="23410" spans="25:25" x14ac:dyDescent="0.25">
      <c r="Y23410" s="63"/>
    </row>
    <row r="23411" spans="25:25" x14ac:dyDescent="0.25">
      <c r="Y23411" s="63"/>
    </row>
    <row r="23412" spans="25:25" x14ac:dyDescent="0.25">
      <c r="Y23412" s="63"/>
    </row>
    <row r="23413" spans="25:25" x14ac:dyDescent="0.25">
      <c r="Y23413" s="63"/>
    </row>
    <row r="23414" spans="25:25" x14ac:dyDescent="0.25">
      <c r="Y23414" s="63"/>
    </row>
    <row r="23415" spans="25:25" x14ac:dyDescent="0.25">
      <c r="Y23415" s="63"/>
    </row>
    <row r="23416" spans="25:25" x14ac:dyDescent="0.25">
      <c r="Y23416" s="63"/>
    </row>
    <row r="23417" spans="25:25" x14ac:dyDescent="0.25">
      <c r="Y23417" s="63"/>
    </row>
    <row r="23418" spans="25:25" x14ac:dyDescent="0.25">
      <c r="Y23418" s="63"/>
    </row>
    <row r="23419" spans="25:25" x14ac:dyDescent="0.25">
      <c r="Y23419" s="63"/>
    </row>
    <row r="23420" spans="25:25" x14ac:dyDescent="0.25">
      <c r="Y23420" s="63"/>
    </row>
    <row r="23421" spans="25:25" x14ac:dyDescent="0.25">
      <c r="Y23421" s="63"/>
    </row>
    <row r="23422" spans="25:25" x14ac:dyDescent="0.25">
      <c r="Y23422" s="63"/>
    </row>
    <row r="23423" spans="25:25" x14ac:dyDescent="0.25">
      <c r="Y23423" s="63"/>
    </row>
    <row r="23424" spans="25:25" x14ac:dyDescent="0.25">
      <c r="Y23424" s="63"/>
    </row>
    <row r="23425" spans="25:25" x14ac:dyDescent="0.25">
      <c r="Y23425" s="63"/>
    </row>
    <row r="23426" spans="25:25" x14ac:dyDescent="0.25">
      <c r="Y23426" s="63"/>
    </row>
    <row r="23427" spans="25:25" x14ac:dyDescent="0.25">
      <c r="Y23427" s="63"/>
    </row>
    <row r="23428" spans="25:25" x14ac:dyDescent="0.25">
      <c r="Y23428" s="63"/>
    </row>
    <row r="23429" spans="25:25" x14ac:dyDescent="0.25">
      <c r="Y23429" s="63"/>
    </row>
    <row r="23430" spans="25:25" x14ac:dyDescent="0.25">
      <c r="Y23430" s="63"/>
    </row>
    <row r="23431" spans="25:25" x14ac:dyDescent="0.25">
      <c r="Y23431" s="63"/>
    </row>
    <row r="23432" spans="25:25" x14ac:dyDescent="0.25">
      <c r="Y23432" s="63"/>
    </row>
    <row r="23433" spans="25:25" x14ac:dyDescent="0.25">
      <c r="Y23433" s="63"/>
    </row>
    <row r="23434" spans="25:25" x14ac:dyDescent="0.25">
      <c r="Y23434" s="63"/>
    </row>
    <row r="23435" spans="25:25" x14ac:dyDescent="0.25">
      <c r="Y23435" s="63"/>
    </row>
    <row r="23436" spans="25:25" x14ac:dyDescent="0.25">
      <c r="Y23436" s="63"/>
    </row>
    <row r="23437" spans="25:25" x14ac:dyDescent="0.25">
      <c r="Y23437" s="63"/>
    </row>
    <row r="23438" spans="25:25" x14ac:dyDescent="0.25">
      <c r="Y23438" s="63"/>
    </row>
    <row r="23439" spans="25:25" x14ac:dyDescent="0.25">
      <c r="Y23439" s="63"/>
    </row>
    <row r="23440" spans="25:25" x14ac:dyDescent="0.25">
      <c r="Y23440" s="63"/>
    </row>
    <row r="23441" spans="25:25" x14ac:dyDescent="0.25">
      <c r="Y23441" s="63"/>
    </row>
    <row r="23442" spans="25:25" x14ac:dyDescent="0.25">
      <c r="Y23442" s="63"/>
    </row>
    <row r="23443" spans="25:25" x14ac:dyDescent="0.25">
      <c r="Y23443" s="63"/>
    </row>
    <row r="23444" spans="25:25" x14ac:dyDescent="0.25">
      <c r="Y23444" s="63"/>
    </row>
    <row r="23445" spans="25:25" x14ac:dyDescent="0.25">
      <c r="Y23445" s="63"/>
    </row>
    <row r="23446" spans="25:25" x14ac:dyDescent="0.25">
      <c r="Y23446" s="63"/>
    </row>
    <row r="23447" spans="25:25" x14ac:dyDescent="0.25">
      <c r="Y23447" s="63"/>
    </row>
    <row r="23448" spans="25:25" x14ac:dyDescent="0.25">
      <c r="Y23448" s="63"/>
    </row>
    <row r="23449" spans="25:25" x14ac:dyDescent="0.25">
      <c r="Y23449" s="63"/>
    </row>
    <row r="23450" spans="25:25" x14ac:dyDescent="0.25">
      <c r="Y23450" s="63"/>
    </row>
    <row r="23451" spans="25:25" x14ac:dyDescent="0.25">
      <c r="Y23451" s="63"/>
    </row>
    <row r="23452" spans="25:25" x14ac:dyDescent="0.25">
      <c r="Y23452" s="63"/>
    </row>
    <row r="23453" spans="25:25" x14ac:dyDescent="0.25">
      <c r="Y23453" s="63"/>
    </row>
    <row r="23454" spans="25:25" x14ac:dyDescent="0.25">
      <c r="Y23454" s="63"/>
    </row>
    <row r="23455" spans="25:25" x14ac:dyDescent="0.25">
      <c r="Y23455" s="63"/>
    </row>
    <row r="23456" spans="25:25" x14ac:dyDescent="0.25">
      <c r="Y23456" s="63"/>
    </row>
    <row r="23457" spans="25:25" x14ac:dyDescent="0.25">
      <c r="Y23457" s="63"/>
    </row>
    <row r="23458" spans="25:25" x14ac:dyDescent="0.25">
      <c r="Y23458" s="63"/>
    </row>
    <row r="23459" spans="25:25" x14ac:dyDescent="0.25">
      <c r="Y23459" s="63"/>
    </row>
    <row r="23460" spans="25:25" x14ac:dyDescent="0.25">
      <c r="Y23460" s="63"/>
    </row>
    <row r="23461" spans="25:25" x14ac:dyDescent="0.25">
      <c r="Y23461" s="63"/>
    </row>
    <row r="23462" spans="25:25" x14ac:dyDescent="0.25">
      <c r="Y23462" s="63"/>
    </row>
    <row r="23463" spans="25:25" x14ac:dyDescent="0.25">
      <c r="Y23463" s="63"/>
    </row>
    <row r="23464" spans="25:25" x14ac:dyDescent="0.25">
      <c r="Y23464" s="63"/>
    </row>
    <row r="23465" spans="25:25" x14ac:dyDescent="0.25">
      <c r="Y23465" s="63"/>
    </row>
    <row r="23466" spans="25:25" x14ac:dyDescent="0.25">
      <c r="Y23466" s="63"/>
    </row>
    <row r="23467" spans="25:25" x14ac:dyDescent="0.25">
      <c r="Y23467" s="63"/>
    </row>
    <row r="23468" spans="25:25" x14ac:dyDescent="0.25">
      <c r="Y23468" s="63"/>
    </row>
    <row r="23469" spans="25:25" x14ac:dyDescent="0.25">
      <c r="Y23469" s="63"/>
    </row>
    <row r="23470" spans="25:25" x14ac:dyDescent="0.25">
      <c r="Y23470" s="63"/>
    </row>
    <row r="23471" spans="25:25" x14ac:dyDescent="0.25">
      <c r="Y23471" s="63"/>
    </row>
    <row r="23472" spans="25:25" x14ac:dyDescent="0.25">
      <c r="Y23472" s="63"/>
    </row>
    <row r="23473" spans="25:25" x14ac:dyDescent="0.25">
      <c r="Y23473" s="63"/>
    </row>
    <row r="23474" spans="25:25" x14ac:dyDescent="0.25">
      <c r="Y23474" s="63"/>
    </row>
    <row r="23475" spans="25:25" x14ac:dyDescent="0.25">
      <c r="Y23475" s="63"/>
    </row>
    <row r="23476" spans="25:25" x14ac:dyDescent="0.25">
      <c r="Y23476" s="63"/>
    </row>
    <row r="23477" spans="25:25" x14ac:dyDescent="0.25">
      <c r="Y23477" s="63"/>
    </row>
    <row r="23478" spans="25:25" x14ac:dyDescent="0.25">
      <c r="Y23478" s="63"/>
    </row>
    <row r="23479" spans="25:25" x14ac:dyDescent="0.25">
      <c r="Y23479" s="63"/>
    </row>
    <row r="23480" spans="25:25" x14ac:dyDescent="0.25">
      <c r="Y23480" s="63"/>
    </row>
    <row r="23481" spans="25:25" x14ac:dyDescent="0.25">
      <c r="Y23481" s="63"/>
    </row>
    <row r="23482" spans="25:25" x14ac:dyDescent="0.25">
      <c r="Y23482" s="63"/>
    </row>
    <row r="23483" spans="25:25" x14ac:dyDescent="0.25">
      <c r="Y23483" s="63"/>
    </row>
    <row r="23484" spans="25:25" x14ac:dyDescent="0.25">
      <c r="Y23484" s="63"/>
    </row>
    <row r="23485" spans="25:25" x14ac:dyDescent="0.25">
      <c r="Y23485" s="63"/>
    </row>
    <row r="23486" spans="25:25" x14ac:dyDescent="0.25">
      <c r="Y23486" s="63"/>
    </row>
    <row r="23487" spans="25:25" x14ac:dyDescent="0.25">
      <c r="Y23487" s="63"/>
    </row>
    <row r="23488" spans="25:25" x14ac:dyDescent="0.25">
      <c r="Y23488" s="63"/>
    </row>
    <row r="23489" spans="25:25" x14ac:dyDescent="0.25">
      <c r="Y23489" s="63"/>
    </row>
    <row r="23490" spans="25:25" x14ac:dyDescent="0.25">
      <c r="Y23490" s="63"/>
    </row>
    <row r="23491" spans="25:25" x14ac:dyDescent="0.25">
      <c r="Y23491" s="63"/>
    </row>
    <row r="23492" spans="25:25" x14ac:dyDescent="0.25">
      <c r="Y23492" s="63"/>
    </row>
    <row r="23493" spans="25:25" x14ac:dyDescent="0.25">
      <c r="Y23493" s="63"/>
    </row>
    <row r="23494" spans="25:25" x14ac:dyDescent="0.25">
      <c r="Y23494" s="63"/>
    </row>
    <row r="23495" spans="25:25" x14ac:dyDescent="0.25">
      <c r="Y23495" s="63"/>
    </row>
    <row r="23496" spans="25:25" x14ac:dyDescent="0.25">
      <c r="Y23496" s="63"/>
    </row>
    <row r="23497" spans="25:25" x14ac:dyDescent="0.25">
      <c r="Y23497" s="63"/>
    </row>
    <row r="23498" spans="25:25" x14ac:dyDescent="0.25">
      <c r="Y23498" s="63"/>
    </row>
    <row r="23499" spans="25:25" x14ac:dyDescent="0.25">
      <c r="Y23499" s="63"/>
    </row>
    <row r="23500" spans="25:25" x14ac:dyDescent="0.25">
      <c r="Y23500" s="63"/>
    </row>
    <row r="23501" spans="25:25" x14ac:dyDescent="0.25">
      <c r="Y23501" s="63"/>
    </row>
    <row r="23502" spans="25:25" x14ac:dyDescent="0.25">
      <c r="Y23502" s="63"/>
    </row>
    <row r="23503" spans="25:25" x14ac:dyDescent="0.25">
      <c r="Y23503" s="63"/>
    </row>
    <row r="23504" spans="25:25" x14ac:dyDescent="0.25">
      <c r="Y23504" s="63"/>
    </row>
    <row r="23505" spans="25:25" x14ac:dyDescent="0.25">
      <c r="Y23505" s="63"/>
    </row>
    <row r="23506" spans="25:25" x14ac:dyDescent="0.25">
      <c r="Y23506" s="63"/>
    </row>
    <row r="23507" spans="25:25" x14ac:dyDescent="0.25">
      <c r="Y23507" s="63"/>
    </row>
    <row r="23508" spans="25:25" x14ac:dyDescent="0.25">
      <c r="Y23508" s="63"/>
    </row>
    <row r="23509" spans="25:25" x14ac:dyDescent="0.25">
      <c r="Y23509" s="63"/>
    </row>
    <row r="23510" spans="25:25" x14ac:dyDescent="0.25">
      <c r="Y23510" s="63"/>
    </row>
    <row r="23511" spans="25:25" x14ac:dyDescent="0.25">
      <c r="Y23511" s="63"/>
    </row>
    <row r="23512" spans="25:25" x14ac:dyDescent="0.25">
      <c r="Y23512" s="63"/>
    </row>
    <row r="23513" spans="25:25" x14ac:dyDescent="0.25">
      <c r="Y23513" s="63"/>
    </row>
    <row r="23514" spans="25:25" x14ac:dyDescent="0.25">
      <c r="Y23514" s="63"/>
    </row>
    <row r="23515" spans="25:25" x14ac:dyDescent="0.25">
      <c r="Y23515" s="63"/>
    </row>
    <row r="23516" spans="25:25" x14ac:dyDescent="0.25">
      <c r="Y23516" s="63"/>
    </row>
    <row r="23517" spans="25:25" x14ac:dyDescent="0.25">
      <c r="Y23517" s="63"/>
    </row>
    <row r="23518" spans="25:25" x14ac:dyDescent="0.25">
      <c r="Y23518" s="63"/>
    </row>
    <row r="23519" spans="25:25" x14ac:dyDescent="0.25">
      <c r="Y23519" s="63"/>
    </row>
    <row r="23520" spans="25:25" x14ac:dyDescent="0.25">
      <c r="Y23520" s="63"/>
    </row>
    <row r="23521" spans="25:25" x14ac:dyDescent="0.25">
      <c r="Y23521" s="63"/>
    </row>
    <row r="23522" spans="25:25" x14ac:dyDescent="0.25">
      <c r="Y23522" s="63"/>
    </row>
    <row r="23523" spans="25:25" x14ac:dyDescent="0.25">
      <c r="Y23523" s="63"/>
    </row>
    <row r="23524" spans="25:25" x14ac:dyDescent="0.25">
      <c r="Y23524" s="63"/>
    </row>
    <row r="23525" spans="25:25" x14ac:dyDescent="0.25">
      <c r="Y23525" s="63"/>
    </row>
    <row r="23526" spans="25:25" x14ac:dyDescent="0.25">
      <c r="Y23526" s="63"/>
    </row>
    <row r="23527" spans="25:25" x14ac:dyDescent="0.25">
      <c r="Y23527" s="63"/>
    </row>
    <row r="23528" spans="25:25" x14ac:dyDescent="0.25">
      <c r="Y23528" s="63"/>
    </row>
    <row r="23529" spans="25:25" x14ac:dyDescent="0.25">
      <c r="Y23529" s="63"/>
    </row>
    <row r="23530" spans="25:25" x14ac:dyDescent="0.25">
      <c r="Y23530" s="63"/>
    </row>
    <row r="23531" spans="25:25" x14ac:dyDescent="0.25">
      <c r="Y23531" s="63"/>
    </row>
    <row r="23532" spans="25:25" x14ac:dyDescent="0.25">
      <c r="Y23532" s="63"/>
    </row>
    <row r="23533" spans="25:25" x14ac:dyDescent="0.25">
      <c r="Y23533" s="63"/>
    </row>
    <row r="23534" spans="25:25" x14ac:dyDescent="0.25">
      <c r="Y23534" s="63"/>
    </row>
    <row r="23535" spans="25:25" x14ac:dyDescent="0.25">
      <c r="Y23535" s="63"/>
    </row>
    <row r="23536" spans="25:25" x14ac:dyDescent="0.25">
      <c r="Y23536" s="63"/>
    </row>
    <row r="23537" spans="25:25" x14ac:dyDescent="0.25">
      <c r="Y23537" s="63"/>
    </row>
    <row r="23538" spans="25:25" x14ac:dyDescent="0.25">
      <c r="Y23538" s="63"/>
    </row>
    <row r="23539" spans="25:25" x14ac:dyDescent="0.25">
      <c r="Y23539" s="63"/>
    </row>
    <row r="23540" spans="25:25" x14ac:dyDescent="0.25">
      <c r="Y23540" s="63"/>
    </row>
    <row r="23541" spans="25:25" x14ac:dyDescent="0.25">
      <c r="Y23541" s="63"/>
    </row>
    <row r="23542" spans="25:25" x14ac:dyDescent="0.25">
      <c r="Y23542" s="63"/>
    </row>
    <row r="23543" spans="25:25" x14ac:dyDescent="0.25">
      <c r="Y23543" s="63"/>
    </row>
    <row r="23544" spans="25:25" x14ac:dyDescent="0.25">
      <c r="Y23544" s="63"/>
    </row>
    <row r="23545" spans="25:25" x14ac:dyDescent="0.25">
      <c r="Y23545" s="63"/>
    </row>
    <row r="23546" spans="25:25" x14ac:dyDescent="0.25">
      <c r="Y23546" s="63"/>
    </row>
    <row r="23547" spans="25:25" x14ac:dyDescent="0.25">
      <c r="Y23547" s="63"/>
    </row>
    <row r="23548" spans="25:25" x14ac:dyDescent="0.25">
      <c r="Y23548" s="63"/>
    </row>
    <row r="23549" spans="25:25" x14ac:dyDescent="0.25">
      <c r="Y23549" s="63"/>
    </row>
    <row r="23550" spans="25:25" x14ac:dyDescent="0.25">
      <c r="Y23550" s="63"/>
    </row>
    <row r="23551" spans="25:25" x14ac:dyDescent="0.25">
      <c r="Y23551" s="63"/>
    </row>
    <row r="23552" spans="25:25" x14ac:dyDescent="0.25">
      <c r="Y23552" s="63"/>
    </row>
    <row r="23553" spans="25:25" x14ac:dyDescent="0.25">
      <c r="Y23553" s="63"/>
    </row>
    <row r="23554" spans="25:25" x14ac:dyDescent="0.25">
      <c r="Y23554" s="63"/>
    </row>
    <row r="23555" spans="25:25" x14ac:dyDescent="0.25">
      <c r="Y23555" s="63"/>
    </row>
    <row r="23556" spans="25:25" x14ac:dyDescent="0.25">
      <c r="Y23556" s="63"/>
    </row>
    <row r="23557" spans="25:25" x14ac:dyDescent="0.25">
      <c r="Y23557" s="63"/>
    </row>
    <row r="23558" spans="25:25" x14ac:dyDescent="0.25">
      <c r="Y23558" s="63"/>
    </row>
    <row r="23559" spans="25:25" x14ac:dyDescent="0.25">
      <c r="Y23559" s="63"/>
    </row>
    <row r="23560" spans="25:25" x14ac:dyDescent="0.25">
      <c r="Y23560" s="63"/>
    </row>
    <row r="23561" spans="25:25" x14ac:dyDescent="0.25">
      <c r="Y23561" s="63"/>
    </row>
    <row r="23562" spans="25:25" x14ac:dyDescent="0.25">
      <c r="Y23562" s="63"/>
    </row>
    <row r="23563" spans="25:25" x14ac:dyDescent="0.25">
      <c r="Y23563" s="63"/>
    </row>
    <row r="23564" spans="25:25" x14ac:dyDescent="0.25">
      <c r="Y23564" s="63"/>
    </row>
    <row r="23565" spans="25:25" x14ac:dyDescent="0.25">
      <c r="Y23565" s="63"/>
    </row>
    <row r="23566" spans="25:25" x14ac:dyDescent="0.25">
      <c r="Y23566" s="63"/>
    </row>
    <row r="23567" spans="25:25" x14ac:dyDescent="0.25">
      <c r="Y23567" s="63"/>
    </row>
    <row r="23568" spans="25:25" x14ac:dyDescent="0.25">
      <c r="Y23568" s="63"/>
    </row>
    <row r="23569" spans="25:25" x14ac:dyDescent="0.25">
      <c r="Y23569" s="63"/>
    </row>
    <row r="23570" spans="25:25" x14ac:dyDescent="0.25">
      <c r="Y23570" s="63"/>
    </row>
    <row r="23571" spans="25:25" x14ac:dyDescent="0.25">
      <c r="Y23571" s="63"/>
    </row>
    <row r="23572" spans="25:25" x14ac:dyDescent="0.25">
      <c r="Y23572" s="63"/>
    </row>
    <row r="23573" spans="25:25" x14ac:dyDescent="0.25">
      <c r="Y23573" s="63"/>
    </row>
    <row r="23574" spans="25:25" x14ac:dyDescent="0.25">
      <c r="Y23574" s="63"/>
    </row>
    <row r="23575" spans="25:25" x14ac:dyDescent="0.25">
      <c r="Y23575" s="63"/>
    </row>
    <row r="23576" spans="25:25" x14ac:dyDescent="0.25">
      <c r="Y23576" s="63"/>
    </row>
    <row r="23577" spans="25:25" x14ac:dyDescent="0.25">
      <c r="Y23577" s="63"/>
    </row>
    <row r="23578" spans="25:25" x14ac:dyDescent="0.25">
      <c r="Y23578" s="63"/>
    </row>
    <row r="23579" spans="25:25" x14ac:dyDescent="0.25">
      <c r="Y23579" s="63"/>
    </row>
    <row r="23580" spans="25:25" x14ac:dyDescent="0.25">
      <c r="Y23580" s="63"/>
    </row>
    <row r="23581" spans="25:25" x14ac:dyDescent="0.25">
      <c r="Y23581" s="63"/>
    </row>
    <row r="23582" spans="25:25" x14ac:dyDescent="0.25">
      <c r="Y23582" s="63"/>
    </row>
    <row r="23583" spans="25:25" x14ac:dyDescent="0.25">
      <c r="Y23583" s="63"/>
    </row>
    <row r="23584" spans="25:25" x14ac:dyDescent="0.25">
      <c r="Y23584" s="63"/>
    </row>
    <row r="23585" spans="25:25" x14ac:dyDescent="0.25">
      <c r="Y23585" s="63"/>
    </row>
    <row r="23586" spans="25:25" x14ac:dyDescent="0.25">
      <c r="Y23586" s="63"/>
    </row>
    <row r="23587" spans="25:25" x14ac:dyDescent="0.25">
      <c r="Y23587" s="63"/>
    </row>
    <row r="23588" spans="25:25" x14ac:dyDescent="0.25">
      <c r="Y23588" s="63"/>
    </row>
    <row r="23589" spans="25:25" x14ac:dyDescent="0.25">
      <c r="Y23589" s="63"/>
    </row>
    <row r="23590" spans="25:25" x14ac:dyDescent="0.25">
      <c r="Y23590" s="63"/>
    </row>
    <row r="23591" spans="25:25" x14ac:dyDescent="0.25">
      <c r="Y23591" s="63"/>
    </row>
    <row r="23592" spans="25:25" x14ac:dyDescent="0.25">
      <c r="Y23592" s="63"/>
    </row>
    <row r="23593" spans="25:25" x14ac:dyDescent="0.25">
      <c r="Y23593" s="63"/>
    </row>
    <row r="23594" spans="25:25" x14ac:dyDescent="0.25">
      <c r="Y23594" s="63"/>
    </row>
    <row r="23595" spans="25:25" x14ac:dyDescent="0.25">
      <c r="Y23595" s="63"/>
    </row>
    <row r="23596" spans="25:25" x14ac:dyDescent="0.25">
      <c r="Y23596" s="63"/>
    </row>
    <row r="23597" spans="25:25" x14ac:dyDescent="0.25">
      <c r="Y23597" s="63"/>
    </row>
    <row r="23598" spans="25:25" x14ac:dyDescent="0.25">
      <c r="Y23598" s="63"/>
    </row>
    <row r="23599" spans="25:25" x14ac:dyDescent="0.25">
      <c r="Y23599" s="63"/>
    </row>
    <row r="23600" spans="25:25" x14ac:dyDescent="0.25">
      <c r="Y23600" s="63"/>
    </row>
    <row r="23601" spans="25:25" x14ac:dyDescent="0.25">
      <c r="Y23601" s="63"/>
    </row>
    <row r="23602" spans="25:25" x14ac:dyDescent="0.25">
      <c r="Y23602" s="63"/>
    </row>
    <row r="23603" spans="25:25" x14ac:dyDescent="0.25">
      <c r="Y23603" s="63"/>
    </row>
    <row r="23604" spans="25:25" x14ac:dyDescent="0.25">
      <c r="Y23604" s="63"/>
    </row>
    <row r="23605" spans="25:25" x14ac:dyDescent="0.25">
      <c r="Y23605" s="63"/>
    </row>
    <row r="23606" spans="25:25" x14ac:dyDescent="0.25">
      <c r="Y23606" s="63"/>
    </row>
    <row r="23607" spans="25:25" x14ac:dyDescent="0.25">
      <c r="Y23607" s="63"/>
    </row>
    <row r="23608" spans="25:25" x14ac:dyDescent="0.25">
      <c r="Y23608" s="63"/>
    </row>
    <row r="23609" spans="25:25" x14ac:dyDescent="0.25">
      <c r="Y23609" s="63"/>
    </row>
    <row r="23610" spans="25:25" x14ac:dyDescent="0.25">
      <c r="Y23610" s="63"/>
    </row>
    <row r="23611" spans="25:25" x14ac:dyDescent="0.25">
      <c r="Y23611" s="63"/>
    </row>
    <row r="23612" spans="25:25" x14ac:dyDescent="0.25">
      <c r="Y23612" s="63"/>
    </row>
    <row r="23613" spans="25:25" x14ac:dyDescent="0.25">
      <c r="Y23613" s="63"/>
    </row>
    <row r="23614" spans="25:25" x14ac:dyDescent="0.25">
      <c r="Y23614" s="63"/>
    </row>
    <row r="23615" spans="25:25" x14ac:dyDescent="0.25">
      <c r="Y23615" s="63"/>
    </row>
    <row r="23616" spans="25:25" x14ac:dyDescent="0.25">
      <c r="Y23616" s="63"/>
    </row>
    <row r="23617" spans="25:25" x14ac:dyDescent="0.25">
      <c r="Y23617" s="63"/>
    </row>
    <row r="23618" spans="25:25" x14ac:dyDescent="0.25">
      <c r="Y23618" s="63"/>
    </row>
    <row r="23619" spans="25:25" x14ac:dyDescent="0.25">
      <c r="Y23619" s="63"/>
    </row>
    <row r="23620" spans="25:25" x14ac:dyDescent="0.25">
      <c r="Y23620" s="63"/>
    </row>
    <row r="23621" spans="25:25" x14ac:dyDescent="0.25">
      <c r="Y23621" s="63"/>
    </row>
    <row r="23622" spans="25:25" x14ac:dyDescent="0.25">
      <c r="Y23622" s="63"/>
    </row>
    <row r="23623" spans="25:25" x14ac:dyDescent="0.25">
      <c r="Y23623" s="63"/>
    </row>
    <row r="23624" spans="25:25" x14ac:dyDescent="0.25">
      <c r="Y23624" s="63"/>
    </row>
    <row r="23625" spans="25:25" x14ac:dyDescent="0.25">
      <c r="Y23625" s="63"/>
    </row>
    <row r="23626" spans="25:25" x14ac:dyDescent="0.25">
      <c r="Y23626" s="63"/>
    </row>
    <row r="23627" spans="25:25" x14ac:dyDescent="0.25">
      <c r="Y23627" s="63"/>
    </row>
    <row r="23628" spans="25:25" x14ac:dyDescent="0.25">
      <c r="Y23628" s="63"/>
    </row>
    <row r="23629" spans="25:25" x14ac:dyDescent="0.25">
      <c r="Y23629" s="63"/>
    </row>
    <row r="23630" spans="25:25" x14ac:dyDescent="0.25">
      <c r="Y23630" s="63"/>
    </row>
    <row r="23631" spans="25:25" x14ac:dyDescent="0.25">
      <c r="Y23631" s="63"/>
    </row>
    <row r="23632" spans="25:25" x14ac:dyDescent="0.25">
      <c r="Y23632" s="63"/>
    </row>
    <row r="23633" spans="25:25" x14ac:dyDescent="0.25">
      <c r="Y23633" s="63"/>
    </row>
    <row r="23634" spans="25:25" x14ac:dyDescent="0.25">
      <c r="Y23634" s="63"/>
    </row>
    <row r="23635" spans="25:25" x14ac:dyDescent="0.25">
      <c r="Y23635" s="63"/>
    </row>
    <row r="23636" spans="25:25" x14ac:dyDescent="0.25">
      <c r="Y23636" s="63"/>
    </row>
    <row r="23637" spans="25:25" x14ac:dyDescent="0.25">
      <c r="Y23637" s="63"/>
    </row>
    <row r="23638" spans="25:25" x14ac:dyDescent="0.25">
      <c r="Y23638" s="63"/>
    </row>
    <row r="23639" spans="25:25" x14ac:dyDescent="0.25">
      <c r="Y23639" s="63"/>
    </row>
    <row r="23640" spans="25:25" x14ac:dyDescent="0.25">
      <c r="Y23640" s="63"/>
    </row>
    <row r="23641" spans="25:25" x14ac:dyDescent="0.25">
      <c r="Y23641" s="63"/>
    </row>
    <row r="23642" spans="25:25" x14ac:dyDescent="0.25">
      <c r="Y23642" s="63"/>
    </row>
    <row r="23643" spans="25:25" x14ac:dyDescent="0.25">
      <c r="Y23643" s="63"/>
    </row>
    <row r="23644" spans="25:25" x14ac:dyDescent="0.25">
      <c r="Y23644" s="63"/>
    </row>
    <row r="23645" spans="25:25" x14ac:dyDescent="0.25">
      <c r="Y23645" s="63"/>
    </row>
    <row r="23646" spans="25:25" x14ac:dyDescent="0.25">
      <c r="Y23646" s="63"/>
    </row>
    <row r="23647" spans="25:25" x14ac:dyDescent="0.25">
      <c r="Y23647" s="63"/>
    </row>
    <row r="23648" spans="25:25" x14ac:dyDescent="0.25">
      <c r="Y23648" s="63"/>
    </row>
    <row r="23649" spans="25:25" x14ac:dyDescent="0.25">
      <c r="Y23649" s="63"/>
    </row>
    <row r="23650" spans="25:25" x14ac:dyDescent="0.25">
      <c r="Y23650" s="63"/>
    </row>
    <row r="23651" spans="25:25" x14ac:dyDescent="0.25">
      <c r="Y23651" s="63"/>
    </row>
    <row r="23652" spans="25:25" x14ac:dyDescent="0.25">
      <c r="Y23652" s="63"/>
    </row>
    <row r="23653" spans="25:25" x14ac:dyDescent="0.25">
      <c r="Y23653" s="63"/>
    </row>
    <row r="23654" spans="25:25" x14ac:dyDescent="0.25">
      <c r="Y23654" s="63"/>
    </row>
    <row r="23655" spans="25:25" x14ac:dyDescent="0.25">
      <c r="Y23655" s="63"/>
    </row>
    <row r="23656" spans="25:25" x14ac:dyDescent="0.25">
      <c r="Y23656" s="63"/>
    </row>
    <row r="23657" spans="25:25" x14ac:dyDescent="0.25">
      <c r="Y23657" s="63"/>
    </row>
    <row r="23658" spans="25:25" x14ac:dyDescent="0.25">
      <c r="Y23658" s="63"/>
    </row>
    <row r="23659" spans="25:25" x14ac:dyDescent="0.25">
      <c r="Y23659" s="63"/>
    </row>
    <row r="23660" spans="25:25" x14ac:dyDescent="0.25">
      <c r="Y23660" s="63"/>
    </row>
    <row r="23661" spans="25:25" x14ac:dyDescent="0.25">
      <c r="Y23661" s="63"/>
    </row>
    <row r="23662" spans="25:25" x14ac:dyDescent="0.25">
      <c r="Y23662" s="63"/>
    </row>
    <row r="23663" spans="25:25" x14ac:dyDescent="0.25">
      <c r="Y23663" s="63"/>
    </row>
    <row r="23664" spans="25:25" x14ac:dyDescent="0.25">
      <c r="Y23664" s="63"/>
    </row>
    <row r="23665" spans="25:25" x14ac:dyDescent="0.25">
      <c r="Y23665" s="63"/>
    </row>
    <row r="23666" spans="25:25" x14ac:dyDescent="0.25">
      <c r="Y23666" s="63"/>
    </row>
    <row r="23667" spans="25:25" x14ac:dyDescent="0.25">
      <c r="Y23667" s="63"/>
    </row>
    <row r="23668" spans="25:25" x14ac:dyDescent="0.25">
      <c r="Y23668" s="63"/>
    </row>
    <row r="23669" spans="25:25" x14ac:dyDescent="0.25">
      <c r="Y23669" s="63"/>
    </row>
    <row r="23670" spans="25:25" x14ac:dyDescent="0.25">
      <c r="Y23670" s="63"/>
    </row>
    <row r="23671" spans="25:25" x14ac:dyDescent="0.25">
      <c r="Y23671" s="63"/>
    </row>
    <row r="23672" spans="25:25" x14ac:dyDescent="0.25">
      <c r="Y23672" s="63"/>
    </row>
    <row r="23673" spans="25:25" x14ac:dyDescent="0.25">
      <c r="Y23673" s="63"/>
    </row>
    <row r="23674" spans="25:25" x14ac:dyDescent="0.25">
      <c r="Y23674" s="63"/>
    </row>
    <row r="23675" spans="25:25" x14ac:dyDescent="0.25">
      <c r="Y23675" s="63"/>
    </row>
    <row r="23676" spans="25:25" x14ac:dyDescent="0.25">
      <c r="Y23676" s="63"/>
    </row>
    <row r="23677" spans="25:25" x14ac:dyDescent="0.25">
      <c r="Y23677" s="63"/>
    </row>
    <row r="23678" spans="25:25" x14ac:dyDescent="0.25">
      <c r="Y23678" s="63"/>
    </row>
    <row r="23679" spans="25:25" x14ac:dyDescent="0.25">
      <c r="Y23679" s="63"/>
    </row>
    <row r="23680" spans="25:25" x14ac:dyDescent="0.25">
      <c r="Y23680" s="63"/>
    </row>
    <row r="23681" spans="25:25" x14ac:dyDescent="0.25">
      <c r="Y23681" s="63"/>
    </row>
    <row r="23682" spans="25:25" x14ac:dyDescent="0.25">
      <c r="Y23682" s="63"/>
    </row>
    <row r="23683" spans="25:25" x14ac:dyDescent="0.25">
      <c r="Y23683" s="63"/>
    </row>
    <row r="23684" spans="25:25" x14ac:dyDescent="0.25">
      <c r="Y23684" s="63"/>
    </row>
    <row r="23685" spans="25:25" x14ac:dyDescent="0.25">
      <c r="Y23685" s="63"/>
    </row>
    <row r="23686" spans="25:25" x14ac:dyDescent="0.25">
      <c r="Y23686" s="63"/>
    </row>
    <row r="23687" spans="25:25" x14ac:dyDescent="0.25">
      <c r="Y23687" s="63"/>
    </row>
    <row r="23688" spans="25:25" x14ac:dyDescent="0.25">
      <c r="Y23688" s="63"/>
    </row>
    <row r="23689" spans="25:25" x14ac:dyDescent="0.25">
      <c r="Y23689" s="63"/>
    </row>
    <row r="23690" spans="25:25" x14ac:dyDescent="0.25">
      <c r="Y23690" s="63"/>
    </row>
    <row r="23691" spans="25:25" x14ac:dyDescent="0.25">
      <c r="Y23691" s="63"/>
    </row>
    <row r="23692" spans="25:25" x14ac:dyDescent="0.25">
      <c r="Y23692" s="63"/>
    </row>
    <row r="23693" spans="25:25" x14ac:dyDescent="0.25">
      <c r="Y23693" s="63"/>
    </row>
    <row r="23694" spans="25:25" x14ac:dyDescent="0.25">
      <c r="Y23694" s="63"/>
    </row>
    <row r="23695" spans="25:25" x14ac:dyDescent="0.25">
      <c r="Y23695" s="63"/>
    </row>
    <row r="23696" spans="25:25" x14ac:dyDescent="0.25">
      <c r="Y23696" s="63"/>
    </row>
    <row r="23697" spans="25:25" x14ac:dyDescent="0.25">
      <c r="Y23697" s="63"/>
    </row>
    <row r="23698" spans="25:25" x14ac:dyDescent="0.25">
      <c r="Y23698" s="63"/>
    </row>
    <row r="23699" spans="25:25" x14ac:dyDescent="0.25">
      <c r="Y23699" s="63"/>
    </row>
    <row r="23700" spans="25:25" x14ac:dyDescent="0.25">
      <c r="Y23700" s="63"/>
    </row>
    <row r="23701" spans="25:25" x14ac:dyDescent="0.25">
      <c r="Y23701" s="63"/>
    </row>
    <row r="23702" spans="25:25" x14ac:dyDescent="0.25">
      <c r="Y23702" s="63"/>
    </row>
    <row r="23703" spans="25:25" x14ac:dyDescent="0.25">
      <c r="Y23703" s="63"/>
    </row>
    <row r="23704" spans="25:25" x14ac:dyDescent="0.25">
      <c r="Y23704" s="63"/>
    </row>
    <row r="23705" spans="25:25" x14ac:dyDescent="0.25">
      <c r="Y23705" s="63"/>
    </row>
    <row r="23706" spans="25:25" x14ac:dyDescent="0.25">
      <c r="Y23706" s="63"/>
    </row>
    <row r="23707" spans="25:25" x14ac:dyDescent="0.25">
      <c r="Y23707" s="63"/>
    </row>
    <row r="23708" spans="25:25" x14ac:dyDescent="0.25">
      <c r="Y23708" s="63"/>
    </row>
    <row r="23709" spans="25:25" x14ac:dyDescent="0.25">
      <c r="Y23709" s="63"/>
    </row>
    <row r="23710" spans="25:25" x14ac:dyDescent="0.25">
      <c r="Y23710" s="63"/>
    </row>
    <row r="23711" spans="25:25" x14ac:dyDescent="0.25">
      <c r="Y23711" s="63"/>
    </row>
    <row r="23712" spans="25:25" x14ac:dyDescent="0.25">
      <c r="Y23712" s="63"/>
    </row>
    <row r="23713" spans="25:25" x14ac:dyDescent="0.25">
      <c r="Y23713" s="63"/>
    </row>
    <row r="23714" spans="25:25" x14ac:dyDescent="0.25">
      <c r="Y23714" s="63"/>
    </row>
    <row r="23715" spans="25:25" x14ac:dyDescent="0.25">
      <c r="Y23715" s="63"/>
    </row>
    <row r="23716" spans="25:25" x14ac:dyDescent="0.25">
      <c r="Y23716" s="63"/>
    </row>
    <row r="23717" spans="25:25" x14ac:dyDescent="0.25">
      <c r="Y23717" s="63"/>
    </row>
    <row r="23718" spans="25:25" x14ac:dyDescent="0.25">
      <c r="Y23718" s="63"/>
    </row>
    <row r="23719" spans="25:25" x14ac:dyDescent="0.25">
      <c r="Y23719" s="63"/>
    </row>
    <row r="23720" spans="25:25" x14ac:dyDescent="0.25">
      <c r="Y23720" s="63"/>
    </row>
    <row r="23721" spans="25:25" x14ac:dyDescent="0.25">
      <c r="Y23721" s="63"/>
    </row>
    <row r="23722" spans="25:25" x14ac:dyDescent="0.25">
      <c r="Y23722" s="63"/>
    </row>
    <row r="23723" spans="25:25" x14ac:dyDescent="0.25">
      <c r="Y23723" s="63"/>
    </row>
    <row r="23724" spans="25:25" x14ac:dyDescent="0.25">
      <c r="Y23724" s="63"/>
    </row>
    <row r="23725" spans="25:25" x14ac:dyDescent="0.25">
      <c r="Y23725" s="63"/>
    </row>
    <row r="23726" spans="25:25" x14ac:dyDescent="0.25">
      <c r="Y23726" s="63"/>
    </row>
    <row r="23727" spans="25:25" x14ac:dyDescent="0.25">
      <c r="Y23727" s="63"/>
    </row>
    <row r="23728" spans="25:25" x14ac:dyDescent="0.25">
      <c r="Y23728" s="63"/>
    </row>
    <row r="23729" spans="25:25" x14ac:dyDescent="0.25">
      <c r="Y23729" s="63"/>
    </row>
    <row r="23730" spans="25:25" x14ac:dyDescent="0.25">
      <c r="Y23730" s="63"/>
    </row>
    <row r="23731" spans="25:25" x14ac:dyDescent="0.25">
      <c r="Y23731" s="63"/>
    </row>
    <row r="23732" spans="25:25" x14ac:dyDescent="0.25">
      <c r="Y23732" s="63"/>
    </row>
    <row r="23733" spans="25:25" x14ac:dyDescent="0.25">
      <c r="Y23733" s="63"/>
    </row>
    <row r="23734" spans="25:25" x14ac:dyDescent="0.25">
      <c r="Y23734" s="63"/>
    </row>
    <row r="23735" spans="25:25" x14ac:dyDescent="0.25">
      <c r="Y23735" s="63"/>
    </row>
    <row r="23736" spans="25:25" x14ac:dyDescent="0.25">
      <c r="Y23736" s="63"/>
    </row>
    <row r="23737" spans="25:25" x14ac:dyDescent="0.25">
      <c r="Y23737" s="63"/>
    </row>
    <row r="23738" spans="25:25" x14ac:dyDescent="0.25">
      <c r="Y23738" s="63"/>
    </row>
    <row r="23739" spans="25:25" x14ac:dyDescent="0.25">
      <c r="Y23739" s="63"/>
    </row>
    <row r="23740" spans="25:25" x14ac:dyDescent="0.25">
      <c r="Y23740" s="63"/>
    </row>
    <row r="23741" spans="25:25" x14ac:dyDescent="0.25">
      <c r="Y23741" s="63"/>
    </row>
    <row r="23742" spans="25:25" x14ac:dyDescent="0.25">
      <c r="Y23742" s="63"/>
    </row>
    <row r="23743" spans="25:25" x14ac:dyDescent="0.25">
      <c r="Y23743" s="63"/>
    </row>
    <row r="23744" spans="25:25" x14ac:dyDescent="0.25">
      <c r="Y23744" s="63"/>
    </row>
    <row r="23745" spans="25:25" x14ac:dyDescent="0.25">
      <c r="Y23745" s="63"/>
    </row>
    <row r="23746" spans="25:25" x14ac:dyDescent="0.25">
      <c r="Y23746" s="63"/>
    </row>
    <row r="23747" spans="25:25" x14ac:dyDescent="0.25">
      <c r="Y23747" s="63"/>
    </row>
    <row r="23748" spans="25:25" x14ac:dyDescent="0.25">
      <c r="Y23748" s="63"/>
    </row>
    <row r="23749" spans="25:25" x14ac:dyDescent="0.25">
      <c r="Y23749" s="63"/>
    </row>
    <row r="23750" spans="25:25" x14ac:dyDescent="0.25">
      <c r="Y23750" s="63"/>
    </row>
    <row r="23751" spans="25:25" x14ac:dyDescent="0.25">
      <c r="Y23751" s="63"/>
    </row>
    <row r="23752" spans="25:25" x14ac:dyDescent="0.25">
      <c r="Y23752" s="63"/>
    </row>
    <row r="23753" spans="25:25" x14ac:dyDescent="0.25">
      <c r="Y23753" s="63"/>
    </row>
    <row r="23754" spans="25:25" x14ac:dyDescent="0.25">
      <c r="Y23754" s="63"/>
    </row>
    <row r="23755" spans="25:25" x14ac:dyDescent="0.25">
      <c r="Y23755" s="63"/>
    </row>
    <row r="23756" spans="25:25" x14ac:dyDescent="0.25">
      <c r="Y23756" s="63"/>
    </row>
    <row r="23757" spans="25:25" x14ac:dyDescent="0.25">
      <c r="Y23757" s="63"/>
    </row>
    <row r="23758" spans="25:25" x14ac:dyDescent="0.25">
      <c r="Y23758" s="63"/>
    </row>
    <row r="23759" spans="25:25" x14ac:dyDescent="0.25">
      <c r="Y23759" s="63"/>
    </row>
    <row r="23760" spans="25:25" x14ac:dyDescent="0.25">
      <c r="Y23760" s="63"/>
    </row>
    <row r="23761" spans="25:25" x14ac:dyDescent="0.25">
      <c r="Y23761" s="63"/>
    </row>
    <row r="23762" spans="25:25" x14ac:dyDescent="0.25">
      <c r="Y23762" s="63"/>
    </row>
    <row r="23763" spans="25:25" x14ac:dyDescent="0.25">
      <c r="Y23763" s="63"/>
    </row>
    <row r="23764" spans="25:25" x14ac:dyDescent="0.25">
      <c r="Y23764" s="63"/>
    </row>
    <row r="23765" spans="25:25" x14ac:dyDescent="0.25">
      <c r="Y23765" s="63"/>
    </row>
    <row r="23766" spans="25:25" x14ac:dyDescent="0.25">
      <c r="Y23766" s="63"/>
    </row>
    <row r="23767" spans="25:25" x14ac:dyDescent="0.25">
      <c r="Y23767" s="63"/>
    </row>
    <row r="23768" spans="25:25" x14ac:dyDescent="0.25">
      <c r="Y23768" s="63"/>
    </row>
    <row r="23769" spans="25:25" x14ac:dyDescent="0.25">
      <c r="Y23769" s="63"/>
    </row>
    <row r="23770" spans="25:25" x14ac:dyDescent="0.25">
      <c r="Y23770" s="63"/>
    </row>
    <row r="23771" spans="25:25" x14ac:dyDescent="0.25">
      <c r="Y23771" s="63"/>
    </row>
    <row r="23772" spans="25:25" x14ac:dyDescent="0.25">
      <c r="Y23772" s="63"/>
    </row>
    <row r="23773" spans="25:25" x14ac:dyDescent="0.25">
      <c r="Y23773" s="63"/>
    </row>
    <row r="23774" spans="25:25" x14ac:dyDescent="0.25">
      <c r="Y23774" s="63"/>
    </row>
    <row r="23775" spans="25:25" x14ac:dyDescent="0.25">
      <c r="Y23775" s="63"/>
    </row>
    <row r="23776" spans="25:25" x14ac:dyDescent="0.25">
      <c r="Y23776" s="63"/>
    </row>
    <row r="23777" spans="25:25" x14ac:dyDescent="0.25">
      <c r="Y23777" s="63"/>
    </row>
    <row r="23778" spans="25:25" x14ac:dyDescent="0.25">
      <c r="Y23778" s="63"/>
    </row>
    <row r="23779" spans="25:25" x14ac:dyDescent="0.25">
      <c r="Y23779" s="63"/>
    </row>
    <row r="23780" spans="25:25" x14ac:dyDescent="0.25">
      <c r="Y23780" s="63"/>
    </row>
    <row r="23781" spans="25:25" x14ac:dyDescent="0.25">
      <c r="Y23781" s="63"/>
    </row>
    <row r="23782" spans="25:25" x14ac:dyDescent="0.25">
      <c r="Y23782" s="63"/>
    </row>
    <row r="23783" spans="25:25" x14ac:dyDescent="0.25">
      <c r="Y23783" s="63"/>
    </row>
    <row r="23784" spans="25:25" x14ac:dyDescent="0.25">
      <c r="Y23784" s="63"/>
    </row>
    <row r="23785" spans="25:25" x14ac:dyDescent="0.25">
      <c r="Y23785" s="63"/>
    </row>
    <row r="23786" spans="25:25" x14ac:dyDescent="0.25">
      <c r="Y23786" s="63"/>
    </row>
    <row r="23787" spans="25:25" x14ac:dyDescent="0.25">
      <c r="Y23787" s="63"/>
    </row>
    <row r="23788" spans="25:25" x14ac:dyDescent="0.25">
      <c r="Y23788" s="63"/>
    </row>
    <row r="23789" spans="25:25" x14ac:dyDescent="0.25">
      <c r="Y23789" s="63"/>
    </row>
    <row r="23790" spans="25:25" x14ac:dyDescent="0.25">
      <c r="Y23790" s="63"/>
    </row>
    <row r="23791" spans="25:25" x14ac:dyDescent="0.25">
      <c r="Y23791" s="63"/>
    </row>
    <row r="23792" spans="25:25" x14ac:dyDescent="0.25">
      <c r="Y23792" s="63"/>
    </row>
    <row r="23793" spans="25:25" x14ac:dyDescent="0.25">
      <c r="Y23793" s="63"/>
    </row>
    <row r="23794" spans="25:25" x14ac:dyDescent="0.25">
      <c r="Y23794" s="63"/>
    </row>
    <row r="23795" spans="25:25" x14ac:dyDescent="0.25">
      <c r="Y23795" s="63"/>
    </row>
    <row r="23796" spans="25:25" x14ac:dyDescent="0.25">
      <c r="Y23796" s="63"/>
    </row>
    <row r="23797" spans="25:25" x14ac:dyDescent="0.25">
      <c r="Y23797" s="63"/>
    </row>
    <row r="23798" spans="25:25" x14ac:dyDescent="0.25">
      <c r="Y23798" s="63"/>
    </row>
    <row r="23799" spans="25:25" x14ac:dyDescent="0.25">
      <c r="Y23799" s="63"/>
    </row>
    <row r="23800" spans="25:25" x14ac:dyDescent="0.25">
      <c r="Y23800" s="63"/>
    </row>
    <row r="23801" spans="25:25" x14ac:dyDescent="0.25">
      <c r="Y23801" s="63"/>
    </row>
    <row r="23802" spans="25:25" x14ac:dyDescent="0.25">
      <c r="Y23802" s="63"/>
    </row>
    <row r="23803" spans="25:25" x14ac:dyDescent="0.25">
      <c r="Y23803" s="63"/>
    </row>
    <row r="23804" spans="25:25" x14ac:dyDescent="0.25">
      <c r="Y23804" s="63"/>
    </row>
    <row r="23805" spans="25:25" x14ac:dyDescent="0.25">
      <c r="Y23805" s="63"/>
    </row>
    <row r="23806" spans="25:25" x14ac:dyDescent="0.25">
      <c r="Y23806" s="63"/>
    </row>
    <row r="23807" spans="25:25" x14ac:dyDescent="0.25">
      <c r="Y23807" s="63"/>
    </row>
    <row r="23808" spans="25:25" x14ac:dyDescent="0.25">
      <c r="Y23808" s="63"/>
    </row>
    <row r="23809" spans="25:25" x14ac:dyDescent="0.25">
      <c r="Y23809" s="63"/>
    </row>
    <row r="23810" spans="25:25" x14ac:dyDescent="0.25">
      <c r="Y23810" s="63"/>
    </row>
    <row r="23811" spans="25:25" x14ac:dyDescent="0.25">
      <c r="Y23811" s="63"/>
    </row>
    <row r="23812" spans="25:25" x14ac:dyDescent="0.25">
      <c r="Y23812" s="63"/>
    </row>
    <row r="23813" spans="25:25" x14ac:dyDescent="0.25">
      <c r="Y23813" s="63"/>
    </row>
    <row r="23814" spans="25:25" x14ac:dyDescent="0.25">
      <c r="Y23814" s="63"/>
    </row>
    <row r="23815" spans="25:25" x14ac:dyDescent="0.25">
      <c r="Y23815" s="63"/>
    </row>
    <row r="23816" spans="25:25" x14ac:dyDescent="0.25">
      <c r="Y23816" s="63"/>
    </row>
    <row r="23817" spans="25:25" x14ac:dyDescent="0.25">
      <c r="Y23817" s="63"/>
    </row>
    <row r="23818" spans="25:25" x14ac:dyDescent="0.25">
      <c r="Y23818" s="63"/>
    </row>
    <row r="23819" spans="25:25" x14ac:dyDescent="0.25">
      <c r="Y23819" s="63"/>
    </row>
    <row r="23820" spans="25:25" x14ac:dyDescent="0.25">
      <c r="Y23820" s="63"/>
    </row>
    <row r="23821" spans="25:25" x14ac:dyDescent="0.25">
      <c r="Y23821" s="63"/>
    </row>
    <row r="23822" spans="25:25" x14ac:dyDescent="0.25">
      <c r="Y23822" s="63"/>
    </row>
    <row r="23823" spans="25:25" x14ac:dyDescent="0.25">
      <c r="Y23823" s="63"/>
    </row>
    <row r="23824" spans="25:25" x14ac:dyDescent="0.25">
      <c r="Y23824" s="63"/>
    </row>
    <row r="23825" spans="25:25" x14ac:dyDescent="0.25">
      <c r="Y23825" s="63"/>
    </row>
    <row r="23826" spans="25:25" x14ac:dyDescent="0.25">
      <c r="Y23826" s="63"/>
    </row>
    <row r="23827" spans="25:25" x14ac:dyDescent="0.25">
      <c r="Y23827" s="63"/>
    </row>
    <row r="23828" spans="25:25" x14ac:dyDescent="0.25">
      <c r="Y23828" s="63"/>
    </row>
    <row r="23829" spans="25:25" x14ac:dyDescent="0.25">
      <c r="Y23829" s="63"/>
    </row>
    <row r="23830" spans="25:25" x14ac:dyDescent="0.25">
      <c r="Y23830" s="63"/>
    </row>
    <row r="23831" spans="25:25" x14ac:dyDescent="0.25">
      <c r="Y23831" s="63"/>
    </row>
    <row r="23832" spans="25:25" x14ac:dyDescent="0.25">
      <c r="Y23832" s="63"/>
    </row>
    <row r="23833" spans="25:25" x14ac:dyDescent="0.25">
      <c r="Y23833" s="63"/>
    </row>
    <row r="23834" spans="25:25" x14ac:dyDescent="0.25">
      <c r="Y23834" s="63"/>
    </row>
    <row r="23835" spans="25:25" x14ac:dyDescent="0.25">
      <c r="Y23835" s="63"/>
    </row>
    <row r="23836" spans="25:25" x14ac:dyDescent="0.25">
      <c r="Y23836" s="63"/>
    </row>
    <row r="23837" spans="25:25" x14ac:dyDescent="0.25">
      <c r="Y23837" s="63"/>
    </row>
    <row r="23838" spans="25:25" x14ac:dyDescent="0.25">
      <c r="Y23838" s="63"/>
    </row>
    <row r="23839" spans="25:25" x14ac:dyDescent="0.25">
      <c r="Y23839" s="63"/>
    </row>
    <row r="23840" spans="25:25" x14ac:dyDescent="0.25">
      <c r="Y23840" s="63"/>
    </row>
    <row r="23841" spans="25:25" x14ac:dyDescent="0.25">
      <c r="Y23841" s="63"/>
    </row>
    <row r="23842" spans="25:25" x14ac:dyDescent="0.25">
      <c r="Y23842" s="63"/>
    </row>
    <row r="23843" spans="25:25" x14ac:dyDescent="0.25">
      <c r="Y23843" s="63"/>
    </row>
    <row r="23844" spans="25:25" x14ac:dyDescent="0.25">
      <c r="Y23844" s="63"/>
    </row>
    <row r="23845" spans="25:25" x14ac:dyDescent="0.25">
      <c r="Y23845" s="63"/>
    </row>
    <row r="23846" spans="25:25" x14ac:dyDescent="0.25">
      <c r="Y23846" s="63"/>
    </row>
    <row r="23847" spans="25:25" x14ac:dyDescent="0.25">
      <c r="Y23847" s="63"/>
    </row>
    <row r="23848" spans="25:25" x14ac:dyDescent="0.25">
      <c r="Y23848" s="63"/>
    </row>
    <row r="23849" spans="25:25" x14ac:dyDescent="0.25">
      <c r="Y23849" s="63"/>
    </row>
    <row r="23850" spans="25:25" x14ac:dyDescent="0.25">
      <c r="Y23850" s="63"/>
    </row>
    <row r="23851" spans="25:25" x14ac:dyDescent="0.25">
      <c r="Y23851" s="63"/>
    </row>
    <row r="23852" spans="25:25" x14ac:dyDescent="0.25">
      <c r="Y23852" s="63"/>
    </row>
    <row r="23853" spans="25:25" x14ac:dyDescent="0.25">
      <c r="Y23853" s="63"/>
    </row>
    <row r="23854" spans="25:25" x14ac:dyDescent="0.25">
      <c r="Y23854" s="63"/>
    </row>
    <row r="23855" spans="25:25" x14ac:dyDescent="0.25">
      <c r="Y23855" s="63"/>
    </row>
    <row r="23856" spans="25:25" x14ac:dyDescent="0.25">
      <c r="Y23856" s="63"/>
    </row>
    <row r="23857" spans="25:25" x14ac:dyDescent="0.25">
      <c r="Y23857" s="63"/>
    </row>
    <row r="23858" spans="25:25" x14ac:dyDescent="0.25">
      <c r="Y23858" s="63"/>
    </row>
    <row r="23859" spans="25:25" x14ac:dyDescent="0.25">
      <c r="Y23859" s="63"/>
    </row>
    <row r="23860" spans="25:25" x14ac:dyDescent="0.25">
      <c r="Y23860" s="63"/>
    </row>
    <row r="23861" spans="25:25" x14ac:dyDescent="0.25">
      <c r="Y23861" s="63"/>
    </row>
    <row r="23862" spans="25:25" x14ac:dyDescent="0.25">
      <c r="Y23862" s="63"/>
    </row>
    <row r="23863" spans="25:25" x14ac:dyDescent="0.25">
      <c r="Y23863" s="63"/>
    </row>
    <row r="23864" spans="25:25" x14ac:dyDescent="0.25">
      <c r="Y23864" s="63"/>
    </row>
    <row r="23865" spans="25:25" x14ac:dyDescent="0.25">
      <c r="Y23865" s="63"/>
    </row>
    <row r="23866" spans="25:25" x14ac:dyDescent="0.25">
      <c r="Y23866" s="63"/>
    </row>
    <row r="23867" spans="25:25" x14ac:dyDescent="0.25">
      <c r="Y23867" s="63"/>
    </row>
    <row r="23868" spans="25:25" x14ac:dyDescent="0.25">
      <c r="Y23868" s="63"/>
    </row>
    <row r="23869" spans="25:25" x14ac:dyDescent="0.25">
      <c r="Y23869" s="63"/>
    </row>
    <row r="23870" spans="25:25" x14ac:dyDescent="0.25">
      <c r="Y23870" s="63"/>
    </row>
    <row r="23871" spans="25:25" x14ac:dyDescent="0.25">
      <c r="Y23871" s="63"/>
    </row>
    <row r="23872" spans="25:25" x14ac:dyDescent="0.25">
      <c r="Y23872" s="63"/>
    </row>
    <row r="23873" spans="25:25" x14ac:dyDescent="0.25">
      <c r="Y23873" s="63"/>
    </row>
    <row r="23874" spans="25:25" x14ac:dyDescent="0.25">
      <c r="Y23874" s="63"/>
    </row>
    <row r="23875" spans="25:25" x14ac:dyDescent="0.25">
      <c r="Y23875" s="63"/>
    </row>
    <row r="23876" spans="25:25" x14ac:dyDescent="0.25">
      <c r="Y23876" s="63"/>
    </row>
    <row r="23877" spans="25:25" x14ac:dyDescent="0.25">
      <c r="Y23877" s="63"/>
    </row>
    <row r="23878" spans="25:25" x14ac:dyDescent="0.25">
      <c r="Y23878" s="63"/>
    </row>
    <row r="23879" spans="25:25" x14ac:dyDescent="0.25">
      <c r="Y23879" s="63"/>
    </row>
    <row r="23880" spans="25:25" x14ac:dyDescent="0.25">
      <c r="Y23880" s="63"/>
    </row>
    <row r="23881" spans="25:25" x14ac:dyDescent="0.25">
      <c r="Y23881" s="63"/>
    </row>
    <row r="23882" spans="25:25" x14ac:dyDescent="0.25">
      <c r="Y23882" s="63"/>
    </row>
    <row r="23883" spans="25:25" x14ac:dyDescent="0.25">
      <c r="Y23883" s="63"/>
    </row>
    <row r="23884" spans="25:25" x14ac:dyDescent="0.25">
      <c r="Y23884" s="63"/>
    </row>
    <row r="23885" spans="25:25" x14ac:dyDescent="0.25">
      <c r="Y23885" s="63"/>
    </row>
    <row r="23886" spans="25:25" x14ac:dyDescent="0.25">
      <c r="Y23886" s="63"/>
    </row>
    <row r="23887" spans="25:25" x14ac:dyDescent="0.25">
      <c r="Y23887" s="63"/>
    </row>
    <row r="23888" spans="25:25" x14ac:dyDescent="0.25">
      <c r="Y23888" s="63"/>
    </row>
    <row r="23889" spans="25:25" x14ac:dyDescent="0.25">
      <c r="Y23889" s="63"/>
    </row>
    <row r="23890" spans="25:25" x14ac:dyDescent="0.25">
      <c r="Y23890" s="63"/>
    </row>
    <row r="23891" spans="25:25" x14ac:dyDescent="0.25">
      <c r="Y23891" s="63"/>
    </row>
    <row r="23892" spans="25:25" x14ac:dyDescent="0.25">
      <c r="Y23892" s="63"/>
    </row>
    <row r="23893" spans="25:25" x14ac:dyDescent="0.25">
      <c r="Y23893" s="63"/>
    </row>
    <row r="23894" spans="25:25" x14ac:dyDescent="0.25">
      <c r="Y23894" s="63"/>
    </row>
    <row r="23895" spans="25:25" x14ac:dyDescent="0.25">
      <c r="Y23895" s="63"/>
    </row>
    <row r="23896" spans="25:25" x14ac:dyDescent="0.25">
      <c r="Y23896" s="63"/>
    </row>
    <row r="23897" spans="25:25" x14ac:dyDescent="0.25">
      <c r="Y23897" s="63"/>
    </row>
    <row r="23898" spans="25:25" x14ac:dyDescent="0.25">
      <c r="Y23898" s="63"/>
    </row>
    <row r="23899" spans="25:25" x14ac:dyDescent="0.25">
      <c r="Y23899" s="63"/>
    </row>
    <row r="23900" spans="25:25" x14ac:dyDescent="0.25">
      <c r="Y23900" s="63"/>
    </row>
    <row r="23901" spans="25:25" x14ac:dyDescent="0.25">
      <c r="Y23901" s="63"/>
    </row>
    <row r="23902" spans="25:25" x14ac:dyDescent="0.25">
      <c r="Y23902" s="63"/>
    </row>
    <row r="23903" spans="25:25" x14ac:dyDescent="0.25">
      <c r="Y23903" s="63"/>
    </row>
    <row r="23904" spans="25:25" x14ac:dyDescent="0.25">
      <c r="Y23904" s="63"/>
    </row>
    <row r="23905" spans="25:25" x14ac:dyDescent="0.25">
      <c r="Y23905" s="63"/>
    </row>
    <row r="23906" spans="25:25" x14ac:dyDescent="0.25">
      <c r="Y23906" s="63"/>
    </row>
    <row r="23907" spans="25:25" x14ac:dyDescent="0.25">
      <c r="Y23907" s="63"/>
    </row>
    <row r="23908" spans="25:25" x14ac:dyDescent="0.25">
      <c r="Y23908" s="63"/>
    </row>
    <row r="23909" spans="25:25" x14ac:dyDescent="0.25">
      <c r="Y23909" s="63"/>
    </row>
    <row r="23910" spans="25:25" x14ac:dyDescent="0.25">
      <c r="Y23910" s="63"/>
    </row>
    <row r="23911" spans="25:25" x14ac:dyDescent="0.25">
      <c r="Y23911" s="63"/>
    </row>
    <row r="23912" spans="25:25" x14ac:dyDescent="0.25">
      <c r="Y23912" s="63"/>
    </row>
    <row r="23913" spans="25:25" x14ac:dyDescent="0.25">
      <c r="Y23913" s="63"/>
    </row>
    <row r="23914" spans="25:25" x14ac:dyDescent="0.25">
      <c r="Y23914" s="63"/>
    </row>
    <row r="23915" spans="25:25" x14ac:dyDescent="0.25">
      <c r="Y23915" s="63"/>
    </row>
    <row r="23916" spans="25:25" x14ac:dyDescent="0.25">
      <c r="Y23916" s="63"/>
    </row>
    <row r="23917" spans="25:25" x14ac:dyDescent="0.25">
      <c r="Y23917" s="63"/>
    </row>
    <row r="23918" spans="25:25" x14ac:dyDescent="0.25">
      <c r="Y23918" s="63"/>
    </row>
    <row r="23919" spans="25:25" x14ac:dyDescent="0.25">
      <c r="Y23919" s="63"/>
    </row>
    <row r="23920" spans="25:25" x14ac:dyDescent="0.25">
      <c r="Y23920" s="63"/>
    </row>
    <row r="23921" spans="25:25" x14ac:dyDescent="0.25">
      <c r="Y23921" s="63"/>
    </row>
    <row r="23922" spans="25:25" x14ac:dyDescent="0.25">
      <c r="Y23922" s="63"/>
    </row>
    <row r="23923" spans="25:25" x14ac:dyDescent="0.25">
      <c r="Y23923" s="63"/>
    </row>
    <row r="23924" spans="25:25" x14ac:dyDescent="0.25">
      <c r="Y23924" s="63"/>
    </row>
    <row r="23925" spans="25:25" x14ac:dyDescent="0.25">
      <c r="Y23925" s="63"/>
    </row>
    <row r="23926" spans="25:25" x14ac:dyDescent="0.25">
      <c r="Y23926" s="63"/>
    </row>
    <row r="23927" spans="25:25" x14ac:dyDescent="0.25">
      <c r="Y23927" s="63"/>
    </row>
    <row r="23928" spans="25:25" x14ac:dyDescent="0.25">
      <c r="Y23928" s="63"/>
    </row>
    <row r="23929" spans="25:25" x14ac:dyDescent="0.25">
      <c r="Y23929" s="63"/>
    </row>
    <row r="23930" spans="25:25" x14ac:dyDescent="0.25">
      <c r="Y23930" s="63"/>
    </row>
    <row r="23931" spans="25:25" x14ac:dyDescent="0.25">
      <c r="Y23931" s="63"/>
    </row>
    <row r="23932" spans="25:25" x14ac:dyDescent="0.25">
      <c r="Y23932" s="63"/>
    </row>
    <row r="23933" spans="25:25" x14ac:dyDescent="0.25">
      <c r="Y23933" s="63"/>
    </row>
    <row r="23934" spans="25:25" x14ac:dyDescent="0.25">
      <c r="Y23934" s="63"/>
    </row>
    <row r="23935" spans="25:25" x14ac:dyDescent="0.25">
      <c r="Y23935" s="63"/>
    </row>
    <row r="23936" spans="25:25" x14ac:dyDescent="0.25">
      <c r="Y23936" s="63"/>
    </row>
    <row r="23937" spans="25:25" x14ac:dyDescent="0.25">
      <c r="Y23937" s="63"/>
    </row>
    <row r="23938" spans="25:25" x14ac:dyDescent="0.25">
      <c r="Y23938" s="63"/>
    </row>
    <row r="23939" spans="25:25" x14ac:dyDescent="0.25">
      <c r="Y23939" s="63"/>
    </row>
    <row r="23940" spans="25:25" x14ac:dyDescent="0.25">
      <c r="Y23940" s="63"/>
    </row>
    <row r="23941" spans="25:25" x14ac:dyDescent="0.25">
      <c r="Y23941" s="63"/>
    </row>
    <row r="23942" spans="25:25" x14ac:dyDescent="0.25">
      <c r="Y23942" s="63"/>
    </row>
    <row r="23943" spans="25:25" x14ac:dyDescent="0.25">
      <c r="Y23943" s="63"/>
    </row>
    <row r="23944" spans="25:25" x14ac:dyDescent="0.25">
      <c r="Y23944" s="63"/>
    </row>
    <row r="23945" spans="25:25" x14ac:dyDescent="0.25">
      <c r="Y23945" s="63"/>
    </row>
    <row r="23946" spans="25:25" x14ac:dyDescent="0.25">
      <c r="Y23946" s="63"/>
    </row>
    <row r="23947" spans="25:25" x14ac:dyDescent="0.25">
      <c r="Y23947" s="63"/>
    </row>
    <row r="23948" spans="25:25" x14ac:dyDescent="0.25">
      <c r="Y23948" s="63"/>
    </row>
    <row r="23949" spans="25:25" x14ac:dyDescent="0.25">
      <c r="Y23949" s="63"/>
    </row>
    <row r="23950" spans="25:25" x14ac:dyDescent="0.25">
      <c r="Y23950" s="63"/>
    </row>
    <row r="23951" spans="25:25" x14ac:dyDescent="0.25">
      <c r="Y23951" s="63"/>
    </row>
    <row r="23952" spans="25:25" x14ac:dyDescent="0.25">
      <c r="Y23952" s="63"/>
    </row>
    <row r="23953" spans="25:25" x14ac:dyDescent="0.25">
      <c r="Y23953" s="63"/>
    </row>
    <row r="23954" spans="25:25" x14ac:dyDescent="0.25">
      <c r="Y23954" s="63"/>
    </row>
    <row r="23955" spans="25:25" x14ac:dyDescent="0.25">
      <c r="Y23955" s="63"/>
    </row>
    <row r="23956" spans="25:25" x14ac:dyDescent="0.25">
      <c r="Y23956" s="63"/>
    </row>
    <row r="23957" spans="25:25" x14ac:dyDescent="0.25">
      <c r="Y23957" s="63"/>
    </row>
    <row r="23958" spans="25:25" x14ac:dyDescent="0.25">
      <c r="Y23958" s="63"/>
    </row>
    <row r="23959" spans="25:25" x14ac:dyDescent="0.25">
      <c r="Y23959" s="63"/>
    </row>
    <row r="23960" spans="25:25" x14ac:dyDescent="0.25">
      <c r="Y23960" s="63"/>
    </row>
    <row r="23961" spans="25:25" x14ac:dyDescent="0.25">
      <c r="Y23961" s="63"/>
    </row>
    <row r="23962" spans="25:25" x14ac:dyDescent="0.25">
      <c r="Y23962" s="63"/>
    </row>
    <row r="23963" spans="25:25" x14ac:dyDescent="0.25">
      <c r="Y23963" s="63"/>
    </row>
    <row r="23964" spans="25:25" x14ac:dyDescent="0.25">
      <c r="Y23964" s="63"/>
    </row>
    <row r="23965" spans="25:25" x14ac:dyDescent="0.25">
      <c r="Y23965" s="63"/>
    </row>
    <row r="23966" spans="25:25" x14ac:dyDescent="0.25">
      <c r="Y23966" s="63"/>
    </row>
    <row r="23967" spans="25:25" x14ac:dyDescent="0.25">
      <c r="Y23967" s="63"/>
    </row>
    <row r="23968" spans="25:25" x14ac:dyDescent="0.25">
      <c r="Y23968" s="63"/>
    </row>
    <row r="23969" spans="25:25" x14ac:dyDescent="0.25">
      <c r="Y23969" s="63"/>
    </row>
    <row r="23970" spans="25:25" x14ac:dyDescent="0.25">
      <c r="Y23970" s="63"/>
    </row>
    <row r="23971" spans="25:25" x14ac:dyDescent="0.25">
      <c r="Y23971" s="63"/>
    </row>
    <row r="23972" spans="25:25" x14ac:dyDescent="0.25">
      <c r="Y23972" s="63"/>
    </row>
    <row r="23973" spans="25:25" x14ac:dyDescent="0.25">
      <c r="Y23973" s="63"/>
    </row>
    <row r="23974" spans="25:25" x14ac:dyDescent="0.25">
      <c r="Y23974" s="63"/>
    </row>
    <row r="23975" spans="25:25" x14ac:dyDescent="0.25">
      <c r="Y23975" s="63"/>
    </row>
    <row r="23976" spans="25:25" x14ac:dyDescent="0.25">
      <c r="Y23976" s="63"/>
    </row>
    <row r="23977" spans="25:25" x14ac:dyDescent="0.25">
      <c r="Y23977" s="63"/>
    </row>
    <row r="23978" spans="25:25" x14ac:dyDescent="0.25">
      <c r="Y23978" s="63"/>
    </row>
    <row r="23979" spans="25:25" x14ac:dyDescent="0.25">
      <c r="Y23979" s="63"/>
    </row>
    <row r="23980" spans="25:25" x14ac:dyDescent="0.25">
      <c r="Y23980" s="63"/>
    </row>
    <row r="23981" spans="25:25" x14ac:dyDescent="0.25">
      <c r="Y23981" s="63"/>
    </row>
    <row r="23982" spans="25:25" x14ac:dyDescent="0.25">
      <c r="Y23982" s="63"/>
    </row>
    <row r="23983" spans="25:25" x14ac:dyDescent="0.25">
      <c r="Y23983" s="63"/>
    </row>
    <row r="23984" spans="25:25" x14ac:dyDescent="0.25">
      <c r="Y23984" s="63"/>
    </row>
    <row r="23985" spans="25:25" x14ac:dyDescent="0.25">
      <c r="Y23985" s="63"/>
    </row>
    <row r="23986" spans="25:25" x14ac:dyDescent="0.25">
      <c r="Y23986" s="63"/>
    </row>
    <row r="23987" spans="25:25" x14ac:dyDescent="0.25">
      <c r="Y23987" s="63"/>
    </row>
    <row r="23988" spans="25:25" x14ac:dyDescent="0.25">
      <c r="Y23988" s="63"/>
    </row>
    <row r="23989" spans="25:25" x14ac:dyDescent="0.25">
      <c r="Y23989" s="63"/>
    </row>
    <row r="23990" spans="25:25" x14ac:dyDescent="0.25">
      <c r="Y23990" s="63"/>
    </row>
    <row r="23991" spans="25:25" x14ac:dyDescent="0.25">
      <c r="Y23991" s="63"/>
    </row>
    <row r="23992" spans="25:25" x14ac:dyDescent="0.25">
      <c r="Y23992" s="63"/>
    </row>
    <row r="23993" spans="25:25" x14ac:dyDescent="0.25">
      <c r="Y23993" s="63"/>
    </row>
    <row r="23994" spans="25:25" x14ac:dyDescent="0.25">
      <c r="Y23994" s="63"/>
    </row>
    <row r="23995" spans="25:25" x14ac:dyDescent="0.25">
      <c r="Y23995" s="63"/>
    </row>
    <row r="23996" spans="25:25" x14ac:dyDescent="0.25">
      <c r="Y23996" s="63"/>
    </row>
    <row r="23997" spans="25:25" x14ac:dyDescent="0.25">
      <c r="Y23997" s="63"/>
    </row>
    <row r="23998" spans="25:25" x14ac:dyDescent="0.25">
      <c r="Y23998" s="63"/>
    </row>
    <row r="23999" spans="25:25" x14ac:dyDescent="0.25">
      <c r="Y23999" s="63"/>
    </row>
    <row r="24000" spans="25:25" x14ac:dyDescent="0.25">
      <c r="Y24000" s="63"/>
    </row>
    <row r="24001" spans="25:25" x14ac:dyDescent="0.25">
      <c r="Y24001" s="63"/>
    </row>
    <row r="24002" spans="25:25" x14ac:dyDescent="0.25">
      <c r="Y24002" s="63"/>
    </row>
    <row r="24003" spans="25:25" x14ac:dyDescent="0.25">
      <c r="Y24003" s="63"/>
    </row>
    <row r="24004" spans="25:25" x14ac:dyDescent="0.25">
      <c r="Y24004" s="63"/>
    </row>
    <row r="24005" spans="25:25" x14ac:dyDescent="0.25">
      <c r="Y24005" s="63"/>
    </row>
    <row r="24006" spans="25:25" x14ac:dyDescent="0.25">
      <c r="Y24006" s="63"/>
    </row>
    <row r="24007" spans="25:25" x14ac:dyDescent="0.25">
      <c r="Y24007" s="63"/>
    </row>
    <row r="24008" spans="25:25" x14ac:dyDescent="0.25">
      <c r="Y24008" s="63"/>
    </row>
    <row r="24009" spans="25:25" x14ac:dyDescent="0.25">
      <c r="Y24009" s="63"/>
    </row>
    <row r="24010" spans="25:25" x14ac:dyDescent="0.25">
      <c r="Y24010" s="63"/>
    </row>
    <row r="24011" spans="25:25" x14ac:dyDescent="0.25">
      <c r="Y24011" s="63"/>
    </row>
    <row r="24012" spans="25:25" x14ac:dyDescent="0.25">
      <c r="Y24012" s="63"/>
    </row>
    <row r="24013" spans="25:25" x14ac:dyDescent="0.25">
      <c r="Y24013" s="63"/>
    </row>
    <row r="24014" spans="25:25" x14ac:dyDescent="0.25">
      <c r="Y24014" s="63"/>
    </row>
    <row r="24015" spans="25:25" x14ac:dyDescent="0.25">
      <c r="Y24015" s="63"/>
    </row>
    <row r="24016" spans="25:25" x14ac:dyDescent="0.25">
      <c r="Y24016" s="63"/>
    </row>
    <row r="24017" spans="25:25" x14ac:dyDescent="0.25">
      <c r="Y24017" s="63"/>
    </row>
    <row r="24018" spans="25:25" x14ac:dyDescent="0.25">
      <c r="Y24018" s="63"/>
    </row>
    <row r="24019" spans="25:25" x14ac:dyDescent="0.25">
      <c r="Y24019" s="63"/>
    </row>
    <row r="24020" spans="25:25" x14ac:dyDescent="0.25">
      <c r="Y24020" s="63"/>
    </row>
    <row r="24021" spans="25:25" x14ac:dyDescent="0.25">
      <c r="Y24021" s="63"/>
    </row>
    <row r="24022" spans="25:25" x14ac:dyDescent="0.25">
      <c r="Y24022" s="63"/>
    </row>
    <row r="24023" spans="25:25" x14ac:dyDescent="0.25">
      <c r="Y24023" s="63"/>
    </row>
    <row r="24024" spans="25:25" x14ac:dyDescent="0.25">
      <c r="Y24024" s="63"/>
    </row>
    <row r="24025" spans="25:25" x14ac:dyDescent="0.25">
      <c r="Y24025" s="63"/>
    </row>
    <row r="24026" spans="25:25" x14ac:dyDescent="0.25">
      <c r="Y24026" s="63"/>
    </row>
    <row r="24027" spans="25:25" x14ac:dyDescent="0.25">
      <c r="Y24027" s="63"/>
    </row>
    <row r="24028" spans="25:25" x14ac:dyDescent="0.25">
      <c r="Y24028" s="63"/>
    </row>
    <row r="24029" spans="25:25" x14ac:dyDescent="0.25">
      <c r="Y24029" s="63"/>
    </row>
    <row r="24030" spans="25:25" x14ac:dyDescent="0.25">
      <c r="Y24030" s="63"/>
    </row>
    <row r="24031" spans="25:25" x14ac:dyDescent="0.25">
      <c r="Y24031" s="63"/>
    </row>
    <row r="24032" spans="25:25" x14ac:dyDescent="0.25">
      <c r="Y24032" s="63"/>
    </row>
    <row r="24033" spans="25:25" x14ac:dyDescent="0.25">
      <c r="Y24033" s="63"/>
    </row>
    <row r="24034" spans="25:25" x14ac:dyDescent="0.25">
      <c r="Y24034" s="63"/>
    </row>
    <row r="24035" spans="25:25" x14ac:dyDescent="0.25">
      <c r="Y24035" s="63"/>
    </row>
    <row r="24036" spans="25:25" x14ac:dyDescent="0.25">
      <c r="Y24036" s="63"/>
    </row>
    <row r="24037" spans="25:25" x14ac:dyDescent="0.25">
      <c r="Y24037" s="63"/>
    </row>
    <row r="24038" spans="25:25" x14ac:dyDescent="0.25">
      <c r="Y24038" s="63"/>
    </row>
    <row r="24039" spans="25:25" x14ac:dyDescent="0.25">
      <c r="Y24039" s="63"/>
    </row>
    <row r="24040" spans="25:25" x14ac:dyDescent="0.25">
      <c r="Y24040" s="63"/>
    </row>
    <row r="24041" spans="25:25" x14ac:dyDescent="0.25">
      <c r="Y24041" s="63"/>
    </row>
    <row r="24042" spans="25:25" x14ac:dyDescent="0.25">
      <c r="Y24042" s="63"/>
    </row>
    <row r="24043" spans="25:25" x14ac:dyDescent="0.25">
      <c r="Y24043" s="63"/>
    </row>
    <row r="24044" spans="25:25" x14ac:dyDescent="0.25">
      <c r="Y24044" s="63"/>
    </row>
    <row r="24045" spans="25:25" x14ac:dyDescent="0.25">
      <c r="Y24045" s="63"/>
    </row>
    <row r="24046" spans="25:25" x14ac:dyDescent="0.25">
      <c r="Y24046" s="63"/>
    </row>
    <row r="24047" spans="25:25" x14ac:dyDescent="0.25">
      <c r="Y24047" s="63"/>
    </row>
    <row r="24048" spans="25:25" x14ac:dyDescent="0.25">
      <c r="Y24048" s="63"/>
    </row>
    <row r="24049" spans="25:25" x14ac:dyDescent="0.25">
      <c r="Y24049" s="63"/>
    </row>
    <row r="24050" spans="25:25" x14ac:dyDescent="0.25">
      <c r="Y24050" s="63"/>
    </row>
    <row r="24051" spans="25:25" x14ac:dyDescent="0.25">
      <c r="Y24051" s="63"/>
    </row>
    <row r="24052" spans="25:25" x14ac:dyDescent="0.25">
      <c r="Y24052" s="63"/>
    </row>
    <row r="24053" spans="25:25" x14ac:dyDescent="0.25">
      <c r="Y24053" s="63"/>
    </row>
    <row r="24054" spans="25:25" x14ac:dyDescent="0.25">
      <c r="Y24054" s="63"/>
    </row>
    <row r="24055" spans="25:25" x14ac:dyDescent="0.25">
      <c r="Y24055" s="63"/>
    </row>
    <row r="24056" spans="25:25" x14ac:dyDescent="0.25">
      <c r="Y24056" s="63"/>
    </row>
    <row r="24057" spans="25:25" x14ac:dyDescent="0.25">
      <c r="Y24057" s="63"/>
    </row>
    <row r="24058" spans="25:25" x14ac:dyDescent="0.25">
      <c r="Y24058" s="63"/>
    </row>
    <row r="24059" spans="25:25" x14ac:dyDescent="0.25">
      <c r="Y24059" s="63"/>
    </row>
    <row r="24060" spans="25:25" x14ac:dyDescent="0.25">
      <c r="Y24060" s="63"/>
    </row>
    <row r="24061" spans="25:25" x14ac:dyDescent="0.25">
      <c r="Y24061" s="63"/>
    </row>
    <row r="24062" spans="25:25" x14ac:dyDescent="0.25">
      <c r="Y24062" s="63"/>
    </row>
    <row r="24063" spans="25:25" x14ac:dyDescent="0.25">
      <c r="Y24063" s="63"/>
    </row>
    <row r="24064" spans="25:25" x14ac:dyDescent="0.25">
      <c r="Y24064" s="63"/>
    </row>
    <row r="24065" spans="25:25" x14ac:dyDescent="0.25">
      <c r="Y24065" s="63"/>
    </row>
    <row r="24066" spans="25:25" x14ac:dyDescent="0.25">
      <c r="Y24066" s="63"/>
    </row>
    <row r="24067" spans="25:25" x14ac:dyDescent="0.25">
      <c r="Y24067" s="63"/>
    </row>
    <row r="24068" spans="25:25" x14ac:dyDescent="0.25">
      <c r="Y24068" s="63"/>
    </row>
    <row r="24069" spans="25:25" x14ac:dyDescent="0.25">
      <c r="Y24069" s="63"/>
    </row>
    <row r="24070" spans="25:25" x14ac:dyDescent="0.25">
      <c r="Y24070" s="63"/>
    </row>
    <row r="24071" spans="25:25" x14ac:dyDescent="0.25">
      <c r="Y24071" s="63"/>
    </row>
    <row r="24072" spans="25:25" x14ac:dyDescent="0.25">
      <c r="Y24072" s="63"/>
    </row>
    <row r="24073" spans="25:25" x14ac:dyDescent="0.25">
      <c r="Y24073" s="63"/>
    </row>
    <row r="24074" spans="25:25" x14ac:dyDescent="0.25">
      <c r="Y24074" s="63"/>
    </row>
    <row r="24075" spans="25:25" x14ac:dyDescent="0.25">
      <c r="Y24075" s="63"/>
    </row>
    <row r="24076" spans="25:25" x14ac:dyDescent="0.25">
      <c r="Y24076" s="63"/>
    </row>
    <row r="24077" spans="25:25" x14ac:dyDescent="0.25">
      <c r="Y24077" s="63"/>
    </row>
    <row r="24078" spans="25:25" x14ac:dyDescent="0.25">
      <c r="Y24078" s="63"/>
    </row>
    <row r="24079" spans="25:25" x14ac:dyDescent="0.25">
      <c r="Y24079" s="63"/>
    </row>
    <row r="24080" spans="25:25" x14ac:dyDescent="0.25">
      <c r="Y24080" s="63"/>
    </row>
    <row r="24081" spans="25:25" x14ac:dyDescent="0.25">
      <c r="Y24081" s="63"/>
    </row>
    <row r="24082" spans="25:25" x14ac:dyDescent="0.25">
      <c r="Y24082" s="63"/>
    </row>
    <row r="24083" spans="25:25" x14ac:dyDescent="0.25">
      <c r="Y24083" s="63"/>
    </row>
    <row r="24084" spans="25:25" x14ac:dyDescent="0.25">
      <c r="Y24084" s="63"/>
    </row>
    <row r="24085" spans="25:25" x14ac:dyDescent="0.25">
      <c r="Y24085" s="63"/>
    </row>
    <row r="24086" spans="25:25" x14ac:dyDescent="0.25">
      <c r="Y24086" s="63"/>
    </row>
    <row r="24087" spans="25:25" x14ac:dyDescent="0.25">
      <c r="Y24087" s="63"/>
    </row>
    <row r="24088" spans="25:25" x14ac:dyDescent="0.25">
      <c r="Y24088" s="63"/>
    </row>
    <row r="24089" spans="25:25" x14ac:dyDescent="0.25">
      <c r="Y24089" s="63"/>
    </row>
    <row r="24090" spans="25:25" x14ac:dyDescent="0.25">
      <c r="Y24090" s="63"/>
    </row>
    <row r="24091" spans="25:25" x14ac:dyDescent="0.25">
      <c r="Y24091" s="63"/>
    </row>
    <row r="24092" spans="25:25" x14ac:dyDescent="0.25">
      <c r="Y24092" s="63"/>
    </row>
    <row r="24093" spans="25:25" x14ac:dyDescent="0.25">
      <c r="Y24093" s="63"/>
    </row>
    <row r="24094" spans="25:25" x14ac:dyDescent="0.25">
      <c r="Y24094" s="63"/>
    </row>
    <row r="24095" spans="25:25" x14ac:dyDescent="0.25">
      <c r="Y24095" s="63"/>
    </row>
    <row r="24096" spans="25:25" x14ac:dyDescent="0.25">
      <c r="Y24096" s="63"/>
    </row>
    <row r="24097" spans="25:25" x14ac:dyDescent="0.25">
      <c r="Y24097" s="63"/>
    </row>
    <row r="24098" spans="25:25" x14ac:dyDescent="0.25">
      <c r="Y24098" s="63"/>
    </row>
    <row r="24099" spans="25:25" x14ac:dyDescent="0.25">
      <c r="Y24099" s="63"/>
    </row>
    <row r="24100" spans="25:25" x14ac:dyDescent="0.25">
      <c r="Y24100" s="63"/>
    </row>
    <row r="24101" spans="25:25" x14ac:dyDescent="0.25">
      <c r="Y24101" s="63"/>
    </row>
    <row r="24102" spans="25:25" x14ac:dyDescent="0.25">
      <c r="Y24102" s="63"/>
    </row>
    <row r="24103" spans="25:25" x14ac:dyDescent="0.25">
      <c r="Y24103" s="63"/>
    </row>
    <row r="24104" spans="25:25" x14ac:dyDescent="0.25">
      <c r="Y24104" s="63"/>
    </row>
    <row r="24105" spans="25:25" x14ac:dyDescent="0.25">
      <c r="Y24105" s="63"/>
    </row>
    <row r="24106" spans="25:25" x14ac:dyDescent="0.25">
      <c r="Y24106" s="63"/>
    </row>
    <row r="24107" spans="25:25" x14ac:dyDescent="0.25">
      <c r="Y24107" s="63"/>
    </row>
    <row r="24108" spans="25:25" x14ac:dyDescent="0.25">
      <c r="Y24108" s="63"/>
    </row>
    <row r="24109" spans="25:25" x14ac:dyDescent="0.25">
      <c r="Y24109" s="63"/>
    </row>
    <row r="24110" spans="25:25" x14ac:dyDescent="0.25">
      <c r="Y24110" s="63"/>
    </row>
    <row r="24111" spans="25:25" x14ac:dyDescent="0.25">
      <c r="Y24111" s="63"/>
    </row>
    <row r="24112" spans="25:25" x14ac:dyDescent="0.25">
      <c r="Y24112" s="63"/>
    </row>
    <row r="24113" spans="25:25" x14ac:dyDescent="0.25">
      <c r="Y24113" s="63"/>
    </row>
    <row r="24114" spans="25:25" x14ac:dyDescent="0.25">
      <c r="Y24114" s="63"/>
    </row>
    <row r="24115" spans="25:25" x14ac:dyDescent="0.25">
      <c r="Y24115" s="63"/>
    </row>
    <row r="24116" spans="25:25" x14ac:dyDescent="0.25">
      <c r="Y24116" s="63"/>
    </row>
    <row r="24117" spans="25:25" x14ac:dyDescent="0.25">
      <c r="Y24117" s="63"/>
    </row>
    <row r="24118" spans="25:25" x14ac:dyDescent="0.25">
      <c r="Y24118" s="63"/>
    </row>
    <row r="24119" spans="25:25" x14ac:dyDescent="0.25">
      <c r="Y24119" s="63"/>
    </row>
    <row r="24120" spans="25:25" x14ac:dyDescent="0.25">
      <c r="Y24120" s="63"/>
    </row>
    <row r="24121" spans="25:25" x14ac:dyDescent="0.25">
      <c r="Y24121" s="63"/>
    </row>
    <row r="24122" spans="25:25" x14ac:dyDescent="0.25">
      <c r="Y24122" s="63"/>
    </row>
    <row r="24123" spans="25:25" x14ac:dyDescent="0.25">
      <c r="Y24123" s="63"/>
    </row>
    <row r="24124" spans="25:25" x14ac:dyDescent="0.25">
      <c r="Y24124" s="63"/>
    </row>
    <row r="24125" spans="25:25" x14ac:dyDescent="0.25">
      <c r="Y24125" s="63"/>
    </row>
    <row r="24126" spans="25:25" x14ac:dyDescent="0.25">
      <c r="Y24126" s="63"/>
    </row>
    <row r="24127" spans="25:25" x14ac:dyDescent="0.25">
      <c r="Y24127" s="63"/>
    </row>
    <row r="24128" spans="25:25" x14ac:dyDescent="0.25">
      <c r="Y24128" s="63"/>
    </row>
    <row r="24129" spans="25:25" x14ac:dyDescent="0.25">
      <c r="Y24129" s="63"/>
    </row>
    <row r="24130" spans="25:25" x14ac:dyDescent="0.25">
      <c r="Y24130" s="63"/>
    </row>
    <row r="24131" spans="25:25" x14ac:dyDescent="0.25">
      <c r="Y24131" s="63"/>
    </row>
    <row r="24132" spans="25:25" x14ac:dyDescent="0.25">
      <c r="Y24132" s="63"/>
    </row>
    <row r="24133" spans="25:25" x14ac:dyDescent="0.25">
      <c r="Y24133" s="63"/>
    </row>
    <row r="24134" spans="25:25" x14ac:dyDescent="0.25">
      <c r="Y24134" s="63"/>
    </row>
    <row r="24135" spans="25:25" x14ac:dyDescent="0.25">
      <c r="Y24135" s="63"/>
    </row>
    <row r="24136" spans="25:25" x14ac:dyDescent="0.25">
      <c r="Y24136" s="63"/>
    </row>
    <row r="24137" spans="25:25" x14ac:dyDescent="0.25">
      <c r="Y24137" s="63"/>
    </row>
    <row r="24138" spans="25:25" x14ac:dyDescent="0.25">
      <c r="Y24138" s="63"/>
    </row>
    <row r="24139" spans="25:25" x14ac:dyDescent="0.25">
      <c r="Y24139" s="63"/>
    </row>
    <row r="24140" spans="25:25" x14ac:dyDescent="0.25">
      <c r="Y24140" s="63"/>
    </row>
    <row r="24141" spans="25:25" x14ac:dyDescent="0.25">
      <c r="Y24141" s="63"/>
    </row>
    <row r="24142" spans="25:25" x14ac:dyDescent="0.25">
      <c r="Y24142" s="63"/>
    </row>
    <row r="24143" spans="25:25" x14ac:dyDescent="0.25">
      <c r="Y24143" s="63"/>
    </row>
    <row r="24144" spans="25:25" x14ac:dyDescent="0.25">
      <c r="Y24144" s="63"/>
    </row>
    <row r="24145" spans="25:25" x14ac:dyDescent="0.25">
      <c r="Y24145" s="63"/>
    </row>
    <row r="24146" spans="25:25" x14ac:dyDescent="0.25">
      <c r="Y24146" s="63"/>
    </row>
    <row r="24147" spans="25:25" x14ac:dyDescent="0.25">
      <c r="Y24147" s="63"/>
    </row>
    <row r="24148" spans="25:25" x14ac:dyDescent="0.25">
      <c r="Y24148" s="63"/>
    </row>
    <row r="24149" spans="25:25" x14ac:dyDescent="0.25">
      <c r="Y24149" s="63"/>
    </row>
    <row r="24150" spans="25:25" x14ac:dyDescent="0.25">
      <c r="Y24150" s="63"/>
    </row>
    <row r="24151" spans="25:25" x14ac:dyDescent="0.25">
      <c r="Y24151" s="63"/>
    </row>
    <row r="24152" spans="25:25" x14ac:dyDescent="0.25">
      <c r="Y24152" s="63"/>
    </row>
    <row r="24153" spans="25:25" x14ac:dyDescent="0.25">
      <c r="Y24153" s="63"/>
    </row>
    <row r="24154" spans="25:25" x14ac:dyDescent="0.25">
      <c r="Y24154" s="63"/>
    </row>
    <row r="24155" spans="25:25" x14ac:dyDescent="0.25">
      <c r="Y24155" s="63"/>
    </row>
    <row r="24156" spans="25:25" x14ac:dyDescent="0.25">
      <c r="Y24156" s="63"/>
    </row>
    <row r="24157" spans="25:25" x14ac:dyDescent="0.25">
      <c r="Y24157" s="63"/>
    </row>
    <row r="24158" spans="25:25" x14ac:dyDescent="0.25">
      <c r="Y24158" s="63"/>
    </row>
    <row r="24159" spans="25:25" x14ac:dyDescent="0.25">
      <c r="Y24159" s="63"/>
    </row>
    <row r="24160" spans="25:25" x14ac:dyDescent="0.25">
      <c r="Y24160" s="63"/>
    </row>
    <row r="24161" spans="25:25" x14ac:dyDescent="0.25">
      <c r="Y24161" s="63"/>
    </row>
    <row r="24162" spans="25:25" x14ac:dyDescent="0.25">
      <c r="Y24162" s="63"/>
    </row>
    <row r="24163" spans="25:25" x14ac:dyDescent="0.25">
      <c r="Y24163" s="63"/>
    </row>
    <row r="24164" spans="25:25" x14ac:dyDescent="0.25">
      <c r="Y24164" s="63"/>
    </row>
    <row r="24165" spans="25:25" x14ac:dyDescent="0.25">
      <c r="Y24165" s="63"/>
    </row>
    <row r="24166" spans="25:25" x14ac:dyDescent="0.25">
      <c r="Y24166" s="63"/>
    </row>
    <row r="24167" spans="25:25" x14ac:dyDescent="0.25">
      <c r="Y24167" s="63"/>
    </row>
    <row r="24168" spans="25:25" x14ac:dyDescent="0.25">
      <c r="Y24168" s="63"/>
    </row>
    <row r="24169" spans="25:25" x14ac:dyDescent="0.25">
      <c r="Y24169" s="63"/>
    </row>
    <row r="24170" spans="25:25" x14ac:dyDescent="0.25">
      <c r="Y24170" s="63"/>
    </row>
    <row r="24171" spans="25:25" x14ac:dyDescent="0.25">
      <c r="Y24171" s="63"/>
    </row>
    <row r="24172" spans="25:25" x14ac:dyDescent="0.25">
      <c r="Y24172" s="63"/>
    </row>
    <row r="24173" spans="25:25" x14ac:dyDescent="0.25">
      <c r="Y24173" s="63"/>
    </row>
    <row r="24174" spans="25:25" x14ac:dyDescent="0.25">
      <c r="Y24174" s="63"/>
    </row>
    <row r="24175" spans="25:25" x14ac:dyDescent="0.25">
      <c r="Y24175" s="63"/>
    </row>
    <row r="24176" spans="25:25" x14ac:dyDescent="0.25">
      <c r="Y24176" s="63"/>
    </row>
    <row r="24177" spans="25:25" x14ac:dyDescent="0.25">
      <c r="Y24177" s="63"/>
    </row>
    <row r="24178" spans="25:25" x14ac:dyDescent="0.25">
      <c r="Y24178" s="63"/>
    </row>
    <row r="24179" spans="25:25" x14ac:dyDescent="0.25">
      <c r="Y24179" s="63"/>
    </row>
    <row r="24180" spans="25:25" x14ac:dyDescent="0.25">
      <c r="Y24180" s="63"/>
    </row>
    <row r="24181" spans="25:25" x14ac:dyDescent="0.25">
      <c r="Y24181" s="63"/>
    </row>
    <row r="24182" spans="25:25" x14ac:dyDescent="0.25">
      <c r="Y24182" s="63"/>
    </row>
    <row r="24183" spans="25:25" x14ac:dyDescent="0.25">
      <c r="Y24183" s="63"/>
    </row>
    <row r="24184" spans="25:25" x14ac:dyDescent="0.25">
      <c r="Y24184" s="63"/>
    </row>
    <row r="24185" spans="25:25" x14ac:dyDescent="0.25">
      <c r="Y24185" s="63"/>
    </row>
    <row r="24186" spans="25:25" x14ac:dyDescent="0.25">
      <c r="Y24186" s="63"/>
    </row>
    <row r="24187" spans="25:25" x14ac:dyDescent="0.25">
      <c r="Y24187" s="63"/>
    </row>
    <row r="24188" spans="25:25" x14ac:dyDescent="0.25">
      <c r="Y24188" s="63"/>
    </row>
    <row r="24189" spans="25:25" x14ac:dyDescent="0.25">
      <c r="Y24189" s="63"/>
    </row>
    <row r="24190" spans="25:25" x14ac:dyDescent="0.25">
      <c r="Y24190" s="63"/>
    </row>
    <row r="24191" spans="25:25" x14ac:dyDescent="0.25">
      <c r="Y24191" s="63"/>
    </row>
    <row r="24192" spans="25:25" x14ac:dyDescent="0.25">
      <c r="Y24192" s="63"/>
    </row>
    <row r="24193" spans="25:25" x14ac:dyDescent="0.25">
      <c r="Y24193" s="63"/>
    </row>
    <row r="24194" spans="25:25" x14ac:dyDescent="0.25">
      <c r="Y24194" s="63"/>
    </row>
    <row r="24195" spans="25:25" x14ac:dyDescent="0.25">
      <c r="Y24195" s="63"/>
    </row>
    <row r="24196" spans="25:25" x14ac:dyDescent="0.25">
      <c r="Y24196" s="63"/>
    </row>
    <row r="24197" spans="25:25" x14ac:dyDescent="0.25">
      <c r="Y24197" s="63"/>
    </row>
    <row r="24198" spans="25:25" x14ac:dyDescent="0.25">
      <c r="Y24198" s="63"/>
    </row>
    <row r="24199" spans="25:25" x14ac:dyDescent="0.25">
      <c r="Y24199" s="63"/>
    </row>
    <row r="24200" spans="25:25" x14ac:dyDescent="0.25">
      <c r="Y24200" s="63"/>
    </row>
    <row r="24201" spans="25:25" x14ac:dyDescent="0.25">
      <c r="Y24201" s="63"/>
    </row>
    <row r="24202" spans="25:25" x14ac:dyDescent="0.25">
      <c r="Y24202" s="63"/>
    </row>
    <row r="24203" spans="25:25" x14ac:dyDescent="0.25">
      <c r="Y24203" s="63"/>
    </row>
    <row r="24204" spans="25:25" x14ac:dyDescent="0.25">
      <c r="Y24204" s="63"/>
    </row>
    <row r="24205" spans="25:25" x14ac:dyDescent="0.25">
      <c r="Y24205" s="63"/>
    </row>
    <row r="24206" spans="25:25" x14ac:dyDescent="0.25">
      <c r="Y24206" s="63"/>
    </row>
    <row r="24207" spans="25:25" x14ac:dyDescent="0.25">
      <c r="Y24207" s="63"/>
    </row>
    <row r="24208" spans="25:25" x14ac:dyDescent="0.25">
      <c r="Y24208" s="63"/>
    </row>
    <row r="24209" spans="25:25" x14ac:dyDescent="0.25">
      <c r="Y24209" s="63"/>
    </row>
    <row r="24210" spans="25:25" x14ac:dyDescent="0.25">
      <c r="Y24210" s="63"/>
    </row>
    <row r="24211" spans="25:25" x14ac:dyDescent="0.25">
      <c r="Y24211" s="63"/>
    </row>
    <row r="24212" spans="25:25" x14ac:dyDescent="0.25">
      <c r="Y24212" s="63"/>
    </row>
    <row r="24213" spans="25:25" x14ac:dyDescent="0.25">
      <c r="Y24213" s="63"/>
    </row>
    <row r="24214" spans="25:25" x14ac:dyDescent="0.25">
      <c r="Y24214" s="63"/>
    </row>
    <row r="24215" spans="25:25" x14ac:dyDescent="0.25">
      <c r="Y24215" s="63"/>
    </row>
    <row r="24216" spans="25:25" x14ac:dyDescent="0.25">
      <c r="Y24216" s="63"/>
    </row>
    <row r="24217" spans="25:25" x14ac:dyDescent="0.25">
      <c r="Y24217" s="63"/>
    </row>
    <row r="24218" spans="25:25" x14ac:dyDescent="0.25">
      <c r="Y24218" s="63"/>
    </row>
    <row r="24219" spans="25:25" x14ac:dyDescent="0.25">
      <c r="Y24219" s="63"/>
    </row>
    <row r="24220" spans="25:25" x14ac:dyDescent="0.25">
      <c r="Y24220" s="63"/>
    </row>
    <row r="24221" spans="25:25" x14ac:dyDescent="0.25">
      <c r="Y24221" s="63"/>
    </row>
    <row r="24222" spans="25:25" x14ac:dyDescent="0.25">
      <c r="Y24222" s="63"/>
    </row>
    <row r="24223" spans="25:25" x14ac:dyDescent="0.25">
      <c r="Y24223" s="63"/>
    </row>
    <row r="24224" spans="25:25" x14ac:dyDescent="0.25">
      <c r="Y24224" s="63"/>
    </row>
    <row r="24225" spans="25:25" x14ac:dyDescent="0.25">
      <c r="Y24225" s="63"/>
    </row>
    <row r="24226" spans="25:25" x14ac:dyDescent="0.25">
      <c r="Y24226" s="63"/>
    </row>
    <row r="24227" spans="25:25" x14ac:dyDescent="0.25">
      <c r="Y24227" s="63"/>
    </row>
    <row r="24228" spans="25:25" x14ac:dyDescent="0.25">
      <c r="Y24228" s="63"/>
    </row>
    <row r="24229" spans="25:25" x14ac:dyDescent="0.25">
      <c r="Y24229" s="63"/>
    </row>
    <row r="24230" spans="25:25" x14ac:dyDescent="0.25">
      <c r="Y24230" s="63"/>
    </row>
    <row r="24231" spans="25:25" x14ac:dyDescent="0.25">
      <c r="Y24231" s="63"/>
    </row>
    <row r="24232" spans="25:25" x14ac:dyDescent="0.25">
      <c r="Y24232" s="63"/>
    </row>
    <row r="24233" spans="25:25" x14ac:dyDescent="0.25">
      <c r="Y24233" s="63"/>
    </row>
    <row r="24234" spans="25:25" x14ac:dyDescent="0.25">
      <c r="Y24234" s="63"/>
    </row>
    <row r="24235" spans="25:25" x14ac:dyDescent="0.25">
      <c r="Y24235" s="63"/>
    </row>
    <row r="24236" spans="25:25" x14ac:dyDescent="0.25">
      <c r="Y24236" s="63"/>
    </row>
    <row r="24237" spans="25:25" x14ac:dyDescent="0.25">
      <c r="Y24237" s="63"/>
    </row>
    <row r="24238" spans="25:25" x14ac:dyDescent="0.25">
      <c r="Y24238" s="63"/>
    </row>
    <row r="24239" spans="25:25" x14ac:dyDescent="0.25">
      <c r="Y24239" s="63"/>
    </row>
    <row r="24240" spans="25:25" x14ac:dyDescent="0.25">
      <c r="Y24240" s="63"/>
    </row>
    <row r="24241" spans="25:25" x14ac:dyDescent="0.25">
      <c r="Y24241" s="63"/>
    </row>
    <row r="24242" spans="25:25" x14ac:dyDescent="0.25">
      <c r="Y24242" s="63"/>
    </row>
    <row r="24243" spans="25:25" x14ac:dyDescent="0.25">
      <c r="Y24243" s="63"/>
    </row>
    <row r="24244" spans="25:25" x14ac:dyDescent="0.25">
      <c r="Y24244" s="63"/>
    </row>
    <row r="24245" spans="25:25" x14ac:dyDescent="0.25">
      <c r="Y24245" s="63"/>
    </row>
    <row r="24246" spans="25:25" x14ac:dyDescent="0.25">
      <c r="Y24246" s="63"/>
    </row>
    <row r="24247" spans="25:25" x14ac:dyDescent="0.25">
      <c r="Y24247" s="63"/>
    </row>
    <row r="24248" spans="25:25" x14ac:dyDescent="0.25">
      <c r="Y24248" s="63"/>
    </row>
    <row r="24249" spans="25:25" x14ac:dyDescent="0.25">
      <c r="Y24249" s="63"/>
    </row>
    <row r="24250" spans="25:25" x14ac:dyDescent="0.25">
      <c r="Y24250" s="63"/>
    </row>
    <row r="24251" spans="25:25" x14ac:dyDescent="0.25">
      <c r="Y24251" s="63"/>
    </row>
    <row r="24252" spans="25:25" x14ac:dyDescent="0.25">
      <c r="Y24252" s="63"/>
    </row>
    <row r="24253" spans="25:25" x14ac:dyDescent="0.25">
      <c r="Y24253" s="63"/>
    </row>
    <row r="24254" spans="25:25" x14ac:dyDescent="0.25">
      <c r="Y24254" s="63"/>
    </row>
    <row r="24255" spans="25:25" x14ac:dyDescent="0.25">
      <c r="Y24255" s="63"/>
    </row>
    <row r="24256" spans="25:25" x14ac:dyDescent="0.25">
      <c r="Y24256" s="63"/>
    </row>
    <row r="24257" spans="25:25" x14ac:dyDescent="0.25">
      <c r="Y24257" s="63"/>
    </row>
    <row r="24258" spans="25:25" x14ac:dyDescent="0.25">
      <c r="Y24258" s="63"/>
    </row>
    <row r="24259" spans="25:25" x14ac:dyDescent="0.25">
      <c r="Y24259" s="63"/>
    </row>
    <row r="24260" spans="25:25" x14ac:dyDescent="0.25">
      <c r="Y24260" s="63"/>
    </row>
    <row r="24261" spans="25:25" x14ac:dyDescent="0.25">
      <c r="Y24261" s="63"/>
    </row>
    <row r="24262" spans="25:25" x14ac:dyDescent="0.25">
      <c r="Y24262" s="63"/>
    </row>
    <row r="24263" spans="25:25" x14ac:dyDescent="0.25">
      <c r="Y24263" s="63"/>
    </row>
    <row r="24264" spans="25:25" x14ac:dyDescent="0.25">
      <c r="Y24264" s="63"/>
    </row>
    <row r="24265" spans="25:25" x14ac:dyDescent="0.25">
      <c r="Y24265" s="63"/>
    </row>
    <row r="24266" spans="25:25" x14ac:dyDescent="0.25">
      <c r="Y24266" s="63"/>
    </row>
    <row r="24267" spans="25:25" x14ac:dyDescent="0.25">
      <c r="Y24267" s="63"/>
    </row>
    <row r="24268" spans="25:25" x14ac:dyDescent="0.25">
      <c r="Y24268" s="63"/>
    </row>
    <row r="24269" spans="25:25" x14ac:dyDescent="0.25">
      <c r="Y24269" s="63"/>
    </row>
    <row r="24270" spans="25:25" x14ac:dyDescent="0.25">
      <c r="Y24270" s="63"/>
    </row>
    <row r="24271" spans="25:25" x14ac:dyDescent="0.25">
      <c r="Y24271" s="63"/>
    </row>
    <row r="24272" spans="25:25" x14ac:dyDescent="0.25">
      <c r="Y24272" s="63"/>
    </row>
    <row r="24273" spans="25:25" x14ac:dyDescent="0.25">
      <c r="Y24273" s="63"/>
    </row>
    <row r="24274" spans="25:25" x14ac:dyDescent="0.25">
      <c r="Y24274" s="63"/>
    </row>
    <row r="24275" spans="25:25" x14ac:dyDescent="0.25">
      <c r="Y24275" s="63"/>
    </row>
    <row r="24276" spans="25:25" x14ac:dyDescent="0.25">
      <c r="Y24276" s="63"/>
    </row>
    <row r="24277" spans="25:25" x14ac:dyDescent="0.25">
      <c r="Y24277" s="63"/>
    </row>
    <row r="24278" spans="25:25" x14ac:dyDescent="0.25">
      <c r="Y24278" s="63"/>
    </row>
    <row r="24279" spans="25:25" x14ac:dyDescent="0.25">
      <c r="Y24279" s="63"/>
    </row>
    <row r="24280" spans="25:25" x14ac:dyDescent="0.25">
      <c r="Y24280" s="63"/>
    </row>
    <row r="24281" spans="25:25" x14ac:dyDescent="0.25">
      <c r="Y24281" s="63"/>
    </row>
    <row r="24282" spans="25:25" x14ac:dyDescent="0.25">
      <c r="Y24282" s="63"/>
    </row>
    <row r="24283" spans="25:25" x14ac:dyDescent="0.25">
      <c r="Y24283" s="63"/>
    </row>
    <row r="24284" spans="25:25" x14ac:dyDescent="0.25">
      <c r="Y24284" s="63"/>
    </row>
    <row r="24285" spans="25:25" x14ac:dyDescent="0.25">
      <c r="Y24285" s="63"/>
    </row>
    <row r="24286" spans="25:25" x14ac:dyDescent="0.25">
      <c r="Y24286" s="63"/>
    </row>
    <row r="24287" spans="25:25" x14ac:dyDescent="0.25">
      <c r="Y24287" s="63"/>
    </row>
    <row r="24288" spans="25:25" x14ac:dyDescent="0.25">
      <c r="Y24288" s="63"/>
    </row>
    <row r="24289" spans="25:25" x14ac:dyDescent="0.25">
      <c r="Y24289" s="63"/>
    </row>
    <row r="24290" spans="25:25" x14ac:dyDescent="0.25">
      <c r="Y24290" s="63"/>
    </row>
    <row r="24291" spans="25:25" x14ac:dyDescent="0.25">
      <c r="Y24291" s="63"/>
    </row>
    <row r="24292" spans="25:25" x14ac:dyDescent="0.25">
      <c r="Y24292" s="63"/>
    </row>
    <row r="24293" spans="25:25" x14ac:dyDescent="0.25">
      <c r="Y24293" s="63"/>
    </row>
    <row r="24294" spans="25:25" x14ac:dyDescent="0.25">
      <c r="Y24294" s="63"/>
    </row>
    <row r="24295" spans="25:25" x14ac:dyDescent="0.25">
      <c r="Y24295" s="63"/>
    </row>
    <row r="24296" spans="25:25" x14ac:dyDescent="0.25">
      <c r="Y24296" s="63"/>
    </row>
    <row r="24297" spans="25:25" x14ac:dyDescent="0.25">
      <c r="Y24297" s="63"/>
    </row>
    <row r="24298" spans="25:25" x14ac:dyDescent="0.25">
      <c r="Y24298" s="63"/>
    </row>
    <row r="24299" spans="25:25" x14ac:dyDescent="0.25">
      <c r="Y24299" s="63"/>
    </row>
    <row r="24300" spans="25:25" x14ac:dyDescent="0.25">
      <c r="Y24300" s="63"/>
    </row>
    <row r="24301" spans="25:25" x14ac:dyDescent="0.25">
      <c r="Y24301" s="63"/>
    </row>
    <row r="24302" spans="25:25" x14ac:dyDescent="0.25">
      <c r="Y24302" s="63"/>
    </row>
    <row r="24303" spans="25:25" x14ac:dyDescent="0.25">
      <c r="Y24303" s="63"/>
    </row>
    <row r="24304" spans="25:25" x14ac:dyDescent="0.25">
      <c r="Y24304" s="63"/>
    </row>
    <row r="24305" spans="25:25" x14ac:dyDescent="0.25">
      <c r="Y24305" s="63"/>
    </row>
    <row r="24306" spans="25:25" x14ac:dyDescent="0.25">
      <c r="Y24306" s="63"/>
    </row>
    <row r="24307" spans="25:25" x14ac:dyDescent="0.25">
      <c r="Y24307" s="63"/>
    </row>
    <row r="24308" spans="25:25" x14ac:dyDescent="0.25">
      <c r="Y24308" s="63"/>
    </row>
    <row r="24309" spans="25:25" x14ac:dyDescent="0.25">
      <c r="Y24309" s="63"/>
    </row>
    <row r="24310" spans="25:25" x14ac:dyDescent="0.25">
      <c r="Y24310" s="63"/>
    </row>
    <row r="24311" spans="25:25" x14ac:dyDescent="0.25">
      <c r="Y24311" s="63"/>
    </row>
    <row r="24312" spans="25:25" x14ac:dyDescent="0.25">
      <c r="Y24312" s="63"/>
    </row>
    <row r="24313" spans="25:25" x14ac:dyDescent="0.25">
      <c r="Y24313" s="63"/>
    </row>
    <row r="24314" spans="25:25" x14ac:dyDescent="0.25">
      <c r="Y24314" s="63"/>
    </row>
    <row r="24315" spans="25:25" x14ac:dyDescent="0.25">
      <c r="Y24315" s="63"/>
    </row>
    <row r="24316" spans="25:25" x14ac:dyDescent="0.25">
      <c r="Y24316" s="63"/>
    </row>
    <row r="24317" spans="25:25" x14ac:dyDescent="0.25">
      <c r="Y24317" s="63"/>
    </row>
    <row r="24318" spans="25:25" x14ac:dyDescent="0.25">
      <c r="Y24318" s="63"/>
    </row>
    <row r="24319" spans="25:25" x14ac:dyDescent="0.25">
      <c r="Y24319" s="63"/>
    </row>
    <row r="24320" spans="25:25" x14ac:dyDescent="0.25">
      <c r="Y24320" s="63"/>
    </row>
    <row r="24321" spans="25:25" x14ac:dyDescent="0.25">
      <c r="Y24321" s="63"/>
    </row>
    <row r="24322" spans="25:25" x14ac:dyDescent="0.25">
      <c r="Y24322" s="63"/>
    </row>
    <row r="24323" spans="25:25" x14ac:dyDescent="0.25">
      <c r="Y24323" s="63"/>
    </row>
    <row r="24324" spans="25:25" x14ac:dyDescent="0.25">
      <c r="Y24324" s="63"/>
    </row>
    <row r="24325" spans="25:25" x14ac:dyDescent="0.25">
      <c r="Y24325" s="63"/>
    </row>
    <row r="24326" spans="25:25" x14ac:dyDescent="0.25">
      <c r="Y24326" s="63"/>
    </row>
    <row r="24327" spans="25:25" x14ac:dyDescent="0.25">
      <c r="Y24327" s="63"/>
    </row>
    <row r="24328" spans="25:25" x14ac:dyDescent="0.25">
      <c r="Y24328" s="63"/>
    </row>
    <row r="24329" spans="25:25" x14ac:dyDescent="0.25">
      <c r="Y24329" s="63"/>
    </row>
    <row r="24330" spans="25:25" x14ac:dyDescent="0.25">
      <c r="Y24330" s="63"/>
    </row>
    <row r="24331" spans="25:25" x14ac:dyDescent="0.25">
      <c r="Y24331" s="63"/>
    </row>
    <row r="24332" spans="25:25" x14ac:dyDescent="0.25">
      <c r="Y24332" s="63"/>
    </row>
    <row r="24333" spans="25:25" x14ac:dyDescent="0.25">
      <c r="Y24333" s="63"/>
    </row>
    <row r="24334" spans="25:25" x14ac:dyDescent="0.25">
      <c r="Y24334" s="63"/>
    </row>
    <row r="24335" spans="25:25" x14ac:dyDescent="0.25">
      <c r="Y24335" s="63"/>
    </row>
    <row r="24336" spans="25:25" x14ac:dyDescent="0.25">
      <c r="Y24336" s="63"/>
    </row>
    <row r="24337" spans="25:25" x14ac:dyDescent="0.25">
      <c r="Y24337" s="63"/>
    </row>
    <row r="24338" spans="25:25" x14ac:dyDescent="0.25">
      <c r="Y24338" s="63"/>
    </row>
    <row r="24339" spans="25:25" x14ac:dyDescent="0.25">
      <c r="Y24339" s="63"/>
    </row>
    <row r="24340" spans="25:25" x14ac:dyDescent="0.25">
      <c r="Y24340" s="63"/>
    </row>
    <row r="24341" spans="25:25" x14ac:dyDescent="0.25">
      <c r="Y24341" s="63"/>
    </row>
    <row r="24342" spans="25:25" x14ac:dyDescent="0.25">
      <c r="Y24342" s="63"/>
    </row>
    <row r="24343" spans="25:25" x14ac:dyDescent="0.25">
      <c r="Y24343" s="63"/>
    </row>
    <row r="24344" spans="25:25" x14ac:dyDescent="0.25">
      <c r="Y24344" s="63"/>
    </row>
    <row r="24345" spans="25:25" x14ac:dyDescent="0.25">
      <c r="Y24345" s="63"/>
    </row>
    <row r="24346" spans="25:25" x14ac:dyDescent="0.25">
      <c r="Y24346" s="63"/>
    </row>
    <row r="24347" spans="25:25" x14ac:dyDescent="0.25">
      <c r="Y24347" s="63"/>
    </row>
    <row r="24348" spans="25:25" x14ac:dyDescent="0.25">
      <c r="Y24348" s="63"/>
    </row>
    <row r="24349" spans="25:25" x14ac:dyDescent="0.25">
      <c r="Y24349" s="63"/>
    </row>
    <row r="24350" spans="25:25" x14ac:dyDescent="0.25">
      <c r="Y24350" s="63"/>
    </row>
    <row r="24351" spans="25:25" x14ac:dyDescent="0.25">
      <c r="Y24351" s="63"/>
    </row>
    <row r="24352" spans="25:25" x14ac:dyDescent="0.25">
      <c r="Y24352" s="63"/>
    </row>
    <row r="24353" spans="25:25" x14ac:dyDescent="0.25">
      <c r="Y24353" s="63"/>
    </row>
    <row r="24354" spans="25:25" x14ac:dyDescent="0.25">
      <c r="Y24354" s="63"/>
    </row>
    <row r="24355" spans="25:25" x14ac:dyDescent="0.25">
      <c r="Y24355" s="63"/>
    </row>
    <row r="24356" spans="25:25" x14ac:dyDescent="0.25">
      <c r="Y24356" s="63"/>
    </row>
    <row r="24357" spans="25:25" x14ac:dyDescent="0.25">
      <c r="Y24357" s="63"/>
    </row>
    <row r="24358" spans="25:25" x14ac:dyDescent="0.25">
      <c r="Y24358" s="63"/>
    </row>
    <row r="24359" spans="25:25" x14ac:dyDescent="0.25">
      <c r="Y24359" s="63"/>
    </row>
    <row r="24360" spans="25:25" x14ac:dyDescent="0.25">
      <c r="Y24360" s="63"/>
    </row>
    <row r="24361" spans="25:25" x14ac:dyDescent="0.25">
      <c r="Y24361" s="63"/>
    </row>
    <row r="24362" spans="25:25" x14ac:dyDescent="0.25">
      <c r="Y24362" s="63"/>
    </row>
    <row r="24363" spans="25:25" x14ac:dyDescent="0.25">
      <c r="Y24363" s="63"/>
    </row>
    <row r="24364" spans="25:25" x14ac:dyDescent="0.25">
      <c r="Y24364" s="63"/>
    </row>
    <row r="24365" spans="25:25" x14ac:dyDescent="0.25">
      <c r="Y24365" s="63"/>
    </row>
    <row r="24366" spans="25:25" x14ac:dyDescent="0.25">
      <c r="Y24366" s="63"/>
    </row>
    <row r="24367" spans="25:25" x14ac:dyDescent="0.25">
      <c r="Y24367" s="63"/>
    </row>
    <row r="24368" spans="25:25" x14ac:dyDescent="0.25">
      <c r="Y24368" s="63"/>
    </row>
    <row r="24369" spans="25:25" x14ac:dyDescent="0.25">
      <c r="Y24369" s="63"/>
    </row>
    <row r="24370" spans="25:25" x14ac:dyDescent="0.25">
      <c r="Y24370" s="63"/>
    </row>
    <row r="24371" spans="25:25" x14ac:dyDescent="0.25">
      <c r="Y24371" s="63"/>
    </row>
    <row r="24372" spans="25:25" x14ac:dyDescent="0.25">
      <c r="Y24372" s="63"/>
    </row>
    <row r="24373" spans="25:25" x14ac:dyDescent="0.25">
      <c r="Y24373" s="63"/>
    </row>
    <row r="24374" spans="25:25" x14ac:dyDescent="0.25">
      <c r="Y24374" s="63"/>
    </row>
    <row r="24375" spans="25:25" x14ac:dyDescent="0.25">
      <c r="Y24375" s="63"/>
    </row>
    <row r="24376" spans="25:25" x14ac:dyDescent="0.25">
      <c r="Y24376" s="63"/>
    </row>
    <row r="24377" spans="25:25" x14ac:dyDescent="0.25">
      <c r="Y24377" s="63"/>
    </row>
    <row r="24378" spans="25:25" x14ac:dyDescent="0.25">
      <c r="Y24378" s="63"/>
    </row>
    <row r="24379" spans="25:25" x14ac:dyDescent="0.25">
      <c r="Y24379" s="63"/>
    </row>
    <row r="24380" spans="25:25" x14ac:dyDescent="0.25">
      <c r="Y24380" s="63"/>
    </row>
    <row r="24381" spans="25:25" x14ac:dyDescent="0.25">
      <c r="Y24381" s="63"/>
    </row>
    <row r="24382" spans="25:25" x14ac:dyDescent="0.25">
      <c r="Y24382" s="63"/>
    </row>
    <row r="24383" spans="25:25" x14ac:dyDescent="0.25">
      <c r="Y24383" s="63"/>
    </row>
    <row r="24384" spans="25:25" x14ac:dyDescent="0.25">
      <c r="Y24384" s="63"/>
    </row>
    <row r="24385" spans="25:25" x14ac:dyDescent="0.25">
      <c r="Y24385" s="63"/>
    </row>
    <row r="24386" spans="25:25" x14ac:dyDescent="0.25">
      <c r="Y24386" s="63"/>
    </row>
    <row r="24387" spans="25:25" x14ac:dyDescent="0.25">
      <c r="Y24387" s="63"/>
    </row>
    <row r="24388" spans="25:25" x14ac:dyDescent="0.25">
      <c r="Y24388" s="63"/>
    </row>
    <row r="24389" spans="25:25" x14ac:dyDescent="0.25">
      <c r="Y24389" s="63"/>
    </row>
    <row r="24390" spans="25:25" x14ac:dyDescent="0.25">
      <c r="Y24390" s="63"/>
    </row>
    <row r="24391" spans="25:25" x14ac:dyDescent="0.25">
      <c r="Y24391" s="63"/>
    </row>
    <row r="24392" spans="25:25" x14ac:dyDescent="0.25">
      <c r="Y24392" s="63"/>
    </row>
    <row r="24393" spans="25:25" x14ac:dyDescent="0.25">
      <c r="Y24393" s="63"/>
    </row>
    <row r="24394" spans="25:25" x14ac:dyDescent="0.25">
      <c r="Y24394" s="63"/>
    </row>
    <row r="24395" spans="25:25" x14ac:dyDescent="0.25">
      <c r="Y24395" s="63"/>
    </row>
    <row r="24396" spans="25:25" x14ac:dyDescent="0.25">
      <c r="Y24396" s="63"/>
    </row>
    <row r="24397" spans="25:25" x14ac:dyDescent="0.25">
      <c r="Y24397" s="63"/>
    </row>
    <row r="24398" spans="25:25" x14ac:dyDescent="0.25">
      <c r="Y24398" s="63"/>
    </row>
    <row r="24399" spans="25:25" x14ac:dyDescent="0.25">
      <c r="Y24399" s="63"/>
    </row>
    <row r="24400" spans="25:25" x14ac:dyDescent="0.25">
      <c r="Y24400" s="63"/>
    </row>
    <row r="24401" spans="25:25" x14ac:dyDescent="0.25">
      <c r="Y24401" s="63"/>
    </row>
    <row r="24402" spans="25:25" x14ac:dyDescent="0.25">
      <c r="Y24402" s="63"/>
    </row>
    <row r="24403" spans="25:25" x14ac:dyDescent="0.25">
      <c r="Y24403" s="63"/>
    </row>
    <row r="24404" spans="25:25" x14ac:dyDescent="0.25">
      <c r="Y24404" s="63"/>
    </row>
    <row r="24405" spans="25:25" x14ac:dyDescent="0.25">
      <c r="Y24405" s="63"/>
    </row>
    <row r="24406" spans="25:25" x14ac:dyDescent="0.25">
      <c r="Y24406" s="63"/>
    </row>
    <row r="24407" spans="25:25" x14ac:dyDescent="0.25">
      <c r="Y24407" s="63"/>
    </row>
    <row r="24408" spans="25:25" x14ac:dyDescent="0.25">
      <c r="Y24408" s="63"/>
    </row>
    <row r="24409" spans="25:25" x14ac:dyDescent="0.25">
      <c r="Y24409" s="63"/>
    </row>
    <row r="24410" spans="25:25" x14ac:dyDescent="0.25">
      <c r="Y24410" s="63"/>
    </row>
    <row r="24411" spans="25:25" x14ac:dyDescent="0.25">
      <c r="Y24411" s="63"/>
    </row>
    <row r="24412" spans="25:25" x14ac:dyDescent="0.25">
      <c r="Y24412" s="63"/>
    </row>
    <row r="24413" spans="25:25" x14ac:dyDescent="0.25">
      <c r="Y24413" s="63"/>
    </row>
    <row r="24414" spans="25:25" x14ac:dyDescent="0.25">
      <c r="Y24414" s="63"/>
    </row>
    <row r="24415" spans="25:25" x14ac:dyDescent="0.25">
      <c r="Y24415" s="63"/>
    </row>
    <row r="24416" spans="25:25" x14ac:dyDescent="0.25">
      <c r="Y24416" s="63"/>
    </row>
    <row r="24417" spans="25:25" x14ac:dyDescent="0.25">
      <c r="Y24417" s="63"/>
    </row>
    <row r="24418" spans="25:25" x14ac:dyDescent="0.25">
      <c r="Y24418" s="63"/>
    </row>
    <row r="24419" spans="25:25" x14ac:dyDescent="0.25">
      <c r="Y24419" s="63"/>
    </row>
    <row r="24420" spans="25:25" x14ac:dyDescent="0.25">
      <c r="Y24420" s="63"/>
    </row>
    <row r="24421" spans="25:25" x14ac:dyDescent="0.25">
      <c r="Y24421" s="63"/>
    </row>
    <row r="24422" spans="25:25" x14ac:dyDescent="0.25">
      <c r="Y24422" s="63"/>
    </row>
    <row r="24423" spans="25:25" x14ac:dyDescent="0.25">
      <c r="Y24423" s="63"/>
    </row>
    <row r="24424" spans="25:25" x14ac:dyDescent="0.25">
      <c r="Y24424" s="63"/>
    </row>
    <row r="24425" spans="25:25" x14ac:dyDescent="0.25">
      <c r="Y24425" s="63"/>
    </row>
    <row r="24426" spans="25:25" x14ac:dyDescent="0.25">
      <c r="Y24426" s="63"/>
    </row>
    <row r="24427" spans="25:25" x14ac:dyDescent="0.25">
      <c r="Y24427" s="63"/>
    </row>
    <row r="24428" spans="25:25" x14ac:dyDescent="0.25">
      <c r="Y24428" s="63"/>
    </row>
    <row r="24429" spans="25:25" x14ac:dyDescent="0.25">
      <c r="Y24429" s="63"/>
    </row>
    <row r="24430" spans="25:25" x14ac:dyDescent="0.25">
      <c r="Y24430" s="63"/>
    </row>
    <row r="24431" spans="25:25" x14ac:dyDescent="0.25">
      <c r="Y24431" s="63"/>
    </row>
    <row r="24432" spans="25:25" x14ac:dyDescent="0.25">
      <c r="Y24432" s="63"/>
    </row>
    <row r="24433" spans="25:25" x14ac:dyDescent="0.25">
      <c r="Y24433" s="63"/>
    </row>
    <row r="24434" spans="25:25" x14ac:dyDescent="0.25">
      <c r="Y24434" s="63"/>
    </row>
    <row r="24435" spans="25:25" x14ac:dyDescent="0.25">
      <c r="Y24435" s="63"/>
    </row>
    <row r="24436" spans="25:25" x14ac:dyDescent="0.25">
      <c r="Y24436" s="63"/>
    </row>
    <row r="24437" spans="25:25" x14ac:dyDescent="0.25">
      <c r="Y24437" s="63"/>
    </row>
    <row r="24438" spans="25:25" x14ac:dyDescent="0.25">
      <c r="Y24438" s="63"/>
    </row>
    <row r="24439" spans="25:25" x14ac:dyDescent="0.25">
      <c r="Y24439" s="63"/>
    </row>
    <row r="24440" spans="25:25" x14ac:dyDescent="0.25">
      <c r="Y24440" s="63"/>
    </row>
    <row r="24441" spans="25:25" x14ac:dyDescent="0.25">
      <c r="Y24441" s="63"/>
    </row>
    <row r="24442" spans="25:25" x14ac:dyDescent="0.25">
      <c r="Y24442" s="63"/>
    </row>
    <row r="24443" spans="25:25" x14ac:dyDescent="0.25">
      <c r="Y24443" s="63"/>
    </row>
    <row r="24444" spans="25:25" x14ac:dyDescent="0.25">
      <c r="Y24444" s="63"/>
    </row>
    <row r="24445" spans="25:25" x14ac:dyDescent="0.25">
      <c r="Y24445" s="63"/>
    </row>
    <row r="24446" spans="25:25" x14ac:dyDescent="0.25">
      <c r="Y24446" s="63"/>
    </row>
    <row r="24447" spans="25:25" x14ac:dyDescent="0.25">
      <c r="Y24447" s="63"/>
    </row>
    <row r="24448" spans="25:25" x14ac:dyDescent="0.25">
      <c r="Y24448" s="63"/>
    </row>
    <row r="24449" spans="25:25" x14ac:dyDescent="0.25">
      <c r="Y24449" s="63"/>
    </row>
    <row r="24450" spans="25:25" x14ac:dyDescent="0.25">
      <c r="Y24450" s="63"/>
    </row>
    <row r="24451" spans="25:25" x14ac:dyDescent="0.25">
      <c r="Y24451" s="63"/>
    </row>
    <row r="24452" spans="25:25" x14ac:dyDescent="0.25">
      <c r="Y24452" s="63"/>
    </row>
    <row r="24453" spans="25:25" x14ac:dyDescent="0.25">
      <c r="Y24453" s="63"/>
    </row>
    <row r="24454" spans="25:25" x14ac:dyDescent="0.25">
      <c r="Y24454" s="63"/>
    </row>
    <row r="24455" spans="25:25" x14ac:dyDescent="0.25">
      <c r="Y24455" s="63"/>
    </row>
    <row r="24456" spans="25:25" x14ac:dyDescent="0.25">
      <c r="Y24456" s="63"/>
    </row>
    <row r="24457" spans="25:25" x14ac:dyDescent="0.25">
      <c r="Y24457" s="63"/>
    </row>
    <row r="24458" spans="25:25" x14ac:dyDescent="0.25">
      <c r="Y24458" s="63"/>
    </row>
    <row r="24459" spans="25:25" x14ac:dyDescent="0.25">
      <c r="Y24459" s="63"/>
    </row>
    <row r="24460" spans="25:25" x14ac:dyDescent="0.25">
      <c r="Y24460" s="63"/>
    </row>
    <row r="24461" spans="25:25" x14ac:dyDescent="0.25">
      <c r="Y24461" s="63"/>
    </row>
    <row r="24462" spans="25:25" x14ac:dyDescent="0.25">
      <c r="Y24462" s="63"/>
    </row>
    <row r="24463" spans="25:25" x14ac:dyDescent="0.25">
      <c r="Y24463" s="63"/>
    </row>
    <row r="24464" spans="25:25" x14ac:dyDescent="0.25">
      <c r="Y24464" s="63"/>
    </row>
    <row r="24465" spans="25:25" x14ac:dyDescent="0.25">
      <c r="Y24465" s="63"/>
    </row>
    <row r="24466" spans="25:25" x14ac:dyDescent="0.25">
      <c r="Y24466" s="63"/>
    </row>
    <row r="24467" spans="25:25" x14ac:dyDescent="0.25">
      <c r="Y24467" s="63"/>
    </row>
    <row r="24468" spans="25:25" x14ac:dyDescent="0.25">
      <c r="Y24468" s="63"/>
    </row>
    <row r="24469" spans="25:25" x14ac:dyDescent="0.25">
      <c r="Y24469" s="63"/>
    </row>
    <row r="24470" spans="25:25" x14ac:dyDescent="0.25">
      <c r="Y24470" s="63"/>
    </row>
    <row r="24471" spans="25:25" x14ac:dyDescent="0.25">
      <c r="Y24471" s="63"/>
    </row>
    <row r="24472" spans="25:25" x14ac:dyDescent="0.25">
      <c r="Y24472" s="63"/>
    </row>
    <row r="24473" spans="25:25" x14ac:dyDescent="0.25">
      <c r="Y24473" s="63"/>
    </row>
    <row r="24474" spans="25:25" x14ac:dyDescent="0.25">
      <c r="Y24474" s="63"/>
    </row>
    <row r="24475" spans="25:25" x14ac:dyDescent="0.25">
      <c r="Y24475" s="63"/>
    </row>
    <row r="24476" spans="25:25" x14ac:dyDescent="0.25">
      <c r="Y24476" s="63"/>
    </row>
    <row r="24477" spans="25:25" x14ac:dyDescent="0.25">
      <c r="Y24477" s="63"/>
    </row>
    <row r="24478" spans="25:25" x14ac:dyDescent="0.25">
      <c r="Y24478" s="63"/>
    </row>
    <row r="24479" spans="25:25" x14ac:dyDescent="0.25">
      <c r="Y24479" s="63"/>
    </row>
    <row r="24480" spans="25:25" x14ac:dyDescent="0.25">
      <c r="Y24480" s="63"/>
    </row>
    <row r="24481" spans="25:25" x14ac:dyDescent="0.25">
      <c r="Y24481" s="63"/>
    </row>
    <row r="24482" spans="25:25" x14ac:dyDescent="0.25">
      <c r="Y24482" s="63"/>
    </row>
    <row r="24483" spans="25:25" x14ac:dyDescent="0.25">
      <c r="Y24483" s="63"/>
    </row>
    <row r="24484" spans="25:25" x14ac:dyDescent="0.25">
      <c r="Y24484" s="63"/>
    </row>
    <row r="24485" spans="25:25" x14ac:dyDescent="0.25">
      <c r="Y24485" s="63"/>
    </row>
    <row r="24486" spans="25:25" x14ac:dyDescent="0.25">
      <c r="Y24486" s="63"/>
    </row>
    <row r="24487" spans="25:25" x14ac:dyDescent="0.25">
      <c r="Y24487" s="63"/>
    </row>
    <row r="24488" spans="25:25" x14ac:dyDescent="0.25">
      <c r="Y24488" s="63"/>
    </row>
    <row r="24489" spans="25:25" x14ac:dyDescent="0.25">
      <c r="Y24489" s="63"/>
    </row>
    <row r="24490" spans="25:25" x14ac:dyDescent="0.25">
      <c r="Y24490" s="63"/>
    </row>
    <row r="24491" spans="25:25" x14ac:dyDescent="0.25">
      <c r="Y24491" s="63"/>
    </row>
    <row r="24492" spans="25:25" x14ac:dyDescent="0.25">
      <c r="Y24492" s="63"/>
    </row>
    <row r="24493" spans="25:25" x14ac:dyDescent="0.25">
      <c r="Y24493" s="63"/>
    </row>
    <row r="24494" spans="25:25" x14ac:dyDescent="0.25">
      <c r="Y24494" s="63"/>
    </row>
    <row r="24495" spans="25:25" x14ac:dyDescent="0.25">
      <c r="Y24495" s="63"/>
    </row>
    <row r="24496" spans="25:25" x14ac:dyDescent="0.25">
      <c r="Y24496" s="63"/>
    </row>
    <row r="24497" spans="25:25" x14ac:dyDescent="0.25">
      <c r="Y24497" s="63"/>
    </row>
    <row r="24498" spans="25:25" x14ac:dyDescent="0.25">
      <c r="Y24498" s="63"/>
    </row>
    <row r="24499" spans="25:25" x14ac:dyDescent="0.25">
      <c r="Y24499" s="63"/>
    </row>
    <row r="24500" spans="25:25" x14ac:dyDescent="0.25">
      <c r="Y24500" s="63"/>
    </row>
    <row r="24501" spans="25:25" x14ac:dyDescent="0.25">
      <c r="Y24501" s="63"/>
    </row>
    <row r="24502" spans="25:25" x14ac:dyDescent="0.25">
      <c r="Y24502" s="63"/>
    </row>
    <row r="24503" spans="25:25" x14ac:dyDescent="0.25">
      <c r="Y24503" s="63"/>
    </row>
    <row r="24504" spans="25:25" x14ac:dyDescent="0.25">
      <c r="Y24504" s="63"/>
    </row>
    <row r="24505" spans="25:25" x14ac:dyDescent="0.25">
      <c r="Y24505" s="63"/>
    </row>
    <row r="24506" spans="25:25" x14ac:dyDescent="0.25">
      <c r="Y24506" s="63"/>
    </row>
    <row r="24507" spans="25:25" x14ac:dyDescent="0.25">
      <c r="Y24507" s="63"/>
    </row>
    <row r="24508" spans="25:25" x14ac:dyDescent="0.25">
      <c r="Y24508" s="63"/>
    </row>
    <row r="24509" spans="25:25" x14ac:dyDescent="0.25">
      <c r="Y24509" s="63"/>
    </row>
    <row r="24510" spans="25:25" x14ac:dyDescent="0.25">
      <c r="Y24510" s="63"/>
    </row>
    <row r="24511" spans="25:25" x14ac:dyDescent="0.25">
      <c r="Y24511" s="63"/>
    </row>
    <row r="24512" spans="25:25" x14ac:dyDescent="0.25">
      <c r="Y24512" s="63"/>
    </row>
    <row r="24513" spans="25:25" x14ac:dyDescent="0.25">
      <c r="Y24513" s="63"/>
    </row>
    <row r="24514" spans="25:25" x14ac:dyDescent="0.25">
      <c r="Y24514" s="63"/>
    </row>
    <row r="24515" spans="25:25" x14ac:dyDescent="0.25">
      <c r="Y24515" s="63"/>
    </row>
    <row r="24516" spans="25:25" x14ac:dyDescent="0.25">
      <c r="Y24516" s="63"/>
    </row>
    <row r="24517" spans="25:25" x14ac:dyDescent="0.25">
      <c r="Y24517" s="63"/>
    </row>
    <row r="24518" spans="25:25" x14ac:dyDescent="0.25">
      <c r="Y24518" s="63"/>
    </row>
    <row r="24519" spans="25:25" x14ac:dyDescent="0.25">
      <c r="Y24519" s="63"/>
    </row>
    <row r="24520" spans="25:25" x14ac:dyDescent="0.25">
      <c r="Y24520" s="63"/>
    </row>
    <row r="24521" spans="25:25" x14ac:dyDescent="0.25">
      <c r="Y24521" s="63"/>
    </row>
    <row r="24522" spans="25:25" x14ac:dyDescent="0.25">
      <c r="Y24522" s="63"/>
    </row>
    <row r="24523" spans="25:25" x14ac:dyDescent="0.25">
      <c r="Y24523" s="63"/>
    </row>
    <row r="24524" spans="25:25" x14ac:dyDescent="0.25">
      <c r="Y24524" s="63"/>
    </row>
    <row r="24525" spans="25:25" x14ac:dyDescent="0.25">
      <c r="Y24525" s="63"/>
    </row>
    <row r="24526" spans="25:25" x14ac:dyDescent="0.25">
      <c r="Y24526" s="63"/>
    </row>
    <row r="24527" spans="25:25" x14ac:dyDescent="0.25">
      <c r="Y24527" s="63"/>
    </row>
    <row r="24528" spans="25:25" x14ac:dyDescent="0.25">
      <c r="Y24528" s="63"/>
    </row>
    <row r="24529" spans="25:25" x14ac:dyDescent="0.25">
      <c r="Y24529" s="63"/>
    </row>
    <row r="24530" spans="25:25" x14ac:dyDescent="0.25">
      <c r="Y24530" s="63"/>
    </row>
    <row r="24531" spans="25:25" x14ac:dyDescent="0.25">
      <c r="Y24531" s="63"/>
    </row>
    <row r="24532" spans="25:25" x14ac:dyDescent="0.25">
      <c r="Y24532" s="63"/>
    </row>
    <row r="24533" spans="25:25" x14ac:dyDescent="0.25">
      <c r="Y24533" s="63"/>
    </row>
    <row r="24534" spans="25:25" x14ac:dyDescent="0.25">
      <c r="Y24534" s="63"/>
    </row>
    <row r="24535" spans="25:25" x14ac:dyDescent="0.25">
      <c r="Y24535" s="63"/>
    </row>
    <row r="24536" spans="25:25" x14ac:dyDescent="0.25">
      <c r="Y24536" s="63"/>
    </row>
    <row r="24537" spans="25:25" x14ac:dyDescent="0.25">
      <c r="Y24537" s="63"/>
    </row>
    <row r="24538" spans="25:25" x14ac:dyDescent="0.25">
      <c r="Y24538" s="63"/>
    </row>
    <row r="24539" spans="25:25" x14ac:dyDescent="0.25">
      <c r="Y24539" s="63"/>
    </row>
    <row r="24540" spans="25:25" x14ac:dyDescent="0.25">
      <c r="Y24540" s="63"/>
    </row>
    <row r="24541" spans="25:25" x14ac:dyDescent="0.25">
      <c r="Y24541" s="63"/>
    </row>
    <row r="24542" spans="25:25" x14ac:dyDescent="0.25">
      <c r="Y24542" s="63"/>
    </row>
    <row r="24543" spans="25:25" x14ac:dyDescent="0.25">
      <c r="Y24543" s="63"/>
    </row>
    <row r="24544" spans="25:25" x14ac:dyDescent="0.25">
      <c r="Y24544" s="63"/>
    </row>
    <row r="24545" spans="25:25" x14ac:dyDescent="0.25">
      <c r="Y24545" s="63"/>
    </row>
    <row r="24546" spans="25:25" x14ac:dyDescent="0.25">
      <c r="Y24546" s="63"/>
    </row>
    <row r="24547" spans="25:25" x14ac:dyDescent="0.25">
      <c r="Y24547" s="63"/>
    </row>
    <row r="24548" spans="25:25" x14ac:dyDescent="0.25">
      <c r="Y24548" s="63"/>
    </row>
    <row r="24549" spans="25:25" x14ac:dyDescent="0.25">
      <c r="Y24549" s="63"/>
    </row>
    <row r="24550" spans="25:25" x14ac:dyDescent="0.25">
      <c r="Y24550" s="63"/>
    </row>
    <row r="24551" spans="25:25" x14ac:dyDescent="0.25">
      <c r="Y24551" s="63"/>
    </row>
    <row r="24552" spans="25:25" x14ac:dyDescent="0.25">
      <c r="Y24552" s="63"/>
    </row>
    <row r="24553" spans="25:25" x14ac:dyDescent="0.25">
      <c r="Y24553" s="63"/>
    </row>
    <row r="24554" spans="25:25" x14ac:dyDescent="0.25">
      <c r="Y24554" s="63"/>
    </row>
    <row r="24555" spans="25:25" x14ac:dyDescent="0.25">
      <c r="Y24555" s="63"/>
    </row>
    <row r="24556" spans="25:25" x14ac:dyDescent="0.25">
      <c r="Y24556" s="63"/>
    </row>
    <row r="24557" spans="25:25" x14ac:dyDescent="0.25">
      <c r="Y24557" s="63"/>
    </row>
    <row r="24558" spans="25:25" x14ac:dyDescent="0.25">
      <c r="Y24558" s="63"/>
    </row>
    <row r="24559" spans="25:25" x14ac:dyDescent="0.25">
      <c r="Y24559" s="63"/>
    </row>
    <row r="24560" spans="25:25" x14ac:dyDescent="0.25">
      <c r="Y24560" s="63"/>
    </row>
    <row r="24561" spans="25:25" x14ac:dyDescent="0.25">
      <c r="Y24561" s="63"/>
    </row>
    <row r="24562" spans="25:25" x14ac:dyDescent="0.25">
      <c r="Y24562" s="63"/>
    </row>
    <row r="24563" spans="25:25" x14ac:dyDescent="0.25">
      <c r="Y24563" s="63"/>
    </row>
    <row r="24564" spans="25:25" x14ac:dyDescent="0.25">
      <c r="Y24564" s="63"/>
    </row>
    <row r="24565" spans="25:25" x14ac:dyDescent="0.25">
      <c r="Y24565" s="63"/>
    </row>
    <row r="24566" spans="25:25" x14ac:dyDescent="0.25">
      <c r="Y24566" s="63"/>
    </row>
    <row r="24567" spans="25:25" x14ac:dyDescent="0.25">
      <c r="Y24567" s="63"/>
    </row>
    <row r="24568" spans="25:25" x14ac:dyDescent="0.25">
      <c r="Y24568" s="63"/>
    </row>
    <row r="24569" spans="25:25" x14ac:dyDescent="0.25">
      <c r="Y24569" s="63"/>
    </row>
    <row r="24570" spans="25:25" x14ac:dyDescent="0.25">
      <c r="Y24570" s="63"/>
    </row>
    <row r="24571" spans="25:25" x14ac:dyDescent="0.25">
      <c r="Y24571" s="63"/>
    </row>
    <row r="24572" spans="25:25" x14ac:dyDescent="0.25">
      <c r="Y24572" s="63"/>
    </row>
    <row r="24573" spans="25:25" x14ac:dyDescent="0.25">
      <c r="Y24573" s="63"/>
    </row>
    <row r="24574" spans="25:25" x14ac:dyDescent="0.25">
      <c r="Y24574" s="63"/>
    </row>
    <row r="24575" spans="25:25" x14ac:dyDescent="0.25">
      <c r="Y24575" s="63"/>
    </row>
    <row r="24576" spans="25:25" x14ac:dyDescent="0.25">
      <c r="Y24576" s="63"/>
    </row>
    <row r="24577" spans="25:25" x14ac:dyDescent="0.25">
      <c r="Y24577" s="63"/>
    </row>
    <row r="24578" spans="25:25" x14ac:dyDescent="0.25">
      <c r="Y24578" s="63"/>
    </row>
    <row r="24579" spans="25:25" x14ac:dyDescent="0.25">
      <c r="Y24579" s="63"/>
    </row>
    <row r="24580" spans="25:25" x14ac:dyDescent="0.25">
      <c r="Y24580" s="63"/>
    </row>
    <row r="24581" spans="25:25" x14ac:dyDescent="0.25">
      <c r="Y24581" s="63"/>
    </row>
    <row r="24582" spans="25:25" x14ac:dyDescent="0.25">
      <c r="Y24582" s="63"/>
    </row>
    <row r="24583" spans="25:25" x14ac:dyDescent="0.25">
      <c r="Y24583" s="63"/>
    </row>
    <row r="24584" spans="25:25" x14ac:dyDescent="0.25">
      <c r="Y24584" s="63"/>
    </row>
    <row r="24585" spans="25:25" x14ac:dyDescent="0.25">
      <c r="Y24585" s="63"/>
    </row>
    <row r="24586" spans="25:25" x14ac:dyDescent="0.25">
      <c r="Y24586" s="63"/>
    </row>
    <row r="24587" spans="25:25" x14ac:dyDescent="0.25">
      <c r="Y24587" s="63"/>
    </row>
    <row r="24588" spans="25:25" x14ac:dyDescent="0.25">
      <c r="Y24588" s="63"/>
    </row>
    <row r="24589" spans="25:25" x14ac:dyDescent="0.25">
      <c r="Y24589" s="63"/>
    </row>
    <row r="24590" spans="25:25" x14ac:dyDescent="0.25">
      <c r="Y24590" s="63"/>
    </row>
    <row r="24591" spans="25:25" x14ac:dyDescent="0.25">
      <c r="Y24591" s="63"/>
    </row>
    <row r="24592" spans="25:25" x14ac:dyDescent="0.25">
      <c r="Y24592" s="63"/>
    </row>
    <row r="24593" spans="25:25" x14ac:dyDescent="0.25">
      <c r="Y24593" s="63"/>
    </row>
    <row r="24594" spans="25:25" x14ac:dyDescent="0.25">
      <c r="Y24594" s="63"/>
    </row>
    <row r="24595" spans="25:25" x14ac:dyDescent="0.25">
      <c r="Y24595" s="63"/>
    </row>
    <row r="24596" spans="25:25" x14ac:dyDescent="0.25">
      <c r="Y24596" s="63"/>
    </row>
    <row r="24597" spans="25:25" x14ac:dyDescent="0.25">
      <c r="Y24597" s="63"/>
    </row>
    <row r="24598" spans="25:25" x14ac:dyDescent="0.25">
      <c r="Y24598" s="63"/>
    </row>
    <row r="24599" spans="25:25" x14ac:dyDescent="0.25">
      <c r="Y24599" s="63"/>
    </row>
    <row r="24600" spans="25:25" x14ac:dyDescent="0.25">
      <c r="Y24600" s="63"/>
    </row>
    <row r="24601" spans="25:25" x14ac:dyDescent="0.25">
      <c r="Y24601" s="63"/>
    </row>
    <row r="24602" spans="25:25" x14ac:dyDescent="0.25">
      <c r="Y24602" s="63"/>
    </row>
    <row r="24603" spans="25:25" x14ac:dyDescent="0.25">
      <c r="Y24603" s="63"/>
    </row>
    <row r="24604" spans="25:25" x14ac:dyDescent="0.25">
      <c r="Y24604" s="63"/>
    </row>
    <row r="24605" spans="25:25" x14ac:dyDescent="0.25">
      <c r="Y24605" s="63"/>
    </row>
    <row r="24606" spans="25:25" x14ac:dyDescent="0.25">
      <c r="Y24606" s="63"/>
    </row>
    <row r="24607" spans="25:25" x14ac:dyDescent="0.25">
      <c r="Y24607" s="63"/>
    </row>
    <row r="24608" spans="25:25" x14ac:dyDescent="0.25">
      <c r="Y24608" s="63"/>
    </row>
    <row r="24609" spans="25:25" x14ac:dyDescent="0.25">
      <c r="Y24609" s="63"/>
    </row>
    <row r="24610" spans="25:25" x14ac:dyDescent="0.25">
      <c r="Y24610" s="63"/>
    </row>
    <row r="24611" spans="25:25" x14ac:dyDescent="0.25">
      <c r="Y24611" s="63"/>
    </row>
    <row r="24612" spans="25:25" x14ac:dyDescent="0.25">
      <c r="Y24612" s="63"/>
    </row>
    <row r="24613" spans="25:25" x14ac:dyDescent="0.25">
      <c r="Y24613" s="63"/>
    </row>
    <row r="24614" spans="25:25" x14ac:dyDescent="0.25">
      <c r="Y24614" s="63"/>
    </row>
    <row r="24615" spans="25:25" x14ac:dyDescent="0.25">
      <c r="Y24615" s="63"/>
    </row>
    <row r="24616" spans="25:25" x14ac:dyDescent="0.25">
      <c r="Y24616" s="63"/>
    </row>
    <row r="24617" spans="25:25" x14ac:dyDescent="0.25">
      <c r="Y24617" s="63"/>
    </row>
    <row r="24618" spans="25:25" x14ac:dyDescent="0.25">
      <c r="Y24618" s="63"/>
    </row>
    <row r="24619" spans="25:25" x14ac:dyDescent="0.25">
      <c r="Y24619" s="63"/>
    </row>
    <row r="24620" spans="25:25" x14ac:dyDescent="0.25">
      <c r="Y24620" s="63"/>
    </row>
    <row r="24621" spans="25:25" x14ac:dyDescent="0.25">
      <c r="Y24621" s="63"/>
    </row>
    <row r="24622" spans="25:25" x14ac:dyDescent="0.25">
      <c r="Y24622" s="63"/>
    </row>
    <row r="24623" spans="25:25" x14ac:dyDescent="0.25">
      <c r="Y24623" s="63"/>
    </row>
    <row r="24624" spans="25:25" x14ac:dyDescent="0.25">
      <c r="Y24624" s="63"/>
    </row>
    <row r="24625" spans="25:25" x14ac:dyDescent="0.25">
      <c r="Y24625" s="63"/>
    </row>
    <row r="24626" spans="25:25" x14ac:dyDescent="0.25">
      <c r="Y24626" s="63"/>
    </row>
    <row r="24627" spans="25:25" x14ac:dyDescent="0.25">
      <c r="Y24627" s="63"/>
    </row>
    <row r="24628" spans="25:25" x14ac:dyDescent="0.25">
      <c r="Y24628" s="63"/>
    </row>
    <row r="24629" spans="25:25" x14ac:dyDescent="0.25">
      <c r="Y24629" s="63"/>
    </row>
    <row r="24630" spans="25:25" x14ac:dyDescent="0.25">
      <c r="Y24630" s="63"/>
    </row>
    <row r="24631" spans="25:25" x14ac:dyDescent="0.25">
      <c r="Y24631" s="63"/>
    </row>
    <row r="24632" spans="25:25" x14ac:dyDescent="0.25">
      <c r="Y24632" s="63"/>
    </row>
    <row r="24633" spans="25:25" x14ac:dyDescent="0.25">
      <c r="Y24633" s="63"/>
    </row>
    <row r="24634" spans="25:25" x14ac:dyDescent="0.25">
      <c r="Y24634" s="63"/>
    </row>
    <row r="24635" spans="25:25" x14ac:dyDescent="0.25">
      <c r="Y24635" s="63"/>
    </row>
    <row r="24636" spans="25:25" x14ac:dyDescent="0.25">
      <c r="Y24636" s="63"/>
    </row>
    <row r="24637" spans="25:25" x14ac:dyDescent="0.25">
      <c r="Y24637" s="63"/>
    </row>
    <row r="24638" spans="25:25" x14ac:dyDescent="0.25">
      <c r="Y24638" s="63"/>
    </row>
    <row r="24639" spans="25:25" x14ac:dyDescent="0.25">
      <c r="Y24639" s="63"/>
    </row>
    <row r="24640" spans="25:25" x14ac:dyDescent="0.25">
      <c r="Y24640" s="63"/>
    </row>
    <row r="24641" spans="25:25" x14ac:dyDescent="0.25">
      <c r="Y24641" s="63"/>
    </row>
    <row r="24642" spans="25:25" x14ac:dyDescent="0.25">
      <c r="Y24642" s="63"/>
    </row>
    <row r="24643" spans="25:25" x14ac:dyDescent="0.25">
      <c r="Y24643" s="63"/>
    </row>
    <row r="24644" spans="25:25" x14ac:dyDescent="0.25">
      <c r="Y24644" s="63"/>
    </row>
    <row r="24645" spans="25:25" x14ac:dyDescent="0.25">
      <c r="Y24645" s="63"/>
    </row>
    <row r="24646" spans="25:25" x14ac:dyDescent="0.25">
      <c r="Y24646" s="63"/>
    </row>
    <row r="24647" spans="25:25" x14ac:dyDescent="0.25">
      <c r="Y24647" s="63"/>
    </row>
    <row r="24648" spans="25:25" x14ac:dyDescent="0.25">
      <c r="Y24648" s="63"/>
    </row>
    <row r="24649" spans="25:25" x14ac:dyDescent="0.25">
      <c r="Y24649" s="63"/>
    </row>
    <row r="24650" spans="25:25" x14ac:dyDescent="0.25">
      <c r="Y24650" s="63"/>
    </row>
    <row r="24651" spans="25:25" x14ac:dyDescent="0.25">
      <c r="Y24651" s="63"/>
    </row>
    <row r="24652" spans="25:25" x14ac:dyDescent="0.25">
      <c r="Y24652" s="63"/>
    </row>
    <row r="24653" spans="25:25" x14ac:dyDescent="0.25">
      <c r="Y24653" s="63"/>
    </row>
    <row r="24654" spans="25:25" x14ac:dyDescent="0.25">
      <c r="Y24654" s="63"/>
    </row>
    <row r="24655" spans="25:25" x14ac:dyDescent="0.25">
      <c r="Y24655" s="63"/>
    </row>
    <row r="24656" spans="25:25" x14ac:dyDescent="0.25">
      <c r="Y24656" s="63"/>
    </row>
    <row r="24657" spans="25:25" x14ac:dyDescent="0.25">
      <c r="Y24657" s="63"/>
    </row>
    <row r="24658" spans="25:25" x14ac:dyDescent="0.25">
      <c r="Y24658" s="63"/>
    </row>
    <row r="24659" spans="25:25" x14ac:dyDescent="0.25">
      <c r="Y24659" s="63"/>
    </row>
    <row r="24660" spans="25:25" x14ac:dyDescent="0.25">
      <c r="Y24660" s="63"/>
    </row>
    <row r="24661" spans="25:25" x14ac:dyDescent="0.25">
      <c r="Y24661" s="63"/>
    </row>
    <row r="24662" spans="25:25" x14ac:dyDescent="0.25">
      <c r="Y24662" s="63"/>
    </row>
    <row r="24663" spans="25:25" x14ac:dyDescent="0.25">
      <c r="Y24663" s="63"/>
    </row>
    <row r="24664" spans="25:25" x14ac:dyDescent="0.25">
      <c r="Y24664" s="63"/>
    </row>
    <row r="24665" spans="25:25" x14ac:dyDescent="0.25">
      <c r="Y24665" s="63"/>
    </row>
    <row r="24666" spans="25:25" x14ac:dyDescent="0.25">
      <c r="Y24666" s="63"/>
    </row>
    <row r="24667" spans="25:25" x14ac:dyDescent="0.25">
      <c r="Y24667" s="63"/>
    </row>
    <row r="24668" spans="25:25" x14ac:dyDescent="0.25">
      <c r="Y24668" s="63"/>
    </row>
    <row r="24669" spans="25:25" x14ac:dyDescent="0.25">
      <c r="Y24669" s="63"/>
    </row>
    <row r="24670" spans="25:25" x14ac:dyDescent="0.25">
      <c r="Y24670" s="63"/>
    </row>
    <row r="24671" spans="25:25" x14ac:dyDescent="0.25">
      <c r="Y24671" s="63"/>
    </row>
    <row r="24672" spans="25:25" x14ac:dyDescent="0.25">
      <c r="Y24672" s="63"/>
    </row>
    <row r="24673" spans="25:25" x14ac:dyDescent="0.25">
      <c r="Y24673" s="63"/>
    </row>
    <row r="24674" spans="25:25" x14ac:dyDescent="0.25">
      <c r="Y24674" s="63"/>
    </row>
    <row r="24675" spans="25:25" x14ac:dyDescent="0.25">
      <c r="Y24675" s="63"/>
    </row>
    <row r="24676" spans="25:25" x14ac:dyDescent="0.25">
      <c r="Y24676" s="63"/>
    </row>
    <row r="24677" spans="25:25" x14ac:dyDescent="0.25">
      <c r="Y24677" s="63"/>
    </row>
    <row r="24678" spans="25:25" x14ac:dyDescent="0.25">
      <c r="Y24678" s="63"/>
    </row>
    <row r="24679" spans="25:25" x14ac:dyDescent="0.25">
      <c r="Y24679" s="63"/>
    </row>
    <row r="24680" spans="25:25" x14ac:dyDescent="0.25">
      <c r="Y24680" s="63"/>
    </row>
    <row r="24681" spans="25:25" x14ac:dyDescent="0.25">
      <c r="Y24681" s="63"/>
    </row>
    <row r="24682" spans="25:25" x14ac:dyDescent="0.25">
      <c r="Y24682" s="63"/>
    </row>
    <row r="24683" spans="25:25" x14ac:dyDescent="0.25">
      <c r="Y24683" s="63"/>
    </row>
    <row r="24684" spans="25:25" x14ac:dyDescent="0.25">
      <c r="Y24684" s="63"/>
    </row>
    <row r="24685" spans="25:25" x14ac:dyDescent="0.25">
      <c r="Y24685" s="63"/>
    </row>
    <row r="24686" spans="25:25" x14ac:dyDescent="0.25">
      <c r="Y24686" s="63"/>
    </row>
    <row r="24687" spans="25:25" x14ac:dyDescent="0.25">
      <c r="Y24687" s="63"/>
    </row>
    <row r="24688" spans="25:25" x14ac:dyDescent="0.25">
      <c r="Y24688" s="63"/>
    </row>
    <row r="24689" spans="25:25" x14ac:dyDescent="0.25">
      <c r="Y24689" s="63"/>
    </row>
    <row r="24690" spans="25:25" x14ac:dyDescent="0.25">
      <c r="Y24690" s="63"/>
    </row>
    <row r="24691" spans="25:25" x14ac:dyDescent="0.25">
      <c r="Y24691" s="63"/>
    </row>
    <row r="24692" spans="25:25" x14ac:dyDescent="0.25">
      <c r="Y24692" s="63"/>
    </row>
    <row r="24693" spans="25:25" x14ac:dyDescent="0.25">
      <c r="Y24693" s="63"/>
    </row>
    <row r="24694" spans="25:25" x14ac:dyDescent="0.25">
      <c r="Y24694" s="63"/>
    </row>
    <row r="24695" spans="25:25" x14ac:dyDescent="0.25">
      <c r="Y24695" s="63"/>
    </row>
    <row r="24696" spans="25:25" x14ac:dyDescent="0.25">
      <c r="Y24696" s="63"/>
    </row>
    <row r="24697" spans="25:25" x14ac:dyDescent="0.25">
      <c r="Y24697" s="63"/>
    </row>
    <row r="24698" spans="25:25" x14ac:dyDescent="0.25">
      <c r="Y24698" s="63"/>
    </row>
    <row r="24699" spans="25:25" x14ac:dyDescent="0.25">
      <c r="Y24699" s="63"/>
    </row>
    <row r="24700" spans="25:25" x14ac:dyDescent="0.25">
      <c r="Y24700" s="63"/>
    </row>
    <row r="24701" spans="25:25" x14ac:dyDescent="0.25">
      <c r="Y24701" s="63"/>
    </row>
    <row r="24702" spans="25:25" x14ac:dyDescent="0.25">
      <c r="Y24702" s="63"/>
    </row>
    <row r="24703" spans="25:25" x14ac:dyDescent="0.25">
      <c r="Y24703" s="63"/>
    </row>
    <row r="24704" spans="25:25" x14ac:dyDescent="0.25">
      <c r="Y24704" s="63"/>
    </row>
    <row r="24705" spans="25:25" x14ac:dyDescent="0.25">
      <c r="Y24705" s="63"/>
    </row>
    <row r="24706" spans="25:25" x14ac:dyDescent="0.25">
      <c r="Y24706" s="63"/>
    </row>
    <row r="24707" spans="25:25" x14ac:dyDescent="0.25">
      <c r="Y24707" s="63"/>
    </row>
    <row r="24708" spans="25:25" x14ac:dyDescent="0.25">
      <c r="Y24708" s="63"/>
    </row>
    <row r="24709" spans="25:25" x14ac:dyDescent="0.25">
      <c r="Y24709" s="63"/>
    </row>
    <row r="24710" spans="25:25" x14ac:dyDescent="0.25">
      <c r="Y24710" s="63"/>
    </row>
    <row r="24711" spans="25:25" x14ac:dyDescent="0.25">
      <c r="Y24711" s="63"/>
    </row>
    <row r="24712" spans="25:25" x14ac:dyDescent="0.25">
      <c r="Y24712" s="63"/>
    </row>
    <row r="24713" spans="25:25" x14ac:dyDescent="0.25">
      <c r="Y24713" s="63"/>
    </row>
    <row r="24714" spans="25:25" x14ac:dyDescent="0.25">
      <c r="Y24714" s="63"/>
    </row>
    <row r="24715" spans="25:25" x14ac:dyDescent="0.25">
      <c r="Y24715" s="63"/>
    </row>
    <row r="24716" spans="25:25" x14ac:dyDescent="0.25">
      <c r="Y24716" s="63"/>
    </row>
    <row r="24717" spans="25:25" x14ac:dyDescent="0.25">
      <c r="Y24717" s="63"/>
    </row>
    <row r="24718" spans="25:25" x14ac:dyDescent="0.25">
      <c r="Y24718" s="63"/>
    </row>
    <row r="24719" spans="25:25" x14ac:dyDescent="0.25">
      <c r="Y24719" s="63"/>
    </row>
    <row r="24720" spans="25:25" x14ac:dyDescent="0.25">
      <c r="Y24720" s="63"/>
    </row>
    <row r="24721" spans="25:25" x14ac:dyDescent="0.25">
      <c r="Y24721" s="63"/>
    </row>
    <row r="24722" spans="25:25" x14ac:dyDescent="0.25">
      <c r="Y24722" s="63"/>
    </row>
    <row r="24723" spans="25:25" x14ac:dyDescent="0.25">
      <c r="Y24723" s="63"/>
    </row>
    <row r="24724" spans="25:25" x14ac:dyDescent="0.25">
      <c r="Y24724" s="63"/>
    </row>
    <row r="24725" spans="25:25" x14ac:dyDescent="0.25">
      <c r="Y24725" s="63"/>
    </row>
    <row r="24726" spans="25:25" x14ac:dyDescent="0.25">
      <c r="Y24726" s="63"/>
    </row>
    <row r="24727" spans="25:25" x14ac:dyDescent="0.25">
      <c r="Y24727" s="63"/>
    </row>
    <row r="24728" spans="25:25" x14ac:dyDescent="0.25">
      <c r="Y24728" s="63"/>
    </row>
    <row r="24729" spans="25:25" x14ac:dyDescent="0.25">
      <c r="Y24729" s="63"/>
    </row>
    <row r="24730" spans="25:25" x14ac:dyDescent="0.25">
      <c r="Y24730" s="63"/>
    </row>
    <row r="24731" spans="25:25" x14ac:dyDescent="0.25">
      <c r="Y24731" s="63"/>
    </row>
    <row r="24732" spans="25:25" x14ac:dyDescent="0.25">
      <c r="Y24732" s="63"/>
    </row>
    <row r="24733" spans="25:25" x14ac:dyDescent="0.25">
      <c r="Y24733" s="63"/>
    </row>
    <row r="24734" spans="25:25" x14ac:dyDescent="0.25">
      <c r="Y24734" s="63"/>
    </row>
    <row r="24735" spans="25:25" x14ac:dyDescent="0.25">
      <c r="Y24735" s="63"/>
    </row>
    <row r="24736" spans="25:25" x14ac:dyDescent="0.25">
      <c r="Y24736" s="63"/>
    </row>
    <row r="24737" spans="25:25" x14ac:dyDescent="0.25">
      <c r="Y24737" s="63"/>
    </row>
    <row r="24738" spans="25:25" x14ac:dyDescent="0.25">
      <c r="Y24738" s="63"/>
    </row>
    <row r="24739" spans="25:25" x14ac:dyDescent="0.25">
      <c r="Y24739" s="63"/>
    </row>
    <row r="24740" spans="25:25" x14ac:dyDescent="0.25">
      <c r="Y24740" s="63"/>
    </row>
    <row r="24741" spans="25:25" x14ac:dyDescent="0.25">
      <c r="Y24741" s="63"/>
    </row>
    <row r="24742" spans="25:25" x14ac:dyDescent="0.25">
      <c r="Y24742" s="63"/>
    </row>
    <row r="24743" spans="25:25" x14ac:dyDescent="0.25">
      <c r="Y24743" s="63"/>
    </row>
    <row r="24744" spans="25:25" x14ac:dyDescent="0.25">
      <c r="Y24744" s="63"/>
    </row>
    <row r="24745" spans="25:25" x14ac:dyDescent="0.25">
      <c r="Y24745" s="63"/>
    </row>
    <row r="24746" spans="25:25" x14ac:dyDescent="0.25">
      <c r="Y24746" s="63"/>
    </row>
    <row r="24747" spans="25:25" x14ac:dyDescent="0.25">
      <c r="Y24747" s="63"/>
    </row>
    <row r="24748" spans="25:25" x14ac:dyDescent="0.25">
      <c r="Y24748" s="63"/>
    </row>
    <row r="24749" spans="25:25" x14ac:dyDescent="0.25">
      <c r="Y24749" s="63"/>
    </row>
    <row r="24750" spans="25:25" x14ac:dyDescent="0.25">
      <c r="Y24750" s="63"/>
    </row>
    <row r="24751" spans="25:25" x14ac:dyDescent="0.25">
      <c r="Y24751" s="63"/>
    </row>
    <row r="24752" spans="25:25" x14ac:dyDescent="0.25">
      <c r="Y24752" s="63"/>
    </row>
    <row r="24753" spans="25:25" x14ac:dyDescent="0.25">
      <c r="Y24753" s="63"/>
    </row>
    <row r="24754" spans="25:25" x14ac:dyDescent="0.25">
      <c r="Y24754" s="63"/>
    </row>
    <row r="24755" spans="25:25" x14ac:dyDescent="0.25">
      <c r="Y24755" s="63"/>
    </row>
    <row r="24756" spans="25:25" x14ac:dyDescent="0.25">
      <c r="Y24756" s="63"/>
    </row>
    <row r="24757" spans="25:25" x14ac:dyDescent="0.25">
      <c r="Y24757" s="63"/>
    </row>
    <row r="24758" spans="25:25" x14ac:dyDescent="0.25">
      <c r="Y24758" s="63"/>
    </row>
    <row r="24759" spans="25:25" x14ac:dyDescent="0.25">
      <c r="Y24759" s="63"/>
    </row>
    <row r="24760" spans="25:25" x14ac:dyDescent="0.25">
      <c r="Y24760" s="63"/>
    </row>
    <row r="24761" spans="25:25" x14ac:dyDescent="0.25">
      <c r="Y24761" s="63"/>
    </row>
    <row r="24762" spans="25:25" x14ac:dyDescent="0.25">
      <c r="Y24762" s="63"/>
    </row>
    <row r="24763" spans="25:25" x14ac:dyDescent="0.25">
      <c r="Y24763" s="63"/>
    </row>
    <row r="24764" spans="25:25" x14ac:dyDescent="0.25">
      <c r="Y24764" s="63"/>
    </row>
    <row r="24765" spans="25:25" x14ac:dyDescent="0.25">
      <c r="Y24765" s="63"/>
    </row>
    <row r="24766" spans="25:25" x14ac:dyDescent="0.25">
      <c r="Y24766" s="63"/>
    </row>
    <row r="24767" spans="25:25" x14ac:dyDescent="0.25">
      <c r="Y24767" s="63"/>
    </row>
    <row r="24768" spans="25:25" x14ac:dyDescent="0.25">
      <c r="Y24768" s="63"/>
    </row>
    <row r="24769" spans="25:25" x14ac:dyDescent="0.25">
      <c r="Y24769" s="63"/>
    </row>
    <row r="24770" spans="25:25" x14ac:dyDescent="0.25">
      <c r="Y24770" s="63"/>
    </row>
    <row r="24771" spans="25:25" x14ac:dyDescent="0.25">
      <c r="Y24771" s="63"/>
    </row>
    <row r="24772" spans="25:25" x14ac:dyDescent="0.25">
      <c r="Y24772" s="63"/>
    </row>
    <row r="24773" spans="25:25" x14ac:dyDescent="0.25">
      <c r="Y24773" s="63"/>
    </row>
    <row r="24774" spans="25:25" x14ac:dyDescent="0.25">
      <c r="Y24774" s="63"/>
    </row>
    <row r="24775" spans="25:25" x14ac:dyDescent="0.25">
      <c r="Y24775" s="63"/>
    </row>
    <row r="24776" spans="25:25" x14ac:dyDescent="0.25">
      <c r="Y24776" s="63"/>
    </row>
    <row r="24777" spans="25:25" x14ac:dyDescent="0.25">
      <c r="Y24777" s="63"/>
    </row>
    <row r="24778" spans="25:25" x14ac:dyDescent="0.25">
      <c r="Y24778" s="63"/>
    </row>
    <row r="24779" spans="25:25" x14ac:dyDescent="0.25">
      <c r="Y24779" s="63"/>
    </row>
    <row r="24780" spans="25:25" x14ac:dyDescent="0.25">
      <c r="Y24780" s="63"/>
    </row>
    <row r="24781" spans="25:25" x14ac:dyDescent="0.25">
      <c r="Y24781" s="63"/>
    </row>
    <row r="24782" spans="25:25" x14ac:dyDescent="0.25">
      <c r="Y24782" s="63"/>
    </row>
    <row r="24783" spans="25:25" x14ac:dyDescent="0.25">
      <c r="Y24783" s="63"/>
    </row>
    <row r="24784" spans="25:25" x14ac:dyDescent="0.25">
      <c r="Y24784" s="63"/>
    </row>
    <row r="24785" spans="25:25" x14ac:dyDescent="0.25">
      <c r="Y24785" s="63"/>
    </row>
    <row r="24786" spans="25:25" x14ac:dyDescent="0.25">
      <c r="Y24786" s="63"/>
    </row>
    <row r="24787" spans="25:25" x14ac:dyDescent="0.25">
      <c r="Y24787" s="63"/>
    </row>
    <row r="24788" spans="25:25" x14ac:dyDescent="0.25">
      <c r="Y24788" s="63"/>
    </row>
    <row r="24789" spans="25:25" x14ac:dyDescent="0.25">
      <c r="Y24789" s="63"/>
    </row>
    <row r="24790" spans="25:25" x14ac:dyDescent="0.25">
      <c r="Y24790" s="63"/>
    </row>
    <row r="24791" spans="25:25" x14ac:dyDescent="0.25">
      <c r="Y24791" s="63"/>
    </row>
    <row r="24792" spans="25:25" x14ac:dyDescent="0.25">
      <c r="Y24792" s="63"/>
    </row>
    <row r="24793" spans="25:25" x14ac:dyDescent="0.25">
      <c r="Y24793" s="63"/>
    </row>
    <row r="24794" spans="25:25" x14ac:dyDescent="0.25">
      <c r="Y24794" s="63"/>
    </row>
    <row r="24795" spans="25:25" x14ac:dyDescent="0.25">
      <c r="Y24795" s="63"/>
    </row>
    <row r="24796" spans="25:25" x14ac:dyDescent="0.25">
      <c r="Y24796" s="63"/>
    </row>
    <row r="24797" spans="25:25" x14ac:dyDescent="0.25">
      <c r="Y24797" s="63"/>
    </row>
    <row r="24798" spans="25:25" x14ac:dyDescent="0.25">
      <c r="Y24798" s="63"/>
    </row>
    <row r="24799" spans="25:25" x14ac:dyDescent="0.25">
      <c r="Y24799" s="63"/>
    </row>
    <row r="24800" spans="25:25" x14ac:dyDescent="0.25">
      <c r="Y24800" s="63"/>
    </row>
    <row r="24801" spans="25:25" x14ac:dyDescent="0.25">
      <c r="Y24801" s="63"/>
    </row>
    <row r="24802" spans="25:25" x14ac:dyDescent="0.25">
      <c r="Y24802" s="63"/>
    </row>
    <row r="24803" spans="25:25" x14ac:dyDescent="0.25">
      <c r="Y24803" s="63"/>
    </row>
    <row r="24804" spans="25:25" x14ac:dyDescent="0.25">
      <c r="Y24804" s="63"/>
    </row>
    <row r="24805" spans="25:25" x14ac:dyDescent="0.25">
      <c r="Y24805" s="63"/>
    </row>
    <row r="24806" spans="25:25" x14ac:dyDescent="0.25">
      <c r="Y24806" s="63"/>
    </row>
    <row r="24807" spans="25:25" x14ac:dyDescent="0.25">
      <c r="Y24807" s="63"/>
    </row>
    <row r="24808" spans="25:25" x14ac:dyDescent="0.25">
      <c r="Y24808" s="63"/>
    </row>
    <row r="24809" spans="25:25" x14ac:dyDescent="0.25">
      <c r="Y24809" s="63"/>
    </row>
    <row r="24810" spans="25:25" x14ac:dyDescent="0.25">
      <c r="Y24810" s="63"/>
    </row>
    <row r="24811" spans="25:25" x14ac:dyDescent="0.25">
      <c r="Y24811" s="63"/>
    </row>
    <row r="24812" spans="25:25" x14ac:dyDescent="0.25">
      <c r="Y24812" s="63"/>
    </row>
    <row r="24813" spans="25:25" x14ac:dyDescent="0.25">
      <c r="Y24813" s="63"/>
    </row>
    <row r="24814" spans="25:25" x14ac:dyDescent="0.25">
      <c r="Y24814" s="63"/>
    </row>
    <row r="24815" spans="25:25" x14ac:dyDescent="0.25">
      <c r="Y24815" s="63"/>
    </row>
    <row r="24816" spans="25:25" x14ac:dyDescent="0.25">
      <c r="Y24816" s="63"/>
    </row>
    <row r="24817" spans="25:25" x14ac:dyDescent="0.25">
      <c r="Y24817" s="63"/>
    </row>
    <row r="24818" spans="25:25" x14ac:dyDescent="0.25">
      <c r="Y24818" s="63"/>
    </row>
    <row r="24819" spans="25:25" x14ac:dyDescent="0.25">
      <c r="Y24819" s="63"/>
    </row>
    <row r="24820" spans="25:25" x14ac:dyDescent="0.25">
      <c r="Y24820" s="63"/>
    </row>
    <row r="24821" spans="25:25" x14ac:dyDescent="0.25">
      <c r="Y24821" s="63"/>
    </row>
    <row r="24822" spans="25:25" x14ac:dyDescent="0.25">
      <c r="Y24822" s="63"/>
    </row>
    <row r="24823" spans="25:25" x14ac:dyDescent="0.25">
      <c r="Y24823" s="63"/>
    </row>
    <row r="24824" spans="25:25" x14ac:dyDescent="0.25">
      <c r="Y24824" s="63"/>
    </row>
    <row r="24825" spans="25:25" x14ac:dyDescent="0.25">
      <c r="Y24825" s="63"/>
    </row>
    <row r="24826" spans="25:25" x14ac:dyDescent="0.25">
      <c r="Y24826" s="63"/>
    </row>
    <row r="24827" spans="25:25" x14ac:dyDescent="0.25">
      <c r="Y24827" s="63"/>
    </row>
    <row r="24828" spans="25:25" x14ac:dyDescent="0.25">
      <c r="Y24828" s="63"/>
    </row>
    <row r="24829" spans="25:25" x14ac:dyDescent="0.25">
      <c r="Y24829" s="63"/>
    </row>
    <row r="24830" spans="25:25" x14ac:dyDescent="0.25">
      <c r="Y24830" s="63"/>
    </row>
    <row r="24831" spans="25:25" x14ac:dyDescent="0.25">
      <c r="Y24831" s="63"/>
    </row>
    <row r="24832" spans="25:25" x14ac:dyDescent="0.25">
      <c r="Y24832" s="63"/>
    </row>
    <row r="24833" spans="25:25" x14ac:dyDescent="0.25">
      <c r="Y24833" s="63"/>
    </row>
    <row r="24834" spans="25:25" x14ac:dyDescent="0.25">
      <c r="Y24834" s="63"/>
    </row>
    <row r="24835" spans="25:25" x14ac:dyDescent="0.25">
      <c r="Y24835" s="63"/>
    </row>
    <row r="24836" spans="25:25" x14ac:dyDescent="0.25">
      <c r="Y24836" s="63"/>
    </row>
    <row r="24837" spans="25:25" x14ac:dyDescent="0.25">
      <c r="Y24837" s="63"/>
    </row>
    <row r="24838" spans="25:25" x14ac:dyDescent="0.25">
      <c r="Y24838" s="63"/>
    </row>
    <row r="24839" spans="25:25" x14ac:dyDescent="0.25">
      <c r="Y24839" s="63"/>
    </row>
    <row r="24840" spans="25:25" x14ac:dyDescent="0.25">
      <c r="Y24840" s="63"/>
    </row>
    <row r="24841" spans="25:25" x14ac:dyDescent="0.25">
      <c r="Y24841" s="63"/>
    </row>
    <row r="24842" spans="25:25" x14ac:dyDescent="0.25">
      <c r="Y24842" s="63"/>
    </row>
    <row r="24843" spans="25:25" x14ac:dyDescent="0.25">
      <c r="Y24843" s="63"/>
    </row>
    <row r="24844" spans="25:25" x14ac:dyDescent="0.25">
      <c r="Y24844" s="63"/>
    </row>
    <row r="24845" spans="25:25" x14ac:dyDescent="0.25">
      <c r="Y24845" s="63"/>
    </row>
    <row r="24846" spans="25:25" x14ac:dyDescent="0.25">
      <c r="Y24846" s="63"/>
    </row>
    <row r="24847" spans="25:25" x14ac:dyDescent="0.25">
      <c r="Y24847" s="63"/>
    </row>
    <row r="24848" spans="25:25" x14ac:dyDescent="0.25">
      <c r="Y24848" s="63"/>
    </row>
    <row r="24849" spans="25:25" x14ac:dyDescent="0.25">
      <c r="Y24849" s="63"/>
    </row>
    <row r="24850" spans="25:25" x14ac:dyDescent="0.25">
      <c r="Y24850" s="63"/>
    </row>
    <row r="24851" spans="25:25" x14ac:dyDescent="0.25">
      <c r="Y24851" s="63"/>
    </row>
    <row r="24852" spans="25:25" x14ac:dyDescent="0.25">
      <c r="Y24852" s="63"/>
    </row>
    <row r="24853" spans="25:25" x14ac:dyDescent="0.25">
      <c r="Y24853" s="63"/>
    </row>
    <row r="24854" spans="25:25" x14ac:dyDescent="0.25">
      <c r="Y24854" s="63"/>
    </row>
    <row r="24855" spans="25:25" x14ac:dyDescent="0.25">
      <c r="Y24855" s="63"/>
    </row>
    <row r="24856" spans="25:25" x14ac:dyDescent="0.25">
      <c r="Y24856" s="63"/>
    </row>
    <row r="24857" spans="25:25" x14ac:dyDescent="0.25">
      <c r="Y24857" s="63"/>
    </row>
    <row r="24858" spans="25:25" x14ac:dyDescent="0.25">
      <c r="Y24858" s="63"/>
    </row>
    <row r="24859" spans="25:25" x14ac:dyDescent="0.25">
      <c r="Y24859" s="63"/>
    </row>
    <row r="24860" spans="25:25" x14ac:dyDescent="0.25">
      <c r="Y24860" s="63"/>
    </row>
    <row r="24861" spans="25:25" x14ac:dyDescent="0.25">
      <c r="Y24861" s="63"/>
    </row>
    <row r="24862" spans="25:25" x14ac:dyDescent="0.25">
      <c r="Y24862" s="63"/>
    </row>
    <row r="24863" spans="25:25" x14ac:dyDescent="0.25">
      <c r="Y24863" s="63"/>
    </row>
    <row r="24864" spans="25:25" x14ac:dyDescent="0.25">
      <c r="Y24864" s="63"/>
    </row>
    <row r="24865" spans="25:25" x14ac:dyDescent="0.25">
      <c r="Y24865" s="63"/>
    </row>
    <row r="24866" spans="25:25" x14ac:dyDescent="0.25">
      <c r="Y24866" s="63"/>
    </row>
    <row r="24867" spans="25:25" x14ac:dyDescent="0.25">
      <c r="Y24867" s="63"/>
    </row>
    <row r="24868" spans="25:25" x14ac:dyDescent="0.25">
      <c r="Y24868" s="63"/>
    </row>
    <row r="24869" spans="25:25" x14ac:dyDescent="0.25">
      <c r="Y24869" s="63"/>
    </row>
    <row r="24870" spans="25:25" x14ac:dyDescent="0.25">
      <c r="Y24870" s="63"/>
    </row>
    <row r="24871" spans="25:25" x14ac:dyDescent="0.25">
      <c r="Y24871" s="63"/>
    </row>
    <row r="24872" spans="25:25" x14ac:dyDescent="0.25">
      <c r="Y24872" s="63"/>
    </row>
    <row r="24873" spans="25:25" x14ac:dyDescent="0.25">
      <c r="Y24873" s="63"/>
    </row>
    <row r="24874" spans="25:25" x14ac:dyDescent="0.25">
      <c r="Y24874" s="63"/>
    </row>
    <row r="24875" spans="25:25" x14ac:dyDescent="0.25">
      <c r="Y24875" s="63"/>
    </row>
    <row r="24876" spans="25:25" x14ac:dyDescent="0.25">
      <c r="Y24876" s="63"/>
    </row>
    <row r="24877" spans="25:25" x14ac:dyDescent="0.25">
      <c r="Y24877" s="63"/>
    </row>
    <row r="24878" spans="25:25" x14ac:dyDescent="0.25">
      <c r="Y24878" s="63"/>
    </row>
    <row r="24879" spans="25:25" x14ac:dyDescent="0.25">
      <c r="Y24879" s="63"/>
    </row>
    <row r="24880" spans="25:25" x14ac:dyDescent="0.25">
      <c r="Y24880" s="63"/>
    </row>
    <row r="24881" spans="25:25" x14ac:dyDescent="0.25">
      <c r="Y24881" s="63"/>
    </row>
    <row r="24882" spans="25:25" x14ac:dyDescent="0.25">
      <c r="Y24882" s="63"/>
    </row>
    <row r="24883" spans="25:25" x14ac:dyDescent="0.25">
      <c r="Y24883" s="63"/>
    </row>
    <row r="24884" spans="25:25" x14ac:dyDescent="0.25">
      <c r="Y24884" s="63"/>
    </row>
    <row r="24885" spans="25:25" x14ac:dyDescent="0.25">
      <c r="Y24885" s="63"/>
    </row>
    <row r="24886" spans="25:25" x14ac:dyDescent="0.25">
      <c r="Y24886" s="63"/>
    </row>
    <row r="24887" spans="25:25" x14ac:dyDescent="0.25">
      <c r="Y24887" s="63"/>
    </row>
    <row r="24888" spans="25:25" x14ac:dyDescent="0.25">
      <c r="Y24888" s="63"/>
    </row>
    <row r="24889" spans="25:25" x14ac:dyDescent="0.25">
      <c r="Y24889" s="63"/>
    </row>
    <row r="24890" spans="25:25" x14ac:dyDescent="0.25">
      <c r="Y24890" s="63"/>
    </row>
    <row r="24891" spans="25:25" x14ac:dyDescent="0.25">
      <c r="Y24891" s="63"/>
    </row>
    <row r="24892" spans="25:25" x14ac:dyDescent="0.25">
      <c r="Y24892" s="63"/>
    </row>
    <row r="24893" spans="25:25" x14ac:dyDescent="0.25">
      <c r="Y24893" s="63"/>
    </row>
    <row r="24894" spans="25:25" x14ac:dyDescent="0.25">
      <c r="Y24894" s="63"/>
    </row>
    <row r="24895" spans="25:25" x14ac:dyDescent="0.25">
      <c r="Y24895" s="63"/>
    </row>
    <row r="24896" spans="25:25" x14ac:dyDescent="0.25">
      <c r="Y24896" s="63"/>
    </row>
    <row r="24897" spans="25:25" x14ac:dyDescent="0.25">
      <c r="Y24897" s="63"/>
    </row>
    <row r="24898" spans="25:25" x14ac:dyDescent="0.25">
      <c r="Y24898" s="63"/>
    </row>
    <row r="24899" spans="25:25" x14ac:dyDescent="0.25">
      <c r="Y24899" s="63"/>
    </row>
    <row r="24900" spans="25:25" x14ac:dyDescent="0.25">
      <c r="Y24900" s="63"/>
    </row>
    <row r="24901" spans="25:25" x14ac:dyDescent="0.25">
      <c r="Y24901" s="63"/>
    </row>
    <row r="24902" spans="25:25" x14ac:dyDescent="0.25">
      <c r="Y24902" s="63"/>
    </row>
    <row r="24903" spans="25:25" x14ac:dyDescent="0.25">
      <c r="Y24903" s="63"/>
    </row>
    <row r="24904" spans="25:25" x14ac:dyDescent="0.25">
      <c r="Y24904" s="63"/>
    </row>
    <row r="24905" spans="25:25" x14ac:dyDescent="0.25">
      <c r="Y24905" s="63"/>
    </row>
    <row r="24906" spans="25:25" x14ac:dyDescent="0.25">
      <c r="Y24906" s="63"/>
    </row>
    <row r="24907" spans="25:25" x14ac:dyDescent="0.25">
      <c r="Y24907" s="63"/>
    </row>
    <row r="24908" spans="25:25" x14ac:dyDescent="0.25">
      <c r="Y24908" s="63"/>
    </row>
    <row r="24909" spans="25:25" x14ac:dyDescent="0.25">
      <c r="Y24909" s="63"/>
    </row>
    <row r="24910" spans="25:25" x14ac:dyDescent="0.25">
      <c r="Y24910" s="63"/>
    </row>
    <row r="24911" spans="25:25" x14ac:dyDescent="0.25">
      <c r="Y24911" s="63"/>
    </row>
    <row r="24912" spans="25:25" x14ac:dyDescent="0.25">
      <c r="Y24912" s="63"/>
    </row>
    <row r="24913" spans="25:25" x14ac:dyDescent="0.25">
      <c r="Y24913" s="63"/>
    </row>
    <row r="24914" spans="25:25" x14ac:dyDescent="0.25">
      <c r="Y24914" s="63"/>
    </row>
    <row r="24915" spans="25:25" x14ac:dyDescent="0.25">
      <c r="Y24915" s="63"/>
    </row>
    <row r="24916" spans="25:25" x14ac:dyDescent="0.25">
      <c r="Y24916" s="63"/>
    </row>
    <row r="24917" spans="25:25" x14ac:dyDescent="0.25">
      <c r="Y24917" s="63"/>
    </row>
    <row r="24918" spans="25:25" x14ac:dyDescent="0.25">
      <c r="Y24918" s="63"/>
    </row>
    <row r="24919" spans="25:25" x14ac:dyDescent="0.25">
      <c r="Y24919" s="63"/>
    </row>
    <row r="24920" spans="25:25" x14ac:dyDescent="0.25">
      <c r="Y24920" s="63"/>
    </row>
    <row r="24921" spans="25:25" x14ac:dyDescent="0.25">
      <c r="Y24921" s="63"/>
    </row>
    <row r="24922" spans="25:25" x14ac:dyDescent="0.25">
      <c r="Y24922" s="63"/>
    </row>
    <row r="24923" spans="25:25" x14ac:dyDescent="0.25">
      <c r="Y24923" s="63"/>
    </row>
    <row r="24924" spans="25:25" x14ac:dyDescent="0.25">
      <c r="Y24924" s="63"/>
    </row>
    <row r="24925" spans="25:25" x14ac:dyDescent="0.25">
      <c r="Y24925" s="63"/>
    </row>
    <row r="24926" spans="25:25" x14ac:dyDescent="0.25">
      <c r="Y24926" s="63"/>
    </row>
    <row r="24927" spans="25:25" x14ac:dyDescent="0.25">
      <c r="Y24927" s="63"/>
    </row>
    <row r="24928" spans="25:25" x14ac:dyDescent="0.25">
      <c r="Y24928" s="63"/>
    </row>
    <row r="24929" spans="25:25" x14ac:dyDescent="0.25">
      <c r="Y24929" s="63"/>
    </row>
    <row r="24930" spans="25:25" x14ac:dyDescent="0.25">
      <c r="Y24930" s="63"/>
    </row>
    <row r="24931" spans="25:25" x14ac:dyDescent="0.25">
      <c r="Y24931" s="63"/>
    </row>
    <row r="24932" spans="25:25" x14ac:dyDescent="0.25">
      <c r="Y24932" s="63"/>
    </row>
    <row r="24933" spans="25:25" x14ac:dyDescent="0.25">
      <c r="Y24933" s="63"/>
    </row>
    <row r="24934" spans="25:25" x14ac:dyDescent="0.25">
      <c r="Y24934" s="63"/>
    </row>
    <row r="24935" spans="25:25" x14ac:dyDescent="0.25">
      <c r="Y24935" s="63"/>
    </row>
    <row r="24936" spans="25:25" x14ac:dyDescent="0.25">
      <c r="Y24936" s="63"/>
    </row>
    <row r="24937" spans="25:25" x14ac:dyDescent="0.25">
      <c r="Y24937" s="63"/>
    </row>
    <row r="24938" spans="25:25" x14ac:dyDescent="0.25">
      <c r="Y24938" s="63"/>
    </row>
    <row r="24939" spans="25:25" x14ac:dyDescent="0.25">
      <c r="Y24939" s="63"/>
    </row>
    <row r="24940" spans="25:25" x14ac:dyDescent="0.25">
      <c r="Y24940" s="63"/>
    </row>
    <row r="24941" spans="25:25" x14ac:dyDescent="0.25">
      <c r="Y24941" s="63"/>
    </row>
    <row r="24942" spans="25:25" x14ac:dyDescent="0.25">
      <c r="Y24942" s="63"/>
    </row>
    <row r="24943" spans="25:25" x14ac:dyDescent="0.25">
      <c r="Y24943" s="63"/>
    </row>
    <row r="24944" spans="25:25" x14ac:dyDescent="0.25">
      <c r="Y24944" s="63"/>
    </row>
    <row r="24945" spans="25:25" x14ac:dyDescent="0.25">
      <c r="Y24945" s="63"/>
    </row>
    <row r="24946" spans="25:25" x14ac:dyDescent="0.25">
      <c r="Y24946" s="63"/>
    </row>
    <row r="24947" spans="25:25" x14ac:dyDescent="0.25">
      <c r="Y24947" s="63"/>
    </row>
    <row r="24948" spans="25:25" x14ac:dyDescent="0.25">
      <c r="Y24948" s="63"/>
    </row>
    <row r="24949" spans="25:25" x14ac:dyDescent="0.25">
      <c r="Y24949" s="63"/>
    </row>
    <row r="24950" spans="25:25" x14ac:dyDescent="0.25">
      <c r="Y24950" s="63"/>
    </row>
    <row r="24951" spans="25:25" x14ac:dyDescent="0.25">
      <c r="Y24951" s="63"/>
    </row>
    <row r="24952" spans="25:25" x14ac:dyDescent="0.25">
      <c r="Y24952" s="63"/>
    </row>
    <row r="24953" spans="25:25" x14ac:dyDescent="0.25">
      <c r="Y24953" s="63"/>
    </row>
    <row r="24954" spans="25:25" x14ac:dyDescent="0.25">
      <c r="Y24954" s="63"/>
    </row>
    <row r="24955" spans="25:25" x14ac:dyDescent="0.25">
      <c r="Y24955" s="63"/>
    </row>
    <row r="24956" spans="25:25" x14ac:dyDescent="0.25">
      <c r="Y24956" s="63"/>
    </row>
    <row r="24957" spans="25:25" x14ac:dyDescent="0.25">
      <c r="Y24957" s="63"/>
    </row>
    <row r="24958" spans="25:25" x14ac:dyDescent="0.25">
      <c r="Y24958" s="63"/>
    </row>
    <row r="24959" spans="25:25" x14ac:dyDescent="0.25">
      <c r="Y24959" s="63"/>
    </row>
    <row r="24960" spans="25:25" x14ac:dyDescent="0.25">
      <c r="Y24960" s="63"/>
    </row>
    <row r="24961" spans="25:25" x14ac:dyDescent="0.25">
      <c r="Y24961" s="63"/>
    </row>
    <row r="24962" spans="25:25" x14ac:dyDescent="0.25">
      <c r="Y24962" s="63"/>
    </row>
    <row r="24963" spans="25:25" x14ac:dyDescent="0.25">
      <c r="Y24963" s="63"/>
    </row>
    <row r="24964" spans="25:25" x14ac:dyDescent="0.25">
      <c r="Y24964" s="63"/>
    </row>
    <row r="24965" spans="25:25" x14ac:dyDescent="0.25">
      <c r="Y24965" s="63"/>
    </row>
    <row r="24966" spans="25:25" x14ac:dyDescent="0.25">
      <c r="Y24966" s="63"/>
    </row>
    <row r="24967" spans="25:25" x14ac:dyDescent="0.25">
      <c r="Y24967" s="63"/>
    </row>
    <row r="24968" spans="25:25" x14ac:dyDescent="0.25">
      <c r="Y24968" s="63"/>
    </row>
    <row r="24969" spans="25:25" x14ac:dyDescent="0.25">
      <c r="Y24969" s="63"/>
    </row>
    <row r="24970" spans="25:25" x14ac:dyDescent="0.25">
      <c r="Y24970" s="63"/>
    </row>
    <row r="24971" spans="25:25" x14ac:dyDescent="0.25">
      <c r="Y24971" s="63"/>
    </row>
    <row r="24972" spans="25:25" x14ac:dyDescent="0.25">
      <c r="Y24972" s="63"/>
    </row>
    <row r="24973" spans="25:25" x14ac:dyDescent="0.25">
      <c r="Y24973" s="63"/>
    </row>
    <row r="24974" spans="25:25" x14ac:dyDescent="0.25">
      <c r="Y24974" s="63"/>
    </row>
    <row r="24975" spans="25:25" x14ac:dyDescent="0.25">
      <c r="Y24975" s="63"/>
    </row>
    <row r="24976" spans="25:25" x14ac:dyDescent="0.25">
      <c r="Y24976" s="63"/>
    </row>
    <row r="24977" spans="25:25" x14ac:dyDescent="0.25">
      <c r="Y24977" s="63"/>
    </row>
    <row r="24978" spans="25:25" x14ac:dyDescent="0.25">
      <c r="Y24978" s="63"/>
    </row>
    <row r="24979" spans="25:25" x14ac:dyDescent="0.25">
      <c r="Y24979" s="63"/>
    </row>
    <row r="24980" spans="25:25" x14ac:dyDescent="0.25">
      <c r="Y24980" s="63"/>
    </row>
    <row r="24981" spans="25:25" x14ac:dyDescent="0.25">
      <c r="Y24981" s="63"/>
    </row>
    <row r="24982" spans="25:25" x14ac:dyDescent="0.25">
      <c r="Y24982" s="63"/>
    </row>
    <row r="24983" spans="25:25" x14ac:dyDescent="0.25">
      <c r="Y24983" s="63"/>
    </row>
    <row r="24984" spans="25:25" x14ac:dyDescent="0.25">
      <c r="Y24984" s="63"/>
    </row>
    <row r="24985" spans="25:25" x14ac:dyDescent="0.25">
      <c r="Y24985" s="63"/>
    </row>
    <row r="24986" spans="25:25" x14ac:dyDescent="0.25">
      <c r="Y24986" s="63"/>
    </row>
    <row r="24987" spans="25:25" x14ac:dyDescent="0.25">
      <c r="Y24987" s="63"/>
    </row>
    <row r="24988" spans="25:25" x14ac:dyDescent="0.25">
      <c r="Y24988" s="63"/>
    </row>
    <row r="24989" spans="25:25" x14ac:dyDescent="0.25">
      <c r="Y24989" s="63"/>
    </row>
    <row r="24990" spans="25:25" x14ac:dyDescent="0.25">
      <c r="Y24990" s="63"/>
    </row>
    <row r="24991" spans="25:25" x14ac:dyDescent="0.25">
      <c r="Y24991" s="63"/>
    </row>
    <row r="24992" spans="25:25" x14ac:dyDescent="0.25">
      <c r="Y24992" s="63"/>
    </row>
    <row r="24993" spans="25:25" x14ac:dyDescent="0.25">
      <c r="Y24993" s="63"/>
    </row>
    <row r="24994" spans="25:25" x14ac:dyDescent="0.25">
      <c r="Y24994" s="63"/>
    </row>
    <row r="24995" spans="25:25" x14ac:dyDescent="0.25">
      <c r="Y24995" s="63"/>
    </row>
    <row r="24996" spans="25:25" x14ac:dyDescent="0.25">
      <c r="Y24996" s="63"/>
    </row>
    <row r="24997" spans="25:25" x14ac:dyDescent="0.25">
      <c r="Y24997" s="63"/>
    </row>
    <row r="24998" spans="25:25" x14ac:dyDescent="0.25">
      <c r="Y24998" s="63"/>
    </row>
    <row r="24999" spans="25:25" x14ac:dyDescent="0.25">
      <c r="Y24999" s="63"/>
    </row>
    <row r="25000" spans="25:25" x14ac:dyDescent="0.25">
      <c r="Y25000" s="63"/>
    </row>
    <row r="25001" spans="25:25" x14ac:dyDescent="0.25">
      <c r="Y25001" s="63"/>
    </row>
    <row r="25002" spans="25:25" x14ac:dyDescent="0.25">
      <c r="Y25002" s="63"/>
    </row>
    <row r="25003" spans="25:25" x14ac:dyDescent="0.25">
      <c r="Y25003" s="63"/>
    </row>
    <row r="25004" spans="25:25" x14ac:dyDescent="0.25">
      <c r="Y25004" s="63"/>
    </row>
    <row r="25005" spans="25:25" x14ac:dyDescent="0.25">
      <c r="Y25005" s="63"/>
    </row>
    <row r="25006" spans="25:25" x14ac:dyDescent="0.25">
      <c r="Y25006" s="63"/>
    </row>
    <row r="25007" spans="25:25" x14ac:dyDescent="0.25">
      <c r="Y25007" s="63"/>
    </row>
    <row r="25008" spans="25:25" x14ac:dyDescent="0.25">
      <c r="Y25008" s="63"/>
    </row>
    <row r="25009" spans="25:25" x14ac:dyDescent="0.25">
      <c r="Y25009" s="63"/>
    </row>
    <row r="25010" spans="25:25" x14ac:dyDescent="0.25">
      <c r="Y25010" s="63"/>
    </row>
    <row r="25011" spans="25:25" x14ac:dyDescent="0.25">
      <c r="Y25011" s="63"/>
    </row>
    <row r="25012" spans="25:25" x14ac:dyDescent="0.25">
      <c r="Y25012" s="63"/>
    </row>
    <row r="25013" spans="25:25" x14ac:dyDescent="0.25">
      <c r="Y25013" s="63"/>
    </row>
    <row r="25014" spans="25:25" x14ac:dyDescent="0.25">
      <c r="Y25014" s="63"/>
    </row>
    <row r="25015" spans="25:25" x14ac:dyDescent="0.25">
      <c r="Y25015" s="63"/>
    </row>
    <row r="25016" spans="25:25" x14ac:dyDescent="0.25">
      <c r="Y25016" s="63"/>
    </row>
    <row r="25017" spans="25:25" x14ac:dyDescent="0.25">
      <c r="Y25017" s="63"/>
    </row>
    <row r="25018" spans="25:25" x14ac:dyDescent="0.25">
      <c r="Y25018" s="63"/>
    </row>
    <row r="25019" spans="25:25" x14ac:dyDescent="0.25">
      <c r="Y25019" s="63"/>
    </row>
    <row r="25020" spans="25:25" x14ac:dyDescent="0.25">
      <c r="Y25020" s="63"/>
    </row>
    <row r="25021" spans="25:25" x14ac:dyDescent="0.25">
      <c r="Y25021" s="63"/>
    </row>
    <row r="25022" spans="25:25" x14ac:dyDescent="0.25">
      <c r="Y25022" s="63"/>
    </row>
    <row r="25023" spans="25:25" x14ac:dyDescent="0.25">
      <c r="Y25023" s="63"/>
    </row>
    <row r="25024" spans="25:25" x14ac:dyDescent="0.25">
      <c r="Y25024" s="63"/>
    </row>
    <row r="25025" spans="25:25" x14ac:dyDescent="0.25">
      <c r="Y25025" s="63"/>
    </row>
    <row r="25026" spans="25:25" x14ac:dyDescent="0.25">
      <c r="Y25026" s="63"/>
    </row>
    <row r="25027" spans="25:25" x14ac:dyDescent="0.25">
      <c r="Y25027" s="63"/>
    </row>
    <row r="25028" spans="25:25" x14ac:dyDescent="0.25">
      <c r="Y25028" s="63"/>
    </row>
    <row r="25029" spans="25:25" x14ac:dyDescent="0.25">
      <c r="Y25029" s="63"/>
    </row>
    <row r="25030" spans="25:25" x14ac:dyDescent="0.25">
      <c r="Y25030" s="63"/>
    </row>
    <row r="25031" spans="25:25" x14ac:dyDescent="0.25">
      <c r="Y25031" s="63"/>
    </row>
    <row r="25032" spans="25:25" x14ac:dyDescent="0.25">
      <c r="Y25032" s="63"/>
    </row>
    <row r="25033" spans="25:25" x14ac:dyDescent="0.25">
      <c r="Y25033" s="63"/>
    </row>
    <row r="25034" spans="25:25" x14ac:dyDescent="0.25">
      <c r="Y25034" s="63"/>
    </row>
    <row r="25035" spans="25:25" x14ac:dyDescent="0.25">
      <c r="Y25035" s="63"/>
    </row>
    <row r="25036" spans="25:25" x14ac:dyDescent="0.25">
      <c r="Y25036" s="63"/>
    </row>
    <row r="25037" spans="25:25" x14ac:dyDescent="0.25">
      <c r="Y25037" s="63"/>
    </row>
    <row r="25038" spans="25:25" x14ac:dyDescent="0.25">
      <c r="Y25038" s="63"/>
    </row>
    <row r="25039" spans="25:25" x14ac:dyDescent="0.25">
      <c r="Y25039" s="63"/>
    </row>
    <row r="25040" spans="25:25" x14ac:dyDescent="0.25">
      <c r="Y25040" s="63"/>
    </row>
    <row r="25041" spans="25:25" x14ac:dyDescent="0.25">
      <c r="Y25041" s="63"/>
    </row>
    <row r="25042" spans="25:25" x14ac:dyDescent="0.25">
      <c r="Y25042" s="63"/>
    </row>
    <row r="25043" spans="25:25" x14ac:dyDescent="0.25">
      <c r="Y25043" s="63"/>
    </row>
    <row r="25044" spans="25:25" x14ac:dyDescent="0.25">
      <c r="Y25044" s="63"/>
    </row>
    <row r="25045" spans="25:25" x14ac:dyDescent="0.25">
      <c r="Y25045" s="63"/>
    </row>
    <row r="25046" spans="25:25" x14ac:dyDescent="0.25">
      <c r="Y25046" s="63"/>
    </row>
    <row r="25047" spans="25:25" x14ac:dyDescent="0.25">
      <c r="Y25047" s="63"/>
    </row>
    <row r="25048" spans="25:25" x14ac:dyDescent="0.25">
      <c r="Y25048" s="63"/>
    </row>
    <row r="25049" spans="25:25" x14ac:dyDescent="0.25">
      <c r="Y25049" s="63"/>
    </row>
    <row r="25050" spans="25:25" x14ac:dyDescent="0.25">
      <c r="Y25050" s="63"/>
    </row>
    <row r="25051" spans="25:25" x14ac:dyDescent="0.25">
      <c r="Y25051" s="63"/>
    </row>
    <row r="25052" spans="25:25" x14ac:dyDescent="0.25">
      <c r="Y25052" s="63"/>
    </row>
    <row r="25053" spans="25:25" x14ac:dyDescent="0.25">
      <c r="Y25053" s="63"/>
    </row>
    <row r="25054" spans="25:25" x14ac:dyDescent="0.25">
      <c r="Y25054" s="63"/>
    </row>
    <row r="25055" spans="25:25" x14ac:dyDescent="0.25">
      <c r="Y25055" s="63"/>
    </row>
    <row r="25056" spans="25:25" x14ac:dyDescent="0.25">
      <c r="Y25056" s="63"/>
    </row>
    <row r="25057" spans="25:25" x14ac:dyDescent="0.25">
      <c r="Y25057" s="63"/>
    </row>
    <row r="25058" spans="25:25" x14ac:dyDescent="0.25">
      <c r="Y25058" s="63"/>
    </row>
    <row r="25059" spans="25:25" x14ac:dyDescent="0.25">
      <c r="Y25059" s="63"/>
    </row>
    <row r="25060" spans="25:25" x14ac:dyDescent="0.25">
      <c r="Y25060" s="63"/>
    </row>
    <row r="25061" spans="25:25" x14ac:dyDescent="0.25">
      <c r="Y25061" s="63"/>
    </row>
    <row r="25062" spans="25:25" x14ac:dyDescent="0.25">
      <c r="Y25062" s="63"/>
    </row>
    <row r="25063" spans="25:25" x14ac:dyDescent="0.25">
      <c r="Y25063" s="63"/>
    </row>
    <row r="25064" spans="25:25" x14ac:dyDescent="0.25">
      <c r="Y25064" s="63"/>
    </row>
    <row r="25065" spans="25:25" x14ac:dyDescent="0.25">
      <c r="Y25065" s="63"/>
    </row>
    <row r="25066" spans="25:25" x14ac:dyDescent="0.25">
      <c r="Y25066" s="63"/>
    </row>
    <row r="25067" spans="25:25" x14ac:dyDescent="0.25">
      <c r="Y25067" s="63"/>
    </row>
    <row r="25068" spans="25:25" x14ac:dyDescent="0.25">
      <c r="Y25068" s="63"/>
    </row>
    <row r="25069" spans="25:25" x14ac:dyDescent="0.25">
      <c r="Y25069" s="63"/>
    </row>
    <row r="25070" spans="25:25" x14ac:dyDescent="0.25">
      <c r="Y25070" s="63"/>
    </row>
    <row r="25071" spans="25:25" x14ac:dyDescent="0.25">
      <c r="Y25071" s="63"/>
    </row>
    <row r="25072" spans="25:25" x14ac:dyDescent="0.25">
      <c r="Y25072" s="63"/>
    </row>
    <row r="25073" spans="25:25" x14ac:dyDescent="0.25">
      <c r="Y25073" s="63"/>
    </row>
    <row r="25074" spans="25:25" x14ac:dyDescent="0.25">
      <c r="Y25074" s="63"/>
    </row>
    <row r="25075" spans="25:25" x14ac:dyDescent="0.25">
      <c r="Y25075" s="63"/>
    </row>
    <row r="25076" spans="25:25" x14ac:dyDescent="0.25">
      <c r="Y25076" s="63"/>
    </row>
    <row r="25077" spans="25:25" x14ac:dyDescent="0.25">
      <c r="Y25077" s="63"/>
    </row>
    <row r="25078" spans="25:25" x14ac:dyDescent="0.25">
      <c r="Y25078" s="63"/>
    </row>
    <row r="25079" spans="25:25" x14ac:dyDescent="0.25">
      <c r="Y25079" s="63"/>
    </row>
    <row r="25080" spans="25:25" x14ac:dyDescent="0.25">
      <c r="Y25080" s="63"/>
    </row>
    <row r="25081" spans="25:25" x14ac:dyDescent="0.25">
      <c r="Y25081" s="63"/>
    </row>
    <row r="25082" spans="25:25" x14ac:dyDescent="0.25">
      <c r="Y25082" s="63"/>
    </row>
    <row r="25083" spans="25:25" x14ac:dyDescent="0.25">
      <c r="Y25083" s="63"/>
    </row>
    <row r="25084" spans="25:25" x14ac:dyDescent="0.25">
      <c r="Y25084" s="63"/>
    </row>
    <row r="25085" spans="25:25" x14ac:dyDescent="0.25">
      <c r="Y25085" s="63"/>
    </row>
    <row r="25086" spans="25:25" x14ac:dyDescent="0.25">
      <c r="Y25086" s="63"/>
    </row>
    <row r="25087" spans="25:25" x14ac:dyDescent="0.25">
      <c r="Y25087" s="63"/>
    </row>
    <row r="25088" spans="25:25" x14ac:dyDescent="0.25">
      <c r="Y25088" s="63"/>
    </row>
    <row r="25089" spans="25:25" x14ac:dyDescent="0.25">
      <c r="Y25089" s="63"/>
    </row>
    <row r="25090" spans="25:25" x14ac:dyDescent="0.25">
      <c r="Y25090" s="63"/>
    </row>
    <row r="25091" spans="25:25" x14ac:dyDescent="0.25">
      <c r="Y25091" s="63"/>
    </row>
    <row r="25092" spans="25:25" x14ac:dyDescent="0.25">
      <c r="Y25092" s="63"/>
    </row>
    <row r="25093" spans="25:25" x14ac:dyDescent="0.25">
      <c r="Y25093" s="63"/>
    </row>
    <row r="25094" spans="25:25" x14ac:dyDescent="0.25">
      <c r="Y25094" s="63"/>
    </row>
    <row r="25095" spans="25:25" x14ac:dyDescent="0.25">
      <c r="Y25095" s="63"/>
    </row>
    <row r="25096" spans="25:25" x14ac:dyDescent="0.25">
      <c r="Y25096" s="63"/>
    </row>
    <row r="25097" spans="25:25" x14ac:dyDescent="0.25">
      <c r="Y25097" s="63"/>
    </row>
    <row r="25098" spans="25:25" x14ac:dyDescent="0.25">
      <c r="Y25098" s="63"/>
    </row>
    <row r="25099" spans="25:25" x14ac:dyDescent="0.25">
      <c r="Y25099" s="63"/>
    </row>
    <row r="25100" spans="25:25" x14ac:dyDescent="0.25">
      <c r="Y25100" s="63"/>
    </row>
    <row r="25101" spans="25:25" x14ac:dyDescent="0.25">
      <c r="Y25101" s="63"/>
    </row>
    <row r="25102" spans="25:25" x14ac:dyDescent="0.25">
      <c r="Y25102" s="63"/>
    </row>
    <row r="25103" spans="25:25" x14ac:dyDescent="0.25">
      <c r="Y25103" s="63"/>
    </row>
    <row r="25104" spans="25:25" x14ac:dyDescent="0.25">
      <c r="Y25104" s="63"/>
    </row>
    <row r="25105" spans="25:25" x14ac:dyDescent="0.25">
      <c r="Y25105" s="63"/>
    </row>
    <row r="25106" spans="25:25" x14ac:dyDescent="0.25">
      <c r="Y25106" s="63"/>
    </row>
    <row r="25107" spans="25:25" x14ac:dyDescent="0.25">
      <c r="Y25107" s="63"/>
    </row>
    <row r="25108" spans="25:25" x14ac:dyDescent="0.25">
      <c r="Y25108" s="63"/>
    </row>
    <row r="25109" spans="25:25" x14ac:dyDescent="0.25">
      <c r="Y25109" s="63"/>
    </row>
    <row r="25110" spans="25:25" x14ac:dyDescent="0.25">
      <c r="Y25110" s="63"/>
    </row>
    <row r="25111" spans="25:25" x14ac:dyDescent="0.25">
      <c r="Y25111" s="63"/>
    </row>
    <row r="25112" spans="25:25" x14ac:dyDescent="0.25">
      <c r="Y25112" s="63"/>
    </row>
    <row r="25113" spans="25:25" x14ac:dyDescent="0.25">
      <c r="Y25113" s="63"/>
    </row>
    <row r="25114" spans="25:25" x14ac:dyDescent="0.25">
      <c r="Y25114" s="63"/>
    </row>
    <row r="25115" spans="25:25" x14ac:dyDescent="0.25">
      <c r="Y25115" s="63"/>
    </row>
    <row r="25116" spans="25:25" x14ac:dyDescent="0.25">
      <c r="Y25116" s="63"/>
    </row>
    <row r="25117" spans="25:25" x14ac:dyDescent="0.25">
      <c r="Y25117" s="63"/>
    </row>
    <row r="25118" spans="25:25" x14ac:dyDescent="0.25">
      <c r="Y25118" s="63"/>
    </row>
    <row r="25119" spans="25:25" x14ac:dyDescent="0.25">
      <c r="Y25119" s="63"/>
    </row>
    <row r="25120" spans="25:25" x14ac:dyDescent="0.25">
      <c r="Y25120" s="63"/>
    </row>
    <row r="25121" spans="25:25" x14ac:dyDescent="0.25">
      <c r="Y25121" s="63"/>
    </row>
    <row r="25122" spans="25:25" x14ac:dyDescent="0.25">
      <c r="Y25122" s="63"/>
    </row>
    <row r="25123" spans="25:25" x14ac:dyDescent="0.25">
      <c r="Y25123" s="63"/>
    </row>
    <row r="25124" spans="25:25" x14ac:dyDescent="0.25">
      <c r="Y25124" s="63"/>
    </row>
    <row r="25125" spans="25:25" x14ac:dyDescent="0.25">
      <c r="Y25125" s="63"/>
    </row>
    <row r="25126" spans="25:25" x14ac:dyDescent="0.25">
      <c r="Y25126" s="63"/>
    </row>
    <row r="25127" spans="25:25" x14ac:dyDescent="0.25">
      <c r="Y25127" s="63"/>
    </row>
    <row r="25128" spans="25:25" x14ac:dyDescent="0.25">
      <c r="Y25128" s="63"/>
    </row>
    <row r="25129" spans="25:25" x14ac:dyDescent="0.25">
      <c r="Y25129" s="63"/>
    </row>
    <row r="25130" spans="25:25" x14ac:dyDescent="0.25">
      <c r="Y25130" s="63"/>
    </row>
    <row r="25131" spans="25:25" x14ac:dyDescent="0.25">
      <c r="Y25131" s="63"/>
    </row>
    <row r="25132" spans="25:25" x14ac:dyDescent="0.25">
      <c r="Y25132" s="63"/>
    </row>
    <row r="25133" spans="25:25" x14ac:dyDescent="0.25">
      <c r="Y25133" s="63"/>
    </row>
    <row r="25134" spans="25:25" x14ac:dyDescent="0.25">
      <c r="Y25134" s="63"/>
    </row>
    <row r="25135" spans="25:25" x14ac:dyDescent="0.25">
      <c r="Y25135" s="63"/>
    </row>
    <row r="25136" spans="25:25" x14ac:dyDescent="0.25">
      <c r="Y25136" s="63"/>
    </row>
    <row r="25137" spans="25:25" x14ac:dyDescent="0.25">
      <c r="Y25137" s="63"/>
    </row>
    <row r="25138" spans="25:25" x14ac:dyDescent="0.25">
      <c r="Y25138" s="63"/>
    </row>
    <row r="25139" spans="25:25" x14ac:dyDescent="0.25">
      <c r="Y25139" s="63"/>
    </row>
    <row r="25140" spans="25:25" x14ac:dyDescent="0.25">
      <c r="Y25140" s="63"/>
    </row>
    <row r="25141" spans="25:25" x14ac:dyDescent="0.25">
      <c r="Y25141" s="63"/>
    </row>
    <row r="25142" spans="25:25" x14ac:dyDescent="0.25">
      <c r="Y25142" s="63"/>
    </row>
    <row r="25143" spans="25:25" x14ac:dyDescent="0.25">
      <c r="Y25143" s="63"/>
    </row>
    <row r="25144" spans="25:25" x14ac:dyDescent="0.25">
      <c r="Y25144" s="63"/>
    </row>
    <row r="25145" spans="25:25" x14ac:dyDescent="0.25">
      <c r="Y25145" s="63"/>
    </row>
    <row r="25146" spans="25:25" x14ac:dyDescent="0.25">
      <c r="Y25146" s="63"/>
    </row>
    <row r="25147" spans="25:25" x14ac:dyDescent="0.25">
      <c r="Y25147" s="63"/>
    </row>
    <row r="25148" spans="25:25" x14ac:dyDescent="0.25">
      <c r="Y25148" s="63"/>
    </row>
    <row r="25149" spans="25:25" x14ac:dyDescent="0.25">
      <c r="Y25149" s="63"/>
    </row>
    <row r="25150" spans="25:25" x14ac:dyDescent="0.25">
      <c r="Y25150" s="63"/>
    </row>
    <row r="25151" spans="25:25" x14ac:dyDescent="0.25">
      <c r="Y25151" s="63"/>
    </row>
    <row r="25152" spans="25:25" x14ac:dyDescent="0.25">
      <c r="Y25152" s="63"/>
    </row>
    <row r="25153" spans="25:25" x14ac:dyDescent="0.25">
      <c r="Y25153" s="63"/>
    </row>
    <row r="25154" spans="25:25" x14ac:dyDescent="0.25">
      <c r="Y25154" s="63"/>
    </row>
    <row r="25155" spans="25:25" x14ac:dyDescent="0.25">
      <c r="Y25155" s="63"/>
    </row>
    <row r="25156" spans="25:25" x14ac:dyDescent="0.25">
      <c r="Y25156" s="63"/>
    </row>
    <row r="25157" spans="25:25" x14ac:dyDescent="0.25">
      <c r="Y25157" s="63"/>
    </row>
    <row r="25158" spans="25:25" x14ac:dyDescent="0.25">
      <c r="Y25158" s="63"/>
    </row>
    <row r="25159" spans="25:25" x14ac:dyDescent="0.25">
      <c r="Y25159" s="63"/>
    </row>
    <row r="25160" spans="25:25" x14ac:dyDescent="0.25">
      <c r="Y25160" s="63"/>
    </row>
    <row r="25161" spans="25:25" x14ac:dyDescent="0.25">
      <c r="Y25161" s="63"/>
    </row>
    <row r="25162" spans="25:25" x14ac:dyDescent="0.25">
      <c r="Y25162" s="63"/>
    </row>
    <row r="25163" spans="25:25" x14ac:dyDescent="0.25">
      <c r="Y25163" s="63"/>
    </row>
    <row r="25164" spans="25:25" x14ac:dyDescent="0.25">
      <c r="Y25164" s="63"/>
    </row>
    <row r="25165" spans="25:25" x14ac:dyDescent="0.25">
      <c r="Y25165" s="63"/>
    </row>
    <row r="25166" spans="25:25" x14ac:dyDescent="0.25">
      <c r="Y25166" s="63"/>
    </row>
    <row r="25167" spans="25:25" x14ac:dyDescent="0.25">
      <c r="Y25167" s="63"/>
    </row>
    <row r="25168" spans="25:25" x14ac:dyDescent="0.25">
      <c r="Y25168" s="63"/>
    </row>
    <row r="25169" spans="25:25" x14ac:dyDescent="0.25">
      <c r="Y25169" s="63"/>
    </row>
    <row r="25170" spans="25:25" x14ac:dyDescent="0.25">
      <c r="Y25170" s="63"/>
    </row>
    <row r="25171" spans="25:25" x14ac:dyDescent="0.25">
      <c r="Y25171" s="63"/>
    </row>
    <row r="25172" spans="25:25" x14ac:dyDescent="0.25">
      <c r="Y25172" s="63"/>
    </row>
    <row r="25173" spans="25:25" x14ac:dyDescent="0.25">
      <c r="Y25173" s="63"/>
    </row>
    <row r="25174" spans="25:25" x14ac:dyDescent="0.25">
      <c r="Y25174" s="63"/>
    </row>
    <row r="25175" spans="25:25" x14ac:dyDescent="0.25">
      <c r="Y25175" s="63"/>
    </row>
    <row r="25176" spans="25:25" x14ac:dyDescent="0.25">
      <c r="Y25176" s="63"/>
    </row>
    <row r="25177" spans="25:25" x14ac:dyDescent="0.25">
      <c r="Y25177" s="63"/>
    </row>
    <row r="25178" spans="25:25" x14ac:dyDescent="0.25">
      <c r="Y25178" s="63"/>
    </row>
    <row r="25179" spans="25:25" x14ac:dyDescent="0.25">
      <c r="Y25179" s="63"/>
    </row>
    <row r="25180" spans="25:25" x14ac:dyDescent="0.25">
      <c r="Y25180" s="63"/>
    </row>
    <row r="25181" spans="25:25" x14ac:dyDescent="0.25">
      <c r="Y25181" s="63"/>
    </row>
    <row r="25182" spans="25:25" x14ac:dyDescent="0.25">
      <c r="Y25182" s="63"/>
    </row>
    <row r="25183" spans="25:25" x14ac:dyDescent="0.25">
      <c r="Y25183" s="63"/>
    </row>
    <row r="25184" spans="25:25" x14ac:dyDescent="0.25">
      <c r="Y25184" s="63"/>
    </row>
    <row r="25185" spans="25:25" x14ac:dyDescent="0.25">
      <c r="Y25185" s="63"/>
    </row>
    <row r="25186" spans="25:25" x14ac:dyDescent="0.25">
      <c r="Y25186" s="63"/>
    </row>
    <row r="25187" spans="25:25" x14ac:dyDescent="0.25">
      <c r="Y25187" s="63"/>
    </row>
    <row r="25188" spans="25:25" x14ac:dyDescent="0.25">
      <c r="Y25188" s="63"/>
    </row>
    <row r="25189" spans="25:25" x14ac:dyDescent="0.25">
      <c r="Y25189" s="63"/>
    </row>
    <row r="25190" spans="25:25" x14ac:dyDescent="0.25">
      <c r="Y25190" s="63"/>
    </row>
    <row r="25191" spans="25:25" x14ac:dyDescent="0.25">
      <c r="Y25191" s="63"/>
    </row>
    <row r="25192" spans="25:25" x14ac:dyDescent="0.25">
      <c r="Y25192" s="63"/>
    </row>
    <row r="25193" spans="25:25" x14ac:dyDescent="0.25">
      <c r="Y25193" s="63"/>
    </row>
    <row r="25194" spans="25:25" x14ac:dyDescent="0.25">
      <c r="Y25194" s="63"/>
    </row>
    <row r="25195" spans="25:25" x14ac:dyDescent="0.25">
      <c r="Y25195" s="63"/>
    </row>
    <row r="25196" spans="25:25" x14ac:dyDescent="0.25">
      <c r="Y25196" s="63"/>
    </row>
    <row r="25197" spans="25:25" x14ac:dyDescent="0.25">
      <c r="Y25197" s="63"/>
    </row>
    <row r="25198" spans="25:25" x14ac:dyDescent="0.25">
      <c r="Y25198" s="63"/>
    </row>
    <row r="25199" spans="25:25" x14ac:dyDescent="0.25">
      <c r="Y25199" s="63"/>
    </row>
    <row r="25200" spans="25:25" x14ac:dyDescent="0.25">
      <c r="Y25200" s="63"/>
    </row>
    <row r="25201" spans="25:25" x14ac:dyDescent="0.25">
      <c r="Y25201" s="63"/>
    </row>
    <row r="25202" spans="25:25" x14ac:dyDescent="0.25">
      <c r="Y25202" s="63"/>
    </row>
    <row r="25203" spans="25:25" x14ac:dyDescent="0.25">
      <c r="Y25203" s="63"/>
    </row>
    <row r="25204" spans="25:25" x14ac:dyDescent="0.25">
      <c r="Y25204" s="63"/>
    </row>
    <row r="25205" spans="25:25" x14ac:dyDescent="0.25">
      <c r="Y25205" s="63"/>
    </row>
    <row r="25206" spans="25:25" x14ac:dyDescent="0.25">
      <c r="Y25206" s="63"/>
    </row>
    <row r="25207" spans="25:25" x14ac:dyDescent="0.25">
      <c r="Y25207" s="63"/>
    </row>
    <row r="25208" spans="25:25" x14ac:dyDescent="0.25">
      <c r="Y25208" s="63"/>
    </row>
    <row r="25209" spans="25:25" x14ac:dyDescent="0.25">
      <c r="Y25209" s="63"/>
    </row>
    <row r="25210" spans="25:25" x14ac:dyDescent="0.25">
      <c r="Y25210" s="63"/>
    </row>
    <row r="25211" spans="25:25" x14ac:dyDescent="0.25">
      <c r="Y25211" s="63"/>
    </row>
    <row r="25212" spans="25:25" x14ac:dyDescent="0.25">
      <c r="Y25212" s="63"/>
    </row>
    <row r="25213" spans="25:25" x14ac:dyDescent="0.25">
      <c r="Y25213" s="63"/>
    </row>
    <row r="25214" spans="25:25" x14ac:dyDescent="0.25">
      <c r="Y25214" s="63"/>
    </row>
    <row r="25215" spans="25:25" x14ac:dyDescent="0.25">
      <c r="Y25215" s="63"/>
    </row>
    <row r="25216" spans="25:25" x14ac:dyDescent="0.25">
      <c r="Y25216" s="63"/>
    </row>
    <row r="25217" spans="25:25" x14ac:dyDescent="0.25">
      <c r="Y25217" s="63"/>
    </row>
    <row r="25218" spans="25:25" x14ac:dyDescent="0.25">
      <c r="Y25218" s="63"/>
    </row>
    <row r="25219" spans="25:25" x14ac:dyDescent="0.25">
      <c r="Y25219" s="63"/>
    </row>
    <row r="25220" spans="25:25" x14ac:dyDescent="0.25">
      <c r="Y25220" s="63"/>
    </row>
    <row r="25221" spans="25:25" x14ac:dyDescent="0.25">
      <c r="Y25221" s="63"/>
    </row>
    <row r="25222" spans="25:25" x14ac:dyDescent="0.25">
      <c r="Y25222" s="63"/>
    </row>
    <row r="25223" spans="25:25" x14ac:dyDescent="0.25">
      <c r="Y25223" s="63"/>
    </row>
    <row r="25224" spans="25:25" x14ac:dyDescent="0.25">
      <c r="Y25224" s="63"/>
    </row>
    <row r="25225" spans="25:25" x14ac:dyDescent="0.25">
      <c r="Y25225" s="63"/>
    </row>
    <row r="25226" spans="25:25" x14ac:dyDescent="0.25">
      <c r="Y25226" s="63"/>
    </row>
    <row r="25227" spans="25:25" x14ac:dyDescent="0.25">
      <c r="Y25227" s="63"/>
    </row>
    <row r="25228" spans="25:25" x14ac:dyDescent="0.25">
      <c r="Y25228" s="63"/>
    </row>
    <row r="25229" spans="25:25" x14ac:dyDescent="0.25">
      <c r="Y25229" s="63"/>
    </row>
    <row r="25230" spans="25:25" x14ac:dyDescent="0.25">
      <c r="Y25230" s="63"/>
    </row>
    <row r="25231" spans="25:25" x14ac:dyDescent="0.25">
      <c r="Y25231" s="63"/>
    </row>
    <row r="25232" spans="25:25" x14ac:dyDescent="0.25">
      <c r="Y25232" s="63"/>
    </row>
    <row r="25233" spans="25:25" x14ac:dyDescent="0.25">
      <c r="Y25233" s="63"/>
    </row>
    <row r="25234" spans="25:25" x14ac:dyDescent="0.25">
      <c r="Y25234" s="63"/>
    </row>
    <row r="25235" spans="25:25" x14ac:dyDescent="0.25">
      <c r="Y25235" s="63"/>
    </row>
    <row r="25236" spans="25:25" x14ac:dyDescent="0.25">
      <c r="Y25236" s="63"/>
    </row>
    <row r="25237" spans="25:25" x14ac:dyDescent="0.25">
      <c r="Y25237" s="63"/>
    </row>
    <row r="25238" spans="25:25" x14ac:dyDescent="0.25">
      <c r="Y25238" s="63"/>
    </row>
    <row r="25239" spans="25:25" x14ac:dyDescent="0.25">
      <c r="Y25239" s="63"/>
    </row>
    <row r="25240" spans="25:25" x14ac:dyDescent="0.25">
      <c r="Y25240" s="63"/>
    </row>
    <row r="25241" spans="25:25" x14ac:dyDescent="0.25">
      <c r="Y25241" s="63"/>
    </row>
    <row r="25242" spans="25:25" x14ac:dyDescent="0.25">
      <c r="Y25242" s="63"/>
    </row>
    <row r="25243" spans="25:25" x14ac:dyDescent="0.25">
      <c r="Y25243" s="63"/>
    </row>
    <row r="25244" spans="25:25" x14ac:dyDescent="0.25">
      <c r="Y25244" s="63"/>
    </row>
    <row r="25245" spans="25:25" x14ac:dyDescent="0.25">
      <c r="Y25245" s="63"/>
    </row>
    <row r="25246" spans="25:25" x14ac:dyDescent="0.25">
      <c r="Y25246" s="63"/>
    </row>
    <row r="25247" spans="25:25" x14ac:dyDescent="0.25">
      <c r="Y25247" s="63"/>
    </row>
    <row r="25248" spans="25:25" x14ac:dyDescent="0.25">
      <c r="Y25248" s="63"/>
    </row>
    <row r="25249" spans="25:25" x14ac:dyDescent="0.25">
      <c r="Y25249" s="63"/>
    </row>
    <row r="25250" spans="25:25" x14ac:dyDescent="0.25">
      <c r="Y25250" s="63"/>
    </row>
    <row r="25251" spans="25:25" x14ac:dyDescent="0.25">
      <c r="Y25251" s="63"/>
    </row>
    <row r="25252" spans="25:25" x14ac:dyDescent="0.25">
      <c r="Y25252" s="63"/>
    </row>
    <row r="25253" spans="25:25" x14ac:dyDescent="0.25">
      <c r="Y25253" s="63"/>
    </row>
    <row r="25254" spans="25:25" x14ac:dyDescent="0.25">
      <c r="Y25254" s="63"/>
    </row>
    <row r="25255" spans="25:25" x14ac:dyDescent="0.25">
      <c r="Y25255" s="63"/>
    </row>
    <row r="25256" spans="25:25" x14ac:dyDescent="0.25">
      <c r="Y25256" s="63"/>
    </row>
    <row r="25257" spans="25:25" x14ac:dyDescent="0.25">
      <c r="Y25257" s="63"/>
    </row>
    <row r="25258" spans="25:25" x14ac:dyDescent="0.25">
      <c r="Y25258" s="63"/>
    </row>
    <row r="25259" spans="25:25" x14ac:dyDescent="0.25">
      <c r="Y25259" s="63"/>
    </row>
    <row r="25260" spans="25:25" x14ac:dyDescent="0.25">
      <c r="Y25260" s="63"/>
    </row>
    <row r="25261" spans="25:25" x14ac:dyDescent="0.25">
      <c r="Y25261" s="63"/>
    </row>
    <row r="25262" spans="25:25" x14ac:dyDescent="0.25">
      <c r="Y25262" s="63"/>
    </row>
    <row r="25263" spans="25:25" x14ac:dyDescent="0.25">
      <c r="Y25263" s="63"/>
    </row>
    <row r="25264" spans="25:25" x14ac:dyDescent="0.25">
      <c r="Y25264" s="63"/>
    </row>
    <row r="25265" spans="25:25" x14ac:dyDescent="0.25">
      <c r="Y25265" s="63"/>
    </row>
    <row r="25266" spans="25:25" x14ac:dyDescent="0.25">
      <c r="Y25266" s="63"/>
    </row>
    <row r="25267" spans="25:25" x14ac:dyDescent="0.25">
      <c r="Y25267" s="63"/>
    </row>
    <row r="25268" spans="25:25" x14ac:dyDescent="0.25">
      <c r="Y25268" s="63"/>
    </row>
    <row r="25269" spans="25:25" x14ac:dyDescent="0.25">
      <c r="Y25269" s="63"/>
    </row>
    <row r="25270" spans="25:25" x14ac:dyDescent="0.25">
      <c r="Y25270" s="63"/>
    </row>
    <row r="25271" spans="25:25" x14ac:dyDescent="0.25">
      <c r="Y25271" s="63"/>
    </row>
    <row r="25272" spans="25:25" x14ac:dyDescent="0.25">
      <c r="Y25272" s="63"/>
    </row>
    <row r="25273" spans="25:25" x14ac:dyDescent="0.25">
      <c r="Y25273" s="63"/>
    </row>
    <row r="25274" spans="25:25" x14ac:dyDescent="0.25">
      <c r="Y25274" s="63"/>
    </row>
    <row r="25275" spans="25:25" x14ac:dyDescent="0.25">
      <c r="Y25275" s="63"/>
    </row>
    <row r="25276" spans="25:25" x14ac:dyDescent="0.25">
      <c r="Y25276" s="63"/>
    </row>
    <row r="25277" spans="25:25" x14ac:dyDescent="0.25">
      <c r="Y25277" s="63"/>
    </row>
    <row r="25278" spans="25:25" x14ac:dyDescent="0.25">
      <c r="Y25278" s="63"/>
    </row>
    <row r="25279" spans="25:25" x14ac:dyDescent="0.25">
      <c r="Y25279" s="63"/>
    </row>
    <row r="25280" spans="25:25" x14ac:dyDescent="0.25">
      <c r="Y25280" s="63"/>
    </row>
    <row r="25281" spans="25:25" x14ac:dyDescent="0.25">
      <c r="Y25281" s="63"/>
    </row>
    <row r="25282" spans="25:25" x14ac:dyDescent="0.25">
      <c r="Y25282" s="63"/>
    </row>
    <row r="25283" spans="25:25" x14ac:dyDescent="0.25">
      <c r="Y25283" s="63"/>
    </row>
    <row r="25284" spans="25:25" x14ac:dyDescent="0.25">
      <c r="Y25284" s="63"/>
    </row>
    <row r="25285" spans="25:25" x14ac:dyDescent="0.25">
      <c r="Y25285" s="63"/>
    </row>
    <row r="25286" spans="25:25" x14ac:dyDescent="0.25">
      <c r="Y25286" s="63"/>
    </row>
    <row r="25287" spans="25:25" x14ac:dyDescent="0.25">
      <c r="Y25287" s="63"/>
    </row>
    <row r="25288" spans="25:25" x14ac:dyDescent="0.25">
      <c r="Y25288" s="63"/>
    </row>
    <row r="25289" spans="25:25" x14ac:dyDescent="0.25">
      <c r="Y25289" s="63"/>
    </row>
    <row r="25290" spans="25:25" x14ac:dyDescent="0.25">
      <c r="Y25290" s="63"/>
    </row>
    <row r="25291" spans="25:25" x14ac:dyDescent="0.25">
      <c r="Y25291" s="63"/>
    </row>
    <row r="25292" spans="25:25" x14ac:dyDescent="0.25">
      <c r="Y25292" s="63"/>
    </row>
    <row r="25293" spans="25:25" x14ac:dyDescent="0.25">
      <c r="Y25293" s="63"/>
    </row>
    <row r="25294" spans="25:25" x14ac:dyDescent="0.25">
      <c r="Y25294" s="63"/>
    </row>
    <row r="25295" spans="25:25" x14ac:dyDescent="0.25">
      <c r="Y25295" s="63"/>
    </row>
    <row r="25296" spans="25:25" x14ac:dyDescent="0.25">
      <c r="Y25296" s="63"/>
    </row>
    <row r="25297" spans="25:25" x14ac:dyDescent="0.25">
      <c r="Y25297" s="63"/>
    </row>
    <row r="25298" spans="25:25" x14ac:dyDescent="0.25">
      <c r="Y25298" s="63"/>
    </row>
    <row r="25299" spans="25:25" x14ac:dyDescent="0.25">
      <c r="Y25299" s="63"/>
    </row>
    <row r="25300" spans="25:25" x14ac:dyDescent="0.25">
      <c r="Y25300" s="63"/>
    </row>
    <row r="25301" spans="25:25" x14ac:dyDescent="0.25">
      <c r="Y25301" s="63"/>
    </row>
    <row r="25302" spans="25:25" x14ac:dyDescent="0.25">
      <c r="Y25302" s="63"/>
    </row>
    <row r="25303" spans="25:25" x14ac:dyDescent="0.25">
      <c r="Y25303" s="63"/>
    </row>
    <row r="25304" spans="25:25" x14ac:dyDescent="0.25">
      <c r="Y25304" s="63"/>
    </row>
    <row r="25305" spans="25:25" x14ac:dyDescent="0.25">
      <c r="Y25305" s="63"/>
    </row>
    <row r="25306" spans="25:25" x14ac:dyDescent="0.25">
      <c r="Y25306" s="63"/>
    </row>
    <row r="25307" spans="25:25" x14ac:dyDescent="0.25">
      <c r="Y25307" s="63"/>
    </row>
    <row r="25308" spans="25:25" x14ac:dyDescent="0.25">
      <c r="Y25308" s="63"/>
    </row>
    <row r="25309" spans="25:25" x14ac:dyDescent="0.25">
      <c r="Y25309" s="63"/>
    </row>
    <row r="25310" spans="25:25" x14ac:dyDescent="0.25">
      <c r="Y25310" s="63"/>
    </row>
    <row r="25311" spans="25:25" x14ac:dyDescent="0.25">
      <c r="Y25311" s="63"/>
    </row>
    <row r="25312" spans="25:25" x14ac:dyDescent="0.25">
      <c r="Y25312" s="63"/>
    </row>
    <row r="25313" spans="25:25" x14ac:dyDescent="0.25">
      <c r="Y25313" s="63"/>
    </row>
    <row r="25314" spans="25:25" x14ac:dyDescent="0.25">
      <c r="Y25314" s="63"/>
    </row>
    <row r="25315" spans="25:25" x14ac:dyDescent="0.25">
      <c r="Y25315" s="63"/>
    </row>
    <row r="25316" spans="25:25" x14ac:dyDescent="0.25">
      <c r="Y25316" s="63"/>
    </row>
    <row r="25317" spans="25:25" x14ac:dyDescent="0.25">
      <c r="Y25317" s="63"/>
    </row>
    <row r="25318" spans="25:25" x14ac:dyDescent="0.25">
      <c r="Y25318" s="63"/>
    </row>
    <row r="25319" spans="25:25" x14ac:dyDescent="0.25">
      <c r="Y25319" s="63"/>
    </row>
    <row r="25320" spans="25:25" x14ac:dyDescent="0.25">
      <c r="Y25320" s="63"/>
    </row>
    <row r="25321" spans="25:25" x14ac:dyDescent="0.25">
      <c r="Y25321" s="63"/>
    </row>
    <row r="25322" spans="25:25" x14ac:dyDescent="0.25">
      <c r="Y25322" s="63"/>
    </row>
    <row r="25323" spans="25:25" x14ac:dyDescent="0.25">
      <c r="Y25323" s="63"/>
    </row>
    <row r="25324" spans="25:25" x14ac:dyDescent="0.25">
      <c r="Y25324" s="63"/>
    </row>
    <row r="25325" spans="25:25" x14ac:dyDescent="0.25">
      <c r="Y25325" s="63"/>
    </row>
    <row r="25326" spans="25:25" x14ac:dyDescent="0.25">
      <c r="Y25326" s="63"/>
    </row>
    <row r="25327" spans="25:25" x14ac:dyDescent="0.25">
      <c r="Y25327" s="63"/>
    </row>
    <row r="25328" spans="25:25" x14ac:dyDescent="0.25">
      <c r="Y25328" s="63"/>
    </row>
    <row r="25329" spans="25:25" x14ac:dyDescent="0.25">
      <c r="Y25329" s="63"/>
    </row>
    <row r="25330" spans="25:25" x14ac:dyDescent="0.25">
      <c r="Y25330" s="63"/>
    </row>
    <row r="25331" spans="25:25" x14ac:dyDescent="0.25">
      <c r="Y25331" s="63"/>
    </row>
    <row r="25332" spans="25:25" x14ac:dyDescent="0.25">
      <c r="Y25332" s="63"/>
    </row>
    <row r="25333" spans="25:25" x14ac:dyDescent="0.25">
      <c r="Y25333" s="63"/>
    </row>
    <row r="25334" spans="25:25" x14ac:dyDescent="0.25">
      <c r="Y25334" s="63"/>
    </row>
    <row r="25335" spans="25:25" x14ac:dyDescent="0.25">
      <c r="Y25335" s="63"/>
    </row>
    <row r="25336" spans="25:25" x14ac:dyDescent="0.25">
      <c r="Y25336" s="63"/>
    </row>
    <row r="25337" spans="25:25" x14ac:dyDescent="0.25">
      <c r="Y25337" s="63"/>
    </row>
    <row r="25338" spans="25:25" x14ac:dyDescent="0.25">
      <c r="Y25338" s="63"/>
    </row>
    <row r="25339" spans="25:25" x14ac:dyDescent="0.25">
      <c r="Y25339" s="63"/>
    </row>
    <row r="25340" spans="25:25" x14ac:dyDescent="0.25">
      <c r="Y25340" s="63"/>
    </row>
    <row r="25341" spans="25:25" x14ac:dyDescent="0.25">
      <c r="Y25341" s="63"/>
    </row>
    <row r="25342" spans="25:25" x14ac:dyDescent="0.25">
      <c r="Y25342" s="63"/>
    </row>
    <row r="25343" spans="25:25" x14ac:dyDescent="0.25">
      <c r="Y25343" s="63"/>
    </row>
    <row r="25344" spans="25:25" x14ac:dyDescent="0.25">
      <c r="Y25344" s="63"/>
    </row>
    <row r="25345" spans="25:25" x14ac:dyDescent="0.25">
      <c r="Y25345" s="63"/>
    </row>
    <row r="25346" spans="25:25" x14ac:dyDescent="0.25">
      <c r="Y25346" s="63"/>
    </row>
    <row r="25347" spans="25:25" x14ac:dyDescent="0.25">
      <c r="Y25347" s="63"/>
    </row>
    <row r="25348" spans="25:25" x14ac:dyDescent="0.25">
      <c r="Y25348" s="63"/>
    </row>
    <row r="25349" spans="25:25" x14ac:dyDescent="0.25">
      <c r="Y25349" s="63"/>
    </row>
    <row r="25350" spans="25:25" x14ac:dyDescent="0.25">
      <c r="Y25350" s="63"/>
    </row>
    <row r="25351" spans="25:25" x14ac:dyDescent="0.25">
      <c r="Y25351" s="63"/>
    </row>
    <row r="25352" spans="25:25" x14ac:dyDescent="0.25">
      <c r="Y25352" s="63"/>
    </row>
    <row r="25353" spans="25:25" x14ac:dyDescent="0.25">
      <c r="Y25353" s="63"/>
    </row>
    <row r="25354" spans="25:25" x14ac:dyDescent="0.25">
      <c r="Y25354" s="63"/>
    </row>
    <row r="25355" spans="25:25" x14ac:dyDescent="0.25">
      <c r="Y25355" s="63"/>
    </row>
    <row r="25356" spans="25:25" x14ac:dyDescent="0.25">
      <c r="Y25356" s="63"/>
    </row>
    <row r="25357" spans="25:25" x14ac:dyDescent="0.25">
      <c r="Y25357" s="63"/>
    </row>
    <row r="25358" spans="25:25" x14ac:dyDescent="0.25">
      <c r="Y25358" s="63"/>
    </row>
    <row r="25359" spans="25:25" x14ac:dyDescent="0.25">
      <c r="Y25359" s="63"/>
    </row>
    <row r="25360" spans="25:25" x14ac:dyDescent="0.25">
      <c r="Y25360" s="63"/>
    </row>
    <row r="25361" spans="25:25" x14ac:dyDescent="0.25">
      <c r="Y25361" s="63"/>
    </row>
    <row r="25362" spans="25:25" x14ac:dyDescent="0.25">
      <c r="Y25362" s="63"/>
    </row>
    <row r="25363" spans="25:25" x14ac:dyDescent="0.25">
      <c r="Y25363" s="63"/>
    </row>
    <row r="25364" spans="25:25" x14ac:dyDescent="0.25">
      <c r="Y25364" s="63"/>
    </row>
    <row r="25365" spans="25:25" x14ac:dyDescent="0.25">
      <c r="Y25365" s="63"/>
    </row>
    <row r="25366" spans="25:25" x14ac:dyDescent="0.25">
      <c r="Y25366" s="63"/>
    </row>
    <row r="25367" spans="25:25" x14ac:dyDescent="0.25">
      <c r="Y25367" s="63"/>
    </row>
    <row r="25368" spans="25:25" x14ac:dyDescent="0.25">
      <c r="Y25368" s="63"/>
    </row>
    <row r="25369" spans="25:25" x14ac:dyDescent="0.25">
      <c r="Y25369" s="63"/>
    </row>
    <row r="25370" spans="25:25" x14ac:dyDescent="0.25">
      <c r="Y25370" s="63"/>
    </row>
    <row r="25371" spans="25:25" x14ac:dyDescent="0.25">
      <c r="Y25371" s="63"/>
    </row>
    <row r="25372" spans="25:25" x14ac:dyDescent="0.25">
      <c r="Y25372" s="63"/>
    </row>
    <row r="25373" spans="25:25" x14ac:dyDescent="0.25">
      <c r="Y25373" s="63"/>
    </row>
    <row r="25374" spans="25:25" x14ac:dyDescent="0.25">
      <c r="Y25374" s="63"/>
    </row>
    <row r="25375" spans="25:25" x14ac:dyDescent="0.25">
      <c r="Y25375" s="63"/>
    </row>
    <row r="25376" spans="25:25" x14ac:dyDescent="0.25">
      <c r="Y25376" s="63"/>
    </row>
    <row r="25377" spans="25:25" x14ac:dyDescent="0.25">
      <c r="Y25377" s="63"/>
    </row>
    <row r="25378" spans="25:25" x14ac:dyDescent="0.25">
      <c r="Y25378" s="63"/>
    </row>
    <row r="25379" spans="25:25" x14ac:dyDescent="0.25">
      <c r="Y25379" s="63"/>
    </row>
    <row r="25380" spans="25:25" x14ac:dyDescent="0.25">
      <c r="Y25380" s="63"/>
    </row>
    <row r="25381" spans="25:25" x14ac:dyDescent="0.25">
      <c r="Y25381" s="63"/>
    </row>
    <row r="25382" spans="25:25" x14ac:dyDescent="0.25">
      <c r="Y25382" s="63"/>
    </row>
    <row r="25383" spans="25:25" x14ac:dyDescent="0.25">
      <c r="Y25383" s="63"/>
    </row>
    <row r="25384" spans="25:25" x14ac:dyDescent="0.25">
      <c r="Y25384" s="63"/>
    </row>
    <row r="25385" spans="25:25" x14ac:dyDescent="0.25">
      <c r="Y25385" s="63"/>
    </row>
    <row r="25386" spans="25:25" x14ac:dyDescent="0.25">
      <c r="Y25386" s="63"/>
    </row>
    <row r="25387" spans="25:25" x14ac:dyDescent="0.25">
      <c r="Y25387" s="63"/>
    </row>
    <row r="25388" spans="25:25" x14ac:dyDescent="0.25">
      <c r="Y25388" s="63"/>
    </row>
    <row r="25389" spans="25:25" x14ac:dyDescent="0.25">
      <c r="Y25389" s="63"/>
    </row>
    <row r="25390" spans="25:25" x14ac:dyDescent="0.25">
      <c r="Y25390" s="63"/>
    </row>
    <row r="25391" spans="25:25" x14ac:dyDescent="0.25">
      <c r="Y25391" s="63"/>
    </row>
    <row r="25392" spans="25:25" x14ac:dyDescent="0.25">
      <c r="Y25392" s="63"/>
    </row>
    <row r="25393" spans="25:25" x14ac:dyDescent="0.25">
      <c r="Y25393" s="63"/>
    </row>
    <row r="25394" spans="25:25" x14ac:dyDescent="0.25">
      <c r="Y25394" s="63"/>
    </row>
    <row r="25395" spans="25:25" x14ac:dyDescent="0.25">
      <c r="Y25395" s="63"/>
    </row>
    <row r="25396" spans="25:25" x14ac:dyDescent="0.25">
      <c r="Y25396" s="63"/>
    </row>
    <row r="25397" spans="25:25" x14ac:dyDescent="0.25">
      <c r="Y25397" s="63"/>
    </row>
    <row r="25398" spans="25:25" x14ac:dyDescent="0.25">
      <c r="Y25398" s="63"/>
    </row>
    <row r="25399" spans="25:25" x14ac:dyDescent="0.25">
      <c r="Y25399" s="63"/>
    </row>
    <row r="25400" spans="25:25" x14ac:dyDescent="0.25">
      <c r="Y25400" s="63"/>
    </row>
    <row r="25401" spans="25:25" x14ac:dyDescent="0.25">
      <c r="Y25401" s="63"/>
    </row>
    <row r="25402" spans="25:25" x14ac:dyDescent="0.25">
      <c r="Y25402" s="63"/>
    </row>
    <row r="25403" spans="25:25" x14ac:dyDescent="0.25">
      <c r="Y25403" s="63"/>
    </row>
    <row r="25404" spans="25:25" x14ac:dyDescent="0.25">
      <c r="Y25404" s="63"/>
    </row>
    <row r="25405" spans="25:25" x14ac:dyDescent="0.25">
      <c r="Y25405" s="63"/>
    </row>
    <row r="25406" spans="25:25" x14ac:dyDescent="0.25">
      <c r="Y25406" s="63"/>
    </row>
    <row r="25407" spans="25:25" x14ac:dyDescent="0.25">
      <c r="Y25407" s="63"/>
    </row>
    <row r="25408" spans="25:25" x14ac:dyDescent="0.25">
      <c r="Y25408" s="63"/>
    </row>
    <row r="25409" spans="25:25" x14ac:dyDescent="0.25">
      <c r="Y25409" s="63"/>
    </row>
    <row r="25410" spans="25:25" x14ac:dyDescent="0.25">
      <c r="Y25410" s="63"/>
    </row>
    <row r="25411" spans="25:25" x14ac:dyDescent="0.25">
      <c r="Y25411" s="63"/>
    </row>
    <row r="25412" spans="25:25" x14ac:dyDescent="0.25">
      <c r="Y25412" s="63"/>
    </row>
    <row r="25413" spans="25:25" x14ac:dyDescent="0.25">
      <c r="Y25413" s="63"/>
    </row>
    <row r="25414" spans="25:25" x14ac:dyDescent="0.25">
      <c r="Y25414" s="63"/>
    </row>
    <row r="25415" spans="25:25" x14ac:dyDescent="0.25">
      <c r="Y25415" s="63"/>
    </row>
    <row r="25416" spans="25:25" x14ac:dyDescent="0.25">
      <c r="Y25416" s="63"/>
    </row>
    <row r="25417" spans="25:25" x14ac:dyDescent="0.25">
      <c r="Y25417" s="63"/>
    </row>
    <row r="25418" spans="25:25" x14ac:dyDescent="0.25">
      <c r="Y25418" s="63"/>
    </row>
    <row r="25419" spans="25:25" x14ac:dyDescent="0.25">
      <c r="Y25419" s="63"/>
    </row>
    <row r="25420" spans="25:25" x14ac:dyDescent="0.25">
      <c r="Y25420" s="63"/>
    </row>
    <row r="25421" spans="25:25" x14ac:dyDescent="0.25">
      <c r="Y25421" s="63"/>
    </row>
    <row r="25422" spans="25:25" x14ac:dyDescent="0.25">
      <c r="Y25422" s="63"/>
    </row>
    <row r="25423" spans="25:25" x14ac:dyDescent="0.25">
      <c r="Y25423" s="63"/>
    </row>
    <row r="25424" spans="25:25" x14ac:dyDescent="0.25">
      <c r="Y25424" s="63"/>
    </row>
    <row r="25425" spans="25:25" x14ac:dyDescent="0.25">
      <c r="Y25425" s="63"/>
    </row>
    <row r="25426" spans="25:25" x14ac:dyDescent="0.25">
      <c r="Y25426" s="63"/>
    </row>
    <row r="25427" spans="25:25" x14ac:dyDescent="0.25">
      <c r="Y25427" s="63"/>
    </row>
    <row r="25428" spans="25:25" x14ac:dyDescent="0.25">
      <c r="Y25428" s="63"/>
    </row>
    <row r="25429" spans="25:25" x14ac:dyDescent="0.25">
      <c r="Y25429" s="63"/>
    </row>
    <row r="25430" spans="25:25" x14ac:dyDescent="0.25">
      <c r="Y25430" s="63"/>
    </row>
    <row r="25431" spans="25:25" x14ac:dyDescent="0.25">
      <c r="Y25431" s="63"/>
    </row>
    <row r="25432" spans="25:25" x14ac:dyDescent="0.25">
      <c r="Y25432" s="63"/>
    </row>
    <row r="25433" spans="25:25" x14ac:dyDescent="0.25">
      <c r="Y25433" s="63"/>
    </row>
    <row r="25434" spans="25:25" x14ac:dyDescent="0.25">
      <c r="Y25434" s="63"/>
    </row>
    <row r="25435" spans="25:25" x14ac:dyDescent="0.25">
      <c r="Y25435" s="63"/>
    </row>
    <row r="25436" spans="25:25" x14ac:dyDescent="0.25">
      <c r="Y25436" s="63"/>
    </row>
    <row r="25437" spans="25:25" x14ac:dyDescent="0.25">
      <c r="Y25437" s="63"/>
    </row>
    <row r="25438" spans="25:25" x14ac:dyDescent="0.25">
      <c r="Y25438" s="63"/>
    </row>
    <row r="25439" spans="25:25" x14ac:dyDescent="0.25">
      <c r="Y25439" s="63"/>
    </row>
    <row r="25440" spans="25:25" x14ac:dyDescent="0.25">
      <c r="Y25440" s="63"/>
    </row>
    <row r="25441" spans="25:25" x14ac:dyDescent="0.25">
      <c r="Y25441" s="63"/>
    </row>
    <row r="25442" spans="25:25" x14ac:dyDescent="0.25">
      <c r="Y25442" s="63"/>
    </row>
    <row r="25443" spans="25:25" x14ac:dyDescent="0.25">
      <c r="Y25443" s="63"/>
    </row>
    <row r="25444" spans="25:25" x14ac:dyDescent="0.25">
      <c r="Y25444" s="63"/>
    </row>
    <row r="25445" spans="25:25" x14ac:dyDescent="0.25">
      <c r="Y25445" s="63"/>
    </row>
    <row r="25446" spans="25:25" x14ac:dyDescent="0.25">
      <c r="Y25446" s="63"/>
    </row>
    <row r="25447" spans="25:25" x14ac:dyDescent="0.25">
      <c r="Y25447" s="63"/>
    </row>
    <row r="25448" spans="25:25" x14ac:dyDescent="0.25">
      <c r="Y25448" s="63"/>
    </row>
    <row r="25449" spans="25:25" x14ac:dyDescent="0.25">
      <c r="Y25449" s="63"/>
    </row>
    <row r="25450" spans="25:25" x14ac:dyDescent="0.25">
      <c r="Y25450" s="63"/>
    </row>
    <row r="25451" spans="25:25" x14ac:dyDescent="0.25">
      <c r="Y25451" s="63"/>
    </row>
    <row r="25452" spans="25:25" x14ac:dyDescent="0.25">
      <c r="Y25452" s="63"/>
    </row>
    <row r="25453" spans="25:25" x14ac:dyDescent="0.25">
      <c r="Y25453" s="63"/>
    </row>
    <row r="25454" spans="25:25" x14ac:dyDescent="0.25">
      <c r="Y25454" s="63"/>
    </row>
    <row r="25455" spans="25:25" x14ac:dyDescent="0.25">
      <c r="Y25455" s="63"/>
    </row>
    <row r="25456" spans="25:25" x14ac:dyDescent="0.25">
      <c r="Y25456" s="63"/>
    </row>
    <row r="25457" spans="25:25" x14ac:dyDescent="0.25">
      <c r="Y25457" s="63"/>
    </row>
    <row r="25458" spans="25:25" x14ac:dyDescent="0.25">
      <c r="Y25458" s="63"/>
    </row>
    <row r="25459" spans="25:25" x14ac:dyDescent="0.25">
      <c r="Y25459" s="63"/>
    </row>
    <row r="25460" spans="25:25" x14ac:dyDescent="0.25">
      <c r="Y25460" s="63"/>
    </row>
    <row r="25461" spans="25:25" x14ac:dyDescent="0.25">
      <c r="Y25461" s="63"/>
    </row>
    <row r="25462" spans="25:25" x14ac:dyDescent="0.25">
      <c r="Y25462" s="63"/>
    </row>
    <row r="25463" spans="25:25" x14ac:dyDescent="0.25">
      <c r="Y25463" s="63"/>
    </row>
    <row r="25464" spans="25:25" x14ac:dyDescent="0.25">
      <c r="Y25464" s="63"/>
    </row>
    <row r="25465" spans="25:25" x14ac:dyDescent="0.25">
      <c r="Y25465" s="63"/>
    </row>
    <row r="25466" spans="25:25" x14ac:dyDescent="0.25">
      <c r="Y25466" s="63"/>
    </row>
    <row r="25467" spans="25:25" x14ac:dyDescent="0.25">
      <c r="Y25467" s="63"/>
    </row>
    <row r="25468" spans="25:25" x14ac:dyDescent="0.25">
      <c r="Y25468" s="63"/>
    </row>
    <row r="25469" spans="25:25" x14ac:dyDescent="0.25">
      <c r="Y25469" s="63"/>
    </row>
    <row r="25470" spans="25:25" x14ac:dyDescent="0.25">
      <c r="Y25470" s="63"/>
    </row>
    <row r="25471" spans="25:25" x14ac:dyDescent="0.25">
      <c r="Y25471" s="63"/>
    </row>
    <row r="25472" spans="25:25" x14ac:dyDescent="0.25">
      <c r="Y25472" s="63"/>
    </row>
    <row r="25473" spans="25:25" x14ac:dyDescent="0.25">
      <c r="Y25473" s="63"/>
    </row>
    <row r="25474" spans="25:25" x14ac:dyDescent="0.25">
      <c r="Y25474" s="63"/>
    </row>
    <row r="25475" spans="25:25" x14ac:dyDescent="0.25">
      <c r="Y25475" s="63"/>
    </row>
    <row r="25476" spans="25:25" x14ac:dyDescent="0.25">
      <c r="Y25476" s="63"/>
    </row>
    <row r="25477" spans="25:25" x14ac:dyDescent="0.25">
      <c r="Y25477" s="63"/>
    </row>
    <row r="25478" spans="25:25" x14ac:dyDescent="0.25">
      <c r="Y25478" s="63"/>
    </row>
    <row r="25479" spans="25:25" x14ac:dyDescent="0.25">
      <c r="Y25479" s="63"/>
    </row>
    <row r="25480" spans="25:25" x14ac:dyDescent="0.25">
      <c r="Y25480" s="63"/>
    </row>
    <row r="25481" spans="25:25" x14ac:dyDescent="0.25">
      <c r="Y25481" s="63"/>
    </row>
    <row r="25482" spans="25:25" x14ac:dyDescent="0.25">
      <c r="Y25482" s="63"/>
    </row>
    <row r="25483" spans="25:25" x14ac:dyDescent="0.25">
      <c r="Y25483" s="63"/>
    </row>
    <row r="25484" spans="25:25" x14ac:dyDescent="0.25">
      <c r="Y25484" s="63"/>
    </row>
    <row r="25485" spans="25:25" x14ac:dyDescent="0.25">
      <c r="Y25485" s="63"/>
    </row>
    <row r="25486" spans="25:25" x14ac:dyDescent="0.25">
      <c r="Y25486" s="63"/>
    </row>
    <row r="25487" spans="25:25" x14ac:dyDescent="0.25">
      <c r="Y25487" s="63"/>
    </row>
    <row r="25488" spans="25:25" x14ac:dyDescent="0.25">
      <c r="Y25488" s="63"/>
    </row>
    <row r="25489" spans="25:25" x14ac:dyDescent="0.25">
      <c r="Y25489" s="63"/>
    </row>
    <row r="25490" spans="25:25" x14ac:dyDescent="0.25">
      <c r="Y25490" s="63"/>
    </row>
    <row r="25491" spans="25:25" x14ac:dyDescent="0.25">
      <c r="Y25491" s="63"/>
    </row>
    <row r="25492" spans="25:25" x14ac:dyDescent="0.25">
      <c r="Y25492" s="63"/>
    </row>
    <row r="25493" spans="25:25" x14ac:dyDescent="0.25">
      <c r="Y25493" s="63"/>
    </row>
    <row r="25494" spans="25:25" x14ac:dyDescent="0.25">
      <c r="Y25494" s="63"/>
    </row>
    <row r="25495" spans="25:25" x14ac:dyDescent="0.25">
      <c r="Y25495" s="63"/>
    </row>
    <row r="25496" spans="25:25" x14ac:dyDescent="0.25">
      <c r="Y25496" s="63"/>
    </row>
    <row r="25497" spans="25:25" x14ac:dyDescent="0.25">
      <c r="Y25497" s="63"/>
    </row>
    <row r="25498" spans="25:25" x14ac:dyDescent="0.25">
      <c r="Y25498" s="63"/>
    </row>
    <row r="25499" spans="25:25" x14ac:dyDescent="0.25">
      <c r="Y25499" s="63"/>
    </row>
    <row r="25500" spans="25:25" x14ac:dyDescent="0.25">
      <c r="Y25500" s="63"/>
    </row>
    <row r="25501" spans="25:25" x14ac:dyDescent="0.25">
      <c r="Y25501" s="63"/>
    </row>
    <row r="25502" spans="25:25" x14ac:dyDescent="0.25">
      <c r="Y25502" s="63"/>
    </row>
    <row r="25503" spans="25:25" x14ac:dyDescent="0.25">
      <c r="Y25503" s="63"/>
    </row>
    <row r="25504" spans="25:25" x14ac:dyDescent="0.25">
      <c r="Y25504" s="63"/>
    </row>
    <row r="25505" spans="25:25" x14ac:dyDescent="0.25">
      <c r="Y25505" s="63"/>
    </row>
    <row r="25506" spans="25:25" x14ac:dyDescent="0.25">
      <c r="Y25506" s="63"/>
    </row>
    <row r="25507" spans="25:25" x14ac:dyDescent="0.25">
      <c r="Y25507" s="63"/>
    </row>
    <row r="25508" spans="25:25" x14ac:dyDescent="0.25">
      <c r="Y25508" s="63"/>
    </row>
    <row r="25509" spans="25:25" x14ac:dyDescent="0.25">
      <c r="Y25509" s="63"/>
    </row>
    <row r="25510" spans="25:25" x14ac:dyDescent="0.25">
      <c r="Y25510" s="63"/>
    </row>
    <row r="25511" spans="25:25" x14ac:dyDescent="0.25">
      <c r="Y25511" s="63"/>
    </row>
    <row r="25512" spans="25:25" x14ac:dyDescent="0.25">
      <c r="Y25512" s="63"/>
    </row>
    <row r="25513" spans="25:25" x14ac:dyDescent="0.25">
      <c r="Y25513" s="63"/>
    </row>
    <row r="25514" spans="25:25" x14ac:dyDescent="0.25">
      <c r="Y25514" s="63"/>
    </row>
    <row r="25515" spans="25:25" x14ac:dyDescent="0.25">
      <c r="Y25515" s="63"/>
    </row>
    <row r="25516" spans="25:25" x14ac:dyDescent="0.25">
      <c r="Y25516" s="63"/>
    </row>
    <row r="25517" spans="25:25" x14ac:dyDescent="0.25">
      <c r="Y25517" s="63"/>
    </row>
    <row r="25518" spans="25:25" x14ac:dyDescent="0.25">
      <c r="Y25518" s="63"/>
    </row>
    <row r="25519" spans="25:25" x14ac:dyDescent="0.25">
      <c r="Y25519" s="63"/>
    </row>
    <row r="25520" spans="25:25" x14ac:dyDescent="0.25">
      <c r="Y25520" s="63"/>
    </row>
    <row r="25521" spans="25:25" x14ac:dyDescent="0.25">
      <c r="Y25521" s="63"/>
    </row>
    <row r="25522" spans="25:25" x14ac:dyDescent="0.25">
      <c r="Y25522" s="63"/>
    </row>
    <row r="25523" spans="25:25" x14ac:dyDescent="0.25">
      <c r="Y25523" s="63"/>
    </row>
    <row r="25524" spans="25:25" x14ac:dyDescent="0.25">
      <c r="Y25524" s="63"/>
    </row>
    <row r="25525" spans="25:25" x14ac:dyDescent="0.25">
      <c r="Y25525" s="63"/>
    </row>
    <row r="25526" spans="25:25" x14ac:dyDescent="0.25">
      <c r="Y25526" s="63"/>
    </row>
    <row r="25527" spans="25:25" x14ac:dyDescent="0.25">
      <c r="Y25527" s="63"/>
    </row>
    <row r="25528" spans="25:25" x14ac:dyDescent="0.25">
      <c r="Y25528" s="63"/>
    </row>
    <row r="25529" spans="25:25" x14ac:dyDescent="0.25">
      <c r="Y25529" s="63"/>
    </row>
    <row r="25530" spans="25:25" x14ac:dyDescent="0.25">
      <c r="Y25530" s="63"/>
    </row>
    <row r="25531" spans="25:25" x14ac:dyDescent="0.25">
      <c r="Y25531" s="63"/>
    </row>
    <row r="25532" spans="25:25" x14ac:dyDescent="0.25">
      <c r="Y25532" s="63"/>
    </row>
    <row r="25533" spans="25:25" x14ac:dyDescent="0.25">
      <c r="Y25533" s="63"/>
    </row>
    <row r="25534" spans="25:25" x14ac:dyDescent="0.25">
      <c r="Y25534" s="63"/>
    </row>
    <row r="25535" spans="25:25" x14ac:dyDescent="0.25">
      <c r="Y25535" s="63"/>
    </row>
    <row r="25536" spans="25:25" x14ac:dyDescent="0.25">
      <c r="Y25536" s="63"/>
    </row>
    <row r="25537" spans="25:25" x14ac:dyDescent="0.25">
      <c r="Y25537" s="63"/>
    </row>
    <row r="25538" spans="25:25" x14ac:dyDescent="0.25">
      <c r="Y25538" s="63"/>
    </row>
    <row r="25539" spans="25:25" x14ac:dyDescent="0.25">
      <c r="Y25539" s="63"/>
    </row>
    <row r="25540" spans="25:25" x14ac:dyDescent="0.25">
      <c r="Y25540" s="63"/>
    </row>
    <row r="25541" spans="25:25" x14ac:dyDescent="0.25">
      <c r="Y25541" s="63"/>
    </row>
    <row r="25542" spans="25:25" x14ac:dyDescent="0.25">
      <c r="Y25542" s="63"/>
    </row>
    <row r="25543" spans="25:25" x14ac:dyDescent="0.25">
      <c r="Y25543" s="63"/>
    </row>
    <row r="25544" spans="25:25" x14ac:dyDescent="0.25">
      <c r="Y25544" s="63"/>
    </row>
    <row r="25545" spans="25:25" x14ac:dyDescent="0.25">
      <c r="Y25545" s="63"/>
    </row>
    <row r="25546" spans="25:25" x14ac:dyDescent="0.25">
      <c r="Y25546" s="63"/>
    </row>
    <row r="25547" spans="25:25" x14ac:dyDescent="0.25">
      <c r="Y25547" s="63"/>
    </row>
    <row r="25548" spans="25:25" x14ac:dyDescent="0.25">
      <c r="Y25548" s="63"/>
    </row>
    <row r="25549" spans="25:25" x14ac:dyDescent="0.25">
      <c r="Y25549" s="63"/>
    </row>
    <row r="25550" spans="25:25" x14ac:dyDescent="0.25">
      <c r="Y25550" s="63"/>
    </row>
    <row r="25551" spans="25:25" x14ac:dyDescent="0.25">
      <c r="Y25551" s="63"/>
    </row>
    <row r="25552" spans="25:25" x14ac:dyDescent="0.25">
      <c r="Y25552" s="63"/>
    </row>
    <row r="25553" spans="25:25" x14ac:dyDescent="0.25">
      <c r="Y25553" s="63"/>
    </row>
    <row r="25554" spans="25:25" x14ac:dyDescent="0.25">
      <c r="Y25554" s="63"/>
    </row>
    <row r="25555" spans="25:25" x14ac:dyDescent="0.25">
      <c r="Y25555" s="63"/>
    </row>
    <row r="25556" spans="25:25" x14ac:dyDescent="0.25">
      <c r="Y25556" s="63"/>
    </row>
    <row r="25557" spans="25:25" x14ac:dyDescent="0.25">
      <c r="Y25557" s="63"/>
    </row>
    <row r="25558" spans="25:25" x14ac:dyDescent="0.25">
      <c r="Y25558" s="63"/>
    </row>
    <row r="25559" spans="25:25" x14ac:dyDescent="0.25">
      <c r="Y25559" s="63"/>
    </row>
    <row r="25560" spans="25:25" x14ac:dyDescent="0.25">
      <c r="Y25560" s="63"/>
    </row>
    <row r="25561" spans="25:25" x14ac:dyDescent="0.25">
      <c r="Y25561" s="63"/>
    </row>
    <row r="25562" spans="25:25" x14ac:dyDescent="0.25">
      <c r="Y25562" s="63"/>
    </row>
    <row r="25563" spans="25:25" x14ac:dyDescent="0.25">
      <c r="Y25563" s="63"/>
    </row>
    <row r="25564" spans="25:25" x14ac:dyDescent="0.25">
      <c r="Y25564" s="63"/>
    </row>
    <row r="25565" spans="25:25" x14ac:dyDescent="0.25">
      <c r="Y25565" s="63"/>
    </row>
    <row r="25566" spans="25:25" x14ac:dyDescent="0.25">
      <c r="Y25566" s="63"/>
    </row>
    <row r="25567" spans="25:25" x14ac:dyDescent="0.25">
      <c r="Y25567" s="63"/>
    </row>
    <row r="25568" spans="25:25" x14ac:dyDescent="0.25">
      <c r="Y25568" s="63"/>
    </row>
    <row r="25569" spans="25:25" x14ac:dyDescent="0.25">
      <c r="Y25569" s="63"/>
    </row>
    <row r="25570" spans="25:25" x14ac:dyDescent="0.25">
      <c r="Y25570" s="63"/>
    </row>
    <row r="25571" spans="25:25" x14ac:dyDescent="0.25">
      <c r="Y25571" s="63"/>
    </row>
    <row r="25572" spans="25:25" x14ac:dyDescent="0.25">
      <c r="Y25572" s="63"/>
    </row>
    <row r="25573" spans="25:25" x14ac:dyDescent="0.25">
      <c r="Y25573" s="63"/>
    </row>
    <row r="25574" spans="25:25" x14ac:dyDescent="0.25">
      <c r="Y25574" s="63"/>
    </row>
    <row r="25575" spans="25:25" x14ac:dyDescent="0.25">
      <c r="Y25575" s="63"/>
    </row>
    <row r="25576" spans="25:25" x14ac:dyDescent="0.25">
      <c r="Y25576" s="63"/>
    </row>
    <row r="25577" spans="25:25" x14ac:dyDescent="0.25">
      <c r="Y25577" s="63"/>
    </row>
    <row r="25578" spans="25:25" x14ac:dyDescent="0.25">
      <c r="Y25578" s="63"/>
    </row>
    <row r="25579" spans="25:25" x14ac:dyDescent="0.25">
      <c r="Y25579" s="63"/>
    </row>
    <row r="25580" spans="25:25" x14ac:dyDescent="0.25">
      <c r="Y25580" s="63"/>
    </row>
    <row r="25581" spans="25:25" x14ac:dyDescent="0.25">
      <c r="Y25581" s="63"/>
    </row>
    <row r="25582" spans="25:25" x14ac:dyDescent="0.25">
      <c r="Y25582" s="63"/>
    </row>
    <row r="25583" spans="25:25" x14ac:dyDescent="0.25">
      <c r="Y25583" s="63"/>
    </row>
    <row r="25584" spans="25:25" x14ac:dyDescent="0.25">
      <c r="Y25584" s="63"/>
    </row>
    <row r="25585" spans="25:25" x14ac:dyDescent="0.25">
      <c r="Y25585" s="63"/>
    </row>
    <row r="25586" spans="25:25" x14ac:dyDescent="0.25">
      <c r="Y25586" s="63"/>
    </row>
    <row r="25587" spans="25:25" x14ac:dyDescent="0.25">
      <c r="Y25587" s="63"/>
    </row>
    <row r="25588" spans="25:25" x14ac:dyDescent="0.25">
      <c r="Y25588" s="63"/>
    </row>
    <row r="25589" spans="25:25" x14ac:dyDescent="0.25">
      <c r="Y25589" s="63"/>
    </row>
    <row r="25590" spans="25:25" x14ac:dyDescent="0.25">
      <c r="Y25590" s="63"/>
    </row>
    <row r="25591" spans="25:25" x14ac:dyDescent="0.25">
      <c r="Y25591" s="63"/>
    </row>
    <row r="25592" spans="25:25" x14ac:dyDescent="0.25">
      <c r="Y25592" s="63"/>
    </row>
    <row r="25593" spans="25:25" x14ac:dyDescent="0.25">
      <c r="Y25593" s="63"/>
    </row>
    <row r="25594" spans="25:25" x14ac:dyDescent="0.25">
      <c r="Y25594" s="63"/>
    </row>
    <row r="25595" spans="25:25" x14ac:dyDescent="0.25">
      <c r="Y25595" s="63"/>
    </row>
    <row r="25596" spans="25:25" x14ac:dyDescent="0.25">
      <c r="Y25596" s="63"/>
    </row>
    <row r="25597" spans="25:25" x14ac:dyDescent="0.25">
      <c r="Y25597" s="63"/>
    </row>
    <row r="25598" spans="25:25" x14ac:dyDescent="0.25">
      <c r="Y25598" s="63"/>
    </row>
    <row r="25599" spans="25:25" x14ac:dyDescent="0.25">
      <c r="Y25599" s="63"/>
    </row>
    <row r="25600" spans="25:25" x14ac:dyDescent="0.25">
      <c r="Y25600" s="63"/>
    </row>
    <row r="25601" spans="25:25" x14ac:dyDescent="0.25">
      <c r="Y25601" s="63"/>
    </row>
    <row r="25602" spans="25:25" x14ac:dyDescent="0.25">
      <c r="Y25602" s="63"/>
    </row>
    <row r="25603" spans="25:25" x14ac:dyDescent="0.25">
      <c r="Y25603" s="63"/>
    </row>
    <row r="25604" spans="25:25" x14ac:dyDescent="0.25">
      <c r="Y25604" s="63"/>
    </row>
    <row r="25605" spans="25:25" x14ac:dyDescent="0.25">
      <c r="Y25605" s="63"/>
    </row>
    <row r="25606" spans="25:25" x14ac:dyDescent="0.25">
      <c r="Y25606" s="63"/>
    </row>
    <row r="25607" spans="25:25" x14ac:dyDescent="0.25">
      <c r="Y25607" s="63"/>
    </row>
    <row r="25608" spans="25:25" x14ac:dyDescent="0.25">
      <c r="Y25608" s="63"/>
    </row>
    <row r="25609" spans="25:25" x14ac:dyDescent="0.25">
      <c r="Y25609" s="63"/>
    </row>
    <row r="25610" spans="25:25" x14ac:dyDescent="0.25">
      <c r="Y25610" s="63"/>
    </row>
    <row r="25611" spans="25:25" x14ac:dyDescent="0.25">
      <c r="Y25611" s="63"/>
    </row>
    <row r="25612" spans="25:25" x14ac:dyDescent="0.25">
      <c r="Y25612" s="63"/>
    </row>
    <row r="25613" spans="25:25" x14ac:dyDescent="0.25">
      <c r="Y25613" s="63"/>
    </row>
    <row r="25614" spans="25:25" x14ac:dyDescent="0.25">
      <c r="Y25614" s="63"/>
    </row>
    <row r="25615" spans="25:25" x14ac:dyDescent="0.25">
      <c r="Y25615" s="63"/>
    </row>
    <row r="25616" spans="25:25" x14ac:dyDescent="0.25">
      <c r="Y25616" s="63"/>
    </row>
    <row r="25617" spans="25:25" x14ac:dyDescent="0.25">
      <c r="Y25617" s="63"/>
    </row>
    <row r="25618" spans="25:25" x14ac:dyDescent="0.25">
      <c r="Y25618" s="63"/>
    </row>
    <row r="25619" spans="25:25" x14ac:dyDescent="0.25">
      <c r="Y25619" s="63"/>
    </row>
    <row r="25620" spans="25:25" x14ac:dyDescent="0.25">
      <c r="Y25620" s="63"/>
    </row>
    <row r="25621" spans="25:25" x14ac:dyDescent="0.25">
      <c r="Y25621" s="63"/>
    </row>
    <row r="25622" spans="25:25" x14ac:dyDescent="0.25">
      <c r="Y25622" s="63"/>
    </row>
    <row r="25623" spans="25:25" x14ac:dyDescent="0.25">
      <c r="Y25623" s="63"/>
    </row>
    <row r="25624" spans="25:25" x14ac:dyDescent="0.25">
      <c r="Y25624" s="63"/>
    </row>
    <row r="25625" spans="25:25" x14ac:dyDescent="0.25">
      <c r="Y25625" s="63"/>
    </row>
    <row r="25626" spans="25:25" x14ac:dyDescent="0.25">
      <c r="Y25626" s="63"/>
    </row>
    <row r="25627" spans="25:25" x14ac:dyDescent="0.25">
      <c r="Y25627" s="63"/>
    </row>
    <row r="25628" spans="25:25" x14ac:dyDescent="0.25">
      <c r="Y25628" s="63"/>
    </row>
    <row r="25629" spans="25:25" x14ac:dyDescent="0.25">
      <c r="Y25629" s="63"/>
    </row>
    <row r="25630" spans="25:25" x14ac:dyDescent="0.25">
      <c r="Y25630" s="63"/>
    </row>
    <row r="25631" spans="25:25" x14ac:dyDescent="0.25">
      <c r="Y25631" s="63"/>
    </row>
    <row r="25632" spans="25:25" x14ac:dyDescent="0.25">
      <c r="Y25632" s="63"/>
    </row>
    <row r="25633" spans="25:25" x14ac:dyDescent="0.25">
      <c r="Y25633" s="63"/>
    </row>
    <row r="25634" spans="25:25" x14ac:dyDescent="0.25">
      <c r="Y25634" s="63"/>
    </row>
    <row r="25635" spans="25:25" x14ac:dyDescent="0.25">
      <c r="Y25635" s="63"/>
    </row>
    <row r="25636" spans="25:25" x14ac:dyDescent="0.25">
      <c r="Y25636" s="63"/>
    </row>
    <row r="25637" spans="25:25" x14ac:dyDescent="0.25">
      <c r="Y25637" s="63"/>
    </row>
    <row r="25638" spans="25:25" x14ac:dyDescent="0.25">
      <c r="Y25638" s="63"/>
    </row>
    <row r="25639" spans="25:25" x14ac:dyDescent="0.25">
      <c r="Y25639" s="63"/>
    </row>
    <row r="25640" spans="25:25" x14ac:dyDescent="0.25">
      <c r="Y25640" s="63"/>
    </row>
    <row r="25641" spans="25:25" x14ac:dyDescent="0.25">
      <c r="Y25641" s="63"/>
    </row>
    <row r="25642" spans="25:25" x14ac:dyDescent="0.25">
      <c r="Y25642" s="63"/>
    </row>
    <row r="25643" spans="25:25" x14ac:dyDescent="0.25">
      <c r="Y25643" s="63"/>
    </row>
    <row r="25644" spans="25:25" x14ac:dyDescent="0.25">
      <c r="Y25644" s="63"/>
    </row>
    <row r="25645" spans="25:25" x14ac:dyDescent="0.25">
      <c r="Y25645" s="63"/>
    </row>
    <row r="25646" spans="25:25" x14ac:dyDescent="0.25">
      <c r="Y25646" s="63"/>
    </row>
    <row r="25647" spans="25:25" x14ac:dyDescent="0.25">
      <c r="Y25647" s="63"/>
    </row>
    <row r="25648" spans="25:25" x14ac:dyDescent="0.25">
      <c r="Y25648" s="63"/>
    </row>
    <row r="25649" spans="25:25" x14ac:dyDescent="0.25">
      <c r="Y25649" s="63"/>
    </row>
    <row r="25650" spans="25:25" x14ac:dyDescent="0.25">
      <c r="Y25650" s="63"/>
    </row>
    <row r="25651" spans="25:25" x14ac:dyDescent="0.25">
      <c r="Y25651" s="63"/>
    </row>
    <row r="25652" spans="25:25" x14ac:dyDescent="0.25">
      <c r="Y25652" s="63"/>
    </row>
    <row r="25653" spans="25:25" x14ac:dyDescent="0.25">
      <c r="Y25653" s="63"/>
    </row>
    <row r="25654" spans="25:25" x14ac:dyDescent="0.25">
      <c r="Y25654" s="63"/>
    </row>
    <row r="25655" spans="25:25" x14ac:dyDescent="0.25">
      <c r="Y25655" s="63"/>
    </row>
    <row r="25656" spans="25:25" x14ac:dyDescent="0.25">
      <c r="Y25656" s="63"/>
    </row>
    <row r="25657" spans="25:25" x14ac:dyDescent="0.25">
      <c r="Y25657" s="63"/>
    </row>
    <row r="25658" spans="25:25" x14ac:dyDescent="0.25">
      <c r="Y25658" s="63"/>
    </row>
    <row r="25659" spans="25:25" x14ac:dyDescent="0.25">
      <c r="Y25659" s="63"/>
    </row>
    <row r="25660" spans="25:25" x14ac:dyDescent="0.25">
      <c r="Y25660" s="63"/>
    </row>
    <row r="25661" spans="25:25" x14ac:dyDescent="0.25">
      <c r="Y25661" s="63"/>
    </row>
    <row r="25662" spans="25:25" x14ac:dyDescent="0.25">
      <c r="Y25662" s="63"/>
    </row>
    <row r="25663" spans="25:25" x14ac:dyDescent="0.25">
      <c r="Y25663" s="63"/>
    </row>
    <row r="25664" spans="25:25" x14ac:dyDescent="0.25">
      <c r="Y25664" s="63"/>
    </row>
    <row r="25665" spans="25:25" x14ac:dyDescent="0.25">
      <c r="Y25665" s="63"/>
    </row>
    <row r="25666" spans="25:25" x14ac:dyDescent="0.25">
      <c r="Y25666" s="63"/>
    </row>
    <row r="25667" spans="25:25" x14ac:dyDescent="0.25">
      <c r="Y25667" s="63"/>
    </row>
    <row r="25668" spans="25:25" x14ac:dyDescent="0.25">
      <c r="Y25668" s="63"/>
    </row>
    <row r="25669" spans="25:25" x14ac:dyDescent="0.25">
      <c r="Y25669" s="63"/>
    </row>
    <row r="25670" spans="25:25" x14ac:dyDescent="0.25">
      <c r="Y25670" s="63"/>
    </row>
    <row r="25671" spans="25:25" x14ac:dyDescent="0.25">
      <c r="Y25671" s="63"/>
    </row>
    <row r="25672" spans="25:25" x14ac:dyDescent="0.25">
      <c r="Y25672" s="63"/>
    </row>
    <row r="25673" spans="25:25" x14ac:dyDescent="0.25">
      <c r="Y25673" s="63"/>
    </row>
    <row r="25674" spans="25:25" x14ac:dyDescent="0.25">
      <c r="Y25674" s="63"/>
    </row>
    <row r="25675" spans="25:25" x14ac:dyDescent="0.25">
      <c r="Y25675" s="63"/>
    </row>
    <row r="25676" spans="25:25" x14ac:dyDescent="0.25">
      <c r="Y25676" s="63"/>
    </row>
    <row r="25677" spans="25:25" x14ac:dyDescent="0.25">
      <c r="Y25677" s="63"/>
    </row>
    <row r="25678" spans="25:25" x14ac:dyDescent="0.25">
      <c r="Y25678" s="63"/>
    </row>
    <row r="25679" spans="25:25" x14ac:dyDescent="0.25">
      <c r="Y25679" s="63"/>
    </row>
    <row r="25680" spans="25:25" x14ac:dyDescent="0.25">
      <c r="Y25680" s="63"/>
    </row>
    <row r="25681" spans="25:25" x14ac:dyDescent="0.25">
      <c r="Y25681" s="63"/>
    </row>
    <row r="25682" spans="25:25" x14ac:dyDescent="0.25">
      <c r="Y25682" s="63"/>
    </row>
    <row r="25683" spans="25:25" x14ac:dyDescent="0.25">
      <c r="Y25683" s="63"/>
    </row>
    <row r="25684" spans="25:25" x14ac:dyDescent="0.25">
      <c r="Y25684" s="63"/>
    </row>
    <row r="25685" spans="25:25" x14ac:dyDescent="0.25">
      <c r="Y25685" s="63"/>
    </row>
    <row r="25686" spans="25:25" x14ac:dyDescent="0.25">
      <c r="Y25686" s="63"/>
    </row>
    <row r="25687" spans="25:25" x14ac:dyDescent="0.25">
      <c r="Y25687" s="63"/>
    </row>
    <row r="25688" spans="25:25" x14ac:dyDescent="0.25">
      <c r="Y25688" s="63"/>
    </row>
    <row r="25689" spans="25:25" x14ac:dyDescent="0.25">
      <c r="Y25689" s="63"/>
    </row>
    <row r="25690" spans="25:25" x14ac:dyDescent="0.25">
      <c r="Y25690" s="63"/>
    </row>
    <row r="25691" spans="25:25" x14ac:dyDescent="0.25">
      <c r="Y25691" s="63"/>
    </row>
    <row r="25692" spans="25:25" x14ac:dyDescent="0.25">
      <c r="Y25692" s="63"/>
    </row>
    <row r="25693" spans="25:25" x14ac:dyDescent="0.25">
      <c r="Y25693" s="63"/>
    </row>
    <row r="25694" spans="25:25" x14ac:dyDescent="0.25">
      <c r="Y25694" s="63"/>
    </row>
    <row r="25695" spans="25:25" x14ac:dyDescent="0.25">
      <c r="Y25695" s="63"/>
    </row>
    <row r="25696" spans="25:25" x14ac:dyDescent="0.25">
      <c r="Y25696" s="63"/>
    </row>
    <row r="25697" spans="25:25" x14ac:dyDescent="0.25">
      <c r="Y25697" s="63"/>
    </row>
    <row r="25698" spans="25:25" x14ac:dyDescent="0.25">
      <c r="Y25698" s="63"/>
    </row>
    <row r="25699" spans="25:25" x14ac:dyDescent="0.25">
      <c r="Y25699" s="63"/>
    </row>
    <row r="25700" spans="25:25" x14ac:dyDescent="0.25">
      <c r="Y25700" s="63"/>
    </row>
    <row r="25701" spans="25:25" x14ac:dyDescent="0.25">
      <c r="Y25701" s="63"/>
    </row>
    <row r="25702" spans="25:25" x14ac:dyDescent="0.25">
      <c r="Y25702" s="63"/>
    </row>
    <row r="25703" spans="25:25" x14ac:dyDescent="0.25">
      <c r="Y25703" s="63"/>
    </row>
    <row r="25704" spans="25:25" x14ac:dyDescent="0.25">
      <c r="Y25704" s="63"/>
    </row>
    <row r="25705" spans="25:25" x14ac:dyDescent="0.25">
      <c r="Y25705" s="63"/>
    </row>
    <row r="25706" spans="25:25" x14ac:dyDescent="0.25">
      <c r="Y25706" s="63"/>
    </row>
    <row r="25707" spans="25:25" x14ac:dyDescent="0.25">
      <c r="Y25707" s="63"/>
    </row>
    <row r="25708" spans="25:25" x14ac:dyDescent="0.25">
      <c r="Y25708" s="63"/>
    </row>
    <row r="25709" spans="25:25" x14ac:dyDescent="0.25">
      <c r="Y25709" s="63"/>
    </row>
    <row r="25710" spans="25:25" x14ac:dyDescent="0.25">
      <c r="Y25710" s="63"/>
    </row>
    <row r="25711" spans="25:25" x14ac:dyDescent="0.25">
      <c r="Y25711" s="63"/>
    </row>
    <row r="25712" spans="25:25" x14ac:dyDescent="0.25">
      <c r="Y25712" s="63"/>
    </row>
    <row r="25713" spans="25:25" x14ac:dyDescent="0.25">
      <c r="Y25713" s="63"/>
    </row>
    <row r="25714" spans="25:25" x14ac:dyDescent="0.25">
      <c r="Y25714" s="63"/>
    </row>
    <row r="25715" spans="25:25" x14ac:dyDescent="0.25">
      <c r="Y25715" s="63"/>
    </row>
    <row r="25716" spans="25:25" x14ac:dyDescent="0.25">
      <c r="Y25716" s="63"/>
    </row>
    <row r="25717" spans="25:25" x14ac:dyDescent="0.25">
      <c r="Y25717" s="63"/>
    </row>
    <row r="25718" spans="25:25" x14ac:dyDescent="0.25">
      <c r="Y25718" s="63"/>
    </row>
    <row r="25719" spans="25:25" x14ac:dyDescent="0.25">
      <c r="Y25719" s="63"/>
    </row>
    <row r="25720" spans="25:25" x14ac:dyDescent="0.25">
      <c r="Y25720" s="63"/>
    </row>
    <row r="25721" spans="25:25" x14ac:dyDescent="0.25">
      <c r="Y25721" s="63"/>
    </row>
    <row r="25722" spans="25:25" x14ac:dyDescent="0.25">
      <c r="Y25722" s="63"/>
    </row>
    <row r="25723" spans="25:25" x14ac:dyDescent="0.25">
      <c r="Y25723" s="63"/>
    </row>
    <row r="25724" spans="25:25" x14ac:dyDescent="0.25">
      <c r="Y25724" s="63"/>
    </row>
    <row r="25725" spans="25:25" x14ac:dyDescent="0.25">
      <c r="Y25725" s="63"/>
    </row>
    <row r="25726" spans="25:25" x14ac:dyDescent="0.25">
      <c r="Y25726" s="63"/>
    </row>
    <row r="25727" spans="25:25" x14ac:dyDescent="0.25">
      <c r="Y25727" s="63"/>
    </row>
    <row r="25728" spans="25:25" x14ac:dyDescent="0.25">
      <c r="Y25728" s="63"/>
    </row>
    <row r="25729" spans="25:25" x14ac:dyDescent="0.25">
      <c r="Y25729" s="63"/>
    </row>
    <row r="25730" spans="25:25" x14ac:dyDescent="0.25">
      <c r="Y25730" s="63"/>
    </row>
    <row r="25731" spans="25:25" x14ac:dyDescent="0.25">
      <c r="Y25731" s="63"/>
    </row>
    <row r="25732" spans="25:25" x14ac:dyDescent="0.25">
      <c r="Y25732" s="63"/>
    </row>
    <row r="25733" spans="25:25" x14ac:dyDescent="0.25">
      <c r="Y25733" s="63"/>
    </row>
    <row r="25734" spans="25:25" x14ac:dyDescent="0.25">
      <c r="Y25734" s="63"/>
    </row>
    <row r="25735" spans="25:25" x14ac:dyDescent="0.25">
      <c r="Y25735" s="63"/>
    </row>
    <row r="25736" spans="25:25" x14ac:dyDescent="0.25">
      <c r="Y25736" s="63"/>
    </row>
    <row r="25737" spans="25:25" x14ac:dyDescent="0.25">
      <c r="Y25737" s="63"/>
    </row>
    <row r="25738" spans="25:25" x14ac:dyDescent="0.25">
      <c r="Y25738" s="63"/>
    </row>
    <row r="25739" spans="25:25" x14ac:dyDescent="0.25">
      <c r="Y25739" s="63"/>
    </row>
    <row r="25740" spans="25:25" x14ac:dyDescent="0.25">
      <c r="Y25740" s="63"/>
    </row>
    <row r="25741" spans="25:25" x14ac:dyDescent="0.25">
      <c r="Y25741" s="63"/>
    </row>
    <row r="25742" spans="25:25" x14ac:dyDescent="0.25">
      <c r="Y25742" s="63"/>
    </row>
    <row r="25743" spans="25:25" x14ac:dyDescent="0.25">
      <c r="Y25743" s="63"/>
    </row>
    <row r="25744" spans="25:25" x14ac:dyDescent="0.25">
      <c r="Y25744" s="63"/>
    </row>
    <row r="25745" spans="25:25" x14ac:dyDescent="0.25">
      <c r="Y25745" s="63"/>
    </row>
    <row r="25746" spans="25:25" x14ac:dyDescent="0.25">
      <c r="Y25746" s="63"/>
    </row>
    <row r="25747" spans="25:25" x14ac:dyDescent="0.25">
      <c r="Y25747" s="63"/>
    </row>
    <row r="25748" spans="25:25" x14ac:dyDescent="0.25">
      <c r="Y25748" s="63"/>
    </row>
    <row r="25749" spans="25:25" x14ac:dyDescent="0.25">
      <c r="Y25749" s="63"/>
    </row>
    <row r="25750" spans="25:25" x14ac:dyDescent="0.25">
      <c r="Y25750" s="63"/>
    </row>
    <row r="25751" spans="25:25" x14ac:dyDescent="0.25">
      <c r="Y25751" s="63"/>
    </row>
    <row r="25752" spans="25:25" x14ac:dyDescent="0.25">
      <c r="Y25752" s="63"/>
    </row>
    <row r="25753" spans="25:25" x14ac:dyDescent="0.25">
      <c r="Y25753" s="63"/>
    </row>
    <row r="25754" spans="25:25" x14ac:dyDescent="0.25">
      <c r="Y25754" s="63"/>
    </row>
    <row r="25755" spans="25:25" x14ac:dyDescent="0.25">
      <c r="Y25755" s="63"/>
    </row>
    <row r="25756" spans="25:25" x14ac:dyDescent="0.25">
      <c r="Y25756" s="63"/>
    </row>
    <row r="25757" spans="25:25" x14ac:dyDescent="0.25">
      <c r="Y25757" s="63"/>
    </row>
    <row r="25758" spans="25:25" x14ac:dyDescent="0.25">
      <c r="Y25758" s="63"/>
    </row>
    <row r="25759" spans="25:25" x14ac:dyDescent="0.25">
      <c r="Y25759" s="63"/>
    </row>
    <row r="25760" spans="25:25" x14ac:dyDescent="0.25">
      <c r="Y25760" s="63"/>
    </row>
    <row r="25761" spans="25:25" x14ac:dyDescent="0.25">
      <c r="Y25761" s="63"/>
    </row>
    <row r="25762" spans="25:25" x14ac:dyDescent="0.25">
      <c r="Y25762" s="63"/>
    </row>
    <row r="25763" spans="25:25" x14ac:dyDescent="0.25">
      <c r="Y25763" s="63"/>
    </row>
    <row r="25764" spans="25:25" x14ac:dyDescent="0.25">
      <c r="Y25764" s="63"/>
    </row>
    <row r="25765" spans="25:25" x14ac:dyDescent="0.25">
      <c r="Y25765" s="63"/>
    </row>
    <row r="25766" spans="25:25" x14ac:dyDescent="0.25">
      <c r="Y25766" s="63"/>
    </row>
    <row r="25767" spans="25:25" x14ac:dyDescent="0.25">
      <c r="Y25767" s="63"/>
    </row>
    <row r="25768" spans="25:25" x14ac:dyDescent="0.25">
      <c r="Y25768" s="63"/>
    </row>
    <row r="25769" spans="25:25" x14ac:dyDescent="0.25">
      <c r="Y25769" s="63"/>
    </row>
    <row r="25770" spans="25:25" x14ac:dyDescent="0.25">
      <c r="Y25770" s="63"/>
    </row>
    <row r="25771" spans="25:25" x14ac:dyDescent="0.25">
      <c r="Y25771" s="63"/>
    </row>
    <row r="25772" spans="25:25" x14ac:dyDescent="0.25">
      <c r="Y25772" s="63"/>
    </row>
    <row r="25773" spans="25:25" x14ac:dyDescent="0.25">
      <c r="Y25773" s="63"/>
    </row>
    <row r="25774" spans="25:25" x14ac:dyDescent="0.25">
      <c r="Y25774" s="63"/>
    </row>
    <row r="25775" spans="25:25" x14ac:dyDescent="0.25">
      <c r="Y25775" s="63"/>
    </row>
    <row r="25776" spans="25:25" x14ac:dyDescent="0.25">
      <c r="Y25776" s="63"/>
    </row>
    <row r="25777" spans="25:25" x14ac:dyDescent="0.25">
      <c r="Y25777" s="63"/>
    </row>
    <row r="25778" spans="25:25" x14ac:dyDescent="0.25">
      <c r="Y25778" s="63"/>
    </row>
    <row r="25779" spans="25:25" x14ac:dyDescent="0.25">
      <c r="Y25779" s="63"/>
    </row>
    <row r="25780" spans="25:25" x14ac:dyDescent="0.25">
      <c r="Y25780" s="63"/>
    </row>
    <row r="25781" spans="25:25" x14ac:dyDescent="0.25">
      <c r="Y25781" s="63"/>
    </row>
    <row r="25782" spans="25:25" x14ac:dyDescent="0.25">
      <c r="Y25782" s="63"/>
    </row>
    <row r="25783" spans="25:25" x14ac:dyDescent="0.25">
      <c r="Y25783" s="63"/>
    </row>
    <row r="25784" spans="25:25" x14ac:dyDescent="0.25">
      <c r="Y25784" s="63"/>
    </row>
    <row r="25785" spans="25:25" x14ac:dyDescent="0.25">
      <c r="Y25785" s="63"/>
    </row>
    <row r="25786" spans="25:25" x14ac:dyDescent="0.25">
      <c r="Y25786" s="63"/>
    </row>
    <row r="25787" spans="25:25" x14ac:dyDescent="0.25">
      <c r="Y25787" s="63"/>
    </row>
    <row r="25788" spans="25:25" x14ac:dyDescent="0.25">
      <c r="Y25788" s="63"/>
    </row>
    <row r="25789" spans="25:25" x14ac:dyDescent="0.25">
      <c r="Y25789" s="63"/>
    </row>
    <row r="25790" spans="25:25" x14ac:dyDescent="0.25">
      <c r="Y25790" s="63"/>
    </row>
    <row r="25791" spans="25:25" x14ac:dyDescent="0.25">
      <c r="Y25791" s="63"/>
    </row>
    <row r="25792" spans="25:25" x14ac:dyDescent="0.25">
      <c r="Y25792" s="63"/>
    </row>
    <row r="25793" spans="25:25" x14ac:dyDescent="0.25">
      <c r="Y25793" s="63"/>
    </row>
    <row r="25794" spans="25:25" x14ac:dyDescent="0.25">
      <c r="Y25794" s="63"/>
    </row>
    <row r="25795" spans="25:25" x14ac:dyDescent="0.25">
      <c r="Y25795" s="63"/>
    </row>
    <row r="25796" spans="25:25" x14ac:dyDescent="0.25">
      <c r="Y25796" s="63"/>
    </row>
    <row r="25797" spans="25:25" x14ac:dyDescent="0.25">
      <c r="Y25797" s="63"/>
    </row>
    <row r="25798" spans="25:25" x14ac:dyDescent="0.25">
      <c r="Y25798" s="63"/>
    </row>
    <row r="25799" spans="25:25" x14ac:dyDescent="0.25">
      <c r="Y25799" s="63"/>
    </row>
    <row r="25800" spans="25:25" x14ac:dyDescent="0.25">
      <c r="Y25800" s="63"/>
    </row>
    <row r="25801" spans="25:25" x14ac:dyDescent="0.25">
      <c r="Y25801" s="63"/>
    </row>
    <row r="25802" spans="25:25" x14ac:dyDescent="0.25">
      <c r="Y25802" s="63"/>
    </row>
    <row r="25803" spans="25:25" x14ac:dyDescent="0.25">
      <c r="Y25803" s="63"/>
    </row>
    <row r="25804" spans="25:25" x14ac:dyDescent="0.25">
      <c r="Y25804" s="63"/>
    </row>
    <row r="25805" spans="25:25" x14ac:dyDescent="0.25">
      <c r="Y25805" s="63"/>
    </row>
    <row r="25806" spans="25:25" x14ac:dyDescent="0.25">
      <c r="Y25806" s="63"/>
    </row>
    <row r="25807" spans="25:25" x14ac:dyDescent="0.25">
      <c r="Y25807" s="63"/>
    </row>
    <row r="25808" spans="25:25" x14ac:dyDescent="0.25">
      <c r="Y25808" s="63"/>
    </row>
    <row r="25809" spans="25:25" x14ac:dyDescent="0.25">
      <c r="Y25809" s="63"/>
    </row>
    <row r="25810" spans="25:25" x14ac:dyDescent="0.25">
      <c r="Y25810" s="63"/>
    </row>
    <row r="25811" spans="25:25" x14ac:dyDescent="0.25">
      <c r="Y25811" s="63"/>
    </row>
    <row r="25812" spans="25:25" x14ac:dyDescent="0.25">
      <c r="Y25812" s="63"/>
    </row>
    <row r="25813" spans="25:25" x14ac:dyDescent="0.25">
      <c r="Y25813" s="63"/>
    </row>
    <row r="25814" spans="25:25" x14ac:dyDescent="0.25">
      <c r="Y25814" s="63"/>
    </row>
    <row r="25815" spans="25:25" x14ac:dyDescent="0.25">
      <c r="Y25815" s="63"/>
    </row>
    <row r="25816" spans="25:25" x14ac:dyDescent="0.25">
      <c r="Y25816" s="63"/>
    </row>
    <row r="25817" spans="25:25" x14ac:dyDescent="0.25">
      <c r="Y25817" s="63"/>
    </row>
    <row r="25818" spans="25:25" x14ac:dyDescent="0.25">
      <c r="Y25818" s="63"/>
    </row>
    <row r="25819" spans="25:25" x14ac:dyDescent="0.25">
      <c r="Y25819" s="63"/>
    </row>
    <row r="25820" spans="25:25" x14ac:dyDescent="0.25">
      <c r="Y25820" s="63"/>
    </row>
    <row r="25821" spans="25:25" x14ac:dyDescent="0.25">
      <c r="Y25821" s="63"/>
    </row>
    <row r="25822" spans="25:25" x14ac:dyDescent="0.25">
      <c r="Y25822" s="63"/>
    </row>
    <row r="25823" spans="25:25" x14ac:dyDescent="0.25">
      <c r="Y25823" s="63"/>
    </row>
    <row r="25824" spans="25:25" x14ac:dyDescent="0.25">
      <c r="Y25824" s="63"/>
    </row>
    <row r="25825" spans="25:25" x14ac:dyDescent="0.25">
      <c r="Y25825" s="63"/>
    </row>
    <row r="25826" spans="25:25" x14ac:dyDescent="0.25">
      <c r="Y25826" s="63"/>
    </row>
    <row r="25827" spans="25:25" x14ac:dyDescent="0.25">
      <c r="Y25827" s="63"/>
    </row>
    <row r="25828" spans="25:25" x14ac:dyDescent="0.25">
      <c r="Y25828" s="63"/>
    </row>
    <row r="25829" spans="25:25" x14ac:dyDescent="0.25">
      <c r="Y25829" s="63"/>
    </row>
    <row r="25830" spans="25:25" x14ac:dyDescent="0.25">
      <c r="Y25830" s="63"/>
    </row>
    <row r="25831" spans="25:25" x14ac:dyDescent="0.25">
      <c r="Y25831" s="63"/>
    </row>
    <row r="25832" spans="25:25" x14ac:dyDescent="0.25">
      <c r="Y25832" s="63"/>
    </row>
    <row r="25833" spans="25:25" x14ac:dyDescent="0.25">
      <c r="Y25833" s="63"/>
    </row>
    <row r="25834" spans="25:25" x14ac:dyDescent="0.25">
      <c r="Y25834" s="63"/>
    </row>
    <row r="25835" spans="25:25" x14ac:dyDescent="0.25">
      <c r="Y25835" s="63"/>
    </row>
    <row r="25836" spans="25:25" x14ac:dyDescent="0.25">
      <c r="Y25836" s="63"/>
    </row>
    <row r="25837" spans="25:25" x14ac:dyDescent="0.25">
      <c r="Y25837" s="63"/>
    </row>
    <row r="25838" spans="25:25" x14ac:dyDescent="0.25">
      <c r="Y25838" s="63"/>
    </row>
    <row r="25839" spans="25:25" x14ac:dyDescent="0.25">
      <c r="Y25839" s="63"/>
    </row>
    <row r="25840" spans="25:25" x14ac:dyDescent="0.25">
      <c r="Y25840" s="63"/>
    </row>
    <row r="25841" spans="25:25" x14ac:dyDescent="0.25">
      <c r="Y25841" s="63"/>
    </row>
    <row r="25842" spans="25:25" x14ac:dyDescent="0.25">
      <c r="Y25842" s="63"/>
    </row>
    <row r="25843" spans="25:25" x14ac:dyDescent="0.25">
      <c r="Y25843" s="63"/>
    </row>
    <row r="25844" spans="25:25" x14ac:dyDescent="0.25">
      <c r="Y25844" s="63"/>
    </row>
    <row r="25845" spans="25:25" x14ac:dyDescent="0.25">
      <c r="Y25845" s="63"/>
    </row>
    <row r="25846" spans="25:25" x14ac:dyDescent="0.25">
      <c r="Y25846" s="63"/>
    </row>
    <row r="25847" spans="25:25" x14ac:dyDescent="0.25">
      <c r="Y25847" s="63"/>
    </row>
    <row r="25848" spans="25:25" x14ac:dyDescent="0.25">
      <c r="Y25848" s="63"/>
    </row>
    <row r="25849" spans="25:25" x14ac:dyDescent="0.25">
      <c r="Y25849" s="63"/>
    </row>
    <row r="25850" spans="25:25" x14ac:dyDescent="0.25">
      <c r="Y25850" s="63"/>
    </row>
    <row r="25851" spans="25:25" x14ac:dyDescent="0.25">
      <c r="Y25851" s="63"/>
    </row>
    <row r="25852" spans="25:25" x14ac:dyDescent="0.25">
      <c r="Y25852" s="63"/>
    </row>
    <row r="25853" spans="25:25" x14ac:dyDescent="0.25">
      <c r="Y25853" s="63"/>
    </row>
    <row r="25854" spans="25:25" x14ac:dyDescent="0.25">
      <c r="Y25854" s="63"/>
    </row>
    <row r="25855" spans="25:25" x14ac:dyDescent="0.25">
      <c r="Y25855" s="63"/>
    </row>
    <row r="25856" spans="25:25" x14ac:dyDescent="0.25">
      <c r="Y25856" s="63"/>
    </row>
    <row r="25857" spans="25:25" x14ac:dyDescent="0.25">
      <c r="Y25857" s="63"/>
    </row>
    <row r="25858" spans="25:25" x14ac:dyDescent="0.25">
      <c r="Y25858" s="63"/>
    </row>
    <row r="25859" spans="25:25" x14ac:dyDescent="0.25">
      <c r="Y25859" s="63"/>
    </row>
    <row r="25860" spans="25:25" x14ac:dyDescent="0.25">
      <c r="Y25860" s="63"/>
    </row>
    <row r="25861" spans="25:25" x14ac:dyDescent="0.25">
      <c r="Y25861" s="63"/>
    </row>
    <row r="25862" spans="25:25" x14ac:dyDescent="0.25">
      <c r="Y25862" s="63"/>
    </row>
    <row r="25863" spans="25:25" x14ac:dyDescent="0.25">
      <c r="Y25863" s="63"/>
    </row>
    <row r="25864" spans="25:25" x14ac:dyDescent="0.25">
      <c r="Y25864" s="63"/>
    </row>
    <row r="25865" spans="25:25" x14ac:dyDescent="0.25">
      <c r="Y25865" s="63"/>
    </row>
    <row r="25866" spans="25:25" x14ac:dyDescent="0.25">
      <c r="Y25866" s="63"/>
    </row>
    <row r="25867" spans="25:25" x14ac:dyDescent="0.25">
      <c r="Y25867" s="63"/>
    </row>
    <row r="25868" spans="25:25" x14ac:dyDescent="0.25">
      <c r="Y25868" s="63"/>
    </row>
    <row r="25869" spans="25:25" x14ac:dyDescent="0.25">
      <c r="Y25869" s="63"/>
    </row>
    <row r="25870" spans="25:25" x14ac:dyDescent="0.25">
      <c r="Y25870" s="63"/>
    </row>
    <row r="25871" spans="25:25" x14ac:dyDescent="0.25">
      <c r="Y25871" s="63"/>
    </row>
    <row r="25872" spans="25:25" x14ac:dyDescent="0.25">
      <c r="Y25872" s="63"/>
    </row>
    <row r="25873" spans="25:25" x14ac:dyDescent="0.25">
      <c r="Y25873" s="63"/>
    </row>
    <row r="25874" spans="25:25" x14ac:dyDescent="0.25">
      <c r="Y25874" s="63"/>
    </row>
    <row r="25875" spans="25:25" x14ac:dyDescent="0.25">
      <c r="Y25875" s="63"/>
    </row>
    <row r="25876" spans="25:25" x14ac:dyDescent="0.25">
      <c r="Y25876" s="63"/>
    </row>
    <row r="25877" spans="25:25" x14ac:dyDescent="0.25">
      <c r="Y25877" s="63"/>
    </row>
    <row r="25878" spans="25:25" x14ac:dyDescent="0.25">
      <c r="Y25878" s="63"/>
    </row>
    <row r="25879" spans="25:25" x14ac:dyDescent="0.25">
      <c r="Y25879" s="63"/>
    </row>
    <row r="25880" spans="25:25" x14ac:dyDescent="0.25">
      <c r="Y25880" s="63"/>
    </row>
    <row r="25881" spans="25:25" x14ac:dyDescent="0.25">
      <c r="Y25881" s="63"/>
    </row>
    <row r="25882" spans="25:25" x14ac:dyDescent="0.25">
      <c r="Y25882" s="63"/>
    </row>
    <row r="25883" spans="25:25" x14ac:dyDescent="0.25">
      <c r="Y25883" s="63"/>
    </row>
    <row r="25884" spans="25:25" x14ac:dyDescent="0.25">
      <c r="Y25884" s="63"/>
    </row>
    <row r="25885" spans="25:25" x14ac:dyDescent="0.25">
      <c r="Y25885" s="63"/>
    </row>
    <row r="25886" spans="25:25" x14ac:dyDescent="0.25">
      <c r="Y25886" s="63"/>
    </row>
    <row r="25887" spans="25:25" x14ac:dyDescent="0.25">
      <c r="Y25887" s="63"/>
    </row>
    <row r="25888" spans="25:25" x14ac:dyDescent="0.25">
      <c r="Y25888" s="63"/>
    </row>
    <row r="25889" spans="25:25" x14ac:dyDescent="0.25">
      <c r="Y25889" s="63"/>
    </row>
    <row r="25890" spans="25:25" x14ac:dyDescent="0.25">
      <c r="Y25890" s="63"/>
    </row>
    <row r="25891" spans="25:25" x14ac:dyDescent="0.25">
      <c r="Y25891" s="63"/>
    </row>
    <row r="25892" spans="25:25" x14ac:dyDescent="0.25">
      <c r="Y25892" s="63"/>
    </row>
    <row r="25893" spans="25:25" x14ac:dyDescent="0.25">
      <c r="Y25893" s="63"/>
    </row>
    <row r="25894" spans="25:25" x14ac:dyDescent="0.25">
      <c r="Y25894" s="63"/>
    </row>
    <row r="25895" spans="25:25" x14ac:dyDescent="0.25">
      <c r="Y25895" s="63"/>
    </row>
    <row r="25896" spans="25:25" x14ac:dyDescent="0.25">
      <c r="Y25896" s="63"/>
    </row>
    <row r="25897" spans="25:25" x14ac:dyDescent="0.25">
      <c r="Y25897" s="63"/>
    </row>
    <row r="25898" spans="25:25" x14ac:dyDescent="0.25">
      <c r="Y25898" s="63"/>
    </row>
    <row r="25899" spans="25:25" x14ac:dyDescent="0.25">
      <c r="Y25899" s="63"/>
    </row>
    <row r="25900" spans="25:25" x14ac:dyDescent="0.25">
      <c r="Y25900" s="63"/>
    </row>
    <row r="25901" spans="25:25" x14ac:dyDescent="0.25">
      <c r="Y25901" s="63"/>
    </row>
    <row r="25902" spans="25:25" x14ac:dyDescent="0.25">
      <c r="Y25902" s="63"/>
    </row>
    <row r="25903" spans="25:25" x14ac:dyDescent="0.25">
      <c r="Y25903" s="63"/>
    </row>
    <row r="25904" spans="25:25" x14ac:dyDescent="0.25">
      <c r="Y25904" s="63"/>
    </row>
    <row r="25905" spans="25:25" x14ac:dyDescent="0.25">
      <c r="Y25905" s="63"/>
    </row>
    <row r="25906" spans="25:25" x14ac:dyDescent="0.25">
      <c r="Y25906" s="63"/>
    </row>
    <row r="25907" spans="25:25" x14ac:dyDescent="0.25">
      <c r="Y25907" s="63"/>
    </row>
    <row r="25908" spans="25:25" x14ac:dyDescent="0.25">
      <c r="Y25908" s="63"/>
    </row>
    <row r="25909" spans="25:25" x14ac:dyDescent="0.25">
      <c r="Y25909" s="63"/>
    </row>
    <row r="25910" spans="25:25" x14ac:dyDescent="0.25">
      <c r="Y25910" s="63"/>
    </row>
    <row r="25911" spans="25:25" x14ac:dyDescent="0.25">
      <c r="Y25911" s="63"/>
    </row>
    <row r="25912" spans="25:25" x14ac:dyDescent="0.25">
      <c r="Y25912" s="63"/>
    </row>
    <row r="25913" spans="25:25" x14ac:dyDescent="0.25">
      <c r="Y25913" s="63"/>
    </row>
    <row r="25914" spans="25:25" x14ac:dyDescent="0.25">
      <c r="Y25914" s="63"/>
    </row>
    <row r="25915" spans="25:25" x14ac:dyDescent="0.25">
      <c r="Y25915" s="63"/>
    </row>
    <row r="25916" spans="25:25" x14ac:dyDescent="0.25">
      <c r="Y25916" s="63"/>
    </row>
    <row r="25917" spans="25:25" x14ac:dyDescent="0.25">
      <c r="Y25917" s="63"/>
    </row>
    <row r="25918" spans="25:25" x14ac:dyDescent="0.25">
      <c r="Y25918" s="63"/>
    </row>
    <row r="25919" spans="25:25" x14ac:dyDescent="0.25">
      <c r="Y25919" s="63"/>
    </row>
    <row r="25920" spans="25:25" x14ac:dyDescent="0.25">
      <c r="Y25920" s="63"/>
    </row>
    <row r="25921" spans="25:25" x14ac:dyDescent="0.25">
      <c r="Y25921" s="63"/>
    </row>
    <row r="25922" spans="25:25" x14ac:dyDescent="0.25">
      <c r="Y25922" s="63"/>
    </row>
    <row r="25923" spans="25:25" x14ac:dyDescent="0.25">
      <c r="Y25923" s="63"/>
    </row>
    <row r="25924" spans="25:25" x14ac:dyDescent="0.25">
      <c r="Y25924" s="63"/>
    </row>
    <row r="25925" spans="25:25" x14ac:dyDescent="0.25">
      <c r="Y25925" s="63"/>
    </row>
    <row r="25926" spans="25:25" x14ac:dyDescent="0.25">
      <c r="Y25926" s="63"/>
    </row>
    <row r="25927" spans="25:25" x14ac:dyDescent="0.25">
      <c r="Y25927" s="63"/>
    </row>
    <row r="25928" spans="25:25" x14ac:dyDescent="0.25">
      <c r="Y25928" s="63"/>
    </row>
    <row r="25929" spans="25:25" x14ac:dyDescent="0.25">
      <c r="Y25929" s="63"/>
    </row>
    <row r="25930" spans="25:25" x14ac:dyDescent="0.25">
      <c r="Y25930" s="63"/>
    </row>
    <row r="25931" spans="25:25" x14ac:dyDescent="0.25">
      <c r="Y25931" s="63"/>
    </row>
    <row r="25932" spans="25:25" x14ac:dyDescent="0.25">
      <c r="Y25932" s="63"/>
    </row>
    <row r="25933" spans="25:25" x14ac:dyDescent="0.25">
      <c r="Y25933" s="63"/>
    </row>
    <row r="25934" spans="25:25" x14ac:dyDescent="0.25">
      <c r="Y25934" s="63"/>
    </row>
    <row r="25935" spans="25:25" x14ac:dyDescent="0.25">
      <c r="Y25935" s="63"/>
    </row>
    <row r="25936" spans="25:25" x14ac:dyDescent="0.25">
      <c r="Y25936" s="63"/>
    </row>
    <row r="25937" spans="25:25" x14ac:dyDescent="0.25">
      <c r="Y25937" s="63"/>
    </row>
    <row r="25938" spans="25:25" x14ac:dyDescent="0.25">
      <c r="Y25938" s="63"/>
    </row>
    <row r="25939" spans="25:25" x14ac:dyDescent="0.25">
      <c r="Y25939" s="63"/>
    </row>
    <row r="25940" spans="25:25" x14ac:dyDescent="0.25">
      <c r="Y25940" s="63"/>
    </row>
    <row r="25941" spans="25:25" x14ac:dyDescent="0.25">
      <c r="Y25941" s="63"/>
    </row>
    <row r="25942" spans="25:25" x14ac:dyDescent="0.25">
      <c r="Y25942" s="63"/>
    </row>
    <row r="25943" spans="25:25" x14ac:dyDescent="0.25">
      <c r="Y25943" s="63"/>
    </row>
    <row r="25944" spans="25:25" x14ac:dyDescent="0.25">
      <c r="Y25944" s="63"/>
    </row>
    <row r="25945" spans="25:25" x14ac:dyDescent="0.25">
      <c r="Y25945" s="63"/>
    </row>
    <row r="25946" spans="25:25" x14ac:dyDescent="0.25">
      <c r="Y25946" s="63"/>
    </row>
    <row r="25947" spans="25:25" x14ac:dyDescent="0.25">
      <c r="Y25947" s="63"/>
    </row>
    <row r="25948" spans="25:25" x14ac:dyDescent="0.25">
      <c r="Y25948" s="63"/>
    </row>
    <row r="25949" spans="25:25" x14ac:dyDescent="0.25">
      <c r="Y25949" s="63"/>
    </row>
    <row r="25950" spans="25:25" x14ac:dyDescent="0.25">
      <c r="Y25950" s="63"/>
    </row>
    <row r="25951" spans="25:25" x14ac:dyDescent="0.25">
      <c r="Y25951" s="63"/>
    </row>
    <row r="25952" spans="25:25" x14ac:dyDescent="0.25">
      <c r="Y25952" s="63"/>
    </row>
    <row r="25953" spans="25:25" x14ac:dyDescent="0.25">
      <c r="Y25953" s="63"/>
    </row>
    <row r="25954" spans="25:25" x14ac:dyDescent="0.25">
      <c r="Y25954" s="63"/>
    </row>
    <row r="25955" spans="25:25" x14ac:dyDescent="0.25">
      <c r="Y25955" s="63"/>
    </row>
    <row r="25956" spans="25:25" x14ac:dyDescent="0.25">
      <c r="Y25956" s="63"/>
    </row>
    <row r="25957" spans="25:25" x14ac:dyDescent="0.25">
      <c r="Y25957" s="63"/>
    </row>
    <row r="25958" spans="25:25" x14ac:dyDescent="0.25">
      <c r="Y25958" s="63"/>
    </row>
    <row r="25959" spans="25:25" x14ac:dyDescent="0.25">
      <c r="Y25959" s="63"/>
    </row>
    <row r="25960" spans="25:25" x14ac:dyDescent="0.25">
      <c r="Y25960" s="63"/>
    </row>
    <row r="25961" spans="25:25" x14ac:dyDescent="0.25">
      <c r="Y25961" s="63"/>
    </row>
    <row r="25962" spans="25:25" x14ac:dyDescent="0.25">
      <c r="Y25962" s="63"/>
    </row>
    <row r="25963" spans="25:25" x14ac:dyDescent="0.25">
      <c r="Y25963" s="63"/>
    </row>
    <row r="25964" spans="25:25" x14ac:dyDescent="0.25">
      <c r="Y25964" s="63"/>
    </row>
    <row r="25965" spans="25:25" x14ac:dyDescent="0.25">
      <c r="Y25965" s="63"/>
    </row>
    <row r="25966" spans="25:25" x14ac:dyDescent="0.25">
      <c r="Y25966" s="63"/>
    </row>
    <row r="25967" spans="25:25" x14ac:dyDescent="0.25">
      <c r="Y25967" s="63"/>
    </row>
    <row r="25968" spans="25:25" x14ac:dyDescent="0.25">
      <c r="Y25968" s="63"/>
    </row>
    <row r="25969" spans="25:25" x14ac:dyDescent="0.25">
      <c r="Y25969" s="63"/>
    </row>
    <row r="25970" spans="25:25" x14ac:dyDescent="0.25">
      <c r="Y25970" s="63"/>
    </row>
    <row r="25971" spans="25:25" x14ac:dyDescent="0.25">
      <c r="Y25971" s="63"/>
    </row>
    <row r="25972" spans="25:25" x14ac:dyDescent="0.25">
      <c r="Y25972" s="63"/>
    </row>
    <row r="25973" spans="25:25" x14ac:dyDescent="0.25">
      <c r="Y25973" s="63"/>
    </row>
    <row r="25974" spans="25:25" x14ac:dyDescent="0.25">
      <c r="Y25974" s="63"/>
    </row>
    <row r="25975" spans="25:25" x14ac:dyDescent="0.25">
      <c r="Y25975" s="63"/>
    </row>
    <row r="25976" spans="25:25" x14ac:dyDescent="0.25">
      <c r="Y25976" s="63"/>
    </row>
    <row r="25977" spans="25:25" x14ac:dyDescent="0.25">
      <c r="Y25977" s="63"/>
    </row>
    <row r="25978" spans="25:25" x14ac:dyDescent="0.25">
      <c r="Y25978" s="63"/>
    </row>
    <row r="25979" spans="25:25" x14ac:dyDescent="0.25">
      <c r="Y25979" s="63"/>
    </row>
    <row r="25980" spans="25:25" x14ac:dyDescent="0.25">
      <c r="Y25980" s="63"/>
    </row>
    <row r="25981" spans="25:25" x14ac:dyDescent="0.25">
      <c r="Y25981" s="63"/>
    </row>
    <row r="25982" spans="25:25" x14ac:dyDescent="0.25">
      <c r="Y25982" s="63"/>
    </row>
    <row r="25983" spans="25:25" x14ac:dyDescent="0.25">
      <c r="Y25983" s="63"/>
    </row>
    <row r="25984" spans="25:25" x14ac:dyDescent="0.25">
      <c r="Y25984" s="63"/>
    </row>
    <row r="25985" spans="25:25" x14ac:dyDescent="0.25">
      <c r="Y25985" s="63"/>
    </row>
    <row r="25986" spans="25:25" x14ac:dyDescent="0.25">
      <c r="Y25986" s="63"/>
    </row>
    <row r="25987" spans="25:25" x14ac:dyDescent="0.25">
      <c r="Y25987" s="63"/>
    </row>
    <row r="25988" spans="25:25" x14ac:dyDescent="0.25">
      <c r="Y25988" s="63"/>
    </row>
    <row r="25989" spans="25:25" x14ac:dyDescent="0.25">
      <c r="Y25989" s="63"/>
    </row>
    <row r="25990" spans="25:25" x14ac:dyDescent="0.25">
      <c r="Y25990" s="63"/>
    </row>
    <row r="25991" spans="25:25" x14ac:dyDescent="0.25">
      <c r="Y25991" s="63"/>
    </row>
    <row r="25992" spans="25:25" x14ac:dyDescent="0.25">
      <c r="Y25992" s="63"/>
    </row>
    <row r="25993" spans="25:25" x14ac:dyDescent="0.25">
      <c r="Y25993" s="63"/>
    </row>
    <row r="25994" spans="25:25" x14ac:dyDescent="0.25">
      <c r="Y25994" s="63"/>
    </row>
    <row r="25995" spans="25:25" x14ac:dyDescent="0.25">
      <c r="Y25995" s="63"/>
    </row>
    <row r="25996" spans="25:25" x14ac:dyDescent="0.25">
      <c r="Y25996" s="63"/>
    </row>
    <row r="25997" spans="25:25" x14ac:dyDescent="0.25">
      <c r="Y25997" s="63"/>
    </row>
    <row r="25998" spans="25:25" x14ac:dyDescent="0.25">
      <c r="Y25998" s="63"/>
    </row>
    <row r="25999" spans="25:25" x14ac:dyDescent="0.25">
      <c r="Y25999" s="63"/>
    </row>
    <row r="26000" spans="25:25" x14ac:dyDescent="0.25">
      <c r="Y26000" s="63"/>
    </row>
    <row r="26001" spans="25:25" x14ac:dyDescent="0.25">
      <c r="Y26001" s="63"/>
    </row>
    <row r="26002" spans="25:25" x14ac:dyDescent="0.25">
      <c r="Y26002" s="63"/>
    </row>
    <row r="26003" spans="25:25" x14ac:dyDescent="0.25">
      <c r="Y26003" s="63"/>
    </row>
    <row r="26004" spans="25:25" x14ac:dyDescent="0.25">
      <c r="Y26004" s="63"/>
    </row>
    <row r="26005" spans="25:25" x14ac:dyDescent="0.25">
      <c r="Y26005" s="63"/>
    </row>
    <row r="26006" spans="25:25" x14ac:dyDescent="0.25">
      <c r="Y26006" s="63"/>
    </row>
    <row r="26007" spans="25:25" x14ac:dyDescent="0.25">
      <c r="Y26007" s="63"/>
    </row>
    <row r="26008" spans="25:25" x14ac:dyDescent="0.25">
      <c r="Y26008" s="63"/>
    </row>
    <row r="26009" spans="25:25" x14ac:dyDescent="0.25">
      <c r="Y26009" s="63"/>
    </row>
    <row r="26010" spans="25:25" x14ac:dyDescent="0.25">
      <c r="Y26010" s="63"/>
    </row>
    <row r="26011" spans="25:25" x14ac:dyDescent="0.25">
      <c r="Y26011" s="63"/>
    </row>
    <row r="26012" spans="25:25" x14ac:dyDescent="0.25">
      <c r="Y26012" s="63"/>
    </row>
    <row r="26013" spans="25:25" x14ac:dyDescent="0.25">
      <c r="Y26013" s="63"/>
    </row>
    <row r="26014" spans="25:25" x14ac:dyDescent="0.25">
      <c r="Y26014" s="63"/>
    </row>
    <row r="26015" spans="25:25" x14ac:dyDescent="0.25">
      <c r="Y26015" s="63"/>
    </row>
    <row r="26016" spans="25:25" x14ac:dyDescent="0.25">
      <c r="Y26016" s="63"/>
    </row>
    <row r="26017" spans="25:25" x14ac:dyDescent="0.25">
      <c r="Y26017" s="63"/>
    </row>
    <row r="26018" spans="25:25" x14ac:dyDescent="0.25">
      <c r="Y26018" s="63"/>
    </row>
    <row r="26019" spans="25:25" x14ac:dyDescent="0.25">
      <c r="Y26019" s="63"/>
    </row>
    <row r="26020" spans="25:25" x14ac:dyDescent="0.25">
      <c r="Y26020" s="63"/>
    </row>
    <row r="26021" spans="25:25" x14ac:dyDescent="0.25">
      <c r="Y26021" s="63"/>
    </row>
    <row r="26022" spans="25:25" x14ac:dyDescent="0.25">
      <c r="Y26022" s="63"/>
    </row>
    <row r="26023" spans="25:25" x14ac:dyDescent="0.25">
      <c r="Y26023" s="63"/>
    </row>
    <row r="26024" spans="25:25" x14ac:dyDescent="0.25">
      <c r="Y26024" s="63"/>
    </row>
    <row r="26025" spans="25:25" x14ac:dyDescent="0.25">
      <c r="Y26025" s="63"/>
    </row>
    <row r="26026" spans="25:25" x14ac:dyDescent="0.25">
      <c r="Y26026" s="63"/>
    </row>
    <row r="26027" spans="25:25" x14ac:dyDescent="0.25">
      <c r="Y26027" s="63"/>
    </row>
    <row r="26028" spans="25:25" x14ac:dyDescent="0.25">
      <c r="Y26028" s="63"/>
    </row>
    <row r="26029" spans="25:25" x14ac:dyDescent="0.25">
      <c r="Y26029" s="63"/>
    </row>
    <row r="26030" spans="25:25" x14ac:dyDescent="0.25">
      <c r="Y26030" s="63"/>
    </row>
    <row r="26031" spans="25:25" x14ac:dyDescent="0.25">
      <c r="Y26031" s="63"/>
    </row>
    <row r="26032" spans="25:25" x14ac:dyDescent="0.25">
      <c r="Y26032" s="63"/>
    </row>
    <row r="26033" spans="25:25" x14ac:dyDescent="0.25">
      <c r="Y26033" s="63"/>
    </row>
    <row r="26034" spans="25:25" x14ac:dyDescent="0.25">
      <c r="Y26034" s="63"/>
    </row>
    <row r="26035" spans="25:25" x14ac:dyDescent="0.25">
      <c r="Y26035" s="63"/>
    </row>
    <row r="26036" spans="25:25" x14ac:dyDescent="0.25">
      <c r="Y26036" s="63"/>
    </row>
    <row r="26037" spans="25:25" x14ac:dyDescent="0.25">
      <c r="Y26037" s="63"/>
    </row>
    <row r="26038" spans="25:25" x14ac:dyDescent="0.25">
      <c r="Y26038" s="63"/>
    </row>
    <row r="26039" spans="25:25" x14ac:dyDescent="0.25">
      <c r="Y26039" s="63"/>
    </row>
    <row r="26040" spans="25:25" x14ac:dyDescent="0.25">
      <c r="Y26040" s="63"/>
    </row>
    <row r="26041" spans="25:25" x14ac:dyDescent="0.25">
      <c r="Y26041" s="63"/>
    </row>
    <row r="26042" spans="25:25" x14ac:dyDescent="0.25">
      <c r="Y26042" s="63"/>
    </row>
    <row r="26043" spans="25:25" x14ac:dyDescent="0.25">
      <c r="Y26043" s="63"/>
    </row>
    <row r="26044" spans="25:25" x14ac:dyDescent="0.25">
      <c r="Y26044" s="63"/>
    </row>
    <row r="26045" spans="25:25" x14ac:dyDescent="0.25">
      <c r="Y26045" s="63"/>
    </row>
    <row r="26046" spans="25:25" x14ac:dyDescent="0.25">
      <c r="Y26046" s="63"/>
    </row>
    <row r="26047" spans="25:25" x14ac:dyDescent="0.25">
      <c r="Y26047" s="63"/>
    </row>
    <row r="26048" spans="25:25" x14ac:dyDescent="0.25">
      <c r="Y26048" s="63"/>
    </row>
    <row r="26049" spans="25:25" x14ac:dyDescent="0.25">
      <c r="Y26049" s="63"/>
    </row>
    <row r="26050" spans="25:25" x14ac:dyDescent="0.25">
      <c r="Y26050" s="63"/>
    </row>
    <row r="26051" spans="25:25" x14ac:dyDescent="0.25">
      <c r="Y26051" s="63"/>
    </row>
    <row r="26052" spans="25:25" x14ac:dyDescent="0.25">
      <c r="Y26052" s="63"/>
    </row>
    <row r="26053" spans="25:25" x14ac:dyDescent="0.25">
      <c r="Y26053" s="63"/>
    </row>
    <row r="26054" spans="25:25" x14ac:dyDescent="0.25">
      <c r="Y26054" s="63"/>
    </row>
    <row r="26055" spans="25:25" x14ac:dyDescent="0.25">
      <c r="Y26055" s="63"/>
    </row>
    <row r="26056" spans="25:25" x14ac:dyDescent="0.25">
      <c r="Y26056" s="63"/>
    </row>
    <row r="26057" spans="25:25" x14ac:dyDescent="0.25">
      <c r="Y26057" s="63"/>
    </row>
    <row r="26058" spans="25:25" x14ac:dyDescent="0.25">
      <c r="Y26058" s="63"/>
    </row>
    <row r="26059" spans="25:25" x14ac:dyDescent="0.25">
      <c r="Y26059" s="63"/>
    </row>
    <row r="26060" spans="25:25" x14ac:dyDescent="0.25">
      <c r="Y26060" s="63"/>
    </row>
    <row r="26061" spans="25:25" x14ac:dyDescent="0.25">
      <c r="Y26061" s="63"/>
    </row>
    <row r="26062" spans="25:25" x14ac:dyDescent="0.25">
      <c r="Y26062" s="63"/>
    </row>
    <row r="26063" spans="25:25" x14ac:dyDescent="0.25">
      <c r="Y26063" s="63"/>
    </row>
    <row r="26064" spans="25:25" x14ac:dyDescent="0.25">
      <c r="Y26064" s="63"/>
    </row>
    <row r="26065" spans="25:25" x14ac:dyDescent="0.25">
      <c r="Y26065" s="63"/>
    </row>
    <row r="26066" spans="25:25" x14ac:dyDescent="0.25">
      <c r="Y26066" s="63"/>
    </row>
    <row r="26067" spans="25:25" x14ac:dyDescent="0.25">
      <c r="Y26067" s="63"/>
    </row>
    <row r="26068" spans="25:25" x14ac:dyDescent="0.25">
      <c r="Y26068" s="63"/>
    </row>
    <row r="26069" spans="25:25" x14ac:dyDescent="0.25">
      <c r="Y26069" s="63"/>
    </row>
    <row r="26070" spans="25:25" x14ac:dyDescent="0.25">
      <c r="Y26070" s="63"/>
    </row>
    <row r="26071" spans="25:25" x14ac:dyDescent="0.25">
      <c r="Y26071" s="63"/>
    </row>
    <row r="26072" spans="25:25" x14ac:dyDescent="0.25">
      <c r="Y26072" s="63"/>
    </row>
    <row r="26073" spans="25:25" x14ac:dyDescent="0.25">
      <c r="Y26073" s="63"/>
    </row>
    <row r="26074" spans="25:25" x14ac:dyDescent="0.25">
      <c r="Y26074" s="63"/>
    </row>
    <row r="26075" spans="25:25" x14ac:dyDescent="0.25">
      <c r="Y26075" s="63"/>
    </row>
    <row r="26076" spans="25:25" x14ac:dyDescent="0.25">
      <c r="Y26076" s="63"/>
    </row>
    <row r="26077" spans="25:25" x14ac:dyDescent="0.25">
      <c r="Y26077" s="63"/>
    </row>
    <row r="26078" spans="25:25" x14ac:dyDescent="0.25">
      <c r="Y26078" s="63"/>
    </row>
    <row r="26079" spans="25:25" x14ac:dyDescent="0.25">
      <c r="Y26079" s="63"/>
    </row>
    <row r="26080" spans="25:25" x14ac:dyDescent="0.25">
      <c r="Y26080" s="63"/>
    </row>
    <row r="26081" spans="25:25" x14ac:dyDescent="0.25">
      <c r="Y26081" s="63"/>
    </row>
    <row r="26082" spans="25:25" x14ac:dyDescent="0.25">
      <c r="Y26082" s="63"/>
    </row>
    <row r="26083" spans="25:25" x14ac:dyDescent="0.25">
      <c r="Y26083" s="63"/>
    </row>
    <row r="26084" spans="25:25" x14ac:dyDescent="0.25">
      <c r="Y26084" s="63"/>
    </row>
    <row r="26085" spans="25:25" x14ac:dyDescent="0.25">
      <c r="Y26085" s="63"/>
    </row>
    <row r="26086" spans="25:25" x14ac:dyDescent="0.25">
      <c r="Y26086" s="63"/>
    </row>
    <row r="26087" spans="25:25" x14ac:dyDescent="0.25">
      <c r="Y26087" s="63"/>
    </row>
    <row r="26088" spans="25:25" x14ac:dyDescent="0.25">
      <c r="Y26088" s="63"/>
    </row>
    <row r="26089" spans="25:25" x14ac:dyDescent="0.25">
      <c r="Y26089" s="63"/>
    </row>
    <row r="26090" spans="25:25" x14ac:dyDescent="0.25">
      <c r="Y26090" s="63"/>
    </row>
    <row r="26091" spans="25:25" x14ac:dyDescent="0.25">
      <c r="Y26091" s="63"/>
    </row>
    <row r="26092" spans="25:25" x14ac:dyDescent="0.25">
      <c r="Y26092" s="63"/>
    </row>
    <row r="26093" spans="25:25" x14ac:dyDescent="0.25">
      <c r="Y26093" s="63"/>
    </row>
    <row r="26094" spans="25:25" x14ac:dyDescent="0.25">
      <c r="Y26094" s="63"/>
    </row>
    <row r="26095" spans="25:25" x14ac:dyDescent="0.25">
      <c r="Y26095" s="63"/>
    </row>
    <row r="26096" spans="25:25" x14ac:dyDescent="0.25">
      <c r="Y26096" s="63"/>
    </row>
    <row r="26097" spans="25:25" x14ac:dyDescent="0.25">
      <c r="Y26097" s="63"/>
    </row>
    <row r="26098" spans="25:25" x14ac:dyDescent="0.25">
      <c r="Y26098" s="63"/>
    </row>
    <row r="26099" spans="25:25" x14ac:dyDescent="0.25">
      <c r="Y26099" s="63"/>
    </row>
    <row r="26100" spans="25:25" x14ac:dyDescent="0.25">
      <c r="Y26100" s="63"/>
    </row>
    <row r="26101" spans="25:25" x14ac:dyDescent="0.25">
      <c r="Y26101" s="63"/>
    </row>
    <row r="26102" spans="25:25" x14ac:dyDescent="0.25">
      <c r="Y26102" s="63"/>
    </row>
    <row r="26103" spans="25:25" x14ac:dyDescent="0.25">
      <c r="Y26103" s="63"/>
    </row>
    <row r="26104" spans="25:25" x14ac:dyDescent="0.25">
      <c r="Y26104" s="63"/>
    </row>
    <row r="26105" spans="25:25" x14ac:dyDescent="0.25">
      <c r="Y26105" s="63"/>
    </row>
    <row r="26106" spans="25:25" x14ac:dyDescent="0.25">
      <c r="Y26106" s="63"/>
    </row>
    <row r="26107" spans="25:25" x14ac:dyDescent="0.25">
      <c r="Y26107" s="63"/>
    </row>
    <row r="26108" spans="25:25" x14ac:dyDescent="0.25">
      <c r="Y26108" s="63"/>
    </row>
    <row r="26109" spans="25:25" x14ac:dyDescent="0.25">
      <c r="Y26109" s="63"/>
    </row>
    <row r="26110" spans="25:25" x14ac:dyDescent="0.25">
      <c r="Y26110" s="63"/>
    </row>
    <row r="26111" spans="25:25" x14ac:dyDescent="0.25">
      <c r="Y26111" s="63"/>
    </row>
    <row r="26112" spans="25:25" x14ac:dyDescent="0.25">
      <c r="Y26112" s="63"/>
    </row>
    <row r="26113" spans="25:25" x14ac:dyDescent="0.25">
      <c r="Y26113" s="63"/>
    </row>
    <row r="26114" spans="25:25" x14ac:dyDescent="0.25">
      <c r="Y26114" s="63"/>
    </row>
    <row r="26115" spans="25:25" x14ac:dyDescent="0.25">
      <c r="Y26115" s="63"/>
    </row>
    <row r="26116" spans="25:25" x14ac:dyDescent="0.25">
      <c r="Y26116" s="63"/>
    </row>
    <row r="26117" spans="25:25" x14ac:dyDescent="0.25">
      <c r="Y26117" s="63"/>
    </row>
    <row r="26118" spans="25:25" x14ac:dyDescent="0.25">
      <c r="Y26118" s="63"/>
    </row>
    <row r="26119" spans="25:25" x14ac:dyDescent="0.25">
      <c r="Y26119" s="63"/>
    </row>
    <row r="26120" spans="25:25" x14ac:dyDescent="0.25">
      <c r="Y26120" s="63"/>
    </row>
    <row r="26121" spans="25:25" x14ac:dyDescent="0.25">
      <c r="Y26121" s="63"/>
    </row>
    <row r="26122" spans="25:25" x14ac:dyDescent="0.25">
      <c r="Y26122" s="63"/>
    </row>
    <row r="26123" spans="25:25" x14ac:dyDescent="0.25">
      <c r="Y26123" s="63"/>
    </row>
    <row r="26124" spans="25:25" x14ac:dyDescent="0.25">
      <c r="Y26124" s="63"/>
    </row>
    <row r="26125" spans="25:25" x14ac:dyDescent="0.25">
      <c r="Y26125" s="63"/>
    </row>
    <row r="26126" spans="25:25" x14ac:dyDescent="0.25">
      <c r="Y26126" s="63"/>
    </row>
    <row r="26127" spans="25:25" x14ac:dyDescent="0.25">
      <c r="Y26127" s="63"/>
    </row>
    <row r="26128" spans="25:25" x14ac:dyDescent="0.25">
      <c r="Y26128" s="63"/>
    </row>
    <row r="26129" spans="25:25" x14ac:dyDescent="0.25">
      <c r="Y26129" s="63"/>
    </row>
    <row r="26130" spans="25:25" x14ac:dyDescent="0.25">
      <c r="Y26130" s="63"/>
    </row>
    <row r="26131" spans="25:25" x14ac:dyDescent="0.25">
      <c r="Y26131" s="63"/>
    </row>
    <row r="26132" spans="25:25" x14ac:dyDescent="0.25">
      <c r="Y26132" s="63"/>
    </row>
    <row r="26133" spans="25:25" x14ac:dyDescent="0.25">
      <c r="Y26133" s="63"/>
    </row>
    <row r="26134" spans="25:25" x14ac:dyDescent="0.25">
      <c r="Y26134" s="63"/>
    </row>
    <row r="26135" spans="25:25" x14ac:dyDescent="0.25">
      <c r="Y26135" s="63"/>
    </row>
    <row r="26136" spans="25:25" x14ac:dyDescent="0.25">
      <c r="Y26136" s="63"/>
    </row>
    <row r="26137" spans="25:25" x14ac:dyDescent="0.25">
      <c r="Y26137" s="63"/>
    </row>
    <row r="26138" spans="25:25" x14ac:dyDescent="0.25">
      <c r="Y26138" s="63"/>
    </row>
    <row r="26139" spans="25:25" x14ac:dyDescent="0.25">
      <c r="Y26139" s="63"/>
    </row>
    <row r="26140" spans="25:25" x14ac:dyDescent="0.25">
      <c r="Y26140" s="63"/>
    </row>
    <row r="26141" spans="25:25" x14ac:dyDescent="0.25">
      <c r="Y26141" s="63"/>
    </row>
    <row r="26142" spans="25:25" x14ac:dyDescent="0.25">
      <c r="Y26142" s="63"/>
    </row>
    <row r="26143" spans="25:25" x14ac:dyDescent="0.25">
      <c r="Y26143" s="63"/>
    </row>
    <row r="26144" spans="25:25" x14ac:dyDescent="0.25">
      <c r="Y26144" s="63"/>
    </row>
    <row r="26145" spans="25:25" x14ac:dyDescent="0.25">
      <c r="Y26145" s="63"/>
    </row>
    <row r="26146" spans="25:25" x14ac:dyDescent="0.25">
      <c r="Y26146" s="63"/>
    </row>
    <row r="26147" spans="25:25" x14ac:dyDescent="0.25">
      <c r="Y26147" s="63"/>
    </row>
    <row r="26148" spans="25:25" x14ac:dyDescent="0.25">
      <c r="Y26148" s="63"/>
    </row>
    <row r="26149" spans="25:25" x14ac:dyDescent="0.25">
      <c r="Y26149" s="63"/>
    </row>
    <row r="26150" spans="25:25" x14ac:dyDescent="0.25">
      <c r="Y26150" s="63"/>
    </row>
    <row r="26151" spans="25:25" x14ac:dyDescent="0.25">
      <c r="Y26151" s="63"/>
    </row>
    <row r="26152" spans="25:25" x14ac:dyDescent="0.25">
      <c r="Y26152" s="63"/>
    </row>
    <row r="26153" spans="25:25" x14ac:dyDescent="0.25">
      <c r="Y26153" s="63"/>
    </row>
    <row r="26154" spans="25:25" x14ac:dyDescent="0.25">
      <c r="Y26154" s="63"/>
    </row>
    <row r="26155" spans="25:25" x14ac:dyDescent="0.25">
      <c r="Y26155" s="63"/>
    </row>
    <row r="26156" spans="25:25" x14ac:dyDescent="0.25">
      <c r="Y26156" s="63"/>
    </row>
    <row r="26157" spans="25:25" x14ac:dyDescent="0.25">
      <c r="Y26157" s="63"/>
    </row>
    <row r="26158" spans="25:25" x14ac:dyDescent="0.25">
      <c r="Y26158" s="63"/>
    </row>
    <row r="26159" spans="25:25" x14ac:dyDescent="0.25">
      <c r="Y26159" s="63"/>
    </row>
    <row r="26160" spans="25:25" x14ac:dyDescent="0.25">
      <c r="Y26160" s="63"/>
    </row>
    <row r="26161" spans="25:25" x14ac:dyDescent="0.25">
      <c r="Y26161" s="63"/>
    </row>
    <row r="26162" spans="25:25" x14ac:dyDescent="0.25">
      <c r="Y26162" s="63"/>
    </row>
    <row r="26163" spans="25:25" x14ac:dyDescent="0.25">
      <c r="Y26163" s="63"/>
    </row>
    <row r="26164" spans="25:25" x14ac:dyDescent="0.25">
      <c r="Y26164" s="63"/>
    </row>
    <row r="26165" spans="25:25" x14ac:dyDescent="0.25">
      <c r="Y26165" s="63"/>
    </row>
    <row r="26166" spans="25:25" x14ac:dyDescent="0.25">
      <c r="Y26166" s="63"/>
    </row>
    <row r="26167" spans="25:25" x14ac:dyDescent="0.25">
      <c r="Y26167" s="63"/>
    </row>
    <row r="26168" spans="25:25" x14ac:dyDescent="0.25">
      <c r="Y26168" s="63"/>
    </row>
    <row r="26169" spans="25:25" x14ac:dyDescent="0.25">
      <c r="Y26169" s="63"/>
    </row>
    <row r="26170" spans="25:25" x14ac:dyDescent="0.25">
      <c r="Y26170" s="63"/>
    </row>
    <row r="26171" spans="25:25" x14ac:dyDescent="0.25">
      <c r="Y26171" s="63"/>
    </row>
    <row r="26172" spans="25:25" x14ac:dyDescent="0.25">
      <c r="Y26172" s="63"/>
    </row>
    <row r="26173" spans="25:25" x14ac:dyDescent="0.25">
      <c r="Y26173" s="63"/>
    </row>
    <row r="26174" spans="25:25" x14ac:dyDescent="0.25">
      <c r="Y26174" s="63"/>
    </row>
    <row r="26175" spans="25:25" x14ac:dyDescent="0.25">
      <c r="Y26175" s="63"/>
    </row>
    <row r="26176" spans="25:25" x14ac:dyDescent="0.25">
      <c r="Y26176" s="63"/>
    </row>
    <row r="26177" spans="25:25" x14ac:dyDescent="0.25">
      <c r="Y26177" s="63"/>
    </row>
    <row r="26178" spans="25:25" x14ac:dyDescent="0.25">
      <c r="Y26178" s="63"/>
    </row>
    <row r="26179" spans="25:25" x14ac:dyDescent="0.25">
      <c r="Y26179" s="63"/>
    </row>
    <row r="26180" spans="25:25" x14ac:dyDescent="0.25">
      <c r="Y26180" s="63"/>
    </row>
    <row r="26181" spans="25:25" x14ac:dyDescent="0.25">
      <c r="Y26181" s="63"/>
    </row>
    <row r="26182" spans="25:25" x14ac:dyDescent="0.25">
      <c r="Y26182" s="63"/>
    </row>
    <row r="26183" spans="25:25" x14ac:dyDescent="0.25">
      <c r="Y26183" s="63"/>
    </row>
    <row r="26184" spans="25:25" x14ac:dyDescent="0.25">
      <c r="Y26184" s="63"/>
    </row>
    <row r="26185" spans="25:25" x14ac:dyDescent="0.25">
      <c r="Y26185" s="63"/>
    </row>
    <row r="26186" spans="25:25" x14ac:dyDescent="0.25">
      <c r="Y26186" s="63"/>
    </row>
    <row r="26187" spans="25:25" x14ac:dyDescent="0.25">
      <c r="Y26187" s="63"/>
    </row>
    <row r="26188" spans="25:25" x14ac:dyDescent="0.25">
      <c r="Y26188" s="63"/>
    </row>
    <row r="26189" spans="25:25" x14ac:dyDescent="0.25">
      <c r="Y26189" s="63"/>
    </row>
    <row r="26190" spans="25:25" x14ac:dyDescent="0.25">
      <c r="Y26190" s="63"/>
    </row>
    <row r="26191" spans="25:25" x14ac:dyDescent="0.25">
      <c r="Y26191" s="63"/>
    </row>
    <row r="26192" spans="25:25" x14ac:dyDescent="0.25">
      <c r="Y26192" s="63"/>
    </row>
    <row r="26193" spans="25:25" x14ac:dyDescent="0.25">
      <c r="Y26193" s="63"/>
    </row>
    <row r="26194" spans="25:25" x14ac:dyDescent="0.25">
      <c r="Y26194" s="63"/>
    </row>
    <row r="26195" spans="25:25" x14ac:dyDescent="0.25">
      <c r="Y26195" s="63"/>
    </row>
    <row r="26196" spans="25:25" x14ac:dyDescent="0.25">
      <c r="Y26196" s="63"/>
    </row>
    <row r="26197" spans="25:25" x14ac:dyDescent="0.25">
      <c r="Y26197" s="63"/>
    </row>
    <row r="26198" spans="25:25" x14ac:dyDescent="0.25">
      <c r="Y26198" s="63"/>
    </row>
    <row r="26199" spans="25:25" x14ac:dyDescent="0.25">
      <c r="Y26199" s="63"/>
    </row>
    <row r="26200" spans="25:25" x14ac:dyDescent="0.25">
      <c r="Y26200" s="63"/>
    </row>
    <row r="26201" spans="25:25" x14ac:dyDescent="0.25">
      <c r="Y26201" s="63"/>
    </row>
    <row r="26202" spans="25:25" x14ac:dyDescent="0.25">
      <c r="Y26202" s="63"/>
    </row>
    <row r="26203" spans="25:25" x14ac:dyDescent="0.25">
      <c r="Y26203" s="63"/>
    </row>
    <row r="26204" spans="25:25" x14ac:dyDescent="0.25">
      <c r="Y26204" s="63"/>
    </row>
    <row r="26205" spans="25:25" x14ac:dyDescent="0.25">
      <c r="Y26205" s="63"/>
    </row>
    <row r="26206" spans="25:25" x14ac:dyDescent="0.25">
      <c r="Y26206" s="63"/>
    </row>
    <row r="26207" spans="25:25" x14ac:dyDescent="0.25">
      <c r="Y26207" s="63"/>
    </row>
    <row r="26208" spans="25:25" x14ac:dyDescent="0.25">
      <c r="Y26208" s="63"/>
    </row>
    <row r="26209" spans="25:25" x14ac:dyDescent="0.25">
      <c r="Y26209" s="63"/>
    </row>
    <row r="26210" spans="25:25" x14ac:dyDescent="0.25">
      <c r="Y26210" s="63"/>
    </row>
    <row r="26211" spans="25:25" x14ac:dyDescent="0.25">
      <c r="Y26211" s="63"/>
    </row>
    <row r="26212" spans="25:25" x14ac:dyDescent="0.25">
      <c r="Y26212" s="63"/>
    </row>
    <row r="26213" spans="25:25" x14ac:dyDescent="0.25">
      <c r="Y26213" s="63"/>
    </row>
    <row r="26214" spans="25:25" x14ac:dyDescent="0.25">
      <c r="Y26214" s="63"/>
    </row>
    <row r="26215" spans="25:25" x14ac:dyDescent="0.25">
      <c r="Y26215" s="63"/>
    </row>
    <row r="26216" spans="25:25" x14ac:dyDescent="0.25">
      <c r="Y26216" s="63"/>
    </row>
    <row r="26217" spans="25:25" x14ac:dyDescent="0.25">
      <c r="Y26217" s="63"/>
    </row>
    <row r="26218" spans="25:25" x14ac:dyDescent="0.25">
      <c r="Y26218" s="63"/>
    </row>
    <row r="26219" spans="25:25" x14ac:dyDescent="0.25">
      <c r="Y26219" s="63"/>
    </row>
    <row r="26220" spans="25:25" x14ac:dyDescent="0.25">
      <c r="Y26220" s="63"/>
    </row>
    <row r="26221" spans="25:25" x14ac:dyDescent="0.25">
      <c r="Y26221" s="63"/>
    </row>
    <row r="26222" spans="25:25" x14ac:dyDescent="0.25">
      <c r="Y26222" s="63"/>
    </row>
    <row r="26223" spans="25:25" x14ac:dyDescent="0.25">
      <c r="Y26223" s="63"/>
    </row>
    <row r="26224" spans="25:25" x14ac:dyDescent="0.25">
      <c r="Y26224" s="63"/>
    </row>
    <row r="26225" spans="25:25" x14ac:dyDescent="0.25">
      <c r="Y26225" s="63"/>
    </row>
    <row r="26226" spans="25:25" x14ac:dyDescent="0.25">
      <c r="Y26226" s="63"/>
    </row>
    <row r="26227" spans="25:25" x14ac:dyDescent="0.25">
      <c r="Y26227" s="63"/>
    </row>
    <row r="26228" spans="25:25" x14ac:dyDescent="0.25">
      <c r="Y26228" s="63"/>
    </row>
    <row r="26229" spans="25:25" x14ac:dyDescent="0.25">
      <c r="Y26229" s="63"/>
    </row>
    <row r="26230" spans="25:25" x14ac:dyDescent="0.25">
      <c r="Y26230" s="63"/>
    </row>
    <row r="26231" spans="25:25" x14ac:dyDescent="0.25">
      <c r="Y26231" s="63"/>
    </row>
    <row r="26232" spans="25:25" x14ac:dyDescent="0.25">
      <c r="Y26232" s="63"/>
    </row>
    <row r="26233" spans="25:25" x14ac:dyDescent="0.25">
      <c r="Y26233" s="63"/>
    </row>
    <row r="26234" spans="25:25" x14ac:dyDescent="0.25">
      <c r="Y26234" s="63"/>
    </row>
    <row r="26235" spans="25:25" x14ac:dyDescent="0.25">
      <c r="Y26235" s="63"/>
    </row>
    <row r="26236" spans="25:25" x14ac:dyDescent="0.25">
      <c r="Y26236" s="63"/>
    </row>
    <row r="26237" spans="25:25" x14ac:dyDescent="0.25">
      <c r="Y26237" s="63"/>
    </row>
    <row r="26238" spans="25:25" x14ac:dyDescent="0.25">
      <c r="Y26238" s="63"/>
    </row>
    <row r="26239" spans="25:25" x14ac:dyDescent="0.25">
      <c r="Y26239" s="63"/>
    </row>
    <row r="26240" spans="25:25" x14ac:dyDescent="0.25">
      <c r="Y26240" s="63"/>
    </row>
    <row r="26241" spans="25:25" x14ac:dyDescent="0.25">
      <c r="Y26241" s="63"/>
    </row>
    <row r="26242" spans="25:25" x14ac:dyDescent="0.25">
      <c r="Y26242" s="63"/>
    </row>
    <row r="26243" spans="25:25" x14ac:dyDescent="0.25">
      <c r="Y26243" s="63"/>
    </row>
    <row r="26244" spans="25:25" x14ac:dyDescent="0.25">
      <c r="Y26244" s="63"/>
    </row>
    <row r="26245" spans="25:25" x14ac:dyDescent="0.25">
      <c r="Y26245" s="63"/>
    </row>
    <row r="26246" spans="25:25" x14ac:dyDescent="0.25">
      <c r="Y26246" s="63"/>
    </row>
    <row r="26247" spans="25:25" x14ac:dyDescent="0.25">
      <c r="Y26247" s="63"/>
    </row>
    <row r="26248" spans="25:25" x14ac:dyDescent="0.25">
      <c r="Y26248" s="63"/>
    </row>
    <row r="26249" spans="25:25" x14ac:dyDescent="0.25">
      <c r="Y26249" s="63"/>
    </row>
    <row r="26250" spans="25:25" x14ac:dyDescent="0.25">
      <c r="Y26250" s="63"/>
    </row>
    <row r="26251" spans="25:25" x14ac:dyDescent="0.25">
      <c r="Y26251" s="63"/>
    </row>
    <row r="26252" spans="25:25" x14ac:dyDescent="0.25">
      <c r="Y26252" s="63"/>
    </row>
    <row r="26253" spans="25:25" x14ac:dyDescent="0.25">
      <c r="Y26253" s="63"/>
    </row>
    <row r="26254" spans="25:25" x14ac:dyDescent="0.25">
      <c r="Y26254" s="63"/>
    </row>
    <row r="26255" spans="25:25" x14ac:dyDescent="0.25">
      <c r="Y26255" s="63"/>
    </row>
    <row r="26256" spans="25:25" x14ac:dyDescent="0.25">
      <c r="Y26256" s="63"/>
    </row>
    <row r="26257" spans="25:25" x14ac:dyDescent="0.25">
      <c r="Y26257" s="63"/>
    </row>
    <row r="26258" spans="25:25" x14ac:dyDescent="0.25">
      <c r="Y26258" s="63"/>
    </row>
    <row r="26259" spans="25:25" x14ac:dyDescent="0.25">
      <c r="Y26259" s="63"/>
    </row>
    <row r="26260" spans="25:25" x14ac:dyDescent="0.25">
      <c r="Y26260" s="63"/>
    </row>
    <row r="26261" spans="25:25" x14ac:dyDescent="0.25">
      <c r="Y26261" s="63"/>
    </row>
    <row r="26262" spans="25:25" x14ac:dyDescent="0.25">
      <c r="Y26262" s="63"/>
    </row>
    <row r="26263" spans="25:25" x14ac:dyDescent="0.25">
      <c r="Y26263" s="63"/>
    </row>
    <row r="26264" spans="25:25" x14ac:dyDescent="0.25">
      <c r="Y26264" s="63"/>
    </row>
    <row r="26265" spans="25:25" x14ac:dyDescent="0.25">
      <c r="Y26265" s="63"/>
    </row>
    <row r="26266" spans="25:25" x14ac:dyDescent="0.25">
      <c r="Y26266" s="63"/>
    </row>
    <row r="26267" spans="25:25" x14ac:dyDescent="0.25">
      <c r="Y26267" s="63"/>
    </row>
    <row r="26268" spans="25:25" x14ac:dyDescent="0.25">
      <c r="Y26268" s="63"/>
    </row>
    <row r="26269" spans="25:25" x14ac:dyDescent="0.25">
      <c r="Y26269" s="63"/>
    </row>
    <row r="26270" spans="25:25" x14ac:dyDescent="0.25">
      <c r="Y26270" s="63"/>
    </row>
    <row r="26271" spans="25:25" x14ac:dyDescent="0.25">
      <c r="Y26271" s="63"/>
    </row>
    <row r="26272" spans="25:25" x14ac:dyDescent="0.25">
      <c r="Y26272" s="63"/>
    </row>
    <row r="26273" spans="25:25" x14ac:dyDescent="0.25">
      <c r="Y26273" s="63"/>
    </row>
    <row r="26274" spans="25:25" x14ac:dyDescent="0.25">
      <c r="Y26274" s="63"/>
    </row>
    <row r="26275" spans="25:25" x14ac:dyDescent="0.25">
      <c r="Y26275" s="63"/>
    </row>
    <row r="26276" spans="25:25" x14ac:dyDescent="0.25">
      <c r="Y26276" s="63"/>
    </row>
    <row r="26277" spans="25:25" x14ac:dyDescent="0.25">
      <c r="Y26277" s="63"/>
    </row>
    <row r="26278" spans="25:25" x14ac:dyDescent="0.25">
      <c r="Y26278" s="63"/>
    </row>
    <row r="26279" spans="25:25" x14ac:dyDescent="0.25">
      <c r="Y26279" s="63"/>
    </row>
    <row r="26280" spans="25:25" x14ac:dyDescent="0.25">
      <c r="Y26280" s="63"/>
    </row>
    <row r="26281" spans="25:25" x14ac:dyDescent="0.25">
      <c r="Y26281" s="63"/>
    </row>
    <row r="26282" spans="25:25" x14ac:dyDescent="0.25">
      <c r="Y26282" s="63"/>
    </row>
    <row r="26283" spans="25:25" x14ac:dyDescent="0.25">
      <c r="Y26283" s="63"/>
    </row>
    <row r="26284" spans="25:25" x14ac:dyDescent="0.25">
      <c r="Y26284" s="63"/>
    </row>
    <row r="26285" spans="25:25" x14ac:dyDescent="0.25">
      <c r="Y26285" s="63"/>
    </row>
    <row r="26286" spans="25:25" x14ac:dyDescent="0.25">
      <c r="Y26286" s="63"/>
    </row>
    <row r="26287" spans="25:25" x14ac:dyDescent="0.25">
      <c r="Y26287" s="63"/>
    </row>
    <row r="26288" spans="25:25" x14ac:dyDescent="0.25">
      <c r="Y26288" s="63"/>
    </row>
    <row r="26289" spans="25:25" x14ac:dyDescent="0.25">
      <c r="Y26289" s="63"/>
    </row>
    <row r="26290" spans="25:25" x14ac:dyDescent="0.25">
      <c r="Y26290" s="63"/>
    </row>
    <row r="26291" spans="25:25" x14ac:dyDescent="0.25">
      <c r="Y26291" s="63"/>
    </row>
    <row r="26292" spans="25:25" x14ac:dyDescent="0.25">
      <c r="Y26292" s="63"/>
    </row>
    <row r="26293" spans="25:25" x14ac:dyDescent="0.25">
      <c r="Y26293" s="63"/>
    </row>
    <row r="26294" spans="25:25" x14ac:dyDescent="0.25">
      <c r="Y26294" s="63"/>
    </row>
    <row r="26295" spans="25:25" x14ac:dyDescent="0.25">
      <c r="Y26295" s="63"/>
    </row>
    <row r="26296" spans="25:25" x14ac:dyDescent="0.25">
      <c r="Y26296" s="63"/>
    </row>
    <row r="26297" spans="25:25" x14ac:dyDescent="0.25">
      <c r="Y26297" s="63"/>
    </row>
    <row r="26298" spans="25:25" x14ac:dyDescent="0.25">
      <c r="Y26298" s="63"/>
    </row>
    <row r="26299" spans="25:25" x14ac:dyDescent="0.25">
      <c r="Y26299" s="63"/>
    </row>
    <row r="26300" spans="25:25" x14ac:dyDescent="0.25">
      <c r="Y26300" s="63"/>
    </row>
    <row r="26301" spans="25:25" x14ac:dyDescent="0.25">
      <c r="Y26301" s="63"/>
    </row>
    <row r="26302" spans="25:25" x14ac:dyDescent="0.25">
      <c r="Y26302" s="63"/>
    </row>
    <row r="26303" spans="25:25" x14ac:dyDescent="0.25">
      <c r="Y26303" s="63"/>
    </row>
    <row r="26304" spans="25:25" x14ac:dyDescent="0.25">
      <c r="Y26304" s="63"/>
    </row>
    <row r="26305" spans="25:25" x14ac:dyDescent="0.25">
      <c r="Y26305" s="63"/>
    </row>
    <row r="26306" spans="25:25" x14ac:dyDescent="0.25">
      <c r="Y26306" s="63"/>
    </row>
    <row r="26307" spans="25:25" x14ac:dyDescent="0.25">
      <c r="Y26307" s="63"/>
    </row>
    <row r="26308" spans="25:25" x14ac:dyDescent="0.25">
      <c r="Y26308" s="63"/>
    </row>
    <row r="26309" spans="25:25" x14ac:dyDescent="0.25">
      <c r="Y26309" s="63"/>
    </row>
    <row r="26310" spans="25:25" x14ac:dyDescent="0.25">
      <c r="Y26310" s="63"/>
    </row>
    <row r="26311" spans="25:25" x14ac:dyDescent="0.25">
      <c r="Y26311" s="63"/>
    </row>
    <row r="26312" spans="25:25" x14ac:dyDescent="0.25">
      <c r="Y26312" s="63"/>
    </row>
    <row r="26313" spans="25:25" x14ac:dyDescent="0.25">
      <c r="Y26313" s="63"/>
    </row>
    <row r="26314" spans="25:25" x14ac:dyDescent="0.25">
      <c r="Y26314" s="63"/>
    </row>
    <row r="26315" spans="25:25" x14ac:dyDescent="0.25">
      <c r="Y26315" s="63"/>
    </row>
    <row r="26316" spans="25:25" x14ac:dyDescent="0.25">
      <c r="Y26316" s="63"/>
    </row>
    <row r="26317" spans="25:25" x14ac:dyDescent="0.25">
      <c r="Y26317" s="63"/>
    </row>
    <row r="26318" spans="25:25" x14ac:dyDescent="0.25">
      <c r="Y26318" s="63"/>
    </row>
    <row r="26319" spans="25:25" x14ac:dyDescent="0.25">
      <c r="Y26319" s="63"/>
    </row>
    <row r="26320" spans="25:25" x14ac:dyDescent="0.25">
      <c r="Y26320" s="63"/>
    </row>
    <row r="26321" spans="25:25" x14ac:dyDescent="0.25">
      <c r="Y26321" s="63"/>
    </row>
    <row r="26322" spans="25:25" x14ac:dyDescent="0.25">
      <c r="Y26322" s="63"/>
    </row>
    <row r="26323" spans="25:25" x14ac:dyDescent="0.25">
      <c r="Y26323" s="63"/>
    </row>
    <row r="26324" spans="25:25" x14ac:dyDescent="0.25">
      <c r="Y26324" s="63"/>
    </row>
    <row r="26325" spans="25:25" x14ac:dyDescent="0.25">
      <c r="Y26325" s="63"/>
    </row>
    <row r="26326" spans="25:25" x14ac:dyDescent="0.25">
      <c r="Y26326" s="63"/>
    </row>
    <row r="26327" spans="25:25" x14ac:dyDescent="0.25">
      <c r="Y26327" s="63"/>
    </row>
    <row r="26328" spans="25:25" x14ac:dyDescent="0.25">
      <c r="Y26328" s="63"/>
    </row>
    <row r="26329" spans="25:25" x14ac:dyDescent="0.25">
      <c r="Y26329" s="63"/>
    </row>
    <row r="26330" spans="25:25" x14ac:dyDescent="0.25">
      <c r="Y26330" s="63"/>
    </row>
    <row r="26331" spans="25:25" x14ac:dyDescent="0.25">
      <c r="Y26331" s="63"/>
    </row>
    <row r="26332" spans="25:25" x14ac:dyDescent="0.25">
      <c r="Y26332" s="63"/>
    </row>
    <row r="26333" spans="25:25" x14ac:dyDescent="0.25">
      <c r="Y26333" s="63"/>
    </row>
    <row r="26334" spans="25:25" x14ac:dyDescent="0.25">
      <c r="Y26334" s="63"/>
    </row>
    <row r="26335" spans="25:25" x14ac:dyDescent="0.25">
      <c r="Y26335" s="63"/>
    </row>
    <row r="26336" spans="25:25" x14ac:dyDescent="0.25">
      <c r="Y26336" s="63"/>
    </row>
    <row r="26337" spans="25:25" x14ac:dyDescent="0.25">
      <c r="Y26337" s="63"/>
    </row>
    <row r="26338" spans="25:25" x14ac:dyDescent="0.25">
      <c r="Y26338" s="63"/>
    </row>
    <row r="26339" spans="25:25" x14ac:dyDescent="0.25">
      <c r="Y26339" s="63"/>
    </row>
    <row r="26340" spans="25:25" x14ac:dyDescent="0.25">
      <c r="Y26340" s="63"/>
    </row>
    <row r="26341" spans="25:25" x14ac:dyDescent="0.25">
      <c r="Y26341" s="63"/>
    </row>
    <row r="26342" spans="25:25" x14ac:dyDescent="0.25">
      <c r="Y26342" s="63"/>
    </row>
    <row r="26343" spans="25:25" x14ac:dyDescent="0.25">
      <c r="Y26343" s="63"/>
    </row>
    <row r="26344" spans="25:25" x14ac:dyDescent="0.25">
      <c r="Y26344" s="63"/>
    </row>
    <row r="26345" spans="25:25" x14ac:dyDescent="0.25">
      <c r="Y26345" s="63"/>
    </row>
    <row r="26346" spans="25:25" x14ac:dyDescent="0.25">
      <c r="Y26346" s="63"/>
    </row>
    <row r="26347" spans="25:25" x14ac:dyDescent="0.25">
      <c r="Y26347" s="63"/>
    </row>
    <row r="26348" spans="25:25" x14ac:dyDescent="0.25">
      <c r="Y26348" s="63"/>
    </row>
    <row r="26349" spans="25:25" x14ac:dyDescent="0.25">
      <c r="Y26349" s="63"/>
    </row>
    <row r="26350" spans="25:25" x14ac:dyDescent="0.25">
      <c r="Y26350" s="63"/>
    </row>
    <row r="26351" spans="25:25" x14ac:dyDescent="0.25">
      <c r="Y26351" s="63"/>
    </row>
    <row r="26352" spans="25:25" x14ac:dyDescent="0.25">
      <c r="Y26352" s="63"/>
    </row>
    <row r="26353" spans="25:25" x14ac:dyDescent="0.25">
      <c r="Y26353" s="63"/>
    </row>
    <row r="26354" spans="25:25" x14ac:dyDescent="0.25">
      <c r="Y26354" s="63"/>
    </row>
    <row r="26355" spans="25:25" x14ac:dyDescent="0.25">
      <c r="Y26355" s="63"/>
    </row>
    <row r="26356" spans="25:25" x14ac:dyDescent="0.25">
      <c r="Y26356" s="63"/>
    </row>
    <row r="26357" spans="25:25" x14ac:dyDescent="0.25">
      <c r="Y26357" s="63"/>
    </row>
    <row r="26358" spans="25:25" x14ac:dyDescent="0.25">
      <c r="Y26358" s="63"/>
    </row>
    <row r="26359" spans="25:25" x14ac:dyDescent="0.25">
      <c r="Y26359" s="63"/>
    </row>
    <row r="26360" spans="25:25" x14ac:dyDescent="0.25">
      <c r="Y26360" s="63"/>
    </row>
    <row r="26361" spans="25:25" x14ac:dyDescent="0.25">
      <c r="Y26361" s="63"/>
    </row>
    <row r="26362" spans="25:25" x14ac:dyDescent="0.25">
      <c r="Y26362" s="63"/>
    </row>
    <row r="26363" spans="25:25" x14ac:dyDescent="0.25">
      <c r="Y26363" s="63"/>
    </row>
    <row r="26364" spans="25:25" x14ac:dyDescent="0.25">
      <c r="Y26364" s="63"/>
    </row>
    <row r="26365" spans="25:25" x14ac:dyDescent="0.25">
      <c r="Y26365" s="63"/>
    </row>
    <row r="26366" spans="25:25" x14ac:dyDescent="0.25">
      <c r="Y26366" s="63"/>
    </row>
    <row r="26367" spans="25:25" x14ac:dyDescent="0.25">
      <c r="Y26367" s="63"/>
    </row>
    <row r="26368" spans="25:25" x14ac:dyDescent="0.25">
      <c r="Y26368" s="63"/>
    </row>
    <row r="26369" spans="25:25" x14ac:dyDescent="0.25">
      <c r="Y26369" s="63"/>
    </row>
    <row r="26370" spans="25:25" x14ac:dyDescent="0.25">
      <c r="Y26370" s="63"/>
    </row>
    <row r="26371" spans="25:25" x14ac:dyDescent="0.25">
      <c r="Y26371" s="63"/>
    </row>
    <row r="26372" spans="25:25" x14ac:dyDescent="0.25">
      <c r="Y26372" s="63"/>
    </row>
    <row r="26373" spans="25:25" x14ac:dyDescent="0.25">
      <c r="Y26373" s="63"/>
    </row>
    <row r="26374" spans="25:25" x14ac:dyDescent="0.25">
      <c r="Y26374" s="63"/>
    </row>
    <row r="26375" spans="25:25" x14ac:dyDescent="0.25">
      <c r="Y26375" s="63"/>
    </row>
    <row r="26376" spans="25:25" x14ac:dyDescent="0.25">
      <c r="Y26376" s="63"/>
    </row>
    <row r="26377" spans="25:25" x14ac:dyDescent="0.25">
      <c r="Y26377" s="63"/>
    </row>
    <row r="26378" spans="25:25" x14ac:dyDescent="0.25">
      <c r="Y26378" s="63"/>
    </row>
    <row r="26379" spans="25:25" x14ac:dyDescent="0.25">
      <c r="Y26379" s="63"/>
    </row>
    <row r="26380" spans="25:25" x14ac:dyDescent="0.25">
      <c r="Y26380" s="63"/>
    </row>
    <row r="26381" spans="25:25" x14ac:dyDescent="0.25">
      <c r="Y26381" s="63"/>
    </row>
    <row r="26382" spans="25:25" x14ac:dyDescent="0.25">
      <c r="Y26382" s="63"/>
    </row>
    <row r="26383" spans="25:25" x14ac:dyDescent="0.25">
      <c r="Y26383" s="63"/>
    </row>
    <row r="26384" spans="25:25" x14ac:dyDescent="0.25">
      <c r="Y26384" s="63"/>
    </row>
    <row r="26385" spans="25:25" x14ac:dyDescent="0.25">
      <c r="Y26385" s="63"/>
    </row>
    <row r="26386" spans="25:25" x14ac:dyDescent="0.25">
      <c r="Y26386" s="63"/>
    </row>
    <row r="26387" spans="25:25" x14ac:dyDescent="0.25">
      <c r="Y26387" s="63"/>
    </row>
    <row r="26388" spans="25:25" x14ac:dyDescent="0.25">
      <c r="Y26388" s="63"/>
    </row>
    <row r="26389" spans="25:25" x14ac:dyDescent="0.25">
      <c r="Y26389" s="63"/>
    </row>
    <row r="26390" spans="25:25" x14ac:dyDescent="0.25">
      <c r="Y26390" s="63"/>
    </row>
    <row r="26391" spans="25:25" x14ac:dyDescent="0.25">
      <c r="Y26391" s="63"/>
    </row>
    <row r="26392" spans="25:25" x14ac:dyDescent="0.25">
      <c r="Y26392" s="63"/>
    </row>
    <row r="26393" spans="25:25" x14ac:dyDescent="0.25">
      <c r="Y26393" s="63"/>
    </row>
    <row r="26394" spans="25:25" x14ac:dyDescent="0.25">
      <c r="Y26394" s="63"/>
    </row>
    <row r="26395" spans="25:25" x14ac:dyDescent="0.25">
      <c r="Y26395" s="63"/>
    </row>
    <row r="26396" spans="25:25" x14ac:dyDescent="0.25">
      <c r="Y26396" s="63"/>
    </row>
    <row r="26397" spans="25:25" x14ac:dyDescent="0.25">
      <c r="Y26397" s="63"/>
    </row>
    <row r="26398" spans="25:25" x14ac:dyDescent="0.25">
      <c r="Y26398" s="63"/>
    </row>
    <row r="26399" spans="25:25" x14ac:dyDescent="0.25">
      <c r="Y26399" s="63"/>
    </row>
    <row r="26400" spans="25:25" x14ac:dyDescent="0.25">
      <c r="Y26400" s="63"/>
    </row>
    <row r="26401" spans="25:25" x14ac:dyDescent="0.25">
      <c r="Y26401" s="63"/>
    </row>
    <row r="26402" spans="25:25" x14ac:dyDescent="0.25">
      <c r="Y26402" s="63"/>
    </row>
    <row r="26403" spans="25:25" x14ac:dyDescent="0.25">
      <c r="Y26403" s="63"/>
    </row>
    <row r="26404" spans="25:25" x14ac:dyDescent="0.25">
      <c r="Y26404" s="63"/>
    </row>
    <row r="26405" spans="25:25" x14ac:dyDescent="0.25">
      <c r="Y26405" s="63"/>
    </row>
    <row r="26406" spans="25:25" x14ac:dyDescent="0.25">
      <c r="Y26406" s="63"/>
    </row>
    <row r="26407" spans="25:25" x14ac:dyDescent="0.25">
      <c r="Y26407" s="63"/>
    </row>
    <row r="26408" spans="25:25" x14ac:dyDescent="0.25">
      <c r="Y26408" s="63"/>
    </row>
    <row r="26409" spans="25:25" x14ac:dyDescent="0.25">
      <c r="Y26409" s="63"/>
    </row>
    <row r="26410" spans="25:25" x14ac:dyDescent="0.25">
      <c r="Y26410" s="63"/>
    </row>
    <row r="26411" spans="25:25" x14ac:dyDescent="0.25">
      <c r="Y26411" s="63"/>
    </row>
    <row r="26412" spans="25:25" x14ac:dyDescent="0.25">
      <c r="Y26412" s="63"/>
    </row>
    <row r="26413" spans="25:25" x14ac:dyDescent="0.25">
      <c r="Y26413" s="63"/>
    </row>
    <row r="26414" spans="25:25" x14ac:dyDescent="0.25">
      <c r="Y26414" s="63"/>
    </row>
    <row r="26415" spans="25:25" x14ac:dyDescent="0.25">
      <c r="Y26415" s="63"/>
    </row>
    <row r="26416" spans="25:25" x14ac:dyDescent="0.25">
      <c r="Y26416" s="63"/>
    </row>
    <row r="26417" spans="25:25" x14ac:dyDescent="0.25">
      <c r="Y26417" s="63"/>
    </row>
    <row r="26418" spans="25:25" x14ac:dyDescent="0.25">
      <c r="Y26418" s="63"/>
    </row>
    <row r="26419" spans="25:25" x14ac:dyDescent="0.25">
      <c r="Y26419" s="63"/>
    </row>
    <row r="26420" spans="25:25" x14ac:dyDescent="0.25">
      <c r="Y26420" s="63"/>
    </row>
    <row r="26421" spans="25:25" x14ac:dyDescent="0.25">
      <c r="Y26421" s="63"/>
    </row>
    <row r="26422" spans="25:25" x14ac:dyDescent="0.25">
      <c r="Y26422" s="63"/>
    </row>
    <row r="26423" spans="25:25" x14ac:dyDescent="0.25">
      <c r="Y26423" s="63"/>
    </row>
    <row r="26424" spans="25:25" x14ac:dyDescent="0.25">
      <c r="Y26424" s="63"/>
    </row>
    <row r="26425" spans="25:25" x14ac:dyDescent="0.25">
      <c r="Y26425" s="63"/>
    </row>
    <row r="26426" spans="25:25" x14ac:dyDescent="0.25">
      <c r="Y26426" s="63"/>
    </row>
    <row r="26427" spans="25:25" x14ac:dyDescent="0.25">
      <c r="Y26427" s="63"/>
    </row>
    <row r="26428" spans="25:25" x14ac:dyDescent="0.25">
      <c r="Y26428" s="63"/>
    </row>
    <row r="26429" spans="25:25" x14ac:dyDescent="0.25">
      <c r="Y26429" s="63"/>
    </row>
    <row r="26430" spans="25:25" x14ac:dyDescent="0.25">
      <c r="Y26430" s="63"/>
    </row>
    <row r="26431" spans="25:25" x14ac:dyDescent="0.25">
      <c r="Y26431" s="63"/>
    </row>
    <row r="26432" spans="25:25" x14ac:dyDescent="0.25">
      <c r="Y26432" s="63"/>
    </row>
    <row r="26433" spans="25:25" x14ac:dyDescent="0.25">
      <c r="Y26433" s="63"/>
    </row>
    <row r="26434" spans="25:25" x14ac:dyDescent="0.25">
      <c r="Y26434" s="63"/>
    </row>
    <row r="26435" spans="25:25" x14ac:dyDescent="0.25">
      <c r="Y26435" s="63"/>
    </row>
    <row r="26436" spans="25:25" x14ac:dyDescent="0.25">
      <c r="Y26436" s="63"/>
    </row>
    <row r="26437" spans="25:25" x14ac:dyDescent="0.25">
      <c r="Y26437" s="63"/>
    </row>
    <row r="26438" spans="25:25" x14ac:dyDescent="0.25">
      <c r="Y26438" s="63"/>
    </row>
    <row r="26439" spans="25:25" x14ac:dyDescent="0.25">
      <c r="Y26439" s="63"/>
    </row>
    <row r="26440" spans="25:25" x14ac:dyDescent="0.25">
      <c r="Y26440" s="63"/>
    </row>
    <row r="26441" spans="25:25" x14ac:dyDescent="0.25">
      <c r="Y26441" s="63"/>
    </row>
    <row r="26442" spans="25:25" x14ac:dyDescent="0.25">
      <c r="Y26442" s="63"/>
    </row>
    <row r="26443" spans="25:25" x14ac:dyDescent="0.25">
      <c r="Y26443" s="63"/>
    </row>
    <row r="26444" spans="25:25" x14ac:dyDescent="0.25">
      <c r="Y26444" s="63"/>
    </row>
    <row r="26445" spans="25:25" x14ac:dyDescent="0.25">
      <c r="Y26445" s="63"/>
    </row>
    <row r="26446" spans="25:25" x14ac:dyDescent="0.25">
      <c r="Y26446" s="63"/>
    </row>
    <row r="26447" spans="25:25" x14ac:dyDescent="0.25">
      <c r="Y26447" s="63"/>
    </row>
    <row r="26448" spans="25:25" x14ac:dyDescent="0.25">
      <c r="Y26448" s="63"/>
    </row>
    <row r="26449" spans="25:25" x14ac:dyDescent="0.25">
      <c r="Y26449" s="63"/>
    </row>
    <row r="26450" spans="25:25" x14ac:dyDescent="0.25">
      <c r="Y26450" s="63"/>
    </row>
    <row r="26451" spans="25:25" x14ac:dyDescent="0.25">
      <c r="Y26451" s="63"/>
    </row>
    <row r="26452" spans="25:25" x14ac:dyDescent="0.25">
      <c r="Y26452" s="63"/>
    </row>
    <row r="26453" spans="25:25" x14ac:dyDescent="0.25">
      <c r="Y26453" s="63"/>
    </row>
    <row r="26454" spans="25:25" x14ac:dyDescent="0.25">
      <c r="Y26454" s="63"/>
    </row>
    <row r="26455" spans="25:25" x14ac:dyDescent="0.25">
      <c r="Y26455" s="63"/>
    </row>
    <row r="26456" spans="25:25" x14ac:dyDescent="0.25">
      <c r="Y26456" s="63"/>
    </row>
    <row r="26457" spans="25:25" x14ac:dyDescent="0.25">
      <c r="Y26457" s="63"/>
    </row>
    <row r="26458" spans="25:25" x14ac:dyDescent="0.25">
      <c r="Y26458" s="63"/>
    </row>
    <row r="26459" spans="25:25" x14ac:dyDescent="0.25">
      <c r="Y26459" s="63"/>
    </row>
    <row r="26460" spans="25:25" x14ac:dyDescent="0.25">
      <c r="Y26460" s="63"/>
    </row>
    <row r="26461" spans="25:25" x14ac:dyDescent="0.25">
      <c r="Y26461" s="63"/>
    </row>
    <row r="26462" spans="25:25" x14ac:dyDescent="0.25">
      <c r="Y26462" s="63"/>
    </row>
    <row r="26463" spans="25:25" x14ac:dyDescent="0.25">
      <c r="Y26463" s="63"/>
    </row>
    <row r="26464" spans="25:25" x14ac:dyDescent="0.25">
      <c r="Y26464" s="63"/>
    </row>
    <row r="26465" spans="25:25" x14ac:dyDescent="0.25">
      <c r="Y26465" s="63"/>
    </row>
    <row r="26466" spans="25:25" x14ac:dyDescent="0.25">
      <c r="Y26466" s="63"/>
    </row>
    <row r="26467" spans="25:25" x14ac:dyDescent="0.25">
      <c r="Y26467" s="63"/>
    </row>
    <row r="26468" spans="25:25" x14ac:dyDescent="0.25">
      <c r="Y26468" s="63"/>
    </row>
    <row r="26469" spans="25:25" x14ac:dyDescent="0.25">
      <c r="Y26469" s="63"/>
    </row>
    <row r="26470" spans="25:25" x14ac:dyDescent="0.25">
      <c r="Y26470" s="63"/>
    </row>
    <row r="26471" spans="25:25" x14ac:dyDescent="0.25">
      <c r="Y26471" s="63"/>
    </row>
    <row r="26472" spans="25:25" x14ac:dyDescent="0.25">
      <c r="Y26472" s="63"/>
    </row>
    <row r="26473" spans="25:25" x14ac:dyDescent="0.25">
      <c r="Y26473" s="63"/>
    </row>
    <row r="26474" spans="25:25" x14ac:dyDescent="0.25">
      <c r="Y26474" s="63"/>
    </row>
    <row r="26475" spans="25:25" x14ac:dyDescent="0.25">
      <c r="Y26475" s="63"/>
    </row>
    <row r="26476" spans="25:25" x14ac:dyDescent="0.25">
      <c r="Y26476" s="63"/>
    </row>
    <row r="26477" spans="25:25" x14ac:dyDescent="0.25">
      <c r="Y26477" s="63"/>
    </row>
    <row r="26478" spans="25:25" x14ac:dyDescent="0.25">
      <c r="Y26478" s="63"/>
    </row>
    <row r="26479" spans="25:25" x14ac:dyDescent="0.25">
      <c r="Y26479" s="63"/>
    </row>
    <row r="26480" spans="25:25" x14ac:dyDescent="0.25">
      <c r="Y26480" s="63"/>
    </row>
    <row r="26481" spans="25:25" x14ac:dyDescent="0.25">
      <c r="Y26481" s="63"/>
    </row>
    <row r="26482" spans="25:25" x14ac:dyDescent="0.25">
      <c r="Y26482" s="63"/>
    </row>
    <row r="26483" spans="25:25" x14ac:dyDescent="0.25">
      <c r="Y26483" s="63"/>
    </row>
    <row r="26484" spans="25:25" x14ac:dyDescent="0.25">
      <c r="Y26484" s="63"/>
    </row>
    <row r="26485" spans="25:25" x14ac:dyDescent="0.25">
      <c r="Y26485" s="63"/>
    </row>
    <row r="26486" spans="25:25" x14ac:dyDescent="0.25">
      <c r="Y26486" s="63"/>
    </row>
    <row r="26487" spans="25:25" x14ac:dyDescent="0.25">
      <c r="Y26487" s="63"/>
    </row>
    <row r="26488" spans="25:25" x14ac:dyDescent="0.25">
      <c r="Y26488" s="63"/>
    </row>
    <row r="26489" spans="25:25" x14ac:dyDescent="0.25">
      <c r="Y26489" s="63"/>
    </row>
    <row r="26490" spans="25:25" x14ac:dyDescent="0.25">
      <c r="Y26490" s="63"/>
    </row>
    <row r="26491" spans="25:25" x14ac:dyDescent="0.25">
      <c r="Y26491" s="63"/>
    </row>
    <row r="26492" spans="25:25" x14ac:dyDescent="0.25">
      <c r="Y26492" s="63"/>
    </row>
    <row r="26493" spans="25:25" x14ac:dyDescent="0.25">
      <c r="Y26493" s="63"/>
    </row>
    <row r="26494" spans="25:25" x14ac:dyDescent="0.25">
      <c r="Y26494" s="63"/>
    </row>
    <row r="26495" spans="25:25" x14ac:dyDescent="0.25">
      <c r="Y26495" s="63"/>
    </row>
    <row r="26496" spans="25:25" x14ac:dyDescent="0.25">
      <c r="Y26496" s="63"/>
    </row>
    <row r="26497" spans="25:25" x14ac:dyDescent="0.25">
      <c r="Y26497" s="63"/>
    </row>
    <row r="26498" spans="25:25" x14ac:dyDescent="0.25">
      <c r="Y26498" s="63"/>
    </row>
    <row r="26499" spans="25:25" x14ac:dyDescent="0.25">
      <c r="Y26499" s="63"/>
    </row>
    <row r="26500" spans="25:25" x14ac:dyDescent="0.25">
      <c r="Y26500" s="63"/>
    </row>
    <row r="26501" spans="25:25" x14ac:dyDescent="0.25">
      <c r="Y26501" s="63"/>
    </row>
    <row r="26502" spans="25:25" x14ac:dyDescent="0.25">
      <c r="Y26502" s="63"/>
    </row>
    <row r="26503" spans="25:25" x14ac:dyDescent="0.25">
      <c r="Y26503" s="63"/>
    </row>
    <row r="26504" spans="25:25" x14ac:dyDescent="0.25">
      <c r="Y26504" s="63"/>
    </row>
    <row r="26505" spans="25:25" x14ac:dyDescent="0.25">
      <c r="Y26505" s="63"/>
    </row>
    <row r="26506" spans="25:25" x14ac:dyDescent="0.25">
      <c r="Y26506" s="63"/>
    </row>
    <row r="26507" spans="25:25" x14ac:dyDescent="0.25">
      <c r="Y26507" s="63"/>
    </row>
    <row r="26508" spans="25:25" x14ac:dyDescent="0.25">
      <c r="Y26508" s="63"/>
    </row>
    <row r="26509" spans="25:25" x14ac:dyDescent="0.25">
      <c r="Y26509" s="63"/>
    </row>
    <row r="26510" spans="25:25" x14ac:dyDescent="0.25">
      <c r="Y26510" s="63"/>
    </row>
    <row r="26511" spans="25:25" x14ac:dyDescent="0.25">
      <c r="Y26511" s="63"/>
    </row>
    <row r="26512" spans="25:25" x14ac:dyDescent="0.25">
      <c r="Y26512" s="63"/>
    </row>
    <row r="26513" spans="25:25" x14ac:dyDescent="0.25">
      <c r="Y26513" s="63"/>
    </row>
    <row r="26514" spans="25:25" x14ac:dyDescent="0.25">
      <c r="Y26514" s="63"/>
    </row>
    <row r="26515" spans="25:25" x14ac:dyDescent="0.25">
      <c r="Y26515" s="63"/>
    </row>
    <row r="26516" spans="25:25" x14ac:dyDescent="0.25">
      <c r="Y26516" s="63"/>
    </row>
    <row r="26517" spans="25:25" x14ac:dyDescent="0.25">
      <c r="Y26517" s="63"/>
    </row>
    <row r="26518" spans="25:25" x14ac:dyDescent="0.25">
      <c r="Y26518" s="63"/>
    </row>
    <row r="26519" spans="25:25" x14ac:dyDescent="0.25">
      <c r="Y26519" s="63"/>
    </row>
    <row r="26520" spans="25:25" x14ac:dyDescent="0.25">
      <c r="Y26520" s="63"/>
    </row>
    <row r="26521" spans="25:25" x14ac:dyDescent="0.25">
      <c r="Y26521" s="63"/>
    </row>
    <row r="26522" spans="25:25" x14ac:dyDescent="0.25">
      <c r="Y26522" s="63"/>
    </row>
    <row r="26523" spans="25:25" x14ac:dyDescent="0.25">
      <c r="Y26523" s="63"/>
    </row>
    <row r="26524" spans="25:25" x14ac:dyDescent="0.25">
      <c r="Y26524" s="63"/>
    </row>
    <row r="26525" spans="25:25" x14ac:dyDescent="0.25">
      <c r="Y26525" s="63"/>
    </row>
    <row r="26526" spans="25:25" x14ac:dyDescent="0.25">
      <c r="Y26526" s="63"/>
    </row>
    <row r="26527" spans="25:25" x14ac:dyDescent="0.25">
      <c r="Y26527" s="63"/>
    </row>
    <row r="26528" spans="25:25" x14ac:dyDescent="0.25">
      <c r="Y26528" s="63"/>
    </row>
    <row r="26529" spans="25:25" x14ac:dyDescent="0.25">
      <c r="Y26529" s="63"/>
    </row>
    <row r="26530" spans="25:25" x14ac:dyDescent="0.25">
      <c r="Y26530" s="63"/>
    </row>
    <row r="26531" spans="25:25" x14ac:dyDescent="0.25">
      <c r="Y26531" s="63"/>
    </row>
    <row r="26532" spans="25:25" x14ac:dyDescent="0.25">
      <c r="Y26532" s="63"/>
    </row>
    <row r="26533" spans="25:25" x14ac:dyDescent="0.25">
      <c r="Y26533" s="63"/>
    </row>
    <row r="26534" spans="25:25" x14ac:dyDescent="0.25">
      <c r="Y26534" s="63"/>
    </row>
    <row r="26535" spans="25:25" x14ac:dyDescent="0.25">
      <c r="Y26535" s="63"/>
    </row>
    <row r="26536" spans="25:25" x14ac:dyDescent="0.25">
      <c r="Y26536" s="63"/>
    </row>
    <row r="26537" spans="25:25" x14ac:dyDescent="0.25">
      <c r="Y26537" s="63"/>
    </row>
    <row r="26538" spans="25:25" x14ac:dyDescent="0.25">
      <c r="Y26538" s="63"/>
    </row>
    <row r="26539" spans="25:25" x14ac:dyDescent="0.25">
      <c r="Y26539" s="63"/>
    </row>
    <row r="26540" spans="25:25" x14ac:dyDescent="0.25">
      <c r="Y26540" s="63"/>
    </row>
    <row r="26541" spans="25:25" x14ac:dyDescent="0.25">
      <c r="Y26541" s="63"/>
    </row>
    <row r="26542" spans="25:25" x14ac:dyDescent="0.25">
      <c r="Y26542" s="63"/>
    </row>
    <row r="26543" spans="25:25" x14ac:dyDescent="0.25">
      <c r="Y26543" s="63"/>
    </row>
    <row r="26544" spans="25:25" x14ac:dyDescent="0.25">
      <c r="Y26544" s="63"/>
    </row>
    <row r="26545" spans="25:25" x14ac:dyDescent="0.25">
      <c r="Y26545" s="63"/>
    </row>
    <row r="26546" spans="25:25" x14ac:dyDescent="0.25">
      <c r="Y26546" s="63"/>
    </row>
    <row r="26547" spans="25:25" x14ac:dyDescent="0.25">
      <c r="Y26547" s="63"/>
    </row>
    <row r="26548" spans="25:25" x14ac:dyDescent="0.25">
      <c r="Y26548" s="63"/>
    </row>
    <row r="26549" spans="25:25" x14ac:dyDescent="0.25">
      <c r="Y26549" s="63"/>
    </row>
    <row r="26550" spans="25:25" x14ac:dyDescent="0.25">
      <c r="Y26550" s="63"/>
    </row>
    <row r="26551" spans="25:25" x14ac:dyDescent="0.25">
      <c r="Y26551" s="63"/>
    </row>
    <row r="26552" spans="25:25" x14ac:dyDescent="0.25">
      <c r="Y26552" s="63"/>
    </row>
    <row r="26553" spans="25:25" x14ac:dyDescent="0.25">
      <c r="Y26553" s="63"/>
    </row>
    <row r="26554" spans="25:25" x14ac:dyDescent="0.25">
      <c r="Y26554" s="63"/>
    </row>
    <row r="26555" spans="25:25" x14ac:dyDescent="0.25">
      <c r="Y26555" s="63"/>
    </row>
    <row r="26556" spans="25:25" x14ac:dyDescent="0.25">
      <c r="Y26556" s="63"/>
    </row>
    <row r="26557" spans="25:25" x14ac:dyDescent="0.25">
      <c r="Y26557" s="63"/>
    </row>
    <row r="26558" spans="25:25" x14ac:dyDescent="0.25">
      <c r="Y26558" s="63"/>
    </row>
    <row r="26559" spans="25:25" x14ac:dyDescent="0.25">
      <c r="Y26559" s="63"/>
    </row>
    <row r="26560" spans="25:25" x14ac:dyDescent="0.25">
      <c r="Y26560" s="63"/>
    </row>
    <row r="26561" spans="25:25" x14ac:dyDescent="0.25">
      <c r="Y26561" s="63"/>
    </row>
    <row r="26562" spans="25:25" x14ac:dyDescent="0.25">
      <c r="Y26562" s="63"/>
    </row>
    <row r="26563" spans="25:25" x14ac:dyDescent="0.25">
      <c r="Y26563" s="63"/>
    </row>
    <row r="26564" spans="25:25" x14ac:dyDescent="0.25">
      <c r="Y26564" s="63"/>
    </row>
    <row r="26565" spans="25:25" x14ac:dyDescent="0.25">
      <c r="Y26565" s="63"/>
    </row>
    <row r="26566" spans="25:25" x14ac:dyDescent="0.25">
      <c r="Y26566" s="63"/>
    </row>
    <row r="26567" spans="25:25" x14ac:dyDescent="0.25">
      <c r="Y26567" s="63"/>
    </row>
    <row r="26568" spans="25:25" x14ac:dyDescent="0.25">
      <c r="Y26568" s="63"/>
    </row>
    <row r="26569" spans="25:25" x14ac:dyDescent="0.25">
      <c r="Y26569" s="63"/>
    </row>
    <row r="26570" spans="25:25" x14ac:dyDescent="0.25">
      <c r="Y26570" s="63"/>
    </row>
    <row r="26571" spans="25:25" x14ac:dyDescent="0.25">
      <c r="Y26571" s="63"/>
    </row>
    <row r="26572" spans="25:25" x14ac:dyDescent="0.25">
      <c r="Y26572" s="63"/>
    </row>
    <row r="26573" spans="25:25" x14ac:dyDescent="0.25">
      <c r="Y26573" s="63"/>
    </row>
    <row r="26574" spans="25:25" x14ac:dyDescent="0.25">
      <c r="Y26574" s="63"/>
    </row>
    <row r="26575" spans="25:25" x14ac:dyDescent="0.25">
      <c r="Y26575" s="63"/>
    </row>
    <row r="26576" spans="25:25" x14ac:dyDescent="0.25">
      <c r="Y26576" s="63"/>
    </row>
    <row r="26577" spans="25:25" x14ac:dyDescent="0.25">
      <c r="Y26577" s="63"/>
    </row>
    <row r="26578" spans="25:25" x14ac:dyDescent="0.25">
      <c r="Y26578" s="63"/>
    </row>
    <row r="26579" spans="25:25" x14ac:dyDescent="0.25">
      <c r="Y26579" s="63"/>
    </row>
    <row r="26580" spans="25:25" x14ac:dyDescent="0.25">
      <c r="Y26580" s="63"/>
    </row>
    <row r="26581" spans="25:25" x14ac:dyDescent="0.25">
      <c r="Y26581" s="63"/>
    </row>
    <row r="26582" spans="25:25" x14ac:dyDescent="0.25">
      <c r="Y26582" s="63"/>
    </row>
    <row r="26583" spans="25:25" x14ac:dyDescent="0.25">
      <c r="Y26583" s="63"/>
    </row>
    <row r="26584" spans="25:25" x14ac:dyDescent="0.25">
      <c r="Y26584" s="63"/>
    </row>
    <row r="26585" spans="25:25" x14ac:dyDescent="0.25">
      <c r="Y26585" s="63"/>
    </row>
    <row r="26586" spans="25:25" x14ac:dyDescent="0.25">
      <c r="Y26586" s="63"/>
    </row>
    <row r="26587" spans="25:25" x14ac:dyDescent="0.25">
      <c r="Y26587" s="63"/>
    </row>
    <row r="26588" spans="25:25" x14ac:dyDescent="0.25">
      <c r="Y26588" s="63"/>
    </row>
    <row r="26589" spans="25:25" x14ac:dyDescent="0.25">
      <c r="Y26589" s="63"/>
    </row>
    <row r="26590" spans="25:25" x14ac:dyDescent="0.25">
      <c r="Y26590" s="63"/>
    </row>
    <row r="26591" spans="25:25" x14ac:dyDescent="0.25">
      <c r="Y26591" s="63"/>
    </row>
    <row r="26592" spans="25:25" x14ac:dyDescent="0.25">
      <c r="Y26592" s="63"/>
    </row>
    <row r="26593" spans="25:25" x14ac:dyDescent="0.25">
      <c r="Y26593" s="63"/>
    </row>
    <row r="26594" spans="25:25" x14ac:dyDescent="0.25">
      <c r="Y26594" s="63"/>
    </row>
    <row r="26595" spans="25:25" x14ac:dyDescent="0.25">
      <c r="Y26595" s="63"/>
    </row>
    <row r="26596" spans="25:25" x14ac:dyDescent="0.25">
      <c r="Y26596" s="63"/>
    </row>
    <row r="26597" spans="25:25" x14ac:dyDescent="0.25">
      <c r="Y26597" s="63"/>
    </row>
    <row r="26598" spans="25:25" x14ac:dyDescent="0.25">
      <c r="Y26598" s="63"/>
    </row>
    <row r="26599" spans="25:25" x14ac:dyDescent="0.25">
      <c r="Y26599" s="63"/>
    </row>
    <row r="26600" spans="25:25" x14ac:dyDescent="0.25">
      <c r="Y26600" s="63"/>
    </row>
    <row r="26601" spans="25:25" x14ac:dyDescent="0.25">
      <c r="Y26601" s="63"/>
    </row>
    <row r="26602" spans="25:25" x14ac:dyDescent="0.25">
      <c r="Y26602" s="63"/>
    </row>
    <row r="26603" spans="25:25" x14ac:dyDescent="0.25">
      <c r="Y26603" s="63"/>
    </row>
    <row r="26604" spans="25:25" x14ac:dyDescent="0.25">
      <c r="Y26604" s="63"/>
    </row>
    <row r="26605" spans="25:25" x14ac:dyDescent="0.25">
      <c r="Y26605" s="63"/>
    </row>
    <row r="26606" spans="25:25" x14ac:dyDescent="0.25">
      <c r="Y26606" s="63"/>
    </row>
    <row r="26607" spans="25:25" x14ac:dyDescent="0.25">
      <c r="Y26607" s="63"/>
    </row>
    <row r="26608" spans="25:25" x14ac:dyDescent="0.25">
      <c r="Y26608" s="63"/>
    </row>
    <row r="26609" spans="25:25" x14ac:dyDescent="0.25">
      <c r="Y26609" s="63"/>
    </row>
    <row r="26610" spans="25:25" x14ac:dyDescent="0.25">
      <c r="Y26610" s="63"/>
    </row>
    <row r="26611" spans="25:25" x14ac:dyDescent="0.25">
      <c r="Y26611" s="63"/>
    </row>
    <row r="26612" spans="25:25" x14ac:dyDescent="0.25">
      <c r="Y26612" s="63"/>
    </row>
    <row r="26613" spans="25:25" x14ac:dyDescent="0.25">
      <c r="Y26613" s="63"/>
    </row>
    <row r="26614" spans="25:25" x14ac:dyDescent="0.25">
      <c r="Y26614" s="63"/>
    </row>
    <row r="26615" spans="25:25" x14ac:dyDescent="0.25">
      <c r="Y26615" s="63"/>
    </row>
    <row r="26616" spans="25:25" x14ac:dyDescent="0.25">
      <c r="Y26616" s="63"/>
    </row>
    <row r="26617" spans="25:25" x14ac:dyDescent="0.25">
      <c r="Y26617" s="63"/>
    </row>
    <row r="26618" spans="25:25" x14ac:dyDescent="0.25">
      <c r="Y26618" s="63"/>
    </row>
    <row r="26619" spans="25:25" x14ac:dyDescent="0.25">
      <c r="Y26619" s="63"/>
    </row>
    <row r="26620" spans="25:25" x14ac:dyDescent="0.25">
      <c r="Y26620" s="63"/>
    </row>
    <row r="26621" spans="25:25" x14ac:dyDescent="0.25">
      <c r="Y26621" s="63"/>
    </row>
    <row r="26622" spans="25:25" x14ac:dyDescent="0.25">
      <c r="Y26622" s="63"/>
    </row>
    <row r="26623" spans="25:25" x14ac:dyDescent="0.25">
      <c r="Y26623" s="63"/>
    </row>
    <row r="26624" spans="25:25" x14ac:dyDescent="0.25">
      <c r="Y26624" s="63"/>
    </row>
    <row r="26625" spans="25:25" x14ac:dyDescent="0.25">
      <c r="Y26625" s="63"/>
    </row>
    <row r="26626" spans="25:25" x14ac:dyDescent="0.25">
      <c r="Y26626" s="63"/>
    </row>
    <row r="26627" spans="25:25" x14ac:dyDescent="0.25">
      <c r="Y26627" s="63"/>
    </row>
    <row r="26628" spans="25:25" x14ac:dyDescent="0.25">
      <c r="Y26628" s="63"/>
    </row>
    <row r="26629" spans="25:25" x14ac:dyDescent="0.25">
      <c r="Y26629" s="63"/>
    </row>
    <row r="26630" spans="25:25" x14ac:dyDescent="0.25">
      <c r="Y26630" s="63"/>
    </row>
    <row r="26631" spans="25:25" x14ac:dyDescent="0.25">
      <c r="Y26631" s="63"/>
    </row>
    <row r="26632" spans="25:25" x14ac:dyDescent="0.25">
      <c r="Y26632" s="63"/>
    </row>
    <row r="26633" spans="25:25" x14ac:dyDescent="0.25">
      <c r="Y26633" s="63"/>
    </row>
    <row r="26634" spans="25:25" x14ac:dyDescent="0.25">
      <c r="Y26634" s="63"/>
    </row>
    <row r="26635" spans="25:25" x14ac:dyDescent="0.25">
      <c r="Y26635" s="63"/>
    </row>
    <row r="26636" spans="25:25" x14ac:dyDescent="0.25">
      <c r="Y26636" s="63"/>
    </row>
    <row r="26637" spans="25:25" x14ac:dyDescent="0.25">
      <c r="Y26637" s="63"/>
    </row>
    <row r="26638" spans="25:25" x14ac:dyDescent="0.25">
      <c r="Y26638" s="63"/>
    </row>
    <row r="26639" spans="25:25" x14ac:dyDescent="0.25">
      <c r="Y26639" s="63"/>
    </row>
    <row r="26640" spans="25:25" x14ac:dyDescent="0.25">
      <c r="Y26640" s="63"/>
    </row>
    <row r="26641" spans="25:25" x14ac:dyDescent="0.25">
      <c r="Y26641" s="63"/>
    </row>
    <row r="26642" spans="25:25" x14ac:dyDescent="0.25">
      <c r="Y26642" s="63"/>
    </row>
    <row r="26643" spans="25:25" x14ac:dyDescent="0.25">
      <c r="Y26643" s="63"/>
    </row>
    <row r="26644" spans="25:25" x14ac:dyDescent="0.25">
      <c r="Y26644" s="63"/>
    </row>
    <row r="26645" spans="25:25" x14ac:dyDescent="0.25">
      <c r="Y26645" s="63"/>
    </row>
    <row r="26646" spans="25:25" x14ac:dyDescent="0.25">
      <c r="Y26646" s="63"/>
    </row>
    <row r="26647" spans="25:25" x14ac:dyDescent="0.25">
      <c r="Y26647" s="63"/>
    </row>
    <row r="26648" spans="25:25" x14ac:dyDescent="0.25">
      <c r="Y26648" s="63"/>
    </row>
    <row r="26649" spans="25:25" x14ac:dyDescent="0.25">
      <c r="Y26649" s="63"/>
    </row>
    <row r="26650" spans="25:25" x14ac:dyDescent="0.25">
      <c r="Y26650" s="63"/>
    </row>
    <row r="26651" spans="25:25" x14ac:dyDescent="0.25">
      <c r="Y26651" s="63"/>
    </row>
    <row r="26652" spans="25:25" x14ac:dyDescent="0.25">
      <c r="Y26652" s="63"/>
    </row>
    <row r="26653" spans="25:25" x14ac:dyDescent="0.25">
      <c r="Y26653" s="63"/>
    </row>
    <row r="26654" spans="25:25" x14ac:dyDescent="0.25">
      <c r="Y26654" s="63"/>
    </row>
    <row r="26655" spans="25:25" x14ac:dyDescent="0.25">
      <c r="Y26655" s="63"/>
    </row>
    <row r="26656" spans="25:25" x14ac:dyDescent="0.25">
      <c r="Y26656" s="63"/>
    </row>
    <row r="26657" spans="25:25" x14ac:dyDescent="0.25">
      <c r="Y26657" s="63"/>
    </row>
    <row r="26658" spans="25:25" x14ac:dyDescent="0.25">
      <c r="Y26658" s="63"/>
    </row>
    <row r="26659" spans="25:25" x14ac:dyDescent="0.25">
      <c r="Y26659" s="63"/>
    </row>
    <row r="26660" spans="25:25" x14ac:dyDescent="0.25">
      <c r="Y26660" s="63"/>
    </row>
    <row r="26661" spans="25:25" x14ac:dyDescent="0.25">
      <c r="Y26661" s="63"/>
    </row>
    <row r="26662" spans="25:25" x14ac:dyDescent="0.25">
      <c r="Y26662" s="63"/>
    </row>
    <row r="26663" spans="25:25" x14ac:dyDescent="0.25">
      <c r="Y26663" s="63"/>
    </row>
    <row r="26664" spans="25:25" x14ac:dyDescent="0.25">
      <c r="Y26664" s="63"/>
    </row>
    <row r="26665" spans="25:25" x14ac:dyDescent="0.25">
      <c r="Y26665" s="63"/>
    </row>
    <row r="26666" spans="25:25" x14ac:dyDescent="0.25">
      <c r="Y26666" s="63"/>
    </row>
    <row r="26667" spans="25:25" x14ac:dyDescent="0.25">
      <c r="Y26667" s="63"/>
    </row>
    <row r="26668" spans="25:25" x14ac:dyDescent="0.25">
      <c r="Y26668" s="63"/>
    </row>
    <row r="26669" spans="25:25" x14ac:dyDescent="0.25">
      <c r="Y26669" s="63"/>
    </row>
    <row r="26670" spans="25:25" x14ac:dyDescent="0.25">
      <c r="Y26670" s="63"/>
    </row>
    <row r="26671" spans="25:25" x14ac:dyDescent="0.25">
      <c r="Y26671" s="63"/>
    </row>
    <row r="26672" spans="25:25" x14ac:dyDescent="0.25">
      <c r="Y26672" s="63"/>
    </row>
    <row r="26673" spans="25:25" x14ac:dyDescent="0.25">
      <c r="Y26673" s="63"/>
    </row>
    <row r="26674" spans="25:25" x14ac:dyDescent="0.25">
      <c r="Y26674" s="63"/>
    </row>
    <row r="26675" spans="25:25" x14ac:dyDescent="0.25">
      <c r="Y26675" s="63"/>
    </row>
    <row r="26676" spans="25:25" x14ac:dyDescent="0.25">
      <c r="Y26676" s="63"/>
    </row>
    <row r="26677" spans="25:25" x14ac:dyDescent="0.25">
      <c r="Y26677" s="63"/>
    </row>
    <row r="26678" spans="25:25" x14ac:dyDescent="0.25">
      <c r="Y26678" s="63"/>
    </row>
    <row r="26679" spans="25:25" x14ac:dyDescent="0.25">
      <c r="Y26679" s="63"/>
    </row>
    <row r="26680" spans="25:25" x14ac:dyDescent="0.25">
      <c r="Y26680" s="63"/>
    </row>
    <row r="26681" spans="25:25" x14ac:dyDescent="0.25">
      <c r="Y26681" s="63"/>
    </row>
    <row r="26682" spans="25:25" x14ac:dyDescent="0.25">
      <c r="Y26682" s="63"/>
    </row>
    <row r="26683" spans="25:25" x14ac:dyDescent="0.25">
      <c r="Y26683" s="63"/>
    </row>
    <row r="26684" spans="25:25" x14ac:dyDescent="0.25">
      <c r="Y26684" s="63"/>
    </row>
    <row r="26685" spans="25:25" x14ac:dyDescent="0.25">
      <c r="Y26685" s="63"/>
    </row>
    <row r="26686" spans="25:25" x14ac:dyDescent="0.25">
      <c r="Y26686" s="63"/>
    </row>
    <row r="26687" spans="25:25" x14ac:dyDescent="0.25">
      <c r="Y26687" s="63"/>
    </row>
    <row r="26688" spans="25:25" x14ac:dyDescent="0.25">
      <c r="Y26688" s="63"/>
    </row>
    <row r="26689" spans="25:25" x14ac:dyDescent="0.25">
      <c r="Y26689" s="63"/>
    </row>
    <row r="26690" spans="25:25" x14ac:dyDescent="0.25">
      <c r="Y26690" s="63"/>
    </row>
    <row r="26691" spans="25:25" x14ac:dyDescent="0.25">
      <c r="Y26691" s="63"/>
    </row>
    <row r="26692" spans="25:25" x14ac:dyDescent="0.25">
      <c r="Y26692" s="63"/>
    </row>
    <row r="26693" spans="25:25" x14ac:dyDescent="0.25">
      <c r="Y26693" s="63"/>
    </row>
    <row r="26694" spans="25:25" x14ac:dyDescent="0.25">
      <c r="Y26694" s="63"/>
    </row>
    <row r="26695" spans="25:25" x14ac:dyDescent="0.25">
      <c r="Y26695" s="63"/>
    </row>
    <row r="26696" spans="25:25" x14ac:dyDescent="0.25">
      <c r="Y26696" s="63"/>
    </row>
    <row r="26697" spans="25:25" x14ac:dyDescent="0.25">
      <c r="Y26697" s="63"/>
    </row>
    <row r="26698" spans="25:25" x14ac:dyDescent="0.25">
      <c r="Y26698" s="63"/>
    </row>
    <row r="26699" spans="25:25" x14ac:dyDescent="0.25">
      <c r="Y26699" s="63"/>
    </row>
    <row r="26700" spans="25:25" x14ac:dyDescent="0.25">
      <c r="Y26700" s="63"/>
    </row>
    <row r="26701" spans="25:25" x14ac:dyDescent="0.25">
      <c r="Y26701" s="63"/>
    </row>
    <row r="26702" spans="25:25" x14ac:dyDescent="0.25">
      <c r="Y26702" s="63"/>
    </row>
    <row r="26703" spans="25:25" x14ac:dyDescent="0.25">
      <c r="Y26703" s="63"/>
    </row>
    <row r="26704" spans="25:25" x14ac:dyDescent="0.25">
      <c r="Y26704" s="63"/>
    </row>
    <row r="26705" spans="25:25" x14ac:dyDescent="0.25">
      <c r="Y26705" s="63"/>
    </row>
    <row r="26706" spans="25:25" x14ac:dyDescent="0.25">
      <c r="Y26706" s="63"/>
    </row>
    <row r="26707" spans="25:25" x14ac:dyDescent="0.25">
      <c r="Y26707" s="63"/>
    </row>
    <row r="26708" spans="25:25" x14ac:dyDescent="0.25">
      <c r="Y26708" s="63"/>
    </row>
    <row r="26709" spans="25:25" x14ac:dyDescent="0.25">
      <c r="Y26709" s="63"/>
    </row>
    <row r="26710" spans="25:25" x14ac:dyDescent="0.25">
      <c r="Y26710" s="63"/>
    </row>
    <row r="26711" spans="25:25" x14ac:dyDescent="0.25">
      <c r="Y26711" s="63"/>
    </row>
    <row r="26712" spans="25:25" x14ac:dyDescent="0.25">
      <c r="Y26712" s="63"/>
    </row>
    <row r="26713" spans="25:25" x14ac:dyDescent="0.25">
      <c r="Y26713" s="63"/>
    </row>
    <row r="26714" spans="25:25" x14ac:dyDescent="0.25">
      <c r="Y26714" s="63"/>
    </row>
    <row r="26715" spans="25:25" x14ac:dyDescent="0.25">
      <c r="Y26715" s="63"/>
    </row>
    <row r="26716" spans="25:25" x14ac:dyDescent="0.25">
      <c r="Y26716" s="63"/>
    </row>
    <row r="26717" spans="25:25" x14ac:dyDescent="0.25">
      <c r="Y26717" s="63"/>
    </row>
    <row r="26718" spans="25:25" x14ac:dyDescent="0.25">
      <c r="Y26718" s="63"/>
    </row>
    <row r="26719" spans="25:25" x14ac:dyDescent="0.25">
      <c r="Y26719" s="63"/>
    </row>
    <row r="26720" spans="25:25" x14ac:dyDescent="0.25">
      <c r="Y26720" s="63"/>
    </row>
    <row r="26721" spans="25:25" x14ac:dyDescent="0.25">
      <c r="Y26721" s="63"/>
    </row>
    <row r="26722" spans="25:25" x14ac:dyDescent="0.25">
      <c r="Y26722" s="63"/>
    </row>
    <row r="26723" spans="25:25" x14ac:dyDescent="0.25">
      <c r="Y26723" s="63"/>
    </row>
    <row r="26724" spans="25:25" x14ac:dyDescent="0.25">
      <c r="Y26724" s="63"/>
    </row>
    <row r="26725" spans="25:25" x14ac:dyDescent="0.25">
      <c r="Y26725" s="63"/>
    </row>
    <row r="26726" spans="25:25" x14ac:dyDescent="0.25">
      <c r="Y26726" s="63"/>
    </row>
    <row r="26727" spans="25:25" x14ac:dyDescent="0.25">
      <c r="Y26727" s="63"/>
    </row>
    <row r="26728" spans="25:25" x14ac:dyDescent="0.25">
      <c r="Y26728" s="63"/>
    </row>
    <row r="26729" spans="25:25" x14ac:dyDescent="0.25">
      <c r="Y26729" s="63"/>
    </row>
    <row r="26730" spans="25:25" x14ac:dyDescent="0.25">
      <c r="Y26730" s="63"/>
    </row>
    <row r="26731" spans="25:25" x14ac:dyDescent="0.25">
      <c r="Y26731" s="63"/>
    </row>
    <row r="26732" spans="25:25" x14ac:dyDescent="0.25">
      <c r="Y26732" s="63"/>
    </row>
    <row r="26733" spans="25:25" x14ac:dyDescent="0.25">
      <c r="Y26733" s="63"/>
    </row>
    <row r="26734" spans="25:25" x14ac:dyDescent="0.25">
      <c r="Y26734" s="63"/>
    </row>
    <row r="26735" spans="25:25" x14ac:dyDescent="0.25">
      <c r="Y26735" s="63"/>
    </row>
    <row r="26736" spans="25:25" x14ac:dyDescent="0.25">
      <c r="Y26736" s="63"/>
    </row>
    <row r="26737" spans="25:25" x14ac:dyDescent="0.25">
      <c r="Y26737" s="63"/>
    </row>
    <row r="26738" spans="25:25" x14ac:dyDescent="0.25">
      <c r="Y26738" s="63"/>
    </row>
    <row r="26739" spans="25:25" x14ac:dyDescent="0.25">
      <c r="Y26739" s="63"/>
    </row>
    <row r="26740" spans="25:25" x14ac:dyDescent="0.25">
      <c r="Y26740" s="63"/>
    </row>
    <row r="26741" spans="25:25" x14ac:dyDescent="0.25">
      <c r="Y26741" s="63"/>
    </row>
    <row r="26742" spans="25:25" x14ac:dyDescent="0.25">
      <c r="Y26742" s="63"/>
    </row>
    <row r="26743" spans="25:25" x14ac:dyDescent="0.25">
      <c r="Y26743" s="63"/>
    </row>
    <row r="26744" spans="25:25" x14ac:dyDescent="0.25">
      <c r="Y26744" s="63"/>
    </row>
    <row r="26745" spans="25:25" x14ac:dyDescent="0.25">
      <c r="Y26745" s="63"/>
    </row>
    <row r="26746" spans="25:25" x14ac:dyDescent="0.25">
      <c r="Y26746" s="63"/>
    </row>
    <row r="26747" spans="25:25" x14ac:dyDescent="0.25">
      <c r="Y26747" s="63"/>
    </row>
    <row r="26748" spans="25:25" x14ac:dyDescent="0.25">
      <c r="Y26748" s="63"/>
    </row>
    <row r="26749" spans="25:25" x14ac:dyDescent="0.25">
      <c r="Y26749" s="63"/>
    </row>
    <row r="26750" spans="25:25" x14ac:dyDescent="0.25">
      <c r="Y26750" s="63"/>
    </row>
    <row r="26751" spans="25:25" x14ac:dyDescent="0.25">
      <c r="Y26751" s="63"/>
    </row>
    <row r="26752" spans="25:25" x14ac:dyDescent="0.25">
      <c r="Y26752" s="63"/>
    </row>
    <row r="26753" spans="25:25" x14ac:dyDescent="0.25">
      <c r="Y26753" s="63"/>
    </row>
    <row r="26754" spans="25:25" x14ac:dyDescent="0.25">
      <c r="Y26754" s="63"/>
    </row>
    <row r="26755" spans="25:25" x14ac:dyDescent="0.25">
      <c r="Y26755" s="63"/>
    </row>
    <row r="26756" spans="25:25" x14ac:dyDescent="0.25">
      <c r="Y26756" s="63"/>
    </row>
    <row r="26757" spans="25:25" x14ac:dyDescent="0.25">
      <c r="Y26757" s="63"/>
    </row>
    <row r="26758" spans="25:25" x14ac:dyDescent="0.25">
      <c r="Y26758" s="63"/>
    </row>
    <row r="26759" spans="25:25" x14ac:dyDescent="0.25">
      <c r="Y26759" s="63"/>
    </row>
    <row r="26760" spans="25:25" x14ac:dyDescent="0.25">
      <c r="Y26760" s="63"/>
    </row>
    <row r="26761" spans="25:25" x14ac:dyDescent="0.25">
      <c r="Y26761" s="63"/>
    </row>
    <row r="26762" spans="25:25" x14ac:dyDescent="0.25">
      <c r="Y26762" s="63"/>
    </row>
    <row r="26763" spans="25:25" x14ac:dyDescent="0.25">
      <c r="Y26763" s="63"/>
    </row>
    <row r="26764" spans="25:25" x14ac:dyDescent="0.25">
      <c r="Y26764" s="63"/>
    </row>
    <row r="26765" spans="25:25" x14ac:dyDescent="0.25">
      <c r="Y26765" s="63"/>
    </row>
    <row r="26766" spans="25:25" x14ac:dyDescent="0.25">
      <c r="Y26766" s="63"/>
    </row>
    <row r="26767" spans="25:25" x14ac:dyDescent="0.25">
      <c r="Y26767" s="63"/>
    </row>
    <row r="26768" spans="25:25" x14ac:dyDescent="0.25">
      <c r="Y26768" s="63"/>
    </row>
    <row r="26769" spans="25:25" x14ac:dyDescent="0.25">
      <c r="Y26769" s="63"/>
    </row>
    <row r="26770" spans="25:25" x14ac:dyDescent="0.25">
      <c r="Y26770" s="63"/>
    </row>
    <row r="26771" spans="25:25" x14ac:dyDescent="0.25">
      <c r="Y26771" s="63"/>
    </row>
    <row r="26772" spans="25:25" x14ac:dyDescent="0.25">
      <c r="Y26772" s="63"/>
    </row>
    <row r="26773" spans="25:25" x14ac:dyDescent="0.25">
      <c r="Y26773" s="63"/>
    </row>
    <row r="26774" spans="25:25" x14ac:dyDescent="0.25">
      <c r="Y26774" s="63"/>
    </row>
    <row r="26775" spans="25:25" x14ac:dyDescent="0.25">
      <c r="Y26775" s="63"/>
    </row>
    <row r="26776" spans="25:25" x14ac:dyDescent="0.25">
      <c r="Y26776" s="63"/>
    </row>
    <row r="26777" spans="25:25" x14ac:dyDescent="0.25">
      <c r="Y26777" s="63"/>
    </row>
    <row r="26778" spans="25:25" x14ac:dyDescent="0.25">
      <c r="Y26778" s="63"/>
    </row>
    <row r="26779" spans="25:25" x14ac:dyDescent="0.25">
      <c r="Y26779" s="63"/>
    </row>
    <row r="26780" spans="25:25" x14ac:dyDescent="0.25">
      <c r="Y26780" s="63"/>
    </row>
    <row r="26781" spans="25:25" x14ac:dyDescent="0.25">
      <c r="Y26781" s="63"/>
    </row>
    <row r="26782" spans="25:25" x14ac:dyDescent="0.25">
      <c r="Y26782" s="63"/>
    </row>
    <row r="26783" spans="25:25" x14ac:dyDescent="0.25">
      <c r="Y26783" s="63"/>
    </row>
    <row r="26784" spans="25:25" x14ac:dyDescent="0.25">
      <c r="Y26784" s="63"/>
    </row>
    <row r="26785" spans="25:25" x14ac:dyDescent="0.25">
      <c r="Y26785" s="63"/>
    </row>
    <row r="26786" spans="25:25" x14ac:dyDescent="0.25">
      <c r="Y26786" s="63"/>
    </row>
    <row r="26787" spans="25:25" x14ac:dyDescent="0.25">
      <c r="Y26787" s="63"/>
    </row>
    <row r="26788" spans="25:25" x14ac:dyDescent="0.25">
      <c r="Y26788" s="63"/>
    </row>
    <row r="26789" spans="25:25" x14ac:dyDescent="0.25">
      <c r="Y26789" s="63"/>
    </row>
    <row r="26790" spans="25:25" x14ac:dyDescent="0.25">
      <c r="Y26790" s="63"/>
    </row>
    <row r="26791" spans="25:25" x14ac:dyDescent="0.25">
      <c r="Y26791" s="63"/>
    </row>
    <row r="26792" spans="25:25" x14ac:dyDescent="0.25">
      <c r="Y26792" s="63"/>
    </row>
    <row r="26793" spans="25:25" x14ac:dyDescent="0.25">
      <c r="Y26793" s="63"/>
    </row>
    <row r="26794" spans="25:25" x14ac:dyDescent="0.25">
      <c r="Y26794" s="63"/>
    </row>
    <row r="26795" spans="25:25" x14ac:dyDescent="0.25">
      <c r="Y26795" s="63"/>
    </row>
    <row r="26796" spans="25:25" x14ac:dyDescent="0.25">
      <c r="Y26796" s="63"/>
    </row>
    <row r="26797" spans="25:25" x14ac:dyDescent="0.25">
      <c r="Y26797" s="63"/>
    </row>
    <row r="26798" spans="25:25" x14ac:dyDescent="0.25">
      <c r="Y26798" s="63"/>
    </row>
    <row r="26799" spans="25:25" x14ac:dyDescent="0.25">
      <c r="Y26799" s="63"/>
    </row>
    <row r="26800" spans="25:25" x14ac:dyDescent="0.25">
      <c r="Y26800" s="63"/>
    </row>
    <row r="26801" spans="25:25" x14ac:dyDescent="0.25">
      <c r="Y26801" s="63"/>
    </row>
    <row r="26802" spans="25:25" x14ac:dyDescent="0.25">
      <c r="Y26802" s="63"/>
    </row>
    <row r="26803" spans="25:25" x14ac:dyDescent="0.25">
      <c r="Y26803" s="63"/>
    </row>
    <row r="26804" spans="25:25" x14ac:dyDescent="0.25">
      <c r="Y26804" s="63"/>
    </row>
    <row r="26805" spans="25:25" x14ac:dyDescent="0.25">
      <c r="Y26805" s="63"/>
    </row>
    <row r="26806" spans="25:25" x14ac:dyDescent="0.25">
      <c r="Y26806" s="63"/>
    </row>
    <row r="26807" spans="25:25" x14ac:dyDescent="0.25">
      <c r="Y26807" s="63"/>
    </row>
    <row r="26808" spans="25:25" x14ac:dyDescent="0.25">
      <c r="Y26808" s="63"/>
    </row>
    <row r="26809" spans="25:25" x14ac:dyDescent="0.25">
      <c r="Y26809" s="63"/>
    </row>
    <row r="26810" spans="25:25" x14ac:dyDescent="0.25">
      <c r="Y26810" s="63"/>
    </row>
    <row r="26811" spans="25:25" x14ac:dyDescent="0.25">
      <c r="Y26811" s="63"/>
    </row>
    <row r="26812" spans="25:25" x14ac:dyDescent="0.25">
      <c r="Y26812" s="63"/>
    </row>
    <row r="26813" spans="25:25" x14ac:dyDescent="0.25">
      <c r="Y26813" s="63"/>
    </row>
    <row r="26814" spans="25:25" x14ac:dyDescent="0.25">
      <c r="Y26814" s="63"/>
    </row>
    <row r="26815" spans="25:25" x14ac:dyDescent="0.25">
      <c r="Y26815" s="63"/>
    </row>
    <row r="26816" spans="25:25" x14ac:dyDescent="0.25">
      <c r="Y26816" s="63"/>
    </row>
    <row r="26817" spans="25:25" x14ac:dyDescent="0.25">
      <c r="Y26817" s="63"/>
    </row>
    <row r="26818" spans="25:25" x14ac:dyDescent="0.25">
      <c r="Y26818" s="63"/>
    </row>
    <row r="26819" spans="25:25" x14ac:dyDescent="0.25">
      <c r="Y26819" s="63"/>
    </row>
    <row r="26820" spans="25:25" x14ac:dyDescent="0.25">
      <c r="Y26820" s="63"/>
    </row>
    <row r="26821" spans="25:25" x14ac:dyDescent="0.25">
      <c r="Y26821" s="63"/>
    </row>
    <row r="26822" spans="25:25" x14ac:dyDescent="0.25">
      <c r="Y26822" s="63"/>
    </row>
    <row r="26823" spans="25:25" x14ac:dyDescent="0.25">
      <c r="Y26823" s="63"/>
    </row>
    <row r="26824" spans="25:25" x14ac:dyDescent="0.25">
      <c r="Y26824" s="63"/>
    </row>
    <row r="26825" spans="25:25" x14ac:dyDescent="0.25">
      <c r="Y26825" s="63"/>
    </row>
    <row r="26826" spans="25:25" x14ac:dyDescent="0.25">
      <c r="Y26826" s="63"/>
    </row>
    <row r="26827" spans="25:25" x14ac:dyDescent="0.25">
      <c r="Y26827" s="63"/>
    </row>
    <row r="26828" spans="25:25" x14ac:dyDescent="0.25">
      <c r="Y26828" s="63"/>
    </row>
    <row r="26829" spans="25:25" x14ac:dyDescent="0.25">
      <c r="Y26829" s="63"/>
    </row>
    <row r="26830" spans="25:25" x14ac:dyDescent="0.25">
      <c r="Y26830" s="63"/>
    </row>
    <row r="26831" spans="25:25" x14ac:dyDescent="0.25">
      <c r="Y26831" s="63"/>
    </row>
    <row r="26832" spans="25:25" x14ac:dyDescent="0.25">
      <c r="Y26832" s="63"/>
    </row>
    <row r="26833" spans="25:25" x14ac:dyDescent="0.25">
      <c r="Y26833" s="63"/>
    </row>
    <row r="26834" spans="25:25" x14ac:dyDescent="0.25">
      <c r="Y26834" s="63"/>
    </row>
    <row r="26835" spans="25:25" x14ac:dyDescent="0.25">
      <c r="Y26835" s="63"/>
    </row>
    <row r="26836" spans="25:25" x14ac:dyDescent="0.25">
      <c r="Y26836" s="63"/>
    </row>
    <row r="26837" spans="25:25" x14ac:dyDescent="0.25">
      <c r="Y26837" s="63"/>
    </row>
    <row r="26838" spans="25:25" x14ac:dyDescent="0.25">
      <c r="Y26838" s="63"/>
    </row>
    <row r="26839" spans="25:25" x14ac:dyDescent="0.25">
      <c r="Y26839" s="63"/>
    </row>
    <row r="26840" spans="25:25" x14ac:dyDescent="0.25">
      <c r="Y26840" s="63"/>
    </row>
    <row r="26841" spans="25:25" x14ac:dyDescent="0.25">
      <c r="Y26841" s="63"/>
    </row>
    <row r="26842" spans="25:25" x14ac:dyDescent="0.25">
      <c r="Y26842" s="63"/>
    </row>
    <row r="26843" spans="25:25" x14ac:dyDescent="0.25">
      <c r="Y26843" s="63"/>
    </row>
    <row r="26844" spans="25:25" x14ac:dyDescent="0.25">
      <c r="Y26844" s="63"/>
    </row>
    <row r="26845" spans="25:25" x14ac:dyDescent="0.25">
      <c r="Y26845" s="63"/>
    </row>
    <row r="26846" spans="25:25" x14ac:dyDescent="0.25">
      <c r="Y26846" s="63"/>
    </row>
    <row r="26847" spans="25:25" x14ac:dyDescent="0.25">
      <c r="Y26847" s="63"/>
    </row>
    <row r="26848" spans="25:25" x14ac:dyDescent="0.25">
      <c r="Y26848" s="63"/>
    </row>
    <row r="26849" spans="25:25" x14ac:dyDescent="0.25">
      <c r="Y26849" s="63"/>
    </row>
    <row r="26850" spans="25:25" x14ac:dyDescent="0.25">
      <c r="Y26850" s="63"/>
    </row>
    <row r="26851" spans="25:25" x14ac:dyDescent="0.25">
      <c r="Y26851" s="63"/>
    </row>
    <row r="26852" spans="25:25" x14ac:dyDescent="0.25">
      <c r="Y26852" s="63"/>
    </row>
    <row r="26853" spans="25:25" x14ac:dyDescent="0.25">
      <c r="Y26853" s="63"/>
    </row>
    <row r="26854" spans="25:25" x14ac:dyDescent="0.25">
      <c r="Y26854" s="63"/>
    </row>
    <row r="26855" spans="25:25" x14ac:dyDescent="0.25">
      <c r="Y26855" s="63"/>
    </row>
    <row r="26856" spans="25:25" x14ac:dyDescent="0.25">
      <c r="Y26856" s="63"/>
    </row>
    <row r="26857" spans="25:25" x14ac:dyDescent="0.25">
      <c r="Y26857" s="63"/>
    </row>
    <row r="26858" spans="25:25" x14ac:dyDescent="0.25">
      <c r="Y26858" s="63"/>
    </row>
    <row r="26859" spans="25:25" x14ac:dyDescent="0.25">
      <c r="Y26859" s="63"/>
    </row>
    <row r="26860" spans="25:25" x14ac:dyDescent="0.25">
      <c r="Y26860" s="63"/>
    </row>
    <row r="26861" spans="25:25" x14ac:dyDescent="0.25">
      <c r="Y26861" s="63"/>
    </row>
    <row r="26862" spans="25:25" x14ac:dyDescent="0.25">
      <c r="Y26862" s="63"/>
    </row>
    <row r="26863" spans="25:25" x14ac:dyDescent="0.25">
      <c r="Y26863" s="63"/>
    </row>
    <row r="26864" spans="25:25" x14ac:dyDescent="0.25">
      <c r="Y26864" s="63"/>
    </row>
    <row r="26865" spans="25:25" x14ac:dyDescent="0.25">
      <c r="Y26865" s="63"/>
    </row>
    <row r="26866" spans="25:25" x14ac:dyDescent="0.25">
      <c r="Y26866" s="63"/>
    </row>
    <row r="26867" spans="25:25" x14ac:dyDescent="0.25">
      <c r="Y26867" s="63"/>
    </row>
    <row r="26868" spans="25:25" x14ac:dyDescent="0.25">
      <c r="Y26868" s="63"/>
    </row>
    <row r="26869" spans="25:25" x14ac:dyDescent="0.25">
      <c r="Y26869" s="63"/>
    </row>
    <row r="26870" spans="25:25" x14ac:dyDescent="0.25">
      <c r="Y26870" s="63"/>
    </row>
    <row r="26871" spans="25:25" x14ac:dyDescent="0.25">
      <c r="Y26871" s="63"/>
    </row>
    <row r="26872" spans="25:25" x14ac:dyDescent="0.25">
      <c r="Y26872" s="63"/>
    </row>
    <row r="26873" spans="25:25" x14ac:dyDescent="0.25">
      <c r="Y26873" s="63"/>
    </row>
    <row r="26874" spans="25:25" x14ac:dyDescent="0.25">
      <c r="Y26874" s="63"/>
    </row>
    <row r="26875" spans="25:25" x14ac:dyDescent="0.25">
      <c r="Y26875" s="63"/>
    </row>
    <row r="26876" spans="25:25" x14ac:dyDescent="0.25">
      <c r="Y26876" s="63"/>
    </row>
    <row r="26877" spans="25:25" x14ac:dyDescent="0.25">
      <c r="Y26877" s="63"/>
    </row>
    <row r="26878" spans="25:25" x14ac:dyDescent="0.25">
      <c r="Y26878" s="63"/>
    </row>
    <row r="26879" spans="25:25" x14ac:dyDescent="0.25">
      <c r="Y26879" s="63"/>
    </row>
    <row r="26880" spans="25:25" x14ac:dyDescent="0.25">
      <c r="Y26880" s="63"/>
    </row>
    <row r="26881" spans="25:25" x14ac:dyDescent="0.25">
      <c r="Y26881" s="63"/>
    </row>
    <row r="26882" spans="25:25" x14ac:dyDescent="0.25">
      <c r="Y26882" s="63"/>
    </row>
    <row r="26883" spans="25:25" x14ac:dyDescent="0.25">
      <c r="Y26883" s="63"/>
    </row>
    <row r="26884" spans="25:25" x14ac:dyDescent="0.25">
      <c r="Y26884" s="63"/>
    </row>
    <row r="26885" spans="25:25" x14ac:dyDescent="0.25">
      <c r="Y26885" s="63"/>
    </row>
    <row r="26886" spans="25:25" x14ac:dyDescent="0.25">
      <c r="Y26886" s="63"/>
    </row>
    <row r="26887" spans="25:25" x14ac:dyDescent="0.25">
      <c r="Y26887" s="63"/>
    </row>
    <row r="26888" spans="25:25" x14ac:dyDescent="0.25">
      <c r="Y26888" s="63"/>
    </row>
    <row r="26889" spans="25:25" x14ac:dyDescent="0.25">
      <c r="Y26889" s="63"/>
    </row>
    <row r="26890" spans="25:25" x14ac:dyDescent="0.25">
      <c r="Y26890" s="63"/>
    </row>
    <row r="26891" spans="25:25" x14ac:dyDescent="0.25">
      <c r="Y26891" s="63"/>
    </row>
    <row r="26892" spans="25:25" x14ac:dyDescent="0.25">
      <c r="Y26892" s="63"/>
    </row>
    <row r="26893" spans="25:25" x14ac:dyDescent="0.25">
      <c r="Y26893" s="63"/>
    </row>
    <row r="26894" spans="25:25" x14ac:dyDescent="0.25">
      <c r="Y26894" s="63"/>
    </row>
    <row r="26895" spans="25:25" x14ac:dyDescent="0.25">
      <c r="Y26895" s="63"/>
    </row>
    <row r="26896" spans="25:25" x14ac:dyDescent="0.25">
      <c r="Y26896" s="63"/>
    </row>
    <row r="26897" spans="25:25" x14ac:dyDescent="0.25">
      <c r="Y26897" s="63"/>
    </row>
    <row r="26898" spans="25:25" x14ac:dyDescent="0.25">
      <c r="Y26898" s="63"/>
    </row>
    <row r="26899" spans="25:25" x14ac:dyDescent="0.25">
      <c r="Y26899" s="63"/>
    </row>
    <row r="26900" spans="25:25" x14ac:dyDescent="0.25">
      <c r="Y26900" s="63"/>
    </row>
    <row r="26901" spans="25:25" x14ac:dyDescent="0.25">
      <c r="Y26901" s="63"/>
    </row>
    <row r="26902" spans="25:25" x14ac:dyDescent="0.25">
      <c r="Y26902" s="63"/>
    </row>
    <row r="26903" spans="25:25" x14ac:dyDescent="0.25">
      <c r="Y26903" s="63"/>
    </row>
    <row r="26904" spans="25:25" x14ac:dyDescent="0.25">
      <c r="Y26904" s="63"/>
    </row>
    <row r="26905" spans="25:25" x14ac:dyDescent="0.25">
      <c r="Y26905" s="63"/>
    </row>
    <row r="26906" spans="25:25" x14ac:dyDescent="0.25">
      <c r="Y26906" s="63"/>
    </row>
    <row r="26907" spans="25:25" x14ac:dyDescent="0.25">
      <c r="Y26907" s="63"/>
    </row>
    <row r="26908" spans="25:25" x14ac:dyDescent="0.25">
      <c r="Y26908" s="63"/>
    </row>
    <row r="26909" spans="25:25" x14ac:dyDescent="0.25">
      <c r="Y26909" s="63"/>
    </row>
    <row r="26910" spans="25:25" x14ac:dyDescent="0.25">
      <c r="Y26910" s="63"/>
    </row>
    <row r="26911" spans="25:25" x14ac:dyDescent="0.25">
      <c r="Y26911" s="63"/>
    </row>
    <row r="26912" spans="25:25" x14ac:dyDescent="0.25">
      <c r="Y26912" s="63"/>
    </row>
    <row r="26913" spans="25:25" x14ac:dyDescent="0.25">
      <c r="Y26913" s="63"/>
    </row>
    <row r="26914" spans="25:25" x14ac:dyDescent="0.25">
      <c r="Y26914" s="63"/>
    </row>
    <row r="26915" spans="25:25" x14ac:dyDescent="0.25">
      <c r="Y26915" s="63"/>
    </row>
    <row r="26916" spans="25:25" x14ac:dyDescent="0.25">
      <c r="Y26916" s="63"/>
    </row>
    <row r="26917" spans="25:25" x14ac:dyDescent="0.25">
      <c r="Y26917" s="63"/>
    </row>
    <row r="26918" spans="25:25" x14ac:dyDescent="0.25">
      <c r="Y26918" s="63"/>
    </row>
    <row r="26919" spans="25:25" x14ac:dyDescent="0.25">
      <c r="Y26919" s="63"/>
    </row>
    <row r="26920" spans="25:25" x14ac:dyDescent="0.25">
      <c r="Y26920" s="63"/>
    </row>
    <row r="26921" spans="25:25" x14ac:dyDescent="0.25">
      <c r="Y26921" s="63"/>
    </row>
    <row r="26922" spans="25:25" x14ac:dyDescent="0.25">
      <c r="Y26922" s="63"/>
    </row>
    <row r="26923" spans="25:25" x14ac:dyDescent="0.25">
      <c r="Y26923" s="63"/>
    </row>
    <row r="26924" spans="25:25" x14ac:dyDescent="0.25">
      <c r="Y26924" s="63"/>
    </row>
    <row r="26925" spans="25:25" x14ac:dyDescent="0.25">
      <c r="Y26925" s="63"/>
    </row>
    <row r="26926" spans="25:25" x14ac:dyDescent="0.25">
      <c r="Y26926" s="63"/>
    </row>
    <row r="26927" spans="25:25" x14ac:dyDescent="0.25">
      <c r="Y26927" s="63"/>
    </row>
    <row r="26928" spans="25:25" x14ac:dyDescent="0.25">
      <c r="Y26928" s="63"/>
    </row>
    <row r="26929" spans="25:25" x14ac:dyDescent="0.25">
      <c r="Y26929" s="63"/>
    </row>
    <row r="26930" spans="25:25" x14ac:dyDescent="0.25">
      <c r="Y26930" s="63"/>
    </row>
    <row r="26931" spans="25:25" x14ac:dyDescent="0.25">
      <c r="Y26931" s="63"/>
    </row>
    <row r="26932" spans="25:25" x14ac:dyDescent="0.25">
      <c r="Y26932" s="63"/>
    </row>
    <row r="26933" spans="25:25" x14ac:dyDescent="0.25">
      <c r="Y26933" s="63"/>
    </row>
    <row r="26934" spans="25:25" x14ac:dyDescent="0.25">
      <c r="Y26934" s="63"/>
    </row>
    <row r="26935" spans="25:25" x14ac:dyDescent="0.25">
      <c r="Y26935" s="63"/>
    </row>
    <row r="26936" spans="25:25" x14ac:dyDescent="0.25">
      <c r="Y26936" s="63"/>
    </row>
    <row r="26937" spans="25:25" x14ac:dyDescent="0.25">
      <c r="Y26937" s="63"/>
    </row>
    <row r="26938" spans="25:25" x14ac:dyDescent="0.25">
      <c r="Y26938" s="63"/>
    </row>
    <row r="26939" spans="25:25" x14ac:dyDescent="0.25">
      <c r="Y26939" s="63"/>
    </row>
    <row r="26940" spans="25:25" x14ac:dyDescent="0.25">
      <c r="Y26940" s="63"/>
    </row>
    <row r="26941" spans="25:25" x14ac:dyDescent="0.25">
      <c r="Y26941" s="63"/>
    </row>
    <row r="26942" spans="25:25" x14ac:dyDescent="0.25">
      <c r="Y26942" s="63"/>
    </row>
    <row r="26943" spans="25:25" x14ac:dyDescent="0.25">
      <c r="Y26943" s="63"/>
    </row>
    <row r="26944" spans="25:25" x14ac:dyDescent="0.25">
      <c r="Y26944" s="63"/>
    </row>
    <row r="26945" spans="25:25" x14ac:dyDescent="0.25">
      <c r="Y26945" s="63"/>
    </row>
    <row r="26946" spans="25:25" x14ac:dyDescent="0.25">
      <c r="Y26946" s="63"/>
    </row>
    <row r="26947" spans="25:25" x14ac:dyDescent="0.25">
      <c r="Y26947" s="63"/>
    </row>
    <row r="26948" spans="25:25" x14ac:dyDescent="0.25">
      <c r="Y26948" s="63"/>
    </row>
    <row r="26949" spans="25:25" x14ac:dyDescent="0.25">
      <c r="Y26949" s="63"/>
    </row>
    <row r="26950" spans="25:25" x14ac:dyDescent="0.25">
      <c r="Y26950" s="63"/>
    </row>
    <row r="26951" spans="25:25" x14ac:dyDescent="0.25">
      <c r="Y26951" s="63"/>
    </row>
    <row r="26952" spans="25:25" x14ac:dyDescent="0.25">
      <c r="Y26952" s="63"/>
    </row>
    <row r="26953" spans="25:25" x14ac:dyDescent="0.25">
      <c r="Y26953" s="63"/>
    </row>
    <row r="26954" spans="25:25" x14ac:dyDescent="0.25">
      <c r="Y26954" s="63"/>
    </row>
    <row r="26955" spans="25:25" x14ac:dyDescent="0.25">
      <c r="Y26955" s="63"/>
    </row>
    <row r="26956" spans="25:25" x14ac:dyDescent="0.25">
      <c r="Y26956" s="63"/>
    </row>
    <row r="26957" spans="25:25" x14ac:dyDescent="0.25">
      <c r="Y26957" s="63"/>
    </row>
    <row r="26958" spans="25:25" x14ac:dyDescent="0.25">
      <c r="Y26958" s="63"/>
    </row>
    <row r="26959" spans="25:25" x14ac:dyDescent="0.25">
      <c r="Y26959" s="63"/>
    </row>
    <row r="26960" spans="25:25" x14ac:dyDescent="0.25">
      <c r="Y26960" s="63"/>
    </row>
    <row r="26961" spans="25:25" x14ac:dyDescent="0.25">
      <c r="Y26961" s="63"/>
    </row>
    <row r="26962" spans="25:25" x14ac:dyDescent="0.25">
      <c r="Y26962" s="63"/>
    </row>
    <row r="26963" spans="25:25" x14ac:dyDescent="0.25">
      <c r="Y26963" s="63"/>
    </row>
    <row r="26964" spans="25:25" x14ac:dyDescent="0.25">
      <c r="Y26964" s="63"/>
    </row>
    <row r="26965" spans="25:25" x14ac:dyDescent="0.25">
      <c r="Y26965" s="63"/>
    </row>
    <row r="26966" spans="25:25" x14ac:dyDescent="0.25">
      <c r="Y26966" s="63"/>
    </row>
    <row r="26967" spans="25:25" x14ac:dyDescent="0.25">
      <c r="Y26967" s="63"/>
    </row>
    <row r="26968" spans="25:25" x14ac:dyDescent="0.25">
      <c r="Y26968" s="63"/>
    </row>
    <row r="26969" spans="25:25" x14ac:dyDescent="0.25">
      <c r="Y26969" s="63"/>
    </row>
    <row r="26970" spans="25:25" x14ac:dyDescent="0.25">
      <c r="Y26970" s="63"/>
    </row>
    <row r="26971" spans="25:25" x14ac:dyDescent="0.25">
      <c r="Y26971" s="63"/>
    </row>
    <row r="26972" spans="25:25" x14ac:dyDescent="0.25">
      <c r="Y26972" s="63"/>
    </row>
    <row r="26973" spans="25:25" x14ac:dyDescent="0.25">
      <c r="Y26973" s="63"/>
    </row>
    <row r="26974" spans="25:25" x14ac:dyDescent="0.25">
      <c r="Y26974" s="63"/>
    </row>
    <row r="26975" spans="25:25" x14ac:dyDescent="0.25">
      <c r="Y26975" s="63"/>
    </row>
    <row r="26976" spans="25:25" x14ac:dyDescent="0.25">
      <c r="Y26976" s="63"/>
    </row>
    <row r="26977" spans="25:25" x14ac:dyDescent="0.25">
      <c r="Y26977" s="63"/>
    </row>
    <row r="26978" spans="25:25" x14ac:dyDescent="0.25">
      <c r="Y26978" s="63"/>
    </row>
    <row r="26979" spans="25:25" x14ac:dyDescent="0.25">
      <c r="Y26979" s="63"/>
    </row>
    <row r="26980" spans="25:25" x14ac:dyDescent="0.25">
      <c r="Y26980" s="63"/>
    </row>
    <row r="26981" spans="25:25" x14ac:dyDescent="0.25">
      <c r="Y26981" s="63"/>
    </row>
    <row r="26982" spans="25:25" x14ac:dyDescent="0.25">
      <c r="Y26982" s="63"/>
    </row>
    <row r="26983" spans="25:25" x14ac:dyDescent="0.25">
      <c r="Y26983" s="63"/>
    </row>
    <row r="26984" spans="25:25" x14ac:dyDescent="0.25">
      <c r="Y26984" s="63"/>
    </row>
    <row r="26985" spans="25:25" x14ac:dyDescent="0.25">
      <c r="Y26985" s="63"/>
    </row>
    <row r="26986" spans="25:25" x14ac:dyDescent="0.25">
      <c r="Y26986" s="63"/>
    </row>
    <row r="26987" spans="25:25" x14ac:dyDescent="0.25">
      <c r="Y26987" s="63"/>
    </row>
    <row r="26988" spans="25:25" x14ac:dyDescent="0.25">
      <c r="Y26988" s="63"/>
    </row>
    <row r="26989" spans="25:25" x14ac:dyDescent="0.25">
      <c r="Y26989" s="63"/>
    </row>
    <row r="26990" spans="25:25" x14ac:dyDescent="0.25">
      <c r="Y26990" s="63"/>
    </row>
    <row r="26991" spans="25:25" x14ac:dyDescent="0.25">
      <c r="Y26991" s="63"/>
    </row>
    <row r="26992" spans="25:25" x14ac:dyDescent="0.25">
      <c r="Y26992" s="63"/>
    </row>
    <row r="26993" spans="25:25" x14ac:dyDescent="0.25">
      <c r="Y26993" s="63"/>
    </row>
    <row r="26994" spans="25:25" x14ac:dyDescent="0.25">
      <c r="Y26994" s="63"/>
    </row>
    <row r="26995" spans="25:25" x14ac:dyDescent="0.25">
      <c r="Y26995" s="63"/>
    </row>
    <row r="26996" spans="25:25" x14ac:dyDescent="0.25">
      <c r="Y26996" s="63"/>
    </row>
    <row r="26997" spans="25:25" x14ac:dyDescent="0.25">
      <c r="Y26997" s="63"/>
    </row>
    <row r="26998" spans="25:25" x14ac:dyDescent="0.25">
      <c r="Y26998" s="63"/>
    </row>
    <row r="26999" spans="25:25" x14ac:dyDescent="0.25">
      <c r="Y26999" s="63"/>
    </row>
    <row r="27000" spans="25:25" x14ac:dyDescent="0.25">
      <c r="Y27000" s="63"/>
    </row>
    <row r="27001" spans="25:25" x14ac:dyDescent="0.25">
      <c r="Y27001" s="63"/>
    </row>
    <row r="27002" spans="25:25" x14ac:dyDescent="0.25">
      <c r="Y27002" s="63"/>
    </row>
    <row r="27003" spans="25:25" x14ac:dyDescent="0.25">
      <c r="Y27003" s="63"/>
    </row>
    <row r="27004" spans="25:25" x14ac:dyDescent="0.25">
      <c r="Y27004" s="63"/>
    </row>
    <row r="27005" spans="25:25" x14ac:dyDescent="0.25">
      <c r="Y27005" s="63"/>
    </row>
    <row r="27006" spans="25:25" x14ac:dyDescent="0.25">
      <c r="Y27006" s="63"/>
    </row>
    <row r="27007" spans="25:25" x14ac:dyDescent="0.25">
      <c r="Y27007" s="63"/>
    </row>
    <row r="27008" spans="25:25" x14ac:dyDescent="0.25">
      <c r="Y27008" s="63"/>
    </row>
    <row r="27009" spans="25:25" x14ac:dyDescent="0.25">
      <c r="Y27009" s="63"/>
    </row>
    <row r="27010" spans="25:25" x14ac:dyDescent="0.25">
      <c r="Y27010" s="63"/>
    </row>
    <row r="27011" spans="25:25" x14ac:dyDescent="0.25">
      <c r="Y27011" s="63"/>
    </row>
    <row r="27012" spans="25:25" x14ac:dyDescent="0.25">
      <c r="Y27012" s="63"/>
    </row>
    <row r="27013" spans="25:25" x14ac:dyDescent="0.25">
      <c r="Y27013" s="63"/>
    </row>
    <row r="27014" spans="25:25" x14ac:dyDescent="0.25">
      <c r="Y27014" s="63"/>
    </row>
    <row r="27015" spans="25:25" x14ac:dyDescent="0.25">
      <c r="Y27015" s="63"/>
    </row>
    <row r="27016" spans="25:25" x14ac:dyDescent="0.25">
      <c r="Y27016" s="63"/>
    </row>
    <row r="27017" spans="25:25" x14ac:dyDescent="0.25">
      <c r="Y27017" s="63"/>
    </row>
    <row r="27018" spans="25:25" x14ac:dyDescent="0.25">
      <c r="Y27018" s="63"/>
    </row>
    <row r="27019" spans="25:25" x14ac:dyDescent="0.25">
      <c r="Y27019" s="63"/>
    </row>
    <row r="27020" spans="25:25" x14ac:dyDescent="0.25">
      <c r="Y27020" s="63"/>
    </row>
    <row r="27021" spans="25:25" x14ac:dyDescent="0.25">
      <c r="Y27021" s="63"/>
    </row>
    <row r="27022" spans="25:25" x14ac:dyDescent="0.25">
      <c r="Y27022" s="63"/>
    </row>
    <row r="27023" spans="25:25" x14ac:dyDescent="0.25">
      <c r="Y27023" s="63"/>
    </row>
    <row r="27024" spans="25:25" x14ac:dyDescent="0.25">
      <c r="Y27024" s="63"/>
    </row>
    <row r="27025" spans="25:25" x14ac:dyDescent="0.25">
      <c r="Y27025" s="63"/>
    </row>
    <row r="27026" spans="25:25" x14ac:dyDescent="0.25">
      <c r="Y27026" s="63"/>
    </row>
    <row r="27027" spans="25:25" x14ac:dyDescent="0.25">
      <c r="Y27027" s="63"/>
    </row>
    <row r="27028" spans="25:25" x14ac:dyDescent="0.25">
      <c r="Y27028" s="63"/>
    </row>
    <row r="27029" spans="25:25" x14ac:dyDescent="0.25">
      <c r="Y27029" s="63"/>
    </row>
    <row r="27030" spans="25:25" x14ac:dyDescent="0.25">
      <c r="Y27030" s="63"/>
    </row>
    <row r="27031" spans="25:25" x14ac:dyDescent="0.25">
      <c r="Y27031" s="63"/>
    </row>
    <row r="27032" spans="25:25" x14ac:dyDescent="0.25">
      <c r="Y27032" s="63"/>
    </row>
    <row r="27033" spans="25:25" x14ac:dyDescent="0.25">
      <c r="Y27033" s="63"/>
    </row>
    <row r="27034" spans="25:25" x14ac:dyDescent="0.25">
      <c r="Y27034" s="63"/>
    </row>
    <row r="27035" spans="25:25" x14ac:dyDescent="0.25">
      <c r="Y27035" s="63"/>
    </row>
    <row r="27036" spans="25:25" x14ac:dyDescent="0.25">
      <c r="Y27036" s="63"/>
    </row>
    <row r="27037" spans="25:25" x14ac:dyDescent="0.25">
      <c r="Y27037" s="63"/>
    </row>
    <row r="27038" spans="25:25" x14ac:dyDescent="0.25">
      <c r="Y27038" s="63"/>
    </row>
    <row r="27039" spans="25:25" x14ac:dyDescent="0.25">
      <c r="Y27039" s="63"/>
    </row>
    <row r="27040" spans="25:25" x14ac:dyDescent="0.25">
      <c r="Y27040" s="63"/>
    </row>
    <row r="27041" spans="25:25" x14ac:dyDescent="0.25">
      <c r="Y27041" s="63"/>
    </row>
    <row r="27042" spans="25:25" x14ac:dyDescent="0.25">
      <c r="Y27042" s="63"/>
    </row>
    <row r="27043" spans="25:25" x14ac:dyDescent="0.25">
      <c r="Y27043" s="63"/>
    </row>
    <row r="27044" spans="25:25" x14ac:dyDescent="0.25">
      <c r="Y27044" s="63"/>
    </row>
    <row r="27045" spans="25:25" x14ac:dyDescent="0.25">
      <c r="Y27045" s="63"/>
    </row>
    <row r="27046" spans="25:25" x14ac:dyDescent="0.25">
      <c r="Y27046" s="63"/>
    </row>
    <row r="27047" spans="25:25" x14ac:dyDescent="0.25">
      <c r="Y27047" s="63"/>
    </row>
    <row r="27048" spans="25:25" x14ac:dyDescent="0.25">
      <c r="Y27048" s="63"/>
    </row>
    <row r="27049" spans="25:25" x14ac:dyDescent="0.25">
      <c r="Y27049" s="63"/>
    </row>
    <row r="27050" spans="25:25" x14ac:dyDescent="0.25">
      <c r="Y27050" s="63"/>
    </row>
    <row r="27051" spans="25:25" x14ac:dyDescent="0.25">
      <c r="Y27051" s="63"/>
    </row>
    <row r="27052" spans="25:25" x14ac:dyDescent="0.25">
      <c r="Y27052" s="63"/>
    </row>
    <row r="27053" spans="25:25" x14ac:dyDescent="0.25">
      <c r="Y27053" s="63"/>
    </row>
    <row r="27054" spans="25:25" x14ac:dyDescent="0.25">
      <c r="Y27054" s="63"/>
    </row>
    <row r="27055" spans="25:25" x14ac:dyDescent="0.25">
      <c r="Y27055" s="63"/>
    </row>
    <row r="27056" spans="25:25" x14ac:dyDescent="0.25">
      <c r="Y27056" s="63"/>
    </row>
    <row r="27057" spans="25:25" x14ac:dyDescent="0.25">
      <c r="Y27057" s="63"/>
    </row>
    <row r="27058" spans="25:25" x14ac:dyDescent="0.25">
      <c r="Y27058" s="63"/>
    </row>
    <row r="27059" spans="25:25" x14ac:dyDescent="0.25">
      <c r="Y27059" s="63"/>
    </row>
    <row r="27060" spans="25:25" x14ac:dyDescent="0.25">
      <c r="Y27060" s="63"/>
    </row>
    <row r="27061" spans="25:25" x14ac:dyDescent="0.25">
      <c r="Y27061" s="63"/>
    </row>
    <row r="27062" spans="25:25" x14ac:dyDescent="0.25">
      <c r="Y27062" s="63"/>
    </row>
    <row r="27063" spans="25:25" x14ac:dyDescent="0.25">
      <c r="Y27063" s="63"/>
    </row>
    <row r="27064" spans="25:25" x14ac:dyDescent="0.25">
      <c r="Y27064" s="63"/>
    </row>
    <row r="27065" spans="25:25" x14ac:dyDescent="0.25">
      <c r="Y27065" s="63"/>
    </row>
    <row r="27066" spans="25:25" x14ac:dyDescent="0.25">
      <c r="Y27066" s="63"/>
    </row>
    <row r="27067" spans="25:25" x14ac:dyDescent="0.25">
      <c r="Y27067" s="63"/>
    </row>
    <row r="27068" spans="25:25" x14ac:dyDescent="0.25">
      <c r="Y27068" s="63"/>
    </row>
    <row r="27069" spans="25:25" x14ac:dyDescent="0.25">
      <c r="Y27069" s="63"/>
    </row>
    <row r="27070" spans="25:25" x14ac:dyDescent="0.25">
      <c r="Y27070" s="63"/>
    </row>
    <row r="27071" spans="25:25" x14ac:dyDescent="0.25">
      <c r="Y27071" s="63"/>
    </row>
    <row r="27072" spans="25:25" x14ac:dyDescent="0.25">
      <c r="Y27072" s="63"/>
    </row>
    <row r="27073" spans="25:25" x14ac:dyDescent="0.25">
      <c r="Y27073" s="63"/>
    </row>
    <row r="27074" spans="25:25" x14ac:dyDescent="0.25">
      <c r="Y27074" s="63"/>
    </row>
    <row r="27075" spans="25:25" x14ac:dyDescent="0.25">
      <c r="Y27075" s="63"/>
    </row>
    <row r="27076" spans="25:25" x14ac:dyDescent="0.25">
      <c r="Y27076" s="63"/>
    </row>
    <row r="27077" spans="25:25" x14ac:dyDescent="0.25">
      <c r="Y27077" s="63"/>
    </row>
    <row r="27078" spans="25:25" x14ac:dyDescent="0.25">
      <c r="Y27078" s="63"/>
    </row>
    <row r="27079" spans="25:25" x14ac:dyDescent="0.25">
      <c r="Y27079" s="63"/>
    </row>
    <row r="27080" spans="25:25" x14ac:dyDescent="0.25">
      <c r="Y27080" s="63"/>
    </row>
    <row r="27081" spans="25:25" x14ac:dyDescent="0.25">
      <c r="Y27081" s="63"/>
    </row>
    <row r="27082" spans="25:25" x14ac:dyDescent="0.25">
      <c r="Y27082" s="63"/>
    </row>
    <row r="27083" spans="25:25" x14ac:dyDescent="0.25">
      <c r="Y27083" s="63"/>
    </row>
    <row r="27084" spans="25:25" x14ac:dyDescent="0.25">
      <c r="Y27084" s="63"/>
    </row>
    <row r="27085" spans="25:25" x14ac:dyDescent="0.25">
      <c r="Y27085" s="63"/>
    </row>
    <row r="27086" spans="25:25" x14ac:dyDescent="0.25">
      <c r="Y27086" s="63"/>
    </row>
    <row r="27087" spans="25:25" x14ac:dyDescent="0.25">
      <c r="Y27087" s="63"/>
    </row>
    <row r="27088" spans="25:25" x14ac:dyDescent="0.25">
      <c r="Y27088" s="63"/>
    </row>
    <row r="27089" spans="25:25" x14ac:dyDescent="0.25">
      <c r="Y27089" s="63"/>
    </row>
    <row r="27090" spans="25:25" x14ac:dyDescent="0.25">
      <c r="Y27090" s="63"/>
    </row>
    <row r="27091" spans="25:25" x14ac:dyDescent="0.25">
      <c r="Y27091" s="63"/>
    </row>
    <row r="27092" spans="25:25" x14ac:dyDescent="0.25">
      <c r="Y27092" s="63"/>
    </row>
    <row r="27093" spans="25:25" x14ac:dyDescent="0.25">
      <c r="Y27093" s="63"/>
    </row>
    <row r="27094" spans="25:25" x14ac:dyDescent="0.25">
      <c r="Y27094" s="63"/>
    </row>
    <row r="27095" spans="25:25" x14ac:dyDescent="0.25">
      <c r="Y27095" s="63"/>
    </row>
    <row r="27096" spans="25:25" x14ac:dyDescent="0.25">
      <c r="Y27096" s="63"/>
    </row>
    <row r="27097" spans="25:25" x14ac:dyDescent="0.25">
      <c r="Y27097" s="63"/>
    </row>
    <row r="27098" spans="25:25" x14ac:dyDescent="0.25">
      <c r="Y27098" s="63"/>
    </row>
    <row r="27099" spans="25:25" x14ac:dyDescent="0.25">
      <c r="Y27099" s="63"/>
    </row>
    <row r="27100" spans="25:25" x14ac:dyDescent="0.25">
      <c r="Y27100" s="63"/>
    </row>
    <row r="27101" spans="25:25" x14ac:dyDescent="0.25">
      <c r="Y27101" s="63"/>
    </row>
    <row r="27102" spans="25:25" x14ac:dyDescent="0.25">
      <c r="Y27102" s="63"/>
    </row>
    <row r="27103" spans="25:25" x14ac:dyDescent="0.25">
      <c r="Y27103" s="63"/>
    </row>
    <row r="27104" spans="25:25" x14ac:dyDescent="0.25">
      <c r="Y27104" s="63"/>
    </row>
    <row r="27105" spans="25:25" x14ac:dyDescent="0.25">
      <c r="Y27105" s="63"/>
    </row>
    <row r="27106" spans="25:25" x14ac:dyDescent="0.25">
      <c r="Y27106" s="63"/>
    </row>
    <row r="27107" spans="25:25" x14ac:dyDescent="0.25">
      <c r="Y27107" s="63"/>
    </row>
    <row r="27108" spans="25:25" x14ac:dyDescent="0.25">
      <c r="Y27108" s="63"/>
    </row>
    <row r="27109" spans="25:25" x14ac:dyDescent="0.25">
      <c r="Y27109" s="63"/>
    </row>
    <row r="27110" spans="25:25" x14ac:dyDescent="0.25">
      <c r="Y27110" s="63"/>
    </row>
    <row r="27111" spans="25:25" x14ac:dyDescent="0.25">
      <c r="Y27111" s="63"/>
    </row>
    <row r="27112" spans="25:25" x14ac:dyDescent="0.25">
      <c r="Y27112" s="63"/>
    </row>
    <row r="27113" spans="25:25" x14ac:dyDescent="0.25">
      <c r="Y27113" s="63"/>
    </row>
    <row r="27114" spans="25:25" x14ac:dyDescent="0.25">
      <c r="Y27114" s="63"/>
    </row>
    <row r="27115" spans="25:25" x14ac:dyDescent="0.25">
      <c r="Y27115" s="63"/>
    </row>
    <row r="27116" spans="25:25" x14ac:dyDescent="0.25">
      <c r="Y27116" s="63"/>
    </row>
    <row r="27117" spans="25:25" x14ac:dyDescent="0.25">
      <c r="Y27117" s="63"/>
    </row>
    <row r="27118" spans="25:25" x14ac:dyDescent="0.25">
      <c r="Y27118" s="63"/>
    </row>
    <row r="27119" spans="25:25" x14ac:dyDescent="0.25">
      <c r="Y27119" s="63"/>
    </row>
    <row r="27120" spans="25:25" x14ac:dyDescent="0.25">
      <c r="Y27120" s="63"/>
    </row>
    <row r="27121" spans="25:25" x14ac:dyDescent="0.25">
      <c r="Y27121" s="63"/>
    </row>
    <row r="27122" spans="25:25" x14ac:dyDescent="0.25">
      <c r="Y27122" s="63"/>
    </row>
    <row r="27123" spans="25:25" x14ac:dyDescent="0.25">
      <c r="Y27123" s="63"/>
    </row>
    <row r="27124" spans="25:25" x14ac:dyDescent="0.25">
      <c r="Y27124" s="63"/>
    </row>
    <row r="27125" spans="25:25" x14ac:dyDescent="0.25">
      <c r="Y27125" s="63"/>
    </row>
    <row r="27126" spans="25:25" x14ac:dyDescent="0.25">
      <c r="Y27126" s="63"/>
    </row>
    <row r="27127" spans="25:25" x14ac:dyDescent="0.25">
      <c r="Y27127" s="63"/>
    </row>
    <row r="27128" spans="25:25" x14ac:dyDescent="0.25">
      <c r="Y27128" s="63"/>
    </row>
    <row r="27129" spans="25:25" x14ac:dyDescent="0.25">
      <c r="Y27129" s="63"/>
    </row>
    <row r="27130" spans="25:25" x14ac:dyDescent="0.25">
      <c r="Y27130" s="63"/>
    </row>
    <row r="27131" spans="25:25" x14ac:dyDescent="0.25">
      <c r="Y27131" s="63"/>
    </row>
    <row r="27132" spans="25:25" x14ac:dyDescent="0.25">
      <c r="Y27132" s="63"/>
    </row>
    <row r="27133" spans="25:25" x14ac:dyDescent="0.25">
      <c r="Y27133" s="63"/>
    </row>
    <row r="27134" spans="25:25" x14ac:dyDescent="0.25">
      <c r="Y27134" s="63"/>
    </row>
    <row r="27135" spans="25:25" x14ac:dyDescent="0.25">
      <c r="Y27135" s="63"/>
    </row>
    <row r="27136" spans="25:25" x14ac:dyDescent="0.25">
      <c r="Y27136" s="63"/>
    </row>
    <row r="27137" spans="25:25" x14ac:dyDescent="0.25">
      <c r="Y27137" s="63"/>
    </row>
    <row r="27138" spans="25:25" x14ac:dyDescent="0.25">
      <c r="Y27138" s="63"/>
    </row>
    <row r="27139" spans="25:25" x14ac:dyDescent="0.25">
      <c r="Y27139" s="63"/>
    </row>
    <row r="27140" spans="25:25" x14ac:dyDescent="0.25">
      <c r="Y27140" s="63"/>
    </row>
    <row r="27141" spans="25:25" x14ac:dyDescent="0.25">
      <c r="Y27141" s="63"/>
    </row>
    <row r="27142" spans="25:25" x14ac:dyDescent="0.25">
      <c r="Y27142" s="63"/>
    </row>
    <row r="27143" spans="25:25" x14ac:dyDescent="0.25">
      <c r="Y27143" s="63"/>
    </row>
    <row r="27144" spans="25:25" x14ac:dyDescent="0.25">
      <c r="Y27144" s="63"/>
    </row>
    <row r="27145" spans="25:25" x14ac:dyDescent="0.25">
      <c r="Y27145" s="63"/>
    </row>
    <row r="27146" spans="25:25" x14ac:dyDescent="0.25">
      <c r="Y27146" s="63"/>
    </row>
    <row r="27147" spans="25:25" x14ac:dyDescent="0.25">
      <c r="Y27147" s="63"/>
    </row>
    <row r="27148" spans="25:25" x14ac:dyDescent="0.25">
      <c r="Y27148" s="63"/>
    </row>
    <row r="27149" spans="25:25" x14ac:dyDescent="0.25">
      <c r="Y27149" s="63"/>
    </row>
    <row r="27150" spans="25:25" x14ac:dyDescent="0.25">
      <c r="Y27150" s="63"/>
    </row>
    <row r="27151" spans="25:25" x14ac:dyDescent="0.25">
      <c r="Y27151" s="63"/>
    </row>
    <row r="27152" spans="25:25" x14ac:dyDescent="0.25">
      <c r="Y27152" s="63"/>
    </row>
    <row r="27153" spans="25:25" x14ac:dyDescent="0.25">
      <c r="Y27153" s="63"/>
    </row>
    <row r="27154" spans="25:25" x14ac:dyDescent="0.25">
      <c r="Y27154" s="63"/>
    </row>
    <row r="27155" spans="25:25" x14ac:dyDescent="0.25">
      <c r="Y27155" s="63"/>
    </row>
    <row r="27156" spans="25:25" x14ac:dyDescent="0.25">
      <c r="Y27156" s="63"/>
    </row>
    <row r="27157" spans="25:25" x14ac:dyDescent="0.25">
      <c r="Y27157" s="63"/>
    </row>
    <row r="27158" spans="25:25" x14ac:dyDescent="0.25">
      <c r="Y27158" s="63"/>
    </row>
    <row r="27159" spans="25:25" x14ac:dyDescent="0.25">
      <c r="Y27159" s="63"/>
    </row>
    <row r="27160" spans="25:25" x14ac:dyDescent="0.25">
      <c r="Y27160" s="63"/>
    </row>
    <row r="27161" spans="25:25" x14ac:dyDescent="0.25">
      <c r="Y27161" s="63"/>
    </row>
    <row r="27162" spans="25:25" x14ac:dyDescent="0.25">
      <c r="Y27162" s="63"/>
    </row>
    <row r="27163" spans="25:25" x14ac:dyDescent="0.25">
      <c r="Y27163" s="63"/>
    </row>
    <row r="27164" spans="25:25" x14ac:dyDescent="0.25">
      <c r="Y27164" s="63"/>
    </row>
    <row r="27165" spans="25:25" x14ac:dyDescent="0.25">
      <c r="Y27165" s="63"/>
    </row>
    <row r="27166" spans="25:25" x14ac:dyDescent="0.25">
      <c r="Y27166" s="63"/>
    </row>
    <row r="27167" spans="25:25" x14ac:dyDescent="0.25">
      <c r="Y27167" s="63"/>
    </row>
    <row r="27168" spans="25:25" x14ac:dyDescent="0.25">
      <c r="Y27168" s="63"/>
    </row>
    <row r="27169" spans="25:25" x14ac:dyDescent="0.25">
      <c r="Y27169" s="63"/>
    </row>
    <row r="27170" spans="25:25" x14ac:dyDescent="0.25">
      <c r="Y27170" s="63"/>
    </row>
    <row r="27171" spans="25:25" x14ac:dyDescent="0.25">
      <c r="Y27171" s="63"/>
    </row>
    <row r="27172" spans="25:25" x14ac:dyDescent="0.25">
      <c r="Y27172" s="63"/>
    </row>
    <row r="27173" spans="25:25" x14ac:dyDescent="0.25">
      <c r="Y27173" s="63"/>
    </row>
    <row r="27174" spans="25:25" x14ac:dyDescent="0.25">
      <c r="Y27174" s="63"/>
    </row>
    <row r="27175" spans="25:25" x14ac:dyDescent="0.25">
      <c r="Y27175" s="63"/>
    </row>
    <row r="27176" spans="25:25" x14ac:dyDescent="0.25">
      <c r="Y27176" s="63"/>
    </row>
    <row r="27177" spans="25:25" x14ac:dyDescent="0.25">
      <c r="Y27177" s="63"/>
    </row>
    <row r="27178" spans="25:25" x14ac:dyDescent="0.25">
      <c r="Y27178" s="63"/>
    </row>
    <row r="27179" spans="25:25" x14ac:dyDescent="0.25">
      <c r="Y27179" s="63"/>
    </row>
    <row r="27180" spans="25:25" x14ac:dyDescent="0.25">
      <c r="Y27180" s="63"/>
    </row>
    <row r="27181" spans="25:25" x14ac:dyDescent="0.25">
      <c r="Y27181" s="63"/>
    </row>
    <row r="27182" spans="25:25" x14ac:dyDescent="0.25">
      <c r="Y27182" s="63"/>
    </row>
    <row r="27183" spans="25:25" x14ac:dyDescent="0.25">
      <c r="Y27183" s="63"/>
    </row>
    <row r="27184" spans="25:25" x14ac:dyDescent="0.25">
      <c r="Y27184" s="63"/>
    </row>
    <row r="27185" spans="25:25" x14ac:dyDescent="0.25">
      <c r="Y27185" s="63"/>
    </row>
    <row r="27186" spans="25:25" x14ac:dyDescent="0.25">
      <c r="Y27186" s="63"/>
    </row>
    <row r="27187" spans="25:25" x14ac:dyDescent="0.25">
      <c r="Y27187" s="63"/>
    </row>
    <row r="27188" spans="25:25" x14ac:dyDescent="0.25">
      <c r="Y27188" s="63"/>
    </row>
    <row r="27189" spans="25:25" x14ac:dyDescent="0.25">
      <c r="Y27189" s="63"/>
    </row>
    <row r="27190" spans="25:25" x14ac:dyDescent="0.25">
      <c r="Y27190" s="63"/>
    </row>
    <row r="27191" spans="25:25" x14ac:dyDescent="0.25">
      <c r="Y27191" s="63"/>
    </row>
    <row r="27192" spans="25:25" x14ac:dyDescent="0.25">
      <c r="Y27192" s="63"/>
    </row>
    <row r="27193" spans="25:25" x14ac:dyDescent="0.25">
      <c r="Y27193" s="63"/>
    </row>
    <row r="27194" spans="25:25" x14ac:dyDescent="0.25">
      <c r="Y27194" s="63"/>
    </row>
    <row r="27195" spans="25:25" x14ac:dyDescent="0.25">
      <c r="Y27195" s="63"/>
    </row>
    <row r="27196" spans="25:25" x14ac:dyDescent="0.25">
      <c r="Y27196" s="63"/>
    </row>
    <row r="27197" spans="25:25" x14ac:dyDescent="0.25">
      <c r="Y27197" s="63"/>
    </row>
    <row r="27198" spans="25:25" x14ac:dyDescent="0.25">
      <c r="Y27198" s="63"/>
    </row>
    <row r="27199" spans="25:25" x14ac:dyDescent="0.25">
      <c r="Y27199" s="63"/>
    </row>
    <row r="27200" spans="25:25" x14ac:dyDescent="0.25">
      <c r="Y27200" s="63"/>
    </row>
    <row r="27201" spans="25:25" x14ac:dyDescent="0.25">
      <c r="Y27201" s="63"/>
    </row>
    <row r="27202" spans="25:25" x14ac:dyDescent="0.25">
      <c r="Y27202" s="63"/>
    </row>
    <row r="27203" spans="25:25" x14ac:dyDescent="0.25">
      <c r="Y27203" s="63"/>
    </row>
    <row r="27204" spans="25:25" x14ac:dyDescent="0.25">
      <c r="Y27204" s="63"/>
    </row>
    <row r="27205" spans="25:25" x14ac:dyDescent="0.25">
      <c r="Y27205" s="63"/>
    </row>
    <row r="27206" spans="25:25" x14ac:dyDescent="0.25">
      <c r="Y27206" s="63"/>
    </row>
    <row r="27207" spans="25:25" x14ac:dyDescent="0.25">
      <c r="Y27207" s="63"/>
    </row>
    <row r="27208" spans="25:25" x14ac:dyDescent="0.25">
      <c r="Y27208" s="63"/>
    </row>
    <row r="27209" spans="25:25" x14ac:dyDescent="0.25">
      <c r="Y27209" s="63"/>
    </row>
    <row r="27210" spans="25:25" x14ac:dyDescent="0.25">
      <c r="Y27210" s="63"/>
    </row>
    <row r="27211" spans="25:25" x14ac:dyDescent="0.25">
      <c r="Y27211" s="63"/>
    </row>
    <row r="27212" spans="25:25" x14ac:dyDescent="0.25">
      <c r="Y27212" s="63"/>
    </row>
    <row r="27213" spans="25:25" x14ac:dyDescent="0.25">
      <c r="Y27213" s="63"/>
    </row>
    <row r="27214" spans="25:25" x14ac:dyDescent="0.25">
      <c r="Y27214" s="63"/>
    </row>
    <row r="27215" spans="25:25" x14ac:dyDescent="0.25">
      <c r="Y27215" s="63"/>
    </row>
    <row r="27216" spans="25:25" x14ac:dyDescent="0.25">
      <c r="Y27216" s="63"/>
    </row>
    <row r="27217" spans="25:25" x14ac:dyDescent="0.25">
      <c r="Y27217" s="63"/>
    </row>
    <row r="27218" spans="25:25" x14ac:dyDescent="0.25">
      <c r="Y27218" s="63"/>
    </row>
    <row r="27219" spans="25:25" x14ac:dyDescent="0.25">
      <c r="Y27219" s="63"/>
    </row>
    <row r="27220" spans="25:25" x14ac:dyDescent="0.25">
      <c r="Y27220" s="63"/>
    </row>
    <row r="27221" spans="25:25" x14ac:dyDescent="0.25">
      <c r="Y27221" s="63"/>
    </row>
    <row r="27222" spans="25:25" x14ac:dyDescent="0.25">
      <c r="Y27222" s="63"/>
    </row>
    <row r="27223" spans="25:25" x14ac:dyDescent="0.25">
      <c r="Y27223" s="63"/>
    </row>
    <row r="27224" spans="25:25" x14ac:dyDescent="0.25">
      <c r="Y27224" s="63"/>
    </row>
    <row r="27225" spans="25:25" x14ac:dyDescent="0.25">
      <c r="Y27225" s="63"/>
    </row>
    <row r="27226" spans="25:25" x14ac:dyDescent="0.25">
      <c r="Y27226" s="63"/>
    </row>
    <row r="27227" spans="25:25" x14ac:dyDescent="0.25">
      <c r="Y27227" s="63"/>
    </row>
    <row r="27228" spans="25:25" x14ac:dyDescent="0.25">
      <c r="Y27228" s="63"/>
    </row>
    <row r="27229" spans="25:25" x14ac:dyDescent="0.25">
      <c r="Y27229" s="63"/>
    </row>
    <row r="27230" spans="25:25" x14ac:dyDescent="0.25">
      <c r="Y27230" s="63"/>
    </row>
    <row r="27231" spans="25:25" x14ac:dyDescent="0.25">
      <c r="Y27231" s="63"/>
    </row>
    <row r="27232" spans="25:25" x14ac:dyDescent="0.25">
      <c r="Y27232" s="63"/>
    </row>
    <row r="27233" spans="25:25" x14ac:dyDescent="0.25">
      <c r="Y27233" s="63"/>
    </row>
    <row r="27234" spans="25:25" x14ac:dyDescent="0.25">
      <c r="Y27234" s="63"/>
    </row>
    <row r="27235" spans="25:25" x14ac:dyDescent="0.25">
      <c r="Y27235" s="63"/>
    </row>
    <row r="27236" spans="25:25" x14ac:dyDescent="0.25">
      <c r="Y27236" s="63"/>
    </row>
    <row r="27237" spans="25:25" x14ac:dyDescent="0.25">
      <c r="Y27237" s="63"/>
    </row>
    <row r="27238" spans="25:25" x14ac:dyDescent="0.25">
      <c r="Y27238" s="63"/>
    </row>
    <row r="27239" spans="25:25" x14ac:dyDescent="0.25">
      <c r="Y27239" s="63"/>
    </row>
    <row r="27240" spans="25:25" x14ac:dyDescent="0.25">
      <c r="Y27240" s="63"/>
    </row>
    <row r="27241" spans="25:25" x14ac:dyDescent="0.25">
      <c r="Y27241" s="63"/>
    </row>
    <row r="27242" spans="25:25" x14ac:dyDescent="0.25">
      <c r="Y27242" s="63"/>
    </row>
    <row r="27243" spans="25:25" x14ac:dyDescent="0.25">
      <c r="Y27243" s="63"/>
    </row>
    <row r="27244" spans="25:25" x14ac:dyDescent="0.25">
      <c r="Y27244" s="63"/>
    </row>
    <row r="27245" spans="25:25" x14ac:dyDescent="0.25">
      <c r="Y27245" s="63"/>
    </row>
    <row r="27246" spans="25:25" x14ac:dyDescent="0.25">
      <c r="Y27246" s="63"/>
    </row>
    <row r="27247" spans="25:25" x14ac:dyDescent="0.25">
      <c r="Y27247" s="63"/>
    </row>
    <row r="27248" spans="25:25" x14ac:dyDescent="0.25">
      <c r="Y27248" s="63"/>
    </row>
    <row r="27249" spans="25:25" x14ac:dyDescent="0.25">
      <c r="Y27249" s="63"/>
    </row>
    <row r="27250" spans="25:25" x14ac:dyDescent="0.25">
      <c r="Y27250" s="63"/>
    </row>
    <row r="27251" spans="25:25" x14ac:dyDescent="0.25">
      <c r="Y27251" s="63"/>
    </row>
    <row r="27252" spans="25:25" x14ac:dyDescent="0.25">
      <c r="Y27252" s="63"/>
    </row>
    <row r="27253" spans="25:25" x14ac:dyDescent="0.25">
      <c r="Y27253" s="63"/>
    </row>
    <row r="27254" spans="25:25" x14ac:dyDescent="0.25">
      <c r="Y27254" s="63"/>
    </row>
    <row r="27255" spans="25:25" x14ac:dyDescent="0.25">
      <c r="Y27255" s="63"/>
    </row>
    <row r="27256" spans="25:25" x14ac:dyDescent="0.25">
      <c r="Y27256" s="63"/>
    </row>
    <row r="27257" spans="25:25" x14ac:dyDescent="0.25">
      <c r="Y27257" s="63"/>
    </row>
    <row r="27258" spans="25:25" x14ac:dyDescent="0.25">
      <c r="Y27258" s="63"/>
    </row>
    <row r="27259" spans="25:25" x14ac:dyDescent="0.25">
      <c r="Y27259" s="63"/>
    </row>
    <row r="27260" spans="25:25" x14ac:dyDescent="0.25">
      <c r="Y27260" s="63"/>
    </row>
    <row r="27261" spans="25:25" x14ac:dyDescent="0.25">
      <c r="Y27261" s="63"/>
    </row>
    <row r="27262" spans="25:25" x14ac:dyDescent="0.25">
      <c r="Y27262" s="63"/>
    </row>
    <row r="27263" spans="25:25" x14ac:dyDescent="0.25">
      <c r="Y27263" s="63"/>
    </row>
    <row r="27264" spans="25:25" x14ac:dyDescent="0.25">
      <c r="Y27264" s="63"/>
    </row>
    <row r="27265" spans="25:25" x14ac:dyDescent="0.25">
      <c r="Y27265" s="63"/>
    </row>
    <row r="27266" spans="25:25" x14ac:dyDescent="0.25">
      <c r="Y27266" s="63"/>
    </row>
    <row r="27267" spans="25:25" x14ac:dyDescent="0.25">
      <c r="Y27267" s="63"/>
    </row>
    <row r="27268" spans="25:25" x14ac:dyDescent="0.25">
      <c r="Y27268" s="63"/>
    </row>
    <row r="27269" spans="25:25" x14ac:dyDescent="0.25">
      <c r="Y27269" s="63"/>
    </row>
    <row r="27270" spans="25:25" x14ac:dyDescent="0.25">
      <c r="Y27270" s="63"/>
    </row>
    <row r="27271" spans="25:25" x14ac:dyDescent="0.25">
      <c r="Y27271" s="63"/>
    </row>
    <row r="27272" spans="25:25" x14ac:dyDescent="0.25">
      <c r="Y27272" s="63"/>
    </row>
    <row r="27273" spans="25:25" x14ac:dyDescent="0.25">
      <c r="Y27273" s="63"/>
    </row>
    <row r="27274" spans="25:25" x14ac:dyDescent="0.25">
      <c r="Y27274" s="63"/>
    </row>
    <row r="27275" spans="25:25" x14ac:dyDescent="0.25">
      <c r="Y27275" s="63"/>
    </row>
    <row r="27276" spans="25:25" x14ac:dyDescent="0.25">
      <c r="Y27276" s="63"/>
    </row>
    <row r="27277" spans="25:25" x14ac:dyDescent="0.25">
      <c r="Y27277" s="63"/>
    </row>
    <row r="27278" spans="25:25" x14ac:dyDescent="0.25">
      <c r="Y27278" s="63"/>
    </row>
    <row r="27279" spans="25:25" x14ac:dyDescent="0.25">
      <c r="Y27279" s="63"/>
    </row>
    <row r="27280" spans="25:25" x14ac:dyDescent="0.25">
      <c r="Y27280" s="63"/>
    </row>
    <row r="27281" spans="25:25" x14ac:dyDescent="0.25">
      <c r="Y27281" s="63"/>
    </row>
    <row r="27282" spans="25:25" x14ac:dyDescent="0.25">
      <c r="Y27282" s="63"/>
    </row>
    <row r="27283" spans="25:25" x14ac:dyDescent="0.25">
      <c r="Y27283" s="63"/>
    </row>
    <row r="27284" spans="25:25" x14ac:dyDescent="0.25">
      <c r="Y27284" s="63"/>
    </row>
    <row r="27285" spans="25:25" x14ac:dyDescent="0.25">
      <c r="Y27285" s="63"/>
    </row>
    <row r="27286" spans="25:25" x14ac:dyDescent="0.25">
      <c r="Y27286" s="63"/>
    </row>
    <row r="27287" spans="25:25" x14ac:dyDescent="0.25">
      <c r="Y27287" s="63"/>
    </row>
    <row r="27288" spans="25:25" x14ac:dyDescent="0.25">
      <c r="Y27288" s="63"/>
    </row>
    <row r="27289" spans="25:25" x14ac:dyDescent="0.25">
      <c r="Y27289" s="63"/>
    </row>
    <row r="27290" spans="25:25" x14ac:dyDescent="0.25">
      <c r="Y27290" s="63"/>
    </row>
    <row r="27291" spans="25:25" x14ac:dyDescent="0.25">
      <c r="Y27291" s="63"/>
    </row>
    <row r="27292" spans="25:25" x14ac:dyDescent="0.25">
      <c r="Y27292" s="63"/>
    </row>
    <row r="27293" spans="25:25" x14ac:dyDescent="0.25">
      <c r="Y27293" s="63"/>
    </row>
    <row r="27294" spans="25:25" x14ac:dyDescent="0.25">
      <c r="Y27294" s="63"/>
    </row>
    <row r="27295" spans="25:25" x14ac:dyDescent="0.25">
      <c r="Y27295" s="63"/>
    </row>
    <row r="27296" spans="25:25" x14ac:dyDescent="0.25">
      <c r="Y27296" s="63"/>
    </row>
    <row r="27297" spans="25:25" x14ac:dyDescent="0.25">
      <c r="Y27297" s="63"/>
    </row>
    <row r="27298" spans="25:25" x14ac:dyDescent="0.25">
      <c r="Y27298" s="63"/>
    </row>
    <row r="27299" spans="25:25" x14ac:dyDescent="0.25">
      <c r="Y27299" s="63"/>
    </row>
    <row r="27300" spans="25:25" x14ac:dyDescent="0.25">
      <c r="Y27300" s="63"/>
    </row>
    <row r="27301" spans="25:25" x14ac:dyDescent="0.25">
      <c r="Y27301" s="63"/>
    </row>
    <row r="27302" spans="25:25" x14ac:dyDescent="0.25">
      <c r="Y27302" s="63"/>
    </row>
    <row r="27303" spans="25:25" x14ac:dyDescent="0.25">
      <c r="Y27303" s="63"/>
    </row>
    <row r="27304" spans="25:25" x14ac:dyDescent="0.25">
      <c r="Y27304" s="63"/>
    </row>
    <row r="27305" spans="25:25" x14ac:dyDescent="0.25">
      <c r="Y27305" s="63"/>
    </row>
    <row r="27306" spans="25:25" x14ac:dyDescent="0.25">
      <c r="Y27306" s="63"/>
    </row>
    <row r="27307" spans="25:25" x14ac:dyDescent="0.25">
      <c r="Y27307" s="63"/>
    </row>
    <row r="27308" spans="25:25" x14ac:dyDescent="0.25">
      <c r="Y27308" s="63"/>
    </row>
    <row r="27309" spans="25:25" x14ac:dyDescent="0.25">
      <c r="Y27309" s="63"/>
    </row>
    <row r="27310" spans="25:25" x14ac:dyDescent="0.25">
      <c r="Y27310" s="63"/>
    </row>
    <row r="27311" spans="25:25" x14ac:dyDescent="0.25">
      <c r="Y27311" s="63"/>
    </row>
    <row r="27312" spans="25:25" x14ac:dyDescent="0.25">
      <c r="Y27312" s="63"/>
    </row>
    <row r="27313" spans="25:25" x14ac:dyDescent="0.25">
      <c r="Y27313" s="63"/>
    </row>
    <row r="27314" spans="25:25" x14ac:dyDescent="0.25">
      <c r="Y27314" s="63"/>
    </row>
    <row r="27315" spans="25:25" x14ac:dyDescent="0.25">
      <c r="Y27315" s="63"/>
    </row>
    <row r="27316" spans="25:25" x14ac:dyDescent="0.25">
      <c r="Y27316" s="63"/>
    </row>
    <row r="27317" spans="25:25" x14ac:dyDescent="0.25">
      <c r="Y27317" s="63"/>
    </row>
    <row r="27318" spans="25:25" x14ac:dyDescent="0.25">
      <c r="Y27318" s="63"/>
    </row>
    <row r="27319" spans="25:25" x14ac:dyDescent="0.25">
      <c r="Y27319" s="63"/>
    </row>
    <row r="27320" spans="25:25" x14ac:dyDescent="0.25">
      <c r="Y27320" s="63"/>
    </row>
    <row r="27321" spans="25:25" x14ac:dyDescent="0.25">
      <c r="Y27321" s="63"/>
    </row>
    <row r="27322" spans="25:25" x14ac:dyDescent="0.25">
      <c r="Y27322" s="63"/>
    </row>
    <row r="27323" spans="25:25" x14ac:dyDescent="0.25">
      <c r="Y27323" s="63"/>
    </row>
    <row r="27324" spans="25:25" x14ac:dyDescent="0.25">
      <c r="Y27324" s="63"/>
    </row>
    <row r="27325" spans="25:25" x14ac:dyDescent="0.25">
      <c r="Y27325" s="63"/>
    </row>
    <row r="27326" spans="25:25" x14ac:dyDescent="0.25">
      <c r="Y27326" s="63"/>
    </row>
    <row r="27327" spans="25:25" x14ac:dyDescent="0.25">
      <c r="Y27327" s="63"/>
    </row>
    <row r="27328" spans="25:25" x14ac:dyDescent="0.25">
      <c r="Y27328" s="63"/>
    </row>
    <row r="27329" spans="25:25" x14ac:dyDescent="0.25">
      <c r="Y27329" s="63"/>
    </row>
    <row r="27330" spans="25:25" x14ac:dyDescent="0.25">
      <c r="Y27330" s="63"/>
    </row>
    <row r="27331" spans="25:25" x14ac:dyDescent="0.25">
      <c r="Y27331" s="63"/>
    </row>
    <row r="27332" spans="25:25" x14ac:dyDescent="0.25">
      <c r="Y27332" s="63"/>
    </row>
    <row r="27333" spans="25:25" x14ac:dyDescent="0.25">
      <c r="Y27333" s="63"/>
    </row>
    <row r="27334" spans="25:25" x14ac:dyDescent="0.25">
      <c r="Y27334" s="63"/>
    </row>
    <row r="27335" spans="25:25" x14ac:dyDescent="0.25">
      <c r="Y27335" s="63"/>
    </row>
    <row r="27336" spans="25:25" x14ac:dyDescent="0.25">
      <c r="Y27336" s="63"/>
    </row>
    <row r="27337" spans="25:25" x14ac:dyDescent="0.25">
      <c r="Y27337" s="63"/>
    </row>
    <row r="27338" spans="25:25" x14ac:dyDescent="0.25">
      <c r="Y27338" s="63"/>
    </row>
    <row r="27339" spans="25:25" x14ac:dyDescent="0.25">
      <c r="Y27339" s="63"/>
    </row>
    <row r="27340" spans="25:25" x14ac:dyDescent="0.25">
      <c r="Y27340" s="63"/>
    </row>
    <row r="27341" spans="25:25" x14ac:dyDescent="0.25">
      <c r="Y27341" s="63"/>
    </row>
    <row r="27342" spans="25:25" x14ac:dyDescent="0.25">
      <c r="Y27342" s="63"/>
    </row>
    <row r="27343" spans="25:25" x14ac:dyDescent="0.25">
      <c r="Y27343" s="63"/>
    </row>
    <row r="27344" spans="25:25" x14ac:dyDescent="0.25">
      <c r="Y27344" s="63"/>
    </row>
    <row r="27345" spans="25:25" x14ac:dyDescent="0.25">
      <c r="Y27345" s="63"/>
    </row>
    <row r="27346" spans="25:25" x14ac:dyDescent="0.25">
      <c r="Y27346" s="63"/>
    </row>
    <row r="27347" spans="25:25" x14ac:dyDescent="0.25">
      <c r="Y27347" s="63"/>
    </row>
    <row r="27348" spans="25:25" x14ac:dyDescent="0.25">
      <c r="Y27348" s="63"/>
    </row>
    <row r="27349" spans="25:25" x14ac:dyDescent="0.25">
      <c r="Y27349" s="63"/>
    </row>
    <row r="27350" spans="25:25" x14ac:dyDescent="0.25">
      <c r="Y27350" s="63"/>
    </row>
    <row r="27351" spans="25:25" x14ac:dyDescent="0.25">
      <c r="Y27351" s="63"/>
    </row>
    <row r="27352" spans="25:25" x14ac:dyDescent="0.25">
      <c r="Y27352" s="63"/>
    </row>
    <row r="27353" spans="25:25" x14ac:dyDescent="0.25">
      <c r="Y27353" s="63"/>
    </row>
    <row r="27354" spans="25:25" x14ac:dyDescent="0.25">
      <c r="Y27354" s="63"/>
    </row>
    <row r="27355" spans="25:25" x14ac:dyDescent="0.25">
      <c r="Y27355" s="63"/>
    </row>
    <row r="27356" spans="25:25" x14ac:dyDescent="0.25">
      <c r="Y27356" s="63"/>
    </row>
    <row r="27357" spans="25:25" x14ac:dyDescent="0.25">
      <c r="Y27357" s="63"/>
    </row>
    <row r="27358" spans="25:25" x14ac:dyDescent="0.25">
      <c r="Y27358" s="63"/>
    </row>
    <row r="27359" spans="25:25" x14ac:dyDescent="0.25">
      <c r="Y27359" s="63"/>
    </row>
    <row r="27360" spans="25:25" x14ac:dyDescent="0.25">
      <c r="Y27360" s="63"/>
    </row>
    <row r="27361" spans="25:25" x14ac:dyDescent="0.25">
      <c r="Y27361" s="63"/>
    </row>
    <row r="27362" spans="25:25" x14ac:dyDescent="0.25">
      <c r="Y27362" s="63"/>
    </row>
    <row r="27363" spans="25:25" x14ac:dyDescent="0.25">
      <c r="Y27363" s="63"/>
    </row>
    <row r="27364" spans="25:25" x14ac:dyDescent="0.25">
      <c r="Y27364" s="63"/>
    </row>
    <row r="27365" spans="25:25" x14ac:dyDescent="0.25">
      <c r="Y27365" s="63"/>
    </row>
    <row r="27366" spans="25:25" x14ac:dyDescent="0.25">
      <c r="Y27366" s="63"/>
    </row>
    <row r="27367" spans="25:25" x14ac:dyDescent="0.25">
      <c r="Y27367" s="63"/>
    </row>
    <row r="27368" spans="25:25" x14ac:dyDescent="0.25">
      <c r="Y27368" s="63"/>
    </row>
    <row r="27369" spans="25:25" x14ac:dyDescent="0.25">
      <c r="Y27369" s="63"/>
    </row>
    <row r="27370" spans="25:25" x14ac:dyDescent="0.25">
      <c r="Y27370" s="63"/>
    </row>
    <row r="27371" spans="25:25" x14ac:dyDescent="0.25">
      <c r="Y27371" s="63"/>
    </row>
    <row r="27372" spans="25:25" x14ac:dyDescent="0.25">
      <c r="Y27372" s="63"/>
    </row>
    <row r="27373" spans="25:25" x14ac:dyDescent="0.25">
      <c r="Y27373" s="63"/>
    </row>
    <row r="27374" spans="25:25" x14ac:dyDescent="0.25">
      <c r="Y27374" s="63"/>
    </row>
    <row r="27375" spans="25:25" x14ac:dyDescent="0.25">
      <c r="Y27375" s="63"/>
    </row>
    <row r="27376" spans="25:25" x14ac:dyDescent="0.25">
      <c r="Y27376" s="63"/>
    </row>
    <row r="27377" spans="25:25" x14ac:dyDescent="0.25">
      <c r="Y27377" s="63"/>
    </row>
    <row r="27378" spans="25:25" x14ac:dyDescent="0.25">
      <c r="Y27378" s="63"/>
    </row>
    <row r="27379" spans="25:25" x14ac:dyDescent="0.25">
      <c r="Y27379" s="63"/>
    </row>
    <row r="27380" spans="25:25" x14ac:dyDescent="0.25">
      <c r="Y27380" s="63"/>
    </row>
    <row r="27381" spans="25:25" x14ac:dyDescent="0.25">
      <c r="Y27381" s="63"/>
    </row>
    <row r="27382" spans="25:25" x14ac:dyDescent="0.25">
      <c r="Y27382" s="63"/>
    </row>
    <row r="27383" spans="25:25" x14ac:dyDescent="0.25">
      <c r="Y27383" s="63"/>
    </row>
    <row r="27384" spans="25:25" x14ac:dyDescent="0.25">
      <c r="Y27384" s="63"/>
    </row>
    <row r="27385" spans="25:25" x14ac:dyDescent="0.25">
      <c r="Y27385" s="63"/>
    </row>
    <row r="27386" spans="25:25" x14ac:dyDescent="0.25">
      <c r="Y27386" s="63"/>
    </row>
    <row r="27387" spans="25:25" x14ac:dyDescent="0.25">
      <c r="Y27387" s="63"/>
    </row>
    <row r="27388" spans="25:25" x14ac:dyDescent="0.25">
      <c r="Y27388" s="63"/>
    </row>
    <row r="27389" spans="25:25" x14ac:dyDescent="0.25">
      <c r="Y27389" s="63"/>
    </row>
    <row r="27390" spans="25:25" x14ac:dyDescent="0.25">
      <c r="Y27390" s="63"/>
    </row>
    <row r="27391" spans="25:25" x14ac:dyDescent="0.25">
      <c r="Y27391" s="63"/>
    </row>
    <row r="27392" spans="25:25" x14ac:dyDescent="0.25">
      <c r="Y27392" s="63"/>
    </row>
    <row r="27393" spans="25:25" x14ac:dyDescent="0.25">
      <c r="Y27393" s="63"/>
    </row>
    <row r="27394" spans="25:25" x14ac:dyDescent="0.25">
      <c r="Y27394" s="63"/>
    </row>
    <row r="27395" spans="25:25" x14ac:dyDescent="0.25">
      <c r="Y27395" s="63"/>
    </row>
    <row r="27396" spans="25:25" x14ac:dyDescent="0.25">
      <c r="Y27396" s="63"/>
    </row>
    <row r="27397" spans="25:25" x14ac:dyDescent="0.25">
      <c r="Y27397" s="63"/>
    </row>
    <row r="27398" spans="25:25" x14ac:dyDescent="0.25">
      <c r="Y27398" s="63"/>
    </row>
    <row r="27399" spans="25:25" x14ac:dyDescent="0.25">
      <c r="Y27399" s="63"/>
    </row>
    <row r="27400" spans="25:25" x14ac:dyDescent="0.25">
      <c r="Y27400" s="63"/>
    </row>
    <row r="27401" spans="25:25" x14ac:dyDescent="0.25">
      <c r="Y27401" s="63"/>
    </row>
    <row r="27402" spans="25:25" x14ac:dyDescent="0.25">
      <c r="Y27402" s="63"/>
    </row>
    <row r="27403" spans="25:25" x14ac:dyDescent="0.25">
      <c r="Y27403" s="63"/>
    </row>
    <row r="27404" spans="25:25" x14ac:dyDescent="0.25">
      <c r="Y27404" s="63"/>
    </row>
    <row r="27405" spans="25:25" x14ac:dyDescent="0.25">
      <c r="Y27405" s="63"/>
    </row>
    <row r="27406" spans="25:25" x14ac:dyDescent="0.25">
      <c r="Y27406" s="63"/>
    </row>
    <row r="27407" spans="25:25" x14ac:dyDescent="0.25">
      <c r="Y27407" s="63"/>
    </row>
    <row r="27408" spans="25:25" x14ac:dyDescent="0.25">
      <c r="Y27408" s="63"/>
    </row>
    <row r="27409" spans="25:25" x14ac:dyDescent="0.25">
      <c r="Y27409" s="63"/>
    </row>
    <row r="27410" spans="25:25" x14ac:dyDescent="0.25">
      <c r="Y27410" s="63"/>
    </row>
    <row r="27411" spans="25:25" x14ac:dyDescent="0.25">
      <c r="Y27411" s="63"/>
    </row>
    <row r="27412" spans="25:25" x14ac:dyDescent="0.25">
      <c r="Y27412" s="63"/>
    </row>
    <row r="27413" spans="25:25" x14ac:dyDescent="0.25">
      <c r="Y27413" s="63"/>
    </row>
    <row r="27414" spans="25:25" x14ac:dyDescent="0.25">
      <c r="Y27414" s="63"/>
    </row>
    <row r="27415" spans="25:25" x14ac:dyDescent="0.25">
      <c r="Y27415" s="63"/>
    </row>
    <row r="27416" spans="25:25" x14ac:dyDescent="0.25">
      <c r="Y27416" s="63"/>
    </row>
    <row r="27417" spans="25:25" x14ac:dyDescent="0.25">
      <c r="Y27417" s="63"/>
    </row>
    <row r="27418" spans="25:25" x14ac:dyDescent="0.25">
      <c r="Y27418" s="63"/>
    </row>
    <row r="27419" spans="25:25" x14ac:dyDescent="0.25">
      <c r="Y27419" s="63"/>
    </row>
    <row r="27420" spans="25:25" x14ac:dyDescent="0.25">
      <c r="Y27420" s="63"/>
    </row>
    <row r="27421" spans="25:25" x14ac:dyDescent="0.25">
      <c r="Y27421" s="63"/>
    </row>
    <row r="27422" spans="25:25" x14ac:dyDescent="0.25">
      <c r="Y27422" s="63"/>
    </row>
    <row r="27423" spans="25:25" x14ac:dyDescent="0.25">
      <c r="Y27423" s="63"/>
    </row>
    <row r="27424" spans="25:25" x14ac:dyDescent="0.25">
      <c r="Y27424" s="63"/>
    </row>
    <row r="27425" spans="25:25" x14ac:dyDescent="0.25">
      <c r="Y27425" s="63"/>
    </row>
    <row r="27426" spans="25:25" x14ac:dyDescent="0.25">
      <c r="Y27426" s="63"/>
    </row>
    <row r="27427" spans="25:25" x14ac:dyDescent="0.25">
      <c r="Y27427" s="63"/>
    </row>
    <row r="27428" spans="25:25" x14ac:dyDescent="0.25">
      <c r="Y27428" s="63"/>
    </row>
    <row r="27429" spans="25:25" x14ac:dyDescent="0.25">
      <c r="Y27429" s="63"/>
    </row>
    <row r="27430" spans="25:25" x14ac:dyDescent="0.25">
      <c r="Y27430" s="63"/>
    </row>
    <row r="27431" spans="25:25" x14ac:dyDescent="0.25">
      <c r="Y27431" s="63"/>
    </row>
    <row r="27432" spans="25:25" x14ac:dyDescent="0.25">
      <c r="Y27432" s="63"/>
    </row>
    <row r="27433" spans="25:25" x14ac:dyDescent="0.25">
      <c r="Y27433" s="63"/>
    </row>
    <row r="27434" spans="25:25" x14ac:dyDescent="0.25">
      <c r="Y27434" s="63"/>
    </row>
    <row r="27435" spans="25:25" x14ac:dyDescent="0.25">
      <c r="Y27435" s="63"/>
    </row>
    <row r="27436" spans="25:25" x14ac:dyDescent="0.25">
      <c r="Y27436" s="63"/>
    </row>
    <row r="27437" spans="25:25" x14ac:dyDescent="0.25">
      <c r="Y27437" s="63"/>
    </row>
    <row r="27438" spans="25:25" x14ac:dyDescent="0.25">
      <c r="Y27438" s="63"/>
    </row>
    <row r="27439" spans="25:25" x14ac:dyDescent="0.25">
      <c r="Y27439" s="63"/>
    </row>
    <row r="27440" spans="25:25" x14ac:dyDescent="0.25">
      <c r="Y27440" s="63"/>
    </row>
    <row r="27441" spans="25:25" x14ac:dyDescent="0.25">
      <c r="Y27441" s="63"/>
    </row>
    <row r="27442" spans="25:25" x14ac:dyDescent="0.25">
      <c r="Y27442" s="63"/>
    </row>
    <row r="27443" spans="25:25" x14ac:dyDescent="0.25">
      <c r="Y27443" s="63"/>
    </row>
    <row r="27444" spans="25:25" x14ac:dyDescent="0.25">
      <c r="Y27444" s="63"/>
    </row>
    <row r="27445" spans="25:25" x14ac:dyDescent="0.25">
      <c r="Y27445" s="63"/>
    </row>
    <row r="27446" spans="25:25" x14ac:dyDescent="0.25">
      <c r="Y27446" s="63"/>
    </row>
    <row r="27447" spans="25:25" x14ac:dyDescent="0.25">
      <c r="Y27447" s="63"/>
    </row>
    <row r="27448" spans="25:25" x14ac:dyDescent="0.25">
      <c r="Y27448" s="63"/>
    </row>
    <row r="27449" spans="25:25" x14ac:dyDescent="0.25">
      <c r="Y27449" s="63"/>
    </row>
    <row r="27450" spans="25:25" x14ac:dyDescent="0.25">
      <c r="Y27450" s="63"/>
    </row>
    <row r="27451" spans="25:25" x14ac:dyDescent="0.25">
      <c r="Y27451" s="63"/>
    </row>
    <row r="27452" spans="25:25" x14ac:dyDescent="0.25">
      <c r="Y27452" s="63"/>
    </row>
    <row r="27453" spans="25:25" x14ac:dyDescent="0.25">
      <c r="Y27453" s="63"/>
    </row>
    <row r="27454" spans="25:25" x14ac:dyDescent="0.25">
      <c r="Y27454" s="63"/>
    </row>
    <row r="27455" spans="25:25" x14ac:dyDescent="0.25">
      <c r="Y27455" s="63"/>
    </row>
    <row r="27456" spans="25:25" x14ac:dyDescent="0.25">
      <c r="Y27456" s="63"/>
    </row>
    <row r="27457" spans="25:25" x14ac:dyDescent="0.25">
      <c r="Y27457" s="63"/>
    </row>
    <row r="27458" spans="25:25" x14ac:dyDescent="0.25">
      <c r="Y27458" s="63"/>
    </row>
    <row r="27459" spans="25:25" x14ac:dyDescent="0.25">
      <c r="Y27459" s="63"/>
    </row>
    <row r="27460" spans="25:25" x14ac:dyDescent="0.25">
      <c r="Y27460" s="63"/>
    </row>
    <row r="27461" spans="25:25" x14ac:dyDescent="0.25">
      <c r="Y27461" s="63"/>
    </row>
    <row r="27462" spans="25:25" x14ac:dyDescent="0.25">
      <c r="Y27462" s="63"/>
    </row>
    <row r="27463" spans="25:25" x14ac:dyDescent="0.25">
      <c r="Y27463" s="63"/>
    </row>
    <row r="27464" spans="25:25" x14ac:dyDescent="0.25">
      <c r="Y27464" s="63"/>
    </row>
    <row r="27465" spans="25:25" x14ac:dyDescent="0.25">
      <c r="Y27465" s="63"/>
    </row>
    <row r="27466" spans="25:25" x14ac:dyDescent="0.25">
      <c r="Y27466" s="63"/>
    </row>
    <row r="27467" spans="25:25" x14ac:dyDescent="0.25">
      <c r="Y27467" s="63"/>
    </row>
    <row r="27468" spans="25:25" x14ac:dyDescent="0.25">
      <c r="Y27468" s="63"/>
    </row>
    <row r="27469" spans="25:25" x14ac:dyDescent="0.25">
      <c r="Y27469" s="63"/>
    </row>
    <row r="27470" spans="25:25" x14ac:dyDescent="0.25">
      <c r="Y27470" s="63"/>
    </row>
    <row r="27471" spans="25:25" x14ac:dyDescent="0.25">
      <c r="Y27471" s="63"/>
    </row>
    <row r="27472" spans="25:25" x14ac:dyDescent="0.25">
      <c r="Y27472" s="63"/>
    </row>
    <row r="27473" spans="25:25" x14ac:dyDescent="0.25">
      <c r="Y27473" s="63"/>
    </row>
    <row r="27474" spans="25:25" x14ac:dyDescent="0.25">
      <c r="Y27474" s="63"/>
    </row>
    <row r="27475" spans="25:25" x14ac:dyDescent="0.25">
      <c r="Y27475" s="63"/>
    </row>
    <row r="27476" spans="25:25" x14ac:dyDescent="0.25">
      <c r="Y27476" s="63"/>
    </row>
    <row r="27477" spans="25:25" x14ac:dyDescent="0.25">
      <c r="Y27477" s="63"/>
    </row>
    <row r="27478" spans="25:25" x14ac:dyDescent="0.25">
      <c r="Y27478" s="63"/>
    </row>
    <row r="27479" spans="25:25" x14ac:dyDescent="0.25">
      <c r="Y27479" s="63"/>
    </row>
    <row r="27480" spans="25:25" x14ac:dyDescent="0.25">
      <c r="Y27480" s="63"/>
    </row>
    <row r="27481" spans="25:25" x14ac:dyDescent="0.25">
      <c r="Y27481" s="63"/>
    </row>
    <row r="27482" spans="25:25" x14ac:dyDescent="0.25">
      <c r="Y27482" s="63"/>
    </row>
    <row r="27483" spans="25:25" x14ac:dyDescent="0.25">
      <c r="Y27483" s="63"/>
    </row>
    <row r="27484" spans="25:25" x14ac:dyDescent="0.25">
      <c r="Y27484" s="63"/>
    </row>
    <row r="27485" spans="25:25" x14ac:dyDescent="0.25">
      <c r="Y27485" s="63"/>
    </row>
    <row r="27486" spans="25:25" x14ac:dyDescent="0.25">
      <c r="Y27486" s="63"/>
    </row>
    <row r="27487" spans="25:25" x14ac:dyDescent="0.25">
      <c r="Y27487" s="63"/>
    </row>
    <row r="27488" spans="25:25" x14ac:dyDescent="0.25">
      <c r="Y27488" s="63"/>
    </row>
    <row r="27489" spans="25:25" x14ac:dyDescent="0.25">
      <c r="Y27489" s="63"/>
    </row>
    <row r="27490" spans="25:25" x14ac:dyDescent="0.25">
      <c r="Y27490" s="63"/>
    </row>
    <row r="27491" spans="25:25" x14ac:dyDescent="0.25">
      <c r="Y27491" s="63"/>
    </row>
    <row r="27492" spans="25:25" x14ac:dyDescent="0.25">
      <c r="Y27492" s="63"/>
    </row>
    <row r="27493" spans="25:25" x14ac:dyDescent="0.25">
      <c r="Y27493" s="63"/>
    </row>
    <row r="27494" spans="25:25" x14ac:dyDescent="0.25">
      <c r="Y27494" s="63"/>
    </row>
    <row r="27495" spans="25:25" x14ac:dyDescent="0.25">
      <c r="Y27495" s="63"/>
    </row>
    <row r="27496" spans="25:25" x14ac:dyDescent="0.25">
      <c r="Y27496" s="63"/>
    </row>
    <row r="27497" spans="25:25" x14ac:dyDescent="0.25">
      <c r="Y27497" s="63"/>
    </row>
    <row r="27498" spans="25:25" x14ac:dyDescent="0.25">
      <c r="Y27498" s="63"/>
    </row>
    <row r="27499" spans="25:25" x14ac:dyDescent="0.25">
      <c r="Y27499" s="63"/>
    </row>
    <row r="27500" spans="25:25" x14ac:dyDescent="0.25">
      <c r="Y27500" s="63"/>
    </row>
    <row r="27501" spans="25:25" x14ac:dyDescent="0.25">
      <c r="Y27501" s="63"/>
    </row>
    <row r="27502" spans="25:25" x14ac:dyDescent="0.25">
      <c r="Y27502" s="63"/>
    </row>
    <row r="27503" spans="25:25" x14ac:dyDescent="0.25">
      <c r="Y27503" s="63"/>
    </row>
    <row r="27504" spans="25:25" x14ac:dyDescent="0.25">
      <c r="Y27504" s="63"/>
    </row>
    <row r="27505" spans="25:25" x14ac:dyDescent="0.25">
      <c r="Y27505" s="63"/>
    </row>
    <row r="27506" spans="25:25" x14ac:dyDescent="0.25">
      <c r="Y27506" s="63"/>
    </row>
    <row r="27507" spans="25:25" x14ac:dyDescent="0.25">
      <c r="Y27507" s="63"/>
    </row>
    <row r="27508" spans="25:25" x14ac:dyDescent="0.25">
      <c r="Y27508" s="63"/>
    </row>
    <row r="27509" spans="25:25" x14ac:dyDescent="0.25">
      <c r="Y27509" s="63"/>
    </row>
    <row r="27510" spans="25:25" x14ac:dyDescent="0.25">
      <c r="Y27510" s="63"/>
    </row>
    <row r="27511" spans="25:25" x14ac:dyDescent="0.25">
      <c r="Y27511" s="63"/>
    </row>
    <row r="27512" spans="25:25" x14ac:dyDescent="0.25">
      <c r="Y27512" s="63"/>
    </row>
    <row r="27513" spans="25:25" x14ac:dyDescent="0.25">
      <c r="Y27513" s="63"/>
    </row>
    <row r="27514" spans="25:25" x14ac:dyDescent="0.25">
      <c r="Y27514" s="63"/>
    </row>
    <row r="27515" spans="25:25" x14ac:dyDescent="0.25">
      <c r="Y27515" s="63"/>
    </row>
    <row r="27516" spans="25:25" x14ac:dyDescent="0.25">
      <c r="Y27516" s="63"/>
    </row>
    <row r="27517" spans="25:25" x14ac:dyDescent="0.25">
      <c r="Y27517" s="63"/>
    </row>
    <row r="27518" spans="25:25" x14ac:dyDescent="0.25">
      <c r="Y27518" s="63"/>
    </row>
    <row r="27519" spans="25:25" x14ac:dyDescent="0.25">
      <c r="Y27519" s="63"/>
    </row>
    <row r="27520" spans="25:25" x14ac:dyDescent="0.25">
      <c r="Y27520" s="63"/>
    </row>
    <row r="27521" spans="25:25" x14ac:dyDescent="0.25">
      <c r="Y27521" s="63"/>
    </row>
    <row r="27522" spans="25:25" x14ac:dyDescent="0.25">
      <c r="Y27522" s="63"/>
    </row>
    <row r="27523" spans="25:25" x14ac:dyDescent="0.25">
      <c r="Y27523" s="63"/>
    </row>
    <row r="27524" spans="25:25" x14ac:dyDescent="0.25">
      <c r="Y27524" s="63"/>
    </row>
    <row r="27525" spans="25:25" x14ac:dyDescent="0.25">
      <c r="Y27525" s="63"/>
    </row>
    <row r="27526" spans="25:25" x14ac:dyDescent="0.25">
      <c r="Y27526" s="63"/>
    </row>
    <row r="27527" spans="25:25" x14ac:dyDescent="0.25">
      <c r="Y27527" s="63"/>
    </row>
    <row r="27528" spans="25:25" x14ac:dyDescent="0.25">
      <c r="Y27528" s="63"/>
    </row>
    <row r="27529" spans="25:25" x14ac:dyDescent="0.25">
      <c r="Y27529" s="63"/>
    </row>
    <row r="27530" spans="25:25" x14ac:dyDescent="0.25">
      <c r="Y27530" s="63"/>
    </row>
    <row r="27531" spans="25:25" x14ac:dyDescent="0.25">
      <c r="Y27531" s="63"/>
    </row>
    <row r="27532" spans="25:25" x14ac:dyDescent="0.25">
      <c r="Y27532" s="63"/>
    </row>
    <row r="27533" spans="25:25" x14ac:dyDescent="0.25">
      <c r="Y27533" s="63"/>
    </row>
    <row r="27534" spans="25:25" x14ac:dyDescent="0.25">
      <c r="Y27534" s="63"/>
    </row>
    <row r="27535" spans="25:25" x14ac:dyDescent="0.25">
      <c r="Y27535" s="63"/>
    </row>
    <row r="27536" spans="25:25" x14ac:dyDescent="0.25">
      <c r="Y27536" s="63"/>
    </row>
    <row r="27537" spans="25:25" x14ac:dyDescent="0.25">
      <c r="Y27537" s="63"/>
    </row>
    <row r="27538" spans="25:25" x14ac:dyDescent="0.25">
      <c r="Y27538" s="63"/>
    </row>
    <row r="27539" spans="25:25" x14ac:dyDescent="0.25">
      <c r="Y27539" s="63"/>
    </row>
    <row r="27540" spans="25:25" x14ac:dyDescent="0.25">
      <c r="Y27540" s="63"/>
    </row>
    <row r="27541" spans="25:25" x14ac:dyDescent="0.25">
      <c r="Y27541" s="63"/>
    </row>
    <row r="27542" spans="25:25" x14ac:dyDescent="0.25">
      <c r="Y27542" s="63"/>
    </row>
    <row r="27543" spans="25:25" x14ac:dyDescent="0.25">
      <c r="Y27543" s="63"/>
    </row>
    <row r="27544" spans="25:25" x14ac:dyDescent="0.25">
      <c r="Y27544" s="63"/>
    </row>
    <row r="27545" spans="25:25" x14ac:dyDescent="0.25">
      <c r="Y27545" s="63"/>
    </row>
    <row r="27546" spans="25:25" x14ac:dyDescent="0.25">
      <c r="Y27546" s="63"/>
    </row>
    <row r="27547" spans="25:25" x14ac:dyDescent="0.25">
      <c r="Y27547" s="63"/>
    </row>
    <row r="27548" spans="25:25" x14ac:dyDescent="0.25">
      <c r="Y27548" s="63"/>
    </row>
    <row r="27549" spans="25:25" x14ac:dyDescent="0.25">
      <c r="Y27549" s="63"/>
    </row>
    <row r="27550" spans="25:25" x14ac:dyDescent="0.25">
      <c r="Y27550" s="63"/>
    </row>
    <row r="27551" spans="25:25" x14ac:dyDescent="0.25">
      <c r="Y27551" s="63"/>
    </row>
    <row r="27552" spans="25:25" x14ac:dyDescent="0.25">
      <c r="Y27552" s="63"/>
    </row>
    <row r="27553" spans="25:25" x14ac:dyDescent="0.25">
      <c r="Y27553" s="63"/>
    </row>
    <row r="27554" spans="25:25" x14ac:dyDescent="0.25">
      <c r="Y27554" s="63"/>
    </row>
    <row r="27555" spans="25:25" x14ac:dyDescent="0.25">
      <c r="Y27555" s="63"/>
    </row>
    <row r="27556" spans="25:25" x14ac:dyDescent="0.25">
      <c r="Y27556" s="63"/>
    </row>
    <row r="27557" spans="25:25" x14ac:dyDescent="0.25">
      <c r="Y27557" s="63"/>
    </row>
    <row r="27558" spans="25:25" x14ac:dyDescent="0.25">
      <c r="Y27558" s="63"/>
    </row>
    <row r="27559" spans="25:25" x14ac:dyDescent="0.25">
      <c r="Y27559" s="63"/>
    </row>
    <row r="27560" spans="25:25" x14ac:dyDescent="0.25">
      <c r="Y27560" s="63"/>
    </row>
    <row r="27561" spans="25:25" x14ac:dyDescent="0.25">
      <c r="Y27561" s="63"/>
    </row>
    <row r="27562" spans="25:25" x14ac:dyDescent="0.25">
      <c r="Y27562" s="63"/>
    </row>
    <row r="27563" spans="25:25" x14ac:dyDescent="0.25">
      <c r="Y27563" s="63"/>
    </row>
    <row r="27564" spans="25:25" x14ac:dyDescent="0.25">
      <c r="Y27564" s="63"/>
    </row>
    <row r="27565" spans="25:25" x14ac:dyDescent="0.25">
      <c r="Y27565" s="63"/>
    </row>
    <row r="27566" spans="25:25" x14ac:dyDescent="0.25">
      <c r="Y27566" s="63"/>
    </row>
    <row r="27567" spans="25:25" x14ac:dyDescent="0.25">
      <c r="Y27567" s="63"/>
    </row>
    <row r="27568" spans="25:25" x14ac:dyDescent="0.25">
      <c r="Y27568" s="63"/>
    </row>
    <row r="27569" spans="25:25" x14ac:dyDescent="0.25">
      <c r="Y27569" s="63"/>
    </row>
    <row r="27570" spans="25:25" x14ac:dyDescent="0.25">
      <c r="Y27570" s="63"/>
    </row>
    <row r="27571" spans="25:25" x14ac:dyDescent="0.25">
      <c r="Y27571" s="63"/>
    </row>
    <row r="27572" spans="25:25" x14ac:dyDescent="0.25">
      <c r="Y27572" s="63"/>
    </row>
    <row r="27573" spans="25:25" x14ac:dyDescent="0.25">
      <c r="Y27573" s="63"/>
    </row>
    <row r="27574" spans="25:25" x14ac:dyDescent="0.25">
      <c r="Y27574" s="63"/>
    </row>
    <row r="27575" spans="25:25" x14ac:dyDescent="0.25">
      <c r="Y27575" s="63"/>
    </row>
    <row r="27576" spans="25:25" x14ac:dyDescent="0.25">
      <c r="Y27576" s="63"/>
    </row>
    <row r="27577" spans="25:25" x14ac:dyDescent="0.25">
      <c r="Y27577" s="63"/>
    </row>
    <row r="27578" spans="25:25" x14ac:dyDescent="0.25">
      <c r="Y27578" s="63"/>
    </row>
    <row r="27579" spans="25:25" x14ac:dyDescent="0.25">
      <c r="Y27579" s="63"/>
    </row>
    <row r="27580" spans="25:25" x14ac:dyDescent="0.25">
      <c r="Y27580" s="63"/>
    </row>
    <row r="27581" spans="25:25" x14ac:dyDescent="0.25">
      <c r="Y27581" s="63"/>
    </row>
    <row r="27582" spans="25:25" x14ac:dyDescent="0.25">
      <c r="Y27582" s="63"/>
    </row>
    <row r="27583" spans="25:25" x14ac:dyDescent="0.25">
      <c r="Y27583" s="63"/>
    </row>
    <row r="27584" spans="25:25" x14ac:dyDescent="0.25">
      <c r="Y27584" s="63"/>
    </row>
    <row r="27585" spans="25:25" x14ac:dyDescent="0.25">
      <c r="Y27585" s="63"/>
    </row>
    <row r="27586" spans="25:25" x14ac:dyDescent="0.25">
      <c r="Y27586" s="63"/>
    </row>
    <row r="27587" spans="25:25" x14ac:dyDescent="0.25">
      <c r="Y27587" s="63"/>
    </row>
    <row r="27588" spans="25:25" x14ac:dyDescent="0.25">
      <c r="Y27588" s="63"/>
    </row>
    <row r="27589" spans="25:25" x14ac:dyDescent="0.25">
      <c r="Y27589" s="63"/>
    </row>
    <row r="27590" spans="25:25" x14ac:dyDescent="0.25">
      <c r="Y27590" s="63"/>
    </row>
    <row r="27591" spans="25:25" x14ac:dyDescent="0.25">
      <c r="Y27591" s="63"/>
    </row>
    <row r="27592" spans="25:25" x14ac:dyDescent="0.25">
      <c r="Y27592" s="63"/>
    </row>
    <row r="27593" spans="25:25" x14ac:dyDescent="0.25">
      <c r="Y27593" s="63"/>
    </row>
    <row r="27594" spans="25:25" x14ac:dyDescent="0.25">
      <c r="Y27594" s="63"/>
    </row>
    <row r="27595" spans="25:25" x14ac:dyDescent="0.25">
      <c r="Y27595" s="63"/>
    </row>
    <row r="27596" spans="25:25" x14ac:dyDescent="0.25">
      <c r="Y27596" s="63"/>
    </row>
    <row r="27597" spans="25:25" x14ac:dyDescent="0.25">
      <c r="Y27597" s="63"/>
    </row>
    <row r="27598" spans="25:25" x14ac:dyDescent="0.25">
      <c r="Y27598" s="63"/>
    </row>
    <row r="27599" spans="25:25" x14ac:dyDescent="0.25">
      <c r="Y27599" s="63"/>
    </row>
    <row r="27600" spans="25:25" x14ac:dyDescent="0.25">
      <c r="Y27600" s="63"/>
    </row>
    <row r="27601" spans="25:25" x14ac:dyDescent="0.25">
      <c r="Y27601" s="63"/>
    </row>
    <row r="27602" spans="25:25" x14ac:dyDescent="0.25">
      <c r="Y27602" s="63"/>
    </row>
    <row r="27603" spans="25:25" x14ac:dyDescent="0.25">
      <c r="Y27603" s="63"/>
    </row>
    <row r="27604" spans="25:25" x14ac:dyDescent="0.25">
      <c r="Y27604" s="63"/>
    </row>
    <row r="27605" spans="25:25" x14ac:dyDescent="0.25">
      <c r="Y27605" s="63"/>
    </row>
    <row r="27606" spans="25:25" x14ac:dyDescent="0.25">
      <c r="Y27606" s="63"/>
    </row>
    <row r="27607" spans="25:25" x14ac:dyDescent="0.25">
      <c r="Y27607" s="63"/>
    </row>
    <row r="27608" spans="25:25" x14ac:dyDescent="0.25">
      <c r="Y27608" s="63"/>
    </row>
    <row r="27609" spans="25:25" x14ac:dyDescent="0.25">
      <c r="Y27609" s="63"/>
    </row>
    <row r="27610" spans="25:25" x14ac:dyDescent="0.25">
      <c r="Y27610" s="63"/>
    </row>
    <row r="27611" spans="25:25" x14ac:dyDescent="0.25">
      <c r="Y27611" s="63"/>
    </row>
    <row r="27612" spans="25:25" x14ac:dyDescent="0.25">
      <c r="Y27612" s="63"/>
    </row>
    <row r="27613" spans="25:25" x14ac:dyDescent="0.25">
      <c r="Y27613" s="63"/>
    </row>
    <row r="27614" spans="25:25" x14ac:dyDescent="0.25">
      <c r="Y27614" s="63"/>
    </row>
    <row r="27615" spans="25:25" x14ac:dyDescent="0.25">
      <c r="Y27615" s="63"/>
    </row>
    <row r="27616" spans="25:25" x14ac:dyDescent="0.25">
      <c r="Y27616" s="63"/>
    </row>
    <row r="27617" spans="25:25" x14ac:dyDescent="0.25">
      <c r="Y27617" s="63"/>
    </row>
    <row r="27618" spans="25:25" x14ac:dyDescent="0.25">
      <c r="Y27618" s="63"/>
    </row>
    <row r="27619" spans="25:25" x14ac:dyDescent="0.25">
      <c r="Y27619" s="63"/>
    </row>
    <row r="27620" spans="25:25" x14ac:dyDescent="0.25">
      <c r="Y27620" s="63"/>
    </row>
    <row r="27621" spans="25:25" x14ac:dyDescent="0.25">
      <c r="Y27621" s="63"/>
    </row>
    <row r="27622" spans="25:25" x14ac:dyDescent="0.25">
      <c r="Y27622" s="63"/>
    </row>
    <row r="27623" spans="25:25" x14ac:dyDescent="0.25">
      <c r="Y27623" s="63"/>
    </row>
    <row r="27624" spans="25:25" x14ac:dyDescent="0.25">
      <c r="Y27624" s="63"/>
    </row>
    <row r="27625" spans="25:25" x14ac:dyDescent="0.25">
      <c r="Y27625" s="63"/>
    </row>
    <row r="27626" spans="25:25" x14ac:dyDescent="0.25">
      <c r="Y27626" s="63"/>
    </row>
    <row r="27627" spans="25:25" x14ac:dyDescent="0.25">
      <c r="Y27627" s="63"/>
    </row>
    <row r="27628" spans="25:25" x14ac:dyDescent="0.25">
      <c r="Y27628" s="63"/>
    </row>
    <row r="27629" spans="25:25" x14ac:dyDescent="0.25">
      <c r="Y27629" s="63"/>
    </row>
    <row r="27630" spans="25:25" x14ac:dyDescent="0.25">
      <c r="Y27630" s="63"/>
    </row>
    <row r="27631" spans="25:25" x14ac:dyDescent="0.25">
      <c r="Y27631" s="63"/>
    </row>
    <row r="27632" spans="25:25" x14ac:dyDescent="0.25">
      <c r="Y27632" s="63"/>
    </row>
    <row r="27633" spans="25:25" x14ac:dyDescent="0.25">
      <c r="Y27633" s="63"/>
    </row>
    <row r="27634" spans="25:25" x14ac:dyDescent="0.25">
      <c r="Y27634" s="63"/>
    </row>
    <row r="27635" spans="25:25" x14ac:dyDescent="0.25">
      <c r="Y27635" s="63"/>
    </row>
    <row r="27636" spans="25:25" x14ac:dyDescent="0.25">
      <c r="Y27636" s="63"/>
    </row>
    <row r="27637" spans="25:25" x14ac:dyDescent="0.25">
      <c r="Y27637" s="63"/>
    </row>
    <row r="27638" spans="25:25" x14ac:dyDescent="0.25">
      <c r="Y27638" s="63"/>
    </row>
    <row r="27639" spans="25:25" x14ac:dyDescent="0.25">
      <c r="Y27639" s="63"/>
    </row>
    <row r="27640" spans="25:25" x14ac:dyDescent="0.25">
      <c r="Y27640" s="63"/>
    </row>
    <row r="27641" spans="25:25" x14ac:dyDescent="0.25">
      <c r="Y27641" s="63"/>
    </row>
    <row r="27642" spans="25:25" x14ac:dyDescent="0.25">
      <c r="Y27642" s="63"/>
    </row>
    <row r="27643" spans="25:25" x14ac:dyDescent="0.25">
      <c r="Y27643" s="63"/>
    </row>
    <row r="27644" spans="25:25" x14ac:dyDescent="0.25">
      <c r="Y27644" s="63"/>
    </row>
    <row r="27645" spans="25:25" x14ac:dyDescent="0.25">
      <c r="Y27645" s="63"/>
    </row>
    <row r="27646" spans="25:25" x14ac:dyDescent="0.25">
      <c r="Y27646" s="63"/>
    </row>
    <row r="27647" spans="25:25" x14ac:dyDescent="0.25">
      <c r="Y27647" s="63"/>
    </row>
    <row r="27648" spans="25:25" x14ac:dyDescent="0.25">
      <c r="Y27648" s="63"/>
    </row>
    <row r="27649" spans="25:25" x14ac:dyDescent="0.25">
      <c r="Y27649" s="63"/>
    </row>
    <row r="27650" spans="25:25" x14ac:dyDescent="0.25">
      <c r="Y27650" s="63"/>
    </row>
    <row r="27651" spans="25:25" x14ac:dyDescent="0.25">
      <c r="Y27651" s="63"/>
    </row>
    <row r="27652" spans="25:25" x14ac:dyDescent="0.25">
      <c r="Y27652" s="63"/>
    </row>
    <row r="27653" spans="25:25" x14ac:dyDescent="0.25">
      <c r="Y27653" s="63"/>
    </row>
    <row r="27654" spans="25:25" x14ac:dyDescent="0.25">
      <c r="Y27654" s="63"/>
    </row>
    <row r="27655" spans="25:25" x14ac:dyDescent="0.25">
      <c r="Y27655" s="63"/>
    </row>
    <row r="27656" spans="25:25" x14ac:dyDescent="0.25">
      <c r="Y27656" s="63"/>
    </row>
    <row r="27657" spans="25:25" x14ac:dyDescent="0.25">
      <c r="Y27657" s="63"/>
    </row>
    <row r="27658" spans="25:25" x14ac:dyDescent="0.25">
      <c r="Y27658" s="63"/>
    </row>
    <row r="27659" spans="25:25" x14ac:dyDescent="0.25">
      <c r="Y27659" s="63"/>
    </row>
    <row r="27660" spans="25:25" x14ac:dyDescent="0.25">
      <c r="Y27660" s="63"/>
    </row>
    <row r="27661" spans="25:25" x14ac:dyDescent="0.25">
      <c r="Y27661" s="63"/>
    </row>
    <row r="27662" spans="25:25" x14ac:dyDescent="0.25">
      <c r="Y27662" s="63"/>
    </row>
    <row r="27663" spans="25:25" x14ac:dyDescent="0.25">
      <c r="Y27663" s="63"/>
    </row>
    <row r="27664" spans="25:25" x14ac:dyDescent="0.25">
      <c r="Y27664" s="63"/>
    </row>
    <row r="27665" spans="25:25" x14ac:dyDescent="0.25">
      <c r="Y27665" s="63"/>
    </row>
    <row r="27666" spans="25:25" x14ac:dyDescent="0.25">
      <c r="Y27666" s="63"/>
    </row>
    <row r="27667" spans="25:25" x14ac:dyDescent="0.25">
      <c r="Y27667" s="63"/>
    </row>
    <row r="27668" spans="25:25" x14ac:dyDescent="0.25">
      <c r="Y27668" s="63"/>
    </row>
    <row r="27669" spans="25:25" x14ac:dyDescent="0.25">
      <c r="Y27669" s="63"/>
    </row>
    <row r="27670" spans="25:25" x14ac:dyDescent="0.25">
      <c r="Y27670" s="63"/>
    </row>
    <row r="27671" spans="25:25" x14ac:dyDescent="0.25">
      <c r="Y27671" s="63"/>
    </row>
    <row r="27672" spans="25:25" x14ac:dyDescent="0.25">
      <c r="Y27672" s="63"/>
    </row>
    <row r="27673" spans="25:25" x14ac:dyDescent="0.25">
      <c r="Y27673" s="63"/>
    </row>
    <row r="27674" spans="25:25" x14ac:dyDescent="0.25">
      <c r="Y27674" s="63"/>
    </row>
    <row r="27675" spans="25:25" x14ac:dyDescent="0.25">
      <c r="Y27675" s="63"/>
    </row>
    <row r="27676" spans="25:25" x14ac:dyDescent="0.25">
      <c r="Y27676" s="63"/>
    </row>
    <row r="27677" spans="25:25" x14ac:dyDescent="0.25">
      <c r="Y27677" s="63"/>
    </row>
    <row r="27678" spans="25:25" x14ac:dyDescent="0.25">
      <c r="Y27678" s="63"/>
    </row>
    <row r="27679" spans="25:25" x14ac:dyDescent="0.25">
      <c r="Y27679" s="63"/>
    </row>
    <row r="27680" spans="25:25" x14ac:dyDescent="0.25">
      <c r="Y27680" s="63"/>
    </row>
    <row r="27681" spans="25:25" x14ac:dyDescent="0.25">
      <c r="Y27681" s="63"/>
    </row>
    <row r="27682" spans="25:25" x14ac:dyDescent="0.25">
      <c r="Y27682" s="63"/>
    </row>
    <row r="27683" spans="25:25" x14ac:dyDescent="0.25">
      <c r="Y27683" s="63"/>
    </row>
    <row r="27684" spans="25:25" x14ac:dyDescent="0.25">
      <c r="Y27684" s="63"/>
    </row>
    <row r="27685" spans="25:25" x14ac:dyDescent="0.25">
      <c r="Y27685" s="63"/>
    </row>
    <row r="27686" spans="25:25" x14ac:dyDescent="0.25">
      <c r="Y27686" s="63"/>
    </row>
    <row r="27687" spans="25:25" x14ac:dyDescent="0.25">
      <c r="Y27687" s="63"/>
    </row>
    <row r="27688" spans="25:25" x14ac:dyDescent="0.25">
      <c r="Y27688" s="63"/>
    </row>
    <row r="27689" spans="25:25" x14ac:dyDescent="0.25">
      <c r="Y27689" s="63"/>
    </row>
    <row r="27690" spans="25:25" x14ac:dyDescent="0.25">
      <c r="Y27690" s="63"/>
    </row>
    <row r="27691" spans="25:25" x14ac:dyDescent="0.25">
      <c r="Y27691" s="63"/>
    </row>
    <row r="27692" spans="25:25" x14ac:dyDescent="0.25">
      <c r="Y27692" s="63"/>
    </row>
    <row r="27693" spans="25:25" x14ac:dyDescent="0.25">
      <c r="Y27693" s="63"/>
    </row>
    <row r="27694" spans="25:25" x14ac:dyDescent="0.25">
      <c r="Y27694" s="63"/>
    </row>
    <row r="27695" spans="25:25" x14ac:dyDescent="0.25">
      <c r="Y27695" s="63"/>
    </row>
    <row r="27696" spans="25:25" x14ac:dyDescent="0.25">
      <c r="Y27696" s="63"/>
    </row>
    <row r="27697" spans="25:25" x14ac:dyDescent="0.25">
      <c r="Y27697" s="63"/>
    </row>
    <row r="27698" spans="25:25" x14ac:dyDescent="0.25">
      <c r="Y27698" s="63"/>
    </row>
    <row r="27699" spans="25:25" x14ac:dyDescent="0.25">
      <c r="Y27699" s="63"/>
    </row>
    <row r="27700" spans="25:25" x14ac:dyDescent="0.25">
      <c r="Y27700" s="63"/>
    </row>
    <row r="27701" spans="25:25" x14ac:dyDescent="0.25">
      <c r="Y27701" s="63"/>
    </row>
    <row r="27702" spans="25:25" x14ac:dyDescent="0.25">
      <c r="Y27702" s="63"/>
    </row>
    <row r="27703" spans="25:25" x14ac:dyDescent="0.25">
      <c r="Y27703" s="63"/>
    </row>
    <row r="27704" spans="25:25" x14ac:dyDescent="0.25">
      <c r="Y27704" s="63"/>
    </row>
    <row r="27705" spans="25:25" x14ac:dyDescent="0.25">
      <c r="Y27705" s="63"/>
    </row>
    <row r="27706" spans="25:25" x14ac:dyDescent="0.25">
      <c r="Y27706" s="63"/>
    </row>
    <row r="27707" spans="25:25" x14ac:dyDescent="0.25">
      <c r="Y27707" s="63"/>
    </row>
    <row r="27708" spans="25:25" x14ac:dyDescent="0.25">
      <c r="Y27708" s="63"/>
    </row>
    <row r="27709" spans="25:25" x14ac:dyDescent="0.25">
      <c r="Y27709" s="63"/>
    </row>
    <row r="27710" spans="25:25" x14ac:dyDescent="0.25">
      <c r="Y27710" s="63"/>
    </row>
    <row r="27711" spans="25:25" x14ac:dyDescent="0.25">
      <c r="Y27711" s="63"/>
    </row>
    <row r="27712" spans="25:25" x14ac:dyDescent="0.25">
      <c r="Y27712" s="63"/>
    </row>
    <row r="27713" spans="25:25" x14ac:dyDescent="0.25">
      <c r="Y27713" s="63"/>
    </row>
    <row r="27714" spans="25:25" x14ac:dyDescent="0.25">
      <c r="Y27714" s="63"/>
    </row>
    <row r="27715" spans="25:25" x14ac:dyDescent="0.25">
      <c r="Y27715" s="63"/>
    </row>
    <row r="27716" spans="25:25" x14ac:dyDescent="0.25">
      <c r="Y27716" s="63"/>
    </row>
    <row r="27717" spans="25:25" x14ac:dyDescent="0.25">
      <c r="Y27717" s="63"/>
    </row>
    <row r="27718" spans="25:25" x14ac:dyDescent="0.25">
      <c r="Y27718" s="63"/>
    </row>
    <row r="27719" spans="25:25" x14ac:dyDescent="0.25">
      <c r="Y27719" s="63"/>
    </row>
    <row r="27720" spans="25:25" x14ac:dyDescent="0.25">
      <c r="Y27720" s="63"/>
    </row>
    <row r="27721" spans="25:25" x14ac:dyDescent="0.25">
      <c r="Y27721" s="63"/>
    </row>
    <row r="27722" spans="25:25" x14ac:dyDescent="0.25">
      <c r="Y27722" s="63"/>
    </row>
    <row r="27723" spans="25:25" x14ac:dyDescent="0.25">
      <c r="Y27723" s="63"/>
    </row>
    <row r="27724" spans="25:25" x14ac:dyDescent="0.25">
      <c r="Y27724" s="63"/>
    </row>
    <row r="27725" spans="25:25" x14ac:dyDescent="0.25">
      <c r="Y27725" s="63"/>
    </row>
    <row r="27726" spans="25:25" x14ac:dyDescent="0.25">
      <c r="Y27726" s="63"/>
    </row>
    <row r="27727" spans="25:25" x14ac:dyDescent="0.25">
      <c r="Y27727" s="63"/>
    </row>
    <row r="27728" spans="25:25" x14ac:dyDescent="0.25">
      <c r="Y27728" s="63"/>
    </row>
    <row r="27729" spans="25:25" x14ac:dyDescent="0.25">
      <c r="Y27729" s="63"/>
    </row>
    <row r="27730" spans="25:25" x14ac:dyDescent="0.25">
      <c r="Y27730" s="63"/>
    </row>
    <row r="27731" spans="25:25" x14ac:dyDescent="0.25">
      <c r="Y27731" s="63"/>
    </row>
    <row r="27732" spans="25:25" x14ac:dyDescent="0.25">
      <c r="Y27732" s="63"/>
    </row>
    <row r="27733" spans="25:25" x14ac:dyDescent="0.25">
      <c r="Y27733" s="63"/>
    </row>
    <row r="27734" spans="25:25" x14ac:dyDescent="0.25">
      <c r="Y27734" s="63"/>
    </row>
    <row r="27735" spans="25:25" x14ac:dyDescent="0.25">
      <c r="Y27735" s="63"/>
    </row>
    <row r="27736" spans="25:25" x14ac:dyDescent="0.25">
      <c r="Y27736" s="63"/>
    </row>
    <row r="27737" spans="25:25" x14ac:dyDescent="0.25">
      <c r="Y27737" s="63"/>
    </row>
    <row r="27738" spans="25:25" x14ac:dyDescent="0.25">
      <c r="Y27738" s="63"/>
    </row>
    <row r="27739" spans="25:25" x14ac:dyDescent="0.25">
      <c r="Y27739" s="63"/>
    </row>
    <row r="27740" spans="25:25" x14ac:dyDescent="0.25">
      <c r="Y27740" s="63"/>
    </row>
    <row r="27741" spans="25:25" x14ac:dyDescent="0.25">
      <c r="Y27741" s="63"/>
    </row>
    <row r="27742" spans="25:25" x14ac:dyDescent="0.25">
      <c r="Y27742" s="63"/>
    </row>
    <row r="27743" spans="25:25" x14ac:dyDescent="0.25">
      <c r="Y27743" s="63"/>
    </row>
    <row r="27744" spans="25:25" x14ac:dyDescent="0.25">
      <c r="Y27744" s="63"/>
    </row>
    <row r="27745" spans="25:25" x14ac:dyDescent="0.25">
      <c r="Y27745" s="63"/>
    </row>
    <row r="27746" spans="25:25" x14ac:dyDescent="0.25">
      <c r="Y27746" s="63"/>
    </row>
    <row r="27747" spans="25:25" x14ac:dyDescent="0.25">
      <c r="Y27747" s="63"/>
    </row>
    <row r="27748" spans="25:25" x14ac:dyDescent="0.25">
      <c r="Y27748" s="63"/>
    </row>
    <row r="27749" spans="25:25" x14ac:dyDescent="0.25">
      <c r="Y27749" s="63"/>
    </row>
    <row r="27750" spans="25:25" x14ac:dyDescent="0.25">
      <c r="Y27750" s="63"/>
    </row>
    <row r="27751" spans="25:25" x14ac:dyDescent="0.25">
      <c r="Y27751" s="63"/>
    </row>
    <row r="27752" spans="25:25" x14ac:dyDescent="0.25">
      <c r="Y27752" s="63"/>
    </row>
    <row r="27753" spans="25:25" x14ac:dyDescent="0.25">
      <c r="Y27753" s="63"/>
    </row>
    <row r="27754" spans="25:25" x14ac:dyDescent="0.25">
      <c r="Y27754" s="63"/>
    </row>
    <row r="27755" spans="25:25" x14ac:dyDescent="0.25">
      <c r="Y27755" s="63"/>
    </row>
    <row r="27756" spans="25:25" x14ac:dyDescent="0.25">
      <c r="Y27756" s="63"/>
    </row>
    <row r="27757" spans="25:25" x14ac:dyDescent="0.25">
      <c r="Y27757" s="63"/>
    </row>
    <row r="27758" spans="25:25" x14ac:dyDescent="0.25">
      <c r="Y27758" s="63"/>
    </row>
    <row r="27759" spans="25:25" x14ac:dyDescent="0.25">
      <c r="Y27759" s="63"/>
    </row>
    <row r="27760" spans="25:25" x14ac:dyDescent="0.25">
      <c r="Y27760" s="63"/>
    </row>
    <row r="27761" spans="25:25" x14ac:dyDescent="0.25">
      <c r="Y27761" s="63"/>
    </row>
    <row r="27762" spans="25:25" x14ac:dyDescent="0.25">
      <c r="Y27762" s="63"/>
    </row>
    <row r="27763" spans="25:25" x14ac:dyDescent="0.25">
      <c r="Y27763" s="63"/>
    </row>
    <row r="27764" spans="25:25" x14ac:dyDescent="0.25">
      <c r="Y27764" s="63"/>
    </row>
    <row r="27765" spans="25:25" x14ac:dyDescent="0.25">
      <c r="Y27765" s="63"/>
    </row>
    <row r="27766" spans="25:25" x14ac:dyDescent="0.25">
      <c r="Y27766" s="63"/>
    </row>
    <row r="27767" spans="25:25" x14ac:dyDescent="0.25">
      <c r="Y27767" s="63"/>
    </row>
    <row r="27768" spans="25:25" x14ac:dyDescent="0.25">
      <c r="Y27768" s="63"/>
    </row>
    <row r="27769" spans="25:25" x14ac:dyDescent="0.25">
      <c r="Y27769" s="63"/>
    </row>
    <row r="27770" spans="25:25" x14ac:dyDescent="0.25">
      <c r="Y27770" s="63"/>
    </row>
    <row r="27771" spans="25:25" x14ac:dyDescent="0.25">
      <c r="Y27771" s="63"/>
    </row>
    <row r="27772" spans="25:25" x14ac:dyDescent="0.25">
      <c r="Y27772" s="63"/>
    </row>
    <row r="27773" spans="25:25" x14ac:dyDescent="0.25">
      <c r="Y27773" s="63"/>
    </row>
    <row r="27774" spans="25:25" x14ac:dyDescent="0.25">
      <c r="Y27774" s="63"/>
    </row>
    <row r="27775" spans="25:25" x14ac:dyDescent="0.25">
      <c r="Y27775" s="63"/>
    </row>
    <row r="27776" spans="25:25" x14ac:dyDescent="0.25">
      <c r="Y27776" s="63"/>
    </row>
    <row r="27777" spans="25:25" x14ac:dyDescent="0.25">
      <c r="Y27777" s="63"/>
    </row>
    <row r="27778" spans="25:25" x14ac:dyDescent="0.25">
      <c r="Y27778" s="63"/>
    </row>
    <row r="27779" spans="25:25" x14ac:dyDescent="0.25">
      <c r="Y27779" s="63"/>
    </row>
    <row r="27780" spans="25:25" x14ac:dyDescent="0.25">
      <c r="Y27780" s="63"/>
    </row>
    <row r="27781" spans="25:25" x14ac:dyDescent="0.25">
      <c r="Y27781" s="63"/>
    </row>
    <row r="27782" spans="25:25" x14ac:dyDescent="0.25">
      <c r="Y27782" s="63"/>
    </row>
    <row r="27783" spans="25:25" x14ac:dyDescent="0.25">
      <c r="Y27783" s="63"/>
    </row>
    <row r="27784" spans="25:25" x14ac:dyDescent="0.25">
      <c r="Y27784" s="63"/>
    </row>
    <row r="27785" spans="25:25" x14ac:dyDescent="0.25">
      <c r="Y27785" s="63"/>
    </row>
    <row r="27786" spans="25:25" x14ac:dyDescent="0.25">
      <c r="Y27786" s="63"/>
    </row>
    <row r="27787" spans="25:25" x14ac:dyDescent="0.25">
      <c r="Y27787" s="63"/>
    </row>
    <row r="27788" spans="25:25" x14ac:dyDescent="0.25">
      <c r="Y27788" s="63"/>
    </row>
    <row r="27789" spans="25:25" x14ac:dyDescent="0.25">
      <c r="Y27789" s="63"/>
    </row>
    <row r="27790" spans="25:25" x14ac:dyDescent="0.25">
      <c r="Y27790" s="63"/>
    </row>
    <row r="27791" spans="25:25" x14ac:dyDescent="0.25">
      <c r="Y27791" s="63"/>
    </row>
    <row r="27792" spans="25:25" x14ac:dyDescent="0.25">
      <c r="Y27792" s="63"/>
    </row>
    <row r="27793" spans="25:25" x14ac:dyDescent="0.25">
      <c r="Y27793" s="63"/>
    </row>
    <row r="27794" spans="25:25" x14ac:dyDescent="0.25">
      <c r="Y27794" s="63"/>
    </row>
    <row r="27795" spans="25:25" x14ac:dyDescent="0.25">
      <c r="Y27795" s="63"/>
    </row>
    <row r="27796" spans="25:25" x14ac:dyDescent="0.25">
      <c r="Y27796" s="63"/>
    </row>
    <row r="27797" spans="25:25" x14ac:dyDescent="0.25">
      <c r="Y27797" s="63"/>
    </row>
    <row r="27798" spans="25:25" x14ac:dyDescent="0.25">
      <c r="Y27798" s="63"/>
    </row>
    <row r="27799" spans="25:25" x14ac:dyDescent="0.25">
      <c r="Y27799" s="63"/>
    </row>
    <row r="27800" spans="25:25" x14ac:dyDescent="0.25">
      <c r="Y27800" s="63"/>
    </row>
    <row r="27801" spans="25:25" x14ac:dyDescent="0.25">
      <c r="Y27801" s="63"/>
    </row>
    <row r="27802" spans="25:25" x14ac:dyDescent="0.25">
      <c r="Y27802" s="63"/>
    </row>
    <row r="27803" spans="25:25" x14ac:dyDescent="0.25">
      <c r="Y27803" s="63"/>
    </row>
    <row r="27804" spans="25:25" x14ac:dyDescent="0.25">
      <c r="Y27804" s="63"/>
    </row>
    <row r="27805" spans="25:25" x14ac:dyDescent="0.25">
      <c r="Y27805" s="63"/>
    </row>
    <row r="27806" spans="25:25" x14ac:dyDescent="0.25">
      <c r="Y27806" s="63"/>
    </row>
    <row r="27807" spans="25:25" x14ac:dyDescent="0.25">
      <c r="Y27807" s="63"/>
    </row>
    <row r="27808" spans="25:25" x14ac:dyDescent="0.25">
      <c r="Y27808" s="63"/>
    </row>
    <row r="27809" spans="25:25" x14ac:dyDescent="0.25">
      <c r="Y27809" s="63"/>
    </row>
    <row r="27810" spans="25:25" x14ac:dyDescent="0.25">
      <c r="Y27810" s="63"/>
    </row>
    <row r="27811" spans="25:25" x14ac:dyDescent="0.25">
      <c r="Y27811" s="63"/>
    </row>
    <row r="27812" spans="25:25" x14ac:dyDescent="0.25">
      <c r="Y27812" s="63"/>
    </row>
    <row r="27813" spans="25:25" x14ac:dyDescent="0.25">
      <c r="Y27813" s="63"/>
    </row>
    <row r="27814" spans="25:25" x14ac:dyDescent="0.25">
      <c r="Y27814" s="63"/>
    </row>
    <row r="27815" spans="25:25" x14ac:dyDescent="0.25">
      <c r="Y27815" s="63"/>
    </row>
    <row r="27816" spans="25:25" x14ac:dyDescent="0.25">
      <c r="Y27816" s="63"/>
    </row>
    <row r="27817" spans="25:25" x14ac:dyDescent="0.25">
      <c r="Y27817" s="63"/>
    </row>
    <row r="27818" spans="25:25" x14ac:dyDescent="0.25">
      <c r="Y27818" s="63"/>
    </row>
    <row r="27819" spans="25:25" x14ac:dyDescent="0.25">
      <c r="Y27819" s="63"/>
    </row>
    <row r="27820" spans="25:25" x14ac:dyDescent="0.25">
      <c r="Y27820" s="63"/>
    </row>
    <row r="27821" spans="25:25" x14ac:dyDescent="0.25">
      <c r="Y27821" s="63"/>
    </row>
    <row r="27822" spans="25:25" x14ac:dyDescent="0.25">
      <c r="Y27822" s="63"/>
    </row>
    <row r="27823" spans="25:25" x14ac:dyDescent="0.25">
      <c r="Y27823" s="63"/>
    </row>
    <row r="27824" spans="25:25" x14ac:dyDescent="0.25">
      <c r="Y27824" s="63"/>
    </row>
    <row r="27825" spans="25:25" x14ac:dyDescent="0.25">
      <c r="Y27825" s="63"/>
    </row>
    <row r="27826" spans="25:25" x14ac:dyDescent="0.25">
      <c r="Y27826" s="63"/>
    </row>
    <row r="27827" spans="25:25" x14ac:dyDescent="0.25">
      <c r="Y27827" s="63"/>
    </row>
    <row r="27828" spans="25:25" x14ac:dyDescent="0.25">
      <c r="Y27828" s="63"/>
    </row>
    <row r="27829" spans="25:25" x14ac:dyDescent="0.25">
      <c r="Y27829" s="63"/>
    </row>
    <row r="27830" spans="25:25" x14ac:dyDescent="0.25">
      <c r="Y27830" s="63"/>
    </row>
    <row r="27831" spans="25:25" x14ac:dyDescent="0.25">
      <c r="Y27831" s="63"/>
    </row>
    <row r="27832" spans="25:25" x14ac:dyDescent="0.25">
      <c r="Y27832" s="63"/>
    </row>
    <row r="27833" spans="25:25" x14ac:dyDescent="0.25">
      <c r="Y27833" s="63"/>
    </row>
    <row r="27834" spans="25:25" x14ac:dyDescent="0.25">
      <c r="Y27834" s="63"/>
    </row>
    <row r="27835" spans="25:25" x14ac:dyDescent="0.25">
      <c r="Y27835" s="63"/>
    </row>
    <row r="27836" spans="25:25" x14ac:dyDescent="0.25">
      <c r="Y27836" s="63"/>
    </row>
    <row r="27837" spans="25:25" x14ac:dyDescent="0.25">
      <c r="Y27837" s="63"/>
    </row>
    <row r="27838" spans="25:25" x14ac:dyDescent="0.25">
      <c r="Y27838" s="63"/>
    </row>
    <row r="27839" spans="25:25" x14ac:dyDescent="0.25">
      <c r="Y27839" s="63"/>
    </row>
    <row r="27840" spans="25:25" x14ac:dyDescent="0.25">
      <c r="Y27840" s="63"/>
    </row>
    <row r="27841" spans="25:25" x14ac:dyDescent="0.25">
      <c r="Y27841" s="63"/>
    </row>
    <row r="27842" spans="25:25" x14ac:dyDescent="0.25">
      <c r="Y27842" s="63"/>
    </row>
    <row r="27843" spans="25:25" x14ac:dyDescent="0.25">
      <c r="Y27843" s="63"/>
    </row>
    <row r="27844" spans="25:25" x14ac:dyDescent="0.25">
      <c r="Y27844" s="63"/>
    </row>
    <row r="27845" spans="25:25" x14ac:dyDescent="0.25">
      <c r="Y27845" s="63"/>
    </row>
    <row r="27846" spans="25:25" x14ac:dyDescent="0.25">
      <c r="Y27846" s="63"/>
    </row>
    <row r="27847" spans="25:25" x14ac:dyDescent="0.25">
      <c r="Y27847" s="63"/>
    </row>
    <row r="27848" spans="25:25" x14ac:dyDescent="0.25">
      <c r="Y27848" s="63"/>
    </row>
    <row r="27849" spans="25:25" x14ac:dyDescent="0.25">
      <c r="Y27849" s="63"/>
    </row>
    <row r="27850" spans="25:25" x14ac:dyDescent="0.25">
      <c r="Y27850" s="63"/>
    </row>
    <row r="27851" spans="25:25" x14ac:dyDescent="0.25">
      <c r="Y27851" s="63"/>
    </row>
    <row r="27852" spans="25:25" x14ac:dyDescent="0.25">
      <c r="Y27852" s="63"/>
    </row>
    <row r="27853" spans="25:25" x14ac:dyDescent="0.25">
      <c r="Y27853" s="63"/>
    </row>
    <row r="27854" spans="25:25" x14ac:dyDescent="0.25">
      <c r="Y27854" s="63"/>
    </row>
    <row r="27855" spans="25:25" x14ac:dyDescent="0.25">
      <c r="Y27855" s="63"/>
    </row>
    <row r="27856" spans="25:25" x14ac:dyDescent="0.25">
      <c r="Y27856" s="63"/>
    </row>
    <row r="27857" spans="25:25" x14ac:dyDescent="0.25">
      <c r="Y27857" s="63"/>
    </row>
    <row r="27858" spans="25:25" x14ac:dyDescent="0.25">
      <c r="Y27858" s="63"/>
    </row>
    <row r="27859" spans="25:25" x14ac:dyDescent="0.25">
      <c r="Y27859" s="63"/>
    </row>
    <row r="27860" spans="25:25" x14ac:dyDescent="0.25">
      <c r="Y27860" s="63"/>
    </row>
    <row r="27861" spans="25:25" x14ac:dyDescent="0.25">
      <c r="Y27861" s="63"/>
    </row>
    <row r="27862" spans="25:25" x14ac:dyDescent="0.25">
      <c r="Y27862" s="63"/>
    </row>
    <row r="27863" spans="25:25" x14ac:dyDescent="0.25">
      <c r="Y27863" s="63"/>
    </row>
    <row r="27864" spans="25:25" x14ac:dyDescent="0.25">
      <c r="Y27864" s="63"/>
    </row>
    <row r="27865" spans="25:25" x14ac:dyDescent="0.25">
      <c r="Y27865" s="63"/>
    </row>
    <row r="27866" spans="25:25" x14ac:dyDescent="0.25">
      <c r="Y27866" s="63"/>
    </row>
    <row r="27867" spans="25:25" x14ac:dyDescent="0.25">
      <c r="Y27867" s="63"/>
    </row>
    <row r="27868" spans="25:25" x14ac:dyDescent="0.25">
      <c r="Y27868" s="63"/>
    </row>
    <row r="27869" spans="25:25" x14ac:dyDescent="0.25">
      <c r="Y27869" s="63"/>
    </row>
    <row r="27870" spans="25:25" x14ac:dyDescent="0.25">
      <c r="Y27870" s="63"/>
    </row>
    <row r="27871" spans="25:25" x14ac:dyDescent="0.25">
      <c r="Y27871" s="63"/>
    </row>
    <row r="27872" spans="25:25" x14ac:dyDescent="0.25">
      <c r="Y27872" s="63"/>
    </row>
    <row r="27873" spans="25:25" x14ac:dyDescent="0.25">
      <c r="Y27873" s="63"/>
    </row>
    <row r="27874" spans="25:25" x14ac:dyDescent="0.25">
      <c r="Y27874" s="63"/>
    </row>
    <row r="27875" spans="25:25" x14ac:dyDescent="0.25">
      <c r="Y27875" s="63"/>
    </row>
    <row r="27876" spans="25:25" x14ac:dyDescent="0.25">
      <c r="Y27876" s="63"/>
    </row>
    <row r="27877" spans="25:25" x14ac:dyDescent="0.25">
      <c r="Y27877" s="63"/>
    </row>
    <row r="27878" spans="25:25" x14ac:dyDescent="0.25">
      <c r="Y27878" s="63"/>
    </row>
    <row r="27879" spans="25:25" x14ac:dyDescent="0.25">
      <c r="Y27879" s="63"/>
    </row>
    <row r="27880" spans="25:25" x14ac:dyDescent="0.25">
      <c r="Y27880" s="63"/>
    </row>
    <row r="27881" spans="25:25" x14ac:dyDescent="0.25">
      <c r="Y27881" s="63"/>
    </row>
    <row r="27882" spans="25:25" x14ac:dyDescent="0.25">
      <c r="Y27882" s="63"/>
    </row>
    <row r="27883" spans="25:25" x14ac:dyDescent="0.25">
      <c r="Y27883" s="63"/>
    </row>
    <row r="27884" spans="25:25" x14ac:dyDescent="0.25">
      <c r="Y27884" s="63"/>
    </row>
    <row r="27885" spans="25:25" x14ac:dyDescent="0.25">
      <c r="Y27885" s="63"/>
    </row>
    <row r="27886" spans="25:25" x14ac:dyDescent="0.25">
      <c r="Y27886" s="63"/>
    </row>
    <row r="27887" spans="25:25" x14ac:dyDescent="0.25">
      <c r="Y27887" s="63"/>
    </row>
    <row r="27888" spans="25:25" x14ac:dyDescent="0.25">
      <c r="Y27888" s="63"/>
    </row>
    <row r="27889" spans="25:25" x14ac:dyDescent="0.25">
      <c r="Y27889" s="63"/>
    </row>
    <row r="27890" spans="25:25" x14ac:dyDescent="0.25">
      <c r="Y27890" s="63"/>
    </row>
    <row r="27891" spans="25:25" x14ac:dyDescent="0.25">
      <c r="Y27891" s="63"/>
    </row>
    <row r="27892" spans="25:25" x14ac:dyDescent="0.25">
      <c r="Y27892" s="63"/>
    </row>
    <row r="27893" spans="25:25" x14ac:dyDescent="0.25">
      <c r="Y27893" s="63"/>
    </row>
    <row r="27894" spans="25:25" x14ac:dyDescent="0.25">
      <c r="Y27894" s="63"/>
    </row>
    <row r="27895" spans="25:25" x14ac:dyDescent="0.25">
      <c r="Y27895" s="63"/>
    </row>
    <row r="27896" spans="25:25" x14ac:dyDescent="0.25">
      <c r="Y27896" s="63"/>
    </row>
    <row r="27897" spans="25:25" x14ac:dyDescent="0.25">
      <c r="Y27897" s="63"/>
    </row>
    <row r="27898" spans="25:25" x14ac:dyDescent="0.25">
      <c r="Y27898" s="63"/>
    </row>
    <row r="27899" spans="25:25" x14ac:dyDescent="0.25">
      <c r="Y27899" s="63"/>
    </row>
    <row r="27900" spans="25:25" x14ac:dyDescent="0.25">
      <c r="Y27900" s="63"/>
    </row>
    <row r="27901" spans="25:25" x14ac:dyDescent="0.25">
      <c r="Y27901" s="63"/>
    </row>
    <row r="27902" spans="25:25" x14ac:dyDescent="0.25">
      <c r="Y27902" s="63"/>
    </row>
    <row r="27903" spans="25:25" x14ac:dyDescent="0.25">
      <c r="Y27903" s="63"/>
    </row>
    <row r="27904" spans="25:25" x14ac:dyDescent="0.25">
      <c r="Y27904" s="63"/>
    </row>
    <row r="27905" spans="25:25" x14ac:dyDescent="0.25">
      <c r="Y27905" s="63"/>
    </row>
    <row r="27906" spans="25:25" x14ac:dyDescent="0.25">
      <c r="Y27906" s="63"/>
    </row>
    <row r="27907" spans="25:25" x14ac:dyDescent="0.25">
      <c r="Y27907" s="63"/>
    </row>
    <row r="27908" spans="25:25" x14ac:dyDescent="0.25">
      <c r="Y27908" s="63"/>
    </row>
    <row r="27909" spans="25:25" x14ac:dyDescent="0.25">
      <c r="Y27909" s="63"/>
    </row>
    <row r="27910" spans="25:25" x14ac:dyDescent="0.25">
      <c r="Y27910" s="63"/>
    </row>
    <row r="27911" spans="25:25" x14ac:dyDescent="0.25">
      <c r="Y27911" s="63"/>
    </row>
    <row r="27912" spans="25:25" x14ac:dyDescent="0.25">
      <c r="Y27912" s="63"/>
    </row>
    <row r="27913" spans="25:25" x14ac:dyDescent="0.25">
      <c r="Y27913" s="63"/>
    </row>
    <row r="27914" spans="25:25" x14ac:dyDescent="0.25">
      <c r="Y27914" s="63"/>
    </row>
    <row r="27915" spans="25:25" x14ac:dyDescent="0.25">
      <c r="Y27915" s="63"/>
    </row>
    <row r="27916" spans="25:25" x14ac:dyDescent="0.25">
      <c r="Y27916" s="63"/>
    </row>
    <row r="27917" spans="25:25" x14ac:dyDescent="0.25">
      <c r="Y27917" s="63"/>
    </row>
    <row r="27918" spans="25:25" x14ac:dyDescent="0.25">
      <c r="Y27918" s="63"/>
    </row>
    <row r="27919" spans="25:25" x14ac:dyDescent="0.25">
      <c r="Y27919" s="63"/>
    </row>
    <row r="27920" spans="25:25" x14ac:dyDescent="0.25">
      <c r="Y27920" s="63"/>
    </row>
    <row r="27921" spans="25:25" x14ac:dyDescent="0.25">
      <c r="Y27921" s="63"/>
    </row>
    <row r="27922" spans="25:25" x14ac:dyDescent="0.25">
      <c r="Y27922" s="63"/>
    </row>
    <row r="27923" spans="25:25" x14ac:dyDescent="0.25">
      <c r="Y27923" s="63"/>
    </row>
    <row r="27924" spans="25:25" x14ac:dyDescent="0.25">
      <c r="Y27924" s="63"/>
    </row>
    <row r="27925" spans="25:25" x14ac:dyDescent="0.25">
      <c r="Y27925" s="63"/>
    </row>
    <row r="27926" spans="25:25" x14ac:dyDescent="0.25">
      <c r="Y27926" s="63"/>
    </row>
    <row r="27927" spans="25:25" x14ac:dyDescent="0.25">
      <c r="Y27927" s="63"/>
    </row>
    <row r="27928" spans="25:25" x14ac:dyDescent="0.25">
      <c r="Y27928" s="63"/>
    </row>
    <row r="27929" spans="25:25" x14ac:dyDescent="0.25">
      <c r="Y27929" s="63"/>
    </row>
    <row r="27930" spans="25:25" x14ac:dyDescent="0.25">
      <c r="Y27930" s="63"/>
    </row>
    <row r="27931" spans="25:25" x14ac:dyDescent="0.25">
      <c r="Y27931" s="63"/>
    </row>
    <row r="27932" spans="25:25" x14ac:dyDescent="0.25">
      <c r="Y27932" s="63"/>
    </row>
    <row r="27933" spans="25:25" x14ac:dyDescent="0.25">
      <c r="Y27933" s="63"/>
    </row>
    <row r="27934" spans="25:25" x14ac:dyDescent="0.25">
      <c r="Y27934" s="63"/>
    </row>
    <row r="27935" spans="25:25" x14ac:dyDescent="0.25">
      <c r="Y27935" s="63"/>
    </row>
    <row r="27936" spans="25:25" x14ac:dyDescent="0.25">
      <c r="Y27936" s="63"/>
    </row>
    <row r="27937" spans="25:25" x14ac:dyDescent="0.25">
      <c r="Y27937" s="63"/>
    </row>
    <row r="27938" spans="25:25" x14ac:dyDescent="0.25">
      <c r="Y27938" s="63"/>
    </row>
    <row r="27939" spans="25:25" x14ac:dyDescent="0.25">
      <c r="Y27939" s="63"/>
    </row>
    <row r="27940" spans="25:25" x14ac:dyDescent="0.25">
      <c r="Y27940" s="63"/>
    </row>
    <row r="27941" spans="25:25" x14ac:dyDescent="0.25">
      <c r="Y27941" s="63"/>
    </row>
    <row r="27942" spans="25:25" x14ac:dyDescent="0.25">
      <c r="Y27942" s="63"/>
    </row>
    <row r="27943" spans="25:25" x14ac:dyDescent="0.25">
      <c r="Y27943" s="63"/>
    </row>
    <row r="27944" spans="25:25" x14ac:dyDescent="0.25">
      <c r="Y27944" s="63"/>
    </row>
    <row r="27945" spans="25:25" x14ac:dyDescent="0.25">
      <c r="Y27945" s="63"/>
    </row>
    <row r="27946" spans="25:25" x14ac:dyDescent="0.25">
      <c r="Y27946" s="63"/>
    </row>
    <row r="27947" spans="25:25" x14ac:dyDescent="0.25">
      <c r="Y27947" s="63"/>
    </row>
    <row r="27948" spans="25:25" x14ac:dyDescent="0.25">
      <c r="Y27948" s="63"/>
    </row>
    <row r="27949" spans="25:25" x14ac:dyDescent="0.25">
      <c r="Y27949" s="63"/>
    </row>
    <row r="27950" spans="25:25" x14ac:dyDescent="0.25">
      <c r="Y27950" s="63"/>
    </row>
    <row r="27951" spans="25:25" x14ac:dyDescent="0.25">
      <c r="Y27951" s="63"/>
    </row>
    <row r="27952" spans="25:25" x14ac:dyDescent="0.25">
      <c r="Y27952" s="63"/>
    </row>
    <row r="27953" spans="25:25" x14ac:dyDescent="0.25">
      <c r="Y27953" s="63"/>
    </row>
    <row r="27954" spans="25:25" x14ac:dyDescent="0.25">
      <c r="Y27954" s="63"/>
    </row>
    <row r="27955" spans="25:25" x14ac:dyDescent="0.25">
      <c r="Y27955" s="63"/>
    </row>
    <row r="27956" spans="25:25" x14ac:dyDescent="0.25">
      <c r="Y27956" s="63"/>
    </row>
    <row r="27957" spans="25:25" x14ac:dyDescent="0.25">
      <c r="Y27957" s="63"/>
    </row>
    <row r="27958" spans="25:25" x14ac:dyDescent="0.25">
      <c r="Y27958" s="63"/>
    </row>
    <row r="27959" spans="25:25" x14ac:dyDescent="0.25">
      <c r="Y27959" s="63"/>
    </row>
    <row r="27960" spans="25:25" x14ac:dyDescent="0.25">
      <c r="Y27960" s="63"/>
    </row>
    <row r="27961" spans="25:25" x14ac:dyDescent="0.25">
      <c r="Y27961" s="63"/>
    </row>
    <row r="27962" spans="25:25" x14ac:dyDescent="0.25">
      <c r="Y27962" s="63"/>
    </row>
    <row r="27963" spans="25:25" x14ac:dyDescent="0.25">
      <c r="Y27963" s="63"/>
    </row>
    <row r="27964" spans="25:25" x14ac:dyDescent="0.25">
      <c r="Y27964" s="63"/>
    </row>
    <row r="27965" spans="25:25" x14ac:dyDescent="0.25">
      <c r="Y27965" s="63"/>
    </row>
    <row r="27966" spans="25:25" x14ac:dyDescent="0.25">
      <c r="Y27966" s="63"/>
    </row>
    <row r="27967" spans="25:25" x14ac:dyDescent="0.25">
      <c r="Y27967" s="63"/>
    </row>
    <row r="27968" spans="25:25" x14ac:dyDescent="0.25">
      <c r="Y27968" s="63"/>
    </row>
    <row r="27969" spans="25:25" x14ac:dyDescent="0.25">
      <c r="Y27969" s="63"/>
    </row>
    <row r="27970" spans="25:25" x14ac:dyDescent="0.25">
      <c r="Y27970" s="63"/>
    </row>
    <row r="27971" spans="25:25" x14ac:dyDescent="0.25">
      <c r="Y27971" s="63"/>
    </row>
    <row r="27972" spans="25:25" x14ac:dyDescent="0.25">
      <c r="Y27972" s="63"/>
    </row>
    <row r="27973" spans="25:25" x14ac:dyDescent="0.25">
      <c r="Y27973" s="63"/>
    </row>
    <row r="27974" spans="25:25" x14ac:dyDescent="0.25">
      <c r="Y27974" s="63"/>
    </row>
    <row r="27975" spans="25:25" x14ac:dyDescent="0.25">
      <c r="Y27975" s="63"/>
    </row>
    <row r="27976" spans="25:25" x14ac:dyDescent="0.25">
      <c r="Y27976" s="63"/>
    </row>
    <row r="27977" spans="25:25" x14ac:dyDescent="0.25">
      <c r="Y27977" s="63"/>
    </row>
    <row r="27978" spans="25:25" x14ac:dyDescent="0.25">
      <c r="Y27978" s="63"/>
    </row>
    <row r="27979" spans="25:25" x14ac:dyDescent="0.25">
      <c r="Y27979" s="63"/>
    </row>
    <row r="27980" spans="25:25" x14ac:dyDescent="0.25">
      <c r="Y27980" s="63"/>
    </row>
    <row r="27981" spans="25:25" x14ac:dyDescent="0.25">
      <c r="Y27981" s="63"/>
    </row>
    <row r="27982" spans="25:25" x14ac:dyDescent="0.25">
      <c r="Y27982" s="63"/>
    </row>
    <row r="27983" spans="25:25" x14ac:dyDescent="0.25">
      <c r="Y27983" s="63"/>
    </row>
    <row r="27984" spans="25:25" x14ac:dyDescent="0.25">
      <c r="Y27984" s="63"/>
    </row>
    <row r="27985" spans="25:25" x14ac:dyDescent="0.25">
      <c r="Y27985" s="63"/>
    </row>
    <row r="27986" spans="25:25" x14ac:dyDescent="0.25">
      <c r="Y27986" s="63"/>
    </row>
    <row r="27987" spans="25:25" x14ac:dyDescent="0.25">
      <c r="Y27987" s="63"/>
    </row>
    <row r="27988" spans="25:25" x14ac:dyDescent="0.25">
      <c r="Y27988" s="63"/>
    </row>
    <row r="27989" spans="25:25" x14ac:dyDescent="0.25">
      <c r="Y27989" s="63"/>
    </row>
    <row r="27990" spans="25:25" x14ac:dyDescent="0.25">
      <c r="Y27990" s="63"/>
    </row>
    <row r="27991" spans="25:25" x14ac:dyDescent="0.25">
      <c r="Y27991" s="63"/>
    </row>
    <row r="27992" spans="25:25" x14ac:dyDescent="0.25">
      <c r="Y27992" s="63"/>
    </row>
    <row r="27993" spans="25:25" x14ac:dyDescent="0.25">
      <c r="Y27993" s="63"/>
    </row>
    <row r="27994" spans="25:25" x14ac:dyDescent="0.25">
      <c r="Y27994" s="63"/>
    </row>
    <row r="27995" spans="25:25" x14ac:dyDescent="0.25">
      <c r="Y27995" s="63"/>
    </row>
    <row r="27996" spans="25:25" x14ac:dyDescent="0.25">
      <c r="Y27996" s="63"/>
    </row>
    <row r="27997" spans="25:25" x14ac:dyDescent="0.25">
      <c r="Y27997" s="63"/>
    </row>
    <row r="27998" spans="25:25" x14ac:dyDescent="0.25">
      <c r="Y27998" s="63"/>
    </row>
    <row r="27999" spans="25:25" x14ac:dyDescent="0.25">
      <c r="Y27999" s="63"/>
    </row>
    <row r="28000" spans="25:25" x14ac:dyDescent="0.25">
      <c r="Y28000" s="63"/>
    </row>
    <row r="28001" spans="25:25" x14ac:dyDescent="0.25">
      <c r="Y28001" s="63"/>
    </row>
    <row r="28002" spans="25:25" x14ac:dyDescent="0.25">
      <c r="Y28002" s="63"/>
    </row>
    <row r="28003" spans="25:25" x14ac:dyDescent="0.25">
      <c r="Y28003" s="63"/>
    </row>
    <row r="28004" spans="25:25" x14ac:dyDescent="0.25">
      <c r="Y28004" s="63"/>
    </row>
    <row r="28005" spans="25:25" x14ac:dyDescent="0.25">
      <c r="Y28005" s="63"/>
    </row>
    <row r="28006" spans="25:25" x14ac:dyDescent="0.25">
      <c r="Y28006" s="63"/>
    </row>
    <row r="28007" spans="25:25" x14ac:dyDescent="0.25">
      <c r="Y28007" s="63"/>
    </row>
    <row r="28008" spans="25:25" x14ac:dyDescent="0.25">
      <c r="Y28008" s="63"/>
    </row>
    <row r="28009" spans="25:25" x14ac:dyDescent="0.25">
      <c r="Y28009" s="63"/>
    </row>
    <row r="28010" spans="25:25" x14ac:dyDescent="0.25">
      <c r="Y28010" s="63"/>
    </row>
    <row r="28011" spans="25:25" x14ac:dyDescent="0.25">
      <c r="Y28011" s="63"/>
    </row>
    <row r="28012" spans="25:25" x14ac:dyDescent="0.25">
      <c r="Y28012" s="63"/>
    </row>
    <row r="28013" spans="25:25" x14ac:dyDescent="0.25">
      <c r="Y28013" s="63"/>
    </row>
    <row r="28014" spans="25:25" x14ac:dyDescent="0.25">
      <c r="Y28014" s="63"/>
    </row>
    <row r="28015" spans="25:25" x14ac:dyDescent="0.25">
      <c r="Y28015" s="63"/>
    </row>
    <row r="28016" spans="25:25" x14ac:dyDescent="0.25">
      <c r="Y28016" s="63"/>
    </row>
    <row r="28017" spans="25:25" x14ac:dyDescent="0.25">
      <c r="Y28017" s="63"/>
    </row>
    <row r="28018" spans="25:25" x14ac:dyDescent="0.25">
      <c r="Y28018" s="63"/>
    </row>
    <row r="28019" spans="25:25" x14ac:dyDescent="0.25">
      <c r="Y28019" s="63"/>
    </row>
    <row r="28020" spans="25:25" x14ac:dyDescent="0.25">
      <c r="Y28020" s="63"/>
    </row>
    <row r="28021" spans="25:25" x14ac:dyDescent="0.25">
      <c r="Y28021" s="63"/>
    </row>
    <row r="28022" spans="25:25" x14ac:dyDescent="0.25">
      <c r="Y28022" s="63"/>
    </row>
    <row r="28023" spans="25:25" x14ac:dyDescent="0.25">
      <c r="Y28023" s="63"/>
    </row>
    <row r="28024" spans="25:25" x14ac:dyDescent="0.25">
      <c r="Y28024" s="63"/>
    </row>
    <row r="28025" spans="25:25" x14ac:dyDescent="0.25">
      <c r="Y28025" s="63"/>
    </row>
    <row r="28026" spans="25:25" x14ac:dyDescent="0.25">
      <c r="Y28026" s="63"/>
    </row>
    <row r="28027" spans="25:25" x14ac:dyDescent="0.25">
      <c r="Y28027" s="63"/>
    </row>
    <row r="28028" spans="25:25" x14ac:dyDescent="0.25">
      <c r="Y28028" s="63"/>
    </row>
    <row r="28029" spans="25:25" x14ac:dyDescent="0.25">
      <c r="Y28029" s="63"/>
    </row>
    <row r="28030" spans="25:25" x14ac:dyDescent="0.25">
      <c r="Y28030" s="63"/>
    </row>
    <row r="28031" spans="25:25" x14ac:dyDescent="0.25">
      <c r="Y28031" s="63"/>
    </row>
    <row r="28032" spans="25:25" x14ac:dyDescent="0.25">
      <c r="Y28032" s="63"/>
    </row>
    <row r="28033" spans="25:25" x14ac:dyDescent="0.25">
      <c r="Y28033" s="63"/>
    </row>
    <row r="28034" spans="25:25" x14ac:dyDescent="0.25">
      <c r="Y28034" s="63"/>
    </row>
    <row r="28035" spans="25:25" x14ac:dyDescent="0.25">
      <c r="Y28035" s="63"/>
    </row>
    <row r="28036" spans="25:25" x14ac:dyDescent="0.25">
      <c r="Y28036" s="63"/>
    </row>
    <row r="28037" spans="25:25" x14ac:dyDescent="0.25">
      <c r="Y28037" s="63"/>
    </row>
    <row r="28038" spans="25:25" x14ac:dyDescent="0.25">
      <c r="Y28038" s="63"/>
    </row>
    <row r="28039" spans="25:25" x14ac:dyDescent="0.25">
      <c r="Y28039" s="63"/>
    </row>
    <row r="28040" spans="25:25" x14ac:dyDescent="0.25">
      <c r="Y28040" s="63"/>
    </row>
    <row r="28041" spans="25:25" x14ac:dyDescent="0.25">
      <c r="Y28041" s="63"/>
    </row>
    <row r="28042" spans="25:25" x14ac:dyDescent="0.25">
      <c r="Y28042" s="63"/>
    </row>
    <row r="28043" spans="25:25" x14ac:dyDescent="0.25">
      <c r="Y28043" s="63"/>
    </row>
    <row r="28044" spans="25:25" x14ac:dyDescent="0.25">
      <c r="Y28044" s="63"/>
    </row>
    <row r="28045" spans="25:25" x14ac:dyDescent="0.25">
      <c r="Y28045" s="63"/>
    </row>
    <row r="28046" spans="25:25" x14ac:dyDescent="0.25">
      <c r="Y28046" s="63"/>
    </row>
    <row r="28047" spans="25:25" x14ac:dyDescent="0.25">
      <c r="Y28047" s="63"/>
    </row>
    <row r="28048" spans="25:25" x14ac:dyDescent="0.25">
      <c r="Y28048" s="63"/>
    </row>
    <row r="28049" spans="25:25" x14ac:dyDescent="0.25">
      <c r="Y28049" s="63"/>
    </row>
    <row r="28050" spans="25:25" x14ac:dyDescent="0.25">
      <c r="Y28050" s="63"/>
    </row>
    <row r="28051" spans="25:25" x14ac:dyDescent="0.25">
      <c r="Y28051" s="63"/>
    </row>
    <row r="28052" spans="25:25" x14ac:dyDescent="0.25">
      <c r="Y28052" s="63"/>
    </row>
    <row r="28053" spans="25:25" x14ac:dyDescent="0.25">
      <c r="Y28053" s="63"/>
    </row>
    <row r="28054" spans="25:25" x14ac:dyDescent="0.25">
      <c r="Y28054" s="63"/>
    </row>
    <row r="28055" spans="25:25" x14ac:dyDescent="0.25">
      <c r="Y28055" s="63"/>
    </row>
    <row r="28056" spans="25:25" x14ac:dyDescent="0.25">
      <c r="Y28056" s="63"/>
    </row>
    <row r="28057" spans="25:25" x14ac:dyDescent="0.25">
      <c r="Y28057" s="63"/>
    </row>
    <row r="28058" spans="25:25" x14ac:dyDescent="0.25">
      <c r="Y28058" s="63"/>
    </row>
    <row r="28059" spans="25:25" x14ac:dyDescent="0.25">
      <c r="Y28059" s="63"/>
    </row>
    <row r="28060" spans="25:25" x14ac:dyDescent="0.25">
      <c r="Y28060" s="63"/>
    </row>
    <row r="28061" spans="25:25" x14ac:dyDescent="0.25">
      <c r="Y28061" s="63"/>
    </row>
    <row r="28062" spans="25:25" x14ac:dyDescent="0.25">
      <c r="Y28062" s="63"/>
    </row>
    <row r="28063" spans="25:25" x14ac:dyDescent="0.25">
      <c r="Y28063" s="63"/>
    </row>
    <row r="28064" spans="25:25" x14ac:dyDescent="0.25">
      <c r="Y28064" s="63"/>
    </row>
    <row r="28065" spans="25:25" x14ac:dyDescent="0.25">
      <c r="Y28065" s="63"/>
    </row>
    <row r="28066" spans="25:25" x14ac:dyDescent="0.25">
      <c r="Y28066" s="63"/>
    </row>
    <row r="28067" spans="25:25" x14ac:dyDescent="0.25">
      <c r="Y28067" s="63"/>
    </row>
    <row r="28068" spans="25:25" x14ac:dyDescent="0.25">
      <c r="Y28068" s="63"/>
    </row>
    <row r="28069" spans="25:25" x14ac:dyDescent="0.25">
      <c r="Y28069" s="63"/>
    </row>
    <row r="28070" spans="25:25" x14ac:dyDescent="0.25">
      <c r="Y28070" s="63"/>
    </row>
    <row r="28071" spans="25:25" x14ac:dyDescent="0.25">
      <c r="Y28071" s="63"/>
    </row>
    <row r="28072" spans="25:25" x14ac:dyDescent="0.25">
      <c r="Y28072" s="63"/>
    </row>
    <row r="28073" spans="25:25" x14ac:dyDescent="0.25">
      <c r="Y28073" s="63"/>
    </row>
    <row r="28074" spans="25:25" x14ac:dyDescent="0.25">
      <c r="Y28074" s="63"/>
    </row>
    <row r="28075" spans="25:25" x14ac:dyDescent="0.25">
      <c r="Y28075" s="63"/>
    </row>
    <row r="28076" spans="25:25" x14ac:dyDescent="0.25">
      <c r="Y28076" s="63"/>
    </row>
    <row r="28077" spans="25:25" x14ac:dyDescent="0.25">
      <c r="Y28077" s="63"/>
    </row>
    <row r="28078" spans="25:25" x14ac:dyDescent="0.25">
      <c r="Y28078" s="63"/>
    </row>
    <row r="28079" spans="25:25" x14ac:dyDescent="0.25">
      <c r="Y28079" s="63"/>
    </row>
    <row r="28080" spans="25:25" x14ac:dyDescent="0.25">
      <c r="Y28080" s="63"/>
    </row>
    <row r="28081" spans="25:25" x14ac:dyDescent="0.25">
      <c r="Y28081" s="63"/>
    </row>
    <row r="28082" spans="25:25" x14ac:dyDescent="0.25">
      <c r="Y28082" s="63"/>
    </row>
    <row r="28083" spans="25:25" x14ac:dyDescent="0.25">
      <c r="Y28083" s="63"/>
    </row>
    <row r="28084" spans="25:25" x14ac:dyDescent="0.25">
      <c r="Y28084" s="63"/>
    </row>
    <row r="28085" spans="25:25" x14ac:dyDescent="0.25">
      <c r="Y28085" s="63"/>
    </row>
    <row r="28086" spans="25:25" x14ac:dyDescent="0.25">
      <c r="Y28086" s="63"/>
    </row>
    <row r="28087" spans="25:25" x14ac:dyDescent="0.25">
      <c r="Y28087" s="63"/>
    </row>
    <row r="28088" spans="25:25" x14ac:dyDescent="0.25">
      <c r="Y28088" s="63"/>
    </row>
    <row r="28089" spans="25:25" x14ac:dyDescent="0.25">
      <c r="Y28089" s="63"/>
    </row>
    <row r="28090" spans="25:25" x14ac:dyDescent="0.25">
      <c r="Y28090" s="63"/>
    </row>
    <row r="28091" spans="25:25" x14ac:dyDescent="0.25">
      <c r="Y28091" s="63"/>
    </row>
    <row r="28092" spans="25:25" x14ac:dyDescent="0.25">
      <c r="Y28092" s="63"/>
    </row>
    <row r="28093" spans="25:25" x14ac:dyDescent="0.25">
      <c r="Y28093" s="63"/>
    </row>
    <row r="28094" spans="25:25" x14ac:dyDescent="0.25">
      <c r="Y28094" s="63"/>
    </row>
    <row r="28095" spans="25:25" x14ac:dyDescent="0.25">
      <c r="Y28095" s="63"/>
    </row>
    <row r="28096" spans="25:25" x14ac:dyDescent="0.25">
      <c r="Y28096" s="63"/>
    </row>
    <row r="28097" spans="25:25" x14ac:dyDescent="0.25">
      <c r="Y28097" s="63"/>
    </row>
    <row r="28098" spans="25:25" x14ac:dyDescent="0.25">
      <c r="Y28098" s="63"/>
    </row>
    <row r="28099" spans="25:25" x14ac:dyDescent="0.25">
      <c r="Y28099" s="63"/>
    </row>
    <row r="28100" spans="25:25" x14ac:dyDescent="0.25">
      <c r="Y28100" s="63"/>
    </row>
    <row r="28101" spans="25:25" x14ac:dyDescent="0.25">
      <c r="Y28101" s="63"/>
    </row>
    <row r="28102" spans="25:25" x14ac:dyDescent="0.25">
      <c r="Y28102" s="63"/>
    </row>
    <row r="28103" spans="25:25" x14ac:dyDescent="0.25">
      <c r="Y28103" s="63"/>
    </row>
    <row r="28104" spans="25:25" x14ac:dyDescent="0.25">
      <c r="Y28104" s="63"/>
    </row>
    <row r="28105" spans="25:25" x14ac:dyDescent="0.25">
      <c r="Y28105" s="63"/>
    </row>
    <row r="28106" spans="25:25" x14ac:dyDescent="0.25">
      <c r="Y28106" s="63"/>
    </row>
    <row r="28107" spans="25:25" x14ac:dyDescent="0.25">
      <c r="Y28107" s="63"/>
    </row>
    <row r="28108" spans="25:25" x14ac:dyDescent="0.25">
      <c r="Y28108" s="63"/>
    </row>
    <row r="28109" spans="25:25" x14ac:dyDescent="0.25">
      <c r="Y28109" s="63"/>
    </row>
    <row r="28110" spans="25:25" x14ac:dyDescent="0.25">
      <c r="Y28110" s="63"/>
    </row>
    <row r="28111" spans="25:25" x14ac:dyDescent="0.25">
      <c r="Y28111" s="63"/>
    </row>
    <row r="28112" spans="25:25" x14ac:dyDescent="0.25">
      <c r="Y28112" s="63"/>
    </row>
    <row r="28113" spans="25:25" x14ac:dyDescent="0.25">
      <c r="Y28113" s="63"/>
    </row>
    <row r="28114" spans="25:25" x14ac:dyDescent="0.25">
      <c r="Y28114" s="63"/>
    </row>
    <row r="28115" spans="25:25" x14ac:dyDescent="0.25">
      <c r="Y28115" s="63"/>
    </row>
    <row r="28116" spans="25:25" x14ac:dyDescent="0.25">
      <c r="Y28116" s="63"/>
    </row>
    <row r="28117" spans="25:25" x14ac:dyDescent="0.25">
      <c r="Y28117" s="63"/>
    </row>
    <row r="28118" spans="25:25" x14ac:dyDescent="0.25">
      <c r="Y28118" s="63"/>
    </row>
    <row r="28119" spans="25:25" x14ac:dyDescent="0.25">
      <c r="Y28119" s="63"/>
    </row>
    <row r="28120" spans="25:25" x14ac:dyDescent="0.25">
      <c r="Y28120" s="63"/>
    </row>
    <row r="28121" spans="25:25" x14ac:dyDescent="0.25">
      <c r="Y28121" s="63"/>
    </row>
    <row r="28122" spans="25:25" x14ac:dyDescent="0.25">
      <c r="Y28122" s="63"/>
    </row>
    <row r="28123" spans="25:25" x14ac:dyDescent="0.25">
      <c r="Y28123" s="63"/>
    </row>
    <row r="28124" spans="25:25" x14ac:dyDescent="0.25">
      <c r="Y28124" s="63"/>
    </row>
    <row r="28125" spans="25:25" x14ac:dyDescent="0.25">
      <c r="Y28125" s="63"/>
    </row>
    <row r="28126" spans="25:25" x14ac:dyDescent="0.25">
      <c r="Y28126" s="63"/>
    </row>
    <row r="28127" spans="25:25" x14ac:dyDescent="0.25">
      <c r="Y28127" s="63"/>
    </row>
    <row r="28128" spans="25:25" x14ac:dyDescent="0.25">
      <c r="Y28128" s="63"/>
    </row>
    <row r="28129" spans="25:25" x14ac:dyDescent="0.25">
      <c r="Y28129" s="63"/>
    </row>
    <row r="28130" spans="25:25" x14ac:dyDescent="0.25">
      <c r="Y28130" s="63"/>
    </row>
    <row r="28131" spans="25:25" x14ac:dyDescent="0.25">
      <c r="Y28131" s="63"/>
    </row>
    <row r="28132" spans="25:25" x14ac:dyDescent="0.25">
      <c r="Y28132" s="63"/>
    </row>
    <row r="28133" spans="25:25" x14ac:dyDescent="0.25">
      <c r="Y28133" s="63"/>
    </row>
    <row r="28134" spans="25:25" x14ac:dyDescent="0.25">
      <c r="Y28134" s="63"/>
    </row>
    <row r="28135" spans="25:25" x14ac:dyDescent="0.25">
      <c r="Y28135" s="63"/>
    </row>
    <row r="28136" spans="25:25" x14ac:dyDescent="0.25">
      <c r="Y28136" s="63"/>
    </row>
    <row r="28137" spans="25:25" x14ac:dyDescent="0.25">
      <c r="Y28137" s="63"/>
    </row>
    <row r="28138" spans="25:25" x14ac:dyDescent="0.25">
      <c r="Y28138" s="63"/>
    </row>
    <row r="28139" spans="25:25" x14ac:dyDescent="0.25">
      <c r="Y28139" s="63"/>
    </row>
    <row r="28140" spans="25:25" x14ac:dyDescent="0.25">
      <c r="Y28140" s="63"/>
    </row>
    <row r="28141" spans="25:25" x14ac:dyDescent="0.25">
      <c r="Y28141" s="63"/>
    </row>
    <row r="28142" spans="25:25" x14ac:dyDescent="0.25">
      <c r="Y28142" s="63"/>
    </row>
    <row r="28143" spans="25:25" x14ac:dyDescent="0.25">
      <c r="Y28143" s="63"/>
    </row>
    <row r="28144" spans="25:25" x14ac:dyDescent="0.25">
      <c r="Y28144" s="63"/>
    </row>
    <row r="28145" spans="25:25" x14ac:dyDescent="0.25">
      <c r="Y28145" s="63"/>
    </row>
    <row r="28146" spans="25:25" x14ac:dyDescent="0.25">
      <c r="Y28146" s="63"/>
    </row>
    <row r="28147" spans="25:25" x14ac:dyDescent="0.25">
      <c r="Y28147" s="63"/>
    </row>
    <row r="28148" spans="25:25" x14ac:dyDescent="0.25">
      <c r="Y28148" s="63"/>
    </row>
    <row r="28149" spans="25:25" x14ac:dyDescent="0.25">
      <c r="Y28149" s="63"/>
    </row>
    <row r="28150" spans="25:25" x14ac:dyDescent="0.25">
      <c r="Y28150" s="63"/>
    </row>
    <row r="28151" spans="25:25" x14ac:dyDescent="0.25">
      <c r="Y28151" s="63"/>
    </row>
    <row r="28152" spans="25:25" x14ac:dyDescent="0.25">
      <c r="Y28152" s="63"/>
    </row>
    <row r="28153" spans="25:25" x14ac:dyDescent="0.25">
      <c r="Y28153" s="63"/>
    </row>
    <row r="28154" spans="25:25" x14ac:dyDescent="0.25">
      <c r="Y28154" s="63"/>
    </row>
    <row r="28155" spans="25:25" x14ac:dyDescent="0.25">
      <c r="Y28155" s="63"/>
    </row>
    <row r="28156" spans="25:25" x14ac:dyDescent="0.25">
      <c r="Y28156" s="63"/>
    </row>
    <row r="28157" spans="25:25" x14ac:dyDescent="0.25">
      <c r="Y28157" s="63"/>
    </row>
    <row r="28158" spans="25:25" x14ac:dyDescent="0.25">
      <c r="Y28158" s="63"/>
    </row>
    <row r="28159" spans="25:25" x14ac:dyDescent="0.25">
      <c r="Y28159" s="63"/>
    </row>
    <row r="28160" spans="25:25" x14ac:dyDescent="0.25">
      <c r="Y28160" s="63"/>
    </row>
    <row r="28161" spans="25:25" x14ac:dyDescent="0.25">
      <c r="Y28161" s="63"/>
    </row>
    <row r="28162" spans="25:25" x14ac:dyDescent="0.25">
      <c r="Y28162" s="63"/>
    </row>
    <row r="28163" spans="25:25" x14ac:dyDescent="0.25">
      <c r="Y28163" s="63"/>
    </row>
    <row r="28164" spans="25:25" x14ac:dyDescent="0.25">
      <c r="Y28164" s="63"/>
    </row>
    <row r="28165" spans="25:25" x14ac:dyDescent="0.25">
      <c r="Y28165" s="63"/>
    </row>
    <row r="28166" spans="25:25" x14ac:dyDescent="0.25">
      <c r="Y28166" s="63"/>
    </row>
    <row r="28167" spans="25:25" x14ac:dyDescent="0.25">
      <c r="Y28167" s="63"/>
    </row>
    <row r="28168" spans="25:25" x14ac:dyDescent="0.25">
      <c r="Y28168" s="63"/>
    </row>
    <row r="28169" spans="25:25" x14ac:dyDescent="0.25">
      <c r="Y28169" s="63"/>
    </row>
    <row r="28170" spans="25:25" x14ac:dyDescent="0.25">
      <c r="Y28170" s="63"/>
    </row>
    <row r="28171" spans="25:25" x14ac:dyDescent="0.25">
      <c r="Y28171" s="63"/>
    </row>
    <row r="28172" spans="25:25" x14ac:dyDescent="0.25">
      <c r="Y28172" s="63"/>
    </row>
    <row r="28173" spans="25:25" x14ac:dyDescent="0.25">
      <c r="Y28173" s="63"/>
    </row>
    <row r="28174" spans="25:25" x14ac:dyDescent="0.25">
      <c r="Y28174" s="63"/>
    </row>
    <row r="28175" spans="25:25" x14ac:dyDescent="0.25">
      <c r="Y28175" s="63"/>
    </row>
    <row r="28176" spans="25:25" x14ac:dyDescent="0.25">
      <c r="Y28176" s="63"/>
    </row>
    <row r="28177" spans="25:25" x14ac:dyDescent="0.25">
      <c r="Y28177" s="63"/>
    </row>
    <row r="28178" spans="25:25" x14ac:dyDescent="0.25">
      <c r="Y28178" s="63"/>
    </row>
    <row r="28179" spans="25:25" x14ac:dyDescent="0.25">
      <c r="Y28179" s="63"/>
    </row>
    <row r="28180" spans="25:25" x14ac:dyDescent="0.25">
      <c r="Y28180" s="63"/>
    </row>
    <row r="28181" spans="25:25" x14ac:dyDescent="0.25">
      <c r="Y28181" s="63"/>
    </row>
    <row r="28182" spans="25:25" x14ac:dyDescent="0.25">
      <c r="Y28182" s="63"/>
    </row>
    <row r="28183" spans="25:25" x14ac:dyDescent="0.25">
      <c r="Y28183" s="63"/>
    </row>
    <row r="28184" spans="25:25" x14ac:dyDescent="0.25">
      <c r="Y28184" s="63"/>
    </row>
    <row r="28185" spans="25:25" x14ac:dyDescent="0.25">
      <c r="Y28185" s="63"/>
    </row>
    <row r="28186" spans="25:25" x14ac:dyDescent="0.25">
      <c r="Y28186" s="63"/>
    </row>
    <row r="28187" spans="25:25" x14ac:dyDescent="0.25">
      <c r="Y28187" s="63"/>
    </row>
    <row r="28188" spans="25:25" x14ac:dyDescent="0.25">
      <c r="Y28188" s="63"/>
    </row>
    <row r="28189" spans="25:25" x14ac:dyDescent="0.25">
      <c r="Y28189" s="63"/>
    </row>
    <row r="28190" spans="25:25" x14ac:dyDescent="0.25">
      <c r="Y28190" s="63"/>
    </row>
    <row r="28191" spans="25:25" x14ac:dyDescent="0.25">
      <c r="Y28191" s="63"/>
    </row>
    <row r="28192" spans="25:25" x14ac:dyDescent="0.25">
      <c r="Y28192" s="63"/>
    </row>
    <row r="28193" spans="25:25" x14ac:dyDescent="0.25">
      <c r="Y28193" s="63"/>
    </row>
    <row r="28194" spans="25:25" x14ac:dyDescent="0.25">
      <c r="Y28194" s="63"/>
    </row>
    <row r="28195" spans="25:25" x14ac:dyDescent="0.25">
      <c r="Y28195" s="63"/>
    </row>
    <row r="28196" spans="25:25" x14ac:dyDescent="0.25">
      <c r="Y28196" s="63"/>
    </row>
    <row r="28197" spans="25:25" x14ac:dyDescent="0.25">
      <c r="Y28197" s="63"/>
    </row>
    <row r="28198" spans="25:25" x14ac:dyDescent="0.25">
      <c r="Y28198" s="63"/>
    </row>
    <row r="28199" spans="25:25" x14ac:dyDescent="0.25">
      <c r="Y28199" s="63"/>
    </row>
    <row r="28200" spans="25:25" x14ac:dyDescent="0.25">
      <c r="Y28200" s="63"/>
    </row>
    <row r="28201" spans="25:25" x14ac:dyDescent="0.25">
      <c r="Y28201" s="63"/>
    </row>
    <row r="28202" spans="25:25" x14ac:dyDescent="0.25">
      <c r="Y28202" s="63"/>
    </row>
    <row r="28203" spans="25:25" x14ac:dyDescent="0.25">
      <c r="Y28203" s="63"/>
    </row>
    <row r="28204" spans="25:25" x14ac:dyDescent="0.25">
      <c r="Y28204" s="63"/>
    </row>
    <row r="28205" spans="25:25" x14ac:dyDescent="0.25">
      <c r="Y28205" s="63"/>
    </row>
    <row r="28206" spans="25:25" x14ac:dyDescent="0.25">
      <c r="Y28206" s="63"/>
    </row>
    <row r="28207" spans="25:25" x14ac:dyDescent="0.25">
      <c r="Y28207" s="63"/>
    </row>
    <row r="28208" spans="25:25" x14ac:dyDescent="0.25">
      <c r="Y28208" s="63"/>
    </row>
    <row r="28209" spans="25:25" x14ac:dyDescent="0.25">
      <c r="Y28209" s="63"/>
    </row>
    <row r="28210" spans="25:25" x14ac:dyDescent="0.25">
      <c r="Y28210" s="63"/>
    </row>
    <row r="28211" spans="25:25" x14ac:dyDescent="0.25">
      <c r="Y28211" s="63"/>
    </row>
    <row r="28212" spans="25:25" x14ac:dyDescent="0.25">
      <c r="Y28212" s="63"/>
    </row>
    <row r="28213" spans="25:25" x14ac:dyDescent="0.25">
      <c r="Y28213" s="63"/>
    </row>
    <row r="28214" spans="25:25" x14ac:dyDescent="0.25">
      <c r="Y28214" s="63"/>
    </row>
    <row r="28215" spans="25:25" x14ac:dyDescent="0.25">
      <c r="Y28215" s="63"/>
    </row>
    <row r="28216" spans="25:25" x14ac:dyDescent="0.25">
      <c r="Y28216" s="63"/>
    </row>
    <row r="28217" spans="25:25" x14ac:dyDescent="0.25">
      <c r="Y28217" s="63"/>
    </row>
    <row r="28218" spans="25:25" x14ac:dyDescent="0.25">
      <c r="Y28218" s="63"/>
    </row>
    <row r="28219" spans="25:25" x14ac:dyDescent="0.25">
      <c r="Y28219" s="63"/>
    </row>
    <row r="28220" spans="25:25" x14ac:dyDescent="0.25">
      <c r="Y28220" s="63"/>
    </row>
    <row r="28221" spans="25:25" x14ac:dyDescent="0.25">
      <c r="Y28221" s="63"/>
    </row>
    <row r="28222" spans="25:25" x14ac:dyDescent="0.25">
      <c r="Y28222" s="63"/>
    </row>
    <row r="28223" spans="25:25" x14ac:dyDescent="0.25">
      <c r="Y28223" s="63"/>
    </row>
    <row r="28224" spans="25:25" x14ac:dyDescent="0.25">
      <c r="Y28224" s="63"/>
    </row>
    <row r="28225" spans="25:25" x14ac:dyDescent="0.25">
      <c r="Y28225" s="63"/>
    </row>
    <row r="28226" spans="25:25" x14ac:dyDescent="0.25">
      <c r="Y28226" s="63"/>
    </row>
    <row r="28227" spans="25:25" x14ac:dyDescent="0.25">
      <c r="Y28227" s="63"/>
    </row>
    <row r="28228" spans="25:25" x14ac:dyDescent="0.25">
      <c r="Y28228" s="63"/>
    </row>
    <row r="28229" spans="25:25" x14ac:dyDescent="0.25">
      <c r="Y28229" s="63"/>
    </row>
    <row r="28230" spans="25:25" x14ac:dyDescent="0.25">
      <c r="Y28230" s="63"/>
    </row>
    <row r="28231" spans="25:25" x14ac:dyDescent="0.25">
      <c r="Y28231" s="63"/>
    </row>
    <row r="28232" spans="25:25" x14ac:dyDescent="0.25">
      <c r="Y28232" s="63"/>
    </row>
    <row r="28233" spans="25:25" x14ac:dyDescent="0.25">
      <c r="Y28233" s="63"/>
    </row>
    <row r="28234" spans="25:25" x14ac:dyDescent="0.25">
      <c r="Y28234" s="63"/>
    </row>
    <row r="28235" spans="25:25" x14ac:dyDescent="0.25">
      <c r="Y28235" s="63"/>
    </row>
    <row r="28236" spans="25:25" x14ac:dyDescent="0.25">
      <c r="Y28236" s="63"/>
    </row>
    <row r="28237" spans="25:25" x14ac:dyDescent="0.25">
      <c r="Y28237" s="63"/>
    </row>
    <row r="28238" spans="25:25" x14ac:dyDescent="0.25">
      <c r="Y28238" s="63"/>
    </row>
    <row r="28239" spans="25:25" x14ac:dyDescent="0.25">
      <c r="Y28239" s="63"/>
    </row>
    <row r="28240" spans="25:25" x14ac:dyDescent="0.25">
      <c r="Y28240" s="63"/>
    </row>
    <row r="28241" spans="25:25" x14ac:dyDescent="0.25">
      <c r="Y28241" s="63"/>
    </row>
    <row r="28242" spans="25:25" x14ac:dyDescent="0.25">
      <c r="Y28242" s="63"/>
    </row>
    <row r="28243" spans="25:25" x14ac:dyDescent="0.25">
      <c r="Y28243" s="63"/>
    </row>
    <row r="28244" spans="25:25" x14ac:dyDescent="0.25">
      <c r="Y28244" s="63"/>
    </row>
    <row r="28245" spans="25:25" x14ac:dyDescent="0.25">
      <c r="Y28245" s="63"/>
    </row>
    <row r="28246" spans="25:25" x14ac:dyDescent="0.25">
      <c r="Y28246" s="63"/>
    </row>
    <row r="28247" spans="25:25" x14ac:dyDescent="0.25">
      <c r="Y28247" s="63"/>
    </row>
    <row r="28248" spans="25:25" x14ac:dyDescent="0.25">
      <c r="Y28248" s="63"/>
    </row>
    <row r="28249" spans="25:25" x14ac:dyDescent="0.25">
      <c r="Y28249" s="63"/>
    </row>
    <row r="28250" spans="25:25" x14ac:dyDescent="0.25">
      <c r="Y28250" s="63"/>
    </row>
    <row r="28251" spans="25:25" x14ac:dyDescent="0.25">
      <c r="Y28251" s="63"/>
    </row>
    <row r="28252" spans="25:25" x14ac:dyDescent="0.25">
      <c r="Y28252" s="63"/>
    </row>
    <row r="28253" spans="25:25" x14ac:dyDescent="0.25">
      <c r="Y28253" s="63"/>
    </row>
    <row r="28254" spans="25:25" x14ac:dyDescent="0.25">
      <c r="Y28254" s="63"/>
    </row>
    <row r="28255" spans="25:25" x14ac:dyDescent="0.25">
      <c r="Y28255" s="63"/>
    </row>
    <row r="28256" spans="25:25" x14ac:dyDescent="0.25">
      <c r="Y28256" s="63"/>
    </row>
    <row r="28257" spans="25:25" x14ac:dyDescent="0.25">
      <c r="Y28257" s="63"/>
    </row>
    <row r="28258" spans="25:25" x14ac:dyDescent="0.25">
      <c r="Y28258" s="63"/>
    </row>
    <row r="28259" spans="25:25" x14ac:dyDescent="0.25">
      <c r="Y28259" s="63"/>
    </row>
    <row r="28260" spans="25:25" x14ac:dyDescent="0.25">
      <c r="Y28260" s="63"/>
    </row>
    <row r="28261" spans="25:25" x14ac:dyDescent="0.25">
      <c r="Y28261" s="63"/>
    </row>
    <row r="28262" spans="25:25" x14ac:dyDescent="0.25">
      <c r="Y28262" s="63"/>
    </row>
    <row r="28263" spans="25:25" x14ac:dyDescent="0.25">
      <c r="Y28263" s="63"/>
    </row>
    <row r="28264" spans="25:25" x14ac:dyDescent="0.25">
      <c r="Y28264" s="63"/>
    </row>
    <row r="28265" spans="25:25" x14ac:dyDescent="0.25">
      <c r="Y28265" s="63"/>
    </row>
    <row r="28266" spans="25:25" x14ac:dyDescent="0.25">
      <c r="Y28266" s="63"/>
    </row>
    <row r="28267" spans="25:25" x14ac:dyDescent="0.25">
      <c r="Y28267" s="63"/>
    </row>
    <row r="28268" spans="25:25" x14ac:dyDescent="0.25">
      <c r="Y28268" s="63"/>
    </row>
    <row r="28269" spans="25:25" x14ac:dyDescent="0.25">
      <c r="Y28269" s="63"/>
    </row>
    <row r="28270" spans="25:25" x14ac:dyDescent="0.25">
      <c r="Y28270" s="63"/>
    </row>
    <row r="28271" spans="25:25" x14ac:dyDescent="0.25">
      <c r="Y28271" s="63"/>
    </row>
    <row r="28272" spans="25:25" x14ac:dyDescent="0.25">
      <c r="Y28272" s="63"/>
    </row>
    <row r="28273" spans="25:25" x14ac:dyDescent="0.25">
      <c r="Y28273" s="63"/>
    </row>
    <row r="28274" spans="25:25" x14ac:dyDescent="0.25">
      <c r="Y28274" s="63"/>
    </row>
    <row r="28275" spans="25:25" x14ac:dyDescent="0.25">
      <c r="Y28275" s="63"/>
    </row>
    <row r="28276" spans="25:25" x14ac:dyDescent="0.25">
      <c r="Y28276" s="63"/>
    </row>
    <row r="28277" spans="25:25" x14ac:dyDescent="0.25">
      <c r="Y28277" s="63"/>
    </row>
    <row r="28278" spans="25:25" x14ac:dyDescent="0.25">
      <c r="Y28278" s="63"/>
    </row>
    <row r="28279" spans="25:25" x14ac:dyDescent="0.25">
      <c r="Y28279" s="63"/>
    </row>
    <row r="28280" spans="25:25" x14ac:dyDescent="0.25">
      <c r="Y28280" s="63"/>
    </row>
    <row r="28281" spans="25:25" x14ac:dyDescent="0.25">
      <c r="Y28281" s="63"/>
    </row>
    <row r="28282" spans="25:25" x14ac:dyDescent="0.25">
      <c r="Y28282" s="63"/>
    </row>
    <row r="28283" spans="25:25" x14ac:dyDescent="0.25">
      <c r="Y28283" s="63"/>
    </row>
    <row r="28284" spans="25:25" x14ac:dyDescent="0.25">
      <c r="Y28284" s="63"/>
    </row>
    <row r="28285" spans="25:25" x14ac:dyDescent="0.25">
      <c r="Y28285" s="63"/>
    </row>
    <row r="28286" spans="25:25" x14ac:dyDescent="0.25">
      <c r="Y28286" s="63"/>
    </row>
    <row r="28287" spans="25:25" x14ac:dyDescent="0.25">
      <c r="Y28287" s="63"/>
    </row>
    <row r="28288" spans="25:25" x14ac:dyDescent="0.25">
      <c r="Y28288" s="63"/>
    </row>
    <row r="28289" spans="25:25" x14ac:dyDescent="0.25">
      <c r="Y28289" s="63"/>
    </row>
    <row r="28290" spans="25:25" x14ac:dyDescent="0.25">
      <c r="Y28290" s="63"/>
    </row>
    <row r="28291" spans="25:25" x14ac:dyDescent="0.25">
      <c r="Y28291" s="63"/>
    </row>
    <row r="28292" spans="25:25" x14ac:dyDescent="0.25">
      <c r="Y28292" s="63"/>
    </row>
    <row r="28293" spans="25:25" x14ac:dyDescent="0.25">
      <c r="Y28293" s="63"/>
    </row>
    <row r="28294" spans="25:25" x14ac:dyDescent="0.25">
      <c r="Y28294" s="63"/>
    </row>
    <row r="28295" spans="25:25" x14ac:dyDescent="0.25">
      <c r="Y28295" s="63"/>
    </row>
    <row r="28296" spans="25:25" x14ac:dyDescent="0.25">
      <c r="Y28296" s="63"/>
    </row>
    <row r="28297" spans="25:25" x14ac:dyDescent="0.25">
      <c r="Y28297" s="63"/>
    </row>
    <row r="28298" spans="25:25" x14ac:dyDescent="0.25">
      <c r="Y28298" s="63"/>
    </row>
    <row r="28299" spans="25:25" x14ac:dyDescent="0.25">
      <c r="Y28299" s="63"/>
    </row>
    <row r="28300" spans="25:25" x14ac:dyDescent="0.25">
      <c r="Y28300" s="63"/>
    </row>
    <row r="28301" spans="25:25" x14ac:dyDescent="0.25">
      <c r="Y28301" s="63"/>
    </row>
    <row r="28302" spans="25:25" x14ac:dyDescent="0.25">
      <c r="Y28302" s="63"/>
    </row>
    <row r="28303" spans="25:25" x14ac:dyDescent="0.25">
      <c r="Y28303" s="63"/>
    </row>
    <row r="28304" spans="25:25" x14ac:dyDescent="0.25">
      <c r="Y28304" s="63"/>
    </row>
    <row r="28305" spans="25:25" x14ac:dyDescent="0.25">
      <c r="Y28305" s="63"/>
    </row>
    <row r="28306" spans="25:25" x14ac:dyDescent="0.25">
      <c r="Y28306" s="63"/>
    </row>
    <row r="28307" spans="25:25" x14ac:dyDescent="0.25">
      <c r="Y28307" s="63"/>
    </row>
    <row r="28308" spans="25:25" x14ac:dyDescent="0.25">
      <c r="Y28308" s="63"/>
    </row>
    <row r="28309" spans="25:25" x14ac:dyDescent="0.25">
      <c r="Y28309" s="63"/>
    </row>
    <row r="28310" spans="25:25" x14ac:dyDescent="0.25">
      <c r="Y28310" s="63"/>
    </row>
    <row r="28311" spans="25:25" x14ac:dyDescent="0.25">
      <c r="Y28311" s="63"/>
    </row>
    <row r="28312" spans="25:25" x14ac:dyDescent="0.25">
      <c r="Y28312" s="63"/>
    </row>
    <row r="28313" spans="25:25" x14ac:dyDescent="0.25">
      <c r="Y28313" s="63"/>
    </row>
    <row r="28314" spans="25:25" x14ac:dyDescent="0.25">
      <c r="Y28314" s="63"/>
    </row>
    <row r="28315" spans="25:25" x14ac:dyDescent="0.25">
      <c r="Y28315" s="63"/>
    </row>
    <row r="28316" spans="25:25" x14ac:dyDescent="0.25">
      <c r="Y28316" s="63"/>
    </row>
    <row r="28317" spans="25:25" x14ac:dyDescent="0.25">
      <c r="Y28317" s="63"/>
    </row>
    <row r="28318" spans="25:25" x14ac:dyDescent="0.25">
      <c r="Y28318" s="63"/>
    </row>
    <row r="28319" spans="25:25" x14ac:dyDescent="0.25">
      <c r="Y28319" s="63"/>
    </row>
    <row r="28320" spans="25:25" x14ac:dyDescent="0.25">
      <c r="Y28320" s="63"/>
    </row>
    <row r="28321" spans="25:25" x14ac:dyDescent="0.25">
      <c r="Y28321" s="63"/>
    </row>
    <row r="28322" spans="25:25" x14ac:dyDescent="0.25">
      <c r="Y28322" s="63"/>
    </row>
    <row r="28323" spans="25:25" x14ac:dyDescent="0.25">
      <c r="Y28323" s="63"/>
    </row>
    <row r="28324" spans="25:25" x14ac:dyDescent="0.25">
      <c r="Y28324" s="63"/>
    </row>
    <row r="28325" spans="25:25" x14ac:dyDescent="0.25">
      <c r="Y28325" s="63"/>
    </row>
    <row r="28326" spans="25:25" x14ac:dyDescent="0.25">
      <c r="Y28326" s="63"/>
    </row>
    <row r="28327" spans="25:25" x14ac:dyDescent="0.25">
      <c r="Y28327" s="63"/>
    </row>
    <row r="28328" spans="25:25" x14ac:dyDescent="0.25">
      <c r="Y28328" s="63"/>
    </row>
    <row r="28329" spans="25:25" x14ac:dyDescent="0.25">
      <c r="Y28329" s="63"/>
    </row>
    <row r="28330" spans="25:25" x14ac:dyDescent="0.25">
      <c r="Y28330" s="63"/>
    </row>
    <row r="28331" spans="25:25" x14ac:dyDescent="0.25">
      <c r="Y28331" s="63"/>
    </row>
    <row r="28332" spans="25:25" x14ac:dyDescent="0.25">
      <c r="Y28332" s="63"/>
    </row>
    <row r="28333" spans="25:25" x14ac:dyDescent="0.25">
      <c r="Y28333" s="63"/>
    </row>
    <row r="28334" spans="25:25" x14ac:dyDescent="0.25">
      <c r="Y28334" s="63"/>
    </row>
    <row r="28335" spans="25:25" x14ac:dyDescent="0.25">
      <c r="Y28335" s="63"/>
    </row>
    <row r="28336" spans="25:25" x14ac:dyDescent="0.25">
      <c r="Y28336" s="63"/>
    </row>
    <row r="28337" spans="25:25" x14ac:dyDescent="0.25">
      <c r="Y28337" s="63"/>
    </row>
    <row r="28338" spans="25:25" x14ac:dyDescent="0.25">
      <c r="Y28338" s="63"/>
    </row>
    <row r="28339" spans="25:25" x14ac:dyDescent="0.25">
      <c r="Y28339" s="63"/>
    </row>
    <row r="28340" spans="25:25" x14ac:dyDescent="0.25">
      <c r="Y28340" s="63"/>
    </row>
    <row r="28341" spans="25:25" x14ac:dyDescent="0.25">
      <c r="Y28341" s="63"/>
    </row>
    <row r="28342" spans="25:25" x14ac:dyDescent="0.25">
      <c r="Y28342" s="63"/>
    </row>
    <row r="28343" spans="25:25" x14ac:dyDescent="0.25">
      <c r="Y28343" s="63"/>
    </row>
    <row r="28344" spans="25:25" x14ac:dyDescent="0.25">
      <c r="Y28344" s="63"/>
    </row>
    <row r="28345" spans="25:25" x14ac:dyDescent="0.25">
      <c r="Y28345" s="63"/>
    </row>
    <row r="28346" spans="25:25" x14ac:dyDescent="0.25">
      <c r="Y28346" s="63"/>
    </row>
    <row r="28347" spans="25:25" x14ac:dyDescent="0.25">
      <c r="Y28347" s="63"/>
    </row>
    <row r="28348" spans="25:25" x14ac:dyDescent="0.25">
      <c r="Y28348" s="63"/>
    </row>
    <row r="28349" spans="25:25" x14ac:dyDescent="0.25">
      <c r="Y28349" s="63"/>
    </row>
    <row r="28350" spans="25:25" x14ac:dyDescent="0.25">
      <c r="Y28350" s="63"/>
    </row>
    <row r="28351" spans="25:25" x14ac:dyDescent="0.25">
      <c r="Y28351" s="63"/>
    </row>
    <row r="28352" spans="25:25" x14ac:dyDescent="0.25">
      <c r="Y28352" s="63"/>
    </row>
    <row r="28353" spans="25:25" x14ac:dyDescent="0.25">
      <c r="Y28353" s="63"/>
    </row>
    <row r="28354" spans="25:25" x14ac:dyDescent="0.25">
      <c r="Y28354" s="63"/>
    </row>
    <row r="28355" spans="25:25" x14ac:dyDescent="0.25">
      <c r="Y28355" s="63"/>
    </row>
    <row r="28356" spans="25:25" x14ac:dyDescent="0.25">
      <c r="Y28356" s="63"/>
    </row>
    <row r="28357" spans="25:25" x14ac:dyDescent="0.25">
      <c r="Y28357" s="63"/>
    </row>
    <row r="28358" spans="25:25" x14ac:dyDescent="0.25">
      <c r="Y28358" s="63"/>
    </row>
    <row r="28359" spans="25:25" x14ac:dyDescent="0.25">
      <c r="Y28359" s="63"/>
    </row>
    <row r="28360" spans="25:25" x14ac:dyDescent="0.25">
      <c r="Y28360" s="63"/>
    </row>
    <row r="28361" spans="25:25" x14ac:dyDescent="0.25">
      <c r="Y28361" s="63"/>
    </row>
    <row r="28362" spans="25:25" x14ac:dyDescent="0.25">
      <c r="Y28362" s="63"/>
    </row>
    <row r="28363" spans="25:25" x14ac:dyDescent="0.25">
      <c r="Y28363" s="63"/>
    </row>
    <row r="28364" spans="25:25" x14ac:dyDescent="0.25">
      <c r="Y28364" s="63"/>
    </row>
    <row r="28365" spans="25:25" x14ac:dyDescent="0.25">
      <c r="Y28365" s="63"/>
    </row>
    <row r="28366" spans="25:25" x14ac:dyDescent="0.25">
      <c r="Y28366" s="63"/>
    </row>
    <row r="28367" spans="25:25" x14ac:dyDescent="0.25">
      <c r="Y28367" s="63"/>
    </row>
    <row r="28368" spans="25:25" x14ac:dyDescent="0.25">
      <c r="Y28368" s="63"/>
    </row>
    <row r="28369" spans="25:25" x14ac:dyDescent="0.25">
      <c r="Y28369" s="63"/>
    </row>
    <row r="28370" spans="25:25" x14ac:dyDescent="0.25">
      <c r="Y28370" s="63"/>
    </row>
    <row r="28371" spans="25:25" x14ac:dyDescent="0.25">
      <c r="Y28371" s="63"/>
    </row>
    <row r="28372" spans="25:25" x14ac:dyDescent="0.25">
      <c r="Y28372" s="63"/>
    </row>
    <row r="28373" spans="25:25" x14ac:dyDescent="0.25">
      <c r="Y28373" s="63"/>
    </row>
    <row r="28374" spans="25:25" x14ac:dyDescent="0.25">
      <c r="Y28374" s="63"/>
    </row>
    <row r="28375" spans="25:25" x14ac:dyDescent="0.25">
      <c r="Y28375" s="63"/>
    </row>
    <row r="28376" spans="25:25" x14ac:dyDescent="0.25">
      <c r="Y28376" s="63"/>
    </row>
    <row r="28377" spans="25:25" x14ac:dyDescent="0.25">
      <c r="Y28377" s="63"/>
    </row>
    <row r="28378" spans="25:25" x14ac:dyDescent="0.25">
      <c r="Y28378" s="63"/>
    </row>
    <row r="28379" spans="25:25" x14ac:dyDescent="0.25">
      <c r="Y28379" s="63"/>
    </row>
    <row r="28380" spans="25:25" x14ac:dyDescent="0.25">
      <c r="Y28380" s="63"/>
    </row>
    <row r="28381" spans="25:25" x14ac:dyDescent="0.25">
      <c r="Y28381" s="63"/>
    </row>
    <row r="28382" spans="25:25" x14ac:dyDescent="0.25">
      <c r="Y28382" s="63"/>
    </row>
    <row r="28383" spans="25:25" x14ac:dyDescent="0.25">
      <c r="Y28383" s="63"/>
    </row>
    <row r="28384" spans="25:25" x14ac:dyDescent="0.25">
      <c r="Y28384" s="63"/>
    </row>
    <row r="28385" spans="25:25" x14ac:dyDescent="0.25">
      <c r="Y28385" s="63"/>
    </row>
    <row r="28386" spans="25:25" x14ac:dyDescent="0.25">
      <c r="Y28386" s="63"/>
    </row>
    <row r="28387" spans="25:25" x14ac:dyDescent="0.25">
      <c r="Y28387" s="63"/>
    </row>
    <row r="28388" spans="25:25" x14ac:dyDescent="0.25">
      <c r="Y28388" s="63"/>
    </row>
    <row r="28389" spans="25:25" x14ac:dyDescent="0.25">
      <c r="Y28389" s="63"/>
    </row>
    <row r="28390" spans="25:25" x14ac:dyDescent="0.25">
      <c r="Y28390" s="63"/>
    </row>
    <row r="28391" spans="25:25" x14ac:dyDescent="0.25">
      <c r="Y28391" s="63"/>
    </row>
    <row r="28392" spans="25:25" x14ac:dyDescent="0.25">
      <c r="Y28392" s="63"/>
    </row>
    <row r="28393" spans="25:25" x14ac:dyDescent="0.25">
      <c r="Y28393" s="63"/>
    </row>
    <row r="28394" spans="25:25" x14ac:dyDescent="0.25">
      <c r="Y28394" s="63"/>
    </row>
    <row r="28395" spans="25:25" x14ac:dyDescent="0.25">
      <c r="Y28395" s="63"/>
    </row>
    <row r="28396" spans="25:25" x14ac:dyDescent="0.25">
      <c r="Y28396" s="63"/>
    </row>
    <row r="28397" spans="25:25" x14ac:dyDescent="0.25">
      <c r="Y28397" s="63"/>
    </row>
    <row r="28398" spans="25:25" x14ac:dyDescent="0.25">
      <c r="Y28398" s="63"/>
    </row>
    <row r="28399" spans="25:25" x14ac:dyDescent="0.25">
      <c r="Y28399" s="63"/>
    </row>
    <row r="28400" spans="25:25" x14ac:dyDescent="0.25">
      <c r="Y28400" s="63"/>
    </row>
    <row r="28401" spans="25:25" x14ac:dyDescent="0.25">
      <c r="Y28401" s="63"/>
    </row>
    <row r="28402" spans="25:25" x14ac:dyDescent="0.25">
      <c r="Y28402" s="63"/>
    </row>
    <row r="28403" spans="25:25" x14ac:dyDescent="0.25">
      <c r="Y28403" s="63"/>
    </row>
    <row r="28404" spans="25:25" x14ac:dyDescent="0.25">
      <c r="Y28404" s="63"/>
    </row>
    <row r="28405" spans="25:25" x14ac:dyDescent="0.25">
      <c r="Y28405" s="63"/>
    </row>
    <row r="28406" spans="25:25" x14ac:dyDescent="0.25">
      <c r="Y28406" s="63"/>
    </row>
    <row r="28407" spans="25:25" x14ac:dyDescent="0.25">
      <c r="Y28407" s="63"/>
    </row>
    <row r="28408" spans="25:25" x14ac:dyDescent="0.25">
      <c r="Y28408" s="63"/>
    </row>
    <row r="28409" spans="25:25" x14ac:dyDescent="0.25">
      <c r="Y28409" s="63"/>
    </row>
    <row r="28410" spans="25:25" x14ac:dyDescent="0.25">
      <c r="Y28410" s="63"/>
    </row>
    <row r="28411" spans="25:25" x14ac:dyDescent="0.25">
      <c r="Y28411" s="63"/>
    </row>
    <row r="28412" spans="25:25" x14ac:dyDescent="0.25">
      <c r="Y28412" s="63"/>
    </row>
    <row r="28413" spans="25:25" x14ac:dyDescent="0.25">
      <c r="Y28413" s="63"/>
    </row>
    <row r="28414" spans="25:25" x14ac:dyDescent="0.25">
      <c r="Y28414" s="63"/>
    </row>
    <row r="28415" spans="25:25" x14ac:dyDescent="0.25">
      <c r="Y28415" s="63"/>
    </row>
    <row r="28416" spans="25:25" x14ac:dyDescent="0.25">
      <c r="Y28416" s="63"/>
    </row>
    <row r="28417" spans="25:25" x14ac:dyDescent="0.25">
      <c r="Y28417" s="63"/>
    </row>
    <row r="28418" spans="25:25" x14ac:dyDescent="0.25">
      <c r="Y28418" s="63"/>
    </row>
    <row r="28419" spans="25:25" x14ac:dyDescent="0.25">
      <c r="Y28419" s="63"/>
    </row>
    <row r="28420" spans="25:25" x14ac:dyDescent="0.25">
      <c r="Y28420" s="63"/>
    </row>
    <row r="28421" spans="25:25" x14ac:dyDescent="0.25">
      <c r="Y28421" s="63"/>
    </row>
    <row r="28422" spans="25:25" x14ac:dyDescent="0.25">
      <c r="Y28422" s="63"/>
    </row>
    <row r="28423" spans="25:25" x14ac:dyDescent="0.25">
      <c r="Y28423" s="63"/>
    </row>
    <row r="28424" spans="25:25" x14ac:dyDescent="0.25">
      <c r="Y28424" s="63"/>
    </row>
    <row r="28425" spans="25:25" x14ac:dyDescent="0.25">
      <c r="Y28425" s="63"/>
    </row>
    <row r="28426" spans="25:25" x14ac:dyDescent="0.25">
      <c r="Y28426" s="63"/>
    </row>
    <row r="28427" spans="25:25" x14ac:dyDescent="0.25">
      <c r="Y28427" s="63"/>
    </row>
    <row r="28428" spans="25:25" x14ac:dyDescent="0.25">
      <c r="Y28428" s="63"/>
    </row>
    <row r="28429" spans="25:25" x14ac:dyDescent="0.25">
      <c r="Y28429" s="63"/>
    </row>
    <row r="28430" spans="25:25" x14ac:dyDescent="0.25">
      <c r="Y28430" s="63"/>
    </row>
    <row r="28431" spans="25:25" x14ac:dyDescent="0.25">
      <c r="Y28431" s="63"/>
    </row>
    <row r="28432" spans="25:25" x14ac:dyDescent="0.25">
      <c r="Y28432" s="63"/>
    </row>
    <row r="28433" spans="25:25" x14ac:dyDescent="0.25">
      <c r="Y28433" s="63"/>
    </row>
    <row r="28434" spans="25:25" x14ac:dyDescent="0.25">
      <c r="Y28434" s="63"/>
    </row>
    <row r="28435" spans="25:25" x14ac:dyDescent="0.25">
      <c r="Y28435" s="63"/>
    </row>
    <row r="28436" spans="25:25" x14ac:dyDescent="0.25">
      <c r="Y28436" s="63"/>
    </row>
    <row r="28437" spans="25:25" x14ac:dyDescent="0.25">
      <c r="Y28437" s="63"/>
    </row>
    <row r="28438" spans="25:25" x14ac:dyDescent="0.25">
      <c r="Y28438" s="63"/>
    </row>
    <row r="28439" spans="25:25" x14ac:dyDescent="0.25">
      <c r="Y28439" s="63"/>
    </row>
    <row r="28440" spans="25:25" x14ac:dyDescent="0.25">
      <c r="Y28440" s="63"/>
    </row>
    <row r="28441" spans="25:25" x14ac:dyDescent="0.25">
      <c r="Y28441" s="63"/>
    </row>
    <row r="28442" spans="25:25" x14ac:dyDescent="0.25">
      <c r="Y28442" s="63"/>
    </row>
    <row r="28443" spans="25:25" x14ac:dyDescent="0.25">
      <c r="Y28443" s="63"/>
    </row>
    <row r="28444" spans="25:25" x14ac:dyDescent="0.25">
      <c r="Y28444" s="63"/>
    </row>
    <row r="28445" spans="25:25" x14ac:dyDescent="0.25">
      <c r="Y28445" s="63"/>
    </row>
    <row r="28446" spans="25:25" x14ac:dyDescent="0.25">
      <c r="Y28446" s="63"/>
    </row>
    <row r="28447" spans="25:25" x14ac:dyDescent="0.25">
      <c r="Y28447" s="63"/>
    </row>
    <row r="28448" spans="25:25" x14ac:dyDescent="0.25">
      <c r="Y28448" s="63"/>
    </row>
    <row r="28449" spans="25:25" x14ac:dyDescent="0.25">
      <c r="Y28449" s="63"/>
    </row>
    <row r="28450" spans="25:25" x14ac:dyDescent="0.25">
      <c r="Y28450" s="63"/>
    </row>
    <row r="28451" spans="25:25" x14ac:dyDescent="0.25">
      <c r="Y28451" s="63"/>
    </row>
    <row r="28452" spans="25:25" x14ac:dyDescent="0.25">
      <c r="Y28452" s="63"/>
    </row>
    <row r="28453" spans="25:25" x14ac:dyDescent="0.25">
      <c r="Y28453" s="63"/>
    </row>
    <row r="28454" spans="25:25" x14ac:dyDescent="0.25">
      <c r="Y28454" s="63"/>
    </row>
    <row r="28455" spans="25:25" x14ac:dyDescent="0.25">
      <c r="Y28455" s="63"/>
    </row>
    <row r="28456" spans="25:25" x14ac:dyDescent="0.25">
      <c r="Y28456" s="63"/>
    </row>
    <row r="28457" spans="25:25" x14ac:dyDescent="0.25">
      <c r="Y28457" s="63"/>
    </row>
    <row r="28458" spans="25:25" x14ac:dyDescent="0.25">
      <c r="Y28458" s="63"/>
    </row>
    <row r="28459" spans="25:25" x14ac:dyDescent="0.25">
      <c r="Y28459" s="63"/>
    </row>
    <row r="28460" spans="25:25" x14ac:dyDescent="0.25">
      <c r="Y28460" s="63"/>
    </row>
    <row r="28461" spans="25:25" x14ac:dyDescent="0.25">
      <c r="Y28461" s="63"/>
    </row>
    <row r="28462" spans="25:25" x14ac:dyDescent="0.25">
      <c r="Y28462" s="63"/>
    </row>
    <row r="28463" spans="25:25" x14ac:dyDescent="0.25">
      <c r="Y28463" s="63"/>
    </row>
    <row r="28464" spans="25:25" x14ac:dyDescent="0.25">
      <c r="Y28464" s="63"/>
    </row>
    <row r="28465" spans="25:25" x14ac:dyDescent="0.25">
      <c r="Y28465" s="63"/>
    </row>
    <row r="28466" spans="25:25" x14ac:dyDescent="0.25">
      <c r="Y28466" s="63"/>
    </row>
    <row r="28467" spans="25:25" x14ac:dyDescent="0.25">
      <c r="Y28467" s="63"/>
    </row>
    <row r="28468" spans="25:25" x14ac:dyDescent="0.25">
      <c r="Y28468" s="63"/>
    </row>
    <row r="28469" spans="25:25" x14ac:dyDescent="0.25">
      <c r="Y28469" s="63"/>
    </row>
    <row r="28470" spans="25:25" x14ac:dyDescent="0.25">
      <c r="Y28470" s="63"/>
    </row>
    <row r="28471" spans="25:25" x14ac:dyDescent="0.25">
      <c r="Y28471" s="63"/>
    </row>
    <row r="28472" spans="25:25" x14ac:dyDescent="0.25">
      <c r="Y28472" s="63"/>
    </row>
    <row r="28473" spans="25:25" x14ac:dyDescent="0.25">
      <c r="Y28473" s="63"/>
    </row>
    <row r="28474" spans="25:25" x14ac:dyDescent="0.25">
      <c r="Y28474" s="63"/>
    </row>
    <row r="28475" spans="25:25" x14ac:dyDescent="0.25">
      <c r="Y28475" s="63"/>
    </row>
    <row r="28476" spans="25:25" x14ac:dyDescent="0.25">
      <c r="Y28476" s="63"/>
    </row>
    <row r="28477" spans="25:25" x14ac:dyDescent="0.25">
      <c r="Y28477" s="63"/>
    </row>
    <row r="28478" spans="25:25" x14ac:dyDescent="0.25">
      <c r="Y28478" s="63"/>
    </row>
    <row r="28479" spans="25:25" x14ac:dyDescent="0.25">
      <c r="Y28479" s="63"/>
    </row>
    <row r="28480" spans="25:25" x14ac:dyDescent="0.25">
      <c r="Y28480" s="63"/>
    </row>
    <row r="28481" spans="25:25" x14ac:dyDescent="0.25">
      <c r="Y28481" s="63"/>
    </row>
    <row r="28482" spans="25:25" x14ac:dyDescent="0.25">
      <c r="Y28482" s="63"/>
    </row>
    <row r="28483" spans="25:25" x14ac:dyDescent="0.25">
      <c r="Y28483" s="63"/>
    </row>
    <row r="28484" spans="25:25" x14ac:dyDescent="0.25">
      <c r="Y28484" s="63"/>
    </row>
    <row r="28485" spans="25:25" x14ac:dyDescent="0.25">
      <c r="Y28485" s="63"/>
    </row>
    <row r="28486" spans="25:25" x14ac:dyDescent="0.25">
      <c r="Y28486" s="63"/>
    </row>
    <row r="28487" spans="25:25" x14ac:dyDescent="0.25">
      <c r="Y28487" s="63"/>
    </row>
    <row r="28488" spans="25:25" x14ac:dyDescent="0.25">
      <c r="Y28488" s="63"/>
    </row>
    <row r="28489" spans="25:25" x14ac:dyDescent="0.25">
      <c r="Y28489" s="63"/>
    </row>
    <row r="28490" spans="25:25" x14ac:dyDescent="0.25">
      <c r="Y28490" s="63"/>
    </row>
    <row r="28491" spans="25:25" x14ac:dyDescent="0.25">
      <c r="Y28491" s="63"/>
    </row>
    <row r="28492" spans="25:25" x14ac:dyDescent="0.25">
      <c r="Y28492" s="63"/>
    </row>
    <row r="28493" spans="25:25" x14ac:dyDescent="0.25">
      <c r="Y28493" s="63"/>
    </row>
    <row r="28494" spans="25:25" x14ac:dyDescent="0.25">
      <c r="Y28494" s="63"/>
    </row>
    <row r="28495" spans="25:25" x14ac:dyDescent="0.25">
      <c r="Y28495" s="63"/>
    </row>
    <row r="28496" spans="25:25" x14ac:dyDescent="0.25">
      <c r="Y28496" s="63"/>
    </row>
    <row r="28497" spans="25:25" x14ac:dyDescent="0.25">
      <c r="Y28497" s="63"/>
    </row>
    <row r="28498" spans="25:25" x14ac:dyDescent="0.25">
      <c r="Y28498" s="63"/>
    </row>
    <row r="28499" spans="25:25" x14ac:dyDescent="0.25">
      <c r="Y28499" s="63"/>
    </row>
    <row r="28500" spans="25:25" x14ac:dyDescent="0.25">
      <c r="Y28500" s="63"/>
    </row>
    <row r="28501" spans="25:25" x14ac:dyDescent="0.25">
      <c r="Y28501" s="63"/>
    </row>
    <row r="28502" spans="25:25" x14ac:dyDescent="0.25">
      <c r="Y28502" s="63"/>
    </row>
    <row r="28503" spans="25:25" x14ac:dyDescent="0.25">
      <c r="Y28503" s="63"/>
    </row>
    <row r="28504" spans="25:25" x14ac:dyDescent="0.25">
      <c r="Y28504" s="63"/>
    </row>
    <row r="28505" spans="25:25" x14ac:dyDescent="0.25">
      <c r="Y28505" s="63"/>
    </row>
    <row r="28506" spans="25:25" x14ac:dyDescent="0.25">
      <c r="Y28506" s="63"/>
    </row>
    <row r="28507" spans="25:25" x14ac:dyDescent="0.25">
      <c r="Y28507" s="63"/>
    </row>
    <row r="28508" spans="25:25" x14ac:dyDescent="0.25">
      <c r="Y28508" s="63"/>
    </row>
    <row r="28509" spans="25:25" x14ac:dyDescent="0.25">
      <c r="Y28509" s="63"/>
    </row>
    <row r="28510" spans="25:25" x14ac:dyDescent="0.25">
      <c r="Y28510" s="63"/>
    </row>
    <row r="28511" spans="25:25" x14ac:dyDescent="0.25">
      <c r="Y28511" s="63"/>
    </row>
    <row r="28512" spans="25:25" x14ac:dyDescent="0.25">
      <c r="Y28512" s="63"/>
    </row>
    <row r="28513" spans="25:25" x14ac:dyDescent="0.25">
      <c r="Y28513" s="63"/>
    </row>
    <row r="28514" spans="25:25" x14ac:dyDescent="0.25">
      <c r="Y28514" s="63"/>
    </row>
    <row r="28515" spans="25:25" x14ac:dyDescent="0.25">
      <c r="Y28515" s="63"/>
    </row>
    <row r="28516" spans="25:25" x14ac:dyDescent="0.25">
      <c r="Y28516" s="63"/>
    </row>
    <row r="28517" spans="25:25" x14ac:dyDescent="0.25">
      <c r="Y28517" s="63"/>
    </row>
    <row r="28518" spans="25:25" x14ac:dyDescent="0.25">
      <c r="Y28518" s="63"/>
    </row>
    <row r="28519" spans="25:25" x14ac:dyDescent="0.25">
      <c r="Y28519" s="63"/>
    </row>
    <row r="28520" spans="25:25" x14ac:dyDescent="0.25">
      <c r="Y28520" s="63"/>
    </row>
    <row r="28521" spans="25:25" x14ac:dyDescent="0.25">
      <c r="Y28521" s="63"/>
    </row>
    <row r="28522" spans="25:25" x14ac:dyDescent="0.25">
      <c r="Y28522" s="63"/>
    </row>
    <row r="28523" spans="25:25" x14ac:dyDescent="0.25">
      <c r="Y28523" s="63"/>
    </row>
    <row r="28524" spans="25:25" x14ac:dyDescent="0.25">
      <c r="Y28524" s="63"/>
    </row>
    <row r="28525" spans="25:25" x14ac:dyDescent="0.25">
      <c r="Y28525" s="63"/>
    </row>
    <row r="28526" spans="25:25" x14ac:dyDescent="0.25">
      <c r="Y28526" s="63"/>
    </row>
    <row r="28527" spans="25:25" x14ac:dyDescent="0.25">
      <c r="Y28527" s="63"/>
    </row>
    <row r="28528" spans="25:25" x14ac:dyDescent="0.25">
      <c r="Y28528" s="63"/>
    </row>
    <row r="28529" spans="25:25" x14ac:dyDescent="0.25">
      <c r="Y28529" s="63"/>
    </row>
    <row r="28530" spans="25:25" x14ac:dyDescent="0.25">
      <c r="Y28530" s="63"/>
    </row>
    <row r="28531" spans="25:25" x14ac:dyDescent="0.25">
      <c r="Y28531" s="63"/>
    </row>
    <row r="28532" spans="25:25" x14ac:dyDescent="0.25">
      <c r="Y28532" s="63"/>
    </row>
    <row r="28533" spans="25:25" x14ac:dyDescent="0.25">
      <c r="Y28533" s="63"/>
    </row>
    <row r="28534" spans="25:25" x14ac:dyDescent="0.25">
      <c r="Y28534" s="63"/>
    </row>
    <row r="28535" spans="25:25" x14ac:dyDescent="0.25">
      <c r="Y28535" s="63"/>
    </row>
    <row r="28536" spans="25:25" x14ac:dyDescent="0.25">
      <c r="Y28536" s="63"/>
    </row>
    <row r="28537" spans="25:25" x14ac:dyDescent="0.25">
      <c r="Y28537" s="63"/>
    </row>
    <row r="28538" spans="25:25" x14ac:dyDescent="0.25">
      <c r="Y28538" s="63"/>
    </row>
    <row r="28539" spans="25:25" x14ac:dyDescent="0.25">
      <c r="Y28539" s="63"/>
    </row>
    <row r="28540" spans="25:25" x14ac:dyDescent="0.25">
      <c r="Y28540" s="63"/>
    </row>
    <row r="28541" spans="25:25" x14ac:dyDescent="0.25">
      <c r="Y28541" s="63"/>
    </row>
    <row r="28542" spans="25:25" x14ac:dyDescent="0.25">
      <c r="Y28542" s="63"/>
    </row>
    <row r="28543" spans="25:25" x14ac:dyDescent="0.25">
      <c r="Y28543" s="63"/>
    </row>
    <row r="28544" spans="25:25" x14ac:dyDescent="0.25">
      <c r="Y28544" s="63"/>
    </row>
    <row r="28545" spans="25:25" x14ac:dyDescent="0.25">
      <c r="Y28545" s="63"/>
    </row>
    <row r="28546" spans="25:25" x14ac:dyDescent="0.25">
      <c r="Y28546" s="63"/>
    </row>
    <row r="28547" spans="25:25" x14ac:dyDescent="0.25">
      <c r="Y28547" s="63"/>
    </row>
    <row r="28548" spans="25:25" x14ac:dyDescent="0.25">
      <c r="Y28548" s="63"/>
    </row>
    <row r="28549" spans="25:25" x14ac:dyDescent="0.25">
      <c r="Y28549" s="63"/>
    </row>
    <row r="28550" spans="25:25" x14ac:dyDescent="0.25">
      <c r="Y28550" s="63"/>
    </row>
    <row r="28551" spans="25:25" x14ac:dyDescent="0.25">
      <c r="Y28551" s="63"/>
    </row>
    <row r="28552" spans="25:25" x14ac:dyDescent="0.25">
      <c r="Y28552" s="63"/>
    </row>
    <row r="28553" spans="25:25" x14ac:dyDescent="0.25">
      <c r="Y28553" s="63"/>
    </row>
    <row r="28554" spans="25:25" x14ac:dyDescent="0.25">
      <c r="Y28554" s="63"/>
    </row>
    <row r="28555" spans="25:25" x14ac:dyDescent="0.25">
      <c r="Y28555" s="63"/>
    </row>
    <row r="28556" spans="25:25" x14ac:dyDescent="0.25">
      <c r="Y28556" s="63"/>
    </row>
    <row r="28557" spans="25:25" x14ac:dyDescent="0.25">
      <c r="Y28557" s="63"/>
    </row>
    <row r="28558" spans="25:25" x14ac:dyDescent="0.25">
      <c r="Y28558" s="63"/>
    </row>
    <row r="28559" spans="25:25" x14ac:dyDescent="0.25">
      <c r="Y28559" s="63"/>
    </row>
    <row r="28560" spans="25:25" x14ac:dyDescent="0.25">
      <c r="Y28560" s="63"/>
    </row>
    <row r="28561" spans="25:25" x14ac:dyDescent="0.25">
      <c r="Y28561" s="63"/>
    </row>
    <row r="28562" spans="25:25" x14ac:dyDescent="0.25">
      <c r="Y28562" s="63"/>
    </row>
    <row r="28563" spans="25:25" x14ac:dyDescent="0.25">
      <c r="Y28563" s="63"/>
    </row>
    <row r="28564" spans="25:25" x14ac:dyDescent="0.25">
      <c r="Y28564" s="63"/>
    </row>
    <row r="28565" spans="25:25" x14ac:dyDescent="0.25">
      <c r="Y28565" s="63"/>
    </row>
    <row r="28566" spans="25:25" x14ac:dyDescent="0.25">
      <c r="Y28566" s="63"/>
    </row>
    <row r="28567" spans="25:25" x14ac:dyDescent="0.25">
      <c r="Y28567" s="63"/>
    </row>
    <row r="28568" spans="25:25" x14ac:dyDescent="0.25">
      <c r="Y28568" s="63"/>
    </row>
    <row r="28569" spans="25:25" x14ac:dyDescent="0.25">
      <c r="Y28569" s="63"/>
    </row>
    <row r="28570" spans="25:25" x14ac:dyDescent="0.25">
      <c r="Y28570" s="63"/>
    </row>
    <row r="28571" spans="25:25" x14ac:dyDescent="0.25">
      <c r="Y28571" s="63"/>
    </row>
    <row r="28572" spans="25:25" x14ac:dyDescent="0.25">
      <c r="Y28572" s="63"/>
    </row>
    <row r="28573" spans="25:25" x14ac:dyDescent="0.25">
      <c r="Y28573" s="63"/>
    </row>
    <row r="28574" spans="25:25" x14ac:dyDescent="0.25">
      <c r="Y28574" s="63"/>
    </row>
    <row r="28575" spans="25:25" x14ac:dyDescent="0.25">
      <c r="Y28575" s="63"/>
    </row>
    <row r="28576" spans="25:25" x14ac:dyDescent="0.25">
      <c r="Y28576" s="63"/>
    </row>
    <row r="28577" spans="25:25" x14ac:dyDescent="0.25">
      <c r="Y28577" s="63"/>
    </row>
    <row r="28578" spans="25:25" x14ac:dyDescent="0.25">
      <c r="Y28578" s="63"/>
    </row>
    <row r="28579" spans="25:25" x14ac:dyDescent="0.25">
      <c r="Y28579" s="63"/>
    </row>
    <row r="28580" spans="25:25" x14ac:dyDescent="0.25">
      <c r="Y28580" s="63"/>
    </row>
    <row r="28581" spans="25:25" x14ac:dyDescent="0.25">
      <c r="Y28581" s="63"/>
    </row>
    <row r="28582" spans="25:25" x14ac:dyDescent="0.25">
      <c r="Y28582" s="63"/>
    </row>
    <row r="28583" spans="25:25" x14ac:dyDescent="0.25">
      <c r="Y28583" s="63"/>
    </row>
    <row r="28584" spans="25:25" x14ac:dyDescent="0.25">
      <c r="Y28584" s="63"/>
    </row>
    <row r="28585" spans="25:25" x14ac:dyDescent="0.25">
      <c r="Y28585" s="63"/>
    </row>
    <row r="28586" spans="25:25" x14ac:dyDescent="0.25">
      <c r="Y28586" s="63"/>
    </row>
    <row r="28587" spans="25:25" x14ac:dyDescent="0.25">
      <c r="Y28587" s="63"/>
    </row>
    <row r="28588" spans="25:25" x14ac:dyDescent="0.25">
      <c r="Y28588" s="63"/>
    </row>
    <row r="28589" spans="25:25" x14ac:dyDescent="0.25">
      <c r="Y28589" s="63"/>
    </row>
    <row r="28590" spans="25:25" x14ac:dyDescent="0.25">
      <c r="Y28590" s="63"/>
    </row>
    <row r="28591" spans="25:25" x14ac:dyDescent="0.25">
      <c r="Y28591" s="63"/>
    </row>
    <row r="28592" spans="25:25" x14ac:dyDescent="0.25">
      <c r="Y28592" s="63"/>
    </row>
    <row r="28593" spans="25:25" x14ac:dyDescent="0.25">
      <c r="Y28593" s="63"/>
    </row>
    <row r="28594" spans="25:25" x14ac:dyDescent="0.25">
      <c r="Y28594" s="63"/>
    </row>
    <row r="28595" spans="25:25" x14ac:dyDescent="0.25">
      <c r="Y28595" s="63"/>
    </row>
    <row r="28596" spans="25:25" x14ac:dyDescent="0.25">
      <c r="Y28596" s="63"/>
    </row>
    <row r="28597" spans="25:25" x14ac:dyDescent="0.25">
      <c r="Y28597" s="63"/>
    </row>
    <row r="28598" spans="25:25" x14ac:dyDescent="0.25">
      <c r="Y28598" s="63"/>
    </row>
    <row r="28599" spans="25:25" x14ac:dyDescent="0.25">
      <c r="Y28599" s="63"/>
    </row>
    <row r="28600" spans="25:25" x14ac:dyDescent="0.25">
      <c r="Y28600" s="63"/>
    </row>
    <row r="28601" spans="25:25" x14ac:dyDescent="0.25">
      <c r="Y28601" s="63"/>
    </row>
    <row r="28602" spans="25:25" x14ac:dyDescent="0.25">
      <c r="Y28602" s="63"/>
    </row>
    <row r="28603" spans="25:25" x14ac:dyDescent="0.25">
      <c r="Y28603" s="63"/>
    </row>
    <row r="28604" spans="25:25" x14ac:dyDescent="0.25">
      <c r="Y28604" s="63"/>
    </row>
    <row r="28605" spans="25:25" x14ac:dyDescent="0.25">
      <c r="Y28605" s="63"/>
    </row>
    <row r="28606" spans="25:25" x14ac:dyDescent="0.25">
      <c r="Y28606" s="63"/>
    </row>
    <row r="28607" spans="25:25" x14ac:dyDescent="0.25">
      <c r="Y28607" s="63"/>
    </row>
    <row r="28608" spans="25:25" x14ac:dyDescent="0.25">
      <c r="Y28608" s="63"/>
    </row>
    <row r="28609" spans="25:25" x14ac:dyDescent="0.25">
      <c r="Y28609" s="63"/>
    </row>
    <row r="28610" spans="25:25" x14ac:dyDescent="0.25">
      <c r="Y28610" s="63"/>
    </row>
    <row r="28611" spans="25:25" x14ac:dyDescent="0.25">
      <c r="Y28611" s="63"/>
    </row>
    <row r="28612" spans="25:25" x14ac:dyDescent="0.25">
      <c r="Y28612" s="63"/>
    </row>
    <row r="28613" spans="25:25" x14ac:dyDescent="0.25">
      <c r="Y28613" s="63"/>
    </row>
    <row r="28614" spans="25:25" x14ac:dyDescent="0.25">
      <c r="Y28614" s="63"/>
    </row>
    <row r="28615" spans="25:25" x14ac:dyDescent="0.25">
      <c r="Y28615" s="63"/>
    </row>
    <row r="28616" spans="25:25" x14ac:dyDescent="0.25">
      <c r="Y28616" s="63"/>
    </row>
    <row r="28617" spans="25:25" x14ac:dyDescent="0.25">
      <c r="Y28617" s="63"/>
    </row>
    <row r="28618" spans="25:25" x14ac:dyDescent="0.25">
      <c r="Y28618" s="63"/>
    </row>
    <row r="28619" spans="25:25" x14ac:dyDescent="0.25">
      <c r="Y28619" s="63"/>
    </row>
    <row r="28620" spans="25:25" x14ac:dyDescent="0.25">
      <c r="Y28620" s="63"/>
    </row>
    <row r="28621" spans="25:25" x14ac:dyDescent="0.25">
      <c r="Y28621" s="63"/>
    </row>
    <row r="28622" spans="25:25" x14ac:dyDescent="0.25">
      <c r="Y28622" s="63"/>
    </row>
    <row r="28623" spans="25:25" x14ac:dyDescent="0.25">
      <c r="Y28623" s="63"/>
    </row>
    <row r="28624" spans="25:25" x14ac:dyDescent="0.25">
      <c r="Y28624" s="63"/>
    </row>
    <row r="28625" spans="25:25" x14ac:dyDescent="0.25">
      <c r="Y28625" s="63"/>
    </row>
    <row r="28626" spans="25:25" x14ac:dyDescent="0.25">
      <c r="Y28626" s="63"/>
    </row>
    <row r="28627" spans="25:25" x14ac:dyDescent="0.25">
      <c r="Y28627" s="63"/>
    </row>
    <row r="28628" spans="25:25" x14ac:dyDescent="0.25">
      <c r="Y28628" s="63"/>
    </row>
    <row r="28629" spans="25:25" x14ac:dyDescent="0.25">
      <c r="Y28629" s="63"/>
    </row>
    <row r="28630" spans="25:25" x14ac:dyDescent="0.25">
      <c r="Y28630" s="63"/>
    </row>
    <row r="28631" spans="25:25" x14ac:dyDescent="0.25">
      <c r="Y28631" s="63"/>
    </row>
    <row r="28632" spans="25:25" x14ac:dyDescent="0.25">
      <c r="Y28632" s="63"/>
    </row>
    <row r="28633" spans="25:25" x14ac:dyDescent="0.25">
      <c r="Y28633" s="63"/>
    </row>
    <row r="28634" spans="25:25" x14ac:dyDescent="0.25">
      <c r="Y28634" s="63"/>
    </row>
    <row r="28635" spans="25:25" x14ac:dyDescent="0.25">
      <c r="Y28635" s="63"/>
    </row>
    <row r="28636" spans="25:25" x14ac:dyDescent="0.25">
      <c r="Y28636" s="63"/>
    </row>
    <row r="28637" spans="25:25" x14ac:dyDescent="0.25">
      <c r="Y28637" s="63"/>
    </row>
    <row r="28638" spans="25:25" x14ac:dyDescent="0.25">
      <c r="Y28638" s="63"/>
    </row>
    <row r="28639" spans="25:25" x14ac:dyDescent="0.25">
      <c r="Y28639" s="63"/>
    </row>
    <row r="28640" spans="25:25" x14ac:dyDescent="0.25">
      <c r="Y28640" s="63"/>
    </row>
    <row r="28641" spans="25:25" x14ac:dyDescent="0.25">
      <c r="Y28641" s="63"/>
    </row>
    <row r="28642" spans="25:25" x14ac:dyDescent="0.25">
      <c r="Y28642" s="63"/>
    </row>
    <row r="28643" spans="25:25" x14ac:dyDescent="0.25">
      <c r="Y28643" s="63"/>
    </row>
    <row r="28644" spans="25:25" x14ac:dyDescent="0.25">
      <c r="Y28644" s="63"/>
    </row>
    <row r="28645" spans="25:25" x14ac:dyDescent="0.25">
      <c r="Y28645" s="63"/>
    </row>
    <row r="28646" spans="25:25" x14ac:dyDescent="0.25">
      <c r="Y28646" s="63"/>
    </row>
    <row r="28647" spans="25:25" x14ac:dyDescent="0.25">
      <c r="Y28647" s="63"/>
    </row>
    <row r="28648" spans="25:25" x14ac:dyDescent="0.25">
      <c r="Y28648" s="63"/>
    </row>
    <row r="28649" spans="25:25" x14ac:dyDescent="0.25">
      <c r="Y28649" s="63"/>
    </row>
    <row r="28650" spans="25:25" x14ac:dyDescent="0.25">
      <c r="Y28650" s="63"/>
    </row>
    <row r="28651" spans="25:25" x14ac:dyDescent="0.25">
      <c r="Y28651" s="63"/>
    </row>
    <row r="28652" spans="25:25" x14ac:dyDescent="0.25">
      <c r="Y28652" s="63"/>
    </row>
    <row r="28653" spans="25:25" x14ac:dyDescent="0.25">
      <c r="Y28653" s="63"/>
    </row>
    <row r="28654" spans="25:25" x14ac:dyDescent="0.25">
      <c r="Y28654" s="63"/>
    </row>
    <row r="28655" spans="25:25" x14ac:dyDescent="0.25">
      <c r="Y28655" s="63"/>
    </row>
    <row r="28656" spans="25:25" x14ac:dyDescent="0.25">
      <c r="Y28656" s="63"/>
    </row>
    <row r="28657" spans="25:25" x14ac:dyDescent="0.25">
      <c r="Y28657" s="63"/>
    </row>
    <row r="28658" spans="25:25" x14ac:dyDescent="0.25">
      <c r="Y28658" s="63"/>
    </row>
    <row r="28659" spans="25:25" x14ac:dyDescent="0.25">
      <c r="Y28659" s="63"/>
    </row>
    <row r="28660" spans="25:25" x14ac:dyDescent="0.25">
      <c r="Y28660" s="63"/>
    </row>
    <row r="28661" spans="25:25" x14ac:dyDescent="0.25">
      <c r="Y28661" s="63"/>
    </row>
    <row r="28662" spans="25:25" x14ac:dyDescent="0.25">
      <c r="Y28662" s="63"/>
    </row>
    <row r="28663" spans="25:25" x14ac:dyDescent="0.25">
      <c r="Y28663" s="63"/>
    </row>
    <row r="28664" spans="25:25" x14ac:dyDescent="0.25">
      <c r="Y28664" s="63"/>
    </row>
    <row r="28665" spans="25:25" x14ac:dyDescent="0.25">
      <c r="Y28665" s="63"/>
    </row>
    <row r="28666" spans="25:25" x14ac:dyDescent="0.25">
      <c r="Y28666" s="63"/>
    </row>
    <row r="28667" spans="25:25" x14ac:dyDescent="0.25">
      <c r="Y28667" s="63"/>
    </row>
    <row r="28668" spans="25:25" x14ac:dyDescent="0.25">
      <c r="Y28668" s="63"/>
    </row>
    <row r="28669" spans="25:25" x14ac:dyDescent="0.25">
      <c r="Y28669" s="63"/>
    </row>
    <row r="28670" spans="25:25" x14ac:dyDescent="0.25">
      <c r="Y28670" s="63"/>
    </row>
    <row r="28671" spans="25:25" x14ac:dyDescent="0.25">
      <c r="Y28671" s="63"/>
    </row>
    <row r="28672" spans="25:25" x14ac:dyDescent="0.25">
      <c r="Y28672" s="63"/>
    </row>
    <row r="28673" spans="25:25" x14ac:dyDescent="0.25">
      <c r="Y28673" s="63"/>
    </row>
    <row r="28674" spans="25:25" x14ac:dyDescent="0.25">
      <c r="Y28674" s="63"/>
    </row>
    <row r="28675" spans="25:25" x14ac:dyDescent="0.25">
      <c r="Y28675" s="63"/>
    </row>
    <row r="28676" spans="25:25" x14ac:dyDescent="0.25">
      <c r="Y28676" s="63"/>
    </row>
    <row r="28677" spans="25:25" x14ac:dyDescent="0.25">
      <c r="Y28677" s="63"/>
    </row>
    <row r="28678" spans="25:25" x14ac:dyDescent="0.25">
      <c r="Y28678" s="63"/>
    </row>
    <row r="28679" spans="25:25" x14ac:dyDescent="0.25">
      <c r="Y28679" s="63"/>
    </row>
    <row r="28680" spans="25:25" x14ac:dyDescent="0.25">
      <c r="Y28680" s="63"/>
    </row>
    <row r="28681" spans="25:25" x14ac:dyDescent="0.25">
      <c r="Y28681" s="63"/>
    </row>
    <row r="28682" spans="25:25" x14ac:dyDescent="0.25">
      <c r="Y28682" s="63"/>
    </row>
    <row r="28683" spans="25:25" x14ac:dyDescent="0.25">
      <c r="Y28683" s="63"/>
    </row>
    <row r="28684" spans="25:25" x14ac:dyDescent="0.25">
      <c r="Y28684" s="63"/>
    </row>
    <row r="28685" spans="25:25" x14ac:dyDescent="0.25">
      <c r="Y28685" s="63"/>
    </row>
    <row r="28686" spans="25:25" x14ac:dyDescent="0.25">
      <c r="Y28686" s="63"/>
    </row>
    <row r="28687" spans="25:25" x14ac:dyDescent="0.25">
      <c r="Y28687" s="63"/>
    </row>
    <row r="28688" spans="25:25" x14ac:dyDescent="0.25">
      <c r="Y28688" s="63"/>
    </row>
    <row r="28689" spans="25:25" x14ac:dyDescent="0.25">
      <c r="Y28689" s="63"/>
    </row>
    <row r="28690" spans="25:25" x14ac:dyDescent="0.25">
      <c r="Y28690" s="63"/>
    </row>
    <row r="28691" spans="25:25" x14ac:dyDescent="0.25">
      <c r="Y28691" s="63"/>
    </row>
    <row r="28692" spans="25:25" x14ac:dyDescent="0.25">
      <c r="Y28692" s="63"/>
    </row>
    <row r="28693" spans="25:25" x14ac:dyDescent="0.25">
      <c r="Y28693" s="63"/>
    </row>
    <row r="28694" spans="25:25" x14ac:dyDescent="0.25">
      <c r="Y28694" s="63"/>
    </row>
    <row r="28695" spans="25:25" x14ac:dyDescent="0.25">
      <c r="Y28695" s="63"/>
    </row>
    <row r="28696" spans="25:25" x14ac:dyDescent="0.25">
      <c r="Y28696" s="63"/>
    </row>
    <row r="28697" spans="25:25" x14ac:dyDescent="0.25">
      <c r="Y28697" s="63"/>
    </row>
    <row r="28698" spans="25:25" x14ac:dyDescent="0.25">
      <c r="Y28698" s="63"/>
    </row>
    <row r="28699" spans="25:25" x14ac:dyDescent="0.25">
      <c r="Y28699" s="63"/>
    </row>
    <row r="28700" spans="25:25" x14ac:dyDescent="0.25">
      <c r="Y28700" s="63"/>
    </row>
    <row r="28701" spans="25:25" x14ac:dyDescent="0.25">
      <c r="Y28701" s="63"/>
    </row>
    <row r="28702" spans="25:25" x14ac:dyDescent="0.25">
      <c r="Y28702" s="63"/>
    </row>
    <row r="28703" spans="25:25" x14ac:dyDescent="0.25">
      <c r="Y28703" s="63"/>
    </row>
    <row r="28704" spans="25:25" x14ac:dyDescent="0.25">
      <c r="Y28704" s="63"/>
    </row>
    <row r="28705" spans="25:25" x14ac:dyDescent="0.25">
      <c r="Y28705" s="63"/>
    </row>
    <row r="28706" spans="25:25" x14ac:dyDescent="0.25">
      <c r="Y28706" s="63"/>
    </row>
    <row r="28707" spans="25:25" x14ac:dyDescent="0.25">
      <c r="Y28707" s="63"/>
    </row>
    <row r="28708" spans="25:25" x14ac:dyDescent="0.25">
      <c r="Y28708" s="63"/>
    </row>
    <row r="28709" spans="25:25" x14ac:dyDescent="0.25">
      <c r="Y28709" s="63"/>
    </row>
    <row r="28710" spans="25:25" x14ac:dyDescent="0.25">
      <c r="Y28710" s="63"/>
    </row>
    <row r="28711" spans="25:25" x14ac:dyDescent="0.25">
      <c r="Y28711" s="63"/>
    </row>
    <row r="28712" spans="25:25" x14ac:dyDescent="0.25">
      <c r="Y28712" s="63"/>
    </row>
    <row r="28713" spans="25:25" x14ac:dyDescent="0.25">
      <c r="Y28713" s="63"/>
    </row>
    <row r="28714" spans="25:25" x14ac:dyDescent="0.25">
      <c r="Y28714" s="63"/>
    </row>
    <row r="28715" spans="25:25" x14ac:dyDescent="0.25">
      <c r="Y28715" s="63"/>
    </row>
    <row r="28716" spans="25:25" x14ac:dyDescent="0.25">
      <c r="Y28716" s="63"/>
    </row>
    <row r="28717" spans="25:25" x14ac:dyDescent="0.25">
      <c r="Y28717" s="63"/>
    </row>
    <row r="28718" spans="25:25" x14ac:dyDescent="0.25">
      <c r="Y28718" s="63"/>
    </row>
    <row r="28719" spans="25:25" x14ac:dyDescent="0.25">
      <c r="Y28719" s="63"/>
    </row>
    <row r="28720" spans="25:25" x14ac:dyDescent="0.25">
      <c r="Y28720" s="63"/>
    </row>
    <row r="28721" spans="25:25" x14ac:dyDescent="0.25">
      <c r="Y28721" s="63"/>
    </row>
    <row r="28722" spans="25:25" x14ac:dyDescent="0.25">
      <c r="Y28722" s="63"/>
    </row>
    <row r="28723" spans="25:25" x14ac:dyDescent="0.25">
      <c r="Y28723" s="63"/>
    </row>
    <row r="28724" spans="25:25" x14ac:dyDescent="0.25">
      <c r="Y28724" s="63"/>
    </row>
    <row r="28725" spans="25:25" x14ac:dyDescent="0.25">
      <c r="Y28725" s="63"/>
    </row>
    <row r="28726" spans="25:25" x14ac:dyDescent="0.25">
      <c r="Y28726" s="63"/>
    </row>
    <row r="28727" spans="25:25" x14ac:dyDescent="0.25">
      <c r="Y28727" s="63"/>
    </row>
    <row r="28728" spans="25:25" x14ac:dyDescent="0.25">
      <c r="Y28728" s="63"/>
    </row>
    <row r="28729" spans="25:25" x14ac:dyDescent="0.25">
      <c r="Y28729" s="63"/>
    </row>
    <row r="28730" spans="25:25" x14ac:dyDescent="0.25">
      <c r="Y28730" s="63"/>
    </row>
    <row r="28731" spans="25:25" x14ac:dyDescent="0.25">
      <c r="Y28731" s="63"/>
    </row>
    <row r="28732" spans="25:25" x14ac:dyDescent="0.25">
      <c r="Y28732" s="63"/>
    </row>
    <row r="28733" spans="25:25" x14ac:dyDescent="0.25">
      <c r="Y28733" s="63"/>
    </row>
    <row r="28734" spans="25:25" x14ac:dyDescent="0.25">
      <c r="Y28734" s="63"/>
    </row>
    <row r="28735" spans="25:25" x14ac:dyDescent="0.25">
      <c r="Y28735" s="63"/>
    </row>
    <row r="28736" spans="25:25" x14ac:dyDescent="0.25">
      <c r="Y28736" s="63"/>
    </row>
    <row r="28737" spans="25:25" x14ac:dyDescent="0.25">
      <c r="Y28737" s="63"/>
    </row>
    <row r="28738" spans="25:25" x14ac:dyDescent="0.25">
      <c r="Y28738" s="63"/>
    </row>
    <row r="28739" spans="25:25" x14ac:dyDescent="0.25">
      <c r="Y28739" s="63"/>
    </row>
    <row r="28740" spans="25:25" x14ac:dyDescent="0.25">
      <c r="Y28740" s="63"/>
    </row>
    <row r="28741" spans="25:25" x14ac:dyDescent="0.25">
      <c r="Y28741" s="63"/>
    </row>
    <row r="28742" spans="25:25" x14ac:dyDescent="0.25">
      <c r="Y28742" s="63"/>
    </row>
    <row r="28743" spans="25:25" x14ac:dyDescent="0.25">
      <c r="Y28743" s="63"/>
    </row>
    <row r="28744" spans="25:25" x14ac:dyDescent="0.25">
      <c r="Y28744" s="63"/>
    </row>
    <row r="28745" spans="25:25" x14ac:dyDescent="0.25">
      <c r="Y28745" s="63"/>
    </row>
    <row r="28746" spans="25:25" x14ac:dyDescent="0.25">
      <c r="Y28746" s="63"/>
    </row>
    <row r="28747" spans="25:25" x14ac:dyDescent="0.25">
      <c r="Y28747" s="63"/>
    </row>
    <row r="28748" spans="25:25" x14ac:dyDescent="0.25">
      <c r="Y28748" s="63"/>
    </row>
    <row r="28749" spans="25:25" x14ac:dyDescent="0.25">
      <c r="Y28749" s="63"/>
    </row>
    <row r="28750" spans="25:25" x14ac:dyDescent="0.25">
      <c r="Y28750" s="63"/>
    </row>
    <row r="28751" spans="25:25" x14ac:dyDescent="0.25">
      <c r="Y28751" s="63"/>
    </row>
    <row r="28752" spans="25:25" x14ac:dyDescent="0.25">
      <c r="Y28752" s="63"/>
    </row>
    <row r="28753" spans="25:25" x14ac:dyDescent="0.25">
      <c r="Y28753" s="63"/>
    </row>
    <row r="28754" spans="25:25" x14ac:dyDescent="0.25">
      <c r="Y28754" s="63"/>
    </row>
    <row r="28755" spans="25:25" x14ac:dyDescent="0.25">
      <c r="Y28755" s="63"/>
    </row>
    <row r="28756" spans="25:25" x14ac:dyDescent="0.25">
      <c r="Y28756" s="63"/>
    </row>
    <row r="28757" spans="25:25" x14ac:dyDescent="0.25">
      <c r="Y28757" s="63"/>
    </row>
    <row r="28758" spans="25:25" x14ac:dyDescent="0.25">
      <c r="Y28758" s="63"/>
    </row>
    <row r="28759" spans="25:25" x14ac:dyDescent="0.25">
      <c r="Y28759" s="63"/>
    </row>
    <row r="28760" spans="25:25" x14ac:dyDescent="0.25">
      <c r="Y28760" s="63"/>
    </row>
    <row r="28761" spans="25:25" x14ac:dyDescent="0.25">
      <c r="Y28761" s="63"/>
    </row>
    <row r="28762" spans="25:25" x14ac:dyDescent="0.25">
      <c r="Y28762" s="63"/>
    </row>
    <row r="28763" spans="25:25" x14ac:dyDescent="0.25">
      <c r="Y28763" s="63"/>
    </row>
    <row r="28764" spans="25:25" x14ac:dyDescent="0.25">
      <c r="Y28764" s="63"/>
    </row>
    <row r="28765" spans="25:25" x14ac:dyDescent="0.25">
      <c r="Y28765" s="63"/>
    </row>
    <row r="28766" spans="25:25" x14ac:dyDescent="0.25">
      <c r="Y28766" s="63"/>
    </row>
    <row r="28767" spans="25:25" x14ac:dyDescent="0.25">
      <c r="Y28767" s="63"/>
    </row>
    <row r="28768" spans="25:25" x14ac:dyDescent="0.25">
      <c r="Y28768" s="63"/>
    </row>
    <row r="28769" spans="25:25" x14ac:dyDescent="0.25">
      <c r="Y28769" s="63"/>
    </row>
    <row r="28770" spans="25:25" x14ac:dyDescent="0.25">
      <c r="Y28770" s="63"/>
    </row>
    <row r="28771" spans="25:25" x14ac:dyDescent="0.25">
      <c r="Y28771" s="63"/>
    </row>
    <row r="28772" spans="25:25" x14ac:dyDescent="0.25">
      <c r="Y28772" s="63"/>
    </row>
    <row r="28773" spans="25:25" x14ac:dyDescent="0.25">
      <c r="Y28773" s="63"/>
    </row>
    <row r="28774" spans="25:25" x14ac:dyDescent="0.25">
      <c r="Y28774" s="63"/>
    </row>
    <row r="28775" spans="25:25" x14ac:dyDescent="0.25">
      <c r="Y28775" s="63"/>
    </row>
    <row r="28776" spans="25:25" x14ac:dyDescent="0.25">
      <c r="Y28776" s="63"/>
    </row>
    <row r="28777" spans="25:25" x14ac:dyDescent="0.25">
      <c r="Y28777" s="63"/>
    </row>
    <row r="28778" spans="25:25" x14ac:dyDescent="0.25">
      <c r="Y28778" s="63"/>
    </row>
    <row r="28779" spans="25:25" x14ac:dyDescent="0.25">
      <c r="Y28779" s="63"/>
    </row>
    <row r="28780" spans="25:25" x14ac:dyDescent="0.25">
      <c r="Y28780" s="63"/>
    </row>
    <row r="28781" spans="25:25" x14ac:dyDescent="0.25">
      <c r="Y28781" s="63"/>
    </row>
    <row r="28782" spans="25:25" x14ac:dyDescent="0.25">
      <c r="Y28782" s="63"/>
    </row>
    <row r="28783" spans="25:25" x14ac:dyDescent="0.25">
      <c r="Y28783" s="63"/>
    </row>
    <row r="28784" spans="25:25" x14ac:dyDescent="0.25">
      <c r="Y28784" s="63"/>
    </row>
    <row r="28785" spans="25:25" x14ac:dyDescent="0.25">
      <c r="Y28785" s="63"/>
    </row>
    <row r="28786" spans="25:25" x14ac:dyDescent="0.25">
      <c r="Y28786" s="63"/>
    </row>
    <row r="28787" spans="25:25" x14ac:dyDescent="0.25">
      <c r="Y28787" s="63"/>
    </row>
    <row r="28788" spans="25:25" x14ac:dyDescent="0.25">
      <c r="Y28788" s="63"/>
    </row>
    <row r="28789" spans="25:25" x14ac:dyDescent="0.25">
      <c r="Y28789" s="63"/>
    </row>
    <row r="28790" spans="25:25" x14ac:dyDescent="0.25">
      <c r="Y28790" s="63"/>
    </row>
    <row r="28791" spans="25:25" x14ac:dyDescent="0.25">
      <c r="Y28791" s="63"/>
    </row>
    <row r="28792" spans="25:25" x14ac:dyDescent="0.25">
      <c r="Y28792" s="63"/>
    </row>
    <row r="28793" spans="25:25" x14ac:dyDescent="0.25">
      <c r="Y28793" s="63"/>
    </row>
    <row r="28794" spans="25:25" x14ac:dyDescent="0.25">
      <c r="Y28794" s="63"/>
    </row>
    <row r="28795" spans="25:25" x14ac:dyDescent="0.25">
      <c r="Y28795" s="63"/>
    </row>
    <row r="28796" spans="25:25" x14ac:dyDescent="0.25">
      <c r="Y28796" s="63"/>
    </row>
    <row r="28797" spans="25:25" x14ac:dyDescent="0.25">
      <c r="Y28797" s="63"/>
    </row>
    <row r="28798" spans="25:25" x14ac:dyDescent="0.25">
      <c r="Y28798" s="63"/>
    </row>
    <row r="28799" spans="25:25" x14ac:dyDescent="0.25">
      <c r="Y28799" s="63"/>
    </row>
    <row r="28800" spans="25:25" x14ac:dyDescent="0.25">
      <c r="Y28800" s="63"/>
    </row>
    <row r="28801" spans="25:25" x14ac:dyDescent="0.25">
      <c r="Y28801" s="63"/>
    </row>
    <row r="28802" spans="25:25" x14ac:dyDescent="0.25">
      <c r="Y28802" s="63"/>
    </row>
    <row r="28803" spans="25:25" x14ac:dyDescent="0.25">
      <c r="Y28803" s="63"/>
    </row>
    <row r="28804" spans="25:25" x14ac:dyDescent="0.25">
      <c r="Y28804" s="63"/>
    </row>
    <row r="28805" spans="25:25" x14ac:dyDescent="0.25">
      <c r="Y28805" s="63"/>
    </row>
    <row r="28806" spans="25:25" x14ac:dyDescent="0.25">
      <c r="Y28806" s="63"/>
    </row>
    <row r="28807" spans="25:25" x14ac:dyDescent="0.25">
      <c r="Y28807" s="63"/>
    </row>
    <row r="28808" spans="25:25" x14ac:dyDescent="0.25">
      <c r="Y28808" s="63"/>
    </row>
    <row r="28809" spans="25:25" x14ac:dyDescent="0.25">
      <c r="Y28809" s="63"/>
    </row>
    <row r="28810" spans="25:25" x14ac:dyDescent="0.25">
      <c r="Y28810" s="63"/>
    </row>
    <row r="28811" spans="25:25" x14ac:dyDescent="0.25">
      <c r="Y28811" s="63"/>
    </row>
    <row r="28812" spans="25:25" x14ac:dyDescent="0.25">
      <c r="Y28812" s="63"/>
    </row>
    <row r="28813" spans="25:25" x14ac:dyDescent="0.25">
      <c r="Y28813" s="63"/>
    </row>
    <row r="28814" spans="25:25" x14ac:dyDescent="0.25">
      <c r="Y28814" s="63"/>
    </row>
    <row r="28815" spans="25:25" x14ac:dyDescent="0.25">
      <c r="Y28815" s="63"/>
    </row>
    <row r="28816" spans="25:25" x14ac:dyDescent="0.25">
      <c r="Y28816" s="63"/>
    </row>
    <row r="28817" spans="25:25" x14ac:dyDescent="0.25">
      <c r="Y28817" s="63"/>
    </row>
    <row r="28818" spans="25:25" x14ac:dyDescent="0.25">
      <c r="Y28818" s="63"/>
    </row>
    <row r="28819" spans="25:25" x14ac:dyDescent="0.25">
      <c r="Y28819" s="63"/>
    </row>
    <row r="28820" spans="25:25" x14ac:dyDescent="0.25">
      <c r="Y28820" s="63"/>
    </row>
    <row r="28821" spans="25:25" x14ac:dyDescent="0.25">
      <c r="Y28821" s="63"/>
    </row>
    <row r="28822" spans="25:25" x14ac:dyDescent="0.25">
      <c r="Y28822" s="63"/>
    </row>
    <row r="28823" spans="25:25" x14ac:dyDescent="0.25">
      <c r="Y28823" s="63"/>
    </row>
    <row r="28824" spans="25:25" x14ac:dyDescent="0.25">
      <c r="Y28824" s="63"/>
    </row>
    <row r="28825" spans="25:25" x14ac:dyDescent="0.25">
      <c r="Y28825" s="63"/>
    </row>
    <row r="28826" spans="25:25" x14ac:dyDescent="0.25">
      <c r="Y28826" s="63"/>
    </row>
    <row r="28827" spans="25:25" x14ac:dyDescent="0.25">
      <c r="Y28827" s="63"/>
    </row>
    <row r="28828" spans="25:25" x14ac:dyDescent="0.25">
      <c r="Y28828" s="63"/>
    </row>
    <row r="28829" spans="25:25" x14ac:dyDescent="0.25">
      <c r="Y28829" s="63"/>
    </row>
    <row r="28830" spans="25:25" x14ac:dyDescent="0.25">
      <c r="Y28830" s="63"/>
    </row>
    <row r="28831" spans="25:25" x14ac:dyDescent="0.25">
      <c r="Y28831" s="63"/>
    </row>
    <row r="28832" spans="25:25" x14ac:dyDescent="0.25">
      <c r="Y28832" s="63"/>
    </row>
    <row r="28833" spans="25:25" x14ac:dyDescent="0.25">
      <c r="Y28833" s="63"/>
    </row>
    <row r="28834" spans="25:25" x14ac:dyDescent="0.25">
      <c r="Y28834" s="63"/>
    </row>
    <row r="28835" spans="25:25" x14ac:dyDescent="0.25">
      <c r="Y28835" s="63"/>
    </row>
    <row r="28836" spans="25:25" x14ac:dyDescent="0.25">
      <c r="Y28836" s="63"/>
    </row>
    <row r="28837" spans="25:25" x14ac:dyDescent="0.25">
      <c r="Y28837" s="63"/>
    </row>
    <row r="28838" spans="25:25" x14ac:dyDescent="0.25">
      <c r="Y28838" s="63"/>
    </row>
    <row r="28839" spans="25:25" x14ac:dyDescent="0.25">
      <c r="Y28839" s="63"/>
    </row>
    <row r="28840" spans="25:25" x14ac:dyDescent="0.25">
      <c r="Y28840" s="63"/>
    </row>
    <row r="28841" spans="25:25" x14ac:dyDescent="0.25">
      <c r="Y28841" s="63"/>
    </row>
    <row r="28842" spans="25:25" x14ac:dyDescent="0.25">
      <c r="Y28842" s="63"/>
    </row>
    <row r="28843" spans="25:25" x14ac:dyDescent="0.25">
      <c r="Y28843" s="63"/>
    </row>
    <row r="28844" spans="25:25" x14ac:dyDescent="0.25">
      <c r="Y28844" s="63"/>
    </row>
    <row r="28845" spans="25:25" x14ac:dyDescent="0.25">
      <c r="Y28845" s="63"/>
    </row>
    <row r="28846" spans="25:25" x14ac:dyDescent="0.25">
      <c r="Y28846" s="63"/>
    </row>
    <row r="28847" spans="25:25" x14ac:dyDescent="0.25">
      <c r="Y28847" s="63"/>
    </row>
    <row r="28848" spans="25:25" x14ac:dyDescent="0.25">
      <c r="Y28848" s="63"/>
    </row>
    <row r="28849" spans="25:25" x14ac:dyDescent="0.25">
      <c r="Y28849" s="63"/>
    </row>
    <row r="28850" spans="25:25" x14ac:dyDescent="0.25">
      <c r="Y28850" s="63"/>
    </row>
    <row r="28851" spans="25:25" x14ac:dyDescent="0.25">
      <c r="Y28851" s="63"/>
    </row>
    <row r="28852" spans="25:25" x14ac:dyDescent="0.25">
      <c r="Y28852" s="63"/>
    </row>
    <row r="28853" spans="25:25" x14ac:dyDescent="0.25">
      <c r="Y28853" s="63"/>
    </row>
    <row r="28854" spans="25:25" x14ac:dyDescent="0.25">
      <c r="Y28854" s="63"/>
    </row>
    <row r="28855" spans="25:25" x14ac:dyDescent="0.25">
      <c r="Y28855" s="63"/>
    </row>
    <row r="28856" spans="25:25" x14ac:dyDescent="0.25">
      <c r="Y28856" s="63"/>
    </row>
    <row r="28857" spans="25:25" x14ac:dyDescent="0.25">
      <c r="Y28857" s="63"/>
    </row>
    <row r="28858" spans="25:25" x14ac:dyDescent="0.25">
      <c r="Y28858" s="63"/>
    </row>
    <row r="28859" spans="25:25" x14ac:dyDescent="0.25">
      <c r="Y28859" s="63"/>
    </row>
    <row r="28860" spans="25:25" x14ac:dyDescent="0.25">
      <c r="Y28860" s="63"/>
    </row>
    <row r="28861" spans="25:25" x14ac:dyDescent="0.25">
      <c r="Y28861" s="63"/>
    </row>
    <row r="28862" spans="25:25" x14ac:dyDescent="0.25">
      <c r="Y28862" s="63"/>
    </row>
    <row r="28863" spans="25:25" x14ac:dyDescent="0.25">
      <c r="Y28863" s="63"/>
    </row>
    <row r="28864" spans="25:25" x14ac:dyDescent="0.25">
      <c r="Y28864" s="63"/>
    </row>
    <row r="28865" spans="25:25" x14ac:dyDescent="0.25">
      <c r="Y28865" s="63"/>
    </row>
    <row r="28866" spans="25:25" x14ac:dyDescent="0.25">
      <c r="Y28866" s="63"/>
    </row>
    <row r="28867" spans="25:25" x14ac:dyDescent="0.25">
      <c r="Y28867" s="63"/>
    </row>
    <row r="28868" spans="25:25" x14ac:dyDescent="0.25">
      <c r="Y28868" s="63"/>
    </row>
    <row r="28869" spans="25:25" x14ac:dyDescent="0.25">
      <c r="Y28869" s="63"/>
    </row>
    <row r="28870" spans="25:25" x14ac:dyDescent="0.25">
      <c r="Y28870" s="63"/>
    </row>
    <row r="28871" spans="25:25" x14ac:dyDescent="0.25">
      <c r="Y28871" s="63"/>
    </row>
    <row r="28872" spans="25:25" x14ac:dyDescent="0.25">
      <c r="Y28872" s="63"/>
    </row>
    <row r="28873" spans="25:25" x14ac:dyDescent="0.25">
      <c r="Y28873" s="63"/>
    </row>
    <row r="28874" spans="25:25" x14ac:dyDescent="0.25">
      <c r="Y28874" s="63"/>
    </row>
    <row r="28875" spans="25:25" x14ac:dyDescent="0.25">
      <c r="Y28875" s="63"/>
    </row>
    <row r="28876" spans="25:25" x14ac:dyDescent="0.25">
      <c r="Y28876" s="63"/>
    </row>
    <row r="28877" spans="25:25" x14ac:dyDescent="0.25">
      <c r="Y28877" s="63"/>
    </row>
    <row r="28878" spans="25:25" x14ac:dyDescent="0.25">
      <c r="Y28878" s="63"/>
    </row>
    <row r="28879" spans="25:25" x14ac:dyDescent="0.25">
      <c r="Y28879" s="63"/>
    </row>
    <row r="28880" spans="25:25" x14ac:dyDescent="0.25">
      <c r="Y28880" s="63"/>
    </row>
    <row r="28881" spans="25:25" x14ac:dyDescent="0.25">
      <c r="Y28881" s="63"/>
    </row>
    <row r="28882" spans="25:25" x14ac:dyDescent="0.25">
      <c r="Y28882" s="63"/>
    </row>
    <row r="28883" spans="25:25" x14ac:dyDescent="0.25">
      <c r="Y28883" s="63"/>
    </row>
    <row r="28884" spans="25:25" x14ac:dyDescent="0.25">
      <c r="Y28884" s="63"/>
    </row>
    <row r="28885" spans="25:25" x14ac:dyDescent="0.25">
      <c r="Y28885" s="63"/>
    </row>
    <row r="28886" spans="25:25" x14ac:dyDescent="0.25">
      <c r="Y28886" s="63"/>
    </row>
    <row r="28887" spans="25:25" x14ac:dyDescent="0.25">
      <c r="Y28887" s="63"/>
    </row>
    <row r="28888" spans="25:25" x14ac:dyDescent="0.25">
      <c r="Y28888" s="63"/>
    </row>
    <row r="28889" spans="25:25" x14ac:dyDescent="0.25">
      <c r="Y28889" s="63"/>
    </row>
    <row r="28890" spans="25:25" x14ac:dyDescent="0.25">
      <c r="Y28890" s="63"/>
    </row>
    <row r="28891" spans="25:25" x14ac:dyDescent="0.25">
      <c r="Y28891" s="63"/>
    </row>
    <row r="28892" spans="25:25" x14ac:dyDescent="0.25">
      <c r="Y28892" s="63"/>
    </row>
    <row r="28893" spans="25:25" x14ac:dyDescent="0.25">
      <c r="Y28893" s="63"/>
    </row>
    <row r="28894" spans="25:25" x14ac:dyDescent="0.25">
      <c r="Y28894" s="63"/>
    </row>
    <row r="28895" spans="25:25" x14ac:dyDescent="0.25">
      <c r="Y28895" s="63"/>
    </row>
    <row r="28896" spans="25:25" x14ac:dyDescent="0.25">
      <c r="Y28896" s="63"/>
    </row>
    <row r="28897" spans="25:25" x14ac:dyDescent="0.25">
      <c r="Y28897" s="63"/>
    </row>
    <row r="28898" spans="25:25" x14ac:dyDescent="0.25">
      <c r="Y28898" s="63"/>
    </row>
    <row r="28899" spans="25:25" x14ac:dyDescent="0.25">
      <c r="Y28899" s="63"/>
    </row>
    <row r="28900" spans="25:25" x14ac:dyDescent="0.25">
      <c r="Y28900" s="63"/>
    </row>
    <row r="28901" spans="25:25" x14ac:dyDescent="0.25">
      <c r="Y28901" s="63"/>
    </row>
    <row r="28902" spans="25:25" x14ac:dyDescent="0.25">
      <c r="Y28902" s="63"/>
    </row>
    <row r="28903" spans="25:25" x14ac:dyDescent="0.25">
      <c r="Y28903" s="63"/>
    </row>
    <row r="28904" spans="25:25" x14ac:dyDescent="0.25">
      <c r="Y28904" s="63"/>
    </row>
    <row r="28905" spans="25:25" x14ac:dyDescent="0.25">
      <c r="Y28905" s="63"/>
    </row>
    <row r="28906" spans="25:25" x14ac:dyDescent="0.25">
      <c r="Y28906" s="63"/>
    </row>
    <row r="28907" spans="25:25" x14ac:dyDescent="0.25">
      <c r="Y28907" s="63"/>
    </row>
    <row r="28908" spans="25:25" x14ac:dyDescent="0.25">
      <c r="Y28908" s="63"/>
    </row>
    <row r="28909" spans="25:25" x14ac:dyDescent="0.25">
      <c r="Y28909" s="63"/>
    </row>
    <row r="28910" spans="25:25" x14ac:dyDescent="0.25">
      <c r="Y28910" s="63"/>
    </row>
    <row r="28911" spans="25:25" x14ac:dyDescent="0.25">
      <c r="Y28911" s="63"/>
    </row>
    <row r="28912" spans="25:25" x14ac:dyDescent="0.25">
      <c r="Y28912" s="63"/>
    </row>
    <row r="28913" spans="25:25" x14ac:dyDescent="0.25">
      <c r="Y28913" s="63"/>
    </row>
    <row r="28914" spans="25:25" x14ac:dyDescent="0.25">
      <c r="Y28914" s="63"/>
    </row>
    <row r="28915" spans="25:25" x14ac:dyDescent="0.25">
      <c r="Y28915" s="63"/>
    </row>
    <row r="28916" spans="25:25" x14ac:dyDescent="0.25">
      <c r="Y28916" s="63"/>
    </row>
    <row r="28917" spans="25:25" x14ac:dyDescent="0.25">
      <c r="Y28917" s="63"/>
    </row>
    <row r="28918" spans="25:25" x14ac:dyDescent="0.25">
      <c r="Y28918" s="63"/>
    </row>
    <row r="28919" spans="25:25" x14ac:dyDescent="0.25">
      <c r="Y28919" s="63"/>
    </row>
    <row r="28920" spans="25:25" x14ac:dyDescent="0.25">
      <c r="Y28920" s="63"/>
    </row>
    <row r="28921" spans="25:25" x14ac:dyDescent="0.25">
      <c r="Y28921" s="63"/>
    </row>
    <row r="28922" spans="25:25" x14ac:dyDescent="0.25">
      <c r="Y28922" s="63"/>
    </row>
    <row r="28923" spans="25:25" x14ac:dyDescent="0.25">
      <c r="Y28923" s="63"/>
    </row>
    <row r="28924" spans="25:25" x14ac:dyDescent="0.25">
      <c r="Y28924" s="63"/>
    </row>
    <row r="28925" spans="25:25" x14ac:dyDescent="0.25">
      <c r="Y28925" s="63"/>
    </row>
    <row r="28926" spans="25:25" x14ac:dyDescent="0.25">
      <c r="Y28926" s="63"/>
    </row>
    <row r="28927" spans="25:25" x14ac:dyDescent="0.25">
      <c r="Y28927" s="63"/>
    </row>
    <row r="28928" spans="25:25" x14ac:dyDescent="0.25">
      <c r="Y28928" s="63"/>
    </row>
    <row r="28929" spans="25:25" x14ac:dyDescent="0.25">
      <c r="Y28929" s="63"/>
    </row>
    <row r="28930" spans="25:25" x14ac:dyDescent="0.25">
      <c r="Y28930" s="63"/>
    </row>
    <row r="28931" spans="25:25" x14ac:dyDescent="0.25">
      <c r="Y28931" s="63"/>
    </row>
    <row r="28932" spans="25:25" x14ac:dyDescent="0.25">
      <c r="Y28932" s="63"/>
    </row>
    <row r="28933" spans="25:25" x14ac:dyDescent="0.25">
      <c r="Y28933" s="63"/>
    </row>
    <row r="28934" spans="25:25" x14ac:dyDescent="0.25">
      <c r="Y28934" s="63"/>
    </row>
    <row r="28935" spans="25:25" x14ac:dyDescent="0.25">
      <c r="Y28935" s="63"/>
    </row>
    <row r="28936" spans="25:25" x14ac:dyDescent="0.25">
      <c r="Y28936" s="63"/>
    </row>
    <row r="28937" spans="25:25" x14ac:dyDescent="0.25">
      <c r="Y28937" s="63"/>
    </row>
    <row r="28938" spans="25:25" x14ac:dyDescent="0.25">
      <c r="Y28938" s="63"/>
    </row>
    <row r="28939" spans="25:25" x14ac:dyDescent="0.25">
      <c r="Y28939" s="63"/>
    </row>
    <row r="28940" spans="25:25" x14ac:dyDescent="0.25">
      <c r="Y28940" s="63"/>
    </row>
    <row r="28941" spans="25:25" x14ac:dyDescent="0.25">
      <c r="Y28941" s="63"/>
    </row>
    <row r="28942" spans="25:25" x14ac:dyDescent="0.25">
      <c r="Y28942" s="63"/>
    </row>
    <row r="28943" spans="25:25" x14ac:dyDescent="0.25">
      <c r="Y28943" s="63"/>
    </row>
    <row r="28944" spans="25:25" x14ac:dyDescent="0.25">
      <c r="Y28944" s="63"/>
    </row>
    <row r="28945" spans="25:25" x14ac:dyDescent="0.25">
      <c r="Y28945" s="63"/>
    </row>
    <row r="28946" spans="25:25" x14ac:dyDescent="0.25">
      <c r="Y28946" s="63"/>
    </row>
    <row r="28947" spans="25:25" x14ac:dyDescent="0.25">
      <c r="Y28947" s="63"/>
    </row>
    <row r="28948" spans="25:25" x14ac:dyDescent="0.25">
      <c r="Y28948" s="63"/>
    </row>
    <row r="28949" spans="25:25" x14ac:dyDescent="0.25">
      <c r="Y28949" s="63"/>
    </row>
    <row r="28950" spans="25:25" x14ac:dyDescent="0.25">
      <c r="Y28950" s="63"/>
    </row>
    <row r="28951" spans="25:25" x14ac:dyDescent="0.25">
      <c r="Y28951" s="63"/>
    </row>
    <row r="28952" spans="25:25" x14ac:dyDescent="0.25">
      <c r="Y28952" s="63"/>
    </row>
    <row r="28953" spans="25:25" x14ac:dyDescent="0.25">
      <c r="Y28953" s="63"/>
    </row>
    <row r="28954" spans="25:25" x14ac:dyDescent="0.25">
      <c r="Y28954" s="63"/>
    </row>
    <row r="28955" spans="25:25" x14ac:dyDescent="0.25">
      <c r="Y28955" s="63"/>
    </row>
    <row r="28956" spans="25:25" x14ac:dyDescent="0.25">
      <c r="Y28956" s="63"/>
    </row>
    <row r="28957" spans="25:25" x14ac:dyDescent="0.25">
      <c r="Y28957" s="63"/>
    </row>
    <row r="28958" spans="25:25" x14ac:dyDescent="0.25">
      <c r="Y28958" s="63"/>
    </row>
    <row r="28959" spans="25:25" x14ac:dyDescent="0.25">
      <c r="Y28959" s="63"/>
    </row>
    <row r="28960" spans="25:25" x14ac:dyDescent="0.25">
      <c r="Y28960" s="63"/>
    </row>
    <row r="28961" spans="25:25" x14ac:dyDescent="0.25">
      <c r="Y28961" s="63"/>
    </row>
    <row r="28962" spans="25:25" x14ac:dyDescent="0.25">
      <c r="Y28962" s="63"/>
    </row>
    <row r="28963" spans="25:25" x14ac:dyDescent="0.25">
      <c r="Y28963" s="63"/>
    </row>
    <row r="28964" spans="25:25" x14ac:dyDescent="0.25">
      <c r="Y28964" s="63"/>
    </row>
    <row r="28965" spans="25:25" x14ac:dyDescent="0.25">
      <c r="Y28965" s="63"/>
    </row>
    <row r="28966" spans="25:25" x14ac:dyDescent="0.25">
      <c r="Y28966" s="63"/>
    </row>
    <row r="28967" spans="25:25" x14ac:dyDescent="0.25">
      <c r="Y28967" s="63"/>
    </row>
    <row r="28968" spans="25:25" x14ac:dyDescent="0.25">
      <c r="Y28968" s="63"/>
    </row>
    <row r="28969" spans="25:25" x14ac:dyDescent="0.25">
      <c r="Y28969" s="63"/>
    </row>
    <row r="28970" spans="25:25" x14ac:dyDescent="0.25">
      <c r="Y28970" s="63"/>
    </row>
    <row r="28971" spans="25:25" x14ac:dyDescent="0.25">
      <c r="Y28971" s="63"/>
    </row>
    <row r="28972" spans="25:25" x14ac:dyDescent="0.25">
      <c r="Y28972" s="63"/>
    </row>
    <row r="28973" spans="25:25" x14ac:dyDescent="0.25">
      <c r="Y28973" s="63"/>
    </row>
    <row r="28974" spans="25:25" x14ac:dyDescent="0.25">
      <c r="Y28974" s="63"/>
    </row>
    <row r="28975" spans="25:25" x14ac:dyDescent="0.25">
      <c r="Y28975" s="63"/>
    </row>
    <row r="28976" spans="25:25" x14ac:dyDescent="0.25">
      <c r="Y28976" s="63"/>
    </row>
    <row r="28977" spans="25:25" x14ac:dyDescent="0.25">
      <c r="Y28977" s="63"/>
    </row>
    <row r="28978" spans="25:25" x14ac:dyDescent="0.25">
      <c r="Y28978" s="63"/>
    </row>
    <row r="28979" spans="25:25" x14ac:dyDescent="0.25">
      <c r="Y28979" s="63"/>
    </row>
    <row r="28980" spans="25:25" x14ac:dyDescent="0.25">
      <c r="Y28980" s="63"/>
    </row>
    <row r="28981" spans="25:25" x14ac:dyDescent="0.25">
      <c r="Y28981" s="63"/>
    </row>
    <row r="28982" spans="25:25" x14ac:dyDescent="0.25">
      <c r="Y28982" s="63"/>
    </row>
    <row r="28983" spans="25:25" x14ac:dyDescent="0.25">
      <c r="Y28983" s="63"/>
    </row>
    <row r="28984" spans="25:25" x14ac:dyDescent="0.25">
      <c r="Y28984" s="63"/>
    </row>
    <row r="28985" spans="25:25" x14ac:dyDescent="0.25">
      <c r="Y28985" s="63"/>
    </row>
    <row r="28986" spans="25:25" x14ac:dyDescent="0.25">
      <c r="Y28986" s="63"/>
    </row>
    <row r="28987" spans="25:25" x14ac:dyDescent="0.25">
      <c r="Y28987" s="63"/>
    </row>
    <row r="28988" spans="25:25" x14ac:dyDescent="0.25">
      <c r="Y28988" s="63"/>
    </row>
    <row r="28989" spans="25:25" x14ac:dyDescent="0.25">
      <c r="Y28989" s="63"/>
    </row>
    <row r="28990" spans="25:25" x14ac:dyDescent="0.25">
      <c r="Y28990" s="63"/>
    </row>
    <row r="28991" spans="25:25" x14ac:dyDescent="0.25">
      <c r="Y28991" s="63"/>
    </row>
    <row r="28992" spans="25:25" x14ac:dyDescent="0.25">
      <c r="Y28992" s="63"/>
    </row>
    <row r="28993" spans="25:25" x14ac:dyDescent="0.25">
      <c r="Y28993" s="63"/>
    </row>
    <row r="28994" spans="25:25" x14ac:dyDescent="0.25">
      <c r="Y28994" s="63"/>
    </row>
    <row r="28995" spans="25:25" x14ac:dyDescent="0.25">
      <c r="Y28995" s="63"/>
    </row>
    <row r="28996" spans="25:25" x14ac:dyDescent="0.25">
      <c r="Y28996" s="63"/>
    </row>
    <row r="28997" spans="25:25" x14ac:dyDescent="0.25">
      <c r="Y28997" s="63"/>
    </row>
    <row r="28998" spans="25:25" x14ac:dyDescent="0.25">
      <c r="Y28998" s="63"/>
    </row>
    <row r="28999" spans="25:25" x14ac:dyDescent="0.25">
      <c r="Y28999" s="63"/>
    </row>
    <row r="29000" spans="25:25" x14ac:dyDescent="0.25">
      <c r="Y29000" s="63"/>
    </row>
    <row r="29001" spans="25:25" x14ac:dyDescent="0.25">
      <c r="Y29001" s="63"/>
    </row>
    <row r="29002" spans="25:25" x14ac:dyDescent="0.25">
      <c r="Y29002" s="63"/>
    </row>
    <row r="29003" spans="25:25" x14ac:dyDescent="0.25">
      <c r="Y29003" s="63"/>
    </row>
    <row r="29004" spans="25:25" x14ac:dyDescent="0.25">
      <c r="Y29004" s="63"/>
    </row>
    <row r="29005" spans="25:25" x14ac:dyDescent="0.25">
      <c r="Y29005" s="63"/>
    </row>
    <row r="29006" spans="25:25" x14ac:dyDescent="0.25">
      <c r="Y29006" s="63"/>
    </row>
    <row r="29007" spans="25:25" x14ac:dyDescent="0.25">
      <c r="Y29007" s="63"/>
    </row>
    <row r="29008" spans="25:25" x14ac:dyDescent="0.25">
      <c r="Y29008" s="63"/>
    </row>
    <row r="29009" spans="25:25" x14ac:dyDescent="0.25">
      <c r="Y29009" s="63"/>
    </row>
    <row r="29010" spans="25:25" x14ac:dyDescent="0.25">
      <c r="Y29010" s="63"/>
    </row>
    <row r="29011" spans="25:25" x14ac:dyDescent="0.25">
      <c r="Y29011" s="63"/>
    </row>
    <row r="29012" spans="25:25" x14ac:dyDescent="0.25">
      <c r="Y29012" s="63"/>
    </row>
    <row r="29013" spans="25:25" x14ac:dyDescent="0.25">
      <c r="Y29013" s="63"/>
    </row>
    <row r="29014" spans="25:25" x14ac:dyDescent="0.25">
      <c r="Y29014" s="63"/>
    </row>
    <row r="29015" spans="25:25" x14ac:dyDescent="0.25">
      <c r="Y29015" s="63"/>
    </row>
    <row r="29016" spans="25:25" x14ac:dyDescent="0.25">
      <c r="Y29016" s="63"/>
    </row>
    <row r="29017" spans="25:25" x14ac:dyDescent="0.25">
      <c r="Y29017" s="63"/>
    </row>
    <row r="29018" spans="25:25" x14ac:dyDescent="0.25">
      <c r="Y29018" s="63"/>
    </row>
    <row r="29019" spans="25:25" x14ac:dyDescent="0.25">
      <c r="Y29019" s="63"/>
    </row>
    <row r="29020" spans="25:25" x14ac:dyDescent="0.25">
      <c r="Y29020" s="63"/>
    </row>
    <row r="29021" spans="25:25" x14ac:dyDescent="0.25">
      <c r="Y29021" s="63"/>
    </row>
    <row r="29022" spans="25:25" x14ac:dyDescent="0.25">
      <c r="Y29022" s="63"/>
    </row>
    <row r="29023" spans="25:25" x14ac:dyDescent="0.25">
      <c r="Y29023" s="63"/>
    </row>
    <row r="29024" spans="25:25" x14ac:dyDescent="0.25">
      <c r="Y29024" s="63"/>
    </row>
    <row r="29025" spans="25:25" x14ac:dyDescent="0.25">
      <c r="Y29025" s="63"/>
    </row>
    <row r="29026" spans="25:25" x14ac:dyDescent="0.25">
      <c r="Y29026" s="63"/>
    </row>
    <row r="29027" spans="25:25" x14ac:dyDescent="0.25">
      <c r="Y29027" s="63"/>
    </row>
    <row r="29028" spans="25:25" x14ac:dyDescent="0.25">
      <c r="Y29028" s="63"/>
    </row>
    <row r="29029" spans="25:25" x14ac:dyDescent="0.25">
      <c r="Y29029" s="63"/>
    </row>
    <row r="29030" spans="25:25" x14ac:dyDescent="0.25">
      <c r="Y29030" s="63"/>
    </row>
    <row r="29031" spans="25:25" x14ac:dyDescent="0.25">
      <c r="Y29031" s="63"/>
    </row>
    <row r="29032" spans="25:25" x14ac:dyDescent="0.25">
      <c r="Y29032" s="63"/>
    </row>
    <row r="29033" spans="25:25" x14ac:dyDescent="0.25">
      <c r="Y29033" s="63"/>
    </row>
    <row r="29034" spans="25:25" x14ac:dyDescent="0.25">
      <c r="Y29034" s="63"/>
    </row>
    <row r="29035" spans="25:25" x14ac:dyDescent="0.25">
      <c r="Y29035" s="63"/>
    </row>
    <row r="29036" spans="25:25" x14ac:dyDescent="0.25">
      <c r="Y29036" s="63"/>
    </row>
    <row r="29037" spans="25:25" x14ac:dyDescent="0.25">
      <c r="Y29037" s="63"/>
    </row>
    <row r="29038" spans="25:25" x14ac:dyDescent="0.25">
      <c r="Y29038" s="63"/>
    </row>
    <row r="29039" spans="25:25" x14ac:dyDescent="0.25">
      <c r="Y29039" s="63"/>
    </row>
    <row r="29040" spans="25:25" x14ac:dyDescent="0.25">
      <c r="Y29040" s="63"/>
    </row>
    <row r="29041" spans="25:25" x14ac:dyDescent="0.25">
      <c r="Y29041" s="63"/>
    </row>
    <row r="29042" spans="25:25" x14ac:dyDescent="0.25">
      <c r="Y29042" s="63"/>
    </row>
    <row r="29043" spans="25:25" x14ac:dyDescent="0.25">
      <c r="Y29043" s="63"/>
    </row>
    <row r="29044" spans="25:25" x14ac:dyDescent="0.25">
      <c r="Y29044" s="63"/>
    </row>
    <row r="29045" spans="25:25" x14ac:dyDescent="0.25">
      <c r="Y29045" s="63"/>
    </row>
    <row r="29046" spans="25:25" x14ac:dyDescent="0.25">
      <c r="Y29046" s="63"/>
    </row>
    <row r="29047" spans="25:25" x14ac:dyDescent="0.25">
      <c r="Y29047" s="63"/>
    </row>
    <row r="29048" spans="25:25" x14ac:dyDescent="0.25">
      <c r="Y29048" s="63"/>
    </row>
    <row r="29049" spans="25:25" x14ac:dyDescent="0.25">
      <c r="Y29049" s="63"/>
    </row>
    <row r="29050" spans="25:25" x14ac:dyDescent="0.25">
      <c r="Y29050" s="63"/>
    </row>
    <row r="29051" spans="25:25" x14ac:dyDescent="0.25">
      <c r="Y29051" s="63"/>
    </row>
    <row r="29052" spans="25:25" x14ac:dyDescent="0.25">
      <c r="Y29052" s="63"/>
    </row>
    <row r="29053" spans="25:25" x14ac:dyDescent="0.25">
      <c r="Y29053" s="63"/>
    </row>
    <row r="29054" spans="25:25" x14ac:dyDescent="0.25">
      <c r="Y29054" s="63"/>
    </row>
    <row r="29055" spans="25:25" x14ac:dyDescent="0.25">
      <c r="Y29055" s="63"/>
    </row>
    <row r="29056" spans="25:25" x14ac:dyDescent="0.25">
      <c r="Y29056" s="63"/>
    </row>
    <row r="29057" spans="25:25" x14ac:dyDescent="0.25">
      <c r="Y29057" s="63"/>
    </row>
    <row r="29058" spans="25:25" x14ac:dyDescent="0.25">
      <c r="Y29058" s="63"/>
    </row>
    <row r="29059" spans="25:25" x14ac:dyDescent="0.25">
      <c r="Y29059" s="63"/>
    </row>
    <row r="29060" spans="25:25" x14ac:dyDescent="0.25">
      <c r="Y29060" s="63"/>
    </row>
    <row r="29061" spans="25:25" x14ac:dyDescent="0.25">
      <c r="Y29061" s="63"/>
    </row>
    <row r="29062" spans="25:25" x14ac:dyDescent="0.25">
      <c r="Y29062" s="63"/>
    </row>
    <row r="29063" spans="25:25" x14ac:dyDescent="0.25">
      <c r="Y29063" s="63"/>
    </row>
    <row r="29064" spans="25:25" x14ac:dyDescent="0.25">
      <c r="Y29064" s="63"/>
    </row>
    <row r="29065" spans="25:25" x14ac:dyDescent="0.25">
      <c r="Y29065" s="63"/>
    </row>
    <row r="29066" spans="25:25" x14ac:dyDescent="0.25">
      <c r="Y29066" s="63"/>
    </row>
    <row r="29067" spans="25:25" x14ac:dyDescent="0.25">
      <c r="Y29067" s="63"/>
    </row>
    <row r="29068" spans="25:25" x14ac:dyDescent="0.25">
      <c r="Y29068" s="63"/>
    </row>
    <row r="29069" spans="25:25" x14ac:dyDescent="0.25">
      <c r="Y29069" s="63"/>
    </row>
    <row r="29070" spans="25:25" x14ac:dyDescent="0.25">
      <c r="Y29070" s="63"/>
    </row>
    <row r="29071" spans="25:25" x14ac:dyDescent="0.25">
      <c r="Y29071" s="63"/>
    </row>
    <row r="29072" spans="25:25" x14ac:dyDescent="0.25">
      <c r="Y29072" s="63"/>
    </row>
    <row r="29073" spans="25:25" x14ac:dyDescent="0.25">
      <c r="Y29073" s="63"/>
    </row>
    <row r="29074" spans="25:25" x14ac:dyDescent="0.25">
      <c r="Y29074" s="63"/>
    </row>
    <row r="29075" spans="25:25" x14ac:dyDescent="0.25">
      <c r="Y29075" s="63"/>
    </row>
    <row r="29076" spans="25:25" x14ac:dyDescent="0.25">
      <c r="Y29076" s="63"/>
    </row>
    <row r="29077" spans="25:25" x14ac:dyDescent="0.25">
      <c r="Y29077" s="63"/>
    </row>
    <row r="29078" spans="25:25" x14ac:dyDescent="0.25">
      <c r="Y29078" s="63"/>
    </row>
    <row r="29079" spans="25:25" x14ac:dyDescent="0.25">
      <c r="Y29079" s="63"/>
    </row>
    <row r="29080" spans="25:25" x14ac:dyDescent="0.25">
      <c r="Y29080" s="63"/>
    </row>
    <row r="29081" spans="25:25" x14ac:dyDescent="0.25">
      <c r="Y29081" s="63"/>
    </row>
    <row r="29082" spans="25:25" x14ac:dyDescent="0.25">
      <c r="Y29082" s="63"/>
    </row>
    <row r="29083" spans="25:25" x14ac:dyDescent="0.25">
      <c r="Y29083" s="63"/>
    </row>
    <row r="29084" spans="25:25" x14ac:dyDescent="0.25">
      <c r="Y29084" s="63"/>
    </row>
    <row r="29085" spans="25:25" x14ac:dyDescent="0.25">
      <c r="Y29085" s="63"/>
    </row>
    <row r="29086" spans="25:25" x14ac:dyDescent="0.25">
      <c r="Y29086" s="63"/>
    </row>
    <row r="29087" spans="25:25" x14ac:dyDescent="0.25">
      <c r="Y29087" s="63"/>
    </row>
    <row r="29088" spans="25:25" x14ac:dyDescent="0.25">
      <c r="Y29088" s="63"/>
    </row>
    <row r="29089" spans="25:25" x14ac:dyDescent="0.25">
      <c r="Y29089" s="63"/>
    </row>
    <row r="29090" spans="25:25" x14ac:dyDescent="0.25">
      <c r="Y29090" s="63"/>
    </row>
    <row r="29091" spans="25:25" x14ac:dyDescent="0.25">
      <c r="Y29091" s="63"/>
    </row>
    <row r="29092" spans="25:25" x14ac:dyDescent="0.25">
      <c r="Y29092" s="63"/>
    </row>
    <row r="29093" spans="25:25" x14ac:dyDescent="0.25">
      <c r="Y29093" s="63"/>
    </row>
    <row r="29094" spans="25:25" x14ac:dyDescent="0.25">
      <c r="Y29094" s="63"/>
    </row>
    <row r="29095" spans="25:25" x14ac:dyDescent="0.25">
      <c r="Y29095" s="63"/>
    </row>
    <row r="29096" spans="25:25" x14ac:dyDescent="0.25">
      <c r="Y29096" s="63"/>
    </row>
    <row r="29097" spans="25:25" x14ac:dyDescent="0.25">
      <c r="Y29097" s="63"/>
    </row>
    <row r="29098" spans="25:25" x14ac:dyDescent="0.25">
      <c r="Y29098" s="63"/>
    </row>
    <row r="29099" spans="25:25" x14ac:dyDescent="0.25">
      <c r="Y29099" s="63"/>
    </row>
    <row r="29100" spans="25:25" x14ac:dyDescent="0.25">
      <c r="Y29100" s="63"/>
    </row>
    <row r="29101" spans="25:25" x14ac:dyDescent="0.25">
      <c r="Y29101" s="63"/>
    </row>
    <row r="29102" spans="25:25" x14ac:dyDescent="0.25">
      <c r="Y29102" s="63"/>
    </row>
    <row r="29103" spans="25:25" x14ac:dyDescent="0.25">
      <c r="Y29103" s="63"/>
    </row>
    <row r="29104" spans="25:25" x14ac:dyDescent="0.25">
      <c r="Y29104" s="63"/>
    </row>
    <row r="29105" spans="25:25" x14ac:dyDescent="0.25">
      <c r="Y29105" s="63"/>
    </row>
    <row r="29106" spans="25:25" x14ac:dyDescent="0.25">
      <c r="Y29106" s="63"/>
    </row>
    <row r="29107" spans="25:25" x14ac:dyDescent="0.25">
      <c r="Y29107" s="63"/>
    </row>
    <row r="29108" spans="25:25" x14ac:dyDescent="0.25">
      <c r="Y29108" s="63"/>
    </row>
    <row r="29109" spans="25:25" x14ac:dyDescent="0.25">
      <c r="Y29109" s="63"/>
    </row>
    <row r="29110" spans="25:25" x14ac:dyDescent="0.25">
      <c r="Y29110" s="63"/>
    </row>
    <row r="29111" spans="25:25" x14ac:dyDescent="0.25">
      <c r="Y29111" s="63"/>
    </row>
    <row r="29112" spans="25:25" x14ac:dyDescent="0.25">
      <c r="Y29112" s="63"/>
    </row>
    <row r="29113" spans="25:25" x14ac:dyDescent="0.25">
      <c r="Y29113" s="63"/>
    </row>
    <row r="29114" spans="25:25" x14ac:dyDescent="0.25">
      <c r="Y29114" s="63"/>
    </row>
    <row r="29115" spans="25:25" x14ac:dyDescent="0.25">
      <c r="Y29115" s="63"/>
    </row>
    <row r="29116" spans="25:25" x14ac:dyDescent="0.25">
      <c r="Y29116" s="63"/>
    </row>
    <row r="29117" spans="25:25" x14ac:dyDescent="0.25">
      <c r="Y29117" s="63"/>
    </row>
    <row r="29118" spans="25:25" x14ac:dyDescent="0.25">
      <c r="Y29118" s="63"/>
    </row>
    <row r="29119" spans="25:25" x14ac:dyDescent="0.25">
      <c r="Y29119" s="63"/>
    </row>
    <row r="29120" spans="25:25" x14ac:dyDescent="0.25">
      <c r="Y29120" s="63"/>
    </row>
    <row r="29121" spans="25:25" x14ac:dyDescent="0.25">
      <c r="Y29121" s="63"/>
    </row>
    <row r="29122" spans="25:25" x14ac:dyDescent="0.25">
      <c r="Y29122" s="63"/>
    </row>
    <row r="29123" spans="25:25" x14ac:dyDescent="0.25">
      <c r="Y29123" s="63"/>
    </row>
    <row r="29124" spans="25:25" x14ac:dyDescent="0.25">
      <c r="Y29124" s="63"/>
    </row>
    <row r="29125" spans="25:25" x14ac:dyDescent="0.25">
      <c r="Y29125" s="63"/>
    </row>
    <row r="29126" spans="25:25" x14ac:dyDescent="0.25">
      <c r="Y29126" s="63"/>
    </row>
    <row r="29127" spans="25:25" x14ac:dyDescent="0.25">
      <c r="Y29127" s="63"/>
    </row>
    <row r="29128" spans="25:25" x14ac:dyDescent="0.25">
      <c r="Y29128" s="63"/>
    </row>
    <row r="29129" spans="25:25" x14ac:dyDescent="0.25">
      <c r="Y29129" s="63"/>
    </row>
    <row r="29130" spans="25:25" x14ac:dyDescent="0.25">
      <c r="Y29130" s="63"/>
    </row>
    <row r="29131" spans="25:25" x14ac:dyDescent="0.25">
      <c r="Y29131" s="63"/>
    </row>
    <row r="29132" spans="25:25" x14ac:dyDescent="0.25">
      <c r="Y29132" s="63"/>
    </row>
    <row r="29133" spans="25:25" x14ac:dyDescent="0.25">
      <c r="Y29133" s="63"/>
    </row>
    <row r="29134" spans="25:25" x14ac:dyDescent="0.25">
      <c r="Y29134" s="63"/>
    </row>
    <row r="29135" spans="25:25" x14ac:dyDescent="0.25">
      <c r="Y29135" s="63"/>
    </row>
    <row r="29136" spans="25:25" x14ac:dyDescent="0.25">
      <c r="Y29136" s="63"/>
    </row>
    <row r="29137" spans="25:25" x14ac:dyDescent="0.25">
      <c r="Y29137" s="63"/>
    </row>
    <row r="29138" spans="25:25" x14ac:dyDescent="0.25">
      <c r="Y29138" s="63"/>
    </row>
    <row r="29139" spans="25:25" x14ac:dyDescent="0.25">
      <c r="Y29139" s="63"/>
    </row>
    <row r="29140" spans="25:25" x14ac:dyDescent="0.25">
      <c r="Y29140" s="63"/>
    </row>
    <row r="29141" spans="25:25" x14ac:dyDescent="0.25">
      <c r="Y29141" s="63"/>
    </row>
    <row r="29142" spans="25:25" x14ac:dyDescent="0.25">
      <c r="Y29142" s="63"/>
    </row>
    <row r="29143" spans="25:25" x14ac:dyDescent="0.25">
      <c r="Y29143" s="63"/>
    </row>
    <row r="29144" spans="25:25" x14ac:dyDescent="0.25">
      <c r="Y29144" s="63"/>
    </row>
    <row r="29145" spans="25:25" x14ac:dyDescent="0.25">
      <c r="Y29145" s="63"/>
    </row>
    <row r="29146" spans="25:25" x14ac:dyDescent="0.25">
      <c r="Y29146" s="63"/>
    </row>
    <row r="29147" spans="25:25" x14ac:dyDescent="0.25">
      <c r="Y29147" s="63"/>
    </row>
    <row r="29148" spans="25:25" x14ac:dyDescent="0.25">
      <c r="Y29148" s="63"/>
    </row>
    <row r="29149" spans="25:25" x14ac:dyDescent="0.25">
      <c r="Y29149" s="63"/>
    </row>
    <row r="29150" spans="25:25" x14ac:dyDescent="0.25">
      <c r="Y29150" s="63"/>
    </row>
    <row r="29151" spans="25:25" x14ac:dyDescent="0.25">
      <c r="Y29151" s="63"/>
    </row>
    <row r="29152" spans="25:25" x14ac:dyDescent="0.25">
      <c r="Y29152" s="63"/>
    </row>
    <row r="29153" spans="25:25" x14ac:dyDescent="0.25">
      <c r="Y29153" s="63"/>
    </row>
    <row r="29154" spans="25:25" x14ac:dyDescent="0.25">
      <c r="Y29154" s="63"/>
    </row>
    <row r="29155" spans="25:25" x14ac:dyDescent="0.25">
      <c r="Y29155" s="63"/>
    </row>
    <row r="29156" spans="25:25" x14ac:dyDescent="0.25">
      <c r="Y29156" s="63"/>
    </row>
    <row r="29157" spans="25:25" x14ac:dyDescent="0.25">
      <c r="Y29157" s="63"/>
    </row>
    <row r="29158" spans="25:25" x14ac:dyDescent="0.25">
      <c r="Y29158" s="63"/>
    </row>
    <row r="29159" spans="25:25" x14ac:dyDescent="0.25">
      <c r="Y29159" s="63"/>
    </row>
    <row r="29160" spans="25:25" x14ac:dyDescent="0.25">
      <c r="Y29160" s="63"/>
    </row>
    <row r="29161" spans="25:25" x14ac:dyDescent="0.25">
      <c r="Y29161" s="63"/>
    </row>
    <row r="29162" spans="25:25" x14ac:dyDescent="0.25">
      <c r="Y29162" s="63"/>
    </row>
    <row r="29163" spans="25:25" x14ac:dyDescent="0.25">
      <c r="Y29163" s="63"/>
    </row>
    <row r="29164" spans="25:25" x14ac:dyDescent="0.25">
      <c r="Y29164" s="63"/>
    </row>
    <row r="29165" spans="25:25" x14ac:dyDescent="0.25">
      <c r="Y29165" s="63"/>
    </row>
    <row r="29166" spans="25:25" x14ac:dyDescent="0.25">
      <c r="Y29166" s="63"/>
    </row>
    <row r="29167" spans="25:25" x14ac:dyDescent="0.25">
      <c r="Y29167" s="63"/>
    </row>
    <row r="29168" spans="25:25" x14ac:dyDescent="0.25">
      <c r="Y29168" s="63"/>
    </row>
    <row r="29169" spans="25:25" x14ac:dyDescent="0.25">
      <c r="Y29169" s="63"/>
    </row>
    <row r="29170" spans="25:25" x14ac:dyDescent="0.25">
      <c r="Y29170" s="63"/>
    </row>
    <row r="29171" spans="25:25" x14ac:dyDescent="0.25">
      <c r="Y29171" s="63"/>
    </row>
    <row r="29172" spans="25:25" x14ac:dyDescent="0.25">
      <c r="Y29172" s="63"/>
    </row>
    <row r="29173" spans="25:25" x14ac:dyDescent="0.25">
      <c r="Y29173" s="63"/>
    </row>
    <row r="29174" spans="25:25" x14ac:dyDescent="0.25">
      <c r="Y29174" s="63"/>
    </row>
    <row r="29175" spans="25:25" x14ac:dyDescent="0.25">
      <c r="Y29175" s="63"/>
    </row>
    <row r="29176" spans="25:25" x14ac:dyDescent="0.25">
      <c r="Y29176" s="63"/>
    </row>
    <row r="29177" spans="25:25" x14ac:dyDescent="0.25">
      <c r="Y29177" s="63"/>
    </row>
    <row r="29178" spans="25:25" x14ac:dyDescent="0.25">
      <c r="Y29178" s="63"/>
    </row>
    <row r="29179" spans="25:25" x14ac:dyDescent="0.25">
      <c r="Y29179" s="63"/>
    </row>
    <row r="29180" spans="25:25" x14ac:dyDescent="0.25">
      <c r="Y29180" s="63"/>
    </row>
    <row r="29181" spans="25:25" x14ac:dyDescent="0.25">
      <c r="Y29181" s="63"/>
    </row>
    <row r="29182" spans="25:25" x14ac:dyDescent="0.25">
      <c r="Y29182" s="63"/>
    </row>
    <row r="29183" spans="25:25" x14ac:dyDescent="0.25">
      <c r="Y29183" s="63"/>
    </row>
    <row r="29184" spans="25:25" x14ac:dyDescent="0.25">
      <c r="Y29184" s="63"/>
    </row>
    <row r="29185" spans="25:25" x14ac:dyDescent="0.25">
      <c r="Y29185" s="63"/>
    </row>
    <row r="29186" spans="25:25" x14ac:dyDescent="0.25">
      <c r="Y29186" s="63"/>
    </row>
    <row r="29187" spans="25:25" x14ac:dyDescent="0.25">
      <c r="Y29187" s="63"/>
    </row>
    <row r="29188" spans="25:25" x14ac:dyDescent="0.25">
      <c r="Y29188" s="63"/>
    </row>
    <row r="29189" spans="25:25" x14ac:dyDescent="0.25">
      <c r="Y29189" s="63"/>
    </row>
    <row r="29190" spans="25:25" x14ac:dyDescent="0.25">
      <c r="Y29190" s="63"/>
    </row>
    <row r="29191" spans="25:25" x14ac:dyDescent="0.25">
      <c r="Y29191" s="63"/>
    </row>
    <row r="29192" spans="25:25" x14ac:dyDescent="0.25">
      <c r="Y29192" s="63"/>
    </row>
    <row r="29193" spans="25:25" x14ac:dyDescent="0.25">
      <c r="Y29193" s="63"/>
    </row>
    <row r="29194" spans="25:25" x14ac:dyDescent="0.25">
      <c r="Y29194" s="63"/>
    </row>
    <row r="29195" spans="25:25" x14ac:dyDescent="0.25">
      <c r="Y29195" s="63"/>
    </row>
    <row r="29196" spans="25:25" x14ac:dyDescent="0.25">
      <c r="Y29196" s="63"/>
    </row>
    <row r="29197" spans="25:25" x14ac:dyDescent="0.25">
      <c r="Y29197" s="63"/>
    </row>
    <row r="29198" spans="25:25" x14ac:dyDescent="0.25">
      <c r="Y29198" s="63"/>
    </row>
    <row r="29199" spans="25:25" x14ac:dyDescent="0.25">
      <c r="Y29199" s="63"/>
    </row>
    <row r="29200" spans="25:25" x14ac:dyDescent="0.25">
      <c r="Y29200" s="63"/>
    </row>
    <row r="29201" spans="25:25" x14ac:dyDescent="0.25">
      <c r="Y29201" s="63"/>
    </row>
    <row r="29202" spans="25:25" x14ac:dyDescent="0.25">
      <c r="Y29202" s="63"/>
    </row>
    <row r="29203" spans="25:25" x14ac:dyDescent="0.25">
      <c r="Y29203" s="63"/>
    </row>
    <row r="29204" spans="25:25" x14ac:dyDescent="0.25">
      <c r="Y29204" s="63"/>
    </row>
    <row r="29205" spans="25:25" x14ac:dyDescent="0.25">
      <c r="Y29205" s="63"/>
    </row>
    <row r="29206" spans="25:25" x14ac:dyDescent="0.25">
      <c r="Y29206" s="63"/>
    </row>
    <row r="29207" spans="25:25" x14ac:dyDescent="0.25">
      <c r="Y29207" s="63"/>
    </row>
    <row r="29208" spans="25:25" x14ac:dyDescent="0.25">
      <c r="Y29208" s="63"/>
    </row>
    <row r="29209" spans="25:25" x14ac:dyDescent="0.25">
      <c r="Y29209" s="63"/>
    </row>
    <row r="29210" spans="25:25" x14ac:dyDescent="0.25">
      <c r="Y29210" s="63"/>
    </row>
    <row r="29211" spans="25:25" x14ac:dyDescent="0.25">
      <c r="Y29211" s="63"/>
    </row>
    <row r="29212" spans="25:25" x14ac:dyDescent="0.25">
      <c r="Y29212" s="63"/>
    </row>
    <row r="29213" spans="25:25" x14ac:dyDescent="0.25">
      <c r="Y29213" s="63"/>
    </row>
    <row r="29214" spans="25:25" x14ac:dyDescent="0.25">
      <c r="Y29214" s="63"/>
    </row>
    <row r="29215" spans="25:25" x14ac:dyDescent="0.25">
      <c r="Y29215" s="63"/>
    </row>
    <row r="29216" spans="25:25" x14ac:dyDescent="0.25">
      <c r="Y29216" s="63"/>
    </row>
    <row r="29217" spans="25:25" x14ac:dyDescent="0.25">
      <c r="Y29217" s="63"/>
    </row>
    <row r="29218" spans="25:25" x14ac:dyDescent="0.25">
      <c r="Y29218" s="63"/>
    </row>
    <row r="29219" spans="25:25" x14ac:dyDescent="0.25">
      <c r="Y29219" s="63"/>
    </row>
    <row r="29220" spans="25:25" x14ac:dyDescent="0.25">
      <c r="Y29220" s="63"/>
    </row>
    <row r="29221" spans="25:25" x14ac:dyDescent="0.25">
      <c r="Y29221" s="63"/>
    </row>
    <row r="29222" spans="25:25" x14ac:dyDescent="0.25">
      <c r="Y29222" s="63"/>
    </row>
    <row r="29223" spans="25:25" x14ac:dyDescent="0.25">
      <c r="Y29223" s="63"/>
    </row>
    <row r="29224" spans="25:25" x14ac:dyDescent="0.25">
      <c r="Y29224" s="63"/>
    </row>
    <row r="29225" spans="25:25" x14ac:dyDescent="0.25">
      <c r="Y29225" s="63"/>
    </row>
    <row r="29226" spans="25:25" x14ac:dyDescent="0.25">
      <c r="Y29226" s="63"/>
    </row>
    <row r="29227" spans="25:25" x14ac:dyDescent="0.25">
      <c r="Y29227" s="63"/>
    </row>
    <row r="29228" spans="25:25" x14ac:dyDescent="0.25">
      <c r="Y29228" s="63"/>
    </row>
    <row r="29229" spans="25:25" x14ac:dyDescent="0.25">
      <c r="Y29229" s="63"/>
    </row>
    <row r="29230" spans="25:25" x14ac:dyDescent="0.25">
      <c r="Y29230" s="63"/>
    </row>
    <row r="29231" spans="25:25" x14ac:dyDescent="0.25">
      <c r="Y29231" s="63"/>
    </row>
    <row r="29232" spans="25:25" x14ac:dyDescent="0.25">
      <c r="Y29232" s="63"/>
    </row>
    <row r="29233" spans="25:25" x14ac:dyDescent="0.25">
      <c r="Y29233" s="63"/>
    </row>
    <row r="29234" spans="25:25" x14ac:dyDescent="0.25">
      <c r="Y29234" s="63"/>
    </row>
    <row r="29235" spans="25:25" x14ac:dyDescent="0.25">
      <c r="Y29235" s="63"/>
    </row>
    <row r="29236" spans="25:25" x14ac:dyDescent="0.25">
      <c r="Y29236" s="63"/>
    </row>
    <row r="29237" spans="25:25" x14ac:dyDescent="0.25">
      <c r="Y29237" s="63"/>
    </row>
    <row r="29238" spans="25:25" x14ac:dyDescent="0.25">
      <c r="Y29238" s="63"/>
    </row>
    <row r="29239" spans="25:25" x14ac:dyDescent="0.25">
      <c r="Y29239" s="63"/>
    </row>
    <row r="29240" spans="25:25" x14ac:dyDescent="0.25">
      <c r="Y29240" s="63"/>
    </row>
    <row r="29241" spans="25:25" x14ac:dyDescent="0.25">
      <c r="Y29241" s="63"/>
    </row>
    <row r="29242" spans="25:25" x14ac:dyDescent="0.25">
      <c r="Y29242" s="63"/>
    </row>
    <row r="29243" spans="25:25" x14ac:dyDescent="0.25">
      <c r="Y29243" s="63"/>
    </row>
    <row r="29244" spans="25:25" x14ac:dyDescent="0.25">
      <c r="Y29244" s="63"/>
    </row>
    <row r="29245" spans="25:25" x14ac:dyDescent="0.25">
      <c r="Y29245" s="63"/>
    </row>
    <row r="29246" spans="25:25" x14ac:dyDescent="0.25">
      <c r="Y29246" s="63"/>
    </row>
    <row r="29247" spans="25:25" x14ac:dyDescent="0.25">
      <c r="Y29247" s="63"/>
    </row>
    <row r="29248" spans="25:25" x14ac:dyDescent="0.25">
      <c r="Y29248" s="63"/>
    </row>
    <row r="29249" spans="25:25" x14ac:dyDescent="0.25">
      <c r="Y29249" s="63"/>
    </row>
    <row r="29250" spans="25:25" x14ac:dyDescent="0.25">
      <c r="Y29250" s="63"/>
    </row>
    <row r="29251" spans="25:25" x14ac:dyDescent="0.25">
      <c r="Y29251" s="63"/>
    </row>
    <row r="29252" spans="25:25" x14ac:dyDescent="0.25">
      <c r="Y29252" s="63"/>
    </row>
    <row r="29253" spans="25:25" x14ac:dyDescent="0.25">
      <c r="Y29253" s="63"/>
    </row>
    <row r="29254" spans="25:25" x14ac:dyDescent="0.25">
      <c r="Y29254" s="63"/>
    </row>
    <row r="29255" spans="25:25" x14ac:dyDescent="0.25">
      <c r="Y29255" s="63"/>
    </row>
    <row r="29256" spans="25:25" x14ac:dyDescent="0.25">
      <c r="Y29256" s="63"/>
    </row>
    <row r="29257" spans="25:25" x14ac:dyDescent="0.25">
      <c r="Y29257" s="63"/>
    </row>
    <row r="29258" spans="25:25" x14ac:dyDescent="0.25">
      <c r="Y29258" s="63"/>
    </row>
    <row r="29259" spans="25:25" x14ac:dyDescent="0.25">
      <c r="Y29259" s="63"/>
    </row>
    <row r="29260" spans="25:25" x14ac:dyDescent="0.25">
      <c r="Y29260" s="63"/>
    </row>
    <row r="29261" spans="25:25" x14ac:dyDescent="0.25">
      <c r="Y29261" s="63"/>
    </row>
    <row r="29262" spans="25:25" x14ac:dyDescent="0.25">
      <c r="Y29262" s="63"/>
    </row>
    <row r="29263" spans="25:25" x14ac:dyDescent="0.25">
      <c r="Y29263" s="63"/>
    </row>
    <row r="29264" spans="25:25" x14ac:dyDescent="0.25">
      <c r="Y29264" s="63"/>
    </row>
    <row r="29265" spans="25:25" x14ac:dyDescent="0.25">
      <c r="Y29265" s="63"/>
    </row>
    <row r="29266" spans="25:25" x14ac:dyDescent="0.25">
      <c r="Y29266" s="63"/>
    </row>
    <row r="29267" spans="25:25" x14ac:dyDescent="0.25">
      <c r="Y29267" s="63"/>
    </row>
    <row r="29268" spans="25:25" x14ac:dyDescent="0.25">
      <c r="Y29268" s="63"/>
    </row>
    <row r="29269" spans="25:25" x14ac:dyDescent="0.25">
      <c r="Y29269" s="63"/>
    </row>
    <row r="29270" spans="25:25" x14ac:dyDescent="0.25">
      <c r="Y29270" s="63"/>
    </row>
    <row r="29271" spans="25:25" x14ac:dyDescent="0.25">
      <c r="Y29271" s="63"/>
    </row>
    <row r="29272" spans="25:25" x14ac:dyDescent="0.25">
      <c r="Y29272" s="63"/>
    </row>
    <row r="29273" spans="25:25" x14ac:dyDescent="0.25">
      <c r="Y29273" s="63"/>
    </row>
    <row r="29274" spans="25:25" x14ac:dyDescent="0.25">
      <c r="Y29274" s="63"/>
    </row>
    <row r="29275" spans="25:25" x14ac:dyDescent="0.25">
      <c r="Y29275" s="63"/>
    </row>
    <row r="29276" spans="25:25" x14ac:dyDescent="0.25">
      <c r="Y29276" s="63"/>
    </row>
    <row r="29277" spans="25:25" x14ac:dyDescent="0.25">
      <c r="Y29277" s="63"/>
    </row>
    <row r="29278" spans="25:25" x14ac:dyDescent="0.25">
      <c r="Y29278" s="63"/>
    </row>
    <row r="29279" spans="25:25" x14ac:dyDescent="0.25">
      <c r="Y29279" s="63"/>
    </row>
    <row r="29280" spans="25:25" x14ac:dyDescent="0.25">
      <c r="Y29280" s="63"/>
    </row>
    <row r="29281" spans="25:25" x14ac:dyDescent="0.25">
      <c r="Y29281" s="63"/>
    </row>
    <row r="29282" spans="25:25" x14ac:dyDescent="0.25">
      <c r="Y29282" s="63"/>
    </row>
    <row r="29283" spans="25:25" x14ac:dyDescent="0.25">
      <c r="Y29283" s="63"/>
    </row>
    <row r="29284" spans="25:25" x14ac:dyDescent="0.25">
      <c r="Y29284" s="63"/>
    </row>
    <row r="29285" spans="25:25" x14ac:dyDescent="0.25">
      <c r="Y29285" s="63"/>
    </row>
    <row r="29286" spans="25:25" x14ac:dyDescent="0.25">
      <c r="Y29286" s="63"/>
    </row>
    <row r="29287" spans="25:25" x14ac:dyDescent="0.25">
      <c r="Y29287" s="63"/>
    </row>
    <row r="29288" spans="25:25" x14ac:dyDescent="0.25">
      <c r="Y29288" s="63"/>
    </row>
    <row r="29289" spans="25:25" x14ac:dyDescent="0.25">
      <c r="Y29289" s="63"/>
    </row>
    <row r="29290" spans="25:25" x14ac:dyDescent="0.25">
      <c r="Y29290" s="63"/>
    </row>
    <row r="29291" spans="25:25" x14ac:dyDescent="0.25">
      <c r="Y29291" s="63"/>
    </row>
    <row r="29292" spans="25:25" x14ac:dyDescent="0.25">
      <c r="Y29292" s="63"/>
    </row>
    <row r="29293" spans="25:25" x14ac:dyDescent="0.25">
      <c r="Y29293" s="63"/>
    </row>
    <row r="29294" spans="25:25" x14ac:dyDescent="0.25">
      <c r="Y29294" s="63"/>
    </row>
    <row r="29295" spans="25:25" x14ac:dyDescent="0.25">
      <c r="Y29295" s="63"/>
    </row>
    <row r="29296" spans="25:25" x14ac:dyDescent="0.25">
      <c r="Y29296" s="63"/>
    </row>
    <row r="29297" spans="25:25" x14ac:dyDescent="0.25">
      <c r="Y29297" s="63"/>
    </row>
    <row r="29298" spans="25:25" x14ac:dyDescent="0.25">
      <c r="Y29298" s="63"/>
    </row>
    <row r="29299" spans="25:25" x14ac:dyDescent="0.25">
      <c r="Y29299" s="63"/>
    </row>
    <row r="29300" spans="25:25" x14ac:dyDescent="0.25">
      <c r="Y29300" s="63"/>
    </row>
    <row r="29301" spans="25:25" x14ac:dyDescent="0.25">
      <c r="Y29301" s="63"/>
    </row>
    <row r="29302" spans="25:25" x14ac:dyDescent="0.25">
      <c r="Y29302" s="63"/>
    </row>
    <row r="29303" spans="25:25" x14ac:dyDescent="0.25">
      <c r="Y29303" s="63"/>
    </row>
    <row r="29304" spans="25:25" x14ac:dyDescent="0.25">
      <c r="Y29304" s="63"/>
    </row>
    <row r="29305" spans="25:25" x14ac:dyDescent="0.25">
      <c r="Y29305" s="63"/>
    </row>
    <row r="29306" spans="25:25" x14ac:dyDescent="0.25">
      <c r="Y29306" s="63"/>
    </row>
    <row r="29307" spans="25:25" x14ac:dyDescent="0.25">
      <c r="Y29307" s="63"/>
    </row>
    <row r="29308" spans="25:25" x14ac:dyDescent="0.25">
      <c r="Y29308" s="63"/>
    </row>
    <row r="29309" spans="25:25" x14ac:dyDescent="0.25">
      <c r="Y29309" s="63"/>
    </row>
    <row r="29310" spans="25:25" x14ac:dyDescent="0.25">
      <c r="Y29310" s="63"/>
    </row>
    <row r="29311" spans="25:25" x14ac:dyDescent="0.25">
      <c r="Y29311" s="63"/>
    </row>
    <row r="29312" spans="25:25" x14ac:dyDescent="0.25">
      <c r="Y29312" s="63"/>
    </row>
    <row r="29313" spans="25:25" x14ac:dyDescent="0.25">
      <c r="Y29313" s="63"/>
    </row>
    <row r="29314" spans="25:25" x14ac:dyDescent="0.25">
      <c r="Y29314" s="63"/>
    </row>
    <row r="29315" spans="25:25" x14ac:dyDescent="0.25">
      <c r="Y29315" s="63"/>
    </row>
    <row r="29316" spans="25:25" x14ac:dyDescent="0.25">
      <c r="Y29316" s="63"/>
    </row>
    <row r="29317" spans="25:25" x14ac:dyDescent="0.25">
      <c r="Y29317" s="63"/>
    </row>
    <row r="29318" spans="25:25" x14ac:dyDescent="0.25">
      <c r="Y29318" s="63"/>
    </row>
    <row r="29319" spans="25:25" x14ac:dyDescent="0.25">
      <c r="Y29319" s="63"/>
    </row>
    <row r="29320" spans="25:25" x14ac:dyDescent="0.25">
      <c r="Y29320" s="63"/>
    </row>
    <row r="29321" spans="25:25" x14ac:dyDescent="0.25">
      <c r="Y29321" s="63"/>
    </row>
    <row r="29322" spans="25:25" x14ac:dyDescent="0.25">
      <c r="Y29322" s="63"/>
    </row>
    <row r="29323" spans="25:25" x14ac:dyDescent="0.25">
      <c r="Y29323" s="63"/>
    </row>
    <row r="29324" spans="25:25" x14ac:dyDescent="0.25">
      <c r="Y29324" s="63"/>
    </row>
    <row r="29325" spans="25:25" x14ac:dyDescent="0.25">
      <c r="Y29325" s="63"/>
    </row>
    <row r="29326" spans="25:25" x14ac:dyDescent="0.25">
      <c r="Y29326" s="63"/>
    </row>
    <row r="29327" spans="25:25" x14ac:dyDescent="0.25">
      <c r="Y29327" s="63"/>
    </row>
    <row r="29328" spans="25:25" x14ac:dyDescent="0.25">
      <c r="Y29328" s="63"/>
    </row>
    <row r="29329" spans="25:25" x14ac:dyDescent="0.25">
      <c r="Y29329" s="63"/>
    </row>
    <row r="29330" spans="25:25" x14ac:dyDescent="0.25">
      <c r="Y29330" s="63"/>
    </row>
    <row r="29331" spans="25:25" x14ac:dyDescent="0.25">
      <c r="Y29331" s="63"/>
    </row>
    <row r="29332" spans="25:25" x14ac:dyDescent="0.25">
      <c r="Y29332" s="63"/>
    </row>
    <row r="29333" spans="25:25" x14ac:dyDescent="0.25">
      <c r="Y29333" s="63"/>
    </row>
    <row r="29334" spans="25:25" x14ac:dyDescent="0.25">
      <c r="Y29334" s="63"/>
    </row>
    <row r="29335" spans="25:25" x14ac:dyDescent="0.25">
      <c r="Y29335" s="63"/>
    </row>
    <row r="29336" spans="25:25" x14ac:dyDescent="0.25">
      <c r="Y29336" s="63"/>
    </row>
    <row r="29337" spans="25:25" x14ac:dyDescent="0.25">
      <c r="Y29337" s="63"/>
    </row>
    <row r="29338" spans="25:25" x14ac:dyDescent="0.25">
      <c r="Y29338" s="63"/>
    </row>
    <row r="29339" spans="25:25" x14ac:dyDescent="0.25">
      <c r="Y29339" s="63"/>
    </row>
    <row r="29340" spans="25:25" x14ac:dyDescent="0.25">
      <c r="Y29340" s="63"/>
    </row>
    <row r="29341" spans="25:25" x14ac:dyDescent="0.25">
      <c r="Y29341" s="63"/>
    </row>
    <row r="29342" spans="25:25" x14ac:dyDescent="0.25">
      <c r="Y29342" s="63"/>
    </row>
    <row r="29343" spans="25:25" x14ac:dyDescent="0.25">
      <c r="Y29343" s="63"/>
    </row>
    <row r="29344" spans="25:25" x14ac:dyDescent="0.25">
      <c r="Y29344" s="63"/>
    </row>
    <row r="29345" spans="25:25" x14ac:dyDescent="0.25">
      <c r="Y29345" s="63"/>
    </row>
    <row r="29346" spans="25:25" x14ac:dyDescent="0.25">
      <c r="Y29346" s="63"/>
    </row>
    <row r="29347" spans="25:25" x14ac:dyDescent="0.25">
      <c r="Y29347" s="63"/>
    </row>
    <row r="29348" spans="25:25" x14ac:dyDescent="0.25">
      <c r="Y29348" s="63"/>
    </row>
    <row r="29349" spans="25:25" x14ac:dyDescent="0.25">
      <c r="Y29349" s="63"/>
    </row>
    <row r="29350" spans="25:25" x14ac:dyDescent="0.25">
      <c r="Y29350" s="63"/>
    </row>
    <row r="29351" spans="25:25" x14ac:dyDescent="0.25">
      <c r="Y29351" s="63"/>
    </row>
    <row r="29352" spans="25:25" x14ac:dyDescent="0.25">
      <c r="Y29352" s="63"/>
    </row>
    <row r="29353" spans="25:25" x14ac:dyDescent="0.25">
      <c r="Y29353" s="63"/>
    </row>
    <row r="29354" spans="25:25" x14ac:dyDescent="0.25">
      <c r="Y29354" s="63"/>
    </row>
    <row r="29355" spans="25:25" x14ac:dyDescent="0.25">
      <c r="Y29355" s="63"/>
    </row>
    <row r="29356" spans="25:25" x14ac:dyDescent="0.25">
      <c r="Y29356" s="63"/>
    </row>
    <row r="29357" spans="25:25" x14ac:dyDescent="0.25">
      <c r="Y29357" s="63"/>
    </row>
    <row r="29358" spans="25:25" x14ac:dyDescent="0.25">
      <c r="Y29358" s="63"/>
    </row>
    <row r="29359" spans="25:25" x14ac:dyDescent="0.25">
      <c r="Y29359" s="63"/>
    </row>
    <row r="29360" spans="25:25" x14ac:dyDescent="0.25">
      <c r="Y29360" s="63"/>
    </row>
    <row r="29361" spans="25:25" x14ac:dyDescent="0.25">
      <c r="Y29361" s="63"/>
    </row>
    <row r="29362" spans="25:25" x14ac:dyDescent="0.25">
      <c r="Y29362" s="63"/>
    </row>
    <row r="29363" spans="25:25" x14ac:dyDescent="0.25">
      <c r="Y29363" s="63"/>
    </row>
    <row r="29364" spans="25:25" x14ac:dyDescent="0.25">
      <c r="Y29364" s="63"/>
    </row>
    <row r="29365" spans="25:25" x14ac:dyDescent="0.25">
      <c r="Y29365" s="63"/>
    </row>
    <row r="29366" spans="25:25" x14ac:dyDescent="0.25">
      <c r="Y29366" s="63"/>
    </row>
    <row r="29367" spans="25:25" x14ac:dyDescent="0.25">
      <c r="Y29367" s="63"/>
    </row>
    <row r="29368" spans="25:25" x14ac:dyDescent="0.25">
      <c r="Y29368" s="63"/>
    </row>
    <row r="29369" spans="25:25" x14ac:dyDescent="0.25">
      <c r="Y29369" s="63"/>
    </row>
    <row r="29370" spans="25:25" x14ac:dyDescent="0.25">
      <c r="Y29370" s="63"/>
    </row>
    <row r="29371" spans="25:25" x14ac:dyDescent="0.25">
      <c r="Y29371" s="63"/>
    </row>
    <row r="29372" spans="25:25" x14ac:dyDescent="0.25">
      <c r="Y29372" s="63"/>
    </row>
    <row r="29373" spans="25:25" x14ac:dyDescent="0.25">
      <c r="Y29373" s="63"/>
    </row>
    <row r="29374" spans="25:25" x14ac:dyDescent="0.25">
      <c r="Y29374" s="63"/>
    </row>
    <row r="29375" spans="25:25" x14ac:dyDescent="0.25">
      <c r="Y29375" s="63"/>
    </row>
    <row r="29376" spans="25:25" x14ac:dyDescent="0.25">
      <c r="Y29376" s="63"/>
    </row>
    <row r="29377" spans="25:25" x14ac:dyDescent="0.25">
      <c r="Y29377" s="63"/>
    </row>
    <row r="29378" spans="25:25" x14ac:dyDescent="0.25">
      <c r="Y29378" s="63"/>
    </row>
    <row r="29379" spans="25:25" x14ac:dyDescent="0.25">
      <c r="Y29379" s="63"/>
    </row>
    <row r="29380" spans="25:25" x14ac:dyDescent="0.25">
      <c r="Y29380" s="63"/>
    </row>
    <row r="29381" spans="25:25" x14ac:dyDescent="0.25">
      <c r="Y29381" s="63"/>
    </row>
    <row r="29382" spans="25:25" x14ac:dyDescent="0.25">
      <c r="Y29382" s="63"/>
    </row>
    <row r="29383" spans="25:25" x14ac:dyDescent="0.25">
      <c r="Y29383" s="63"/>
    </row>
    <row r="29384" spans="25:25" x14ac:dyDescent="0.25">
      <c r="Y29384" s="63"/>
    </row>
    <row r="29385" spans="25:25" x14ac:dyDescent="0.25">
      <c r="Y29385" s="63"/>
    </row>
    <row r="29386" spans="25:25" x14ac:dyDescent="0.25">
      <c r="Y29386" s="63"/>
    </row>
    <row r="29387" spans="25:25" x14ac:dyDescent="0.25">
      <c r="Y29387" s="63"/>
    </row>
    <row r="29388" spans="25:25" x14ac:dyDescent="0.25">
      <c r="Y29388" s="63"/>
    </row>
    <row r="29389" spans="25:25" x14ac:dyDescent="0.25">
      <c r="Y29389" s="63"/>
    </row>
    <row r="29390" spans="25:25" x14ac:dyDescent="0.25">
      <c r="Y29390" s="63"/>
    </row>
    <row r="29391" spans="25:25" x14ac:dyDescent="0.25">
      <c r="Y29391" s="63"/>
    </row>
    <row r="29392" spans="25:25" x14ac:dyDescent="0.25">
      <c r="Y29392" s="63"/>
    </row>
    <row r="29393" spans="25:25" x14ac:dyDescent="0.25">
      <c r="Y29393" s="63"/>
    </row>
    <row r="29394" spans="25:25" x14ac:dyDescent="0.25">
      <c r="Y29394" s="63"/>
    </row>
    <row r="29395" spans="25:25" x14ac:dyDescent="0.25">
      <c r="Y29395" s="63"/>
    </row>
    <row r="29396" spans="25:25" x14ac:dyDescent="0.25">
      <c r="Y29396" s="63"/>
    </row>
    <row r="29397" spans="25:25" x14ac:dyDescent="0.25">
      <c r="Y29397" s="63"/>
    </row>
    <row r="29398" spans="25:25" x14ac:dyDescent="0.25">
      <c r="Y29398" s="63"/>
    </row>
    <row r="29399" spans="25:25" x14ac:dyDescent="0.25">
      <c r="Y29399" s="63"/>
    </row>
    <row r="29400" spans="25:25" x14ac:dyDescent="0.25">
      <c r="Y29400" s="63"/>
    </row>
    <row r="29401" spans="25:25" x14ac:dyDescent="0.25">
      <c r="Y29401" s="63"/>
    </row>
    <row r="29402" spans="25:25" x14ac:dyDescent="0.25">
      <c r="Y29402" s="63"/>
    </row>
    <row r="29403" spans="25:25" x14ac:dyDescent="0.25">
      <c r="Y29403" s="63"/>
    </row>
    <row r="29404" spans="25:25" x14ac:dyDescent="0.25">
      <c r="Y29404" s="63"/>
    </row>
    <row r="29405" spans="25:25" x14ac:dyDescent="0.25">
      <c r="Y29405" s="63"/>
    </row>
    <row r="29406" spans="25:25" x14ac:dyDescent="0.25">
      <c r="Y29406" s="63"/>
    </row>
    <row r="29407" spans="25:25" x14ac:dyDescent="0.25">
      <c r="Y29407" s="63"/>
    </row>
    <row r="29408" spans="25:25" x14ac:dyDescent="0.25">
      <c r="Y29408" s="63"/>
    </row>
    <row r="29409" spans="25:25" x14ac:dyDescent="0.25">
      <c r="Y29409" s="63"/>
    </row>
    <row r="29410" spans="25:25" x14ac:dyDescent="0.25">
      <c r="Y29410" s="63"/>
    </row>
    <row r="29411" spans="25:25" x14ac:dyDescent="0.25">
      <c r="Y29411" s="63"/>
    </row>
    <row r="29412" spans="25:25" x14ac:dyDescent="0.25">
      <c r="Y29412" s="63"/>
    </row>
    <row r="29413" spans="25:25" x14ac:dyDescent="0.25">
      <c r="Y29413" s="63"/>
    </row>
    <row r="29414" spans="25:25" x14ac:dyDescent="0.25">
      <c r="Y29414" s="63"/>
    </row>
    <row r="29415" spans="25:25" x14ac:dyDescent="0.25">
      <c r="Y29415" s="63"/>
    </row>
    <row r="29416" spans="25:25" x14ac:dyDescent="0.25">
      <c r="Y29416" s="63"/>
    </row>
    <row r="29417" spans="25:25" x14ac:dyDescent="0.25">
      <c r="Y29417" s="63"/>
    </row>
    <row r="29418" spans="25:25" x14ac:dyDescent="0.25">
      <c r="Y29418" s="63"/>
    </row>
    <row r="29419" spans="25:25" x14ac:dyDescent="0.25">
      <c r="Y29419" s="63"/>
    </row>
    <row r="29420" spans="25:25" x14ac:dyDescent="0.25">
      <c r="Y29420" s="63"/>
    </row>
    <row r="29421" spans="25:25" x14ac:dyDescent="0.25">
      <c r="Y29421" s="63"/>
    </row>
    <row r="29422" spans="25:25" x14ac:dyDescent="0.25">
      <c r="Y29422" s="63"/>
    </row>
    <row r="29423" spans="25:25" x14ac:dyDescent="0.25">
      <c r="Y29423" s="63"/>
    </row>
    <row r="29424" spans="25:25" x14ac:dyDescent="0.25">
      <c r="Y29424" s="63"/>
    </row>
    <row r="29425" spans="25:25" x14ac:dyDescent="0.25">
      <c r="Y29425" s="63"/>
    </row>
    <row r="29426" spans="25:25" x14ac:dyDescent="0.25">
      <c r="Y29426" s="63"/>
    </row>
    <row r="29427" spans="25:25" x14ac:dyDescent="0.25">
      <c r="Y29427" s="63"/>
    </row>
    <row r="29428" spans="25:25" x14ac:dyDescent="0.25">
      <c r="Y29428" s="63"/>
    </row>
    <row r="29429" spans="25:25" x14ac:dyDescent="0.25">
      <c r="Y29429" s="63"/>
    </row>
    <row r="29430" spans="25:25" x14ac:dyDescent="0.25">
      <c r="Y29430" s="63"/>
    </row>
    <row r="29431" spans="25:25" x14ac:dyDescent="0.25">
      <c r="Y29431" s="63"/>
    </row>
    <row r="29432" spans="25:25" x14ac:dyDescent="0.25">
      <c r="Y29432" s="63"/>
    </row>
    <row r="29433" spans="25:25" x14ac:dyDescent="0.25">
      <c r="Y29433" s="63"/>
    </row>
    <row r="29434" spans="25:25" x14ac:dyDescent="0.25">
      <c r="Y29434" s="63"/>
    </row>
    <row r="29435" spans="25:25" x14ac:dyDescent="0.25">
      <c r="Y29435" s="63"/>
    </row>
    <row r="29436" spans="25:25" x14ac:dyDescent="0.25">
      <c r="Y29436" s="63"/>
    </row>
    <row r="29437" spans="25:25" x14ac:dyDescent="0.25">
      <c r="Y29437" s="63"/>
    </row>
    <row r="29438" spans="25:25" x14ac:dyDescent="0.25">
      <c r="Y29438" s="63"/>
    </row>
    <row r="29439" spans="25:25" x14ac:dyDescent="0.25">
      <c r="Y29439" s="63"/>
    </row>
    <row r="29440" spans="25:25" x14ac:dyDescent="0.25">
      <c r="Y29440" s="63"/>
    </row>
    <row r="29441" spans="25:25" x14ac:dyDescent="0.25">
      <c r="Y29441" s="63"/>
    </row>
    <row r="29442" spans="25:25" x14ac:dyDescent="0.25">
      <c r="Y29442" s="63"/>
    </row>
    <row r="29443" spans="25:25" x14ac:dyDescent="0.25">
      <c r="Y29443" s="63"/>
    </row>
    <row r="29444" spans="25:25" x14ac:dyDescent="0.25">
      <c r="Y29444" s="63"/>
    </row>
    <row r="29445" spans="25:25" x14ac:dyDescent="0.25">
      <c r="Y29445" s="63"/>
    </row>
    <row r="29446" spans="25:25" x14ac:dyDescent="0.25">
      <c r="Y29446" s="63"/>
    </row>
    <row r="29447" spans="25:25" x14ac:dyDescent="0.25">
      <c r="Y29447" s="63"/>
    </row>
    <row r="29448" spans="25:25" x14ac:dyDescent="0.25">
      <c r="Y29448" s="63"/>
    </row>
    <row r="29449" spans="25:25" x14ac:dyDescent="0.25">
      <c r="Y29449" s="63"/>
    </row>
    <row r="29450" spans="25:25" x14ac:dyDescent="0.25">
      <c r="Y29450" s="63"/>
    </row>
    <row r="29451" spans="25:25" x14ac:dyDescent="0.25">
      <c r="Y29451" s="63"/>
    </row>
    <row r="29452" spans="25:25" x14ac:dyDescent="0.25">
      <c r="Y29452" s="63"/>
    </row>
    <row r="29453" spans="25:25" x14ac:dyDescent="0.25">
      <c r="Y29453" s="63"/>
    </row>
    <row r="29454" spans="25:25" x14ac:dyDescent="0.25">
      <c r="Y29454" s="63"/>
    </row>
    <row r="29455" spans="25:25" x14ac:dyDescent="0.25">
      <c r="Y29455" s="63"/>
    </row>
    <row r="29456" spans="25:25" x14ac:dyDescent="0.25">
      <c r="Y29456" s="63"/>
    </row>
    <row r="29457" spans="25:25" x14ac:dyDescent="0.25">
      <c r="Y29457" s="63"/>
    </row>
    <row r="29458" spans="25:25" x14ac:dyDescent="0.25">
      <c r="Y29458" s="63"/>
    </row>
    <row r="29459" spans="25:25" x14ac:dyDescent="0.25">
      <c r="Y29459" s="63"/>
    </row>
    <row r="29460" spans="25:25" x14ac:dyDescent="0.25">
      <c r="Y29460" s="63"/>
    </row>
    <row r="29461" spans="25:25" x14ac:dyDescent="0.25">
      <c r="Y29461" s="63"/>
    </row>
    <row r="29462" spans="25:25" x14ac:dyDescent="0.25">
      <c r="Y29462" s="63"/>
    </row>
    <row r="29463" spans="25:25" x14ac:dyDescent="0.25">
      <c r="Y29463" s="63"/>
    </row>
    <row r="29464" spans="25:25" x14ac:dyDescent="0.25">
      <c r="Y29464" s="63"/>
    </row>
    <row r="29465" spans="25:25" x14ac:dyDescent="0.25">
      <c r="Y29465" s="63"/>
    </row>
    <row r="29466" spans="25:25" x14ac:dyDescent="0.25">
      <c r="Y29466" s="63"/>
    </row>
    <row r="29467" spans="25:25" x14ac:dyDescent="0.25">
      <c r="Y29467" s="63"/>
    </row>
    <row r="29468" spans="25:25" x14ac:dyDescent="0.25">
      <c r="Y29468" s="63"/>
    </row>
    <row r="29469" spans="25:25" x14ac:dyDescent="0.25">
      <c r="Y29469" s="63"/>
    </row>
    <row r="29470" spans="25:25" x14ac:dyDescent="0.25">
      <c r="Y29470" s="63"/>
    </row>
    <row r="29471" spans="25:25" x14ac:dyDescent="0.25">
      <c r="Y29471" s="63"/>
    </row>
    <row r="29472" spans="25:25" x14ac:dyDescent="0.25">
      <c r="Y29472" s="63"/>
    </row>
    <row r="29473" spans="25:25" x14ac:dyDescent="0.25">
      <c r="Y29473" s="63"/>
    </row>
    <row r="29474" spans="25:25" x14ac:dyDescent="0.25">
      <c r="Y29474" s="63"/>
    </row>
    <row r="29475" spans="25:25" x14ac:dyDescent="0.25">
      <c r="Y29475" s="63"/>
    </row>
    <row r="29476" spans="25:25" x14ac:dyDescent="0.25">
      <c r="Y29476" s="63"/>
    </row>
    <row r="29477" spans="25:25" x14ac:dyDescent="0.25">
      <c r="Y29477" s="63"/>
    </row>
    <row r="29478" spans="25:25" x14ac:dyDescent="0.25">
      <c r="Y29478" s="63"/>
    </row>
    <row r="29479" spans="25:25" x14ac:dyDescent="0.25">
      <c r="Y29479" s="63"/>
    </row>
    <row r="29480" spans="25:25" x14ac:dyDescent="0.25">
      <c r="Y29480" s="63"/>
    </row>
    <row r="29481" spans="25:25" x14ac:dyDescent="0.25">
      <c r="Y29481" s="63"/>
    </row>
    <row r="29482" spans="25:25" x14ac:dyDescent="0.25">
      <c r="Y29482" s="63"/>
    </row>
    <row r="29483" spans="25:25" x14ac:dyDescent="0.25">
      <c r="Y29483" s="63"/>
    </row>
    <row r="29484" spans="25:25" x14ac:dyDescent="0.25">
      <c r="Y29484" s="63"/>
    </row>
    <row r="29485" spans="25:25" x14ac:dyDescent="0.25">
      <c r="Y29485" s="63"/>
    </row>
    <row r="29486" spans="25:25" x14ac:dyDescent="0.25">
      <c r="Y29486" s="63"/>
    </row>
    <row r="29487" spans="25:25" x14ac:dyDescent="0.25">
      <c r="Y29487" s="63"/>
    </row>
    <row r="29488" spans="25:25" x14ac:dyDescent="0.25">
      <c r="Y29488" s="63"/>
    </row>
    <row r="29489" spans="25:25" x14ac:dyDescent="0.25">
      <c r="Y29489" s="63"/>
    </row>
    <row r="29490" spans="25:25" x14ac:dyDescent="0.25">
      <c r="Y29490" s="63"/>
    </row>
    <row r="29491" spans="25:25" x14ac:dyDescent="0.25">
      <c r="Y29491" s="63"/>
    </row>
    <row r="29492" spans="25:25" x14ac:dyDescent="0.25">
      <c r="Y29492" s="63"/>
    </row>
    <row r="29493" spans="25:25" x14ac:dyDescent="0.25">
      <c r="Y29493" s="63"/>
    </row>
    <row r="29494" spans="25:25" x14ac:dyDescent="0.25">
      <c r="Y29494" s="63"/>
    </row>
    <row r="29495" spans="25:25" x14ac:dyDescent="0.25">
      <c r="Y29495" s="63"/>
    </row>
    <row r="29496" spans="25:25" x14ac:dyDescent="0.25">
      <c r="Y29496" s="63"/>
    </row>
    <row r="29497" spans="25:25" x14ac:dyDescent="0.25">
      <c r="Y29497" s="63"/>
    </row>
    <row r="29498" spans="25:25" x14ac:dyDescent="0.25">
      <c r="Y29498" s="63"/>
    </row>
    <row r="29499" spans="25:25" x14ac:dyDescent="0.25">
      <c r="Y29499" s="63"/>
    </row>
    <row r="29500" spans="25:25" x14ac:dyDescent="0.25">
      <c r="Y29500" s="63"/>
    </row>
    <row r="29501" spans="25:25" x14ac:dyDescent="0.25">
      <c r="Y29501" s="63"/>
    </row>
    <row r="29502" spans="25:25" x14ac:dyDescent="0.25">
      <c r="Y29502" s="63"/>
    </row>
    <row r="29503" spans="25:25" x14ac:dyDescent="0.25">
      <c r="Y29503" s="63"/>
    </row>
    <row r="29504" spans="25:25" x14ac:dyDescent="0.25">
      <c r="Y29504" s="63"/>
    </row>
    <row r="29505" spans="25:25" x14ac:dyDescent="0.25">
      <c r="Y29505" s="63"/>
    </row>
    <row r="29506" spans="25:25" x14ac:dyDescent="0.25">
      <c r="Y29506" s="63"/>
    </row>
    <row r="29507" spans="25:25" x14ac:dyDescent="0.25">
      <c r="Y29507" s="63"/>
    </row>
    <row r="29508" spans="25:25" x14ac:dyDescent="0.25">
      <c r="Y29508" s="63"/>
    </row>
    <row r="29509" spans="25:25" x14ac:dyDescent="0.25">
      <c r="Y29509" s="63"/>
    </row>
    <row r="29510" spans="25:25" x14ac:dyDescent="0.25">
      <c r="Y29510" s="63"/>
    </row>
    <row r="29511" spans="25:25" x14ac:dyDescent="0.25">
      <c r="Y29511" s="63"/>
    </row>
    <row r="29512" spans="25:25" x14ac:dyDescent="0.25">
      <c r="Y29512" s="63"/>
    </row>
    <row r="29513" spans="25:25" x14ac:dyDescent="0.25">
      <c r="Y29513" s="63"/>
    </row>
    <row r="29514" spans="25:25" x14ac:dyDescent="0.25">
      <c r="Y29514" s="63"/>
    </row>
    <row r="29515" spans="25:25" x14ac:dyDescent="0.25">
      <c r="Y29515" s="63"/>
    </row>
    <row r="29516" spans="25:25" x14ac:dyDescent="0.25">
      <c r="Y29516" s="63"/>
    </row>
    <row r="29517" spans="25:25" x14ac:dyDescent="0.25">
      <c r="Y29517" s="63"/>
    </row>
    <row r="29518" spans="25:25" x14ac:dyDescent="0.25">
      <c r="Y29518" s="63"/>
    </row>
    <row r="29519" spans="25:25" x14ac:dyDescent="0.25">
      <c r="Y29519" s="63"/>
    </row>
    <row r="29520" spans="25:25" x14ac:dyDescent="0.25">
      <c r="Y29520" s="63"/>
    </row>
    <row r="29521" spans="25:25" x14ac:dyDescent="0.25">
      <c r="Y29521" s="63"/>
    </row>
    <row r="29522" spans="25:25" x14ac:dyDescent="0.25">
      <c r="Y29522" s="63"/>
    </row>
    <row r="29523" spans="25:25" x14ac:dyDescent="0.25">
      <c r="Y29523" s="63"/>
    </row>
    <row r="29524" spans="25:25" x14ac:dyDescent="0.25">
      <c r="Y29524" s="63"/>
    </row>
    <row r="29525" spans="25:25" x14ac:dyDescent="0.25">
      <c r="Y29525" s="63"/>
    </row>
    <row r="29526" spans="25:25" x14ac:dyDescent="0.25">
      <c r="Y29526" s="63"/>
    </row>
    <row r="29527" spans="25:25" x14ac:dyDescent="0.25">
      <c r="Y29527" s="63"/>
    </row>
    <row r="29528" spans="25:25" x14ac:dyDescent="0.25">
      <c r="Y29528" s="63"/>
    </row>
    <row r="29529" spans="25:25" x14ac:dyDescent="0.25">
      <c r="Y29529" s="63"/>
    </row>
    <row r="29530" spans="25:25" x14ac:dyDescent="0.25">
      <c r="Y29530" s="63"/>
    </row>
    <row r="29531" spans="25:25" x14ac:dyDescent="0.25">
      <c r="Y29531" s="63"/>
    </row>
    <row r="29532" spans="25:25" x14ac:dyDescent="0.25">
      <c r="Y29532" s="63"/>
    </row>
    <row r="29533" spans="25:25" x14ac:dyDescent="0.25">
      <c r="Y29533" s="63"/>
    </row>
    <row r="29534" spans="25:25" x14ac:dyDescent="0.25">
      <c r="Y29534" s="63"/>
    </row>
    <row r="29535" spans="25:25" x14ac:dyDescent="0.25">
      <c r="Y29535" s="63"/>
    </row>
    <row r="29536" spans="25:25" x14ac:dyDescent="0.25">
      <c r="Y29536" s="63"/>
    </row>
    <row r="29537" spans="25:25" x14ac:dyDescent="0.25">
      <c r="Y29537" s="63"/>
    </row>
    <row r="29538" spans="25:25" x14ac:dyDescent="0.25">
      <c r="Y29538" s="63"/>
    </row>
    <row r="29539" spans="25:25" x14ac:dyDescent="0.25">
      <c r="Y29539" s="63"/>
    </row>
    <row r="29540" spans="25:25" x14ac:dyDescent="0.25">
      <c r="Y29540" s="63"/>
    </row>
    <row r="29541" spans="25:25" x14ac:dyDescent="0.25">
      <c r="Y29541" s="63"/>
    </row>
    <row r="29542" spans="25:25" x14ac:dyDescent="0.25">
      <c r="Y29542" s="63"/>
    </row>
    <row r="29543" spans="25:25" x14ac:dyDescent="0.25">
      <c r="Y29543" s="63"/>
    </row>
    <row r="29544" spans="25:25" x14ac:dyDescent="0.25">
      <c r="Y29544" s="63"/>
    </row>
    <row r="29545" spans="25:25" x14ac:dyDescent="0.25">
      <c r="Y29545" s="63"/>
    </row>
    <row r="29546" spans="25:25" x14ac:dyDescent="0.25">
      <c r="Y29546" s="63"/>
    </row>
    <row r="29547" spans="25:25" x14ac:dyDescent="0.25">
      <c r="Y29547" s="63"/>
    </row>
    <row r="29548" spans="25:25" x14ac:dyDescent="0.25">
      <c r="Y29548" s="63"/>
    </row>
    <row r="29549" spans="25:25" x14ac:dyDescent="0.25">
      <c r="Y29549" s="63"/>
    </row>
    <row r="29550" spans="25:25" x14ac:dyDescent="0.25">
      <c r="Y29550" s="63"/>
    </row>
    <row r="29551" spans="25:25" x14ac:dyDescent="0.25">
      <c r="Y29551" s="63"/>
    </row>
    <row r="29552" spans="25:25" x14ac:dyDescent="0.25">
      <c r="Y29552" s="63"/>
    </row>
    <row r="29553" spans="25:25" x14ac:dyDescent="0.25">
      <c r="Y29553" s="63"/>
    </row>
    <row r="29554" spans="25:25" x14ac:dyDescent="0.25">
      <c r="Y29554" s="63"/>
    </row>
    <row r="29555" spans="25:25" x14ac:dyDescent="0.25">
      <c r="Y29555" s="63"/>
    </row>
    <row r="29556" spans="25:25" x14ac:dyDescent="0.25">
      <c r="Y29556" s="63"/>
    </row>
    <row r="29557" spans="25:25" x14ac:dyDescent="0.25">
      <c r="Y29557" s="63"/>
    </row>
    <row r="29558" spans="25:25" x14ac:dyDescent="0.25">
      <c r="Y29558" s="63"/>
    </row>
    <row r="29559" spans="25:25" x14ac:dyDescent="0.25">
      <c r="Y29559" s="63"/>
    </row>
    <row r="29560" spans="25:25" x14ac:dyDescent="0.25">
      <c r="Y29560" s="63"/>
    </row>
    <row r="29561" spans="25:25" x14ac:dyDescent="0.25">
      <c r="Y29561" s="63"/>
    </row>
    <row r="29562" spans="25:25" x14ac:dyDescent="0.25">
      <c r="Y29562" s="63"/>
    </row>
    <row r="29563" spans="25:25" x14ac:dyDescent="0.25">
      <c r="Y29563" s="63"/>
    </row>
    <row r="29564" spans="25:25" x14ac:dyDescent="0.25">
      <c r="Y29564" s="63"/>
    </row>
    <row r="29565" spans="25:25" x14ac:dyDescent="0.25">
      <c r="Y29565" s="63"/>
    </row>
    <row r="29566" spans="25:25" x14ac:dyDescent="0.25">
      <c r="Y29566" s="63"/>
    </row>
    <row r="29567" spans="25:25" x14ac:dyDescent="0.25">
      <c r="Y29567" s="63"/>
    </row>
    <row r="29568" spans="25:25" x14ac:dyDescent="0.25">
      <c r="Y29568" s="63"/>
    </row>
    <row r="29569" spans="25:25" x14ac:dyDescent="0.25">
      <c r="Y29569" s="63"/>
    </row>
    <row r="29570" spans="25:25" x14ac:dyDescent="0.25">
      <c r="Y29570" s="63"/>
    </row>
    <row r="29571" spans="25:25" x14ac:dyDescent="0.25">
      <c r="Y29571" s="63"/>
    </row>
    <row r="29572" spans="25:25" x14ac:dyDescent="0.25">
      <c r="Y29572" s="63"/>
    </row>
    <row r="29573" spans="25:25" x14ac:dyDescent="0.25">
      <c r="Y29573" s="63"/>
    </row>
    <row r="29574" spans="25:25" x14ac:dyDescent="0.25">
      <c r="Y29574" s="63"/>
    </row>
    <row r="29575" spans="25:25" x14ac:dyDescent="0.25">
      <c r="Y29575" s="63"/>
    </row>
    <row r="29576" spans="25:25" x14ac:dyDescent="0.25">
      <c r="Y29576" s="63"/>
    </row>
    <row r="29577" spans="25:25" x14ac:dyDescent="0.25">
      <c r="Y29577" s="63"/>
    </row>
    <row r="29578" spans="25:25" x14ac:dyDescent="0.25">
      <c r="Y29578" s="63"/>
    </row>
    <row r="29579" spans="25:25" x14ac:dyDescent="0.25">
      <c r="Y29579" s="63"/>
    </row>
    <row r="29580" spans="25:25" x14ac:dyDescent="0.25">
      <c r="Y29580" s="63"/>
    </row>
    <row r="29581" spans="25:25" x14ac:dyDescent="0.25">
      <c r="Y29581" s="63"/>
    </row>
    <row r="29582" spans="25:25" x14ac:dyDescent="0.25">
      <c r="Y29582" s="63"/>
    </row>
    <row r="29583" spans="25:25" x14ac:dyDescent="0.25">
      <c r="Y29583" s="63"/>
    </row>
    <row r="29584" spans="25:25" x14ac:dyDescent="0.25">
      <c r="Y29584" s="63"/>
    </row>
    <row r="29585" spans="25:25" x14ac:dyDescent="0.25">
      <c r="Y29585" s="63"/>
    </row>
    <row r="29586" spans="25:25" x14ac:dyDescent="0.25">
      <c r="Y29586" s="63"/>
    </row>
    <row r="29587" spans="25:25" x14ac:dyDescent="0.25">
      <c r="Y29587" s="63"/>
    </row>
    <row r="29588" spans="25:25" x14ac:dyDescent="0.25">
      <c r="Y29588" s="63"/>
    </row>
    <row r="29589" spans="25:25" x14ac:dyDescent="0.25">
      <c r="Y29589" s="63"/>
    </row>
    <row r="29590" spans="25:25" x14ac:dyDescent="0.25">
      <c r="Y29590" s="63"/>
    </row>
    <row r="29591" spans="25:25" x14ac:dyDescent="0.25">
      <c r="Y29591" s="63"/>
    </row>
    <row r="29592" spans="25:25" x14ac:dyDescent="0.25">
      <c r="Y29592" s="63"/>
    </row>
    <row r="29593" spans="25:25" x14ac:dyDescent="0.25">
      <c r="Y29593" s="63"/>
    </row>
    <row r="29594" spans="25:25" x14ac:dyDescent="0.25">
      <c r="Y29594" s="63"/>
    </row>
    <row r="29595" spans="25:25" x14ac:dyDescent="0.25">
      <c r="Y29595" s="63"/>
    </row>
    <row r="29596" spans="25:25" x14ac:dyDescent="0.25">
      <c r="Y29596" s="63"/>
    </row>
    <row r="29597" spans="25:25" x14ac:dyDescent="0.25">
      <c r="Y29597" s="63"/>
    </row>
    <row r="29598" spans="25:25" x14ac:dyDescent="0.25">
      <c r="Y29598" s="63"/>
    </row>
    <row r="29599" spans="25:25" x14ac:dyDescent="0.25">
      <c r="Y29599" s="63"/>
    </row>
    <row r="29600" spans="25:25" x14ac:dyDescent="0.25">
      <c r="Y29600" s="63"/>
    </row>
    <row r="29601" spans="25:25" x14ac:dyDescent="0.25">
      <c r="Y29601" s="63"/>
    </row>
    <row r="29602" spans="25:25" x14ac:dyDescent="0.25">
      <c r="Y29602" s="63"/>
    </row>
    <row r="29603" spans="25:25" x14ac:dyDescent="0.25">
      <c r="Y29603" s="63"/>
    </row>
    <row r="29604" spans="25:25" x14ac:dyDescent="0.25">
      <c r="Y29604" s="63"/>
    </row>
    <row r="29605" spans="25:25" x14ac:dyDescent="0.25">
      <c r="Y29605" s="63"/>
    </row>
    <row r="29606" spans="25:25" x14ac:dyDescent="0.25">
      <c r="Y29606" s="63"/>
    </row>
    <row r="29607" spans="25:25" x14ac:dyDescent="0.25">
      <c r="Y29607" s="63"/>
    </row>
    <row r="29608" spans="25:25" x14ac:dyDescent="0.25">
      <c r="Y29608" s="63"/>
    </row>
    <row r="29609" spans="25:25" x14ac:dyDescent="0.25">
      <c r="Y29609" s="63"/>
    </row>
    <row r="29610" spans="25:25" x14ac:dyDescent="0.25">
      <c r="Y29610" s="63"/>
    </row>
    <row r="29611" spans="25:25" x14ac:dyDescent="0.25">
      <c r="Y29611" s="63"/>
    </row>
    <row r="29612" spans="25:25" x14ac:dyDescent="0.25">
      <c r="Y29612" s="63"/>
    </row>
    <row r="29613" spans="25:25" x14ac:dyDescent="0.25">
      <c r="Y29613" s="63"/>
    </row>
    <row r="29614" spans="25:25" x14ac:dyDescent="0.25">
      <c r="Y29614" s="63"/>
    </row>
    <row r="29615" spans="25:25" x14ac:dyDescent="0.25">
      <c r="Y29615" s="63"/>
    </row>
    <row r="29616" spans="25:25" x14ac:dyDescent="0.25">
      <c r="Y29616" s="63"/>
    </row>
    <row r="29617" spans="25:25" x14ac:dyDescent="0.25">
      <c r="Y29617" s="63"/>
    </row>
    <row r="29618" spans="25:25" x14ac:dyDescent="0.25">
      <c r="Y29618" s="63"/>
    </row>
    <row r="29619" spans="25:25" x14ac:dyDescent="0.25">
      <c r="Y29619" s="63"/>
    </row>
    <row r="29620" spans="25:25" x14ac:dyDescent="0.25">
      <c r="Y29620" s="63"/>
    </row>
    <row r="29621" spans="25:25" x14ac:dyDescent="0.25">
      <c r="Y29621" s="63"/>
    </row>
    <row r="29622" spans="25:25" x14ac:dyDescent="0.25">
      <c r="Y29622" s="63"/>
    </row>
    <row r="29623" spans="25:25" x14ac:dyDescent="0.25">
      <c r="Y29623" s="63"/>
    </row>
    <row r="29624" spans="25:25" x14ac:dyDescent="0.25">
      <c r="Y29624" s="63"/>
    </row>
    <row r="29625" spans="25:25" x14ac:dyDescent="0.25">
      <c r="Y29625" s="63"/>
    </row>
    <row r="29626" spans="25:25" x14ac:dyDescent="0.25">
      <c r="Y29626" s="63"/>
    </row>
    <row r="29627" spans="25:25" x14ac:dyDescent="0.25">
      <c r="Y29627" s="63"/>
    </row>
    <row r="29628" spans="25:25" x14ac:dyDescent="0.25">
      <c r="Y29628" s="63"/>
    </row>
    <row r="29629" spans="25:25" x14ac:dyDescent="0.25">
      <c r="Y29629" s="63"/>
    </row>
    <row r="29630" spans="25:25" x14ac:dyDescent="0.25">
      <c r="Y29630" s="63"/>
    </row>
    <row r="29631" spans="25:25" x14ac:dyDescent="0.25">
      <c r="Y29631" s="63"/>
    </row>
    <row r="29632" spans="25:25" x14ac:dyDescent="0.25">
      <c r="Y29632" s="63"/>
    </row>
    <row r="29633" spans="25:25" x14ac:dyDescent="0.25">
      <c r="Y29633" s="63"/>
    </row>
    <row r="29634" spans="25:25" x14ac:dyDescent="0.25">
      <c r="Y29634" s="63"/>
    </row>
    <row r="29635" spans="25:25" x14ac:dyDescent="0.25">
      <c r="Y29635" s="63"/>
    </row>
    <row r="29636" spans="25:25" x14ac:dyDescent="0.25">
      <c r="Y29636" s="63"/>
    </row>
    <row r="29637" spans="25:25" x14ac:dyDescent="0.25">
      <c r="Y29637" s="63"/>
    </row>
    <row r="29638" spans="25:25" x14ac:dyDescent="0.25">
      <c r="Y29638" s="63"/>
    </row>
    <row r="29639" spans="25:25" x14ac:dyDescent="0.25">
      <c r="Y29639" s="63"/>
    </row>
    <row r="29640" spans="25:25" x14ac:dyDescent="0.25">
      <c r="Y29640" s="63"/>
    </row>
    <row r="29641" spans="25:25" x14ac:dyDescent="0.25">
      <c r="Y29641" s="63"/>
    </row>
    <row r="29642" spans="25:25" x14ac:dyDescent="0.25">
      <c r="Y29642" s="63"/>
    </row>
    <row r="29643" spans="25:25" x14ac:dyDescent="0.25">
      <c r="Y29643" s="63"/>
    </row>
    <row r="29644" spans="25:25" x14ac:dyDescent="0.25">
      <c r="Y29644" s="63"/>
    </row>
    <row r="29645" spans="25:25" x14ac:dyDescent="0.25">
      <c r="Y29645" s="63"/>
    </row>
    <row r="29646" spans="25:25" x14ac:dyDescent="0.25">
      <c r="Y29646" s="63"/>
    </row>
    <row r="29647" spans="25:25" x14ac:dyDescent="0.25">
      <c r="Y29647" s="63"/>
    </row>
    <row r="29648" spans="25:25" x14ac:dyDescent="0.25">
      <c r="Y29648" s="63"/>
    </row>
    <row r="29649" spans="25:25" x14ac:dyDescent="0.25">
      <c r="Y29649" s="63"/>
    </row>
    <row r="29650" spans="25:25" x14ac:dyDescent="0.25">
      <c r="Y29650" s="63"/>
    </row>
    <row r="29651" spans="25:25" x14ac:dyDescent="0.25">
      <c r="Y29651" s="63"/>
    </row>
    <row r="29652" spans="25:25" x14ac:dyDescent="0.25">
      <c r="Y29652" s="63"/>
    </row>
    <row r="29653" spans="25:25" x14ac:dyDescent="0.25">
      <c r="Y29653" s="63"/>
    </row>
    <row r="29654" spans="25:25" x14ac:dyDescent="0.25">
      <c r="Y29654" s="63"/>
    </row>
    <row r="29655" spans="25:25" x14ac:dyDescent="0.25">
      <c r="Y29655" s="63"/>
    </row>
    <row r="29656" spans="25:25" x14ac:dyDescent="0.25">
      <c r="Y29656" s="63"/>
    </row>
    <row r="29657" spans="25:25" x14ac:dyDescent="0.25">
      <c r="Y29657" s="63"/>
    </row>
    <row r="29658" spans="25:25" x14ac:dyDescent="0.25">
      <c r="Y29658" s="63"/>
    </row>
    <row r="29659" spans="25:25" x14ac:dyDescent="0.25">
      <c r="Y29659" s="63"/>
    </row>
    <row r="29660" spans="25:25" x14ac:dyDescent="0.25">
      <c r="Y29660" s="63"/>
    </row>
    <row r="29661" spans="25:25" x14ac:dyDescent="0.25">
      <c r="Y29661" s="63"/>
    </row>
    <row r="29662" spans="25:25" x14ac:dyDescent="0.25">
      <c r="Y29662" s="63"/>
    </row>
    <row r="29663" spans="25:25" x14ac:dyDescent="0.25">
      <c r="Y29663" s="63"/>
    </row>
    <row r="29664" spans="25:25" x14ac:dyDescent="0.25">
      <c r="Y29664" s="63"/>
    </row>
    <row r="29665" spans="25:25" x14ac:dyDescent="0.25">
      <c r="Y29665" s="63"/>
    </row>
    <row r="29666" spans="25:25" x14ac:dyDescent="0.25">
      <c r="Y29666" s="63"/>
    </row>
    <row r="29667" spans="25:25" x14ac:dyDescent="0.25">
      <c r="Y29667" s="63"/>
    </row>
    <row r="29668" spans="25:25" x14ac:dyDescent="0.25">
      <c r="Y29668" s="63"/>
    </row>
    <row r="29669" spans="25:25" x14ac:dyDescent="0.25">
      <c r="Y29669" s="63"/>
    </row>
    <row r="29670" spans="25:25" x14ac:dyDescent="0.25">
      <c r="Y29670" s="63"/>
    </row>
    <row r="29671" spans="25:25" x14ac:dyDescent="0.25">
      <c r="Y29671" s="63"/>
    </row>
    <row r="29672" spans="25:25" x14ac:dyDescent="0.25">
      <c r="Y29672" s="63"/>
    </row>
    <row r="29673" spans="25:25" x14ac:dyDescent="0.25">
      <c r="Y29673" s="63"/>
    </row>
    <row r="29674" spans="25:25" x14ac:dyDescent="0.25">
      <c r="Y29674" s="63"/>
    </row>
    <row r="29675" spans="25:25" x14ac:dyDescent="0.25">
      <c r="Y29675" s="63"/>
    </row>
    <row r="29676" spans="25:25" x14ac:dyDescent="0.25">
      <c r="Y29676" s="63"/>
    </row>
    <row r="29677" spans="25:25" x14ac:dyDescent="0.25">
      <c r="Y29677" s="63"/>
    </row>
    <row r="29678" spans="25:25" x14ac:dyDescent="0.25">
      <c r="Y29678" s="63"/>
    </row>
    <row r="29679" spans="25:25" x14ac:dyDescent="0.25">
      <c r="Y29679" s="63"/>
    </row>
    <row r="29680" spans="25:25" x14ac:dyDescent="0.25">
      <c r="Y29680" s="63"/>
    </row>
    <row r="29681" spans="25:25" x14ac:dyDescent="0.25">
      <c r="Y29681" s="63"/>
    </row>
    <row r="29682" spans="25:25" x14ac:dyDescent="0.25">
      <c r="Y29682" s="63"/>
    </row>
    <row r="29683" spans="25:25" x14ac:dyDescent="0.25">
      <c r="Y29683" s="63"/>
    </row>
    <row r="29684" spans="25:25" x14ac:dyDescent="0.25">
      <c r="Y29684" s="63"/>
    </row>
    <row r="29685" spans="25:25" x14ac:dyDescent="0.25">
      <c r="Y29685" s="63"/>
    </row>
    <row r="29686" spans="25:25" x14ac:dyDescent="0.25">
      <c r="Y29686" s="63"/>
    </row>
    <row r="29687" spans="25:25" x14ac:dyDescent="0.25">
      <c r="Y29687" s="63"/>
    </row>
    <row r="29688" spans="25:25" x14ac:dyDescent="0.25">
      <c r="Y29688" s="63"/>
    </row>
    <row r="29689" spans="25:25" x14ac:dyDescent="0.25">
      <c r="Y29689" s="63"/>
    </row>
    <row r="29690" spans="25:25" x14ac:dyDescent="0.25">
      <c r="Y29690" s="63"/>
    </row>
    <row r="29691" spans="25:25" x14ac:dyDescent="0.25">
      <c r="Y29691" s="63"/>
    </row>
    <row r="29692" spans="25:25" x14ac:dyDescent="0.25">
      <c r="Y29692" s="63"/>
    </row>
    <row r="29693" spans="25:25" x14ac:dyDescent="0.25">
      <c r="Y29693" s="63"/>
    </row>
    <row r="29694" spans="25:25" x14ac:dyDescent="0.25">
      <c r="Y29694" s="63"/>
    </row>
    <row r="29695" spans="25:25" x14ac:dyDescent="0.25">
      <c r="Y29695" s="63"/>
    </row>
    <row r="29696" spans="25:25" x14ac:dyDescent="0.25">
      <c r="Y29696" s="63"/>
    </row>
    <row r="29697" spans="25:25" x14ac:dyDescent="0.25">
      <c r="Y29697" s="63"/>
    </row>
    <row r="29698" spans="25:25" x14ac:dyDescent="0.25">
      <c r="Y29698" s="63"/>
    </row>
    <row r="29699" spans="25:25" x14ac:dyDescent="0.25">
      <c r="Y29699" s="63"/>
    </row>
    <row r="29700" spans="25:25" x14ac:dyDescent="0.25">
      <c r="Y29700" s="63"/>
    </row>
    <row r="29701" spans="25:25" x14ac:dyDescent="0.25">
      <c r="Y29701" s="63"/>
    </row>
    <row r="29702" spans="25:25" x14ac:dyDescent="0.25">
      <c r="Y29702" s="63"/>
    </row>
    <row r="29703" spans="25:25" x14ac:dyDescent="0.25">
      <c r="Y29703" s="63"/>
    </row>
    <row r="29704" spans="25:25" x14ac:dyDescent="0.25">
      <c r="Y29704" s="63"/>
    </row>
    <row r="29705" spans="25:25" x14ac:dyDescent="0.25">
      <c r="Y29705" s="63"/>
    </row>
    <row r="29706" spans="25:25" x14ac:dyDescent="0.25">
      <c r="Y29706" s="63"/>
    </row>
    <row r="29707" spans="25:25" x14ac:dyDescent="0.25">
      <c r="Y29707" s="63"/>
    </row>
    <row r="29708" spans="25:25" x14ac:dyDescent="0.25">
      <c r="Y29708" s="63"/>
    </row>
    <row r="29709" spans="25:25" x14ac:dyDescent="0.25">
      <c r="Y29709" s="63"/>
    </row>
    <row r="29710" spans="25:25" x14ac:dyDescent="0.25">
      <c r="Y29710" s="63"/>
    </row>
    <row r="29711" spans="25:25" x14ac:dyDescent="0.25">
      <c r="Y29711" s="63"/>
    </row>
    <row r="29712" spans="25:25" x14ac:dyDescent="0.25">
      <c r="Y29712" s="63"/>
    </row>
    <row r="29713" spans="25:25" x14ac:dyDescent="0.25">
      <c r="Y29713" s="63"/>
    </row>
    <row r="29714" spans="25:25" x14ac:dyDescent="0.25">
      <c r="Y29714" s="63"/>
    </row>
    <row r="29715" spans="25:25" x14ac:dyDescent="0.25">
      <c r="Y29715" s="63"/>
    </row>
    <row r="29716" spans="25:25" x14ac:dyDescent="0.25">
      <c r="Y29716" s="63"/>
    </row>
    <row r="29717" spans="25:25" x14ac:dyDescent="0.25">
      <c r="Y29717" s="63"/>
    </row>
    <row r="29718" spans="25:25" x14ac:dyDescent="0.25">
      <c r="Y29718" s="63"/>
    </row>
    <row r="29719" spans="25:25" x14ac:dyDescent="0.25">
      <c r="Y29719" s="63"/>
    </row>
    <row r="29720" spans="25:25" x14ac:dyDescent="0.25">
      <c r="Y29720" s="63"/>
    </row>
    <row r="29721" spans="25:25" x14ac:dyDescent="0.25">
      <c r="Y29721" s="63"/>
    </row>
    <row r="29722" spans="25:25" x14ac:dyDescent="0.25">
      <c r="Y29722" s="63"/>
    </row>
    <row r="29723" spans="25:25" x14ac:dyDescent="0.25">
      <c r="Y29723" s="63"/>
    </row>
    <row r="29724" spans="25:25" x14ac:dyDescent="0.25">
      <c r="Y29724" s="63"/>
    </row>
    <row r="29725" spans="25:25" x14ac:dyDescent="0.25">
      <c r="Y29725" s="63"/>
    </row>
    <row r="29726" spans="25:25" x14ac:dyDescent="0.25">
      <c r="Y29726" s="63"/>
    </row>
    <row r="29727" spans="25:25" x14ac:dyDescent="0.25">
      <c r="Y29727" s="63"/>
    </row>
    <row r="29728" spans="25:25" x14ac:dyDescent="0.25">
      <c r="Y29728" s="63"/>
    </row>
    <row r="29729" spans="25:25" x14ac:dyDescent="0.25">
      <c r="Y29729" s="63"/>
    </row>
    <row r="29730" spans="25:25" x14ac:dyDescent="0.25">
      <c r="Y29730" s="63"/>
    </row>
    <row r="29731" spans="25:25" x14ac:dyDescent="0.25">
      <c r="Y29731" s="63"/>
    </row>
    <row r="29732" spans="25:25" x14ac:dyDescent="0.25">
      <c r="Y29732" s="63"/>
    </row>
    <row r="29733" spans="25:25" x14ac:dyDescent="0.25">
      <c r="Y29733" s="63"/>
    </row>
    <row r="29734" spans="25:25" x14ac:dyDescent="0.25">
      <c r="Y29734" s="63"/>
    </row>
    <row r="29735" spans="25:25" x14ac:dyDescent="0.25">
      <c r="Y29735" s="63"/>
    </row>
    <row r="29736" spans="25:25" x14ac:dyDescent="0.25">
      <c r="Y29736" s="63"/>
    </row>
    <row r="29737" spans="25:25" x14ac:dyDescent="0.25">
      <c r="Y29737" s="63"/>
    </row>
    <row r="29738" spans="25:25" x14ac:dyDescent="0.25">
      <c r="Y29738" s="63"/>
    </row>
    <row r="29739" spans="25:25" x14ac:dyDescent="0.25">
      <c r="Y29739" s="63"/>
    </row>
    <row r="29740" spans="25:25" x14ac:dyDescent="0.25">
      <c r="Y29740" s="63"/>
    </row>
    <row r="29741" spans="25:25" x14ac:dyDescent="0.25">
      <c r="Y29741" s="63"/>
    </row>
    <row r="29742" spans="25:25" x14ac:dyDescent="0.25">
      <c r="Y29742" s="63"/>
    </row>
    <row r="29743" spans="25:25" x14ac:dyDescent="0.25">
      <c r="Y29743" s="63"/>
    </row>
    <row r="29744" spans="25:25" x14ac:dyDescent="0.25">
      <c r="Y29744" s="63"/>
    </row>
    <row r="29745" spans="25:25" x14ac:dyDescent="0.25">
      <c r="Y29745" s="63"/>
    </row>
    <row r="29746" spans="25:25" x14ac:dyDescent="0.25">
      <c r="Y29746" s="63"/>
    </row>
    <row r="29747" spans="25:25" x14ac:dyDescent="0.25">
      <c r="Y29747" s="63"/>
    </row>
    <row r="29748" spans="25:25" x14ac:dyDescent="0.25">
      <c r="Y29748" s="63"/>
    </row>
    <row r="29749" spans="25:25" x14ac:dyDescent="0.25">
      <c r="Y29749" s="63"/>
    </row>
    <row r="29750" spans="25:25" x14ac:dyDescent="0.25">
      <c r="Y29750" s="63"/>
    </row>
    <row r="29751" spans="25:25" x14ac:dyDescent="0.25">
      <c r="Y29751" s="63"/>
    </row>
    <row r="29752" spans="25:25" x14ac:dyDescent="0.25">
      <c r="Y29752" s="63"/>
    </row>
    <row r="29753" spans="25:25" x14ac:dyDescent="0.25">
      <c r="Y29753" s="63"/>
    </row>
    <row r="29754" spans="25:25" x14ac:dyDescent="0.25">
      <c r="Y29754" s="63"/>
    </row>
    <row r="29755" spans="25:25" x14ac:dyDescent="0.25">
      <c r="Y29755" s="63"/>
    </row>
    <row r="29756" spans="25:25" x14ac:dyDescent="0.25">
      <c r="Y29756" s="63"/>
    </row>
    <row r="29757" spans="25:25" x14ac:dyDescent="0.25">
      <c r="Y29757" s="63"/>
    </row>
    <row r="29758" spans="25:25" x14ac:dyDescent="0.25">
      <c r="Y29758" s="63"/>
    </row>
    <row r="29759" spans="25:25" x14ac:dyDescent="0.25">
      <c r="Y29759" s="63"/>
    </row>
    <row r="29760" spans="25:25" x14ac:dyDescent="0.25">
      <c r="Y29760" s="63"/>
    </row>
    <row r="29761" spans="25:25" x14ac:dyDescent="0.25">
      <c r="Y29761" s="63"/>
    </row>
    <row r="29762" spans="25:25" x14ac:dyDescent="0.25">
      <c r="Y29762" s="63"/>
    </row>
    <row r="29763" spans="25:25" x14ac:dyDescent="0.25">
      <c r="Y29763" s="63"/>
    </row>
    <row r="29764" spans="25:25" x14ac:dyDescent="0.25">
      <c r="Y29764" s="63"/>
    </row>
    <row r="29765" spans="25:25" x14ac:dyDescent="0.25">
      <c r="Y29765" s="63"/>
    </row>
    <row r="29766" spans="25:25" x14ac:dyDescent="0.25">
      <c r="Y29766" s="63"/>
    </row>
    <row r="29767" spans="25:25" x14ac:dyDescent="0.25">
      <c r="Y29767" s="63"/>
    </row>
    <row r="29768" spans="25:25" x14ac:dyDescent="0.25">
      <c r="Y29768" s="63"/>
    </row>
    <row r="29769" spans="25:25" x14ac:dyDescent="0.25">
      <c r="Y29769" s="63"/>
    </row>
    <row r="29770" spans="25:25" x14ac:dyDescent="0.25">
      <c r="Y29770" s="63"/>
    </row>
    <row r="29771" spans="25:25" x14ac:dyDescent="0.25">
      <c r="Y29771" s="63"/>
    </row>
    <row r="29772" spans="25:25" x14ac:dyDescent="0.25">
      <c r="Y29772" s="63"/>
    </row>
    <row r="29773" spans="25:25" x14ac:dyDescent="0.25">
      <c r="Y29773" s="63"/>
    </row>
    <row r="29774" spans="25:25" x14ac:dyDescent="0.25">
      <c r="Y29774" s="63"/>
    </row>
    <row r="29775" spans="25:25" x14ac:dyDescent="0.25">
      <c r="Y29775" s="63"/>
    </row>
    <row r="29776" spans="25:25" x14ac:dyDescent="0.25">
      <c r="Y29776" s="63"/>
    </row>
    <row r="29777" spans="25:25" x14ac:dyDescent="0.25">
      <c r="Y29777" s="63"/>
    </row>
    <row r="29778" spans="25:25" x14ac:dyDescent="0.25">
      <c r="Y29778" s="63"/>
    </row>
    <row r="29779" spans="25:25" x14ac:dyDescent="0.25">
      <c r="Y29779" s="63"/>
    </row>
    <row r="29780" spans="25:25" x14ac:dyDescent="0.25">
      <c r="Y29780" s="63"/>
    </row>
    <row r="29781" spans="25:25" x14ac:dyDescent="0.25">
      <c r="Y29781" s="63"/>
    </row>
    <row r="29782" spans="25:25" x14ac:dyDescent="0.25">
      <c r="Y29782" s="63"/>
    </row>
    <row r="29783" spans="25:25" x14ac:dyDescent="0.25">
      <c r="Y29783" s="63"/>
    </row>
    <row r="29784" spans="25:25" x14ac:dyDescent="0.25">
      <c r="Y29784" s="63"/>
    </row>
    <row r="29785" spans="25:25" x14ac:dyDescent="0.25">
      <c r="Y29785" s="63"/>
    </row>
    <row r="29786" spans="25:25" x14ac:dyDescent="0.25">
      <c r="Y29786" s="63"/>
    </row>
    <row r="29787" spans="25:25" x14ac:dyDescent="0.25">
      <c r="Y29787" s="63"/>
    </row>
    <row r="29788" spans="25:25" x14ac:dyDescent="0.25">
      <c r="Y29788" s="63"/>
    </row>
    <row r="29789" spans="25:25" x14ac:dyDescent="0.25">
      <c r="Y29789" s="63"/>
    </row>
    <row r="29790" spans="25:25" x14ac:dyDescent="0.25">
      <c r="Y29790" s="63"/>
    </row>
    <row r="29791" spans="25:25" x14ac:dyDescent="0.25">
      <c r="Y29791" s="63"/>
    </row>
    <row r="29792" spans="25:25" x14ac:dyDescent="0.25">
      <c r="Y29792" s="63"/>
    </row>
    <row r="29793" spans="25:25" x14ac:dyDescent="0.25">
      <c r="Y29793" s="63"/>
    </row>
    <row r="29794" spans="25:25" x14ac:dyDescent="0.25">
      <c r="Y29794" s="63"/>
    </row>
    <row r="29795" spans="25:25" x14ac:dyDescent="0.25">
      <c r="Y29795" s="63"/>
    </row>
    <row r="29796" spans="25:25" x14ac:dyDescent="0.25">
      <c r="Y29796" s="63"/>
    </row>
    <row r="29797" spans="25:25" x14ac:dyDescent="0.25">
      <c r="Y29797" s="63"/>
    </row>
    <row r="29798" spans="25:25" x14ac:dyDescent="0.25">
      <c r="Y29798" s="63"/>
    </row>
    <row r="29799" spans="25:25" x14ac:dyDescent="0.25">
      <c r="Y29799" s="63"/>
    </row>
    <row r="29800" spans="25:25" x14ac:dyDescent="0.25">
      <c r="Y29800" s="63"/>
    </row>
    <row r="29801" spans="25:25" x14ac:dyDescent="0.25">
      <c r="Y29801" s="63"/>
    </row>
    <row r="29802" spans="25:25" x14ac:dyDescent="0.25">
      <c r="Y29802" s="63"/>
    </row>
    <row r="29803" spans="25:25" x14ac:dyDescent="0.25">
      <c r="Y29803" s="63"/>
    </row>
    <row r="29804" spans="25:25" x14ac:dyDescent="0.25">
      <c r="Y29804" s="63"/>
    </row>
    <row r="29805" spans="25:25" x14ac:dyDescent="0.25">
      <c r="Y29805" s="63"/>
    </row>
    <row r="29806" spans="25:25" x14ac:dyDescent="0.25">
      <c r="Y29806" s="63"/>
    </row>
    <row r="29807" spans="25:25" x14ac:dyDescent="0.25">
      <c r="Y29807" s="63"/>
    </row>
    <row r="29808" spans="25:25" x14ac:dyDescent="0.25">
      <c r="Y29808" s="63"/>
    </row>
    <row r="29809" spans="25:25" x14ac:dyDescent="0.25">
      <c r="Y29809" s="63"/>
    </row>
    <row r="29810" spans="25:25" x14ac:dyDescent="0.25">
      <c r="Y29810" s="63"/>
    </row>
    <row r="29811" spans="25:25" x14ac:dyDescent="0.25">
      <c r="Y29811" s="63"/>
    </row>
    <row r="29812" spans="25:25" x14ac:dyDescent="0.25">
      <c r="Y29812" s="63"/>
    </row>
    <row r="29813" spans="25:25" x14ac:dyDescent="0.25">
      <c r="Y29813" s="63"/>
    </row>
    <row r="29814" spans="25:25" x14ac:dyDescent="0.25">
      <c r="Y29814" s="63"/>
    </row>
    <row r="29815" spans="25:25" x14ac:dyDescent="0.25">
      <c r="Y29815" s="63"/>
    </row>
    <row r="29816" spans="25:25" x14ac:dyDescent="0.25">
      <c r="Y29816" s="63"/>
    </row>
    <row r="29817" spans="25:25" x14ac:dyDescent="0.25">
      <c r="Y29817" s="63"/>
    </row>
    <row r="29818" spans="25:25" x14ac:dyDescent="0.25">
      <c r="Y29818" s="63"/>
    </row>
    <row r="29819" spans="25:25" x14ac:dyDescent="0.25">
      <c r="Y29819" s="63"/>
    </row>
    <row r="29820" spans="25:25" x14ac:dyDescent="0.25">
      <c r="Y29820" s="63"/>
    </row>
    <row r="29821" spans="25:25" x14ac:dyDescent="0.25">
      <c r="Y29821" s="63"/>
    </row>
    <row r="29822" spans="25:25" x14ac:dyDescent="0.25">
      <c r="Y29822" s="63"/>
    </row>
    <row r="29823" spans="25:25" x14ac:dyDescent="0.25">
      <c r="Y29823" s="63"/>
    </row>
    <row r="29824" spans="25:25" x14ac:dyDescent="0.25">
      <c r="Y29824" s="63"/>
    </row>
    <row r="29825" spans="25:25" x14ac:dyDescent="0.25">
      <c r="Y29825" s="63"/>
    </row>
    <row r="29826" spans="25:25" x14ac:dyDescent="0.25">
      <c r="Y29826" s="63"/>
    </row>
    <row r="29827" spans="25:25" x14ac:dyDescent="0.25">
      <c r="Y29827" s="63"/>
    </row>
    <row r="29828" spans="25:25" x14ac:dyDescent="0.25">
      <c r="Y29828" s="63"/>
    </row>
    <row r="29829" spans="25:25" x14ac:dyDescent="0.25">
      <c r="Y29829" s="63"/>
    </row>
    <row r="29830" spans="25:25" x14ac:dyDescent="0.25">
      <c r="Y29830" s="63"/>
    </row>
    <row r="29831" spans="25:25" x14ac:dyDescent="0.25">
      <c r="Y29831" s="63"/>
    </row>
    <row r="29832" spans="25:25" x14ac:dyDescent="0.25">
      <c r="Y29832" s="63"/>
    </row>
    <row r="29833" spans="25:25" x14ac:dyDescent="0.25">
      <c r="Y29833" s="63"/>
    </row>
    <row r="29834" spans="25:25" x14ac:dyDescent="0.25">
      <c r="Y29834" s="63"/>
    </row>
    <row r="29835" spans="25:25" x14ac:dyDescent="0.25">
      <c r="Y29835" s="63"/>
    </row>
    <row r="29836" spans="25:25" x14ac:dyDescent="0.25">
      <c r="Y29836" s="63"/>
    </row>
    <row r="29837" spans="25:25" x14ac:dyDescent="0.25">
      <c r="Y29837" s="63"/>
    </row>
    <row r="29838" spans="25:25" x14ac:dyDescent="0.25">
      <c r="Y29838" s="63"/>
    </row>
    <row r="29839" spans="25:25" x14ac:dyDescent="0.25">
      <c r="Y29839" s="63"/>
    </row>
    <row r="29840" spans="25:25" x14ac:dyDescent="0.25">
      <c r="Y29840" s="63"/>
    </row>
    <row r="29841" spans="25:25" x14ac:dyDescent="0.25">
      <c r="Y29841" s="63"/>
    </row>
    <row r="29842" spans="25:25" x14ac:dyDescent="0.25">
      <c r="Y29842" s="63"/>
    </row>
    <row r="29843" spans="25:25" x14ac:dyDescent="0.25">
      <c r="Y29843" s="63"/>
    </row>
    <row r="29844" spans="25:25" x14ac:dyDescent="0.25">
      <c r="Y29844" s="63"/>
    </row>
    <row r="29845" spans="25:25" x14ac:dyDescent="0.25">
      <c r="Y29845" s="63"/>
    </row>
    <row r="29846" spans="25:25" x14ac:dyDescent="0.25">
      <c r="Y29846" s="63"/>
    </row>
    <row r="29847" spans="25:25" x14ac:dyDescent="0.25">
      <c r="Y29847" s="63"/>
    </row>
    <row r="29848" spans="25:25" x14ac:dyDescent="0.25">
      <c r="Y29848" s="63"/>
    </row>
    <row r="29849" spans="25:25" x14ac:dyDescent="0.25">
      <c r="Y29849" s="63"/>
    </row>
    <row r="29850" spans="25:25" x14ac:dyDescent="0.25">
      <c r="Y29850" s="63"/>
    </row>
    <row r="29851" spans="25:25" x14ac:dyDescent="0.25">
      <c r="Y29851" s="63"/>
    </row>
    <row r="29852" spans="25:25" x14ac:dyDescent="0.25">
      <c r="Y29852" s="63"/>
    </row>
    <row r="29853" spans="25:25" x14ac:dyDescent="0.25">
      <c r="Y29853" s="63"/>
    </row>
    <row r="29854" spans="25:25" x14ac:dyDescent="0.25">
      <c r="Y29854" s="63"/>
    </row>
    <row r="29855" spans="25:25" x14ac:dyDescent="0.25">
      <c r="Y29855" s="63"/>
    </row>
    <row r="29856" spans="25:25" x14ac:dyDescent="0.25">
      <c r="Y29856" s="63"/>
    </row>
    <row r="29857" spans="25:25" x14ac:dyDescent="0.25">
      <c r="Y29857" s="63"/>
    </row>
    <row r="29858" spans="25:25" x14ac:dyDescent="0.25">
      <c r="Y29858" s="63"/>
    </row>
    <row r="29859" spans="25:25" x14ac:dyDescent="0.25">
      <c r="Y29859" s="63"/>
    </row>
    <row r="29860" spans="25:25" x14ac:dyDescent="0.25">
      <c r="Y29860" s="63"/>
    </row>
    <row r="29861" spans="25:25" x14ac:dyDescent="0.25">
      <c r="Y29861" s="63"/>
    </row>
    <row r="29862" spans="25:25" x14ac:dyDescent="0.25">
      <c r="Y29862" s="63"/>
    </row>
    <row r="29863" spans="25:25" x14ac:dyDescent="0.25">
      <c r="Y29863" s="63"/>
    </row>
    <row r="29864" spans="25:25" x14ac:dyDescent="0.25">
      <c r="Y29864" s="63"/>
    </row>
    <row r="29865" spans="25:25" x14ac:dyDescent="0.25">
      <c r="Y29865" s="63"/>
    </row>
    <row r="29866" spans="25:25" x14ac:dyDescent="0.25">
      <c r="Y29866" s="63"/>
    </row>
    <row r="29867" spans="25:25" x14ac:dyDescent="0.25">
      <c r="Y29867" s="63"/>
    </row>
    <row r="29868" spans="25:25" x14ac:dyDescent="0.25">
      <c r="Y29868" s="63"/>
    </row>
    <row r="29869" spans="25:25" x14ac:dyDescent="0.25">
      <c r="Y29869" s="63"/>
    </row>
    <row r="29870" spans="25:25" x14ac:dyDescent="0.25">
      <c r="Y29870" s="63"/>
    </row>
    <row r="29871" spans="25:25" x14ac:dyDescent="0.25">
      <c r="Y29871" s="63"/>
    </row>
    <row r="29872" spans="25:25" x14ac:dyDescent="0.25">
      <c r="Y29872" s="63"/>
    </row>
    <row r="29873" spans="25:25" x14ac:dyDescent="0.25">
      <c r="Y29873" s="63"/>
    </row>
    <row r="29874" spans="25:25" x14ac:dyDescent="0.25">
      <c r="Y29874" s="63"/>
    </row>
    <row r="29875" spans="25:25" x14ac:dyDescent="0.25">
      <c r="Y29875" s="63"/>
    </row>
    <row r="29876" spans="25:25" x14ac:dyDescent="0.25">
      <c r="Y29876" s="63"/>
    </row>
    <row r="29877" spans="25:25" x14ac:dyDescent="0.25">
      <c r="Y29877" s="63"/>
    </row>
    <row r="29878" spans="25:25" x14ac:dyDescent="0.25">
      <c r="Y29878" s="63"/>
    </row>
    <row r="29879" spans="25:25" x14ac:dyDescent="0.25">
      <c r="Y29879" s="63"/>
    </row>
    <row r="29880" spans="25:25" x14ac:dyDescent="0.25">
      <c r="Y29880" s="63"/>
    </row>
    <row r="29881" spans="25:25" x14ac:dyDescent="0.25">
      <c r="Y29881" s="63"/>
    </row>
    <row r="29882" spans="25:25" x14ac:dyDescent="0.25">
      <c r="Y29882" s="63"/>
    </row>
    <row r="29883" spans="25:25" x14ac:dyDescent="0.25">
      <c r="Y29883" s="63"/>
    </row>
    <row r="29884" spans="25:25" x14ac:dyDescent="0.25">
      <c r="Y29884" s="63"/>
    </row>
    <row r="29885" spans="25:25" x14ac:dyDescent="0.25">
      <c r="Y29885" s="63"/>
    </row>
    <row r="29886" spans="25:25" x14ac:dyDescent="0.25">
      <c r="Y29886" s="63"/>
    </row>
    <row r="29887" spans="25:25" x14ac:dyDescent="0.25">
      <c r="Y29887" s="63"/>
    </row>
    <row r="29888" spans="25:25" x14ac:dyDescent="0.25">
      <c r="Y29888" s="63"/>
    </row>
    <row r="29889" spans="25:25" x14ac:dyDescent="0.25">
      <c r="Y29889" s="63"/>
    </row>
    <row r="29890" spans="25:25" x14ac:dyDescent="0.25">
      <c r="Y29890" s="63"/>
    </row>
    <row r="29891" spans="25:25" x14ac:dyDescent="0.25">
      <c r="Y29891" s="63"/>
    </row>
    <row r="29892" spans="25:25" x14ac:dyDescent="0.25">
      <c r="Y29892" s="63"/>
    </row>
    <row r="29893" spans="25:25" x14ac:dyDescent="0.25">
      <c r="Y29893" s="63"/>
    </row>
    <row r="29894" spans="25:25" x14ac:dyDescent="0.25">
      <c r="Y29894" s="63"/>
    </row>
    <row r="29895" spans="25:25" x14ac:dyDescent="0.25">
      <c r="Y29895" s="63"/>
    </row>
    <row r="29896" spans="25:25" x14ac:dyDescent="0.25">
      <c r="Y29896" s="63"/>
    </row>
    <row r="29897" spans="25:25" x14ac:dyDescent="0.25">
      <c r="Y29897" s="63"/>
    </row>
    <row r="29898" spans="25:25" x14ac:dyDescent="0.25">
      <c r="Y29898" s="63"/>
    </row>
    <row r="29899" spans="25:25" x14ac:dyDescent="0.25">
      <c r="Y29899" s="63"/>
    </row>
    <row r="29900" spans="25:25" x14ac:dyDescent="0.25">
      <c r="Y29900" s="63"/>
    </row>
    <row r="29901" spans="25:25" x14ac:dyDescent="0.25">
      <c r="Y29901" s="63"/>
    </row>
    <row r="29902" spans="25:25" x14ac:dyDescent="0.25">
      <c r="Y29902" s="63"/>
    </row>
    <row r="29903" spans="25:25" x14ac:dyDescent="0.25">
      <c r="Y29903" s="63"/>
    </row>
    <row r="29904" spans="25:25" x14ac:dyDescent="0.25">
      <c r="Y29904" s="63"/>
    </row>
    <row r="29905" spans="25:25" x14ac:dyDescent="0.25">
      <c r="Y29905" s="63"/>
    </row>
    <row r="29906" spans="25:25" x14ac:dyDescent="0.25">
      <c r="Y29906" s="63"/>
    </row>
    <row r="29907" spans="25:25" x14ac:dyDescent="0.25">
      <c r="Y29907" s="63"/>
    </row>
    <row r="29908" spans="25:25" x14ac:dyDescent="0.25">
      <c r="Y29908" s="63"/>
    </row>
    <row r="29909" spans="25:25" x14ac:dyDescent="0.25">
      <c r="Y29909" s="63"/>
    </row>
    <row r="29910" spans="25:25" x14ac:dyDescent="0.25">
      <c r="Y29910" s="63"/>
    </row>
    <row r="29911" spans="25:25" x14ac:dyDescent="0.25">
      <c r="Y29911" s="63"/>
    </row>
    <row r="29912" spans="25:25" x14ac:dyDescent="0.25">
      <c r="Y29912" s="63"/>
    </row>
    <row r="29913" spans="25:25" x14ac:dyDescent="0.25">
      <c r="Y29913" s="63"/>
    </row>
    <row r="29914" spans="25:25" x14ac:dyDescent="0.25">
      <c r="Y29914" s="63"/>
    </row>
    <row r="29915" spans="25:25" x14ac:dyDescent="0.25">
      <c r="Y29915" s="63"/>
    </row>
    <row r="29916" spans="25:25" x14ac:dyDescent="0.25">
      <c r="Y29916" s="63"/>
    </row>
    <row r="29917" spans="25:25" x14ac:dyDescent="0.25">
      <c r="Y29917" s="63"/>
    </row>
    <row r="29918" spans="25:25" x14ac:dyDescent="0.25">
      <c r="Y29918" s="63"/>
    </row>
    <row r="29919" spans="25:25" x14ac:dyDescent="0.25">
      <c r="Y29919" s="63"/>
    </row>
    <row r="29920" spans="25:25" x14ac:dyDescent="0.25">
      <c r="Y29920" s="63"/>
    </row>
    <row r="29921" spans="25:25" x14ac:dyDescent="0.25">
      <c r="Y29921" s="63"/>
    </row>
    <row r="29922" spans="25:25" x14ac:dyDescent="0.25">
      <c r="Y29922" s="63"/>
    </row>
    <row r="29923" spans="25:25" x14ac:dyDescent="0.25">
      <c r="Y29923" s="63"/>
    </row>
    <row r="29924" spans="25:25" x14ac:dyDescent="0.25">
      <c r="Y29924" s="63"/>
    </row>
    <row r="29925" spans="25:25" x14ac:dyDescent="0.25">
      <c r="Y29925" s="63"/>
    </row>
    <row r="29926" spans="25:25" x14ac:dyDescent="0.25">
      <c r="Y29926" s="63"/>
    </row>
    <row r="29927" spans="25:25" x14ac:dyDescent="0.25">
      <c r="Y29927" s="63"/>
    </row>
    <row r="29928" spans="25:25" x14ac:dyDescent="0.25">
      <c r="Y29928" s="63"/>
    </row>
    <row r="29929" spans="25:25" x14ac:dyDescent="0.25">
      <c r="Y29929" s="63"/>
    </row>
    <row r="29930" spans="25:25" x14ac:dyDescent="0.25">
      <c r="Y29930" s="63"/>
    </row>
    <row r="29931" spans="25:25" x14ac:dyDescent="0.25">
      <c r="Y29931" s="63"/>
    </row>
    <row r="29932" spans="25:25" x14ac:dyDescent="0.25">
      <c r="Y29932" s="63"/>
    </row>
    <row r="29933" spans="25:25" x14ac:dyDescent="0.25">
      <c r="Y29933" s="63"/>
    </row>
    <row r="29934" spans="25:25" x14ac:dyDescent="0.25">
      <c r="Y29934" s="63"/>
    </row>
    <row r="29935" spans="25:25" x14ac:dyDescent="0.25">
      <c r="Y29935" s="63"/>
    </row>
    <row r="29936" spans="25:25" x14ac:dyDescent="0.25">
      <c r="Y29936" s="63"/>
    </row>
    <row r="29937" spans="25:25" x14ac:dyDescent="0.25">
      <c r="Y29937" s="63"/>
    </row>
    <row r="29938" spans="25:25" x14ac:dyDescent="0.25">
      <c r="Y29938" s="63"/>
    </row>
    <row r="29939" spans="25:25" x14ac:dyDescent="0.25">
      <c r="Y29939" s="63"/>
    </row>
    <row r="29940" spans="25:25" x14ac:dyDescent="0.25">
      <c r="Y29940" s="63"/>
    </row>
    <row r="29941" spans="25:25" x14ac:dyDescent="0.25">
      <c r="Y29941" s="63"/>
    </row>
    <row r="29942" spans="25:25" x14ac:dyDescent="0.25">
      <c r="Y29942" s="63"/>
    </row>
    <row r="29943" spans="25:25" x14ac:dyDescent="0.25">
      <c r="Y29943" s="63"/>
    </row>
    <row r="29944" spans="25:25" x14ac:dyDescent="0.25">
      <c r="Y29944" s="63"/>
    </row>
    <row r="29945" spans="25:25" x14ac:dyDescent="0.25">
      <c r="Y29945" s="63"/>
    </row>
    <row r="29946" spans="25:25" x14ac:dyDescent="0.25">
      <c r="Y29946" s="63"/>
    </row>
    <row r="29947" spans="25:25" x14ac:dyDescent="0.25">
      <c r="Y29947" s="63"/>
    </row>
    <row r="29948" spans="25:25" x14ac:dyDescent="0.25">
      <c r="Y29948" s="63"/>
    </row>
    <row r="29949" spans="25:25" x14ac:dyDescent="0.25">
      <c r="Y29949" s="63"/>
    </row>
    <row r="29950" spans="25:25" x14ac:dyDescent="0.25">
      <c r="Y29950" s="63"/>
    </row>
    <row r="29951" spans="25:25" x14ac:dyDescent="0.25">
      <c r="Y29951" s="63"/>
    </row>
    <row r="29952" spans="25:25" x14ac:dyDescent="0.25">
      <c r="Y29952" s="63"/>
    </row>
    <row r="29953" spans="25:25" x14ac:dyDescent="0.25">
      <c r="Y29953" s="63"/>
    </row>
    <row r="29954" spans="25:25" x14ac:dyDescent="0.25">
      <c r="Y29954" s="63"/>
    </row>
    <row r="29955" spans="25:25" x14ac:dyDescent="0.25">
      <c r="Y29955" s="63"/>
    </row>
    <row r="29956" spans="25:25" x14ac:dyDescent="0.25">
      <c r="Y29956" s="63"/>
    </row>
    <row r="29957" spans="25:25" x14ac:dyDescent="0.25">
      <c r="Y29957" s="63"/>
    </row>
    <row r="29958" spans="25:25" x14ac:dyDescent="0.25">
      <c r="Y29958" s="63"/>
    </row>
    <row r="29959" spans="25:25" x14ac:dyDescent="0.25">
      <c r="Y29959" s="63"/>
    </row>
    <row r="29960" spans="25:25" x14ac:dyDescent="0.25">
      <c r="Y29960" s="63"/>
    </row>
    <row r="29961" spans="25:25" x14ac:dyDescent="0.25">
      <c r="Y29961" s="63"/>
    </row>
    <row r="29962" spans="25:25" x14ac:dyDescent="0.25">
      <c r="Y29962" s="63"/>
    </row>
    <row r="29963" spans="25:25" x14ac:dyDescent="0.25">
      <c r="Y29963" s="63"/>
    </row>
    <row r="29964" spans="25:25" x14ac:dyDescent="0.25">
      <c r="Y29964" s="63"/>
    </row>
    <row r="29965" spans="25:25" x14ac:dyDescent="0.25">
      <c r="Y29965" s="63"/>
    </row>
    <row r="29966" spans="25:25" x14ac:dyDescent="0.25">
      <c r="Y29966" s="63"/>
    </row>
    <row r="29967" spans="25:25" x14ac:dyDescent="0.25">
      <c r="Y29967" s="63"/>
    </row>
    <row r="29968" spans="25:25" x14ac:dyDescent="0.25">
      <c r="Y29968" s="63"/>
    </row>
    <row r="29969" spans="25:25" x14ac:dyDescent="0.25">
      <c r="Y29969" s="63"/>
    </row>
    <row r="29970" spans="25:25" x14ac:dyDescent="0.25">
      <c r="Y29970" s="63"/>
    </row>
    <row r="29971" spans="25:25" x14ac:dyDescent="0.25">
      <c r="Y29971" s="63"/>
    </row>
    <row r="29972" spans="25:25" x14ac:dyDescent="0.25">
      <c r="Y29972" s="63"/>
    </row>
    <row r="29973" spans="25:25" x14ac:dyDescent="0.25">
      <c r="Y29973" s="63"/>
    </row>
    <row r="29974" spans="25:25" x14ac:dyDescent="0.25">
      <c r="Y29974" s="63"/>
    </row>
    <row r="29975" spans="25:25" x14ac:dyDescent="0.25">
      <c r="Y29975" s="63"/>
    </row>
    <row r="29976" spans="25:25" x14ac:dyDescent="0.25">
      <c r="Y29976" s="63"/>
    </row>
    <row r="29977" spans="25:25" x14ac:dyDescent="0.25">
      <c r="Y29977" s="63"/>
    </row>
    <row r="29978" spans="25:25" x14ac:dyDescent="0.25">
      <c r="Y29978" s="63"/>
    </row>
    <row r="29979" spans="25:25" x14ac:dyDescent="0.25">
      <c r="Y29979" s="63"/>
    </row>
    <row r="29980" spans="25:25" x14ac:dyDescent="0.25">
      <c r="Y29980" s="63"/>
    </row>
    <row r="29981" spans="25:25" x14ac:dyDescent="0.25">
      <c r="Y29981" s="63"/>
    </row>
    <row r="29982" spans="25:25" x14ac:dyDescent="0.25">
      <c r="Y29982" s="63"/>
    </row>
    <row r="29983" spans="25:25" x14ac:dyDescent="0.25">
      <c r="Y29983" s="63"/>
    </row>
    <row r="29984" spans="25:25" x14ac:dyDescent="0.25">
      <c r="Y29984" s="63"/>
    </row>
    <row r="29985" spans="25:25" x14ac:dyDescent="0.25">
      <c r="Y29985" s="63"/>
    </row>
    <row r="29986" spans="25:25" x14ac:dyDescent="0.25">
      <c r="Y29986" s="63"/>
    </row>
    <row r="29987" spans="25:25" x14ac:dyDescent="0.25">
      <c r="Y29987" s="63"/>
    </row>
    <row r="29988" spans="25:25" x14ac:dyDescent="0.25">
      <c r="Y29988" s="63"/>
    </row>
    <row r="29989" spans="25:25" x14ac:dyDescent="0.25">
      <c r="Y29989" s="63"/>
    </row>
    <row r="29990" spans="25:25" x14ac:dyDescent="0.25">
      <c r="Y29990" s="63"/>
    </row>
    <row r="29991" spans="25:25" x14ac:dyDescent="0.25">
      <c r="Y29991" s="63"/>
    </row>
    <row r="29992" spans="25:25" x14ac:dyDescent="0.25">
      <c r="Y29992" s="63"/>
    </row>
    <row r="29993" spans="25:25" x14ac:dyDescent="0.25">
      <c r="Y29993" s="63"/>
    </row>
    <row r="29994" spans="25:25" x14ac:dyDescent="0.25">
      <c r="Y29994" s="63"/>
    </row>
    <row r="29995" spans="25:25" x14ac:dyDescent="0.25">
      <c r="Y29995" s="63"/>
    </row>
    <row r="29996" spans="25:25" x14ac:dyDescent="0.25">
      <c r="Y29996" s="63"/>
    </row>
    <row r="29997" spans="25:25" x14ac:dyDescent="0.25">
      <c r="Y29997" s="63"/>
    </row>
    <row r="29998" spans="25:25" x14ac:dyDescent="0.25">
      <c r="Y29998" s="63"/>
    </row>
    <row r="29999" spans="25:25" x14ac:dyDescent="0.25">
      <c r="Y29999" s="63"/>
    </row>
    <row r="30000" spans="25:25" x14ac:dyDescent="0.25">
      <c r="Y30000" s="63"/>
    </row>
    <row r="30001" spans="25:25" x14ac:dyDescent="0.25">
      <c r="Y30001" s="63"/>
    </row>
    <row r="30002" spans="25:25" x14ac:dyDescent="0.25">
      <c r="Y30002" s="63"/>
    </row>
    <row r="30003" spans="25:25" x14ac:dyDescent="0.25">
      <c r="Y30003" s="63"/>
    </row>
    <row r="30004" spans="25:25" x14ac:dyDescent="0.25">
      <c r="Y30004" s="63"/>
    </row>
    <row r="30005" spans="25:25" x14ac:dyDescent="0.25">
      <c r="Y30005" s="63"/>
    </row>
    <row r="30006" spans="25:25" x14ac:dyDescent="0.25">
      <c r="Y30006" s="63"/>
    </row>
    <row r="30007" spans="25:25" x14ac:dyDescent="0.25">
      <c r="Y30007" s="63"/>
    </row>
    <row r="30008" spans="25:25" x14ac:dyDescent="0.25">
      <c r="Y30008" s="63"/>
    </row>
    <row r="30009" spans="25:25" x14ac:dyDescent="0.25">
      <c r="Y30009" s="63"/>
    </row>
    <row r="30010" spans="25:25" x14ac:dyDescent="0.25">
      <c r="Y30010" s="63"/>
    </row>
    <row r="30011" spans="25:25" x14ac:dyDescent="0.25">
      <c r="Y30011" s="63"/>
    </row>
    <row r="30012" spans="25:25" x14ac:dyDescent="0.25">
      <c r="Y30012" s="63"/>
    </row>
    <row r="30013" spans="25:25" x14ac:dyDescent="0.25">
      <c r="Y30013" s="63"/>
    </row>
    <row r="30014" spans="25:25" x14ac:dyDescent="0.25">
      <c r="Y30014" s="63"/>
    </row>
    <row r="30015" spans="25:25" x14ac:dyDescent="0.25">
      <c r="Y30015" s="63"/>
    </row>
    <row r="30016" spans="25:25" x14ac:dyDescent="0.25">
      <c r="Y30016" s="63"/>
    </row>
    <row r="30017" spans="25:25" x14ac:dyDescent="0.25">
      <c r="Y30017" s="63"/>
    </row>
    <row r="30018" spans="25:25" x14ac:dyDescent="0.25">
      <c r="Y30018" s="63"/>
    </row>
    <row r="30019" spans="25:25" x14ac:dyDescent="0.25">
      <c r="Y30019" s="63"/>
    </row>
    <row r="30020" spans="25:25" x14ac:dyDescent="0.25">
      <c r="Y30020" s="63"/>
    </row>
    <row r="30021" spans="25:25" x14ac:dyDescent="0.25">
      <c r="Y30021" s="63"/>
    </row>
    <row r="30022" spans="25:25" x14ac:dyDescent="0.25">
      <c r="Y30022" s="63"/>
    </row>
    <row r="30023" spans="25:25" x14ac:dyDescent="0.25">
      <c r="Y30023" s="63"/>
    </row>
    <row r="30024" spans="25:25" x14ac:dyDescent="0.25">
      <c r="Y30024" s="63"/>
    </row>
    <row r="30025" spans="25:25" x14ac:dyDescent="0.25">
      <c r="Y30025" s="63"/>
    </row>
    <row r="30026" spans="25:25" x14ac:dyDescent="0.25">
      <c r="Y30026" s="63"/>
    </row>
    <row r="30027" spans="25:25" x14ac:dyDescent="0.25">
      <c r="Y30027" s="63"/>
    </row>
    <row r="30028" spans="25:25" x14ac:dyDescent="0.25">
      <c r="Y30028" s="63"/>
    </row>
    <row r="30029" spans="25:25" x14ac:dyDescent="0.25">
      <c r="Y30029" s="63"/>
    </row>
    <row r="30030" spans="25:25" x14ac:dyDescent="0.25">
      <c r="Y30030" s="63"/>
    </row>
    <row r="30031" spans="25:25" x14ac:dyDescent="0.25">
      <c r="Y30031" s="63"/>
    </row>
    <row r="30032" spans="25:25" x14ac:dyDescent="0.25">
      <c r="Y30032" s="63"/>
    </row>
    <row r="30033" spans="25:25" x14ac:dyDescent="0.25">
      <c r="Y30033" s="63"/>
    </row>
    <row r="30034" spans="25:25" x14ac:dyDescent="0.25">
      <c r="Y30034" s="63"/>
    </row>
    <row r="30035" spans="25:25" x14ac:dyDescent="0.25">
      <c r="Y30035" s="63"/>
    </row>
    <row r="30036" spans="25:25" x14ac:dyDescent="0.25">
      <c r="Y30036" s="63"/>
    </row>
    <row r="30037" spans="25:25" x14ac:dyDescent="0.25">
      <c r="Y30037" s="63"/>
    </row>
    <row r="30038" spans="25:25" x14ac:dyDescent="0.25">
      <c r="Y30038" s="63"/>
    </row>
    <row r="30039" spans="25:25" x14ac:dyDescent="0.25">
      <c r="Y30039" s="63"/>
    </row>
    <row r="30040" spans="25:25" x14ac:dyDescent="0.25">
      <c r="Y30040" s="63"/>
    </row>
    <row r="30041" spans="25:25" x14ac:dyDescent="0.25">
      <c r="Y30041" s="63"/>
    </row>
    <row r="30042" spans="25:25" x14ac:dyDescent="0.25">
      <c r="Y30042" s="63"/>
    </row>
    <row r="30043" spans="25:25" x14ac:dyDescent="0.25">
      <c r="Y30043" s="63"/>
    </row>
    <row r="30044" spans="25:25" x14ac:dyDescent="0.25">
      <c r="Y30044" s="63"/>
    </row>
    <row r="30045" spans="25:25" x14ac:dyDescent="0.25">
      <c r="Y30045" s="63"/>
    </row>
    <row r="30046" spans="25:25" x14ac:dyDescent="0.25">
      <c r="Y30046" s="63"/>
    </row>
    <row r="30047" spans="25:25" x14ac:dyDescent="0.25">
      <c r="Y30047" s="63"/>
    </row>
    <row r="30048" spans="25:25" x14ac:dyDescent="0.25">
      <c r="Y30048" s="63"/>
    </row>
    <row r="30049" spans="25:25" x14ac:dyDescent="0.25">
      <c r="Y30049" s="63"/>
    </row>
    <row r="30050" spans="25:25" x14ac:dyDescent="0.25">
      <c r="Y30050" s="63"/>
    </row>
    <row r="30051" spans="25:25" x14ac:dyDescent="0.25">
      <c r="Y30051" s="63"/>
    </row>
    <row r="30052" spans="25:25" x14ac:dyDescent="0.25">
      <c r="Y30052" s="63"/>
    </row>
    <row r="30053" spans="25:25" x14ac:dyDescent="0.25">
      <c r="Y30053" s="63"/>
    </row>
    <row r="30054" spans="25:25" x14ac:dyDescent="0.25">
      <c r="Y30054" s="63"/>
    </row>
    <row r="30055" spans="25:25" x14ac:dyDescent="0.25">
      <c r="Y30055" s="63"/>
    </row>
    <row r="30056" spans="25:25" x14ac:dyDescent="0.25">
      <c r="Y30056" s="63"/>
    </row>
    <row r="30057" spans="25:25" x14ac:dyDescent="0.25">
      <c r="Y30057" s="63"/>
    </row>
    <row r="30058" spans="25:25" x14ac:dyDescent="0.25">
      <c r="Y30058" s="63"/>
    </row>
    <row r="30059" spans="25:25" x14ac:dyDescent="0.25">
      <c r="Y30059" s="63"/>
    </row>
    <row r="30060" spans="25:25" x14ac:dyDescent="0.25">
      <c r="Y30060" s="63"/>
    </row>
    <row r="30061" spans="25:25" x14ac:dyDescent="0.25">
      <c r="Y30061" s="63"/>
    </row>
    <row r="30062" spans="25:25" x14ac:dyDescent="0.25">
      <c r="Y30062" s="63"/>
    </row>
    <row r="30063" spans="25:25" x14ac:dyDescent="0.25">
      <c r="Y30063" s="63"/>
    </row>
    <row r="30064" spans="25:25" x14ac:dyDescent="0.25">
      <c r="Y30064" s="63"/>
    </row>
    <row r="30065" spans="25:25" x14ac:dyDescent="0.25">
      <c r="Y30065" s="63"/>
    </row>
    <row r="30066" spans="25:25" x14ac:dyDescent="0.25">
      <c r="Y30066" s="63"/>
    </row>
    <row r="30067" spans="25:25" x14ac:dyDescent="0.25">
      <c r="Y30067" s="63"/>
    </row>
    <row r="30068" spans="25:25" x14ac:dyDescent="0.25">
      <c r="Y30068" s="63"/>
    </row>
    <row r="30069" spans="25:25" x14ac:dyDescent="0.25">
      <c r="Y30069" s="63"/>
    </row>
    <row r="30070" spans="25:25" x14ac:dyDescent="0.25">
      <c r="Y30070" s="63"/>
    </row>
    <row r="30071" spans="25:25" x14ac:dyDescent="0.25">
      <c r="Y30071" s="63"/>
    </row>
    <row r="30072" spans="25:25" x14ac:dyDescent="0.25">
      <c r="Y30072" s="63"/>
    </row>
    <row r="30073" spans="25:25" x14ac:dyDescent="0.25">
      <c r="Y30073" s="63"/>
    </row>
    <row r="30074" spans="25:25" x14ac:dyDescent="0.25">
      <c r="Y30074" s="63"/>
    </row>
    <row r="30075" spans="25:25" x14ac:dyDescent="0.25">
      <c r="Y30075" s="63"/>
    </row>
    <row r="30076" spans="25:25" x14ac:dyDescent="0.25">
      <c r="Y30076" s="63"/>
    </row>
    <row r="30077" spans="25:25" x14ac:dyDescent="0.25">
      <c r="Y30077" s="63"/>
    </row>
    <row r="30078" spans="25:25" x14ac:dyDescent="0.25">
      <c r="Y30078" s="63"/>
    </row>
    <row r="30079" spans="25:25" x14ac:dyDescent="0.25">
      <c r="Y30079" s="63"/>
    </row>
    <row r="30080" spans="25:25" x14ac:dyDescent="0.25">
      <c r="Y30080" s="63"/>
    </row>
    <row r="30081" spans="25:25" x14ac:dyDescent="0.25">
      <c r="Y30081" s="63"/>
    </row>
    <row r="30082" spans="25:25" x14ac:dyDescent="0.25">
      <c r="Y30082" s="63"/>
    </row>
    <row r="30083" spans="25:25" x14ac:dyDescent="0.25">
      <c r="Y30083" s="63"/>
    </row>
    <row r="30084" spans="25:25" x14ac:dyDescent="0.25">
      <c r="Y30084" s="63"/>
    </row>
    <row r="30085" spans="25:25" x14ac:dyDescent="0.25">
      <c r="Y30085" s="63"/>
    </row>
    <row r="30086" spans="25:25" x14ac:dyDescent="0.25">
      <c r="Y30086" s="63"/>
    </row>
    <row r="30087" spans="25:25" x14ac:dyDescent="0.25">
      <c r="Y30087" s="63"/>
    </row>
    <row r="30088" spans="25:25" x14ac:dyDescent="0.25">
      <c r="Y30088" s="63"/>
    </row>
    <row r="30089" spans="25:25" x14ac:dyDescent="0.25">
      <c r="Y30089" s="63"/>
    </row>
    <row r="30090" spans="25:25" x14ac:dyDescent="0.25">
      <c r="Y30090" s="63"/>
    </row>
    <row r="30091" spans="25:25" x14ac:dyDescent="0.25">
      <c r="Y30091" s="63"/>
    </row>
    <row r="30092" spans="25:25" x14ac:dyDescent="0.25">
      <c r="Y30092" s="63"/>
    </row>
    <row r="30093" spans="25:25" x14ac:dyDescent="0.25">
      <c r="Y30093" s="63"/>
    </row>
    <row r="30094" spans="25:25" x14ac:dyDescent="0.25">
      <c r="Y30094" s="63"/>
    </row>
    <row r="30095" spans="25:25" x14ac:dyDescent="0.25">
      <c r="Y30095" s="63"/>
    </row>
    <row r="30096" spans="25:25" x14ac:dyDescent="0.25">
      <c r="Y30096" s="63"/>
    </row>
    <row r="30097" spans="25:25" x14ac:dyDescent="0.25">
      <c r="Y30097" s="63"/>
    </row>
    <row r="30098" spans="25:25" x14ac:dyDescent="0.25">
      <c r="Y30098" s="63"/>
    </row>
    <row r="30099" spans="25:25" x14ac:dyDescent="0.25">
      <c r="Y30099" s="63"/>
    </row>
    <row r="30100" spans="25:25" x14ac:dyDescent="0.25">
      <c r="Y30100" s="63"/>
    </row>
    <row r="30101" spans="25:25" x14ac:dyDescent="0.25">
      <c r="Y30101" s="63"/>
    </row>
    <row r="30102" spans="25:25" x14ac:dyDescent="0.25">
      <c r="Y30102" s="63"/>
    </row>
    <row r="30103" spans="25:25" x14ac:dyDescent="0.25">
      <c r="Y30103" s="63"/>
    </row>
    <row r="30104" spans="25:25" x14ac:dyDescent="0.25">
      <c r="Y30104" s="63"/>
    </row>
    <row r="30105" spans="25:25" x14ac:dyDescent="0.25">
      <c r="Y30105" s="63"/>
    </row>
    <row r="30106" spans="25:25" x14ac:dyDescent="0.25">
      <c r="Y30106" s="63"/>
    </row>
    <row r="30107" spans="25:25" x14ac:dyDescent="0.25">
      <c r="Y30107" s="63"/>
    </row>
    <row r="30108" spans="25:25" x14ac:dyDescent="0.25">
      <c r="Y30108" s="63"/>
    </row>
    <row r="30109" spans="25:25" x14ac:dyDescent="0.25">
      <c r="Y30109" s="63"/>
    </row>
    <row r="30110" spans="25:25" x14ac:dyDescent="0.25">
      <c r="Y30110" s="63"/>
    </row>
    <row r="30111" spans="25:25" x14ac:dyDescent="0.25">
      <c r="Y30111" s="63"/>
    </row>
    <row r="30112" spans="25:25" x14ac:dyDescent="0.25">
      <c r="Y30112" s="63"/>
    </row>
    <row r="30113" spans="25:25" x14ac:dyDescent="0.25">
      <c r="Y30113" s="63"/>
    </row>
    <row r="30114" spans="25:25" x14ac:dyDescent="0.25">
      <c r="Y30114" s="63"/>
    </row>
    <row r="30115" spans="25:25" x14ac:dyDescent="0.25">
      <c r="Y30115" s="63"/>
    </row>
    <row r="30116" spans="25:25" x14ac:dyDescent="0.25">
      <c r="Y30116" s="63"/>
    </row>
    <row r="30117" spans="25:25" x14ac:dyDescent="0.25">
      <c r="Y30117" s="63"/>
    </row>
    <row r="30118" spans="25:25" x14ac:dyDescent="0.25">
      <c r="Y30118" s="63"/>
    </row>
    <row r="30119" spans="25:25" x14ac:dyDescent="0.25">
      <c r="Y30119" s="63"/>
    </row>
    <row r="30120" spans="25:25" x14ac:dyDescent="0.25">
      <c r="Y30120" s="63"/>
    </row>
    <row r="30121" spans="25:25" x14ac:dyDescent="0.25">
      <c r="Y30121" s="63"/>
    </row>
    <row r="30122" spans="25:25" x14ac:dyDescent="0.25">
      <c r="Y30122" s="63"/>
    </row>
    <row r="30123" spans="25:25" x14ac:dyDescent="0.25">
      <c r="Y30123" s="63"/>
    </row>
    <row r="30124" spans="25:25" x14ac:dyDescent="0.25">
      <c r="Y30124" s="63"/>
    </row>
    <row r="30125" spans="25:25" x14ac:dyDescent="0.25">
      <c r="Y30125" s="63"/>
    </row>
    <row r="30126" spans="25:25" x14ac:dyDescent="0.25">
      <c r="Y30126" s="63"/>
    </row>
    <row r="30127" spans="25:25" x14ac:dyDescent="0.25">
      <c r="Y30127" s="63"/>
    </row>
    <row r="30128" spans="25:25" x14ac:dyDescent="0.25">
      <c r="Y30128" s="63"/>
    </row>
    <row r="30129" spans="25:25" x14ac:dyDescent="0.25">
      <c r="Y30129" s="63"/>
    </row>
    <row r="30130" spans="25:25" x14ac:dyDescent="0.25">
      <c r="Y30130" s="63"/>
    </row>
    <row r="30131" spans="25:25" x14ac:dyDescent="0.25">
      <c r="Y30131" s="63"/>
    </row>
    <row r="30132" spans="25:25" x14ac:dyDescent="0.25">
      <c r="Y30132" s="63"/>
    </row>
    <row r="30133" spans="25:25" x14ac:dyDescent="0.25">
      <c r="Y30133" s="63"/>
    </row>
    <row r="30134" spans="25:25" x14ac:dyDescent="0.25">
      <c r="Y30134" s="63"/>
    </row>
    <row r="30135" spans="25:25" x14ac:dyDescent="0.25">
      <c r="Y30135" s="63"/>
    </row>
    <row r="30136" spans="25:25" x14ac:dyDescent="0.25">
      <c r="Y30136" s="63"/>
    </row>
    <row r="30137" spans="25:25" x14ac:dyDescent="0.25">
      <c r="Y30137" s="63"/>
    </row>
    <row r="30138" spans="25:25" x14ac:dyDescent="0.25">
      <c r="Y30138" s="63"/>
    </row>
    <row r="30139" spans="25:25" x14ac:dyDescent="0.25">
      <c r="Y30139" s="63"/>
    </row>
    <row r="30140" spans="25:25" x14ac:dyDescent="0.25">
      <c r="Y30140" s="63"/>
    </row>
    <row r="30141" spans="25:25" x14ac:dyDescent="0.25">
      <c r="Y30141" s="63"/>
    </row>
    <row r="30142" spans="25:25" x14ac:dyDescent="0.25">
      <c r="Y30142" s="63"/>
    </row>
    <row r="30143" spans="25:25" x14ac:dyDescent="0.25">
      <c r="Y30143" s="63"/>
    </row>
    <row r="30144" spans="25:25" x14ac:dyDescent="0.25">
      <c r="Y30144" s="63"/>
    </row>
    <row r="30145" spans="25:25" x14ac:dyDescent="0.25">
      <c r="Y30145" s="63"/>
    </row>
    <row r="30146" spans="25:25" x14ac:dyDescent="0.25">
      <c r="Y30146" s="63"/>
    </row>
    <row r="30147" spans="25:25" x14ac:dyDescent="0.25">
      <c r="Y30147" s="63"/>
    </row>
    <row r="30148" spans="25:25" x14ac:dyDescent="0.25">
      <c r="Y30148" s="63"/>
    </row>
    <row r="30149" spans="25:25" x14ac:dyDescent="0.25">
      <c r="Y30149" s="63"/>
    </row>
    <row r="30150" spans="25:25" x14ac:dyDescent="0.25">
      <c r="Y30150" s="63"/>
    </row>
    <row r="30151" spans="25:25" x14ac:dyDescent="0.25">
      <c r="Y30151" s="63"/>
    </row>
    <row r="30152" spans="25:25" x14ac:dyDescent="0.25">
      <c r="Y30152" s="63"/>
    </row>
    <row r="30153" spans="25:25" x14ac:dyDescent="0.25">
      <c r="Y30153" s="63"/>
    </row>
    <row r="30154" spans="25:25" x14ac:dyDescent="0.25">
      <c r="Y30154" s="63"/>
    </row>
    <row r="30155" spans="25:25" x14ac:dyDescent="0.25">
      <c r="Y30155" s="63"/>
    </row>
    <row r="30156" spans="25:25" x14ac:dyDescent="0.25">
      <c r="Y30156" s="63"/>
    </row>
    <row r="30157" spans="25:25" x14ac:dyDescent="0.25">
      <c r="Y30157" s="63"/>
    </row>
    <row r="30158" spans="25:25" x14ac:dyDescent="0.25">
      <c r="Y30158" s="63"/>
    </row>
    <row r="30159" spans="25:25" x14ac:dyDescent="0.25">
      <c r="Y30159" s="63"/>
    </row>
    <row r="30160" spans="25:25" x14ac:dyDescent="0.25">
      <c r="Y30160" s="63"/>
    </row>
    <row r="30161" spans="25:25" x14ac:dyDescent="0.25">
      <c r="Y30161" s="63"/>
    </row>
    <row r="30162" spans="25:25" x14ac:dyDescent="0.25">
      <c r="Y30162" s="63"/>
    </row>
    <row r="30163" spans="25:25" x14ac:dyDescent="0.25">
      <c r="Y30163" s="63"/>
    </row>
    <row r="30164" spans="25:25" x14ac:dyDescent="0.25">
      <c r="Y30164" s="63"/>
    </row>
    <row r="30165" spans="25:25" x14ac:dyDescent="0.25">
      <c r="Y30165" s="63"/>
    </row>
    <row r="30166" spans="25:25" x14ac:dyDescent="0.25">
      <c r="Y30166" s="63"/>
    </row>
    <row r="30167" spans="25:25" x14ac:dyDescent="0.25">
      <c r="Y30167" s="63"/>
    </row>
    <row r="30168" spans="25:25" x14ac:dyDescent="0.25">
      <c r="Y30168" s="63"/>
    </row>
    <row r="30169" spans="25:25" x14ac:dyDescent="0.25">
      <c r="Y30169" s="63"/>
    </row>
    <row r="30170" spans="25:25" x14ac:dyDescent="0.25">
      <c r="Y30170" s="63"/>
    </row>
    <row r="30171" spans="25:25" x14ac:dyDescent="0.25">
      <c r="Y30171" s="63"/>
    </row>
    <row r="30172" spans="25:25" x14ac:dyDescent="0.25">
      <c r="Y30172" s="63"/>
    </row>
    <row r="30173" spans="25:25" x14ac:dyDescent="0.25">
      <c r="Y30173" s="63"/>
    </row>
    <row r="30174" spans="25:25" x14ac:dyDescent="0.25">
      <c r="Y30174" s="63"/>
    </row>
    <row r="30175" spans="25:25" x14ac:dyDescent="0.25">
      <c r="Y30175" s="63"/>
    </row>
    <row r="30176" spans="25:25" x14ac:dyDescent="0.25">
      <c r="Y30176" s="63"/>
    </row>
    <row r="30177" spans="25:25" x14ac:dyDescent="0.25">
      <c r="Y30177" s="63"/>
    </row>
    <row r="30178" spans="25:25" x14ac:dyDescent="0.25">
      <c r="Y30178" s="63"/>
    </row>
    <row r="30179" spans="25:25" x14ac:dyDescent="0.25">
      <c r="Y30179" s="63"/>
    </row>
    <row r="30180" spans="25:25" x14ac:dyDescent="0.25">
      <c r="Y30180" s="63"/>
    </row>
    <row r="30181" spans="25:25" x14ac:dyDescent="0.25">
      <c r="Y30181" s="63"/>
    </row>
    <row r="30182" spans="25:25" x14ac:dyDescent="0.25">
      <c r="Y30182" s="63"/>
    </row>
    <row r="30183" spans="25:25" x14ac:dyDescent="0.25">
      <c r="Y30183" s="63"/>
    </row>
    <row r="30184" spans="25:25" x14ac:dyDescent="0.25">
      <c r="Y30184" s="63"/>
    </row>
    <row r="30185" spans="25:25" x14ac:dyDescent="0.25">
      <c r="Y30185" s="63"/>
    </row>
    <row r="30186" spans="25:25" x14ac:dyDescent="0.25">
      <c r="Y30186" s="63"/>
    </row>
    <row r="30187" spans="25:25" x14ac:dyDescent="0.25">
      <c r="Y30187" s="63"/>
    </row>
    <row r="30188" spans="25:25" x14ac:dyDescent="0.25">
      <c r="Y30188" s="63"/>
    </row>
    <row r="30189" spans="25:25" x14ac:dyDescent="0.25">
      <c r="Y30189" s="63"/>
    </row>
    <row r="30190" spans="25:25" x14ac:dyDescent="0.25">
      <c r="Y30190" s="63"/>
    </row>
    <row r="30191" spans="25:25" x14ac:dyDescent="0.25">
      <c r="Y30191" s="63"/>
    </row>
    <row r="30192" spans="25:25" x14ac:dyDescent="0.25">
      <c r="Y30192" s="63"/>
    </row>
    <row r="30193" spans="25:25" x14ac:dyDescent="0.25">
      <c r="Y30193" s="63"/>
    </row>
    <row r="30194" spans="25:25" x14ac:dyDescent="0.25">
      <c r="Y30194" s="63"/>
    </row>
    <row r="30195" spans="25:25" x14ac:dyDescent="0.25">
      <c r="Y30195" s="63"/>
    </row>
    <row r="30196" spans="25:25" x14ac:dyDescent="0.25">
      <c r="Y30196" s="63"/>
    </row>
    <row r="30197" spans="25:25" x14ac:dyDescent="0.25">
      <c r="Y30197" s="63"/>
    </row>
    <row r="30198" spans="25:25" x14ac:dyDescent="0.25">
      <c r="Y30198" s="63"/>
    </row>
    <row r="30199" spans="25:25" x14ac:dyDescent="0.25">
      <c r="Y30199" s="63"/>
    </row>
    <row r="30200" spans="25:25" x14ac:dyDescent="0.25">
      <c r="Y30200" s="63"/>
    </row>
    <row r="30201" spans="25:25" x14ac:dyDescent="0.25">
      <c r="Y30201" s="63"/>
    </row>
    <row r="30202" spans="25:25" x14ac:dyDescent="0.25">
      <c r="Y30202" s="63"/>
    </row>
    <row r="30203" spans="25:25" x14ac:dyDescent="0.25">
      <c r="Y30203" s="63"/>
    </row>
    <row r="30204" spans="25:25" x14ac:dyDescent="0.25">
      <c r="Y30204" s="63"/>
    </row>
    <row r="30205" spans="25:25" x14ac:dyDescent="0.25">
      <c r="Y30205" s="63"/>
    </row>
    <row r="30206" spans="25:25" x14ac:dyDescent="0.25">
      <c r="Y30206" s="63"/>
    </row>
    <row r="30207" spans="25:25" x14ac:dyDescent="0.25">
      <c r="Y30207" s="63"/>
    </row>
    <row r="30208" spans="25:25" x14ac:dyDescent="0.25">
      <c r="Y30208" s="63"/>
    </row>
    <row r="30209" spans="25:25" x14ac:dyDescent="0.25">
      <c r="Y30209" s="63"/>
    </row>
    <row r="30210" spans="25:25" x14ac:dyDescent="0.25">
      <c r="Y30210" s="63"/>
    </row>
    <row r="30211" spans="25:25" x14ac:dyDescent="0.25">
      <c r="Y30211" s="63"/>
    </row>
    <row r="30212" spans="25:25" x14ac:dyDescent="0.25">
      <c r="Y30212" s="63"/>
    </row>
    <row r="30213" spans="25:25" x14ac:dyDescent="0.25">
      <c r="Y30213" s="63"/>
    </row>
    <row r="30214" spans="25:25" x14ac:dyDescent="0.25">
      <c r="Y30214" s="63"/>
    </row>
    <row r="30215" spans="25:25" x14ac:dyDescent="0.25">
      <c r="Y30215" s="63"/>
    </row>
    <row r="30216" spans="25:25" x14ac:dyDescent="0.25">
      <c r="Y30216" s="63"/>
    </row>
    <row r="30217" spans="25:25" x14ac:dyDescent="0.25">
      <c r="Y30217" s="63"/>
    </row>
    <row r="30218" spans="25:25" x14ac:dyDescent="0.25">
      <c r="Y30218" s="63"/>
    </row>
    <row r="30219" spans="25:25" x14ac:dyDescent="0.25">
      <c r="Y30219" s="63"/>
    </row>
    <row r="30220" spans="25:25" x14ac:dyDescent="0.25">
      <c r="Y30220" s="63"/>
    </row>
    <row r="30221" spans="25:25" x14ac:dyDescent="0.25">
      <c r="Y30221" s="63"/>
    </row>
    <row r="30222" spans="25:25" x14ac:dyDescent="0.25">
      <c r="Y30222" s="63"/>
    </row>
    <row r="30223" spans="25:25" x14ac:dyDescent="0.25">
      <c r="Y30223" s="63"/>
    </row>
    <row r="30224" spans="25:25" x14ac:dyDescent="0.25">
      <c r="Y30224" s="63"/>
    </row>
    <row r="30225" spans="25:25" x14ac:dyDescent="0.25">
      <c r="Y30225" s="63"/>
    </row>
    <row r="30226" spans="25:25" x14ac:dyDescent="0.25">
      <c r="Y30226" s="63"/>
    </row>
    <row r="30227" spans="25:25" x14ac:dyDescent="0.25">
      <c r="Y30227" s="63"/>
    </row>
    <row r="30228" spans="25:25" x14ac:dyDescent="0.25">
      <c r="Y30228" s="63"/>
    </row>
    <row r="30229" spans="25:25" x14ac:dyDescent="0.25">
      <c r="Y30229" s="63"/>
    </row>
    <row r="30230" spans="25:25" x14ac:dyDescent="0.25">
      <c r="Y30230" s="63"/>
    </row>
    <row r="30231" spans="25:25" x14ac:dyDescent="0.25">
      <c r="Y30231" s="63"/>
    </row>
    <row r="30232" spans="25:25" x14ac:dyDescent="0.25">
      <c r="Y30232" s="63"/>
    </row>
    <row r="30233" spans="25:25" x14ac:dyDescent="0.25">
      <c r="Y30233" s="63"/>
    </row>
    <row r="30234" spans="25:25" x14ac:dyDescent="0.25">
      <c r="Y30234" s="63"/>
    </row>
    <row r="30235" spans="25:25" x14ac:dyDescent="0.25">
      <c r="Y30235" s="63"/>
    </row>
    <row r="30236" spans="25:25" x14ac:dyDescent="0.25">
      <c r="Y30236" s="63"/>
    </row>
    <row r="30237" spans="25:25" x14ac:dyDescent="0.25">
      <c r="Y30237" s="63"/>
    </row>
    <row r="30238" spans="25:25" x14ac:dyDescent="0.25">
      <c r="Y30238" s="63"/>
    </row>
    <row r="30239" spans="25:25" x14ac:dyDescent="0.25">
      <c r="Y30239" s="63"/>
    </row>
    <row r="30240" spans="25:25" x14ac:dyDescent="0.25">
      <c r="Y30240" s="63"/>
    </row>
    <row r="30241" spans="25:25" x14ac:dyDescent="0.25">
      <c r="Y30241" s="63"/>
    </row>
    <row r="30242" spans="25:25" x14ac:dyDescent="0.25">
      <c r="Y30242" s="63"/>
    </row>
    <row r="30243" spans="25:25" x14ac:dyDescent="0.25">
      <c r="Y30243" s="63"/>
    </row>
    <row r="30244" spans="25:25" x14ac:dyDescent="0.25">
      <c r="Y30244" s="63"/>
    </row>
    <row r="30245" spans="25:25" x14ac:dyDescent="0.25">
      <c r="Y30245" s="63"/>
    </row>
    <row r="30246" spans="25:25" x14ac:dyDescent="0.25">
      <c r="Y30246" s="63"/>
    </row>
    <row r="30247" spans="25:25" x14ac:dyDescent="0.25">
      <c r="Y30247" s="63"/>
    </row>
    <row r="30248" spans="25:25" x14ac:dyDescent="0.25">
      <c r="Y30248" s="63"/>
    </row>
    <row r="30249" spans="25:25" x14ac:dyDescent="0.25">
      <c r="Y30249" s="63"/>
    </row>
    <row r="30250" spans="25:25" x14ac:dyDescent="0.25">
      <c r="Y30250" s="63"/>
    </row>
    <row r="30251" spans="25:25" x14ac:dyDescent="0.25">
      <c r="Y30251" s="63"/>
    </row>
    <row r="30252" spans="25:25" x14ac:dyDescent="0.25">
      <c r="Y30252" s="63"/>
    </row>
    <row r="30253" spans="25:25" x14ac:dyDescent="0.25">
      <c r="Y30253" s="63"/>
    </row>
    <row r="30254" spans="25:25" x14ac:dyDescent="0.25">
      <c r="Y30254" s="63"/>
    </row>
    <row r="30255" spans="25:25" x14ac:dyDescent="0.25">
      <c r="Y30255" s="63"/>
    </row>
    <row r="30256" spans="25:25" x14ac:dyDescent="0.25">
      <c r="Y30256" s="63"/>
    </row>
    <row r="30257" spans="25:25" x14ac:dyDescent="0.25">
      <c r="Y30257" s="63"/>
    </row>
    <row r="30258" spans="25:25" x14ac:dyDescent="0.25">
      <c r="Y30258" s="63"/>
    </row>
    <row r="30259" spans="25:25" x14ac:dyDescent="0.25">
      <c r="Y30259" s="63"/>
    </row>
    <row r="30260" spans="25:25" x14ac:dyDescent="0.25">
      <c r="Y30260" s="63"/>
    </row>
    <row r="30261" spans="25:25" x14ac:dyDescent="0.25">
      <c r="Y30261" s="63"/>
    </row>
    <row r="30262" spans="25:25" x14ac:dyDescent="0.25">
      <c r="Y30262" s="63"/>
    </row>
    <row r="30263" spans="25:25" x14ac:dyDescent="0.25">
      <c r="Y30263" s="63"/>
    </row>
    <row r="30264" spans="25:25" x14ac:dyDescent="0.25">
      <c r="Y30264" s="63"/>
    </row>
    <row r="30265" spans="25:25" x14ac:dyDescent="0.25">
      <c r="Y30265" s="63"/>
    </row>
    <row r="30266" spans="25:25" x14ac:dyDescent="0.25">
      <c r="Y30266" s="63"/>
    </row>
    <row r="30267" spans="25:25" x14ac:dyDescent="0.25">
      <c r="Y30267" s="63"/>
    </row>
    <row r="30268" spans="25:25" x14ac:dyDescent="0.25">
      <c r="Y30268" s="63"/>
    </row>
    <row r="30269" spans="25:25" x14ac:dyDescent="0.25">
      <c r="Y30269" s="63"/>
    </row>
    <row r="30270" spans="25:25" x14ac:dyDescent="0.25">
      <c r="Y30270" s="63"/>
    </row>
    <row r="30271" spans="25:25" x14ac:dyDescent="0.25">
      <c r="Y30271" s="63"/>
    </row>
    <row r="30272" spans="25:25" x14ac:dyDescent="0.25">
      <c r="Y30272" s="63"/>
    </row>
    <row r="30273" spans="25:25" x14ac:dyDescent="0.25">
      <c r="Y30273" s="63"/>
    </row>
    <row r="30274" spans="25:25" x14ac:dyDescent="0.25">
      <c r="Y30274" s="63"/>
    </row>
    <row r="30275" spans="25:25" x14ac:dyDescent="0.25">
      <c r="Y30275" s="63"/>
    </row>
    <row r="30276" spans="25:25" x14ac:dyDescent="0.25">
      <c r="Y30276" s="63"/>
    </row>
    <row r="30277" spans="25:25" x14ac:dyDescent="0.25">
      <c r="Y30277" s="63"/>
    </row>
    <row r="30278" spans="25:25" x14ac:dyDescent="0.25">
      <c r="Y30278" s="63"/>
    </row>
    <row r="30279" spans="25:25" x14ac:dyDescent="0.25">
      <c r="Y30279" s="63"/>
    </row>
    <row r="30280" spans="25:25" x14ac:dyDescent="0.25">
      <c r="Y30280" s="63"/>
    </row>
    <row r="30281" spans="25:25" x14ac:dyDescent="0.25">
      <c r="Y30281" s="63"/>
    </row>
    <row r="30282" spans="25:25" x14ac:dyDescent="0.25">
      <c r="Y30282" s="63"/>
    </row>
    <row r="30283" spans="25:25" x14ac:dyDescent="0.25">
      <c r="Y30283" s="63"/>
    </row>
    <row r="30284" spans="25:25" x14ac:dyDescent="0.25">
      <c r="Y30284" s="63"/>
    </row>
    <row r="30285" spans="25:25" x14ac:dyDescent="0.25">
      <c r="Y30285" s="63"/>
    </row>
    <row r="30286" spans="25:25" x14ac:dyDescent="0.25">
      <c r="Y30286" s="63"/>
    </row>
    <row r="30287" spans="25:25" x14ac:dyDescent="0.25">
      <c r="Y30287" s="63"/>
    </row>
    <row r="30288" spans="25:25" x14ac:dyDescent="0.25">
      <c r="Y30288" s="63"/>
    </row>
    <row r="30289" spans="25:25" x14ac:dyDescent="0.25">
      <c r="Y30289" s="63"/>
    </row>
    <row r="30290" spans="25:25" x14ac:dyDescent="0.25">
      <c r="Y30290" s="63"/>
    </row>
    <row r="30291" spans="25:25" x14ac:dyDescent="0.25">
      <c r="Y30291" s="63"/>
    </row>
    <row r="30292" spans="25:25" x14ac:dyDescent="0.25">
      <c r="Y30292" s="63"/>
    </row>
    <row r="30293" spans="25:25" x14ac:dyDescent="0.25">
      <c r="Y30293" s="63"/>
    </row>
    <row r="30294" spans="25:25" x14ac:dyDescent="0.25">
      <c r="Y30294" s="63"/>
    </row>
    <row r="30295" spans="25:25" x14ac:dyDescent="0.25">
      <c r="Y30295" s="63"/>
    </row>
    <row r="30296" spans="25:25" x14ac:dyDescent="0.25">
      <c r="Y30296" s="63"/>
    </row>
    <row r="30297" spans="25:25" x14ac:dyDescent="0.25">
      <c r="Y30297" s="63"/>
    </row>
    <row r="30298" spans="25:25" x14ac:dyDescent="0.25">
      <c r="Y30298" s="63"/>
    </row>
    <row r="30299" spans="25:25" x14ac:dyDescent="0.25">
      <c r="Y30299" s="63"/>
    </row>
    <row r="30300" spans="25:25" x14ac:dyDescent="0.25">
      <c r="Y30300" s="63"/>
    </row>
    <row r="30301" spans="25:25" x14ac:dyDescent="0.25">
      <c r="Y30301" s="63"/>
    </row>
    <row r="30302" spans="25:25" x14ac:dyDescent="0.25">
      <c r="Y30302" s="63"/>
    </row>
    <row r="30303" spans="25:25" x14ac:dyDescent="0.25">
      <c r="Y30303" s="63"/>
    </row>
    <row r="30304" spans="25:25" x14ac:dyDescent="0.25">
      <c r="Y30304" s="63"/>
    </row>
    <row r="30305" spans="25:25" x14ac:dyDescent="0.25">
      <c r="Y30305" s="63"/>
    </row>
    <row r="30306" spans="25:25" x14ac:dyDescent="0.25">
      <c r="Y30306" s="63"/>
    </row>
    <row r="30307" spans="25:25" x14ac:dyDescent="0.25">
      <c r="Y30307" s="63"/>
    </row>
    <row r="30308" spans="25:25" x14ac:dyDescent="0.25">
      <c r="Y30308" s="63"/>
    </row>
    <row r="30309" spans="25:25" x14ac:dyDescent="0.25">
      <c r="Y30309" s="63"/>
    </row>
    <row r="30310" spans="25:25" x14ac:dyDescent="0.25">
      <c r="Y30310" s="63"/>
    </row>
    <row r="30311" spans="25:25" x14ac:dyDescent="0.25">
      <c r="Y30311" s="63"/>
    </row>
    <row r="30312" spans="25:25" x14ac:dyDescent="0.25">
      <c r="Y30312" s="63"/>
    </row>
    <row r="30313" spans="25:25" x14ac:dyDescent="0.25">
      <c r="Y30313" s="63"/>
    </row>
    <row r="30314" spans="25:25" x14ac:dyDescent="0.25">
      <c r="Y30314" s="63"/>
    </row>
    <row r="30315" spans="25:25" x14ac:dyDescent="0.25">
      <c r="Y30315" s="63"/>
    </row>
    <row r="30316" spans="25:25" x14ac:dyDescent="0.25">
      <c r="Y30316" s="63"/>
    </row>
    <row r="30317" spans="25:25" x14ac:dyDescent="0.25">
      <c r="Y30317" s="63"/>
    </row>
    <row r="30318" spans="25:25" x14ac:dyDescent="0.25">
      <c r="Y30318" s="63"/>
    </row>
    <row r="30319" spans="25:25" x14ac:dyDescent="0.25">
      <c r="Y30319" s="63"/>
    </row>
    <row r="30320" spans="25:25" x14ac:dyDescent="0.25">
      <c r="Y30320" s="63"/>
    </row>
    <row r="30321" spans="25:25" x14ac:dyDescent="0.25">
      <c r="Y30321" s="63"/>
    </row>
    <row r="30322" spans="25:25" x14ac:dyDescent="0.25">
      <c r="Y30322" s="63"/>
    </row>
    <row r="30323" spans="25:25" x14ac:dyDescent="0.25">
      <c r="Y30323" s="63"/>
    </row>
    <row r="30324" spans="25:25" x14ac:dyDescent="0.25">
      <c r="Y30324" s="63"/>
    </row>
    <row r="30325" spans="25:25" x14ac:dyDescent="0.25">
      <c r="Y30325" s="63"/>
    </row>
    <row r="30326" spans="25:25" x14ac:dyDescent="0.25">
      <c r="Y30326" s="63"/>
    </row>
    <row r="30327" spans="25:25" x14ac:dyDescent="0.25">
      <c r="Y30327" s="63"/>
    </row>
    <row r="30328" spans="25:25" x14ac:dyDescent="0.25">
      <c r="Y30328" s="63"/>
    </row>
    <row r="30329" spans="25:25" x14ac:dyDescent="0.25">
      <c r="Y30329" s="63"/>
    </row>
    <row r="30330" spans="25:25" x14ac:dyDescent="0.25">
      <c r="Y30330" s="63"/>
    </row>
    <row r="30331" spans="25:25" x14ac:dyDescent="0.25">
      <c r="Y30331" s="63"/>
    </row>
    <row r="30332" spans="25:25" x14ac:dyDescent="0.25">
      <c r="Y30332" s="63"/>
    </row>
    <row r="30333" spans="25:25" x14ac:dyDescent="0.25">
      <c r="Y30333" s="63"/>
    </row>
    <row r="30334" spans="25:25" x14ac:dyDescent="0.25">
      <c r="Y30334" s="63"/>
    </row>
    <row r="30335" spans="25:25" x14ac:dyDescent="0.25">
      <c r="Y30335" s="63"/>
    </row>
    <row r="30336" spans="25:25" x14ac:dyDescent="0.25">
      <c r="Y30336" s="63"/>
    </row>
    <row r="30337" spans="25:25" x14ac:dyDescent="0.25">
      <c r="Y30337" s="63"/>
    </row>
    <row r="30338" spans="25:25" x14ac:dyDescent="0.25">
      <c r="Y30338" s="63"/>
    </row>
    <row r="30339" spans="25:25" x14ac:dyDescent="0.25">
      <c r="Y30339" s="63"/>
    </row>
    <row r="30340" spans="25:25" x14ac:dyDescent="0.25">
      <c r="Y30340" s="63"/>
    </row>
    <row r="30341" spans="25:25" x14ac:dyDescent="0.25">
      <c r="Y30341" s="63"/>
    </row>
    <row r="30342" spans="25:25" x14ac:dyDescent="0.25">
      <c r="Y30342" s="63"/>
    </row>
    <row r="30343" spans="25:25" x14ac:dyDescent="0.25">
      <c r="Y30343" s="63"/>
    </row>
    <row r="30344" spans="25:25" x14ac:dyDescent="0.25">
      <c r="Y30344" s="63"/>
    </row>
    <row r="30345" spans="25:25" x14ac:dyDescent="0.25">
      <c r="Y30345" s="63"/>
    </row>
    <row r="30346" spans="25:25" x14ac:dyDescent="0.25">
      <c r="Y30346" s="63"/>
    </row>
    <row r="30347" spans="25:25" x14ac:dyDescent="0.25">
      <c r="Y30347" s="63"/>
    </row>
    <row r="30348" spans="25:25" x14ac:dyDescent="0.25">
      <c r="Y30348" s="63"/>
    </row>
    <row r="30349" spans="25:25" x14ac:dyDescent="0.25">
      <c r="Y30349" s="63"/>
    </row>
    <row r="30350" spans="25:25" x14ac:dyDescent="0.25">
      <c r="Y30350" s="63"/>
    </row>
    <row r="30351" spans="25:25" x14ac:dyDescent="0.25">
      <c r="Y30351" s="63"/>
    </row>
    <row r="30352" spans="25:25" x14ac:dyDescent="0.25">
      <c r="Y30352" s="63"/>
    </row>
    <row r="30353" spans="25:25" x14ac:dyDescent="0.25">
      <c r="Y30353" s="63"/>
    </row>
    <row r="30354" spans="25:25" x14ac:dyDescent="0.25">
      <c r="Y30354" s="63"/>
    </row>
    <row r="30355" spans="25:25" x14ac:dyDescent="0.25">
      <c r="Y30355" s="63"/>
    </row>
    <row r="30356" spans="25:25" x14ac:dyDescent="0.25">
      <c r="Y30356" s="63"/>
    </row>
    <row r="30357" spans="25:25" x14ac:dyDescent="0.25">
      <c r="Y30357" s="63"/>
    </row>
    <row r="30358" spans="25:25" x14ac:dyDescent="0.25">
      <c r="Y30358" s="63"/>
    </row>
    <row r="30359" spans="25:25" x14ac:dyDescent="0.25">
      <c r="Y30359" s="63"/>
    </row>
    <row r="30360" spans="25:25" x14ac:dyDescent="0.25">
      <c r="Y30360" s="63"/>
    </row>
    <row r="30361" spans="25:25" x14ac:dyDescent="0.25">
      <c r="Y30361" s="63"/>
    </row>
    <row r="30362" spans="25:25" x14ac:dyDescent="0.25">
      <c r="Y30362" s="63"/>
    </row>
    <row r="30363" spans="25:25" x14ac:dyDescent="0.25">
      <c r="Y30363" s="63"/>
    </row>
    <row r="30364" spans="25:25" x14ac:dyDescent="0.25">
      <c r="Y30364" s="63"/>
    </row>
    <row r="30365" spans="25:25" x14ac:dyDescent="0.25">
      <c r="Y30365" s="63"/>
    </row>
    <row r="30366" spans="25:25" x14ac:dyDescent="0.25">
      <c r="Y30366" s="63"/>
    </row>
    <row r="30367" spans="25:25" x14ac:dyDescent="0.25">
      <c r="Y30367" s="63"/>
    </row>
    <row r="30368" spans="25:25" x14ac:dyDescent="0.25">
      <c r="Y30368" s="63"/>
    </row>
    <row r="30369" spans="25:25" x14ac:dyDescent="0.25">
      <c r="Y30369" s="63"/>
    </row>
    <row r="30370" spans="25:25" x14ac:dyDescent="0.25">
      <c r="Y30370" s="63"/>
    </row>
    <row r="30371" spans="25:25" x14ac:dyDescent="0.25">
      <c r="Y30371" s="63"/>
    </row>
    <row r="30372" spans="25:25" x14ac:dyDescent="0.25">
      <c r="Y30372" s="63"/>
    </row>
    <row r="30373" spans="25:25" x14ac:dyDescent="0.25">
      <c r="Y30373" s="63"/>
    </row>
    <row r="30374" spans="25:25" x14ac:dyDescent="0.25">
      <c r="Y30374" s="63"/>
    </row>
    <row r="30375" spans="25:25" x14ac:dyDescent="0.25">
      <c r="Y30375" s="63"/>
    </row>
    <row r="30376" spans="25:25" x14ac:dyDescent="0.25">
      <c r="Y30376" s="63"/>
    </row>
    <row r="30377" spans="25:25" x14ac:dyDescent="0.25">
      <c r="Y30377" s="63"/>
    </row>
    <row r="30378" spans="25:25" x14ac:dyDescent="0.25">
      <c r="Y30378" s="63"/>
    </row>
    <row r="30379" spans="25:25" x14ac:dyDescent="0.25">
      <c r="Y30379" s="63"/>
    </row>
    <row r="30380" spans="25:25" x14ac:dyDescent="0.25">
      <c r="Y30380" s="63"/>
    </row>
    <row r="30381" spans="25:25" x14ac:dyDescent="0.25">
      <c r="Y30381" s="63"/>
    </row>
    <row r="30382" spans="25:25" x14ac:dyDescent="0.25">
      <c r="Y30382" s="63"/>
    </row>
    <row r="30383" spans="25:25" x14ac:dyDescent="0.25">
      <c r="Y30383" s="63"/>
    </row>
    <row r="30384" spans="25:25" x14ac:dyDescent="0.25">
      <c r="Y30384" s="63"/>
    </row>
    <row r="30385" spans="25:25" x14ac:dyDescent="0.25">
      <c r="Y30385" s="63"/>
    </row>
    <row r="30386" spans="25:25" x14ac:dyDescent="0.25">
      <c r="Y30386" s="63"/>
    </row>
    <row r="30387" spans="25:25" x14ac:dyDescent="0.25">
      <c r="Y30387" s="63"/>
    </row>
    <row r="30388" spans="25:25" x14ac:dyDescent="0.25">
      <c r="Y30388" s="63"/>
    </row>
    <row r="30389" spans="25:25" x14ac:dyDescent="0.25">
      <c r="Y30389" s="63"/>
    </row>
    <row r="30390" spans="25:25" x14ac:dyDescent="0.25">
      <c r="Y30390" s="63"/>
    </row>
    <row r="30391" spans="25:25" x14ac:dyDescent="0.25">
      <c r="Y30391" s="63"/>
    </row>
    <row r="30392" spans="25:25" x14ac:dyDescent="0.25">
      <c r="Y30392" s="63"/>
    </row>
    <row r="30393" spans="25:25" x14ac:dyDescent="0.25">
      <c r="Y30393" s="63"/>
    </row>
    <row r="30394" spans="25:25" x14ac:dyDescent="0.25">
      <c r="Y30394" s="63"/>
    </row>
    <row r="30395" spans="25:25" x14ac:dyDescent="0.25">
      <c r="Y30395" s="63"/>
    </row>
    <row r="30396" spans="25:25" x14ac:dyDescent="0.25">
      <c r="Y30396" s="63"/>
    </row>
    <row r="30397" spans="25:25" x14ac:dyDescent="0.25">
      <c r="Y30397" s="63"/>
    </row>
    <row r="30398" spans="25:25" x14ac:dyDescent="0.25">
      <c r="Y30398" s="63"/>
    </row>
    <row r="30399" spans="25:25" x14ac:dyDescent="0.25">
      <c r="Y30399" s="63"/>
    </row>
    <row r="30400" spans="25:25" x14ac:dyDescent="0.25">
      <c r="Y30400" s="63"/>
    </row>
    <row r="30401" spans="25:25" x14ac:dyDescent="0.25">
      <c r="Y30401" s="63"/>
    </row>
    <row r="30402" spans="25:25" x14ac:dyDescent="0.25">
      <c r="Y30402" s="63"/>
    </row>
    <row r="30403" spans="25:25" x14ac:dyDescent="0.25">
      <c r="Y30403" s="63"/>
    </row>
    <row r="30404" spans="25:25" x14ac:dyDescent="0.25">
      <c r="Y30404" s="63"/>
    </row>
    <row r="30405" spans="25:25" x14ac:dyDescent="0.25">
      <c r="Y30405" s="63"/>
    </row>
    <row r="30406" spans="25:25" x14ac:dyDescent="0.25">
      <c r="Y30406" s="63"/>
    </row>
    <row r="30407" spans="25:25" x14ac:dyDescent="0.25">
      <c r="Y30407" s="63"/>
    </row>
    <row r="30408" spans="25:25" x14ac:dyDescent="0.25">
      <c r="Y30408" s="63"/>
    </row>
    <row r="30409" spans="25:25" x14ac:dyDescent="0.25">
      <c r="Y30409" s="63"/>
    </row>
    <row r="30410" spans="25:25" x14ac:dyDescent="0.25">
      <c r="Y30410" s="63"/>
    </row>
    <row r="30411" spans="25:25" x14ac:dyDescent="0.25">
      <c r="Y30411" s="63"/>
    </row>
    <row r="30412" spans="25:25" x14ac:dyDescent="0.25">
      <c r="Y30412" s="63"/>
    </row>
    <row r="30413" spans="25:25" x14ac:dyDescent="0.25">
      <c r="Y30413" s="63"/>
    </row>
    <row r="30414" spans="25:25" x14ac:dyDescent="0.25">
      <c r="Y30414" s="63"/>
    </row>
    <row r="30415" spans="25:25" x14ac:dyDescent="0.25">
      <c r="Y30415" s="63"/>
    </row>
    <row r="30416" spans="25:25" x14ac:dyDescent="0.25">
      <c r="Y30416" s="63"/>
    </row>
    <row r="30417" spans="25:25" x14ac:dyDescent="0.25">
      <c r="Y30417" s="63"/>
    </row>
    <row r="30418" spans="25:25" x14ac:dyDescent="0.25">
      <c r="Y30418" s="63"/>
    </row>
    <row r="30419" spans="25:25" x14ac:dyDescent="0.25">
      <c r="Y30419" s="63"/>
    </row>
    <row r="30420" spans="25:25" x14ac:dyDescent="0.25">
      <c r="Y30420" s="63"/>
    </row>
    <row r="30421" spans="25:25" x14ac:dyDescent="0.25">
      <c r="Y30421" s="63"/>
    </row>
    <row r="30422" spans="25:25" x14ac:dyDescent="0.25">
      <c r="Y30422" s="63"/>
    </row>
    <row r="30423" spans="25:25" x14ac:dyDescent="0.25">
      <c r="Y30423" s="63"/>
    </row>
    <row r="30424" spans="25:25" x14ac:dyDescent="0.25">
      <c r="Y30424" s="63"/>
    </row>
    <row r="30425" spans="25:25" x14ac:dyDescent="0.25">
      <c r="Y30425" s="63"/>
    </row>
    <row r="30426" spans="25:25" x14ac:dyDescent="0.25">
      <c r="Y30426" s="63"/>
    </row>
    <row r="30427" spans="25:25" x14ac:dyDescent="0.25">
      <c r="Y30427" s="63"/>
    </row>
    <row r="30428" spans="25:25" x14ac:dyDescent="0.25">
      <c r="Y30428" s="63"/>
    </row>
    <row r="30429" spans="25:25" x14ac:dyDescent="0.25">
      <c r="Y30429" s="63"/>
    </row>
    <row r="30430" spans="25:25" x14ac:dyDescent="0.25">
      <c r="Y30430" s="63"/>
    </row>
    <row r="30431" spans="25:25" x14ac:dyDescent="0.25">
      <c r="Y30431" s="63"/>
    </row>
    <row r="30432" spans="25:25" x14ac:dyDescent="0.25">
      <c r="Y30432" s="63"/>
    </row>
    <row r="30433" spans="25:25" x14ac:dyDescent="0.25">
      <c r="Y30433" s="63"/>
    </row>
    <row r="30434" spans="25:25" x14ac:dyDescent="0.25">
      <c r="Y30434" s="63"/>
    </row>
    <row r="30435" spans="25:25" x14ac:dyDescent="0.25">
      <c r="Y30435" s="63"/>
    </row>
    <row r="30436" spans="25:25" x14ac:dyDescent="0.25">
      <c r="Y30436" s="63"/>
    </row>
    <row r="30437" spans="25:25" x14ac:dyDescent="0.25">
      <c r="Y30437" s="63"/>
    </row>
    <row r="30438" spans="25:25" x14ac:dyDescent="0.25">
      <c r="Y30438" s="63"/>
    </row>
    <row r="30439" spans="25:25" x14ac:dyDescent="0.25">
      <c r="Y30439" s="63"/>
    </row>
    <row r="30440" spans="25:25" x14ac:dyDescent="0.25">
      <c r="Y30440" s="63"/>
    </row>
    <row r="30441" spans="25:25" x14ac:dyDescent="0.25">
      <c r="Y30441" s="63"/>
    </row>
    <row r="30442" spans="25:25" x14ac:dyDescent="0.25">
      <c r="Y30442" s="63"/>
    </row>
    <row r="30443" spans="25:25" x14ac:dyDescent="0.25">
      <c r="Y30443" s="63"/>
    </row>
    <row r="30444" spans="25:25" x14ac:dyDescent="0.25">
      <c r="Y30444" s="63"/>
    </row>
    <row r="30445" spans="25:25" x14ac:dyDescent="0.25">
      <c r="Y30445" s="63"/>
    </row>
    <row r="30446" spans="25:25" x14ac:dyDescent="0.25">
      <c r="Y30446" s="63"/>
    </row>
    <row r="30447" spans="25:25" x14ac:dyDescent="0.25">
      <c r="Y30447" s="63"/>
    </row>
    <row r="30448" spans="25:25" x14ac:dyDescent="0.25">
      <c r="Y30448" s="63"/>
    </row>
    <row r="30449" spans="25:25" x14ac:dyDescent="0.25">
      <c r="Y30449" s="63"/>
    </row>
    <row r="30450" spans="25:25" x14ac:dyDescent="0.25">
      <c r="Y30450" s="63"/>
    </row>
    <row r="30451" spans="25:25" x14ac:dyDescent="0.25">
      <c r="Y30451" s="63"/>
    </row>
    <row r="30452" spans="25:25" x14ac:dyDescent="0.25">
      <c r="Y30452" s="63"/>
    </row>
    <row r="30453" spans="25:25" x14ac:dyDescent="0.25">
      <c r="Y30453" s="63"/>
    </row>
    <row r="30454" spans="25:25" x14ac:dyDescent="0.25">
      <c r="Y30454" s="63"/>
    </row>
    <row r="30455" spans="25:25" x14ac:dyDescent="0.25">
      <c r="Y30455" s="63"/>
    </row>
    <row r="30456" spans="25:25" x14ac:dyDescent="0.25">
      <c r="Y30456" s="63"/>
    </row>
    <row r="30457" spans="25:25" x14ac:dyDescent="0.25">
      <c r="Y30457" s="63"/>
    </row>
    <row r="30458" spans="25:25" x14ac:dyDescent="0.25">
      <c r="Y30458" s="63"/>
    </row>
    <row r="30459" spans="25:25" x14ac:dyDescent="0.25">
      <c r="Y30459" s="63"/>
    </row>
    <row r="30460" spans="25:25" x14ac:dyDescent="0.25">
      <c r="Y30460" s="63"/>
    </row>
    <row r="30461" spans="25:25" x14ac:dyDescent="0.25">
      <c r="Y30461" s="63"/>
    </row>
    <row r="30462" spans="25:25" x14ac:dyDescent="0.25">
      <c r="Y30462" s="63"/>
    </row>
    <row r="30463" spans="25:25" x14ac:dyDescent="0.25">
      <c r="Y30463" s="63"/>
    </row>
    <row r="30464" spans="25:25" x14ac:dyDescent="0.25">
      <c r="Y30464" s="63"/>
    </row>
    <row r="30465" spans="25:25" x14ac:dyDescent="0.25">
      <c r="Y30465" s="63"/>
    </row>
    <row r="30466" spans="25:25" x14ac:dyDescent="0.25">
      <c r="Y30466" s="63"/>
    </row>
    <row r="30467" spans="25:25" x14ac:dyDescent="0.25">
      <c r="Y30467" s="63"/>
    </row>
    <row r="30468" spans="25:25" x14ac:dyDescent="0.25">
      <c r="Y30468" s="63"/>
    </row>
    <row r="30469" spans="25:25" x14ac:dyDescent="0.25">
      <c r="Y30469" s="63"/>
    </row>
    <row r="30470" spans="25:25" x14ac:dyDescent="0.25">
      <c r="Y30470" s="63"/>
    </row>
    <row r="30471" spans="25:25" x14ac:dyDescent="0.25">
      <c r="Y30471" s="63"/>
    </row>
    <row r="30472" spans="25:25" x14ac:dyDescent="0.25">
      <c r="Y30472" s="63"/>
    </row>
    <row r="30473" spans="25:25" x14ac:dyDescent="0.25">
      <c r="Y30473" s="63"/>
    </row>
    <row r="30474" spans="25:25" x14ac:dyDescent="0.25">
      <c r="Y30474" s="63"/>
    </row>
    <row r="30475" spans="25:25" x14ac:dyDescent="0.25">
      <c r="Y30475" s="63"/>
    </row>
    <row r="30476" spans="25:25" x14ac:dyDescent="0.25">
      <c r="Y30476" s="63"/>
    </row>
    <row r="30477" spans="25:25" x14ac:dyDescent="0.25">
      <c r="Y30477" s="63"/>
    </row>
    <row r="30478" spans="25:25" x14ac:dyDescent="0.25">
      <c r="Y30478" s="63"/>
    </row>
    <row r="30479" spans="25:25" x14ac:dyDescent="0.25">
      <c r="Y30479" s="63"/>
    </row>
    <row r="30480" spans="25:25" x14ac:dyDescent="0.25">
      <c r="Y30480" s="63"/>
    </row>
    <row r="30481" spans="25:25" x14ac:dyDescent="0.25">
      <c r="Y30481" s="63"/>
    </row>
    <row r="30482" spans="25:25" x14ac:dyDescent="0.25">
      <c r="Y30482" s="63"/>
    </row>
    <row r="30483" spans="25:25" x14ac:dyDescent="0.25">
      <c r="Y30483" s="63"/>
    </row>
    <row r="30484" spans="25:25" x14ac:dyDescent="0.25">
      <c r="Y30484" s="63"/>
    </row>
    <row r="30485" spans="25:25" x14ac:dyDescent="0.25">
      <c r="Y30485" s="63"/>
    </row>
    <row r="30486" spans="25:25" x14ac:dyDescent="0.25">
      <c r="Y30486" s="63"/>
    </row>
    <row r="30487" spans="25:25" x14ac:dyDescent="0.25">
      <c r="Y30487" s="63"/>
    </row>
    <row r="30488" spans="25:25" x14ac:dyDescent="0.25">
      <c r="Y30488" s="63"/>
    </row>
    <row r="30489" spans="25:25" x14ac:dyDescent="0.25">
      <c r="Y30489" s="63"/>
    </row>
    <row r="30490" spans="25:25" x14ac:dyDescent="0.25">
      <c r="Y30490" s="63"/>
    </row>
    <row r="30491" spans="25:25" x14ac:dyDescent="0.25">
      <c r="Y30491" s="63"/>
    </row>
    <row r="30492" spans="25:25" x14ac:dyDescent="0.25">
      <c r="Y30492" s="63"/>
    </row>
    <row r="30493" spans="25:25" x14ac:dyDescent="0.25">
      <c r="Y30493" s="63"/>
    </row>
    <row r="30494" spans="25:25" x14ac:dyDescent="0.25">
      <c r="Y30494" s="63"/>
    </row>
    <row r="30495" spans="25:25" x14ac:dyDescent="0.25">
      <c r="Y30495" s="63"/>
    </row>
    <row r="30496" spans="25:25" x14ac:dyDescent="0.25">
      <c r="Y30496" s="63"/>
    </row>
    <row r="30497" spans="25:25" x14ac:dyDescent="0.25">
      <c r="Y30497" s="63"/>
    </row>
    <row r="30498" spans="25:25" x14ac:dyDescent="0.25">
      <c r="Y30498" s="63"/>
    </row>
    <row r="30499" spans="25:25" x14ac:dyDescent="0.25">
      <c r="Y30499" s="63"/>
    </row>
    <row r="30500" spans="25:25" x14ac:dyDescent="0.25">
      <c r="Y30500" s="63"/>
    </row>
    <row r="30501" spans="25:25" x14ac:dyDescent="0.25">
      <c r="Y30501" s="63"/>
    </row>
    <row r="30502" spans="25:25" x14ac:dyDescent="0.25">
      <c r="Y30502" s="63"/>
    </row>
    <row r="30503" spans="25:25" x14ac:dyDescent="0.25">
      <c r="Y30503" s="63"/>
    </row>
    <row r="30504" spans="25:25" x14ac:dyDescent="0.25">
      <c r="Y30504" s="63"/>
    </row>
    <row r="30505" spans="25:25" x14ac:dyDescent="0.25">
      <c r="Y30505" s="63"/>
    </row>
    <row r="30506" spans="25:25" x14ac:dyDescent="0.25">
      <c r="Y30506" s="63"/>
    </row>
    <row r="30507" spans="25:25" x14ac:dyDescent="0.25">
      <c r="Y30507" s="63"/>
    </row>
    <row r="30508" spans="25:25" x14ac:dyDescent="0.25">
      <c r="Y30508" s="63"/>
    </row>
    <row r="30509" spans="25:25" x14ac:dyDescent="0.25">
      <c r="Y30509" s="63"/>
    </row>
    <row r="30510" spans="25:25" x14ac:dyDescent="0.25">
      <c r="Y30510" s="63"/>
    </row>
    <row r="30511" spans="25:25" x14ac:dyDescent="0.25">
      <c r="Y30511" s="63"/>
    </row>
    <row r="30512" spans="25:25" x14ac:dyDescent="0.25">
      <c r="Y30512" s="63"/>
    </row>
    <row r="30513" spans="25:25" x14ac:dyDescent="0.25">
      <c r="Y30513" s="63"/>
    </row>
    <row r="30514" spans="25:25" x14ac:dyDescent="0.25">
      <c r="Y30514" s="63"/>
    </row>
    <row r="30515" spans="25:25" x14ac:dyDescent="0.25">
      <c r="Y30515" s="63"/>
    </row>
    <row r="30516" spans="25:25" x14ac:dyDescent="0.25">
      <c r="Y30516" s="63"/>
    </row>
    <row r="30517" spans="25:25" x14ac:dyDescent="0.25">
      <c r="Y30517" s="63"/>
    </row>
    <row r="30518" spans="25:25" x14ac:dyDescent="0.25">
      <c r="Y30518" s="63"/>
    </row>
    <row r="30519" spans="25:25" x14ac:dyDescent="0.25">
      <c r="Y30519" s="63"/>
    </row>
    <row r="30520" spans="25:25" x14ac:dyDescent="0.25">
      <c r="Y30520" s="63"/>
    </row>
    <row r="30521" spans="25:25" x14ac:dyDescent="0.25">
      <c r="Y30521" s="63"/>
    </row>
    <row r="30522" spans="25:25" x14ac:dyDescent="0.25">
      <c r="Y30522" s="63"/>
    </row>
    <row r="30523" spans="25:25" x14ac:dyDescent="0.25">
      <c r="Y30523" s="63"/>
    </row>
    <row r="30524" spans="25:25" x14ac:dyDescent="0.25">
      <c r="Y30524" s="63"/>
    </row>
    <row r="30525" spans="25:25" x14ac:dyDescent="0.25">
      <c r="Y30525" s="63"/>
    </row>
    <row r="30526" spans="25:25" x14ac:dyDescent="0.25">
      <c r="Y30526" s="63"/>
    </row>
    <row r="30527" spans="25:25" x14ac:dyDescent="0.25">
      <c r="Y30527" s="63"/>
    </row>
    <row r="30528" spans="25:25" x14ac:dyDescent="0.25">
      <c r="Y30528" s="63"/>
    </row>
    <row r="30529" spans="25:25" x14ac:dyDescent="0.25">
      <c r="Y30529" s="63"/>
    </row>
    <row r="30530" spans="25:25" x14ac:dyDescent="0.25">
      <c r="Y30530" s="63"/>
    </row>
    <row r="30531" spans="25:25" x14ac:dyDescent="0.25">
      <c r="Y30531" s="63"/>
    </row>
    <row r="30532" spans="25:25" x14ac:dyDescent="0.25">
      <c r="Y30532" s="63"/>
    </row>
    <row r="30533" spans="25:25" x14ac:dyDescent="0.25">
      <c r="Y30533" s="63"/>
    </row>
    <row r="30534" spans="25:25" x14ac:dyDescent="0.25">
      <c r="Y30534" s="63"/>
    </row>
    <row r="30535" spans="25:25" x14ac:dyDescent="0.25">
      <c r="Y30535" s="63"/>
    </row>
    <row r="30536" spans="25:25" x14ac:dyDescent="0.25">
      <c r="Y30536" s="63"/>
    </row>
    <row r="30537" spans="25:25" x14ac:dyDescent="0.25">
      <c r="Y30537" s="63"/>
    </row>
    <row r="30538" spans="25:25" x14ac:dyDescent="0.25">
      <c r="Y30538" s="63"/>
    </row>
    <row r="30539" spans="25:25" x14ac:dyDescent="0.25">
      <c r="Y30539" s="63"/>
    </row>
    <row r="30540" spans="25:25" x14ac:dyDescent="0.25">
      <c r="Y30540" s="63"/>
    </row>
    <row r="30541" spans="25:25" x14ac:dyDescent="0.25">
      <c r="Y30541" s="63"/>
    </row>
    <row r="30542" spans="25:25" x14ac:dyDescent="0.25">
      <c r="Y30542" s="63"/>
    </row>
    <row r="30543" spans="25:25" x14ac:dyDescent="0.25">
      <c r="Y30543" s="63"/>
    </row>
    <row r="30544" spans="25:25" x14ac:dyDescent="0.25">
      <c r="Y30544" s="63"/>
    </row>
    <row r="30545" spans="25:25" x14ac:dyDescent="0.25">
      <c r="Y30545" s="63"/>
    </row>
    <row r="30546" spans="25:25" x14ac:dyDescent="0.25">
      <c r="Y30546" s="63"/>
    </row>
    <row r="30547" spans="25:25" x14ac:dyDescent="0.25">
      <c r="Y30547" s="63"/>
    </row>
    <row r="30548" spans="25:25" x14ac:dyDescent="0.25">
      <c r="Y30548" s="63"/>
    </row>
    <row r="30549" spans="25:25" x14ac:dyDescent="0.25">
      <c r="Y30549" s="63"/>
    </row>
    <row r="30550" spans="25:25" x14ac:dyDescent="0.25">
      <c r="Y30550" s="63"/>
    </row>
    <row r="30551" spans="25:25" x14ac:dyDescent="0.25">
      <c r="Y30551" s="63"/>
    </row>
    <row r="30552" spans="25:25" x14ac:dyDescent="0.25">
      <c r="Y30552" s="63"/>
    </row>
    <row r="30553" spans="25:25" x14ac:dyDescent="0.25">
      <c r="Y30553" s="63"/>
    </row>
    <row r="30554" spans="25:25" x14ac:dyDescent="0.25">
      <c r="Y30554" s="63"/>
    </row>
    <row r="30555" spans="25:25" x14ac:dyDescent="0.25">
      <c r="Y30555" s="63"/>
    </row>
    <row r="30556" spans="25:25" x14ac:dyDescent="0.25">
      <c r="Y30556" s="63"/>
    </row>
    <row r="30557" spans="25:25" x14ac:dyDescent="0.25">
      <c r="Y30557" s="63"/>
    </row>
    <row r="30558" spans="25:25" x14ac:dyDescent="0.25">
      <c r="Y30558" s="63"/>
    </row>
    <row r="30559" spans="25:25" x14ac:dyDescent="0.25">
      <c r="Y30559" s="63"/>
    </row>
    <row r="30560" spans="25:25" x14ac:dyDescent="0.25">
      <c r="Y30560" s="63"/>
    </row>
    <row r="30561" spans="25:25" x14ac:dyDescent="0.25">
      <c r="Y30561" s="63"/>
    </row>
    <row r="30562" spans="25:25" x14ac:dyDescent="0.25">
      <c r="Y30562" s="63"/>
    </row>
    <row r="30563" spans="25:25" x14ac:dyDescent="0.25">
      <c r="Y30563" s="63"/>
    </row>
    <row r="30564" spans="25:25" x14ac:dyDescent="0.25">
      <c r="Y30564" s="63"/>
    </row>
    <row r="30565" spans="25:25" x14ac:dyDescent="0.25">
      <c r="Y30565" s="63"/>
    </row>
    <row r="30566" spans="25:25" x14ac:dyDescent="0.25">
      <c r="Y30566" s="63"/>
    </row>
    <row r="30567" spans="25:25" x14ac:dyDescent="0.25">
      <c r="Y30567" s="63"/>
    </row>
    <row r="30568" spans="25:25" x14ac:dyDescent="0.25">
      <c r="Y30568" s="63"/>
    </row>
    <row r="30569" spans="25:25" x14ac:dyDescent="0.25">
      <c r="Y30569" s="63"/>
    </row>
    <row r="30570" spans="25:25" x14ac:dyDescent="0.25">
      <c r="Y30570" s="63"/>
    </row>
    <row r="30571" spans="25:25" x14ac:dyDescent="0.25">
      <c r="Y30571" s="63"/>
    </row>
    <row r="30572" spans="25:25" x14ac:dyDescent="0.25">
      <c r="Y30572" s="63"/>
    </row>
    <row r="30573" spans="25:25" x14ac:dyDescent="0.25">
      <c r="Y30573" s="63"/>
    </row>
    <row r="30574" spans="25:25" x14ac:dyDescent="0.25">
      <c r="Y30574" s="63"/>
    </row>
    <row r="30575" spans="25:25" x14ac:dyDescent="0.25">
      <c r="Y30575" s="63"/>
    </row>
    <row r="30576" spans="25:25" x14ac:dyDescent="0.25">
      <c r="Y30576" s="63"/>
    </row>
    <row r="30577" spans="25:25" x14ac:dyDescent="0.25">
      <c r="Y30577" s="63"/>
    </row>
    <row r="30578" spans="25:25" x14ac:dyDescent="0.25">
      <c r="Y30578" s="63"/>
    </row>
    <row r="30579" spans="25:25" x14ac:dyDescent="0.25">
      <c r="Y30579" s="63"/>
    </row>
    <row r="30580" spans="25:25" x14ac:dyDescent="0.25">
      <c r="Y30580" s="63"/>
    </row>
    <row r="30581" spans="25:25" x14ac:dyDescent="0.25">
      <c r="Y30581" s="63"/>
    </row>
    <row r="30582" spans="25:25" x14ac:dyDescent="0.25">
      <c r="Y30582" s="63"/>
    </row>
    <row r="30583" spans="25:25" x14ac:dyDescent="0.25">
      <c r="Y30583" s="63"/>
    </row>
    <row r="30584" spans="25:25" x14ac:dyDescent="0.25">
      <c r="Y30584" s="63"/>
    </row>
    <row r="30585" spans="25:25" x14ac:dyDescent="0.25">
      <c r="Y30585" s="63"/>
    </row>
    <row r="30586" spans="25:25" x14ac:dyDescent="0.25">
      <c r="Y30586" s="63"/>
    </row>
    <row r="30587" spans="25:25" x14ac:dyDescent="0.25">
      <c r="Y30587" s="63"/>
    </row>
    <row r="30588" spans="25:25" x14ac:dyDescent="0.25">
      <c r="Y30588" s="63"/>
    </row>
    <row r="30589" spans="25:25" x14ac:dyDescent="0.25">
      <c r="Y30589" s="63"/>
    </row>
    <row r="30590" spans="25:25" x14ac:dyDescent="0.25">
      <c r="Y30590" s="63"/>
    </row>
    <row r="30591" spans="25:25" x14ac:dyDescent="0.25">
      <c r="Y30591" s="63"/>
    </row>
    <row r="30592" spans="25:25" x14ac:dyDescent="0.25">
      <c r="Y30592" s="63"/>
    </row>
    <row r="30593" spans="25:25" x14ac:dyDescent="0.25">
      <c r="Y30593" s="63"/>
    </row>
    <row r="30594" spans="25:25" x14ac:dyDescent="0.25">
      <c r="Y30594" s="63"/>
    </row>
    <row r="30595" spans="25:25" x14ac:dyDescent="0.25">
      <c r="Y30595" s="63"/>
    </row>
    <row r="30596" spans="25:25" x14ac:dyDescent="0.25">
      <c r="Y30596" s="63"/>
    </row>
    <row r="30597" spans="25:25" x14ac:dyDescent="0.25">
      <c r="Y30597" s="63"/>
    </row>
    <row r="30598" spans="25:25" x14ac:dyDescent="0.25">
      <c r="Y30598" s="63"/>
    </row>
    <row r="30599" spans="25:25" x14ac:dyDescent="0.25">
      <c r="Y30599" s="63"/>
    </row>
    <row r="30600" spans="25:25" x14ac:dyDescent="0.25">
      <c r="Y30600" s="63"/>
    </row>
    <row r="30601" spans="25:25" x14ac:dyDescent="0.25">
      <c r="Y30601" s="63"/>
    </row>
    <row r="30602" spans="25:25" x14ac:dyDescent="0.25">
      <c r="Y30602" s="63"/>
    </row>
    <row r="30603" spans="25:25" x14ac:dyDescent="0.25">
      <c r="Y30603" s="63"/>
    </row>
    <row r="30604" spans="25:25" x14ac:dyDescent="0.25">
      <c r="Y30604" s="63"/>
    </row>
    <row r="30605" spans="25:25" x14ac:dyDescent="0.25">
      <c r="Y30605" s="63"/>
    </row>
    <row r="30606" spans="25:25" x14ac:dyDescent="0.25">
      <c r="Y30606" s="63"/>
    </row>
    <row r="30607" spans="25:25" x14ac:dyDescent="0.25">
      <c r="Y30607" s="63"/>
    </row>
    <row r="30608" spans="25:25" x14ac:dyDescent="0.25">
      <c r="Y30608" s="63"/>
    </row>
    <row r="30609" spans="25:25" x14ac:dyDescent="0.25">
      <c r="Y30609" s="63"/>
    </row>
    <row r="30610" spans="25:25" x14ac:dyDescent="0.25">
      <c r="Y30610" s="63"/>
    </row>
    <row r="30611" spans="25:25" x14ac:dyDescent="0.25">
      <c r="Y30611" s="63"/>
    </row>
    <row r="30612" spans="25:25" x14ac:dyDescent="0.25">
      <c r="Y30612" s="63"/>
    </row>
    <row r="30613" spans="25:25" x14ac:dyDescent="0.25">
      <c r="Y30613" s="63"/>
    </row>
    <row r="30614" spans="25:25" x14ac:dyDescent="0.25">
      <c r="Y30614" s="63"/>
    </row>
    <row r="30615" spans="25:25" x14ac:dyDescent="0.25">
      <c r="Y30615" s="63"/>
    </row>
    <row r="30616" spans="25:25" x14ac:dyDescent="0.25">
      <c r="Y30616" s="63"/>
    </row>
    <row r="30617" spans="25:25" x14ac:dyDescent="0.25">
      <c r="Y30617" s="63"/>
    </row>
    <row r="30618" spans="25:25" x14ac:dyDescent="0.25">
      <c r="Y30618" s="63"/>
    </row>
    <row r="30619" spans="25:25" x14ac:dyDescent="0.25">
      <c r="Y30619" s="63"/>
    </row>
    <row r="30620" spans="25:25" x14ac:dyDescent="0.25">
      <c r="Y30620" s="63"/>
    </row>
    <row r="30621" spans="25:25" x14ac:dyDescent="0.25">
      <c r="Y30621" s="63"/>
    </row>
    <row r="30622" spans="25:25" x14ac:dyDescent="0.25">
      <c r="Y30622" s="63"/>
    </row>
    <row r="30623" spans="25:25" x14ac:dyDescent="0.25">
      <c r="Y30623" s="63"/>
    </row>
    <row r="30624" spans="25:25" x14ac:dyDescent="0.25">
      <c r="Y30624" s="63"/>
    </row>
    <row r="30625" spans="25:25" x14ac:dyDescent="0.25">
      <c r="Y30625" s="63"/>
    </row>
    <row r="30626" spans="25:25" x14ac:dyDescent="0.25">
      <c r="Y30626" s="63"/>
    </row>
    <row r="30627" spans="25:25" x14ac:dyDescent="0.25">
      <c r="Y30627" s="63"/>
    </row>
    <row r="30628" spans="25:25" x14ac:dyDescent="0.25">
      <c r="Y30628" s="63"/>
    </row>
    <row r="30629" spans="25:25" x14ac:dyDescent="0.25">
      <c r="Y30629" s="63"/>
    </row>
    <row r="30630" spans="25:25" x14ac:dyDescent="0.25">
      <c r="Y30630" s="63"/>
    </row>
    <row r="30631" spans="25:25" x14ac:dyDescent="0.25">
      <c r="Y30631" s="63"/>
    </row>
    <row r="30632" spans="25:25" x14ac:dyDescent="0.25">
      <c r="Y30632" s="63"/>
    </row>
    <row r="30633" spans="25:25" x14ac:dyDescent="0.25">
      <c r="Y30633" s="63"/>
    </row>
    <row r="30634" spans="25:25" x14ac:dyDescent="0.25">
      <c r="Y30634" s="63"/>
    </row>
    <row r="30635" spans="25:25" x14ac:dyDescent="0.25">
      <c r="Y30635" s="63"/>
    </row>
    <row r="30636" spans="25:25" x14ac:dyDescent="0.25">
      <c r="Y30636" s="63"/>
    </row>
    <row r="30637" spans="25:25" x14ac:dyDescent="0.25">
      <c r="Y30637" s="63"/>
    </row>
    <row r="30638" spans="25:25" x14ac:dyDescent="0.25">
      <c r="Y30638" s="63"/>
    </row>
    <row r="30639" spans="25:25" x14ac:dyDescent="0.25">
      <c r="Y30639" s="63"/>
    </row>
    <row r="30640" spans="25:25" x14ac:dyDescent="0.25">
      <c r="Y30640" s="63"/>
    </row>
    <row r="30641" spans="25:25" x14ac:dyDescent="0.25">
      <c r="Y30641" s="63"/>
    </row>
    <row r="30642" spans="25:25" x14ac:dyDescent="0.25">
      <c r="Y30642" s="63"/>
    </row>
    <row r="30643" spans="25:25" x14ac:dyDescent="0.25">
      <c r="Y30643" s="63"/>
    </row>
    <row r="30644" spans="25:25" x14ac:dyDescent="0.25">
      <c r="Y30644" s="63"/>
    </row>
    <row r="30645" spans="25:25" x14ac:dyDescent="0.25">
      <c r="Y30645" s="63"/>
    </row>
    <row r="30646" spans="25:25" x14ac:dyDescent="0.25">
      <c r="Y30646" s="63"/>
    </row>
    <row r="30647" spans="25:25" x14ac:dyDescent="0.25">
      <c r="Y30647" s="63"/>
    </row>
    <row r="30648" spans="25:25" x14ac:dyDescent="0.25">
      <c r="Y30648" s="63"/>
    </row>
    <row r="30649" spans="25:25" x14ac:dyDescent="0.25">
      <c r="Y30649" s="63"/>
    </row>
    <row r="30650" spans="25:25" x14ac:dyDescent="0.25">
      <c r="Y30650" s="63"/>
    </row>
    <row r="30651" spans="25:25" x14ac:dyDescent="0.25">
      <c r="Y30651" s="63"/>
    </row>
    <row r="30652" spans="25:25" x14ac:dyDescent="0.25">
      <c r="Y30652" s="63"/>
    </row>
    <row r="30653" spans="25:25" x14ac:dyDescent="0.25">
      <c r="Y30653" s="63"/>
    </row>
    <row r="30654" spans="25:25" x14ac:dyDescent="0.25">
      <c r="Y30654" s="63"/>
    </row>
    <row r="30655" spans="25:25" x14ac:dyDescent="0.25">
      <c r="Y30655" s="63"/>
    </row>
    <row r="30656" spans="25:25" x14ac:dyDescent="0.25">
      <c r="Y30656" s="63"/>
    </row>
    <row r="30657" spans="25:25" x14ac:dyDescent="0.25">
      <c r="Y30657" s="63"/>
    </row>
    <row r="30658" spans="25:25" x14ac:dyDescent="0.25">
      <c r="Y30658" s="63"/>
    </row>
    <row r="30659" spans="25:25" x14ac:dyDescent="0.25">
      <c r="Y30659" s="63"/>
    </row>
    <row r="30660" spans="25:25" x14ac:dyDescent="0.25">
      <c r="Y30660" s="63"/>
    </row>
    <row r="30661" spans="25:25" x14ac:dyDescent="0.25">
      <c r="Y30661" s="63"/>
    </row>
    <row r="30662" spans="25:25" x14ac:dyDescent="0.25">
      <c r="Y30662" s="63"/>
    </row>
    <row r="30663" spans="25:25" x14ac:dyDescent="0.25">
      <c r="Y30663" s="63"/>
    </row>
    <row r="30664" spans="25:25" x14ac:dyDescent="0.25">
      <c r="Y30664" s="63"/>
    </row>
    <row r="30665" spans="25:25" x14ac:dyDescent="0.25">
      <c r="Y30665" s="63"/>
    </row>
    <row r="30666" spans="25:25" x14ac:dyDescent="0.25">
      <c r="Y30666" s="63"/>
    </row>
    <row r="30667" spans="25:25" x14ac:dyDescent="0.25">
      <c r="Y30667" s="63"/>
    </row>
    <row r="30668" spans="25:25" x14ac:dyDescent="0.25">
      <c r="Y30668" s="63"/>
    </row>
    <row r="30669" spans="25:25" x14ac:dyDescent="0.25">
      <c r="Y30669" s="63"/>
    </row>
    <row r="30670" spans="25:25" x14ac:dyDescent="0.25">
      <c r="Y30670" s="63"/>
    </row>
    <row r="30671" spans="25:25" x14ac:dyDescent="0.25">
      <c r="Y30671" s="63"/>
    </row>
    <row r="30672" spans="25:25" x14ac:dyDescent="0.25">
      <c r="Y30672" s="63"/>
    </row>
    <row r="30673" spans="25:25" x14ac:dyDescent="0.25">
      <c r="Y30673" s="63"/>
    </row>
    <row r="30674" spans="25:25" x14ac:dyDescent="0.25">
      <c r="Y30674" s="63"/>
    </row>
    <row r="30675" spans="25:25" x14ac:dyDescent="0.25">
      <c r="Y30675" s="63"/>
    </row>
    <row r="30676" spans="25:25" x14ac:dyDescent="0.25">
      <c r="Y30676" s="63"/>
    </row>
    <row r="30677" spans="25:25" x14ac:dyDescent="0.25">
      <c r="Y30677" s="63"/>
    </row>
    <row r="30678" spans="25:25" x14ac:dyDescent="0.25">
      <c r="Y30678" s="63"/>
    </row>
    <row r="30679" spans="25:25" x14ac:dyDescent="0.25">
      <c r="Y30679" s="63"/>
    </row>
    <row r="30680" spans="25:25" x14ac:dyDescent="0.25">
      <c r="Y30680" s="63"/>
    </row>
    <row r="30681" spans="25:25" x14ac:dyDescent="0.25">
      <c r="Y30681" s="63"/>
    </row>
    <row r="30682" spans="25:25" x14ac:dyDescent="0.25">
      <c r="Y30682" s="63"/>
    </row>
    <row r="30683" spans="25:25" x14ac:dyDescent="0.25">
      <c r="Y30683" s="63"/>
    </row>
    <row r="30684" spans="25:25" x14ac:dyDescent="0.25">
      <c r="Y30684" s="63"/>
    </row>
    <row r="30685" spans="25:25" x14ac:dyDescent="0.25">
      <c r="Y30685" s="63"/>
    </row>
    <row r="30686" spans="25:25" x14ac:dyDescent="0.25">
      <c r="Y30686" s="63"/>
    </row>
    <row r="30687" spans="25:25" x14ac:dyDescent="0.25">
      <c r="Y30687" s="63"/>
    </row>
    <row r="30688" spans="25:25" x14ac:dyDescent="0.25">
      <c r="Y30688" s="63"/>
    </row>
    <row r="30689" spans="25:25" x14ac:dyDescent="0.25">
      <c r="Y30689" s="63"/>
    </row>
    <row r="30690" spans="25:25" x14ac:dyDescent="0.25">
      <c r="Y30690" s="63"/>
    </row>
    <row r="30691" spans="25:25" x14ac:dyDescent="0.25">
      <c r="Y30691" s="63"/>
    </row>
    <row r="30692" spans="25:25" x14ac:dyDescent="0.25">
      <c r="Y30692" s="63"/>
    </row>
    <row r="30693" spans="25:25" x14ac:dyDescent="0.25">
      <c r="Y30693" s="63"/>
    </row>
    <row r="30694" spans="25:25" x14ac:dyDescent="0.25">
      <c r="Y30694" s="63"/>
    </row>
    <row r="30695" spans="25:25" x14ac:dyDescent="0.25">
      <c r="Y30695" s="63"/>
    </row>
    <row r="30696" spans="25:25" x14ac:dyDescent="0.25">
      <c r="Y30696" s="63"/>
    </row>
    <row r="30697" spans="25:25" x14ac:dyDescent="0.25">
      <c r="Y30697" s="63"/>
    </row>
    <row r="30698" spans="25:25" x14ac:dyDescent="0.25">
      <c r="Y30698" s="63"/>
    </row>
    <row r="30699" spans="25:25" x14ac:dyDescent="0.25">
      <c r="Y30699" s="63"/>
    </row>
    <row r="30700" spans="25:25" x14ac:dyDescent="0.25">
      <c r="Y30700" s="63"/>
    </row>
    <row r="30701" spans="25:25" x14ac:dyDescent="0.25">
      <c r="Y30701" s="63"/>
    </row>
    <row r="30702" spans="25:25" x14ac:dyDescent="0.25">
      <c r="Y30702" s="63"/>
    </row>
    <row r="30703" spans="25:25" x14ac:dyDescent="0.25">
      <c r="Y30703" s="63"/>
    </row>
    <row r="30704" spans="25:25" x14ac:dyDescent="0.25">
      <c r="Y30704" s="63"/>
    </row>
    <row r="30705" spans="25:25" x14ac:dyDescent="0.25">
      <c r="Y30705" s="63"/>
    </row>
    <row r="30706" spans="25:25" x14ac:dyDescent="0.25">
      <c r="Y30706" s="63"/>
    </row>
    <row r="30707" spans="25:25" x14ac:dyDescent="0.25">
      <c r="Y30707" s="63"/>
    </row>
    <row r="30708" spans="25:25" x14ac:dyDescent="0.25">
      <c r="Y30708" s="63"/>
    </row>
    <row r="30709" spans="25:25" x14ac:dyDescent="0.25">
      <c r="Y30709" s="63"/>
    </row>
    <row r="30710" spans="25:25" x14ac:dyDescent="0.25">
      <c r="Y30710" s="63"/>
    </row>
    <row r="30711" spans="25:25" x14ac:dyDescent="0.25">
      <c r="Y30711" s="63"/>
    </row>
    <row r="30712" spans="25:25" x14ac:dyDescent="0.25">
      <c r="Y30712" s="63"/>
    </row>
    <row r="30713" spans="25:25" x14ac:dyDescent="0.25">
      <c r="Y30713" s="63"/>
    </row>
    <row r="30714" spans="25:25" x14ac:dyDescent="0.25">
      <c r="Y30714" s="63"/>
    </row>
    <row r="30715" spans="25:25" x14ac:dyDescent="0.25">
      <c r="Y30715" s="63"/>
    </row>
    <row r="30716" spans="25:25" x14ac:dyDescent="0.25">
      <c r="Y30716" s="63"/>
    </row>
    <row r="30717" spans="25:25" x14ac:dyDescent="0.25">
      <c r="Y30717" s="63"/>
    </row>
    <row r="30718" spans="25:25" x14ac:dyDescent="0.25">
      <c r="Y30718" s="63"/>
    </row>
    <row r="30719" spans="25:25" x14ac:dyDescent="0.25">
      <c r="Y30719" s="63"/>
    </row>
    <row r="30720" spans="25:25" x14ac:dyDescent="0.25">
      <c r="Y30720" s="63"/>
    </row>
    <row r="30721" spans="25:25" x14ac:dyDescent="0.25">
      <c r="Y30721" s="63"/>
    </row>
    <row r="30722" spans="25:25" x14ac:dyDescent="0.25">
      <c r="Y30722" s="63"/>
    </row>
    <row r="30723" spans="25:25" x14ac:dyDescent="0.25">
      <c r="Y30723" s="63"/>
    </row>
    <row r="30724" spans="25:25" x14ac:dyDescent="0.25">
      <c r="Y30724" s="63"/>
    </row>
    <row r="30725" spans="25:25" x14ac:dyDescent="0.25">
      <c r="Y30725" s="63"/>
    </row>
    <row r="30726" spans="25:25" x14ac:dyDescent="0.25">
      <c r="Y30726" s="63"/>
    </row>
    <row r="30727" spans="25:25" x14ac:dyDescent="0.25">
      <c r="Y30727" s="63"/>
    </row>
    <row r="30728" spans="25:25" x14ac:dyDescent="0.25">
      <c r="Y30728" s="63"/>
    </row>
    <row r="30729" spans="25:25" x14ac:dyDescent="0.25">
      <c r="Y30729" s="63"/>
    </row>
    <row r="30730" spans="25:25" x14ac:dyDescent="0.25">
      <c r="Y30730" s="63"/>
    </row>
    <row r="30731" spans="25:25" x14ac:dyDescent="0.25">
      <c r="Y30731" s="63"/>
    </row>
    <row r="30732" spans="25:25" x14ac:dyDescent="0.25">
      <c r="Y30732" s="63"/>
    </row>
    <row r="30733" spans="25:25" x14ac:dyDescent="0.25">
      <c r="Y30733" s="63"/>
    </row>
    <row r="30734" spans="25:25" x14ac:dyDescent="0.25">
      <c r="Y30734" s="63"/>
    </row>
    <row r="30735" spans="25:25" x14ac:dyDescent="0.25">
      <c r="Y30735" s="63"/>
    </row>
    <row r="30736" spans="25:25" x14ac:dyDescent="0.25">
      <c r="Y30736" s="63"/>
    </row>
    <row r="30737" spans="25:25" x14ac:dyDescent="0.25">
      <c r="Y30737" s="63"/>
    </row>
    <row r="30738" spans="25:25" x14ac:dyDescent="0.25">
      <c r="Y30738" s="63"/>
    </row>
    <row r="30739" spans="25:25" x14ac:dyDescent="0.25">
      <c r="Y30739" s="63"/>
    </row>
    <row r="30740" spans="25:25" x14ac:dyDescent="0.25">
      <c r="Y30740" s="63"/>
    </row>
    <row r="30741" spans="25:25" x14ac:dyDescent="0.25">
      <c r="Y30741" s="63"/>
    </row>
    <row r="30742" spans="25:25" x14ac:dyDescent="0.25">
      <c r="Y30742" s="63"/>
    </row>
    <row r="30743" spans="25:25" x14ac:dyDescent="0.25">
      <c r="Y30743" s="63"/>
    </row>
    <row r="30744" spans="25:25" x14ac:dyDescent="0.25">
      <c r="Y30744" s="63"/>
    </row>
    <row r="30745" spans="25:25" x14ac:dyDescent="0.25">
      <c r="Y30745" s="63"/>
    </row>
    <row r="30746" spans="25:25" x14ac:dyDescent="0.25">
      <c r="Y30746" s="63"/>
    </row>
    <row r="30747" spans="25:25" x14ac:dyDescent="0.25">
      <c r="Y30747" s="63"/>
    </row>
    <row r="30748" spans="25:25" x14ac:dyDescent="0.25">
      <c r="Y30748" s="63"/>
    </row>
    <row r="30749" spans="25:25" x14ac:dyDescent="0.25">
      <c r="Y30749" s="63"/>
    </row>
    <row r="30750" spans="25:25" x14ac:dyDescent="0.25">
      <c r="Y30750" s="63"/>
    </row>
    <row r="30751" spans="25:25" x14ac:dyDescent="0.25">
      <c r="Y30751" s="63"/>
    </row>
    <row r="30752" spans="25:25" x14ac:dyDescent="0.25">
      <c r="Y30752" s="63"/>
    </row>
    <row r="30753" spans="25:25" x14ac:dyDescent="0.25">
      <c r="Y30753" s="63"/>
    </row>
    <row r="30754" spans="25:25" x14ac:dyDescent="0.25">
      <c r="Y30754" s="63"/>
    </row>
    <row r="30755" spans="25:25" x14ac:dyDescent="0.25">
      <c r="Y30755" s="63"/>
    </row>
    <row r="30756" spans="25:25" x14ac:dyDescent="0.25">
      <c r="Y30756" s="63"/>
    </row>
    <row r="30757" spans="25:25" x14ac:dyDescent="0.25">
      <c r="Y30757" s="63"/>
    </row>
    <row r="30758" spans="25:25" x14ac:dyDescent="0.25">
      <c r="Y30758" s="63"/>
    </row>
    <row r="30759" spans="25:25" x14ac:dyDescent="0.25">
      <c r="Y30759" s="63"/>
    </row>
    <row r="30760" spans="25:25" x14ac:dyDescent="0.25">
      <c r="Y30760" s="63"/>
    </row>
    <row r="30761" spans="25:25" x14ac:dyDescent="0.25">
      <c r="Y30761" s="63"/>
    </row>
    <row r="30762" spans="25:25" x14ac:dyDescent="0.25">
      <c r="Y30762" s="63"/>
    </row>
    <row r="30763" spans="25:25" x14ac:dyDescent="0.25">
      <c r="Y30763" s="63"/>
    </row>
    <row r="30764" spans="25:25" x14ac:dyDescent="0.25">
      <c r="Y30764" s="63"/>
    </row>
    <row r="30765" spans="25:25" x14ac:dyDescent="0.25">
      <c r="Y30765" s="63"/>
    </row>
    <row r="30766" spans="25:25" x14ac:dyDescent="0.25">
      <c r="Y30766" s="63"/>
    </row>
    <row r="30767" spans="25:25" x14ac:dyDescent="0.25">
      <c r="Y30767" s="63"/>
    </row>
    <row r="30768" spans="25:25" x14ac:dyDescent="0.25">
      <c r="Y30768" s="63"/>
    </row>
    <row r="30769" spans="25:25" x14ac:dyDescent="0.25">
      <c r="Y30769" s="63"/>
    </row>
    <row r="30770" spans="25:25" x14ac:dyDescent="0.25">
      <c r="Y30770" s="63"/>
    </row>
    <row r="30771" spans="25:25" x14ac:dyDescent="0.25">
      <c r="Y30771" s="63"/>
    </row>
    <row r="30772" spans="25:25" x14ac:dyDescent="0.25">
      <c r="Y30772" s="63"/>
    </row>
    <row r="30773" spans="25:25" x14ac:dyDescent="0.25">
      <c r="Y30773" s="63"/>
    </row>
    <row r="30774" spans="25:25" x14ac:dyDescent="0.25">
      <c r="Y30774" s="63"/>
    </row>
    <row r="30775" spans="25:25" x14ac:dyDescent="0.25">
      <c r="Y30775" s="63"/>
    </row>
    <row r="30776" spans="25:25" x14ac:dyDescent="0.25">
      <c r="Y30776" s="63"/>
    </row>
    <row r="30777" spans="25:25" x14ac:dyDescent="0.25">
      <c r="Y30777" s="63"/>
    </row>
    <row r="30778" spans="25:25" x14ac:dyDescent="0.25">
      <c r="Y30778" s="63"/>
    </row>
    <row r="30779" spans="25:25" x14ac:dyDescent="0.25">
      <c r="Y30779" s="63"/>
    </row>
    <row r="30780" spans="25:25" x14ac:dyDescent="0.25">
      <c r="Y30780" s="63"/>
    </row>
    <row r="30781" spans="25:25" x14ac:dyDescent="0.25">
      <c r="Y30781" s="63"/>
    </row>
    <row r="30782" spans="25:25" x14ac:dyDescent="0.25">
      <c r="Y30782" s="63"/>
    </row>
    <row r="30783" spans="25:25" x14ac:dyDescent="0.25">
      <c r="Y30783" s="63"/>
    </row>
    <row r="30784" spans="25:25" x14ac:dyDescent="0.25">
      <c r="Y30784" s="63"/>
    </row>
    <row r="30785" spans="25:25" x14ac:dyDescent="0.25">
      <c r="Y30785" s="63"/>
    </row>
    <row r="30786" spans="25:25" x14ac:dyDescent="0.25">
      <c r="Y30786" s="63"/>
    </row>
    <row r="30787" spans="25:25" x14ac:dyDescent="0.25">
      <c r="Y30787" s="63"/>
    </row>
    <row r="30788" spans="25:25" x14ac:dyDescent="0.25">
      <c r="Y30788" s="63"/>
    </row>
    <row r="30789" spans="25:25" x14ac:dyDescent="0.25">
      <c r="Y30789" s="63"/>
    </row>
    <row r="30790" spans="25:25" x14ac:dyDescent="0.25">
      <c r="Y30790" s="63"/>
    </row>
    <row r="30791" spans="25:25" x14ac:dyDescent="0.25">
      <c r="Y30791" s="63"/>
    </row>
    <row r="30792" spans="25:25" x14ac:dyDescent="0.25">
      <c r="Y30792" s="63"/>
    </row>
    <row r="30793" spans="25:25" x14ac:dyDescent="0.25">
      <c r="Y30793" s="63"/>
    </row>
    <row r="30794" spans="25:25" x14ac:dyDescent="0.25">
      <c r="Y30794" s="63"/>
    </row>
    <row r="30795" spans="25:25" x14ac:dyDescent="0.25">
      <c r="Y30795" s="63"/>
    </row>
    <row r="30796" spans="25:25" x14ac:dyDescent="0.25">
      <c r="Y30796" s="63"/>
    </row>
    <row r="30797" spans="25:25" x14ac:dyDescent="0.25">
      <c r="Y30797" s="63"/>
    </row>
    <row r="30798" spans="25:25" x14ac:dyDescent="0.25">
      <c r="Y30798" s="63"/>
    </row>
    <row r="30799" spans="25:25" x14ac:dyDescent="0.25">
      <c r="Y30799" s="63"/>
    </row>
    <row r="30800" spans="25:25" x14ac:dyDescent="0.25">
      <c r="Y30800" s="63"/>
    </row>
    <row r="30801" spans="25:25" x14ac:dyDescent="0.25">
      <c r="Y30801" s="63"/>
    </row>
    <row r="30802" spans="25:25" x14ac:dyDescent="0.25">
      <c r="Y30802" s="63"/>
    </row>
    <row r="30803" spans="25:25" x14ac:dyDescent="0.25">
      <c r="Y30803" s="63"/>
    </row>
    <row r="30804" spans="25:25" x14ac:dyDescent="0.25">
      <c r="Y30804" s="63"/>
    </row>
    <row r="30805" spans="25:25" x14ac:dyDescent="0.25">
      <c r="Y30805" s="63"/>
    </row>
    <row r="30806" spans="25:25" x14ac:dyDescent="0.25">
      <c r="Y30806" s="63"/>
    </row>
    <row r="30807" spans="25:25" x14ac:dyDescent="0.25">
      <c r="Y30807" s="63"/>
    </row>
    <row r="30808" spans="25:25" x14ac:dyDescent="0.25">
      <c r="Y30808" s="63"/>
    </row>
    <row r="30809" spans="25:25" x14ac:dyDescent="0.25">
      <c r="Y30809" s="63"/>
    </row>
    <row r="30810" spans="25:25" x14ac:dyDescent="0.25">
      <c r="Y30810" s="63"/>
    </row>
    <row r="30811" spans="25:25" x14ac:dyDescent="0.25">
      <c r="Y30811" s="63"/>
    </row>
    <row r="30812" spans="25:25" x14ac:dyDescent="0.25">
      <c r="Y30812" s="63"/>
    </row>
    <row r="30813" spans="25:25" x14ac:dyDescent="0.25">
      <c r="Y30813" s="63"/>
    </row>
    <row r="30814" spans="25:25" x14ac:dyDescent="0.25">
      <c r="Y30814" s="63"/>
    </row>
    <row r="30815" spans="25:25" x14ac:dyDescent="0.25">
      <c r="Y30815" s="63"/>
    </row>
    <row r="30816" spans="25:25" x14ac:dyDescent="0.25">
      <c r="Y30816" s="63"/>
    </row>
    <row r="30817" spans="25:25" x14ac:dyDescent="0.25">
      <c r="Y30817" s="63"/>
    </row>
    <row r="30818" spans="25:25" x14ac:dyDescent="0.25">
      <c r="Y30818" s="63"/>
    </row>
    <row r="30819" spans="25:25" x14ac:dyDescent="0.25">
      <c r="Y30819" s="63"/>
    </row>
    <row r="30820" spans="25:25" x14ac:dyDescent="0.25">
      <c r="Y30820" s="63"/>
    </row>
    <row r="30821" spans="25:25" x14ac:dyDescent="0.25">
      <c r="Y30821" s="63"/>
    </row>
    <row r="30822" spans="25:25" x14ac:dyDescent="0.25">
      <c r="Y30822" s="63"/>
    </row>
    <row r="30823" spans="25:25" x14ac:dyDescent="0.25">
      <c r="Y30823" s="63"/>
    </row>
    <row r="30824" spans="25:25" x14ac:dyDescent="0.25">
      <c r="Y30824" s="63"/>
    </row>
    <row r="30825" spans="25:25" x14ac:dyDescent="0.25">
      <c r="Y30825" s="63"/>
    </row>
    <row r="30826" spans="25:25" x14ac:dyDescent="0.25">
      <c r="Y30826" s="63"/>
    </row>
    <row r="30827" spans="25:25" x14ac:dyDescent="0.25">
      <c r="Y30827" s="63"/>
    </row>
    <row r="30828" spans="25:25" x14ac:dyDescent="0.25">
      <c r="Y30828" s="63"/>
    </row>
    <row r="30829" spans="25:25" x14ac:dyDescent="0.25">
      <c r="Y30829" s="63"/>
    </row>
    <row r="30830" spans="25:25" x14ac:dyDescent="0.25">
      <c r="Y30830" s="63"/>
    </row>
    <row r="30831" spans="25:25" x14ac:dyDescent="0.25">
      <c r="Y30831" s="63"/>
    </row>
    <row r="30832" spans="25:25" x14ac:dyDescent="0.25">
      <c r="Y30832" s="63"/>
    </row>
    <row r="30833" spans="25:25" x14ac:dyDescent="0.25">
      <c r="Y30833" s="63"/>
    </row>
    <row r="30834" spans="25:25" x14ac:dyDescent="0.25">
      <c r="Y30834" s="63"/>
    </row>
    <row r="30835" spans="25:25" x14ac:dyDescent="0.25">
      <c r="Y30835" s="63"/>
    </row>
    <row r="30836" spans="25:25" x14ac:dyDescent="0.25">
      <c r="Y30836" s="63"/>
    </row>
    <row r="30837" spans="25:25" x14ac:dyDescent="0.25">
      <c r="Y30837" s="63"/>
    </row>
    <row r="30838" spans="25:25" x14ac:dyDescent="0.25">
      <c r="Y30838" s="63"/>
    </row>
    <row r="30839" spans="25:25" x14ac:dyDescent="0.25">
      <c r="Y30839" s="63"/>
    </row>
    <row r="30840" spans="25:25" x14ac:dyDescent="0.25">
      <c r="Y30840" s="63"/>
    </row>
    <row r="30841" spans="25:25" x14ac:dyDescent="0.25">
      <c r="Y30841" s="63"/>
    </row>
    <row r="30842" spans="25:25" x14ac:dyDescent="0.25">
      <c r="Y30842" s="63"/>
    </row>
    <row r="30843" spans="25:25" x14ac:dyDescent="0.25">
      <c r="Y30843" s="63"/>
    </row>
    <row r="30844" spans="25:25" x14ac:dyDescent="0.25">
      <c r="Y30844" s="63"/>
    </row>
    <row r="30845" spans="25:25" x14ac:dyDescent="0.25">
      <c r="Y30845" s="63"/>
    </row>
    <row r="30846" spans="25:25" x14ac:dyDescent="0.25">
      <c r="Y30846" s="63"/>
    </row>
    <row r="30847" spans="25:25" x14ac:dyDescent="0.25">
      <c r="Y30847" s="63"/>
    </row>
    <row r="30848" spans="25:25" x14ac:dyDescent="0.25">
      <c r="Y30848" s="63"/>
    </row>
    <row r="30849" spans="25:25" x14ac:dyDescent="0.25">
      <c r="Y30849" s="63"/>
    </row>
    <row r="30850" spans="25:25" x14ac:dyDescent="0.25">
      <c r="Y30850" s="63"/>
    </row>
    <row r="30851" spans="25:25" x14ac:dyDescent="0.25">
      <c r="Y30851" s="63"/>
    </row>
    <row r="30852" spans="25:25" x14ac:dyDescent="0.25">
      <c r="Y30852" s="63"/>
    </row>
    <row r="30853" spans="25:25" x14ac:dyDescent="0.25">
      <c r="Y30853" s="63"/>
    </row>
    <row r="30854" spans="25:25" x14ac:dyDescent="0.25">
      <c r="Y30854" s="63"/>
    </row>
    <row r="30855" spans="25:25" x14ac:dyDescent="0.25">
      <c r="Y30855" s="63"/>
    </row>
    <row r="30856" spans="25:25" x14ac:dyDescent="0.25">
      <c r="Y30856" s="63"/>
    </row>
    <row r="30857" spans="25:25" x14ac:dyDescent="0.25">
      <c r="Y30857" s="63"/>
    </row>
    <row r="30858" spans="25:25" x14ac:dyDescent="0.25">
      <c r="Y30858" s="63"/>
    </row>
    <row r="30859" spans="25:25" x14ac:dyDescent="0.25">
      <c r="Y30859" s="63"/>
    </row>
    <row r="30860" spans="25:25" x14ac:dyDescent="0.25">
      <c r="Y30860" s="63"/>
    </row>
    <row r="30861" spans="25:25" x14ac:dyDescent="0.25">
      <c r="Y30861" s="63"/>
    </row>
    <row r="30862" spans="25:25" x14ac:dyDescent="0.25">
      <c r="Y30862" s="63"/>
    </row>
    <row r="30863" spans="25:25" x14ac:dyDescent="0.25">
      <c r="Y30863" s="63"/>
    </row>
    <row r="30864" spans="25:25" x14ac:dyDescent="0.25">
      <c r="Y30864" s="63"/>
    </row>
    <row r="30865" spans="25:25" x14ac:dyDescent="0.25">
      <c r="Y30865" s="63"/>
    </row>
    <row r="30866" spans="25:25" x14ac:dyDescent="0.25">
      <c r="Y30866" s="63"/>
    </row>
    <row r="30867" spans="25:25" x14ac:dyDescent="0.25">
      <c r="Y30867" s="63"/>
    </row>
    <row r="30868" spans="25:25" x14ac:dyDescent="0.25">
      <c r="Y30868" s="63"/>
    </row>
    <row r="30869" spans="25:25" x14ac:dyDescent="0.25">
      <c r="Y30869" s="63"/>
    </row>
    <row r="30870" spans="25:25" x14ac:dyDescent="0.25">
      <c r="Y30870" s="63"/>
    </row>
    <row r="30871" spans="25:25" x14ac:dyDescent="0.25">
      <c r="Y30871" s="63"/>
    </row>
    <row r="30872" spans="25:25" x14ac:dyDescent="0.25">
      <c r="Y30872" s="63"/>
    </row>
    <row r="30873" spans="25:25" x14ac:dyDescent="0.25">
      <c r="Y30873" s="63"/>
    </row>
    <row r="30874" spans="25:25" x14ac:dyDescent="0.25">
      <c r="Y30874" s="63"/>
    </row>
    <row r="30875" spans="25:25" x14ac:dyDescent="0.25">
      <c r="Y30875" s="63"/>
    </row>
    <row r="30876" spans="25:25" x14ac:dyDescent="0.25">
      <c r="Y30876" s="63"/>
    </row>
    <row r="30877" spans="25:25" x14ac:dyDescent="0.25">
      <c r="Y30877" s="63"/>
    </row>
    <row r="30878" spans="25:25" x14ac:dyDescent="0.25">
      <c r="Y30878" s="63"/>
    </row>
    <row r="30879" spans="25:25" x14ac:dyDescent="0.25">
      <c r="Y30879" s="63"/>
    </row>
    <row r="30880" spans="25:25" x14ac:dyDescent="0.25">
      <c r="Y30880" s="63"/>
    </row>
    <row r="30881" spans="25:25" x14ac:dyDescent="0.25">
      <c r="Y30881" s="63"/>
    </row>
    <row r="30882" spans="25:25" x14ac:dyDescent="0.25">
      <c r="Y30882" s="63"/>
    </row>
    <row r="30883" spans="25:25" x14ac:dyDescent="0.25">
      <c r="Y30883" s="63"/>
    </row>
    <row r="30884" spans="25:25" x14ac:dyDescent="0.25">
      <c r="Y30884" s="63"/>
    </row>
    <row r="30885" spans="25:25" x14ac:dyDescent="0.25">
      <c r="Y30885" s="63"/>
    </row>
    <row r="30886" spans="25:25" x14ac:dyDescent="0.25">
      <c r="Y30886" s="63"/>
    </row>
    <row r="30887" spans="25:25" x14ac:dyDescent="0.25">
      <c r="Y30887" s="63"/>
    </row>
    <row r="30888" spans="25:25" x14ac:dyDescent="0.25">
      <c r="Y30888" s="63"/>
    </row>
    <row r="30889" spans="25:25" x14ac:dyDescent="0.25">
      <c r="Y30889" s="63"/>
    </row>
    <row r="30890" spans="25:25" x14ac:dyDescent="0.25">
      <c r="Y30890" s="63"/>
    </row>
    <row r="30891" spans="25:25" x14ac:dyDescent="0.25">
      <c r="Y30891" s="63"/>
    </row>
    <row r="30892" spans="25:25" x14ac:dyDescent="0.25">
      <c r="Y30892" s="63"/>
    </row>
    <row r="30893" spans="25:25" x14ac:dyDescent="0.25">
      <c r="Y30893" s="63"/>
    </row>
    <row r="30894" spans="25:25" x14ac:dyDescent="0.25">
      <c r="Y30894" s="63"/>
    </row>
    <row r="30895" spans="25:25" x14ac:dyDescent="0.25">
      <c r="Y30895" s="63"/>
    </row>
    <row r="30896" spans="25:25" x14ac:dyDescent="0.25">
      <c r="Y30896" s="63"/>
    </row>
    <row r="30897" spans="25:25" x14ac:dyDescent="0.25">
      <c r="Y30897" s="63"/>
    </row>
    <row r="30898" spans="25:25" x14ac:dyDescent="0.25">
      <c r="Y30898" s="63"/>
    </row>
    <row r="30899" spans="25:25" x14ac:dyDescent="0.25">
      <c r="Y30899" s="63"/>
    </row>
    <row r="30900" spans="25:25" x14ac:dyDescent="0.25">
      <c r="Y30900" s="63"/>
    </row>
    <row r="30901" spans="25:25" x14ac:dyDescent="0.25">
      <c r="Y30901" s="63"/>
    </row>
    <row r="30902" spans="25:25" x14ac:dyDescent="0.25">
      <c r="Y30902" s="63"/>
    </row>
    <row r="30903" spans="25:25" x14ac:dyDescent="0.25">
      <c r="Y30903" s="63"/>
    </row>
    <row r="30904" spans="25:25" x14ac:dyDescent="0.25">
      <c r="Y30904" s="63"/>
    </row>
    <row r="30905" spans="25:25" x14ac:dyDescent="0.25">
      <c r="Y30905" s="63"/>
    </row>
    <row r="30906" spans="25:25" x14ac:dyDescent="0.25">
      <c r="Y30906" s="63"/>
    </row>
    <row r="30907" spans="25:25" x14ac:dyDescent="0.25">
      <c r="Y30907" s="63"/>
    </row>
    <row r="30908" spans="25:25" x14ac:dyDescent="0.25">
      <c r="Y30908" s="63"/>
    </row>
    <row r="30909" spans="25:25" x14ac:dyDescent="0.25">
      <c r="Y30909" s="63"/>
    </row>
    <row r="30910" spans="25:25" x14ac:dyDescent="0.25">
      <c r="Y30910" s="63"/>
    </row>
    <row r="30911" spans="25:25" x14ac:dyDescent="0.25">
      <c r="Y30911" s="63"/>
    </row>
    <row r="30912" spans="25:25" x14ac:dyDescent="0.25">
      <c r="Y30912" s="63"/>
    </row>
    <row r="30913" spans="25:25" x14ac:dyDescent="0.25">
      <c r="Y30913" s="63"/>
    </row>
    <row r="30914" spans="25:25" x14ac:dyDescent="0.25">
      <c r="Y30914" s="63"/>
    </row>
    <row r="30915" spans="25:25" x14ac:dyDescent="0.25">
      <c r="Y30915" s="63"/>
    </row>
    <row r="30916" spans="25:25" x14ac:dyDescent="0.25">
      <c r="Y30916" s="63"/>
    </row>
    <row r="30917" spans="25:25" x14ac:dyDescent="0.25">
      <c r="Y30917" s="63"/>
    </row>
    <row r="30918" spans="25:25" x14ac:dyDescent="0.25">
      <c r="Y30918" s="63"/>
    </row>
    <row r="30919" spans="25:25" x14ac:dyDescent="0.25">
      <c r="Y30919" s="63"/>
    </row>
    <row r="30920" spans="25:25" x14ac:dyDescent="0.25">
      <c r="Y30920" s="63"/>
    </row>
    <row r="30921" spans="25:25" x14ac:dyDescent="0.25">
      <c r="Y30921" s="63"/>
    </row>
    <row r="30922" spans="25:25" x14ac:dyDescent="0.25">
      <c r="Y30922" s="63"/>
    </row>
    <row r="30923" spans="25:25" x14ac:dyDescent="0.25">
      <c r="Y30923" s="63"/>
    </row>
    <row r="30924" spans="25:25" x14ac:dyDescent="0.25">
      <c r="Y30924" s="63"/>
    </row>
    <row r="30925" spans="25:25" x14ac:dyDescent="0.25">
      <c r="Y30925" s="63"/>
    </row>
    <row r="30926" spans="25:25" x14ac:dyDescent="0.25">
      <c r="Y30926" s="63"/>
    </row>
    <row r="30927" spans="25:25" x14ac:dyDescent="0.25">
      <c r="Y30927" s="63"/>
    </row>
    <row r="30928" spans="25:25" x14ac:dyDescent="0.25">
      <c r="Y30928" s="63"/>
    </row>
    <row r="30929" spans="25:25" x14ac:dyDescent="0.25">
      <c r="Y30929" s="63"/>
    </row>
    <row r="30930" spans="25:25" x14ac:dyDescent="0.25">
      <c r="Y30930" s="63"/>
    </row>
    <row r="30931" spans="25:25" x14ac:dyDescent="0.25">
      <c r="Y30931" s="63"/>
    </row>
    <row r="30932" spans="25:25" x14ac:dyDescent="0.25">
      <c r="Y30932" s="63"/>
    </row>
    <row r="30933" spans="25:25" x14ac:dyDescent="0.25">
      <c r="Y30933" s="63"/>
    </row>
    <row r="30934" spans="25:25" x14ac:dyDescent="0.25">
      <c r="Y30934" s="63"/>
    </row>
    <row r="30935" spans="25:25" x14ac:dyDescent="0.25">
      <c r="Y30935" s="63"/>
    </row>
    <row r="30936" spans="25:25" x14ac:dyDescent="0.25">
      <c r="Y30936" s="63"/>
    </row>
    <row r="30937" spans="25:25" x14ac:dyDescent="0.25">
      <c r="Y30937" s="63"/>
    </row>
    <row r="30938" spans="25:25" x14ac:dyDescent="0.25">
      <c r="Y30938" s="63"/>
    </row>
    <row r="30939" spans="25:25" x14ac:dyDescent="0.25">
      <c r="Y30939" s="63"/>
    </row>
    <row r="30940" spans="25:25" x14ac:dyDescent="0.25">
      <c r="Y30940" s="63"/>
    </row>
    <row r="30941" spans="25:25" x14ac:dyDescent="0.25">
      <c r="Y30941" s="63"/>
    </row>
    <row r="30942" spans="25:25" x14ac:dyDescent="0.25">
      <c r="Y30942" s="63"/>
    </row>
    <row r="30943" spans="25:25" x14ac:dyDescent="0.25">
      <c r="Y30943" s="63"/>
    </row>
    <row r="30944" spans="25:25" x14ac:dyDescent="0.25">
      <c r="Y30944" s="63"/>
    </row>
    <row r="30945" spans="25:25" x14ac:dyDescent="0.25">
      <c r="Y30945" s="63"/>
    </row>
    <row r="30946" spans="25:25" x14ac:dyDescent="0.25">
      <c r="Y30946" s="63"/>
    </row>
    <row r="30947" spans="25:25" x14ac:dyDescent="0.25">
      <c r="Y30947" s="63"/>
    </row>
    <row r="30948" spans="25:25" x14ac:dyDescent="0.25">
      <c r="Y30948" s="63"/>
    </row>
    <row r="30949" spans="25:25" x14ac:dyDescent="0.25">
      <c r="Y30949" s="63"/>
    </row>
    <row r="30950" spans="25:25" x14ac:dyDescent="0.25">
      <c r="Y30950" s="63"/>
    </row>
    <row r="30951" spans="25:25" x14ac:dyDescent="0.25">
      <c r="Y30951" s="63"/>
    </row>
    <row r="30952" spans="25:25" x14ac:dyDescent="0.25">
      <c r="Y30952" s="63"/>
    </row>
    <row r="30953" spans="25:25" x14ac:dyDescent="0.25">
      <c r="Y30953" s="63"/>
    </row>
    <row r="30954" spans="25:25" x14ac:dyDescent="0.25">
      <c r="Y30954" s="63"/>
    </row>
    <row r="30955" spans="25:25" x14ac:dyDescent="0.25">
      <c r="Y30955" s="63"/>
    </row>
    <row r="30956" spans="25:25" x14ac:dyDescent="0.25">
      <c r="Y30956" s="63"/>
    </row>
    <row r="30957" spans="25:25" x14ac:dyDescent="0.25">
      <c r="Y30957" s="63"/>
    </row>
    <row r="30958" spans="25:25" x14ac:dyDescent="0.25">
      <c r="Y30958" s="63"/>
    </row>
    <row r="30959" spans="25:25" x14ac:dyDescent="0.25">
      <c r="Y30959" s="63"/>
    </row>
    <row r="30960" spans="25:25" x14ac:dyDescent="0.25">
      <c r="Y30960" s="63"/>
    </row>
    <row r="30961" spans="25:25" x14ac:dyDescent="0.25">
      <c r="Y30961" s="63"/>
    </row>
    <row r="30962" spans="25:25" x14ac:dyDescent="0.25">
      <c r="Y30962" s="63"/>
    </row>
    <row r="30963" spans="25:25" x14ac:dyDescent="0.25">
      <c r="Y30963" s="63"/>
    </row>
    <row r="30964" spans="25:25" x14ac:dyDescent="0.25">
      <c r="Y30964" s="63"/>
    </row>
    <row r="30965" spans="25:25" x14ac:dyDescent="0.25">
      <c r="Y30965" s="63"/>
    </row>
    <row r="30966" spans="25:25" x14ac:dyDescent="0.25">
      <c r="Y30966" s="63"/>
    </row>
    <row r="30967" spans="25:25" x14ac:dyDescent="0.25">
      <c r="Y30967" s="63"/>
    </row>
    <row r="30968" spans="25:25" x14ac:dyDescent="0.25">
      <c r="Y30968" s="63"/>
    </row>
    <row r="30969" spans="25:25" x14ac:dyDescent="0.25">
      <c r="Y30969" s="63"/>
    </row>
    <row r="30970" spans="25:25" x14ac:dyDescent="0.25">
      <c r="Y30970" s="63"/>
    </row>
    <row r="30971" spans="25:25" x14ac:dyDescent="0.25">
      <c r="Y30971" s="63"/>
    </row>
    <row r="30972" spans="25:25" x14ac:dyDescent="0.25">
      <c r="Y30972" s="63"/>
    </row>
    <row r="30973" spans="25:25" x14ac:dyDescent="0.25">
      <c r="Y30973" s="63"/>
    </row>
    <row r="30974" spans="25:25" x14ac:dyDescent="0.25">
      <c r="Y30974" s="63"/>
    </row>
    <row r="30975" spans="25:25" x14ac:dyDescent="0.25">
      <c r="Y30975" s="63"/>
    </row>
    <row r="30976" spans="25:25" x14ac:dyDescent="0.25">
      <c r="Y30976" s="63"/>
    </row>
    <row r="30977" spans="25:25" x14ac:dyDescent="0.25">
      <c r="Y30977" s="63"/>
    </row>
    <row r="30978" spans="25:25" x14ac:dyDescent="0.25">
      <c r="Y30978" s="63"/>
    </row>
    <row r="30979" spans="25:25" x14ac:dyDescent="0.25">
      <c r="Y30979" s="63"/>
    </row>
    <row r="30980" spans="25:25" x14ac:dyDescent="0.25">
      <c r="Y30980" s="63"/>
    </row>
    <row r="30981" spans="25:25" x14ac:dyDescent="0.25">
      <c r="Y30981" s="63"/>
    </row>
    <row r="30982" spans="25:25" x14ac:dyDescent="0.25">
      <c r="Y30982" s="63"/>
    </row>
    <row r="30983" spans="25:25" x14ac:dyDescent="0.25">
      <c r="Y30983" s="63"/>
    </row>
    <row r="30984" spans="25:25" x14ac:dyDescent="0.25">
      <c r="Y30984" s="63"/>
    </row>
    <row r="30985" spans="25:25" x14ac:dyDescent="0.25">
      <c r="Y30985" s="63"/>
    </row>
    <row r="30986" spans="25:25" x14ac:dyDescent="0.25">
      <c r="Y30986" s="63"/>
    </row>
    <row r="30987" spans="25:25" x14ac:dyDescent="0.25">
      <c r="Y30987" s="63"/>
    </row>
    <row r="30988" spans="25:25" x14ac:dyDescent="0.25">
      <c r="Y30988" s="63"/>
    </row>
    <row r="30989" spans="25:25" x14ac:dyDescent="0.25">
      <c r="Y30989" s="63"/>
    </row>
    <row r="30990" spans="25:25" x14ac:dyDescent="0.25">
      <c r="Y30990" s="63"/>
    </row>
    <row r="30991" spans="25:25" x14ac:dyDescent="0.25">
      <c r="Y30991" s="63"/>
    </row>
    <row r="30992" spans="25:25" x14ac:dyDescent="0.25">
      <c r="Y30992" s="63"/>
    </row>
    <row r="30993" spans="25:25" x14ac:dyDescent="0.25">
      <c r="Y30993" s="63"/>
    </row>
    <row r="30994" spans="25:25" x14ac:dyDescent="0.25">
      <c r="Y30994" s="63"/>
    </row>
    <row r="30995" spans="25:25" x14ac:dyDescent="0.25">
      <c r="Y30995" s="63"/>
    </row>
    <row r="30996" spans="25:25" x14ac:dyDescent="0.25">
      <c r="Y30996" s="63"/>
    </row>
    <row r="30997" spans="25:25" x14ac:dyDescent="0.25">
      <c r="Y30997" s="63"/>
    </row>
    <row r="30998" spans="25:25" x14ac:dyDescent="0.25">
      <c r="Y30998" s="63"/>
    </row>
    <row r="30999" spans="25:25" x14ac:dyDescent="0.25">
      <c r="Y30999" s="63"/>
    </row>
    <row r="31000" spans="25:25" x14ac:dyDescent="0.25">
      <c r="Y31000" s="63"/>
    </row>
    <row r="31001" spans="25:25" x14ac:dyDescent="0.25">
      <c r="Y31001" s="63"/>
    </row>
    <row r="31002" spans="25:25" x14ac:dyDescent="0.25">
      <c r="Y31002" s="63"/>
    </row>
    <row r="31003" spans="25:25" x14ac:dyDescent="0.25">
      <c r="Y31003" s="63"/>
    </row>
    <row r="31004" spans="25:25" x14ac:dyDescent="0.25">
      <c r="Y31004" s="63"/>
    </row>
    <row r="31005" spans="25:25" x14ac:dyDescent="0.25">
      <c r="Y31005" s="63"/>
    </row>
    <row r="31006" spans="25:25" x14ac:dyDescent="0.25">
      <c r="Y31006" s="63"/>
    </row>
    <row r="31007" spans="25:25" x14ac:dyDescent="0.25">
      <c r="Y31007" s="63"/>
    </row>
    <row r="31008" spans="25:25" x14ac:dyDescent="0.25">
      <c r="Y31008" s="63"/>
    </row>
    <row r="31009" spans="25:25" x14ac:dyDescent="0.25">
      <c r="Y31009" s="63"/>
    </row>
    <row r="31010" spans="25:25" x14ac:dyDescent="0.25">
      <c r="Y31010" s="63"/>
    </row>
    <row r="31011" spans="25:25" x14ac:dyDescent="0.25">
      <c r="Y31011" s="63"/>
    </row>
    <row r="31012" spans="25:25" x14ac:dyDescent="0.25">
      <c r="Y31012" s="63"/>
    </row>
    <row r="31013" spans="25:25" x14ac:dyDescent="0.25">
      <c r="Y31013" s="63"/>
    </row>
    <row r="31014" spans="25:25" x14ac:dyDescent="0.25">
      <c r="Y31014" s="63"/>
    </row>
    <row r="31015" spans="25:25" x14ac:dyDescent="0.25">
      <c r="Y31015" s="63"/>
    </row>
    <row r="31016" spans="25:25" x14ac:dyDescent="0.25">
      <c r="Y31016" s="63"/>
    </row>
    <row r="31017" spans="25:25" x14ac:dyDescent="0.25">
      <c r="Y31017" s="63"/>
    </row>
    <row r="31018" spans="25:25" x14ac:dyDescent="0.25">
      <c r="Y31018" s="63"/>
    </row>
    <row r="31019" spans="25:25" x14ac:dyDescent="0.25">
      <c r="Y31019" s="63"/>
    </row>
    <row r="31020" spans="25:25" x14ac:dyDescent="0.25">
      <c r="Y31020" s="63"/>
    </row>
    <row r="31021" spans="25:25" x14ac:dyDescent="0.25">
      <c r="Y31021" s="63"/>
    </row>
    <row r="31022" spans="25:25" x14ac:dyDescent="0.25">
      <c r="Y31022" s="63"/>
    </row>
    <row r="31023" spans="25:25" x14ac:dyDescent="0.25">
      <c r="Y31023" s="63"/>
    </row>
    <row r="31024" spans="25:25" x14ac:dyDescent="0.25">
      <c r="Y31024" s="63"/>
    </row>
    <row r="31025" spans="25:25" x14ac:dyDescent="0.25">
      <c r="Y31025" s="63"/>
    </row>
    <row r="31026" spans="25:25" x14ac:dyDescent="0.25">
      <c r="Y31026" s="63"/>
    </row>
    <row r="31027" spans="25:25" x14ac:dyDescent="0.25">
      <c r="Y31027" s="63"/>
    </row>
    <row r="31028" spans="25:25" x14ac:dyDescent="0.25">
      <c r="Y31028" s="63"/>
    </row>
    <row r="31029" spans="25:25" x14ac:dyDescent="0.25">
      <c r="Y31029" s="63"/>
    </row>
    <row r="31030" spans="25:25" x14ac:dyDescent="0.25">
      <c r="Y31030" s="63"/>
    </row>
    <row r="31031" spans="25:25" x14ac:dyDescent="0.25">
      <c r="Y31031" s="63"/>
    </row>
    <row r="31032" spans="25:25" x14ac:dyDescent="0.25">
      <c r="Y31032" s="63"/>
    </row>
    <row r="31033" spans="25:25" x14ac:dyDescent="0.25">
      <c r="Y31033" s="63"/>
    </row>
    <row r="31034" spans="25:25" x14ac:dyDescent="0.25">
      <c r="Y31034" s="63"/>
    </row>
    <row r="31035" spans="25:25" x14ac:dyDescent="0.25">
      <c r="Y31035" s="63"/>
    </row>
    <row r="31036" spans="25:25" x14ac:dyDescent="0.25">
      <c r="Y31036" s="63"/>
    </row>
    <row r="31037" spans="25:25" x14ac:dyDescent="0.25">
      <c r="Y31037" s="63"/>
    </row>
    <row r="31038" spans="25:25" x14ac:dyDescent="0.25">
      <c r="Y31038" s="63"/>
    </row>
    <row r="31039" spans="25:25" x14ac:dyDescent="0.25">
      <c r="Y31039" s="63"/>
    </row>
    <row r="31040" spans="25:25" x14ac:dyDescent="0.25">
      <c r="Y31040" s="63"/>
    </row>
    <row r="31041" spans="25:25" x14ac:dyDescent="0.25">
      <c r="Y31041" s="63"/>
    </row>
    <row r="31042" spans="25:25" x14ac:dyDescent="0.25">
      <c r="Y31042" s="63"/>
    </row>
    <row r="31043" spans="25:25" x14ac:dyDescent="0.25">
      <c r="Y31043" s="63"/>
    </row>
    <row r="31044" spans="25:25" x14ac:dyDescent="0.25">
      <c r="Y31044" s="63"/>
    </row>
    <row r="31045" spans="25:25" x14ac:dyDescent="0.25">
      <c r="Y31045" s="63"/>
    </row>
    <row r="31046" spans="25:25" x14ac:dyDescent="0.25">
      <c r="Y31046" s="63"/>
    </row>
    <row r="31047" spans="25:25" x14ac:dyDescent="0.25">
      <c r="Y31047" s="63"/>
    </row>
    <row r="31048" spans="25:25" x14ac:dyDescent="0.25">
      <c r="Y31048" s="63"/>
    </row>
    <row r="31049" spans="25:25" x14ac:dyDescent="0.25">
      <c r="Y31049" s="63"/>
    </row>
    <row r="31050" spans="25:25" x14ac:dyDescent="0.25">
      <c r="Y31050" s="63"/>
    </row>
    <row r="31051" spans="25:25" x14ac:dyDescent="0.25">
      <c r="Y31051" s="63"/>
    </row>
    <row r="31052" spans="25:25" x14ac:dyDescent="0.25">
      <c r="Y31052" s="63"/>
    </row>
    <row r="31053" spans="25:25" x14ac:dyDescent="0.25">
      <c r="Y31053" s="63"/>
    </row>
    <row r="31054" spans="25:25" x14ac:dyDescent="0.25">
      <c r="Y31054" s="63"/>
    </row>
    <row r="31055" spans="25:25" x14ac:dyDescent="0.25">
      <c r="Y31055" s="63"/>
    </row>
    <row r="31056" spans="25:25" x14ac:dyDescent="0.25">
      <c r="Y31056" s="63"/>
    </row>
    <row r="31057" spans="25:25" x14ac:dyDescent="0.25">
      <c r="Y31057" s="63"/>
    </row>
    <row r="31058" spans="25:25" x14ac:dyDescent="0.25">
      <c r="Y31058" s="63"/>
    </row>
    <row r="31059" spans="25:25" x14ac:dyDescent="0.25">
      <c r="Y31059" s="63"/>
    </row>
    <row r="31060" spans="25:25" x14ac:dyDescent="0.25">
      <c r="Y31060" s="63"/>
    </row>
    <row r="31061" spans="25:25" x14ac:dyDescent="0.25">
      <c r="Y31061" s="63"/>
    </row>
    <row r="31062" spans="25:25" x14ac:dyDescent="0.25">
      <c r="Y31062" s="63"/>
    </row>
    <row r="31063" spans="25:25" x14ac:dyDescent="0.25">
      <c r="Y31063" s="63"/>
    </row>
    <row r="31064" spans="25:25" x14ac:dyDescent="0.25">
      <c r="Y31064" s="63"/>
    </row>
    <row r="31065" spans="25:25" x14ac:dyDescent="0.25">
      <c r="Y31065" s="63"/>
    </row>
    <row r="31066" spans="25:25" x14ac:dyDescent="0.25">
      <c r="Y31066" s="63"/>
    </row>
    <row r="31067" spans="25:25" x14ac:dyDescent="0.25">
      <c r="Y31067" s="63"/>
    </row>
    <row r="31068" spans="25:25" x14ac:dyDescent="0.25">
      <c r="Y31068" s="63"/>
    </row>
    <row r="31069" spans="25:25" x14ac:dyDescent="0.25">
      <c r="Y31069" s="63"/>
    </row>
    <row r="31070" spans="25:25" x14ac:dyDescent="0.25">
      <c r="Y31070" s="63"/>
    </row>
    <row r="31071" spans="25:25" x14ac:dyDescent="0.25">
      <c r="Y31071" s="63"/>
    </row>
    <row r="31072" spans="25:25" x14ac:dyDescent="0.25">
      <c r="Y31072" s="63"/>
    </row>
    <row r="31073" spans="25:25" x14ac:dyDescent="0.25">
      <c r="Y31073" s="63"/>
    </row>
    <row r="31074" spans="25:25" x14ac:dyDescent="0.25">
      <c r="Y31074" s="63"/>
    </row>
    <row r="31075" spans="25:25" x14ac:dyDescent="0.25">
      <c r="Y31075" s="63"/>
    </row>
    <row r="31076" spans="25:25" x14ac:dyDescent="0.25">
      <c r="Y31076" s="63"/>
    </row>
    <row r="31077" spans="25:25" x14ac:dyDescent="0.25">
      <c r="Y31077" s="63"/>
    </row>
    <row r="31078" spans="25:25" x14ac:dyDescent="0.25">
      <c r="Y31078" s="63"/>
    </row>
    <row r="31079" spans="25:25" x14ac:dyDescent="0.25">
      <c r="Y31079" s="63"/>
    </row>
    <row r="31080" spans="25:25" x14ac:dyDescent="0.25">
      <c r="Y31080" s="63"/>
    </row>
    <row r="31081" spans="25:25" x14ac:dyDescent="0.25">
      <c r="Y31081" s="63"/>
    </row>
    <row r="31082" spans="25:25" x14ac:dyDescent="0.25">
      <c r="Y31082" s="63"/>
    </row>
    <row r="31083" spans="25:25" x14ac:dyDescent="0.25">
      <c r="Y31083" s="63"/>
    </row>
    <row r="31084" spans="25:25" x14ac:dyDescent="0.25">
      <c r="Y31084" s="63"/>
    </row>
    <row r="31085" spans="25:25" x14ac:dyDescent="0.25">
      <c r="Y31085" s="63"/>
    </row>
    <row r="31086" spans="25:25" x14ac:dyDescent="0.25">
      <c r="Y31086" s="63"/>
    </row>
    <row r="31087" spans="25:25" x14ac:dyDescent="0.25">
      <c r="Y31087" s="63"/>
    </row>
    <row r="31088" spans="25:25" x14ac:dyDescent="0.25">
      <c r="Y31088" s="63"/>
    </row>
    <row r="31089" spans="25:25" x14ac:dyDescent="0.25">
      <c r="Y31089" s="63"/>
    </row>
    <row r="31090" spans="25:25" x14ac:dyDescent="0.25">
      <c r="Y31090" s="63"/>
    </row>
    <row r="31091" spans="25:25" x14ac:dyDescent="0.25">
      <c r="Y31091" s="63"/>
    </row>
    <row r="31092" spans="25:25" x14ac:dyDescent="0.25">
      <c r="Y31092" s="63"/>
    </row>
    <row r="31093" spans="25:25" x14ac:dyDescent="0.25">
      <c r="Y31093" s="63"/>
    </row>
    <row r="31094" spans="25:25" x14ac:dyDescent="0.25">
      <c r="Y31094" s="63"/>
    </row>
    <row r="31095" spans="25:25" x14ac:dyDescent="0.25">
      <c r="Y31095" s="63"/>
    </row>
    <row r="31096" spans="25:25" x14ac:dyDescent="0.25">
      <c r="Y31096" s="63"/>
    </row>
    <row r="31097" spans="25:25" x14ac:dyDescent="0.25">
      <c r="Y31097" s="63"/>
    </row>
    <row r="31098" spans="25:25" x14ac:dyDescent="0.25">
      <c r="Y31098" s="63"/>
    </row>
    <row r="31099" spans="25:25" x14ac:dyDescent="0.25">
      <c r="Y31099" s="63"/>
    </row>
    <row r="31100" spans="25:25" x14ac:dyDescent="0.25">
      <c r="Y31100" s="63"/>
    </row>
    <row r="31101" spans="25:25" x14ac:dyDescent="0.25">
      <c r="Y31101" s="63"/>
    </row>
    <row r="31102" spans="25:25" x14ac:dyDescent="0.25">
      <c r="Y31102" s="63"/>
    </row>
    <row r="31103" spans="25:25" x14ac:dyDescent="0.25">
      <c r="Y31103" s="63"/>
    </row>
    <row r="31104" spans="25:25" x14ac:dyDescent="0.25">
      <c r="Y31104" s="63"/>
    </row>
    <row r="31105" spans="25:25" x14ac:dyDescent="0.25">
      <c r="Y31105" s="63"/>
    </row>
    <row r="31106" spans="25:25" x14ac:dyDescent="0.25">
      <c r="Y31106" s="63"/>
    </row>
    <row r="31107" spans="25:25" x14ac:dyDescent="0.25">
      <c r="Y31107" s="63"/>
    </row>
    <row r="31108" spans="25:25" x14ac:dyDescent="0.25">
      <c r="Y31108" s="63"/>
    </row>
    <row r="31109" spans="25:25" x14ac:dyDescent="0.25">
      <c r="Y31109" s="63"/>
    </row>
    <row r="31110" spans="25:25" x14ac:dyDescent="0.25">
      <c r="Y31110" s="63"/>
    </row>
    <row r="31111" spans="25:25" x14ac:dyDescent="0.25">
      <c r="Y31111" s="63"/>
    </row>
    <row r="31112" spans="25:25" x14ac:dyDescent="0.25">
      <c r="Y31112" s="63"/>
    </row>
    <row r="31113" spans="25:25" x14ac:dyDescent="0.25">
      <c r="Y31113" s="63"/>
    </row>
    <row r="31114" spans="25:25" x14ac:dyDescent="0.25">
      <c r="Y31114" s="63"/>
    </row>
    <row r="31115" spans="25:25" x14ac:dyDescent="0.25">
      <c r="Y31115" s="63"/>
    </row>
    <row r="31116" spans="25:25" x14ac:dyDescent="0.25">
      <c r="Y31116" s="63"/>
    </row>
    <row r="31117" spans="25:25" x14ac:dyDescent="0.25">
      <c r="Y31117" s="63"/>
    </row>
    <row r="31118" spans="25:25" x14ac:dyDescent="0.25">
      <c r="Y31118" s="63"/>
    </row>
    <row r="31119" spans="25:25" x14ac:dyDescent="0.25">
      <c r="Y31119" s="63"/>
    </row>
    <row r="31120" spans="25:25" x14ac:dyDescent="0.25">
      <c r="Y31120" s="63"/>
    </row>
    <row r="31121" spans="25:25" x14ac:dyDescent="0.25">
      <c r="Y31121" s="63"/>
    </row>
    <row r="31122" spans="25:25" x14ac:dyDescent="0.25">
      <c r="Y31122" s="63"/>
    </row>
    <row r="31123" spans="25:25" x14ac:dyDescent="0.25">
      <c r="Y31123" s="63"/>
    </row>
    <row r="31124" spans="25:25" x14ac:dyDescent="0.25">
      <c r="Y31124" s="63"/>
    </row>
    <row r="31125" spans="25:25" x14ac:dyDescent="0.25">
      <c r="Y31125" s="63"/>
    </row>
    <row r="31126" spans="25:25" x14ac:dyDescent="0.25">
      <c r="Y31126" s="63"/>
    </row>
    <row r="31127" spans="25:25" x14ac:dyDescent="0.25">
      <c r="Y31127" s="63"/>
    </row>
    <row r="31128" spans="25:25" x14ac:dyDescent="0.25">
      <c r="Y31128" s="63"/>
    </row>
    <row r="31129" spans="25:25" x14ac:dyDescent="0.25">
      <c r="Y31129" s="63"/>
    </row>
    <row r="31130" spans="25:25" x14ac:dyDescent="0.25">
      <c r="Y31130" s="63"/>
    </row>
    <row r="31131" spans="25:25" x14ac:dyDescent="0.25">
      <c r="Y31131" s="63"/>
    </row>
    <row r="31132" spans="25:25" x14ac:dyDescent="0.25">
      <c r="Y31132" s="63"/>
    </row>
    <row r="31133" spans="25:25" x14ac:dyDescent="0.25">
      <c r="Y31133" s="63"/>
    </row>
    <row r="31134" spans="25:25" x14ac:dyDescent="0.25">
      <c r="Y31134" s="63"/>
    </row>
    <row r="31135" spans="25:25" x14ac:dyDescent="0.25">
      <c r="Y31135" s="63"/>
    </row>
    <row r="31136" spans="25:25" x14ac:dyDescent="0.25">
      <c r="Y31136" s="63"/>
    </row>
    <row r="31137" spans="25:25" x14ac:dyDescent="0.25">
      <c r="Y31137" s="63"/>
    </row>
    <row r="31138" spans="25:25" x14ac:dyDescent="0.25">
      <c r="Y31138" s="63"/>
    </row>
    <row r="31139" spans="25:25" x14ac:dyDescent="0.25">
      <c r="Y31139" s="63"/>
    </row>
    <row r="31140" spans="25:25" x14ac:dyDescent="0.25">
      <c r="Y31140" s="63"/>
    </row>
    <row r="31141" spans="25:25" x14ac:dyDescent="0.25">
      <c r="Y31141" s="63"/>
    </row>
    <row r="31142" spans="25:25" x14ac:dyDescent="0.25">
      <c r="Y31142" s="63"/>
    </row>
    <row r="31143" spans="25:25" x14ac:dyDescent="0.25">
      <c r="Y31143" s="63"/>
    </row>
    <row r="31144" spans="25:25" x14ac:dyDescent="0.25">
      <c r="Y31144" s="63"/>
    </row>
    <row r="31145" spans="25:25" x14ac:dyDescent="0.25">
      <c r="Y31145" s="63"/>
    </row>
    <row r="31146" spans="25:25" x14ac:dyDescent="0.25">
      <c r="Y31146" s="63"/>
    </row>
    <row r="31147" spans="25:25" x14ac:dyDescent="0.25">
      <c r="Y31147" s="63"/>
    </row>
    <row r="31148" spans="25:25" x14ac:dyDescent="0.25">
      <c r="Y31148" s="63"/>
    </row>
    <row r="31149" spans="25:25" x14ac:dyDescent="0.25">
      <c r="Y31149" s="63"/>
    </row>
    <row r="31150" spans="25:25" x14ac:dyDescent="0.25">
      <c r="Y31150" s="63"/>
    </row>
    <row r="31151" spans="25:25" x14ac:dyDescent="0.25">
      <c r="Y31151" s="63"/>
    </row>
    <row r="31152" spans="25:25" x14ac:dyDescent="0.25">
      <c r="Y31152" s="63"/>
    </row>
    <row r="31153" spans="25:25" x14ac:dyDescent="0.25">
      <c r="Y31153" s="63"/>
    </row>
    <row r="31154" spans="25:25" x14ac:dyDescent="0.25">
      <c r="Y31154" s="63"/>
    </row>
    <row r="31155" spans="25:25" x14ac:dyDescent="0.25">
      <c r="Y31155" s="63"/>
    </row>
    <row r="31156" spans="25:25" x14ac:dyDescent="0.25">
      <c r="Y31156" s="63"/>
    </row>
    <row r="31157" spans="25:25" x14ac:dyDescent="0.25">
      <c r="Y31157" s="63"/>
    </row>
    <row r="31158" spans="25:25" x14ac:dyDescent="0.25">
      <c r="Y31158" s="63"/>
    </row>
    <row r="31159" spans="25:25" x14ac:dyDescent="0.25">
      <c r="Y31159" s="63"/>
    </row>
    <row r="31160" spans="25:25" x14ac:dyDescent="0.25">
      <c r="Y31160" s="63"/>
    </row>
    <row r="31161" spans="25:25" x14ac:dyDescent="0.25">
      <c r="Y31161" s="63"/>
    </row>
    <row r="31162" spans="25:25" x14ac:dyDescent="0.25">
      <c r="Y31162" s="63"/>
    </row>
    <row r="31163" spans="25:25" x14ac:dyDescent="0.25">
      <c r="Y31163" s="63"/>
    </row>
    <row r="31164" spans="25:25" x14ac:dyDescent="0.25">
      <c r="Y31164" s="63"/>
    </row>
    <row r="31165" spans="25:25" x14ac:dyDescent="0.25">
      <c r="Y31165" s="63"/>
    </row>
    <row r="31166" spans="25:25" x14ac:dyDescent="0.25">
      <c r="Y31166" s="63"/>
    </row>
    <row r="31167" spans="25:25" x14ac:dyDescent="0.25">
      <c r="Y31167" s="63"/>
    </row>
    <row r="31168" spans="25:25" x14ac:dyDescent="0.25">
      <c r="Y31168" s="63"/>
    </row>
    <row r="31169" spans="25:25" x14ac:dyDescent="0.25">
      <c r="Y31169" s="63"/>
    </row>
    <row r="31170" spans="25:25" x14ac:dyDescent="0.25">
      <c r="Y31170" s="63"/>
    </row>
    <row r="31171" spans="25:25" x14ac:dyDescent="0.25">
      <c r="Y31171" s="63"/>
    </row>
    <row r="31172" spans="25:25" x14ac:dyDescent="0.25">
      <c r="Y31172" s="63"/>
    </row>
    <row r="31173" spans="25:25" x14ac:dyDescent="0.25">
      <c r="Y31173" s="63"/>
    </row>
    <row r="31174" spans="25:25" x14ac:dyDescent="0.25">
      <c r="Y31174" s="63"/>
    </row>
    <row r="31175" spans="25:25" x14ac:dyDescent="0.25">
      <c r="Y31175" s="63"/>
    </row>
    <row r="31176" spans="25:25" x14ac:dyDescent="0.25">
      <c r="Y31176" s="63"/>
    </row>
    <row r="31177" spans="25:25" x14ac:dyDescent="0.25">
      <c r="Y31177" s="63"/>
    </row>
    <row r="31178" spans="25:25" x14ac:dyDescent="0.25">
      <c r="Y31178" s="63"/>
    </row>
    <row r="31179" spans="25:25" x14ac:dyDescent="0.25">
      <c r="Y31179" s="63"/>
    </row>
    <row r="31180" spans="25:25" x14ac:dyDescent="0.25">
      <c r="Y31180" s="63"/>
    </row>
    <row r="31181" spans="25:25" x14ac:dyDescent="0.25">
      <c r="Y31181" s="63"/>
    </row>
    <row r="31182" spans="25:25" x14ac:dyDescent="0.25">
      <c r="Y31182" s="63"/>
    </row>
    <row r="31183" spans="25:25" x14ac:dyDescent="0.25">
      <c r="Y31183" s="63"/>
    </row>
    <row r="31184" spans="25:25" x14ac:dyDescent="0.25">
      <c r="Y31184" s="63"/>
    </row>
    <row r="31185" spans="25:25" x14ac:dyDescent="0.25">
      <c r="Y31185" s="63"/>
    </row>
    <row r="31186" spans="25:25" x14ac:dyDescent="0.25">
      <c r="Y31186" s="63"/>
    </row>
    <row r="31187" spans="25:25" x14ac:dyDescent="0.25">
      <c r="Y31187" s="63"/>
    </row>
    <row r="31188" spans="25:25" x14ac:dyDescent="0.25">
      <c r="Y31188" s="63"/>
    </row>
    <row r="31189" spans="25:25" x14ac:dyDescent="0.25">
      <c r="Y31189" s="63"/>
    </row>
    <row r="31190" spans="25:25" x14ac:dyDescent="0.25">
      <c r="Y31190" s="63"/>
    </row>
    <row r="31191" spans="25:25" x14ac:dyDescent="0.25">
      <c r="Y31191" s="63"/>
    </row>
    <row r="31192" spans="25:25" x14ac:dyDescent="0.25">
      <c r="Y31192" s="63"/>
    </row>
    <row r="31193" spans="25:25" x14ac:dyDescent="0.25">
      <c r="Y31193" s="63"/>
    </row>
    <row r="31194" spans="25:25" x14ac:dyDescent="0.25">
      <c r="Y31194" s="63"/>
    </row>
    <row r="31195" spans="25:25" x14ac:dyDescent="0.25">
      <c r="Y31195" s="63"/>
    </row>
    <row r="31196" spans="25:25" x14ac:dyDescent="0.25">
      <c r="Y31196" s="63"/>
    </row>
    <row r="31197" spans="25:25" x14ac:dyDescent="0.25">
      <c r="Y31197" s="63"/>
    </row>
    <row r="31198" spans="25:25" x14ac:dyDescent="0.25">
      <c r="Y31198" s="63"/>
    </row>
    <row r="31199" spans="25:25" x14ac:dyDescent="0.25">
      <c r="Y31199" s="63"/>
    </row>
    <row r="31200" spans="25:25" x14ac:dyDescent="0.25">
      <c r="Y31200" s="63"/>
    </row>
    <row r="31201" spans="25:25" x14ac:dyDescent="0.25">
      <c r="Y31201" s="63"/>
    </row>
    <row r="31202" spans="25:25" x14ac:dyDescent="0.25">
      <c r="Y31202" s="63"/>
    </row>
    <row r="31203" spans="25:25" x14ac:dyDescent="0.25">
      <c r="Y31203" s="63"/>
    </row>
    <row r="31204" spans="25:25" x14ac:dyDescent="0.25">
      <c r="Y31204" s="63"/>
    </row>
    <row r="31205" spans="25:25" x14ac:dyDescent="0.25">
      <c r="Y31205" s="63"/>
    </row>
    <row r="31206" spans="25:25" x14ac:dyDescent="0.25">
      <c r="Y31206" s="63"/>
    </row>
    <row r="31207" spans="25:25" x14ac:dyDescent="0.25">
      <c r="Y31207" s="63"/>
    </row>
    <row r="31208" spans="25:25" x14ac:dyDescent="0.25">
      <c r="Y31208" s="63"/>
    </row>
    <row r="31209" spans="25:25" x14ac:dyDescent="0.25">
      <c r="Y31209" s="63"/>
    </row>
    <row r="31210" spans="25:25" x14ac:dyDescent="0.25">
      <c r="Y31210" s="63"/>
    </row>
    <row r="31211" spans="25:25" x14ac:dyDescent="0.25">
      <c r="Y31211" s="63"/>
    </row>
    <row r="31212" spans="25:25" x14ac:dyDescent="0.25">
      <c r="Y31212" s="63"/>
    </row>
    <row r="31213" spans="25:25" x14ac:dyDescent="0.25">
      <c r="Y31213" s="63"/>
    </row>
    <row r="31214" spans="25:25" x14ac:dyDescent="0.25">
      <c r="Y31214" s="63"/>
    </row>
    <row r="31215" spans="25:25" x14ac:dyDescent="0.25">
      <c r="Y31215" s="63"/>
    </row>
    <row r="31216" spans="25:25" x14ac:dyDescent="0.25">
      <c r="Y31216" s="63"/>
    </row>
    <row r="31217" spans="25:25" x14ac:dyDescent="0.25">
      <c r="Y31217" s="63"/>
    </row>
    <row r="31218" spans="25:25" x14ac:dyDescent="0.25">
      <c r="Y31218" s="63"/>
    </row>
    <row r="31219" spans="25:25" x14ac:dyDescent="0.25">
      <c r="Y31219" s="63"/>
    </row>
    <row r="31220" spans="25:25" x14ac:dyDescent="0.25">
      <c r="Y31220" s="63"/>
    </row>
    <row r="31221" spans="25:25" x14ac:dyDescent="0.25">
      <c r="Y31221" s="63"/>
    </row>
    <row r="31222" spans="25:25" x14ac:dyDescent="0.25">
      <c r="Y31222" s="63"/>
    </row>
    <row r="31223" spans="25:25" x14ac:dyDescent="0.25">
      <c r="Y31223" s="63"/>
    </row>
    <row r="31224" spans="25:25" x14ac:dyDescent="0.25">
      <c r="Y31224" s="63"/>
    </row>
    <row r="31225" spans="25:25" x14ac:dyDescent="0.25">
      <c r="Y31225" s="63"/>
    </row>
    <row r="31226" spans="25:25" x14ac:dyDescent="0.25">
      <c r="Y31226" s="63"/>
    </row>
    <row r="31227" spans="25:25" x14ac:dyDescent="0.25">
      <c r="Y31227" s="63"/>
    </row>
    <row r="31228" spans="25:25" x14ac:dyDescent="0.25">
      <c r="Y31228" s="63"/>
    </row>
    <row r="31229" spans="25:25" x14ac:dyDescent="0.25">
      <c r="Y31229" s="63"/>
    </row>
    <row r="31230" spans="25:25" x14ac:dyDescent="0.25">
      <c r="Y31230" s="63"/>
    </row>
    <row r="31231" spans="25:25" x14ac:dyDescent="0.25">
      <c r="Y31231" s="63"/>
    </row>
    <row r="31232" spans="25:25" x14ac:dyDescent="0.25">
      <c r="Y31232" s="63"/>
    </row>
    <row r="31233" spans="25:25" x14ac:dyDescent="0.25">
      <c r="Y31233" s="63"/>
    </row>
    <row r="31234" spans="25:25" x14ac:dyDescent="0.25">
      <c r="Y31234" s="63"/>
    </row>
    <row r="31235" spans="25:25" x14ac:dyDescent="0.25">
      <c r="Y31235" s="63"/>
    </row>
    <row r="31236" spans="25:25" x14ac:dyDescent="0.25">
      <c r="Y31236" s="63"/>
    </row>
    <row r="31237" spans="25:25" x14ac:dyDescent="0.25">
      <c r="Y31237" s="63"/>
    </row>
    <row r="31238" spans="25:25" x14ac:dyDescent="0.25">
      <c r="Y31238" s="63"/>
    </row>
    <row r="31239" spans="25:25" x14ac:dyDescent="0.25">
      <c r="Y31239" s="63"/>
    </row>
    <row r="31240" spans="25:25" x14ac:dyDescent="0.25">
      <c r="Y31240" s="63"/>
    </row>
    <row r="31241" spans="25:25" x14ac:dyDescent="0.25">
      <c r="Y31241" s="63"/>
    </row>
    <row r="31242" spans="25:25" x14ac:dyDescent="0.25">
      <c r="Y31242" s="63"/>
    </row>
    <row r="31243" spans="25:25" x14ac:dyDescent="0.25">
      <c r="Y31243" s="63"/>
    </row>
    <row r="31244" spans="25:25" x14ac:dyDescent="0.25">
      <c r="Y31244" s="63"/>
    </row>
    <row r="31245" spans="25:25" x14ac:dyDescent="0.25">
      <c r="Y31245" s="63"/>
    </row>
    <row r="31246" spans="25:25" x14ac:dyDescent="0.25">
      <c r="Y31246" s="63"/>
    </row>
    <row r="31247" spans="25:25" x14ac:dyDescent="0.25">
      <c r="Y31247" s="63"/>
    </row>
    <row r="31248" spans="25:25" x14ac:dyDescent="0.25">
      <c r="Y31248" s="63"/>
    </row>
    <row r="31249" spans="25:25" x14ac:dyDescent="0.25">
      <c r="Y31249" s="63"/>
    </row>
    <row r="31250" spans="25:25" x14ac:dyDescent="0.25">
      <c r="Y31250" s="63"/>
    </row>
    <row r="31251" spans="25:25" x14ac:dyDescent="0.25">
      <c r="Y31251" s="63"/>
    </row>
    <row r="31252" spans="25:25" x14ac:dyDescent="0.25">
      <c r="Y31252" s="63"/>
    </row>
    <row r="31253" spans="25:25" x14ac:dyDescent="0.25">
      <c r="Y31253" s="63"/>
    </row>
    <row r="31254" spans="25:25" x14ac:dyDescent="0.25">
      <c r="Y31254" s="63"/>
    </row>
    <row r="31255" spans="25:25" x14ac:dyDescent="0.25">
      <c r="Y31255" s="63"/>
    </row>
    <row r="31256" spans="25:25" x14ac:dyDescent="0.25">
      <c r="Y31256" s="63"/>
    </row>
    <row r="31257" spans="25:25" x14ac:dyDescent="0.25">
      <c r="Y31257" s="63"/>
    </row>
    <row r="31258" spans="25:25" x14ac:dyDescent="0.25">
      <c r="Y31258" s="63"/>
    </row>
    <row r="31259" spans="25:25" x14ac:dyDescent="0.25">
      <c r="Y31259" s="63"/>
    </row>
    <row r="31260" spans="25:25" x14ac:dyDescent="0.25">
      <c r="Y31260" s="63"/>
    </row>
    <row r="31261" spans="25:25" x14ac:dyDescent="0.25">
      <c r="Y31261" s="63"/>
    </row>
    <row r="31262" spans="25:25" x14ac:dyDescent="0.25">
      <c r="Y31262" s="63"/>
    </row>
    <row r="31263" spans="25:25" x14ac:dyDescent="0.25">
      <c r="Y31263" s="63"/>
    </row>
    <row r="31264" spans="25:25" x14ac:dyDescent="0.25">
      <c r="Y31264" s="63"/>
    </row>
    <row r="31265" spans="25:25" x14ac:dyDescent="0.25">
      <c r="Y31265" s="63"/>
    </row>
    <row r="31266" spans="25:25" x14ac:dyDescent="0.25">
      <c r="Y31266" s="63"/>
    </row>
    <row r="31267" spans="25:25" x14ac:dyDescent="0.25">
      <c r="Y31267" s="63"/>
    </row>
    <row r="31268" spans="25:25" x14ac:dyDescent="0.25">
      <c r="Y31268" s="63"/>
    </row>
    <row r="31269" spans="25:25" x14ac:dyDescent="0.25">
      <c r="Y31269" s="63"/>
    </row>
    <row r="31270" spans="25:25" x14ac:dyDescent="0.25">
      <c r="Y31270" s="63"/>
    </row>
    <row r="31271" spans="25:25" x14ac:dyDescent="0.25">
      <c r="Y31271" s="63"/>
    </row>
    <row r="31272" spans="25:25" x14ac:dyDescent="0.25">
      <c r="Y31272" s="63"/>
    </row>
    <row r="31273" spans="25:25" x14ac:dyDescent="0.25">
      <c r="Y31273" s="63"/>
    </row>
    <row r="31274" spans="25:25" x14ac:dyDescent="0.25">
      <c r="Y31274" s="63"/>
    </row>
    <row r="31275" spans="25:25" x14ac:dyDescent="0.25">
      <c r="Y31275" s="63"/>
    </row>
    <row r="31276" spans="25:25" x14ac:dyDescent="0.25">
      <c r="Y31276" s="63"/>
    </row>
    <row r="31277" spans="25:25" x14ac:dyDescent="0.25">
      <c r="Y31277" s="63"/>
    </row>
    <row r="31278" spans="25:25" x14ac:dyDescent="0.25">
      <c r="Y31278" s="63"/>
    </row>
    <row r="31279" spans="25:25" x14ac:dyDescent="0.25">
      <c r="Y31279" s="63"/>
    </row>
    <row r="31280" spans="25:25" x14ac:dyDescent="0.25">
      <c r="Y31280" s="63"/>
    </row>
    <row r="31281" spans="25:25" x14ac:dyDescent="0.25">
      <c r="Y31281" s="63"/>
    </row>
    <row r="31282" spans="25:25" x14ac:dyDescent="0.25">
      <c r="Y31282" s="63"/>
    </row>
    <row r="31283" spans="25:25" x14ac:dyDescent="0.25">
      <c r="Y31283" s="63"/>
    </row>
    <row r="31284" spans="25:25" x14ac:dyDescent="0.25">
      <c r="Y31284" s="63"/>
    </row>
    <row r="31285" spans="25:25" x14ac:dyDescent="0.25">
      <c r="Y31285" s="63"/>
    </row>
    <row r="31286" spans="25:25" x14ac:dyDescent="0.25">
      <c r="Y31286" s="63"/>
    </row>
    <row r="31287" spans="25:25" x14ac:dyDescent="0.25">
      <c r="Y31287" s="63"/>
    </row>
    <row r="31288" spans="25:25" x14ac:dyDescent="0.25">
      <c r="Y31288" s="63"/>
    </row>
    <row r="31289" spans="25:25" x14ac:dyDescent="0.25">
      <c r="Y31289" s="63"/>
    </row>
    <row r="31290" spans="25:25" x14ac:dyDescent="0.25">
      <c r="Y31290" s="63"/>
    </row>
    <row r="31291" spans="25:25" x14ac:dyDescent="0.25">
      <c r="Y31291" s="63"/>
    </row>
    <row r="31292" spans="25:25" x14ac:dyDescent="0.25">
      <c r="Y31292" s="63"/>
    </row>
    <row r="31293" spans="25:25" x14ac:dyDescent="0.25">
      <c r="Y31293" s="63"/>
    </row>
    <row r="31294" spans="25:25" x14ac:dyDescent="0.25">
      <c r="Y31294" s="63"/>
    </row>
    <row r="31295" spans="25:25" x14ac:dyDescent="0.25">
      <c r="Y31295" s="63"/>
    </row>
    <row r="31296" spans="25:25" x14ac:dyDescent="0.25">
      <c r="Y31296" s="63"/>
    </row>
    <row r="31297" spans="25:25" x14ac:dyDescent="0.25">
      <c r="Y31297" s="63"/>
    </row>
    <row r="31298" spans="25:25" x14ac:dyDescent="0.25">
      <c r="Y31298" s="63"/>
    </row>
    <row r="31299" spans="25:25" x14ac:dyDescent="0.25">
      <c r="Y31299" s="63"/>
    </row>
    <row r="31300" spans="25:25" x14ac:dyDescent="0.25">
      <c r="Y31300" s="63"/>
    </row>
    <row r="31301" spans="25:25" x14ac:dyDescent="0.25">
      <c r="Y31301" s="63"/>
    </row>
    <row r="31302" spans="25:25" x14ac:dyDescent="0.25">
      <c r="Y31302" s="63"/>
    </row>
    <row r="31303" spans="25:25" x14ac:dyDescent="0.25">
      <c r="Y31303" s="63"/>
    </row>
    <row r="31304" spans="25:25" x14ac:dyDescent="0.25">
      <c r="Y31304" s="63"/>
    </row>
    <row r="31305" spans="25:25" x14ac:dyDescent="0.25">
      <c r="Y31305" s="63"/>
    </row>
    <row r="31306" spans="25:25" x14ac:dyDescent="0.25">
      <c r="Y31306" s="63"/>
    </row>
    <row r="31307" spans="25:25" x14ac:dyDescent="0.25">
      <c r="Y31307" s="63"/>
    </row>
    <row r="31308" spans="25:25" x14ac:dyDescent="0.25">
      <c r="Y31308" s="63"/>
    </row>
    <row r="31309" spans="25:25" x14ac:dyDescent="0.25">
      <c r="Y31309" s="63"/>
    </row>
    <row r="31310" spans="25:25" x14ac:dyDescent="0.25">
      <c r="Y31310" s="63"/>
    </row>
    <row r="31311" spans="25:25" x14ac:dyDescent="0.25">
      <c r="Y31311" s="63"/>
    </row>
    <row r="31312" spans="25:25" x14ac:dyDescent="0.25">
      <c r="Y31312" s="63"/>
    </row>
    <row r="31313" spans="25:25" x14ac:dyDescent="0.25">
      <c r="Y31313" s="63"/>
    </row>
    <row r="31314" spans="25:25" x14ac:dyDescent="0.25">
      <c r="Y31314" s="63"/>
    </row>
    <row r="31315" spans="25:25" x14ac:dyDescent="0.25">
      <c r="Y31315" s="63"/>
    </row>
    <row r="31316" spans="25:25" x14ac:dyDescent="0.25">
      <c r="Y31316" s="63"/>
    </row>
    <row r="31317" spans="25:25" x14ac:dyDescent="0.25">
      <c r="Y31317" s="63"/>
    </row>
    <row r="31318" spans="25:25" x14ac:dyDescent="0.25">
      <c r="Y31318" s="63"/>
    </row>
    <row r="31319" spans="25:25" x14ac:dyDescent="0.25">
      <c r="Y31319" s="63"/>
    </row>
    <row r="31320" spans="25:25" x14ac:dyDescent="0.25">
      <c r="Y31320" s="63"/>
    </row>
    <row r="31321" spans="25:25" x14ac:dyDescent="0.25">
      <c r="Y31321" s="63"/>
    </row>
    <row r="31322" spans="25:25" x14ac:dyDescent="0.25">
      <c r="Y31322" s="63"/>
    </row>
    <row r="31323" spans="25:25" x14ac:dyDescent="0.25">
      <c r="Y31323" s="63"/>
    </row>
    <row r="31324" spans="25:25" x14ac:dyDescent="0.25">
      <c r="Y31324" s="63"/>
    </row>
    <row r="31325" spans="25:25" x14ac:dyDescent="0.25">
      <c r="Y31325" s="63"/>
    </row>
    <row r="31326" spans="25:25" x14ac:dyDescent="0.25">
      <c r="Y31326" s="63"/>
    </row>
    <row r="31327" spans="25:25" x14ac:dyDescent="0.25">
      <c r="Y31327" s="63"/>
    </row>
    <row r="31328" spans="25:25" x14ac:dyDescent="0.25">
      <c r="Y31328" s="63"/>
    </row>
    <row r="31329" spans="25:25" x14ac:dyDescent="0.25">
      <c r="Y31329" s="63"/>
    </row>
    <row r="31330" spans="25:25" x14ac:dyDescent="0.25">
      <c r="Y31330" s="63"/>
    </row>
    <row r="31331" spans="25:25" x14ac:dyDescent="0.25">
      <c r="Y31331" s="63"/>
    </row>
    <row r="31332" spans="25:25" x14ac:dyDescent="0.25">
      <c r="Y31332" s="63"/>
    </row>
    <row r="31333" spans="25:25" x14ac:dyDescent="0.25">
      <c r="Y31333" s="63"/>
    </row>
    <row r="31334" spans="25:25" x14ac:dyDescent="0.25">
      <c r="Y31334" s="63"/>
    </row>
    <row r="31335" spans="25:25" x14ac:dyDescent="0.25">
      <c r="Y31335" s="63"/>
    </row>
    <row r="31336" spans="25:25" x14ac:dyDescent="0.25">
      <c r="Y31336" s="63"/>
    </row>
    <row r="31337" spans="25:25" x14ac:dyDescent="0.25">
      <c r="Y31337" s="63"/>
    </row>
    <row r="31338" spans="25:25" x14ac:dyDescent="0.25">
      <c r="Y31338" s="63"/>
    </row>
    <row r="31339" spans="25:25" x14ac:dyDescent="0.25">
      <c r="Y31339" s="63"/>
    </row>
    <row r="31340" spans="25:25" x14ac:dyDescent="0.25">
      <c r="Y31340" s="63"/>
    </row>
    <row r="31341" spans="25:25" x14ac:dyDescent="0.25">
      <c r="Y31341" s="63"/>
    </row>
    <row r="31342" spans="25:25" x14ac:dyDescent="0.25">
      <c r="Y31342" s="63"/>
    </row>
    <row r="31343" spans="25:25" x14ac:dyDescent="0.25">
      <c r="Y31343" s="63"/>
    </row>
    <row r="31344" spans="25:25" x14ac:dyDescent="0.25">
      <c r="Y31344" s="63"/>
    </row>
    <row r="31345" spans="25:25" x14ac:dyDescent="0.25">
      <c r="Y31345" s="63"/>
    </row>
    <row r="31346" spans="25:25" x14ac:dyDescent="0.25">
      <c r="Y31346" s="63"/>
    </row>
    <row r="31347" spans="25:25" x14ac:dyDescent="0.25">
      <c r="Y31347" s="63"/>
    </row>
    <row r="31348" spans="25:25" x14ac:dyDescent="0.25">
      <c r="Y31348" s="63"/>
    </row>
    <row r="31349" spans="25:25" x14ac:dyDescent="0.25">
      <c r="Y31349" s="63"/>
    </row>
    <row r="31350" spans="25:25" x14ac:dyDescent="0.25">
      <c r="Y31350" s="63"/>
    </row>
    <row r="31351" spans="25:25" x14ac:dyDescent="0.25">
      <c r="Y31351" s="63"/>
    </row>
    <row r="31352" spans="25:25" x14ac:dyDescent="0.25">
      <c r="Y31352" s="63"/>
    </row>
    <row r="31353" spans="25:25" x14ac:dyDescent="0.25">
      <c r="Y31353" s="63"/>
    </row>
    <row r="31354" spans="25:25" x14ac:dyDescent="0.25">
      <c r="Y31354" s="63"/>
    </row>
    <row r="31355" spans="25:25" x14ac:dyDescent="0.25">
      <c r="Y31355" s="63"/>
    </row>
    <row r="31356" spans="25:25" x14ac:dyDescent="0.25">
      <c r="Y31356" s="63"/>
    </row>
    <row r="31357" spans="25:25" x14ac:dyDescent="0.25">
      <c r="Y31357" s="63"/>
    </row>
    <row r="31358" spans="25:25" x14ac:dyDescent="0.25">
      <c r="Y31358" s="63"/>
    </row>
    <row r="31359" spans="25:25" x14ac:dyDescent="0.25">
      <c r="Y31359" s="63"/>
    </row>
    <row r="31360" spans="25:25" x14ac:dyDescent="0.25">
      <c r="Y31360" s="63"/>
    </row>
    <row r="31361" spans="25:25" x14ac:dyDescent="0.25">
      <c r="Y31361" s="63"/>
    </row>
    <row r="31362" spans="25:25" x14ac:dyDescent="0.25">
      <c r="Y31362" s="63"/>
    </row>
    <row r="31363" spans="25:25" x14ac:dyDescent="0.25">
      <c r="Y31363" s="63"/>
    </row>
    <row r="31364" spans="25:25" x14ac:dyDescent="0.25">
      <c r="Y31364" s="63"/>
    </row>
    <row r="31365" spans="25:25" x14ac:dyDescent="0.25">
      <c r="Y31365" s="63"/>
    </row>
    <row r="31366" spans="25:25" x14ac:dyDescent="0.25">
      <c r="Y31366" s="63"/>
    </row>
    <row r="31367" spans="25:25" x14ac:dyDescent="0.25">
      <c r="Y31367" s="63"/>
    </row>
    <row r="31368" spans="25:25" x14ac:dyDescent="0.25">
      <c r="Y31368" s="63"/>
    </row>
    <row r="31369" spans="25:25" x14ac:dyDescent="0.25">
      <c r="Y31369" s="63"/>
    </row>
    <row r="31370" spans="25:25" x14ac:dyDescent="0.25">
      <c r="Y31370" s="63"/>
    </row>
    <row r="31371" spans="25:25" x14ac:dyDescent="0.25">
      <c r="Y31371" s="63"/>
    </row>
    <row r="31372" spans="25:25" x14ac:dyDescent="0.25">
      <c r="Y31372" s="63"/>
    </row>
    <row r="31373" spans="25:25" x14ac:dyDescent="0.25">
      <c r="Y31373" s="63"/>
    </row>
    <row r="31374" spans="25:25" x14ac:dyDescent="0.25">
      <c r="Y31374" s="63"/>
    </row>
    <row r="31375" spans="25:25" x14ac:dyDescent="0.25">
      <c r="Y31375" s="63"/>
    </row>
    <row r="31376" spans="25:25" x14ac:dyDescent="0.25">
      <c r="Y31376" s="63"/>
    </row>
    <row r="31377" spans="25:25" x14ac:dyDescent="0.25">
      <c r="Y31377" s="63"/>
    </row>
    <row r="31378" spans="25:25" x14ac:dyDescent="0.25">
      <c r="Y31378" s="63"/>
    </row>
    <row r="31379" spans="25:25" x14ac:dyDescent="0.25">
      <c r="Y31379" s="63"/>
    </row>
    <row r="31380" spans="25:25" x14ac:dyDescent="0.25">
      <c r="Y31380" s="63"/>
    </row>
    <row r="31381" spans="25:25" x14ac:dyDescent="0.25">
      <c r="Y31381" s="63"/>
    </row>
    <row r="31382" spans="25:25" x14ac:dyDescent="0.25">
      <c r="Y31382" s="63"/>
    </row>
    <row r="31383" spans="25:25" x14ac:dyDescent="0.25">
      <c r="Y31383" s="63"/>
    </row>
    <row r="31384" spans="25:25" x14ac:dyDescent="0.25">
      <c r="Y31384" s="63"/>
    </row>
    <row r="31385" spans="25:25" x14ac:dyDescent="0.25">
      <c r="Y31385" s="63"/>
    </row>
    <row r="31386" spans="25:25" x14ac:dyDescent="0.25">
      <c r="Y31386" s="63"/>
    </row>
    <row r="31387" spans="25:25" x14ac:dyDescent="0.25">
      <c r="Y31387" s="63"/>
    </row>
    <row r="31388" spans="25:25" x14ac:dyDescent="0.25">
      <c r="Y31388" s="63"/>
    </row>
    <row r="31389" spans="25:25" x14ac:dyDescent="0.25">
      <c r="Y31389" s="63"/>
    </row>
    <row r="31390" spans="25:25" x14ac:dyDescent="0.25">
      <c r="Y31390" s="63"/>
    </row>
    <row r="31391" spans="25:25" x14ac:dyDescent="0.25">
      <c r="Y31391" s="63"/>
    </row>
    <row r="31392" spans="25:25" x14ac:dyDescent="0.25">
      <c r="Y31392" s="63"/>
    </row>
    <row r="31393" spans="25:25" x14ac:dyDescent="0.25">
      <c r="Y31393" s="63"/>
    </row>
    <row r="31394" spans="25:25" x14ac:dyDescent="0.25">
      <c r="Y31394" s="63"/>
    </row>
    <row r="31395" spans="25:25" x14ac:dyDescent="0.25">
      <c r="Y31395" s="63"/>
    </row>
    <row r="31396" spans="25:25" x14ac:dyDescent="0.25">
      <c r="Y31396" s="63"/>
    </row>
    <row r="31397" spans="25:25" x14ac:dyDescent="0.25">
      <c r="Y31397" s="63"/>
    </row>
    <row r="31398" spans="25:25" x14ac:dyDescent="0.25">
      <c r="Y31398" s="63"/>
    </row>
    <row r="31399" spans="25:25" x14ac:dyDescent="0.25">
      <c r="Y31399" s="63"/>
    </row>
    <row r="31400" spans="25:25" x14ac:dyDescent="0.25">
      <c r="Y31400" s="63"/>
    </row>
    <row r="31401" spans="25:25" x14ac:dyDescent="0.25">
      <c r="Y31401" s="63"/>
    </row>
    <row r="31402" spans="25:25" x14ac:dyDescent="0.25">
      <c r="Y31402" s="63"/>
    </row>
    <row r="31403" spans="25:25" x14ac:dyDescent="0.25">
      <c r="Y31403" s="63"/>
    </row>
    <row r="31404" spans="25:25" x14ac:dyDescent="0.25">
      <c r="Y31404" s="63"/>
    </row>
    <row r="31405" spans="25:25" x14ac:dyDescent="0.25">
      <c r="Y31405" s="63"/>
    </row>
    <row r="31406" spans="25:25" x14ac:dyDescent="0.25">
      <c r="Y31406" s="63"/>
    </row>
    <row r="31407" spans="25:25" x14ac:dyDescent="0.25">
      <c r="Y31407" s="63"/>
    </row>
    <row r="31408" spans="25:25" x14ac:dyDescent="0.25">
      <c r="Y31408" s="63"/>
    </row>
    <row r="31409" spans="25:25" x14ac:dyDescent="0.25">
      <c r="Y31409" s="63"/>
    </row>
    <row r="31410" spans="25:25" x14ac:dyDescent="0.25">
      <c r="Y31410" s="63"/>
    </row>
    <row r="31411" spans="25:25" x14ac:dyDescent="0.25">
      <c r="Y31411" s="63"/>
    </row>
    <row r="31412" spans="25:25" x14ac:dyDescent="0.25">
      <c r="Y31412" s="63"/>
    </row>
    <row r="31413" spans="25:25" x14ac:dyDescent="0.25">
      <c r="Y31413" s="63"/>
    </row>
    <row r="31414" spans="25:25" x14ac:dyDescent="0.25">
      <c r="Y31414" s="63"/>
    </row>
    <row r="31415" spans="25:25" x14ac:dyDescent="0.25">
      <c r="Y31415" s="63"/>
    </row>
    <row r="31416" spans="25:25" x14ac:dyDescent="0.25">
      <c r="Y31416" s="63"/>
    </row>
    <row r="31417" spans="25:25" x14ac:dyDescent="0.25">
      <c r="Y31417" s="63"/>
    </row>
    <row r="31418" spans="25:25" x14ac:dyDescent="0.25">
      <c r="Y31418" s="63"/>
    </row>
    <row r="31419" spans="25:25" x14ac:dyDescent="0.25">
      <c r="Y31419" s="63"/>
    </row>
    <row r="31420" spans="25:25" x14ac:dyDescent="0.25">
      <c r="Y31420" s="63"/>
    </row>
    <row r="31421" spans="25:25" x14ac:dyDescent="0.25">
      <c r="Y31421" s="63"/>
    </row>
    <row r="31422" spans="25:25" x14ac:dyDescent="0.25">
      <c r="Y31422" s="63"/>
    </row>
    <row r="31423" spans="25:25" x14ac:dyDescent="0.25">
      <c r="Y31423" s="63"/>
    </row>
    <row r="31424" spans="25:25" x14ac:dyDescent="0.25">
      <c r="Y31424" s="63"/>
    </row>
    <row r="31425" spans="25:25" x14ac:dyDescent="0.25">
      <c r="Y31425" s="63"/>
    </row>
    <row r="31426" spans="25:25" x14ac:dyDescent="0.25">
      <c r="Y31426" s="63"/>
    </row>
    <row r="31427" spans="25:25" x14ac:dyDescent="0.25">
      <c r="Y31427" s="63"/>
    </row>
    <row r="31428" spans="25:25" x14ac:dyDescent="0.25">
      <c r="Y31428" s="63"/>
    </row>
    <row r="31429" spans="25:25" x14ac:dyDescent="0.25">
      <c r="Y31429" s="63"/>
    </row>
    <row r="31430" spans="25:25" x14ac:dyDescent="0.25">
      <c r="Y31430" s="63"/>
    </row>
    <row r="31431" spans="25:25" x14ac:dyDescent="0.25">
      <c r="Y31431" s="63"/>
    </row>
    <row r="31432" spans="25:25" x14ac:dyDescent="0.25">
      <c r="Y31432" s="63"/>
    </row>
    <row r="31433" spans="25:25" x14ac:dyDescent="0.25">
      <c r="Y31433" s="63"/>
    </row>
    <row r="31434" spans="25:25" x14ac:dyDescent="0.25">
      <c r="Y31434" s="63"/>
    </row>
    <row r="31435" spans="25:25" x14ac:dyDescent="0.25">
      <c r="Y31435" s="63"/>
    </row>
    <row r="31436" spans="25:25" x14ac:dyDescent="0.25">
      <c r="Y31436" s="63"/>
    </row>
    <row r="31437" spans="25:25" x14ac:dyDescent="0.25">
      <c r="Y31437" s="63"/>
    </row>
    <row r="31438" spans="25:25" x14ac:dyDescent="0.25">
      <c r="Y31438" s="63"/>
    </row>
    <row r="31439" spans="25:25" x14ac:dyDescent="0.25">
      <c r="Y31439" s="63"/>
    </row>
    <row r="31440" spans="25:25" x14ac:dyDescent="0.25">
      <c r="Y31440" s="63"/>
    </row>
    <row r="31441" spans="25:25" x14ac:dyDescent="0.25">
      <c r="Y31441" s="63"/>
    </row>
    <row r="31442" spans="25:25" x14ac:dyDescent="0.25">
      <c r="Y31442" s="63"/>
    </row>
    <row r="31443" spans="25:25" x14ac:dyDescent="0.25">
      <c r="Y31443" s="63"/>
    </row>
    <row r="31444" spans="25:25" x14ac:dyDescent="0.25">
      <c r="Y31444" s="63"/>
    </row>
    <row r="31445" spans="25:25" x14ac:dyDescent="0.25">
      <c r="Y31445" s="63"/>
    </row>
    <row r="31446" spans="25:25" x14ac:dyDescent="0.25">
      <c r="Y31446" s="63"/>
    </row>
    <row r="31447" spans="25:25" x14ac:dyDescent="0.25">
      <c r="Y31447" s="63"/>
    </row>
    <row r="31448" spans="25:25" x14ac:dyDescent="0.25">
      <c r="Y31448" s="63"/>
    </row>
    <row r="31449" spans="25:25" x14ac:dyDescent="0.25">
      <c r="Y31449" s="63"/>
    </row>
    <row r="31450" spans="25:25" x14ac:dyDescent="0.25">
      <c r="Y31450" s="63"/>
    </row>
    <row r="31451" spans="25:25" x14ac:dyDescent="0.25">
      <c r="Y31451" s="63"/>
    </row>
    <row r="31452" spans="25:25" x14ac:dyDescent="0.25">
      <c r="Y31452" s="63"/>
    </row>
    <row r="31453" spans="25:25" x14ac:dyDescent="0.25">
      <c r="Y31453" s="63"/>
    </row>
    <row r="31454" spans="25:25" x14ac:dyDescent="0.25">
      <c r="Y31454" s="63"/>
    </row>
    <row r="31455" spans="25:25" x14ac:dyDescent="0.25">
      <c r="Y31455" s="63"/>
    </row>
    <row r="31456" spans="25:25" x14ac:dyDescent="0.25">
      <c r="Y31456" s="63"/>
    </row>
    <row r="31457" spans="25:25" x14ac:dyDescent="0.25">
      <c r="Y31457" s="63"/>
    </row>
    <row r="31458" spans="25:25" x14ac:dyDescent="0.25">
      <c r="Y31458" s="63"/>
    </row>
    <row r="31459" spans="25:25" x14ac:dyDescent="0.25">
      <c r="Y31459" s="63"/>
    </row>
    <row r="31460" spans="25:25" x14ac:dyDescent="0.25">
      <c r="Y31460" s="63"/>
    </row>
    <row r="31461" spans="25:25" x14ac:dyDescent="0.25">
      <c r="Y31461" s="63"/>
    </row>
    <row r="31462" spans="25:25" x14ac:dyDescent="0.25">
      <c r="Y31462" s="63"/>
    </row>
    <row r="31463" spans="25:25" x14ac:dyDescent="0.25">
      <c r="Y31463" s="63"/>
    </row>
    <row r="31464" spans="25:25" x14ac:dyDescent="0.25">
      <c r="Y31464" s="63"/>
    </row>
    <row r="31465" spans="25:25" x14ac:dyDescent="0.25">
      <c r="Y31465" s="63"/>
    </row>
    <row r="31466" spans="25:25" x14ac:dyDescent="0.25">
      <c r="Y31466" s="63"/>
    </row>
    <row r="31467" spans="25:25" x14ac:dyDescent="0.25">
      <c r="Y31467" s="63"/>
    </row>
    <row r="31468" spans="25:25" x14ac:dyDescent="0.25">
      <c r="Y31468" s="63"/>
    </row>
    <row r="31469" spans="25:25" x14ac:dyDescent="0.25">
      <c r="Y31469" s="63"/>
    </row>
    <row r="31470" spans="25:25" x14ac:dyDescent="0.25">
      <c r="Y31470" s="63"/>
    </row>
    <row r="31471" spans="25:25" x14ac:dyDescent="0.25">
      <c r="Y31471" s="63"/>
    </row>
    <row r="31472" spans="25:25" x14ac:dyDescent="0.25">
      <c r="Y31472" s="63"/>
    </row>
    <row r="31473" spans="25:25" x14ac:dyDescent="0.25">
      <c r="Y31473" s="63"/>
    </row>
    <row r="31474" spans="25:25" x14ac:dyDescent="0.25">
      <c r="Y31474" s="63"/>
    </row>
    <row r="31475" spans="25:25" x14ac:dyDescent="0.25">
      <c r="Y31475" s="63"/>
    </row>
    <row r="31476" spans="25:25" x14ac:dyDescent="0.25">
      <c r="Y31476" s="63"/>
    </row>
    <row r="31477" spans="25:25" x14ac:dyDescent="0.25">
      <c r="Y31477" s="63"/>
    </row>
    <row r="31478" spans="25:25" x14ac:dyDescent="0.25">
      <c r="Y31478" s="63"/>
    </row>
    <row r="31479" spans="25:25" x14ac:dyDescent="0.25">
      <c r="Y31479" s="63"/>
    </row>
    <row r="31480" spans="25:25" x14ac:dyDescent="0.25">
      <c r="Y31480" s="63"/>
    </row>
    <row r="31481" spans="25:25" x14ac:dyDescent="0.25">
      <c r="Y31481" s="63"/>
    </row>
    <row r="31482" spans="25:25" x14ac:dyDescent="0.25">
      <c r="Y31482" s="63"/>
    </row>
    <row r="31483" spans="25:25" x14ac:dyDescent="0.25">
      <c r="Y31483" s="63"/>
    </row>
    <row r="31484" spans="25:25" x14ac:dyDescent="0.25">
      <c r="Y31484" s="63"/>
    </row>
    <row r="31485" spans="25:25" x14ac:dyDescent="0.25">
      <c r="Y31485" s="63"/>
    </row>
    <row r="31486" spans="25:25" x14ac:dyDescent="0.25">
      <c r="Y31486" s="63"/>
    </row>
    <row r="31487" spans="25:25" x14ac:dyDescent="0.25">
      <c r="Y31487" s="63"/>
    </row>
    <row r="31488" spans="25:25" x14ac:dyDescent="0.25">
      <c r="Y31488" s="63"/>
    </row>
    <row r="31489" spans="25:25" x14ac:dyDescent="0.25">
      <c r="Y31489" s="63"/>
    </row>
    <row r="31490" spans="25:25" x14ac:dyDescent="0.25">
      <c r="Y31490" s="63"/>
    </row>
    <row r="31491" spans="25:25" x14ac:dyDescent="0.25">
      <c r="Y31491" s="63"/>
    </row>
    <row r="31492" spans="25:25" x14ac:dyDescent="0.25">
      <c r="Y31492" s="63"/>
    </row>
    <row r="31493" spans="25:25" x14ac:dyDescent="0.25">
      <c r="Y31493" s="63"/>
    </row>
    <row r="31494" spans="25:25" x14ac:dyDescent="0.25">
      <c r="Y31494" s="63"/>
    </row>
    <row r="31495" spans="25:25" x14ac:dyDescent="0.25">
      <c r="Y31495" s="63"/>
    </row>
    <row r="31496" spans="25:25" x14ac:dyDescent="0.25">
      <c r="Y31496" s="63"/>
    </row>
    <row r="31497" spans="25:25" x14ac:dyDescent="0.25">
      <c r="Y31497" s="63"/>
    </row>
    <row r="31498" spans="25:25" x14ac:dyDescent="0.25">
      <c r="Y31498" s="63"/>
    </row>
    <row r="31499" spans="25:25" x14ac:dyDescent="0.25">
      <c r="Y31499" s="63"/>
    </row>
    <row r="31500" spans="25:25" x14ac:dyDescent="0.25">
      <c r="Y31500" s="63"/>
    </row>
    <row r="31501" spans="25:25" x14ac:dyDescent="0.25">
      <c r="Y31501" s="63"/>
    </row>
    <row r="31502" spans="25:25" x14ac:dyDescent="0.25">
      <c r="Y31502" s="63"/>
    </row>
    <row r="31503" spans="25:25" x14ac:dyDescent="0.25">
      <c r="Y31503" s="63"/>
    </row>
    <row r="31504" spans="25:25" x14ac:dyDescent="0.25">
      <c r="Y31504" s="63"/>
    </row>
    <row r="31505" spans="25:25" x14ac:dyDescent="0.25">
      <c r="Y31505" s="63"/>
    </row>
    <row r="31506" spans="25:25" x14ac:dyDescent="0.25">
      <c r="Y31506" s="63"/>
    </row>
    <row r="31507" spans="25:25" x14ac:dyDescent="0.25">
      <c r="Y31507" s="63"/>
    </row>
    <row r="31508" spans="25:25" x14ac:dyDescent="0.25">
      <c r="Y31508" s="63"/>
    </row>
    <row r="31509" spans="25:25" x14ac:dyDescent="0.25">
      <c r="Y31509" s="63"/>
    </row>
    <row r="31510" spans="25:25" x14ac:dyDescent="0.25">
      <c r="Y31510" s="63"/>
    </row>
    <row r="31511" spans="25:25" x14ac:dyDescent="0.25">
      <c r="Y31511" s="63"/>
    </row>
    <row r="31512" spans="25:25" x14ac:dyDescent="0.25">
      <c r="Y31512" s="63"/>
    </row>
    <row r="31513" spans="25:25" x14ac:dyDescent="0.25">
      <c r="Y31513" s="63"/>
    </row>
    <row r="31514" spans="25:25" x14ac:dyDescent="0.25">
      <c r="Y31514" s="63"/>
    </row>
    <row r="31515" spans="25:25" x14ac:dyDescent="0.25">
      <c r="Y31515" s="63"/>
    </row>
    <row r="31516" spans="25:25" x14ac:dyDescent="0.25">
      <c r="Y31516" s="63"/>
    </row>
    <row r="31517" spans="25:25" x14ac:dyDescent="0.25">
      <c r="Y31517" s="63"/>
    </row>
    <row r="31518" spans="25:25" x14ac:dyDescent="0.25">
      <c r="Y31518" s="63"/>
    </row>
    <row r="31519" spans="25:25" x14ac:dyDescent="0.25">
      <c r="Y31519" s="63"/>
    </row>
    <row r="31520" spans="25:25" x14ac:dyDescent="0.25">
      <c r="Y31520" s="63"/>
    </row>
    <row r="31521" spans="25:25" x14ac:dyDescent="0.25">
      <c r="Y31521" s="63"/>
    </row>
    <row r="31522" spans="25:25" x14ac:dyDescent="0.25">
      <c r="Y31522" s="63"/>
    </row>
    <row r="31523" spans="25:25" x14ac:dyDescent="0.25">
      <c r="Y31523" s="63"/>
    </row>
    <row r="31524" spans="25:25" x14ac:dyDescent="0.25">
      <c r="Y31524" s="63"/>
    </row>
    <row r="31525" spans="25:25" x14ac:dyDescent="0.25">
      <c r="Y31525" s="63"/>
    </row>
    <row r="31526" spans="25:25" x14ac:dyDescent="0.25">
      <c r="Y31526" s="63"/>
    </row>
    <row r="31527" spans="25:25" x14ac:dyDescent="0.25">
      <c r="Y31527" s="63"/>
    </row>
    <row r="31528" spans="25:25" x14ac:dyDescent="0.25">
      <c r="Y31528" s="63"/>
    </row>
    <row r="31529" spans="25:25" x14ac:dyDescent="0.25">
      <c r="Y31529" s="63"/>
    </row>
    <row r="31530" spans="25:25" x14ac:dyDescent="0.25">
      <c r="Y31530" s="63"/>
    </row>
    <row r="31531" spans="25:25" x14ac:dyDescent="0.25">
      <c r="Y31531" s="63"/>
    </row>
    <row r="31532" spans="25:25" x14ac:dyDescent="0.25">
      <c r="Y31532" s="63"/>
    </row>
    <row r="31533" spans="25:25" x14ac:dyDescent="0.25">
      <c r="Y31533" s="63"/>
    </row>
    <row r="31534" spans="25:25" x14ac:dyDescent="0.25">
      <c r="Y31534" s="63"/>
    </row>
    <row r="31535" spans="25:25" x14ac:dyDescent="0.25">
      <c r="Y31535" s="63"/>
    </row>
    <row r="31536" spans="25:25" x14ac:dyDescent="0.25">
      <c r="Y31536" s="63"/>
    </row>
    <row r="31537" spans="25:25" x14ac:dyDescent="0.25">
      <c r="Y31537" s="63"/>
    </row>
    <row r="31538" spans="25:25" x14ac:dyDescent="0.25">
      <c r="Y31538" s="63"/>
    </row>
    <row r="31539" spans="25:25" x14ac:dyDescent="0.25">
      <c r="Y31539" s="63"/>
    </row>
    <row r="31540" spans="25:25" x14ac:dyDescent="0.25">
      <c r="Y31540" s="63"/>
    </row>
    <row r="31541" spans="25:25" x14ac:dyDescent="0.25">
      <c r="Y31541" s="63"/>
    </row>
    <row r="31542" spans="25:25" x14ac:dyDescent="0.25">
      <c r="Y31542" s="63"/>
    </row>
    <row r="31543" spans="25:25" x14ac:dyDescent="0.25">
      <c r="Y31543" s="63"/>
    </row>
    <row r="31544" spans="25:25" x14ac:dyDescent="0.25">
      <c r="Y31544" s="63"/>
    </row>
    <row r="31545" spans="25:25" x14ac:dyDescent="0.25">
      <c r="Y31545" s="63"/>
    </row>
    <row r="31546" spans="25:25" x14ac:dyDescent="0.25">
      <c r="Y31546" s="63"/>
    </row>
    <row r="31547" spans="25:25" x14ac:dyDescent="0.25">
      <c r="Y31547" s="63"/>
    </row>
    <row r="31548" spans="25:25" x14ac:dyDescent="0.25">
      <c r="Y31548" s="63"/>
    </row>
    <row r="31549" spans="25:25" x14ac:dyDescent="0.25">
      <c r="Y31549" s="63"/>
    </row>
    <row r="31550" spans="25:25" x14ac:dyDescent="0.25">
      <c r="Y31550" s="63"/>
    </row>
    <row r="31551" spans="25:25" x14ac:dyDescent="0.25">
      <c r="Y31551" s="63"/>
    </row>
    <row r="31552" spans="25:25" x14ac:dyDescent="0.25">
      <c r="Y31552" s="63"/>
    </row>
    <row r="31553" spans="25:25" x14ac:dyDescent="0.25">
      <c r="Y31553" s="63"/>
    </row>
    <row r="31554" spans="25:25" x14ac:dyDescent="0.25">
      <c r="Y31554" s="63"/>
    </row>
    <row r="31555" spans="25:25" x14ac:dyDescent="0.25">
      <c r="Y31555" s="63"/>
    </row>
    <row r="31556" spans="25:25" x14ac:dyDescent="0.25">
      <c r="Y31556" s="63"/>
    </row>
    <row r="31557" spans="25:25" x14ac:dyDescent="0.25">
      <c r="Y31557" s="63"/>
    </row>
    <row r="31558" spans="25:25" x14ac:dyDescent="0.25">
      <c r="Y31558" s="63"/>
    </row>
    <row r="31559" spans="25:25" x14ac:dyDescent="0.25">
      <c r="Y31559" s="63"/>
    </row>
    <row r="31560" spans="25:25" x14ac:dyDescent="0.25">
      <c r="Y31560" s="63"/>
    </row>
    <row r="31561" spans="25:25" x14ac:dyDescent="0.25">
      <c r="Y31561" s="63"/>
    </row>
    <row r="31562" spans="25:25" x14ac:dyDescent="0.25">
      <c r="Y31562" s="63"/>
    </row>
    <row r="31563" spans="25:25" x14ac:dyDescent="0.25">
      <c r="Y31563" s="63"/>
    </row>
    <row r="31564" spans="25:25" x14ac:dyDescent="0.25">
      <c r="Y31564" s="63"/>
    </row>
    <row r="31565" spans="25:25" x14ac:dyDescent="0.25">
      <c r="Y31565" s="63"/>
    </row>
    <row r="31566" spans="25:25" x14ac:dyDescent="0.25">
      <c r="Y31566" s="63"/>
    </row>
    <row r="31567" spans="25:25" x14ac:dyDescent="0.25">
      <c r="Y31567" s="63"/>
    </row>
    <row r="31568" spans="25:25" x14ac:dyDescent="0.25">
      <c r="Y31568" s="63"/>
    </row>
    <row r="31569" spans="25:25" x14ac:dyDescent="0.25">
      <c r="Y31569" s="63"/>
    </row>
    <row r="31570" spans="25:25" x14ac:dyDescent="0.25">
      <c r="Y31570" s="63"/>
    </row>
    <row r="31571" spans="25:25" x14ac:dyDescent="0.25">
      <c r="Y31571" s="63"/>
    </row>
    <row r="31572" spans="25:25" x14ac:dyDescent="0.25">
      <c r="Y31572" s="63"/>
    </row>
    <row r="31573" spans="25:25" x14ac:dyDescent="0.25">
      <c r="Y31573" s="63"/>
    </row>
    <row r="31574" spans="25:25" x14ac:dyDescent="0.25">
      <c r="Y31574" s="63"/>
    </row>
    <row r="31575" spans="25:25" x14ac:dyDescent="0.25">
      <c r="Y31575" s="63"/>
    </row>
    <row r="31576" spans="25:25" x14ac:dyDescent="0.25">
      <c r="Y31576" s="63"/>
    </row>
    <row r="31577" spans="25:25" x14ac:dyDescent="0.25">
      <c r="Y31577" s="63"/>
    </row>
    <row r="31578" spans="25:25" x14ac:dyDescent="0.25">
      <c r="Y31578" s="63"/>
    </row>
    <row r="31579" spans="25:25" x14ac:dyDescent="0.25">
      <c r="Y31579" s="63"/>
    </row>
    <row r="31580" spans="25:25" x14ac:dyDescent="0.25">
      <c r="Y31580" s="63"/>
    </row>
    <row r="31581" spans="25:25" x14ac:dyDescent="0.25">
      <c r="Y31581" s="63"/>
    </row>
    <row r="31582" spans="25:25" x14ac:dyDescent="0.25">
      <c r="Y31582" s="63"/>
    </row>
    <row r="31583" spans="25:25" x14ac:dyDescent="0.25">
      <c r="Y31583" s="63"/>
    </row>
    <row r="31584" spans="25:25" x14ac:dyDescent="0.25">
      <c r="Y31584" s="63"/>
    </row>
    <row r="31585" spans="25:25" x14ac:dyDescent="0.25">
      <c r="Y31585" s="63"/>
    </row>
    <row r="31586" spans="25:25" x14ac:dyDescent="0.25">
      <c r="Y31586" s="63"/>
    </row>
    <row r="31587" spans="25:25" x14ac:dyDescent="0.25">
      <c r="Y31587" s="63"/>
    </row>
    <row r="31588" spans="25:25" x14ac:dyDescent="0.25">
      <c r="Y31588" s="63"/>
    </row>
    <row r="31589" spans="25:25" x14ac:dyDescent="0.25">
      <c r="Y31589" s="63"/>
    </row>
    <row r="31590" spans="25:25" x14ac:dyDescent="0.25">
      <c r="Y31590" s="63"/>
    </row>
    <row r="31591" spans="25:25" x14ac:dyDescent="0.25">
      <c r="Y31591" s="63"/>
    </row>
    <row r="31592" spans="25:25" x14ac:dyDescent="0.25">
      <c r="Y31592" s="63"/>
    </row>
    <row r="31593" spans="25:25" x14ac:dyDescent="0.25">
      <c r="Y31593" s="63"/>
    </row>
    <row r="31594" spans="25:25" x14ac:dyDescent="0.25">
      <c r="Y31594" s="63"/>
    </row>
    <row r="31595" spans="25:25" x14ac:dyDescent="0.25">
      <c r="Y31595" s="63"/>
    </row>
    <row r="31596" spans="25:25" x14ac:dyDescent="0.25">
      <c r="Y31596" s="63"/>
    </row>
    <row r="31597" spans="25:25" x14ac:dyDescent="0.25">
      <c r="Y31597" s="63"/>
    </row>
    <row r="31598" spans="25:25" x14ac:dyDescent="0.25">
      <c r="Y31598" s="63"/>
    </row>
    <row r="31599" spans="25:25" x14ac:dyDescent="0.25">
      <c r="Y31599" s="63"/>
    </row>
    <row r="31600" spans="25:25" x14ac:dyDescent="0.25">
      <c r="Y31600" s="63"/>
    </row>
    <row r="31601" spans="25:25" x14ac:dyDescent="0.25">
      <c r="Y31601" s="63"/>
    </row>
    <row r="31602" spans="25:25" x14ac:dyDescent="0.25">
      <c r="Y31602" s="63"/>
    </row>
    <row r="31603" spans="25:25" x14ac:dyDescent="0.25">
      <c r="Y31603" s="63"/>
    </row>
    <row r="31604" spans="25:25" x14ac:dyDescent="0.25">
      <c r="Y31604" s="63"/>
    </row>
    <row r="31605" spans="25:25" x14ac:dyDescent="0.25">
      <c r="Y31605" s="63"/>
    </row>
    <row r="31606" spans="25:25" x14ac:dyDescent="0.25">
      <c r="Y31606" s="63"/>
    </row>
    <row r="31607" spans="25:25" x14ac:dyDescent="0.25">
      <c r="Y31607" s="63"/>
    </row>
    <row r="31608" spans="25:25" x14ac:dyDescent="0.25">
      <c r="Y31608" s="63"/>
    </row>
    <row r="31609" spans="25:25" x14ac:dyDescent="0.25">
      <c r="Y31609" s="63"/>
    </row>
    <row r="31610" spans="25:25" x14ac:dyDescent="0.25">
      <c r="Y31610" s="63"/>
    </row>
    <row r="31611" spans="25:25" x14ac:dyDescent="0.25">
      <c r="Y31611" s="63"/>
    </row>
    <row r="31612" spans="25:25" x14ac:dyDescent="0.25">
      <c r="Y31612" s="63"/>
    </row>
    <row r="31613" spans="25:25" x14ac:dyDescent="0.25">
      <c r="Y31613" s="63"/>
    </row>
    <row r="31614" spans="25:25" x14ac:dyDescent="0.25">
      <c r="Y31614" s="63"/>
    </row>
    <row r="31615" spans="25:25" x14ac:dyDescent="0.25">
      <c r="Y31615" s="63"/>
    </row>
    <row r="31616" spans="25:25" x14ac:dyDescent="0.25">
      <c r="Y31616" s="63"/>
    </row>
    <row r="31617" spans="25:25" x14ac:dyDescent="0.25">
      <c r="Y31617" s="63"/>
    </row>
    <row r="31618" spans="25:25" x14ac:dyDescent="0.25">
      <c r="Y31618" s="63"/>
    </row>
    <row r="31619" spans="25:25" x14ac:dyDescent="0.25">
      <c r="Y31619" s="63"/>
    </row>
    <row r="31620" spans="25:25" x14ac:dyDescent="0.25">
      <c r="Y31620" s="63"/>
    </row>
    <row r="31621" spans="25:25" x14ac:dyDescent="0.25">
      <c r="Y31621" s="63"/>
    </row>
    <row r="31622" spans="25:25" x14ac:dyDescent="0.25">
      <c r="Y31622" s="63"/>
    </row>
    <row r="31623" spans="25:25" x14ac:dyDescent="0.25">
      <c r="Y31623" s="63"/>
    </row>
    <row r="31624" spans="25:25" x14ac:dyDescent="0.25">
      <c r="Y31624" s="63"/>
    </row>
    <row r="31625" spans="25:25" x14ac:dyDescent="0.25">
      <c r="Y31625" s="63"/>
    </row>
    <row r="31626" spans="25:25" x14ac:dyDescent="0.25">
      <c r="Y31626" s="63"/>
    </row>
    <row r="31627" spans="25:25" x14ac:dyDescent="0.25">
      <c r="Y31627" s="63"/>
    </row>
    <row r="31628" spans="25:25" x14ac:dyDescent="0.25">
      <c r="Y31628" s="63"/>
    </row>
    <row r="31629" spans="25:25" x14ac:dyDescent="0.25">
      <c r="Y31629" s="63"/>
    </row>
    <row r="31630" spans="25:25" x14ac:dyDescent="0.25">
      <c r="Y31630" s="63"/>
    </row>
    <row r="31631" spans="25:25" x14ac:dyDescent="0.25">
      <c r="Y31631" s="63"/>
    </row>
    <row r="31632" spans="25:25" x14ac:dyDescent="0.25">
      <c r="Y31632" s="63"/>
    </row>
    <row r="31633" spans="25:25" x14ac:dyDescent="0.25">
      <c r="Y31633" s="63"/>
    </row>
    <row r="31634" spans="25:25" x14ac:dyDescent="0.25">
      <c r="Y31634" s="63"/>
    </row>
    <row r="31635" spans="25:25" x14ac:dyDescent="0.25">
      <c r="Y31635" s="63"/>
    </row>
    <row r="31636" spans="25:25" x14ac:dyDescent="0.25">
      <c r="Y31636" s="63"/>
    </row>
    <row r="31637" spans="25:25" x14ac:dyDescent="0.25">
      <c r="Y31637" s="63"/>
    </row>
    <row r="31638" spans="25:25" x14ac:dyDescent="0.25">
      <c r="Y31638" s="63"/>
    </row>
    <row r="31639" spans="25:25" x14ac:dyDescent="0.25">
      <c r="Y31639" s="63"/>
    </row>
    <row r="31640" spans="25:25" x14ac:dyDescent="0.25">
      <c r="Y31640" s="63"/>
    </row>
    <row r="31641" spans="25:25" x14ac:dyDescent="0.25">
      <c r="Y31641" s="63"/>
    </row>
    <row r="31642" spans="25:25" x14ac:dyDescent="0.25">
      <c r="Y31642" s="63"/>
    </row>
    <row r="31643" spans="25:25" x14ac:dyDescent="0.25">
      <c r="Y31643" s="63"/>
    </row>
    <row r="31644" spans="25:25" x14ac:dyDescent="0.25">
      <c r="Y31644" s="63"/>
    </row>
    <row r="31645" spans="25:25" x14ac:dyDescent="0.25">
      <c r="Y31645" s="63"/>
    </row>
    <row r="31646" spans="25:25" x14ac:dyDescent="0.25">
      <c r="Y31646" s="63"/>
    </row>
    <row r="31647" spans="25:25" x14ac:dyDescent="0.25">
      <c r="Y31647" s="63"/>
    </row>
    <row r="31648" spans="25:25" x14ac:dyDescent="0.25">
      <c r="Y31648" s="63"/>
    </row>
    <row r="31649" spans="25:25" x14ac:dyDescent="0.25">
      <c r="Y31649" s="63"/>
    </row>
    <row r="31650" spans="25:25" x14ac:dyDescent="0.25">
      <c r="Y31650" s="63"/>
    </row>
    <row r="31651" spans="25:25" x14ac:dyDescent="0.25">
      <c r="Y31651" s="63"/>
    </row>
    <row r="31652" spans="25:25" x14ac:dyDescent="0.25">
      <c r="Y31652" s="63"/>
    </row>
    <row r="31653" spans="25:25" x14ac:dyDescent="0.25">
      <c r="Y31653" s="63"/>
    </row>
    <row r="31654" spans="25:25" x14ac:dyDescent="0.25">
      <c r="Y31654" s="63"/>
    </row>
    <row r="31655" spans="25:25" x14ac:dyDescent="0.25">
      <c r="Y31655" s="63"/>
    </row>
    <row r="31656" spans="25:25" x14ac:dyDescent="0.25">
      <c r="Y31656" s="63"/>
    </row>
    <row r="31657" spans="25:25" x14ac:dyDescent="0.25">
      <c r="Y31657" s="63"/>
    </row>
    <row r="31658" spans="25:25" x14ac:dyDescent="0.25">
      <c r="Y31658" s="63"/>
    </row>
    <row r="31659" spans="25:25" x14ac:dyDescent="0.25">
      <c r="Y31659" s="63"/>
    </row>
    <row r="31660" spans="25:25" x14ac:dyDescent="0.25">
      <c r="Y31660" s="63"/>
    </row>
    <row r="31661" spans="25:25" x14ac:dyDescent="0.25">
      <c r="Y31661" s="63"/>
    </row>
    <row r="31662" spans="25:25" x14ac:dyDescent="0.25">
      <c r="Y31662" s="63"/>
    </row>
    <row r="31663" spans="25:25" x14ac:dyDescent="0.25">
      <c r="Y31663" s="63"/>
    </row>
    <row r="31664" spans="25:25" x14ac:dyDescent="0.25">
      <c r="Y31664" s="63"/>
    </row>
    <row r="31665" spans="25:25" x14ac:dyDescent="0.25">
      <c r="Y31665" s="63"/>
    </row>
    <row r="31666" spans="25:25" x14ac:dyDescent="0.25">
      <c r="Y31666" s="63"/>
    </row>
    <row r="31667" spans="25:25" x14ac:dyDescent="0.25">
      <c r="Y31667" s="63"/>
    </row>
    <row r="31668" spans="25:25" x14ac:dyDescent="0.25">
      <c r="Y31668" s="63"/>
    </row>
    <row r="31669" spans="25:25" x14ac:dyDescent="0.25">
      <c r="Y31669" s="63"/>
    </row>
    <row r="31670" spans="25:25" x14ac:dyDescent="0.25">
      <c r="Y31670" s="63"/>
    </row>
    <row r="31671" spans="25:25" x14ac:dyDescent="0.25">
      <c r="Y31671" s="63"/>
    </row>
    <row r="31672" spans="25:25" x14ac:dyDescent="0.25">
      <c r="Y31672" s="63"/>
    </row>
    <row r="31673" spans="25:25" x14ac:dyDescent="0.25">
      <c r="Y31673" s="63"/>
    </row>
    <row r="31674" spans="25:25" x14ac:dyDescent="0.25">
      <c r="Y31674" s="63"/>
    </row>
    <row r="31675" spans="25:25" x14ac:dyDescent="0.25">
      <c r="Y31675" s="63"/>
    </row>
    <row r="31676" spans="25:25" x14ac:dyDescent="0.25">
      <c r="Y31676" s="63"/>
    </row>
    <row r="31677" spans="25:25" x14ac:dyDescent="0.25">
      <c r="Y31677" s="63"/>
    </row>
    <row r="31678" spans="25:25" x14ac:dyDescent="0.25">
      <c r="Y31678" s="63"/>
    </row>
    <row r="31679" spans="25:25" x14ac:dyDescent="0.25">
      <c r="Y31679" s="63"/>
    </row>
    <row r="31680" spans="25:25" x14ac:dyDescent="0.25">
      <c r="Y31680" s="63"/>
    </row>
    <row r="31681" spans="25:25" x14ac:dyDescent="0.25">
      <c r="Y31681" s="63"/>
    </row>
    <row r="31682" spans="25:25" x14ac:dyDescent="0.25">
      <c r="Y31682" s="63"/>
    </row>
    <row r="31683" spans="25:25" x14ac:dyDescent="0.25">
      <c r="Y31683" s="63"/>
    </row>
    <row r="31684" spans="25:25" x14ac:dyDescent="0.25">
      <c r="Y31684" s="63"/>
    </row>
    <row r="31685" spans="25:25" x14ac:dyDescent="0.25">
      <c r="Y31685" s="63"/>
    </row>
    <row r="31686" spans="25:25" x14ac:dyDescent="0.25">
      <c r="Y31686" s="63"/>
    </row>
    <row r="31687" spans="25:25" x14ac:dyDescent="0.25">
      <c r="Y31687" s="63"/>
    </row>
    <row r="31688" spans="25:25" x14ac:dyDescent="0.25">
      <c r="Y31688" s="63"/>
    </row>
    <row r="31689" spans="25:25" x14ac:dyDescent="0.25">
      <c r="Y31689" s="63"/>
    </row>
    <row r="31690" spans="25:25" x14ac:dyDescent="0.25">
      <c r="Y31690" s="63"/>
    </row>
    <row r="31691" spans="25:25" x14ac:dyDescent="0.25">
      <c r="Y31691" s="63"/>
    </row>
    <row r="31692" spans="25:25" x14ac:dyDescent="0.25">
      <c r="Y31692" s="63"/>
    </row>
    <row r="31693" spans="25:25" x14ac:dyDescent="0.25">
      <c r="Y31693" s="63"/>
    </row>
    <row r="31694" spans="25:25" x14ac:dyDescent="0.25">
      <c r="Y31694" s="63"/>
    </row>
    <row r="31695" spans="25:25" x14ac:dyDescent="0.25">
      <c r="Y31695" s="63"/>
    </row>
    <row r="31696" spans="25:25" x14ac:dyDescent="0.25">
      <c r="Y31696" s="63"/>
    </row>
    <row r="31697" spans="25:25" x14ac:dyDescent="0.25">
      <c r="Y31697" s="63"/>
    </row>
    <row r="31698" spans="25:25" x14ac:dyDescent="0.25">
      <c r="Y31698" s="63"/>
    </row>
    <row r="31699" spans="25:25" x14ac:dyDescent="0.25">
      <c r="Y31699" s="63"/>
    </row>
    <row r="31700" spans="25:25" x14ac:dyDescent="0.25">
      <c r="Y31700" s="63"/>
    </row>
    <row r="31701" spans="25:25" x14ac:dyDescent="0.25">
      <c r="Y31701" s="63"/>
    </row>
    <row r="31702" spans="25:25" x14ac:dyDescent="0.25">
      <c r="Y31702" s="63"/>
    </row>
    <row r="31703" spans="25:25" x14ac:dyDescent="0.25">
      <c r="Y31703" s="63"/>
    </row>
    <row r="31704" spans="25:25" x14ac:dyDescent="0.25">
      <c r="Y31704" s="63"/>
    </row>
    <row r="31705" spans="25:25" x14ac:dyDescent="0.25">
      <c r="Y31705" s="63"/>
    </row>
    <row r="31706" spans="25:25" x14ac:dyDescent="0.25">
      <c r="Y31706" s="63"/>
    </row>
    <row r="31707" spans="25:25" x14ac:dyDescent="0.25">
      <c r="Y31707" s="63"/>
    </row>
    <row r="31708" spans="25:25" x14ac:dyDescent="0.25">
      <c r="Y31708" s="63"/>
    </row>
    <row r="31709" spans="25:25" x14ac:dyDescent="0.25">
      <c r="Y31709" s="63"/>
    </row>
    <row r="31710" spans="25:25" x14ac:dyDescent="0.25">
      <c r="Y31710" s="63"/>
    </row>
    <row r="31711" spans="25:25" x14ac:dyDescent="0.25">
      <c r="Y31711" s="63"/>
    </row>
    <row r="31712" spans="25:25" x14ac:dyDescent="0.25">
      <c r="Y31712" s="63"/>
    </row>
    <row r="31713" spans="25:25" x14ac:dyDescent="0.25">
      <c r="Y31713" s="63"/>
    </row>
    <row r="31714" spans="25:25" x14ac:dyDescent="0.25">
      <c r="Y31714" s="63"/>
    </row>
    <row r="31715" spans="25:25" x14ac:dyDescent="0.25">
      <c r="Y31715" s="63"/>
    </row>
    <row r="31716" spans="25:25" x14ac:dyDescent="0.25">
      <c r="Y31716" s="63"/>
    </row>
    <row r="31717" spans="25:25" x14ac:dyDescent="0.25">
      <c r="Y31717" s="63"/>
    </row>
    <row r="31718" spans="25:25" x14ac:dyDescent="0.25">
      <c r="Y31718" s="63"/>
    </row>
    <row r="31719" spans="25:25" x14ac:dyDescent="0.25">
      <c r="Y31719" s="63"/>
    </row>
    <row r="31720" spans="25:25" x14ac:dyDescent="0.25">
      <c r="Y31720" s="63"/>
    </row>
    <row r="31721" spans="25:25" x14ac:dyDescent="0.25">
      <c r="Y31721" s="63"/>
    </row>
    <row r="31722" spans="25:25" x14ac:dyDescent="0.25">
      <c r="Y31722" s="63"/>
    </row>
    <row r="31723" spans="25:25" x14ac:dyDescent="0.25">
      <c r="Y31723" s="63"/>
    </row>
    <row r="31724" spans="25:25" x14ac:dyDescent="0.25">
      <c r="Y31724" s="63"/>
    </row>
    <row r="31725" spans="25:25" x14ac:dyDescent="0.25">
      <c r="Y31725" s="63"/>
    </row>
    <row r="31726" spans="25:25" x14ac:dyDescent="0.25">
      <c r="Y31726" s="63"/>
    </row>
    <row r="31727" spans="25:25" x14ac:dyDescent="0.25">
      <c r="Y31727" s="63"/>
    </row>
    <row r="31728" spans="25:25" x14ac:dyDescent="0.25">
      <c r="Y31728" s="63"/>
    </row>
    <row r="31729" spans="25:25" x14ac:dyDescent="0.25">
      <c r="Y31729" s="63"/>
    </row>
    <row r="31730" spans="25:25" x14ac:dyDescent="0.25">
      <c r="Y31730" s="63"/>
    </row>
    <row r="31731" spans="25:25" x14ac:dyDescent="0.25">
      <c r="Y31731" s="63"/>
    </row>
    <row r="31732" spans="25:25" x14ac:dyDescent="0.25">
      <c r="Y31732" s="63"/>
    </row>
    <row r="31733" spans="25:25" x14ac:dyDescent="0.25">
      <c r="Y31733" s="63"/>
    </row>
    <row r="31734" spans="25:25" x14ac:dyDescent="0.25">
      <c r="Y31734" s="63"/>
    </row>
    <row r="31735" spans="25:25" x14ac:dyDescent="0.25">
      <c r="Y31735" s="63"/>
    </row>
    <row r="31736" spans="25:25" x14ac:dyDescent="0.25">
      <c r="Y31736" s="63"/>
    </row>
    <row r="31737" spans="25:25" x14ac:dyDescent="0.25">
      <c r="Y31737" s="63"/>
    </row>
    <row r="31738" spans="25:25" x14ac:dyDescent="0.25">
      <c r="Y31738" s="63"/>
    </row>
    <row r="31739" spans="25:25" x14ac:dyDescent="0.25">
      <c r="Y31739" s="63"/>
    </row>
    <row r="31740" spans="25:25" x14ac:dyDescent="0.25">
      <c r="Y31740" s="63"/>
    </row>
    <row r="31741" spans="25:25" x14ac:dyDescent="0.25">
      <c r="Y31741" s="63"/>
    </row>
    <row r="31742" spans="25:25" x14ac:dyDescent="0.25">
      <c r="Y31742" s="63"/>
    </row>
    <row r="31743" spans="25:25" x14ac:dyDescent="0.25">
      <c r="Y31743" s="63"/>
    </row>
    <row r="31744" spans="25:25" x14ac:dyDescent="0.25">
      <c r="Y31744" s="63"/>
    </row>
    <row r="31745" spans="25:25" x14ac:dyDescent="0.25">
      <c r="Y31745" s="63"/>
    </row>
    <row r="31746" spans="25:25" x14ac:dyDescent="0.25">
      <c r="Y31746" s="63"/>
    </row>
    <row r="31747" spans="25:25" x14ac:dyDescent="0.25">
      <c r="Y31747" s="63"/>
    </row>
    <row r="31748" spans="25:25" x14ac:dyDescent="0.25">
      <c r="Y31748" s="63"/>
    </row>
    <row r="31749" spans="25:25" x14ac:dyDescent="0.25">
      <c r="Y31749" s="63"/>
    </row>
    <row r="31750" spans="25:25" x14ac:dyDescent="0.25">
      <c r="Y31750" s="63"/>
    </row>
    <row r="31751" spans="25:25" x14ac:dyDescent="0.25">
      <c r="Y31751" s="63"/>
    </row>
    <row r="31752" spans="25:25" x14ac:dyDescent="0.25">
      <c r="Y31752" s="63"/>
    </row>
    <row r="31753" spans="25:25" x14ac:dyDescent="0.25">
      <c r="Y31753" s="63"/>
    </row>
    <row r="31754" spans="25:25" x14ac:dyDescent="0.25">
      <c r="Y31754" s="63"/>
    </row>
    <row r="31755" spans="25:25" x14ac:dyDescent="0.25">
      <c r="Y31755" s="63"/>
    </row>
    <row r="31756" spans="25:25" x14ac:dyDescent="0.25">
      <c r="Y31756" s="63"/>
    </row>
    <row r="31757" spans="25:25" x14ac:dyDescent="0.25">
      <c r="Y31757" s="63"/>
    </row>
    <row r="31758" spans="25:25" x14ac:dyDescent="0.25">
      <c r="Y31758" s="63"/>
    </row>
    <row r="31759" spans="25:25" x14ac:dyDescent="0.25">
      <c r="Y31759" s="63"/>
    </row>
    <row r="31760" spans="25:25" x14ac:dyDescent="0.25">
      <c r="Y31760" s="63"/>
    </row>
    <row r="31761" spans="25:25" x14ac:dyDescent="0.25">
      <c r="Y31761" s="63"/>
    </row>
    <row r="31762" spans="25:25" x14ac:dyDescent="0.25">
      <c r="Y31762" s="63"/>
    </row>
    <row r="31763" spans="25:25" x14ac:dyDescent="0.25">
      <c r="Y31763" s="63"/>
    </row>
    <row r="31764" spans="25:25" x14ac:dyDescent="0.25">
      <c r="Y31764" s="63"/>
    </row>
    <row r="31765" spans="25:25" x14ac:dyDescent="0.25">
      <c r="Y31765" s="63"/>
    </row>
    <row r="31766" spans="25:25" x14ac:dyDescent="0.25">
      <c r="Y31766" s="63"/>
    </row>
    <row r="31767" spans="25:25" x14ac:dyDescent="0.25">
      <c r="Y31767" s="63"/>
    </row>
    <row r="31768" spans="25:25" x14ac:dyDescent="0.25">
      <c r="Y31768" s="63"/>
    </row>
    <row r="31769" spans="25:25" x14ac:dyDescent="0.25">
      <c r="Y31769" s="63"/>
    </row>
    <row r="31770" spans="25:25" x14ac:dyDescent="0.25">
      <c r="Y31770" s="63"/>
    </row>
    <row r="31771" spans="25:25" x14ac:dyDescent="0.25">
      <c r="Y31771" s="63"/>
    </row>
    <row r="31772" spans="25:25" x14ac:dyDescent="0.25">
      <c r="Y31772" s="63"/>
    </row>
    <row r="31773" spans="25:25" x14ac:dyDescent="0.25">
      <c r="Y31773" s="63"/>
    </row>
    <row r="31774" spans="25:25" x14ac:dyDescent="0.25">
      <c r="Y31774" s="63"/>
    </row>
    <row r="31775" spans="25:25" x14ac:dyDescent="0.25">
      <c r="Y31775" s="63"/>
    </row>
    <row r="31776" spans="25:25" x14ac:dyDescent="0.25">
      <c r="Y31776" s="63"/>
    </row>
    <row r="31777" spans="25:25" x14ac:dyDescent="0.25">
      <c r="Y31777" s="63"/>
    </row>
    <row r="31778" spans="25:25" x14ac:dyDescent="0.25">
      <c r="Y31778" s="63"/>
    </row>
    <row r="31779" spans="25:25" x14ac:dyDescent="0.25">
      <c r="Y31779" s="63"/>
    </row>
    <row r="31780" spans="25:25" x14ac:dyDescent="0.25">
      <c r="Y31780" s="63"/>
    </row>
    <row r="31781" spans="25:25" x14ac:dyDescent="0.25">
      <c r="Y31781" s="63"/>
    </row>
    <row r="31782" spans="25:25" x14ac:dyDescent="0.25">
      <c r="Y31782" s="63"/>
    </row>
    <row r="31783" spans="25:25" x14ac:dyDescent="0.25">
      <c r="Y31783" s="63"/>
    </row>
    <row r="31784" spans="25:25" x14ac:dyDescent="0.25">
      <c r="Y31784" s="63"/>
    </row>
    <row r="31785" spans="25:25" x14ac:dyDescent="0.25">
      <c r="Y31785" s="63"/>
    </row>
    <row r="31786" spans="25:25" x14ac:dyDescent="0.25">
      <c r="Y31786" s="63"/>
    </row>
    <row r="31787" spans="25:25" x14ac:dyDescent="0.25">
      <c r="Y31787" s="63"/>
    </row>
    <row r="31788" spans="25:25" x14ac:dyDescent="0.25">
      <c r="Y31788" s="63"/>
    </row>
    <row r="31789" spans="25:25" x14ac:dyDescent="0.25">
      <c r="Y31789" s="63"/>
    </row>
    <row r="31790" spans="25:25" x14ac:dyDescent="0.25">
      <c r="Y31790" s="63"/>
    </row>
    <row r="31791" spans="25:25" x14ac:dyDescent="0.25">
      <c r="Y31791" s="63"/>
    </row>
    <row r="31792" spans="25:25" x14ac:dyDescent="0.25">
      <c r="Y31792" s="63"/>
    </row>
    <row r="31793" spans="25:25" x14ac:dyDescent="0.25">
      <c r="Y31793" s="63"/>
    </row>
    <row r="31794" spans="25:25" x14ac:dyDescent="0.25">
      <c r="Y31794" s="63"/>
    </row>
    <row r="31795" spans="25:25" x14ac:dyDescent="0.25">
      <c r="Y31795" s="63"/>
    </row>
    <row r="31796" spans="25:25" x14ac:dyDescent="0.25">
      <c r="Y31796" s="63"/>
    </row>
    <row r="31797" spans="25:25" x14ac:dyDescent="0.25">
      <c r="Y31797" s="63"/>
    </row>
    <row r="31798" spans="25:25" x14ac:dyDescent="0.25">
      <c r="Y31798" s="63"/>
    </row>
    <row r="31799" spans="25:25" x14ac:dyDescent="0.25">
      <c r="Y31799" s="63"/>
    </row>
    <row r="31800" spans="25:25" x14ac:dyDescent="0.25">
      <c r="Y31800" s="63"/>
    </row>
    <row r="31801" spans="25:25" x14ac:dyDescent="0.25">
      <c r="Y31801" s="63"/>
    </row>
    <row r="31802" spans="25:25" x14ac:dyDescent="0.25">
      <c r="Y31802" s="63"/>
    </row>
    <row r="31803" spans="25:25" x14ac:dyDescent="0.25">
      <c r="Y31803" s="63"/>
    </row>
    <row r="31804" spans="25:25" x14ac:dyDescent="0.25">
      <c r="Y31804" s="63"/>
    </row>
    <row r="31805" spans="25:25" x14ac:dyDescent="0.25">
      <c r="Y31805" s="63"/>
    </row>
    <row r="31806" spans="25:25" x14ac:dyDescent="0.25">
      <c r="Y31806" s="63"/>
    </row>
    <row r="31807" spans="25:25" x14ac:dyDescent="0.25">
      <c r="Y31807" s="63"/>
    </row>
    <row r="31808" spans="25:25" x14ac:dyDescent="0.25">
      <c r="Y31808" s="63"/>
    </row>
    <row r="31809" spans="25:25" x14ac:dyDescent="0.25">
      <c r="Y31809" s="63"/>
    </row>
    <row r="31810" spans="25:25" x14ac:dyDescent="0.25">
      <c r="Y31810" s="63"/>
    </row>
    <row r="31811" spans="25:25" x14ac:dyDescent="0.25">
      <c r="Y31811" s="63"/>
    </row>
    <row r="31812" spans="25:25" x14ac:dyDescent="0.25">
      <c r="Y31812" s="63"/>
    </row>
    <row r="31813" spans="25:25" x14ac:dyDescent="0.25">
      <c r="Y31813" s="63"/>
    </row>
    <row r="31814" spans="25:25" x14ac:dyDescent="0.25">
      <c r="Y31814" s="63"/>
    </row>
    <row r="31815" spans="25:25" x14ac:dyDescent="0.25">
      <c r="Y31815" s="63"/>
    </row>
    <row r="31816" spans="25:25" x14ac:dyDescent="0.25">
      <c r="Y31816" s="63"/>
    </row>
    <row r="31817" spans="25:25" x14ac:dyDescent="0.25">
      <c r="Y31817" s="63"/>
    </row>
    <row r="31818" spans="25:25" x14ac:dyDescent="0.25">
      <c r="Y31818" s="63"/>
    </row>
    <row r="31819" spans="25:25" x14ac:dyDescent="0.25">
      <c r="Y31819" s="63"/>
    </row>
    <row r="31820" spans="25:25" x14ac:dyDescent="0.25">
      <c r="Y31820" s="63"/>
    </row>
    <row r="31821" spans="25:25" x14ac:dyDescent="0.25">
      <c r="Y31821" s="63"/>
    </row>
    <row r="31822" spans="25:25" x14ac:dyDescent="0.25">
      <c r="Y31822" s="63"/>
    </row>
    <row r="31823" spans="25:25" x14ac:dyDescent="0.25">
      <c r="Y31823" s="63"/>
    </row>
    <row r="31824" spans="25:25" x14ac:dyDescent="0.25">
      <c r="Y31824" s="63"/>
    </row>
    <row r="31825" spans="25:25" x14ac:dyDescent="0.25">
      <c r="Y31825" s="63"/>
    </row>
    <row r="31826" spans="25:25" x14ac:dyDescent="0.25">
      <c r="Y31826" s="63"/>
    </row>
    <row r="31827" spans="25:25" x14ac:dyDescent="0.25">
      <c r="Y31827" s="63"/>
    </row>
    <row r="31828" spans="25:25" x14ac:dyDescent="0.25">
      <c r="Y31828" s="63"/>
    </row>
    <row r="31829" spans="25:25" x14ac:dyDescent="0.25">
      <c r="Y31829" s="63"/>
    </row>
    <row r="31830" spans="25:25" x14ac:dyDescent="0.25">
      <c r="Y31830" s="63"/>
    </row>
    <row r="31831" spans="25:25" x14ac:dyDescent="0.25">
      <c r="Y31831" s="63"/>
    </row>
    <row r="31832" spans="25:25" x14ac:dyDescent="0.25">
      <c r="Y31832" s="63"/>
    </row>
    <row r="31833" spans="25:25" x14ac:dyDescent="0.25">
      <c r="Y31833" s="63"/>
    </row>
    <row r="31834" spans="25:25" x14ac:dyDescent="0.25">
      <c r="Y31834" s="63"/>
    </row>
    <row r="31835" spans="25:25" x14ac:dyDescent="0.25">
      <c r="Y31835" s="63"/>
    </row>
    <row r="31836" spans="25:25" x14ac:dyDescent="0.25">
      <c r="Y31836" s="63"/>
    </row>
    <row r="31837" spans="25:25" x14ac:dyDescent="0.25">
      <c r="Y31837" s="63"/>
    </row>
    <row r="31838" spans="25:25" x14ac:dyDescent="0.25">
      <c r="Y31838" s="63"/>
    </row>
    <row r="31839" spans="25:25" x14ac:dyDescent="0.25">
      <c r="Y31839" s="63"/>
    </row>
    <row r="31840" spans="25:25" x14ac:dyDescent="0.25">
      <c r="Y31840" s="63"/>
    </row>
    <row r="31841" spans="25:25" x14ac:dyDescent="0.25">
      <c r="Y31841" s="63"/>
    </row>
    <row r="31842" spans="25:25" x14ac:dyDescent="0.25">
      <c r="Y31842" s="63"/>
    </row>
    <row r="31843" spans="25:25" x14ac:dyDescent="0.25">
      <c r="Y31843" s="63"/>
    </row>
    <row r="31844" spans="25:25" x14ac:dyDescent="0.25">
      <c r="Y31844" s="63"/>
    </row>
    <row r="31845" spans="25:25" x14ac:dyDescent="0.25">
      <c r="Y31845" s="63"/>
    </row>
    <row r="31846" spans="25:25" x14ac:dyDescent="0.25">
      <c r="Y31846" s="63"/>
    </row>
    <row r="31847" spans="25:25" x14ac:dyDescent="0.25">
      <c r="Y31847" s="63"/>
    </row>
    <row r="31848" spans="25:25" x14ac:dyDescent="0.25">
      <c r="Y31848" s="63"/>
    </row>
    <row r="31849" spans="25:25" x14ac:dyDescent="0.25">
      <c r="Y31849" s="63"/>
    </row>
    <row r="31850" spans="25:25" x14ac:dyDescent="0.25">
      <c r="Y31850" s="63"/>
    </row>
    <row r="31851" spans="25:25" x14ac:dyDescent="0.25">
      <c r="Y31851" s="63"/>
    </row>
    <row r="31852" spans="25:25" x14ac:dyDescent="0.25">
      <c r="Y31852" s="63"/>
    </row>
    <row r="31853" spans="25:25" x14ac:dyDescent="0.25">
      <c r="Y31853" s="63"/>
    </row>
    <row r="31854" spans="25:25" x14ac:dyDescent="0.25">
      <c r="Y31854" s="63"/>
    </row>
    <row r="31855" spans="25:25" x14ac:dyDescent="0.25">
      <c r="Y31855" s="63"/>
    </row>
    <row r="31856" spans="25:25" x14ac:dyDescent="0.25">
      <c r="Y31856" s="63"/>
    </row>
    <row r="31857" spans="25:25" x14ac:dyDescent="0.25">
      <c r="Y31857" s="63"/>
    </row>
    <row r="31858" spans="25:25" x14ac:dyDescent="0.25">
      <c r="Y31858" s="63"/>
    </row>
    <row r="31859" spans="25:25" x14ac:dyDescent="0.25">
      <c r="Y31859" s="63"/>
    </row>
    <row r="31860" spans="25:25" x14ac:dyDescent="0.25">
      <c r="Y31860" s="63"/>
    </row>
    <row r="31861" spans="25:25" x14ac:dyDescent="0.25">
      <c r="Y31861" s="63"/>
    </row>
    <row r="31862" spans="25:25" x14ac:dyDescent="0.25">
      <c r="Y31862" s="63"/>
    </row>
    <row r="31863" spans="25:25" x14ac:dyDescent="0.25">
      <c r="Y31863" s="63"/>
    </row>
    <row r="31864" spans="25:25" x14ac:dyDescent="0.25">
      <c r="Y31864" s="63"/>
    </row>
    <row r="31865" spans="25:25" x14ac:dyDescent="0.25">
      <c r="Y31865" s="63"/>
    </row>
    <row r="31866" spans="25:25" x14ac:dyDescent="0.25">
      <c r="Y31866" s="63"/>
    </row>
    <row r="31867" spans="25:25" x14ac:dyDescent="0.25">
      <c r="Y31867" s="63"/>
    </row>
    <row r="31868" spans="25:25" x14ac:dyDescent="0.25">
      <c r="Y31868" s="63"/>
    </row>
    <row r="31869" spans="25:25" x14ac:dyDescent="0.25">
      <c r="Y31869" s="63"/>
    </row>
    <row r="31870" spans="25:25" x14ac:dyDescent="0.25">
      <c r="Y31870" s="63"/>
    </row>
    <row r="31871" spans="25:25" x14ac:dyDescent="0.25">
      <c r="Y31871" s="63"/>
    </row>
    <row r="31872" spans="25:25" x14ac:dyDescent="0.25">
      <c r="Y31872" s="63"/>
    </row>
    <row r="31873" spans="25:25" x14ac:dyDescent="0.25">
      <c r="Y31873" s="63"/>
    </row>
    <row r="31874" spans="25:25" x14ac:dyDescent="0.25">
      <c r="Y31874" s="63"/>
    </row>
    <row r="31875" spans="25:25" x14ac:dyDescent="0.25">
      <c r="Y31875" s="63"/>
    </row>
    <row r="31876" spans="25:25" x14ac:dyDescent="0.25">
      <c r="Y31876" s="63"/>
    </row>
    <row r="31877" spans="25:25" x14ac:dyDescent="0.25">
      <c r="Y31877" s="63"/>
    </row>
    <row r="31878" spans="25:25" x14ac:dyDescent="0.25">
      <c r="Y31878" s="63"/>
    </row>
    <row r="31879" spans="25:25" x14ac:dyDescent="0.25">
      <c r="Y31879" s="63"/>
    </row>
    <row r="31880" spans="25:25" x14ac:dyDescent="0.25">
      <c r="Y31880" s="63"/>
    </row>
    <row r="31881" spans="25:25" x14ac:dyDescent="0.25">
      <c r="Y31881" s="63"/>
    </row>
    <row r="31882" spans="25:25" x14ac:dyDescent="0.25">
      <c r="Y31882" s="63"/>
    </row>
    <row r="31883" spans="25:25" x14ac:dyDescent="0.25">
      <c r="Y31883" s="63"/>
    </row>
    <row r="31884" spans="25:25" x14ac:dyDescent="0.25">
      <c r="Y31884" s="63"/>
    </row>
    <row r="31885" spans="25:25" x14ac:dyDescent="0.25">
      <c r="Y31885" s="63"/>
    </row>
    <row r="31886" spans="25:25" x14ac:dyDescent="0.25">
      <c r="Y31886" s="63"/>
    </row>
    <row r="31887" spans="25:25" x14ac:dyDescent="0.25">
      <c r="Y31887" s="63"/>
    </row>
    <row r="31888" spans="25:25" x14ac:dyDescent="0.25">
      <c r="Y31888" s="63"/>
    </row>
    <row r="31889" spans="25:25" x14ac:dyDescent="0.25">
      <c r="Y31889" s="63"/>
    </row>
    <row r="31890" spans="25:25" x14ac:dyDescent="0.25">
      <c r="Y31890" s="63"/>
    </row>
    <row r="31891" spans="25:25" x14ac:dyDescent="0.25">
      <c r="Y31891" s="63"/>
    </row>
    <row r="31892" spans="25:25" x14ac:dyDescent="0.25">
      <c r="Y31892" s="63"/>
    </row>
    <row r="31893" spans="25:25" x14ac:dyDescent="0.25">
      <c r="Y31893" s="63"/>
    </row>
    <row r="31894" spans="25:25" x14ac:dyDescent="0.25">
      <c r="Y31894" s="63"/>
    </row>
    <row r="31895" spans="25:25" x14ac:dyDescent="0.25">
      <c r="Y31895" s="63"/>
    </row>
    <row r="31896" spans="25:25" x14ac:dyDescent="0.25">
      <c r="Y31896" s="63"/>
    </row>
    <row r="31897" spans="25:25" x14ac:dyDescent="0.25">
      <c r="Y31897" s="63"/>
    </row>
    <row r="31898" spans="25:25" x14ac:dyDescent="0.25">
      <c r="Y31898" s="63"/>
    </row>
    <row r="31899" spans="25:25" x14ac:dyDescent="0.25">
      <c r="Y31899" s="63"/>
    </row>
    <row r="31900" spans="25:25" x14ac:dyDescent="0.25">
      <c r="Y31900" s="63"/>
    </row>
    <row r="31901" spans="25:25" x14ac:dyDescent="0.25">
      <c r="Y31901" s="63"/>
    </row>
    <row r="31902" spans="25:25" x14ac:dyDescent="0.25">
      <c r="Y31902" s="63"/>
    </row>
    <row r="31903" spans="25:25" x14ac:dyDescent="0.25">
      <c r="Y31903" s="63"/>
    </row>
    <row r="31904" spans="25:25" x14ac:dyDescent="0.25">
      <c r="Y31904" s="63"/>
    </row>
    <row r="31905" spans="25:25" x14ac:dyDescent="0.25">
      <c r="Y31905" s="63"/>
    </row>
    <row r="31906" spans="25:25" x14ac:dyDescent="0.25">
      <c r="Y31906" s="63"/>
    </row>
    <row r="31907" spans="25:25" x14ac:dyDescent="0.25">
      <c r="Y31907" s="63"/>
    </row>
    <row r="31908" spans="25:25" x14ac:dyDescent="0.25">
      <c r="Y31908" s="63"/>
    </row>
    <row r="31909" spans="25:25" x14ac:dyDescent="0.25">
      <c r="Y31909" s="63"/>
    </row>
    <row r="31910" spans="25:25" x14ac:dyDescent="0.25">
      <c r="Y31910" s="63"/>
    </row>
    <row r="31911" spans="25:25" x14ac:dyDescent="0.25">
      <c r="Y31911" s="63"/>
    </row>
    <row r="31912" spans="25:25" x14ac:dyDescent="0.25">
      <c r="Y31912" s="63"/>
    </row>
    <row r="31913" spans="25:25" x14ac:dyDescent="0.25">
      <c r="Y31913" s="63"/>
    </row>
    <row r="31914" spans="25:25" x14ac:dyDescent="0.25">
      <c r="Y31914" s="63"/>
    </row>
    <row r="31915" spans="25:25" x14ac:dyDescent="0.25">
      <c r="Y31915" s="63"/>
    </row>
    <row r="31916" spans="25:25" x14ac:dyDescent="0.25">
      <c r="Y31916" s="63"/>
    </row>
    <row r="31917" spans="25:25" x14ac:dyDescent="0.25">
      <c r="Y31917" s="63"/>
    </row>
    <row r="31918" spans="25:25" x14ac:dyDescent="0.25">
      <c r="Y31918" s="63"/>
    </row>
    <row r="31919" spans="25:25" x14ac:dyDescent="0.25">
      <c r="Y31919" s="63"/>
    </row>
    <row r="31920" spans="25:25" x14ac:dyDescent="0.25">
      <c r="Y31920" s="63"/>
    </row>
    <row r="31921" spans="25:25" x14ac:dyDescent="0.25">
      <c r="Y31921" s="63"/>
    </row>
    <row r="31922" spans="25:25" x14ac:dyDescent="0.25">
      <c r="Y31922" s="63"/>
    </row>
    <row r="31923" spans="25:25" x14ac:dyDescent="0.25">
      <c r="Y31923" s="63"/>
    </row>
    <row r="31924" spans="25:25" x14ac:dyDescent="0.25">
      <c r="Y31924" s="63"/>
    </row>
    <row r="31925" spans="25:25" x14ac:dyDescent="0.25">
      <c r="Y31925" s="63"/>
    </row>
    <row r="31926" spans="25:25" x14ac:dyDescent="0.25">
      <c r="Y31926" s="63"/>
    </row>
    <row r="31927" spans="25:25" x14ac:dyDescent="0.25">
      <c r="Y31927" s="63"/>
    </row>
    <row r="31928" spans="25:25" x14ac:dyDescent="0.25">
      <c r="Y31928" s="63"/>
    </row>
    <row r="31929" spans="25:25" x14ac:dyDescent="0.25">
      <c r="Y31929" s="63"/>
    </row>
    <row r="31930" spans="25:25" x14ac:dyDescent="0.25">
      <c r="Y31930" s="63"/>
    </row>
    <row r="31931" spans="25:25" x14ac:dyDescent="0.25">
      <c r="Y31931" s="63"/>
    </row>
    <row r="31932" spans="25:25" x14ac:dyDescent="0.25">
      <c r="Y31932" s="63"/>
    </row>
    <row r="31933" spans="25:25" x14ac:dyDescent="0.25">
      <c r="Y31933" s="63"/>
    </row>
    <row r="31934" spans="25:25" x14ac:dyDescent="0.25">
      <c r="Y31934" s="63"/>
    </row>
    <row r="31935" spans="25:25" x14ac:dyDescent="0.25">
      <c r="Y31935" s="63"/>
    </row>
    <row r="31936" spans="25:25" x14ac:dyDescent="0.25">
      <c r="Y31936" s="63"/>
    </row>
    <row r="31937" spans="25:25" x14ac:dyDescent="0.25">
      <c r="Y31937" s="63"/>
    </row>
    <row r="31938" spans="25:25" x14ac:dyDescent="0.25">
      <c r="Y31938" s="63"/>
    </row>
    <row r="31939" spans="25:25" x14ac:dyDescent="0.25">
      <c r="Y31939" s="63"/>
    </row>
    <row r="31940" spans="25:25" x14ac:dyDescent="0.25">
      <c r="Y31940" s="63"/>
    </row>
    <row r="31941" spans="25:25" x14ac:dyDescent="0.25">
      <c r="Y31941" s="63"/>
    </row>
    <row r="31942" spans="25:25" x14ac:dyDescent="0.25">
      <c r="Y31942" s="63"/>
    </row>
    <row r="31943" spans="25:25" x14ac:dyDescent="0.25">
      <c r="Y31943" s="63"/>
    </row>
    <row r="31944" spans="25:25" x14ac:dyDescent="0.25">
      <c r="Y31944" s="63"/>
    </row>
    <row r="31945" spans="25:25" x14ac:dyDescent="0.25">
      <c r="Y31945" s="63"/>
    </row>
    <row r="31946" spans="25:25" x14ac:dyDescent="0.25">
      <c r="Y31946" s="63"/>
    </row>
    <row r="31947" spans="25:25" x14ac:dyDescent="0.25">
      <c r="Y31947" s="63"/>
    </row>
    <row r="31948" spans="25:25" x14ac:dyDescent="0.25">
      <c r="Y31948" s="63"/>
    </row>
    <row r="31949" spans="25:25" x14ac:dyDescent="0.25">
      <c r="Y31949" s="63"/>
    </row>
    <row r="31950" spans="25:25" x14ac:dyDescent="0.25">
      <c r="Y31950" s="63"/>
    </row>
    <row r="31951" spans="25:25" x14ac:dyDescent="0.25">
      <c r="Y31951" s="63"/>
    </row>
    <row r="31952" spans="25:25" x14ac:dyDescent="0.25">
      <c r="Y31952" s="63"/>
    </row>
    <row r="31953" spans="25:25" x14ac:dyDescent="0.25">
      <c r="Y31953" s="63"/>
    </row>
    <row r="31954" spans="25:25" x14ac:dyDescent="0.25">
      <c r="Y31954" s="63"/>
    </row>
    <row r="31955" spans="25:25" x14ac:dyDescent="0.25">
      <c r="Y31955" s="63"/>
    </row>
    <row r="31956" spans="25:25" x14ac:dyDescent="0.25">
      <c r="Y31956" s="63"/>
    </row>
    <row r="31957" spans="25:25" x14ac:dyDescent="0.25">
      <c r="Y31957" s="63"/>
    </row>
    <row r="31958" spans="25:25" x14ac:dyDescent="0.25">
      <c r="Y31958" s="63"/>
    </row>
    <row r="31959" spans="25:25" x14ac:dyDescent="0.25">
      <c r="Y31959" s="63"/>
    </row>
    <row r="31960" spans="25:25" x14ac:dyDescent="0.25">
      <c r="Y31960" s="63"/>
    </row>
    <row r="31961" spans="25:25" x14ac:dyDescent="0.25">
      <c r="Y31961" s="63"/>
    </row>
    <row r="31962" spans="25:25" x14ac:dyDescent="0.25">
      <c r="Y31962" s="63"/>
    </row>
    <row r="31963" spans="25:25" x14ac:dyDescent="0.25">
      <c r="Y31963" s="63"/>
    </row>
    <row r="31964" spans="25:25" x14ac:dyDescent="0.25">
      <c r="Y31964" s="63"/>
    </row>
    <row r="31965" spans="25:25" x14ac:dyDescent="0.25">
      <c r="Y31965" s="63"/>
    </row>
    <row r="31966" spans="25:25" x14ac:dyDescent="0.25">
      <c r="Y31966" s="63"/>
    </row>
    <row r="31967" spans="25:25" x14ac:dyDescent="0.25">
      <c r="Y31967" s="63"/>
    </row>
    <row r="31968" spans="25:25" x14ac:dyDescent="0.25">
      <c r="Y31968" s="63"/>
    </row>
    <row r="31969" spans="25:25" x14ac:dyDescent="0.25">
      <c r="Y31969" s="63"/>
    </row>
    <row r="31970" spans="25:25" x14ac:dyDescent="0.25">
      <c r="Y31970" s="63"/>
    </row>
    <row r="31971" spans="25:25" x14ac:dyDescent="0.25">
      <c r="Y31971" s="63"/>
    </row>
    <row r="31972" spans="25:25" x14ac:dyDescent="0.25">
      <c r="Y31972" s="63"/>
    </row>
    <row r="31973" spans="25:25" x14ac:dyDescent="0.25">
      <c r="Y31973" s="63"/>
    </row>
    <row r="31974" spans="25:25" x14ac:dyDescent="0.25">
      <c r="Y31974" s="63"/>
    </row>
    <row r="31975" spans="25:25" x14ac:dyDescent="0.25">
      <c r="Y31975" s="63"/>
    </row>
    <row r="31976" spans="25:25" x14ac:dyDescent="0.25">
      <c r="Y31976" s="63"/>
    </row>
    <row r="31977" spans="25:25" x14ac:dyDescent="0.25">
      <c r="Y31977" s="63"/>
    </row>
    <row r="31978" spans="25:25" x14ac:dyDescent="0.25">
      <c r="Y31978" s="63"/>
    </row>
    <row r="31979" spans="25:25" x14ac:dyDescent="0.25">
      <c r="Y31979" s="63"/>
    </row>
    <row r="31980" spans="25:25" x14ac:dyDescent="0.25">
      <c r="Y31980" s="63"/>
    </row>
    <row r="31981" spans="25:25" x14ac:dyDescent="0.25">
      <c r="Y31981" s="63"/>
    </row>
    <row r="31982" spans="25:25" x14ac:dyDescent="0.25">
      <c r="Y31982" s="63"/>
    </row>
    <row r="31983" spans="25:25" x14ac:dyDescent="0.25">
      <c r="Y31983" s="63"/>
    </row>
    <row r="31984" spans="25:25" x14ac:dyDescent="0.25">
      <c r="Y31984" s="63"/>
    </row>
    <row r="31985" spans="25:25" x14ac:dyDescent="0.25">
      <c r="Y31985" s="63"/>
    </row>
    <row r="31986" spans="25:25" x14ac:dyDescent="0.25">
      <c r="Y31986" s="63"/>
    </row>
    <row r="31987" spans="25:25" x14ac:dyDescent="0.25">
      <c r="Y31987" s="63"/>
    </row>
    <row r="31988" spans="25:25" x14ac:dyDescent="0.25">
      <c r="Y31988" s="63"/>
    </row>
    <row r="31989" spans="25:25" x14ac:dyDescent="0.25">
      <c r="Y31989" s="63"/>
    </row>
    <row r="31990" spans="25:25" x14ac:dyDescent="0.25">
      <c r="Y31990" s="63"/>
    </row>
    <row r="31991" spans="25:25" x14ac:dyDescent="0.25">
      <c r="Y31991" s="63"/>
    </row>
    <row r="31992" spans="25:25" x14ac:dyDescent="0.25">
      <c r="Y31992" s="63"/>
    </row>
    <row r="31993" spans="25:25" x14ac:dyDescent="0.25">
      <c r="Y31993" s="63"/>
    </row>
    <row r="31994" spans="25:25" x14ac:dyDescent="0.25">
      <c r="Y31994" s="63"/>
    </row>
    <row r="31995" spans="25:25" x14ac:dyDescent="0.25">
      <c r="Y31995" s="63"/>
    </row>
    <row r="31996" spans="25:25" x14ac:dyDescent="0.25">
      <c r="Y31996" s="63"/>
    </row>
    <row r="31997" spans="25:25" x14ac:dyDescent="0.25">
      <c r="Y31997" s="63"/>
    </row>
    <row r="31998" spans="25:25" x14ac:dyDescent="0.25">
      <c r="Y31998" s="63"/>
    </row>
    <row r="31999" spans="25:25" x14ac:dyDescent="0.25">
      <c r="Y31999" s="63"/>
    </row>
    <row r="32000" spans="25:25" x14ac:dyDescent="0.25">
      <c r="Y32000" s="63"/>
    </row>
    <row r="32001" spans="25:25" x14ac:dyDescent="0.25">
      <c r="Y32001" s="63"/>
    </row>
    <row r="32002" spans="25:25" x14ac:dyDescent="0.25">
      <c r="Y32002" s="63"/>
    </row>
    <row r="32003" spans="25:25" x14ac:dyDescent="0.25">
      <c r="Y32003" s="63"/>
    </row>
    <row r="32004" spans="25:25" x14ac:dyDescent="0.25">
      <c r="Y32004" s="63"/>
    </row>
    <row r="32005" spans="25:25" x14ac:dyDescent="0.25">
      <c r="Y32005" s="63"/>
    </row>
    <row r="32006" spans="25:25" x14ac:dyDescent="0.25">
      <c r="Y32006" s="63"/>
    </row>
    <row r="32007" spans="25:25" x14ac:dyDescent="0.25">
      <c r="Y32007" s="63"/>
    </row>
    <row r="32008" spans="25:25" x14ac:dyDescent="0.25">
      <c r="Y32008" s="63"/>
    </row>
    <row r="32009" spans="25:25" x14ac:dyDescent="0.25">
      <c r="Y32009" s="63"/>
    </row>
    <row r="32010" spans="25:25" x14ac:dyDescent="0.25">
      <c r="Y32010" s="63"/>
    </row>
    <row r="32011" spans="25:25" x14ac:dyDescent="0.25">
      <c r="Y32011" s="63"/>
    </row>
    <row r="32012" spans="25:25" x14ac:dyDescent="0.25">
      <c r="Y32012" s="63"/>
    </row>
    <row r="32013" spans="25:25" x14ac:dyDescent="0.25">
      <c r="Y32013" s="63"/>
    </row>
    <row r="32014" spans="25:25" x14ac:dyDescent="0.25">
      <c r="Y32014" s="63"/>
    </row>
    <row r="32015" spans="25:25" x14ac:dyDescent="0.25">
      <c r="Y32015" s="63"/>
    </row>
    <row r="32016" spans="25:25" x14ac:dyDescent="0.25">
      <c r="Y32016" s="63"/>
    </row>
    <row r="32017" spans="25:25" x14ac:dyDescent="0.25">
      <c r="Y32017" s="63"/>
    </row>
    <row r="32018" spans="25:25" x14ac:dyDescent="0.25">
      <c r="Y32018" s="63"/>
    </row>
    <row r="32019" spans="25:25" x14ac:dyDescent="0.25">
      <c r="Y32019" s="63"/>
    </row>
    <row r="32020" spans="25:25" x14ac:dyDescent="0.25">
      <c r="Y32020" s="63"/>
    </row>
    <row r="32021" spans="25:25" x14ac:dyDescent="0.25">
      <c r="Y32021" s="63"/>
    </row>
    <row r="32022" spans="25:25" x14ac:dyDescent="0.25">
      <c r="Y32022" s="63"/>
    </row>
    <row r="32023" spans="25:25" x14ac:dyDescent="0.25">
      <c r="Y32023" s="63"/>
    </row>
    <row r="32024" spans="25:25" x14ac:dyDescent="0.25">
      <c r="Y32024" s="63"/>
    </row>
    <row r="32025" spans="25:25" x14ac:dyDescent="0.25">
      <c r="Y32025" s="63"/>
    </row>
    <row r="32026" spans="25:25" x14ac:dyDescent="0.25">
      <c r="Y32026" s="63"/>
    </row>
    <row r="32027" spans="25:25" x14ac:dyDescent="0.25">
      <c r="Y32027" s="63"/>
    </row>
    <row r="32028" spans="25:25" x14ac:dyDescent="0.25">
      <c r="Y32028" s="63"/>
    </row>
    <row r="32029" spans="25:25" x14ac:dyDescent="0.25">
      <c r="Y32029" s="63"/>
    </row>
    <row r="32030" spans="25:25" x14ac:dyDescent="0.25">
      <c r="Y32030" s="63"/>
    </row>
    <row r="32031" spans="25:25" x14ac:dyDescent="0.25">
      <c r="Y32031" s="63"/>
    </row>
    <row r="32032" spans="25:25" x14ac:dyDescent="0.25">
      <c r="Y32032" s="63"/>
    </row>
    <row r="32033" spans="25:25" x14ac:dyDescent="0.25">
      <c r="Y32033" s="63"/>
    </row>
    <row r="32034" spans="25:25" x14ac:dyDescent="0.25">
      <c r="Y32034" s="63"/>
    </row>
    <row r="32035" spans="25:25" x14ac:dyDescent="0.25">
      <c r="Y32035" s="63"/>
    </row>
    <row r="32036" spans="25:25" x14ac:dyDescent="0.25">
      <c r="Y32036" s="63"/>
    </row>
    <row r="32037" spans="25:25" x14ac:dyDescent="0.25">
      <c r="Y32037" s="63"/>
    </row>
    <row r="32038" spans="25:25" x14ac:dyDescent="0.25">
      <c r="Y32038" s="63"/>
    </row>
    <row r="32039" spans="25:25" x14ac:dyDescent="0.25">
      <c r="Y32039" s="63"/>
    </row>
    <row r="32040" spans="25:25" x14ac:dyDescent="0.25">
      <c r="Y32040" s="63"/>
    </row>
    <row r="32041" spans="25:25" x14ac:dyDescent="0.25">
      <c r="Y32041" s="63"/>
    </row>
    <row r="32042" spans="25:25" x14ac:dyDescent="0.25">
      <c r="Y32042" s="63"/>
    </row>
    <row r="32043" spans="25:25" x14ac:dyDescent="0.25">
      <c r="Y32043" s="63"/>
    </row>
    <row r="32044" spans="25:25" x14ac:dyDescent="0.25">
      <c r="Y32044" s="63"/>
    </row>
    <row r="32045" spans="25:25" x14ac:dyDescent="0.25">
      <c r="Y32045" s="63"/>
    </row>
    <row r="32046" spans="25:25" x14ac:dyDescent="0.25">
      <c r="Y32046" s="63"/>
    </row>
    <row r="32047" spans="25:25" x14ac:dyDescent="0.25">
      <c r="Y32047" s="63"/>
    </row>
    <row r="32048" spans="25:25" x14ac:dyDescent="0.25">
      <c r="Y32048" s="63"/>
    </row>
    <row r="32049" spans="25:25" x14ac:dyDescent="0.25">
      <c r="Y32049" s="63"/>
    </row>
    <row r="32050" spans="25:25" x14ac:dyDescent="0.25">
      <c r="Y32050" s="63"/>
    </row>
    <row r="32051" spans="25:25" x14ac:dyDescent="0.25">
      <c r="Y32051" s="63"/>
    </row>
    <row r="32052" spans="25:25" x14ac:dyDescent="0.25">
      <c r="Y32052" s="63"/>
    </row>
    <row r="32053" spans="25:25" x14ac:dyDescent="0.25">
      <c r="Y32053" s="63"/>
    </row>
    <row r="32054" spans="25:25" x14ac:dyDescent="0.25">
      <c r="Y32054" s="63"/>
    </row>
    <row r="32055" spans="25:25" x14ac:dyDescent="0.25">
      <c r="Y32055" s="63"/>
    </row>
    <row r="32056" spans="25:25" x14ac:dyDescent="0.25">
      <c r="Y32056" s="63"/>
    </row>
    <row r="32057" spans="25:25" x14ac:dyDescent="0.25">
      <c r="Y32057" s="63"/>
    </row>
    <row r="32058" spans="25:25" x14ac:dyDescent="0.25">
      <c r="Y32058" s="63"/>
    </row>
    <row r="32059" spans="25:25" x14ac:dyDescent="0.25">
      <c r="Y32059" s="63"/>
    </row>
    <row r="32060" spans="25:25" x14ac:dyDescent="0.25">
      <c r="Y32060" s="63"/>
    </row>
    <row r="32061" spans="25:25" x14ac:dyDescent="0.25">
      <c r="Y32061" s="63"/>
    </row>
    <row r="32062" spans="25:25" x14ac:dyDescent="0.25">
      <c r="Y32062" s="63"/>
    </row>
    <row r="32063" spans="25:25" x14ac:dyDescent="0.25">
      <c r="Y32063" s="63"/>
    </row>
    <row r="32064" spans="25:25" x14ac:dyDescent="0.25">
      <c r="Y32064" s="63"/>
    </row>
    <row r="32065" spans="25:25" x14ac:dyDescent="0.25">
      <c r="Y32065" s="63"/>
    </row>
    <row r="32066" spans="25:25" x14ac:dyDescent="0.25">
      <c r="Y32066" s="63"/>
    </row>
    <row r="32067" spans="25:25" x14ac:dyDescent="0.25">
      <c r="Y32067" s="63"/>
    </row>
    <row r="32068" spans="25:25" x14ac:dyDescent="0.25">
      <c r="Y32068" s="63"/>
    </row>
    <row r="32069" spans="25:25" x14ac:dyDescent="0.25">
      <c r="Y32069" s="63"/>
    </row>
    <row r="32070" spans="25:25" x14ac:dyDescent="0.25">
      <c r="Y32070" s="63"/>
    </row>
    <row r="32071" spans="25:25" x14ac:dyDescent="0.25">
      <c r="Y32071" s="63"/>
    </row>
    <row r="32072" spans="25:25" x14ac:dyDescent="0.25">
      <c r="Y32072" s="63"/>
    </row>
    <row r="32073" spans="25:25" x14ac:dyDescent="0.25">
      <c r="Y32073" s="63"/>
    </row>
    <row r="32074" spans="25:25" x14ac:dyDescent="0.25">
      <c r="Y32074" s="63"/>
    </row>
    <row r="32075" spans="25:25" x14ac:dyDescent="0.25">
      <c r="Y32075" s="63"/>
    </row>
    <row r="32076" spans="25:25" x14ac:dyDescent="0.25">
      <c r="Y32076" s="63"/>
    </row>
    <row r="32077" spans="25:25" x14ac:dyDescent="0.25">
      <c r="Y32077" s="63"/>
    </row>
    <row r="32078" spans="25:25" x14ac:dyDescent="0.25">
      <c r="Y32078" s="63"/>
    </row>
    <row r="32079" spans="25:25" x14ac:dyDescent="0.25">
      <c r="Y32079" s="63"/>
    </row>
    <row r="32080" spans="25:25" x14ac:dyDescent="0.25">
      <c r="Y32080" s="63"/>
    </row>
    <row r="32081" spans="25:25" x14ac:dyDescent="0.25">
      <c r="Y32081" s="63"/>
    </row>
    <row r="32082" spans="25:25" x14ac:dyDescent="0.25">
      <c r="Y32082" s="63"/>
    </row>
    <row r="32083" spans="25:25" x14ac:dyDescent="0.25">
      <c r="Y32083" s="63"/>
    </row>
    <row r="32084" spans="25:25" x14ac:dyDescent="0.25">
      <c r="Y32084" s="63"/>
    </row>
    <row r="32085" spans="25:25" x14ac:dyDescent="0.25">
      <c r="Y32085" s="63"/>
    </row>
    <row r="32086" spans="25:25" x14ac:dyDescent="0.25">
      <c r="Y32086" s="63"/>
    </row>
    <row r="32087" spans="25:25" x14ac:dyDescent="0.25">
      <c r="Y32087" s="63"/>
    </row>
    <row r="32088" spans="25:25" x14ac:dyDescent="0.25">
      <c r="Y32088" s="63"/>
    </row>
    <row r="32089" spans="25:25" x14ac:dyDescent="0.25">
      <c r="Y32089" s="63"/>
    </row>
    <row r="32090" spans="25:25" x14ac:dyDescent="0.25">
      <c r="Y32090" s="63"/>
    </row>
    <row r="32091" spans="25:25" x14ac:dyDescent="0.25">
      <c r="Y32091" s="63"/>
    </row>
    <row r="32092" spans="25:25" x14ac:dyDescent="0.25">
      <c r="Y32092" s="63"/>
    </row>
    <row r="32093" spans="25:25" x14ac:dyDescent="0.25">
      <c r="Y32093" s="63"/>
    </row>
    <row r="32094" spans="25:25" x14ac:dyDescent="0.25">
      <c r="Y32094" s="63"/>
    </row>
    <row r="32095" spans="25:25" x14ac:dyDescent="0.25">
      <c r="Y32095" s="63"/>
    </row>
    <row r="32096" spans="25:25" x14ac:dyDescent="0.25">
      <c r="Y32096" s="63"/>
    </row>
    <row r="32097" spans="25:25" x14ac:dyDescent="0.25">
      <c r="Y32097" s="63"/>
    </row>
    <row r="32098" spans="25:25" x14ac:dyDescent="0.25">
      <c r="Y32098" s="63"/>
    </row>
    <row r="32099" spans="25:25" x14ac:dyDescent="0.25">
      <c r="Y32099" s="63"/>
    </row>
    <row r="32100" spans="25:25" x14ac:dyDescent="0.25">
      <c r="Y32100" s="63"/>
    </row>
    <row r="32101" spans="25:25" x14ac:dyDescent="0.25">
      <c r="Y32101" s="63"/>
    </row>
    <row r="32102" spans="25:25" x14ac:dyDescent="0.25">
      <c r="Y32102" s="63"/>
    </row>
    <row r="32103" spans="25:25" x14ac:dyDescent="0.25">
      <c r="Y32103" s="63"/>
    </row>
    <row r="32104" spans="25:25" x14ac:dyDescent="0.25">
      <c r="Y32104" s="63"/>
    </row>
    <row r="32105" spans="25:25" x14ac:dyDescent="0.25">
      <c r="Y32105" s="63"/>
    </row>
    <row r="32106" spans="25:25" x14ac:dyDescent="0.25">
      <c r="Y32106" s="63"/>
    </row>
    <row r="32107" spans="25:25" x14ac:dyDescent="0.25">
      <c r="Y32107" s="63"/>
    </row>
    <row r="32108" spans="25:25" x14ac:dyDescent="0.25">
      <c r="Y32108" s="63"/>
    </row>
    <row r="32109" spans="25:25" x14ac:dyDescent="0.25">
      <c r="Y32109" s="63"/>
    </row>
    <row r="32110" spans="25:25" x14ac:dyDescent="0.25">
      <c r="Y32110" s="63"/>
    </row>
    <row r="32111" spans="25:25" x14ac:dyDescent="0.25">
      <c r="Y32111" s="63"/>
    </row>
    <row r="32112" spans="25:25" x14ac:dyDescent="0.25">
      <c r="Y32112" s="63"/>
    </row>
    <row r="32113" spans="25:25" x14ac:dyDescent="0.25">
      <c r="Y32113" s="63"/>
    </row>
    <row r="32114" spans="25:25" x14ac:dyDescent="0.25">
      <c r="Y32114" s="63"/>
    </row>
    <row r="32115" spans="25:25" x14ac:dyDescent="0.25">
      <c r="Y32115" s="63"/>
    </row>
    <row r="32116" spans="25:25" x14ac:dyDescent="0.25">
      <c r="Y32116" s="63"/>
    </row>
    <row r="32117" spans="25:25" x14ac:dyDescent="0.25">
      <c r="Y32117" s="63"/>
    </row>
    <row r="32118" spans="25:25" x14ac:dyDescent="0.25">
      <c r="Y32118" s="63"/>
    </row>
    <row r="32119" spans="25:25" x14ac:dyDescent="0.25">
      <c r="Y32119" s="63"/>
    </row>
    <row r="32120" spans="25:25" x14ac:dyDescent="0.25">
      <c r="Y32120" s="63"/>
    </row>
    <row r="32121" spans="25:25" x14ac:dyDescent="0.25">
      <c r="Y32121" s="63"/>
    </row>
    <row r="32122" spans="25:25" x14ac:dyDescent="0.25">
      <c r="Y32122" s="63"/>
    </row>
    <row r="32123" spans="25:25" x14ac:dyDescent="0.25">
      <c r="Y32123" s="63"/>
    </row>
    <row r="32124" spans="25:25" x14ac:dyDescent="0.25">
      <c r="Y32124" s="63"/>
    </row>
    <row r="32125" spans="25:25" x14ac:dyDescent="0.25">
      <c r="Y32125" s="63"/>
    </row>
    <row r="32126" spans="25:25" x14ac:dyDescent="0.25">
      <c r="Y32126" s="63"/>
    </row>
    <row r="32127" spans="25:25" x14ac:dyDescent="0.25">
      <c r="Y32127" s="63"/>
    </row>
    <row r="32128" spans="25:25" x14ac:dyDescent="0.25">
      <c r="Y32128" s="63"/>
    </row>
    <row r="32129" spans="25:25" x14ac:dyDescent="0.25">
      <c r="Y32129" s="63"/>
    </row>
    <row r="32130" spans="25:25" x14ac:dyDescent="0.25">
      <c r="Y32130" s="63"/>
    </row>
    <row r="32131" spans="25:25" x14ac:dyDescent="0.25">
      <c r="Y32131" s="63"/>
    </row>
    <row r="32132" spans="25:25" x14ac:dyDescent="0.25">
      <c r="Y32132" s="63"/>
    </row>
    <row r="32133" spans="25:25" x14ac:dyDescent="0.25">
      <c r="Y32133" s="63"/>
    </row>
    <row r="32134" spans="25:25" x14ac:dyDescent="0.25">
      <c r="Y32134" s="63"/>
    </row>
    <row r="32135" spans="25:25" x14ac:dyDescent="0.25">
      <c r="Y32135" s="63"/>
    </row>
    <row r="32136" spans="25:25" x14ac:dyDescent="0.25">
      <c r="Y32136" s="63"/>
    </row>
    <row r="32137" spans="25:25" x14ac:dyDescent="0.25">
      <c r="Y32137" s="63"/>
    </row>
    <row r="32138" spans="25:25" x14ac:dyDescent="0.25">
      <c r="Y32138" s="63"/>
    </row>
    <row r="32139" spans="25:25" x14ac:dyDescent="0.25">
      <c r="Y32139" s="63"/>
    </row>
    <row r="32140" spans="25:25" x14ac:dyDescent="0.25">
      <c r="Y32140" s="63"/>
    </row>
    <row r="32141" spans="25:25" x14ac:dyDescent="0.25">
      <c r="Y32141" s="63"/>
    </row>
    <row r="32142" spans="25:25" x14ac:dyDescent="0.25">
      <c r="Y32142" s="63"/>
    </row>
    <row r="32143" spans="25:25" x14ac:dyDescent="0.25">
      <c r="Y32143" s="63"/>
    </row>
    <row r="32144" spans="25:25" x14ac:dyDescent="0.25">
      <c r="Y32144" s="63"/>
    </row>
    <row r="32145" spans="25:25" x14ac:dyDescent="0.25">
      <c r="Y32145" s="63"/>
    </row>
    <row r="32146" spans="25:25" x14ac:dyDescent="0.25">
      <c r="Y32146" s="63"/>
    </row>
    <row r="32147" spans="25:25" x14ac:dyDescent="0.25">
      <c r="Y32147" s="63"/>
    </row>
    <row r="32148" spans="25:25" x14ac:dyDescent="0.25">
      <c r="Y32148" s="63"/>
    </row>
    <row r="32149" spans="25:25" x14ac:dyDescent="0.25">
      <c r="Y32149" s="63"/>
    </row>
    <row r="32150" spans="25:25" x14ac:dyDescent="0.25">
      <c r="Y32150" s="63"/>
    </row>
    <row r="32151" spans="25:25" x14ac:dyDescent="0.25">
      <c r="Y32151" s="63"/>
    </row>
    <row r="32152" spans="25:25" x14ac:dyDescent="0.25">
      <c r="Y32152" s="63"/>
    </row>
    <row r="32153" spans="25:25" x14ac:dyDescent="0.25">
      <c r="Y32153" s="63"/>
    </row>
    <row r="32154" spans="25:25" x14ac:dyDescent="0.25">
      <c r="Y32154" s="63"/>
    </row>
    <row r="32155" spans="25:25" x14ac:dyDescent="0.25">
      <c r="Y32155" s="63"/>
    </row>
    <row r="32156" spans="25:25" x14ac:dyDescent="0.25">
      <c r="Y32156" s="63"/>
    </row>
    <row r="32157" spans="25:25" x14ac:dyDescent="0.25">
      <c r="Y32157" s="63"/>
    </row>
    <row r="32158" spans="25:25" x14ac:dyDescent="0.25">
      <c r="Y32158" s="63"/>
    </row>
    <row r="32159" spans="25:25" x14ac:dyDescent="0.25">
      <c r="Y32159" s="63"/>
    </row>
    <row r="32160" spans="25:25" x14ac:dyDescent="0.25">
      <c r="Y32160" s="63"/>
    </row>
    <row r="32161" spans="25:25" x14ac:dyDescent="0.25">
      <c r="Y32161" s="63"/>
    </row>
    <row r="32162" spans="25:25" x14ac:dyDescent="0.25">
      <c r="Y32162" s="63"/>
    </row>
    <row r="32163" spans="25:25" x14ac:dyDescent="0.25">
      <c r="Y32163" s="63"/>
    </row>
    <row r="32164" spans="25:25" x14ac:dyDescent="0.25">
      <c r="Y32164" s="63"/>
    </row>
    <row r="32165" spans="25:25" x14ac:dyDescent="0.25">
      <c r="Y32165" s="63"/>
    </row>
    <row r="32166" spans="25:25" x14ac:dyDescent="0.25">
      <c r="Y32166" s="63"/>
    </row>
    <row r="32167" spans="25:25" x14ac:dyDescent="0.25">
      <c r="Y32167" s="63"/>
    </row>
    <row r="32168" spans="25:25" x14ac:dyDescent="0.25">
      <c r="Y32168" s="63"/>
    </row>
    <row r="32169" spans="25:25" x14ac:dyDescent="0.25">
      <c r="Y32169" s="63"/>
    </row>
    <row r="32170" spans="25:25" x14ac:dyDescent="0.25">
      <c r="Y32170" s="63"/>
    </row>
    <row r="32171" spans="25:25" x14ac:dyDescent="0.25">
      <c r="Y32171" s="63"/>
    </row>
    <row r="32172" spans="25:25" x14ac:dyDescent="0.25">
      <c r="Y32172" s="63"/>
    </row>
    <row r="32173" spans="25:25" x14ac:dyDescent="0.25">
      <c r="Y32173" s="63"/>
    </row>
    <row r="32174" spans="25:25" x14ac:dyDescent="0.25">
      <c r="Y32174" s="63"/>
    </row>
    <row r="32175" spans="25:25" x14ac:dyDescent="0.25">
      <c r="Y32175" s="63"/>
    </row>
    <row r="32176" spans="25:25" x14ac:dyDescent="0.25">
      <c r="Y32176" s="63"/>
    </row>
    <row r="32177" spans="25:25" x14ac:dyDescent="0.25">
      <c r="Y32177" s="63"/>
    </row>
    <row r="32178" spans="25:25" x14ac:dyDescent="0.25">
      <c r="Y32178" s="63"/>
    </row>
    <row r="32179" spans="25:25" x14ac:dyDescent="0.25">
      <c r="Y32179" s="63"/>
    </row>
    <row r="32180" spans="25:25" x14ac:dyDescent="0.25">
      <c r="Y32180" s="63"/>
    </row>
    <row r="32181" spans="25:25" x14ac:dyDescent="0.25">
      <c r="Y32181" s="63"/>
    </row>
    <row r="32182" spans="25:25" x14ac:dyDescent="0.25">
      <c r="Y32182" s="63"/>
    </row>
    <row r="32183" spans="25:25" x14ac:dyDescent="0.25">
      <c r="Y32183" s="63"/>
    </row>
    <row r="32184" spans="25:25" x14ac:dyDescent="0.25">
      <c r="Y32184" s="63"/>
    </row>
    <row r="32185" spans="25:25" x14ac:dyDescent="0.25">
      <c r="Y32185" s="63"/>
    </row>
    <row r="32186" spans="25:25" x14ac:dyDescent="0.25">
      <c r="Y32186" s="63"/>
    </row>
    <row r="32187" spans="25:25" x14ac:dyDescent="0.25">
      <c r="Y32187" s="63"/>
    </row>
    <row r="32188" spans="25:25" x14ac:dyDescent="0.25">
      <c r="Y32188" s="63"/>
    </row>
    <row r="32189" spans="25:25" x14ac:dyDescent="0.25">
      <c r="Y32189" s="63"/>
    </row>
    <row r="32190" spans="25:25" x14ac:dyDescent="0.25">
      <c r="Y32190" s="63"/>
    </row>
    <row r="32191" spans="25:25" x14ac:dyDescent="0.25">
      <c r="Y32191" s="63"/>
    </row>
    <row r="32192" spans="25:25" x14ac:dyDescent="0.25">
      <c r="Y32192" s="63"/>
    </row>
    <row r="32193" spans="25:25" x14ac:dyDescent="0.25">
      <c r="Y32193" s="63"/>
    </row>
    <row r="32194" spans="25:25" x14ac:dyDescent="0.25">
      <c r="Y32194" s="63"/>
    </row>
    <row r="32195" spans="25:25" x14ac:dyDescent="0.25">
      <c r="Y32195" s="63"/>
    </row>
    <row r="32196" spans="25:25" x14ac:dyDescent="0.25">
      <c r="Y32196" s="63"/>
    </row>
    <row r="32197" spans="25:25" x14ac:dyDescent="0.25">
      <c r="Y32197" s="63"/>
    </row>
    <row r="32198" spans="25:25" x14ac:dyDescent="0.25">
      <c r="Y32198" s="63"/>
    </row>
    <row r="32199" spans="25:25" x14ac:dyDescent="0.25">
      <c r="Y32199" s="63"/>
    </row>
    <row r="32200" spans="25:25" x14ac:dyDescent="0.25">
      <c r="Y32200" s="63"/>
    </row>
    <row r="32201" spans="25:25" x14ac:dyDescent="0.25">
      <c r="Y32201" s="63"/>
    </row>
    <row r="32202" spans="25:25" x14ac:dyDescent="0.25">
      <c r="Y32202" s="63"/>
    </row>
    <row r="32203" spans="25:25" x14ac:dyDescent="0.25">
      <c r="Y32203" s="63"/>
    </row>
    <row r="32204" spans="25:25" x14ac:dyDescent="0.25">
      <c r="Y32204" s="63"/>
    </row>
    <row r="32205" spans="25:25" x14ac:dyDescent="0.25">
      <c r="Y32205" s="63"/>
    </row>
    <row r="32206" spans="25:25" x14ac:dyDescent="0.25">
      <c r="Y32206" s="63"/>
    </row>
    <row r="32207" spans="25:25" x14ac:dyDescent="0.25">
      <c r="Y32207" s="63"/>
    </row>
    <row r="32208" spans="25:25" x14ac:dyDescent="0.25">
      <c r="Y32208" s="63"/>
    </row>
    <row r="32209" spans="25:25" x14ac:dyDescent="0.25">
      <c r="Y32209" s="63"/>
    </row>
    <row r="32210" spans="25:25" x14ac:dyDescent="0.25">
      <c r="Y32210" s="63"/>
    </row>
    <row r="32211" spans="25:25" x14ac:dyDescent="0.25">
      <c r="Y32211" s="63"/>
    </row>
    <row r="32212" spans="25:25" x14ac:dyDescent="0.25">
      <c r="Y32212" s="63"/>
    </row>
    <row r="32213" spans="25:25" x14ac:dyDescent="0.25">
      <c r="Y32213" s="63"/>
    </row>
    <row r="32214" spans="25:25" x14ac:dyDescent="0.25">
      <c r="Y32214" s="63"/>
    </row>
    <row r="32215" spans="25:25" x14ac:dyDescent="0.25">
      <c r="Y32215" s="63"/>
    </row>
    <row r="32216" spans="25:25" x14ac:dyDescent="0.25">
      <c r="Y32216" s="63"/>
    </row>
    <row r="32217" spans="25:25" x14ac:dyDescent="0.25">
      <c r="Y32217" s="63"/>
    </row>
    <row r="32218" spans="25:25" x14ac:dyDescent="0.25">
      <c r="Y32218" s="63"/>
    </row>
    <row r="32219" spans="25:25" x14ac:dyDescent="0.25">
      <c r="Y32219" s="63"/>
    </row>
    <row r="32220" spans="25:25" x14ac:dyDescent="0.25">
      <c r="Y32220" s="63"/>
    </row>
    <row r="32221" spans="25:25" x14ac:dyDescent="0.25">
      <c r="Y32221" s="63"/>
    </row>
    <row r="32222" spans="25:25" x14ac:dyDescent="0.25">
      <c r="Y32222" s="63"/>
    </row>
    <row r="32223" spans="25:25" x14ac:dyDescent="0.25">
      <c r="Y32223" s="63"/>
    </row>
    <row r="32224" spans="25:25" x14ac:dyDescent="0.25">
      <c r="Y32224" s="63"/>
    </row>
    <row r="32225" spans="25:25" x14ac:dyDescent="0.25">
      <c r="Y32225" s="63"/>
    </row>
    <row r="32226" spans="25:25" x14ac:dyDescent="0.25">
      <c r="Y32226" s="63"/>
    </row>
    <row r="32227" spans="25:25" x14ac:dyDescent="0.25">
      <c r="Y32227" s="63"/>
    </row>
    <row r="32228" spans="25:25" x14ac:dyDescent="0.25">
      <c r="Y32228" s="63"/>
    </row>
    <row r="32229" spans="25:25" x14ac:dyDescent="0.25">
      <c r="Y32229" s="63"/>
    </row>
    <row r="32230" spans="25:25" x14ac:dyDescent="0.25">
      <c r="Y32230" s="63"/>
    </row>
    <row r="32231" spans="25:25" x14ac:dyDescent="0.25">
      <c r="Y32231" s="63"/>
    </row>
    <row r="32232" spans="25:25" x14ac:dyDescent="0.25">
      <c r="Y32232" s="63"/>
    </row>
    <row r="32233" spans="25:25" x14ac:dyDescent="0.25">
      <c r="Y32233" s="63"/>
    </row>
    <row r="32234" spans="25:25" x14ac:dyDescent="0.25">
      <c r="Y32234" s="63"/>
    </row>
    <row r="32235" spans="25:25" x14ac:dyDescent="0.25">
      <c r="Y32235" s="63"/>
    </row>
    <row r="32236" spans="25:25" x14ac:dyDescent="0.25">
      <c r="Y32236" s="63"/>
    </row>
    <row r="32237" spans="25:25" x14ac:dyDescent="0.25">
      <c r="Y32237" s="63"/>
    </row>
    <row r="32238" spans="25:25" x14ac:dyDescent="0.25">
      <c r="Y32238" s="63"/>
    </row>
    <row r="32239" spans="25:25" x14ac:dyDescent="0.25">
      <c r="Y32239" s="63"/>
    </row>
    <row r="32240" spans="25:25" x14ac:dyDescent="0.25">
      <c r="Y32240" s="63"/>
    </row>
    <row r="32241" spans="25:25" x14ac:dyDescent="0.25">
      <c r="Y32241" s="63"/>
    </row>
    <row r="32242" spans="25:25" x14ac:dyDescent="0.25">
      <c r="Y32242" s="63"/>
    </row>
    <row r="32243" spans="25:25" x14ac:dyDescent="0.25">
      <c r="Y32243" s="63"/>
    </row>
    <row r="32244" spans="25:25" x14ac:dyDescent="0.25">
      <c r="Y32244" s="63"/>
    </row>
    <row r="32245" spans="25:25" x14ac:dyDescent="0.25">
      <c r="Y32245" s="63"/>
    </row>
    <row r="32246" spans="25:25" x14ac:dyDescent="0.25">
      <c r="Y32246" s="63"/>
    </row>
    <row r="32247" spans="25:25" x14ac:dyDescent="0.25">
      <c r="Y32247" s="63"/>
    </row>
    <row r="32248" spans="25:25" x14ac:dyDescent="0.25">
      <c r="Y32248" s="63"/>
    </row>
    <row r="32249" spans="25:25" x14ac:dyDescent="0.25">
      <c r="Y32249" s="63"/>
    </row>
    <row r="32250" spans="25:25" x14ac:dyDescent="0.25">
      <c r="Y32250" s="63"/>
    </row>
    <row r="32251" spans="25:25" x14ac:dyDescent="0.25">
      <c r="Y32251" s="63"/>
    </row>
    <row r="32252" spans="25:25" x14ac:dyDescent="0.25">
      <c r="Y32252" s="63"/>
    </row>
    <row r="32253" spans="25:25" x14ac:dyDescent="0.25">
      <c r="Y32253" s="63"/>
    </row>
    <row r="32254" spans="25:25" x14ac:dyDescent="0.25">
      <c r="Y32254" s="63"/>
    </row>
    <row r="32255" spans="25:25" x14ac:dyDescent="0.25">
      <c r="Y32255" s="63"/>
    </row>
    <row r="32256" spans="25:25" x14ac:dyDescent="0.25">
      <c r="Y32256" s="63"/>
    </row>
    <row r="32257" spans="25:25" x14ac:dyDescent="0.25">
      <c r="Y32257" s="63"/>
    </row>
    <row r="32258" spans="25:25" x14ac:dyDescent="0.25">
      <c r="Y32258" s="63"/>
    </row>
    <row r="32259" spans="25:25" x14ac:dyDescent="0.25">
      <c r="Y32259" s="63"/>
    </row>
    <row r="32260" spans="25:25" x14ac:dyDescent="0.25">
      <c r="Y32260" s="63"/>
    </row>
    <row r="32261" spans="25:25" x14ac:dyDescent="0.25">
      <c r="Y32261" s="63"/>
    </row>
    <row r="32262" spans="25:25" x14ac:dyDescent="0.25">
      <c r="Y32262" s="63"/>
    </row>
    <row r="32263" spans="25:25" x14ac:dyDescent="0.25">
      <c r="Y32263" s="63"/>
    </row>
    <row r="32264" spans="25:25" x14ac:dyDescent="0.25">
      <c r="Y32264" s="63"/>
    </row>
    <row r="32265" spans="25:25" x14ac:dyDescent="0.25">
      <c r="Y32265" s="63"/>
    </row>
    <row r="32266" spans="25:25" x14ac:dyDescent="0.25">
      <c r="Y32266" s="63"/>
    </row>
    <row r="32267" spans="25:25" x14ac:dyDescent="0.25">
      <c r="Y32267" s="63"/>
    </row>
    <row r="32268" spans="25:25" x14ac:dyDescent="0.25">
      <c r="Y32268" s="63"/>
    </row>
    <row r="32269" spans="25:25" x14ac:dyDescent="0.25">
      <c r="Y32269" s="63"/>
    </row>
    <row r="32270" spans="25:25" x14ac:dyDescent="0.25">
      <c r="Y32270" s="63"/>
    </row>
    <row r="32271" spans="25:25" x14ac:dyDescent="0.25">
      <c r="Y32271" s="63"/>
    </row>
    <row r="32272" spans="25:25" x14ac:dyDescent="0.25">
      <c r="Y32272" s="63"/>
    </row>
    <row r="32273" spans="25:25" x14ac:dyDescent="0.25">
      <c r="Y32273" s="63"/>
    </row>
    <row r="32274" spans="25:25" x14ac:dyDescent="0.25">
      <c r="Y32274" s="63"/>
    </row>
    <row r="32275" spans="25:25" x14ac:dyDescent="0.25">
      <c r="Y32275" s="63"/>
    </row>
    <row r="32276" spans="25:25" x14ac:dyDescent="0.25">
      <c r="Y32276" s="63"/>
    </row>
    <row r="32277" spans="25:25" x14ac:dyDescent="0.25">
      <c r="Y32277" s="63"/>
    </row>
    <row r="32278" spans="25:25" x14ac:dyDescent="0.25">
      <c r="Y32278" s="63"/>
    </row>
    <row r="32279" spans="25:25" x14ac:dyDescent="0.25">
      <c r="Y32279" s="63"/>
    </row>
    <row r="32280" spans="25:25" x14ac:dyDescent="0.25">
      <c r="Y32280" s="63"/>
    </row>
    <row r="32281" spans="25:25" x14ac:dyDescent="0.25">
      <c r="Y32281" s="63"/>
    </row>
    <row r="32282" spans="25:25" x14ac:dyDescent="0.25">
      <c r="Y32282" s="63"/>
    </row>
    <row r="32283" spans="25:25" x14ac:dyDescent="0.25">
      <c r="Y32283" s="63"/>
    </row>
    <row r="32284" spans="25:25" x14ac:dyDescent="0.25">
      <c r="Y32284" s="63"/>
    </row>
    <row r="32285" spans="25:25" x14ac:dyDescent="0.25">
      <c r="Y32285" s="63"/>
    </row>
    <row r="32286" spans="25:25" x14ac:dyDescent="0.25">
      <c r="Y32286" s="63"/>
    </row>
    <row r="32287" spans="25:25" x14ac:dyDescent="0.25">
      <c r="Y32287" s="63"/>
    </row>
    <row r="32288" spans="25:25" x14ac:dyDescent="0.25">
      <c r="Y32288" s="63"/>
    </row>
    <row r="32289" spans="25:25" x14ac:dyDescent="0.25">
      <c r="Y32289" s="63"/>
    </row>
    <row r="32290" spans="25:25" x14ac:dyDescent="0.25">
      <c r="Y32290" s="63"/>
    </row>
    <row r="32291" spans="25:25" x14ac:dyDescent="0.25">
      <c r="Y32291" s="63"/>
    </row>
    <row r="32292" spans="25:25" x14ac:dyDescent="0.25">
      <c r="Y32292" s="63"/>
    </row>
    <row r="32293" spans="25:25" x14ac:dyDescent="0.25">
      <c r="Y32293" s="63"/>
    </row>
    <row r="32294" spans="25:25" x14ac:dyDescent="0.25">
      <c r="Y32294" s="63"/>
    </row>
    <row r="32295" spans="25:25" x14ac:dyDescent="0.25">
      <c r="Y32295" s="63"/>
    </row>
    <row r="32296" spans="25:25" x14ac:dyDescent="0.25">
      <c r="Y32296" s="63"/>
    </row>
    <row r="32297" spans="25:25" x14ac:dyDescent="0.25">
      <c r="Y32297" s="63"/>
    </row>
    <row r="32298" spans="25:25" x14ac:dyDescent="0.25">
      <c r="Y32298" s="63"/>
    </row>
    <row r="32299" spans="25:25" x14ac:dyDescent="0.25">
      <c r="Y32299" s="63"/>
    </row>
    <row r="32300" spans="25:25" x14ac:dyDescent="0.25">
      <c r="Y32300" s="63"/>
    </row>
    <row r="32301" spans="25:25" x14ac:dyDescent="0.25">
      <c r="Y32301" s="63"/>
    </row>
    <row r="32302" spans="25:25" x14ac:dyDescent="0.25">
      <c r="Y32302" s="63"/>
    </row>
    <row r="32303" spans="25:25" x14ac:dyDescent="0.25">
      <c r="Y32303" s="63"/>
    </row>
    <row r="32304" spans="25:25" x14ac:dyDescent="0.25">
      <c r="Y32304" s="63"/>
    </row>
    <row r="32305" spans="25:25" x14ac:dyDescent="0.25">
      <c r="Y32305" s="63"/>
    </row>
    <row r="32306" spans="25:25" x14ac:dyDescent="0.25">
      <c r="Y32306" s="63"/>
    </row>
    <row r="32307" spans="25:25" x14ac:dyDescent="0.25">
      <c r="Y32307" s="63"/>
    </row>
    <row r="32308" spans="25:25" x14ac:dyDescent="0.25">
      <c r="Y32308" s="63"/>
    </row>
    <row r="32309" spans="25:25" x14ac:dyDescent="0.25">
      <c r="Y32309" s="63"/>
    </row>
    <row r="32310" spans="25:25" x14ac:dyDescent="0.25">
      <c r="Y32310" s="63"/>
    </row>
    <row r="32311" spans="25:25" x14ac:dyDescent="0.25">
      <c r="Y32311" s="63"/>
    </row>
    <row r="32312" spans="25:25" x14ac:dyDescent="0.25">
      <c r="Y32312" s="63"/>
    </row>
    <row r="32313" spans="25:25" x14ac:dyDescent="0.25">
      <c r="Y32313" s="63"/>
    </row>
    <row r="32314" spans="25:25" x14ac:dyDescent="0.25">
      <c r="Y32314" s="63"/>
    </row>
    <row r="32315" spans="25:25" x14ac:dyDescent="0.25">
      <c r="Y32315" s="63"/>
    </row>
    <row r="32316" spans="25:25" x14ac:dyDescent="0.25">
      <c r="Y32316" s="63"/>
    </row>
    <row r="32317" spans="25:25" x14ac:dyDescent="0.25">
      <c r="Y32317" s="63"/>
    </row>
    <row r="32318" spans="25:25" x14ac:dyDescent="0.25">
      <c r="Y32318" s="63"/>
    </row>
    <row r="32319" spans="25:25" x14ac:dyDescent="0.25">
      <c r="Y32319" s="63"/>
    </row>
    <row r="32320" spans="25:25" x14ac:dyDescent="0.25">
      <c r="Y32320" s="63"/>
    </row>
    <row r="32321" spans="25:25" x14ac:dyDescent="0.25">
      <c r="Y32321" s="63"/>
    </row>
    <row r="32322" spans="25:25" x14ac:dyDescent="0.25">
      <c r="Y32322" s="63"/>
    </row>
    <row r="32323" spans="25:25" x14ac:dyDescent="0.25">
      <c r="Y32323" s="63"/>
    </row>
    <row r="32324" spans="25:25" x14ac:dyDescent="0.25">
      <c r="Y32324" s="63"/>
    </row>
    <row r="32325" spans="25:25" x14ac:dyDescent="0.25">
      <c r="Y32325" s="63"/>
    </row>
    <row r="32326" spans="25:25" x14ac:dyDescent="0.25">
      <c r="Y32326" s="63"/>
    </row>
    <row r="32327" spans="25:25" x14ac:dyDescent="0.25">
      <c r="Y32327" s="63"/>
    </row>
    <row r="32328" spans="25:25" x14ac:dyDescent="0.25">
      <c r="Y32328" s="63"/>
    </row>
    <row r="32329" spans="25:25" x14ac:dyDescent="0.25">
      <c r="Y32329" s="63"/>
    </row>
    <row r="32330" spans="25:25" x14ac:dyDescent="0.25">
      <c r="Y32330" s="63"/>
    </row>
    <row r="32331" spans="25:25" x14ac:dyDescent="0.25">
      <c r="Y32331" s="63"/>
    </row>
    <row r="32332" spans="25:25" x14ac:dyDescent="0.25">
      <c r="Y32332" s="63"/>
    </row>
    <row r="32333" spans="25:25" x14ac:dyDescent="0.25">
      <c r="Y32333" s="63"/>
    </row>
    <row r="32334" spans="25:25" x14ac:dyDescent="0.25">
      <c r="Y32334" s="63"/>
    </row>
    <row r="32335" spans="25:25" x14ac:dyDescent="0.25">
      <c r="Y32335" s="63"/>
    </row>
    <row r="32336" spans="25:25" x14ac:dyDescent="0.25">
      <c r="Y32336" s="63"/>
    </row>
    <row r="32337" spans="25:25" x14ac:dyDescent="0.25">
      <c r="Y32337" s="63"/>
    </row>
    <row r="32338" spans="25:25" x14ac:dyDescent="0.25">
      <c r="Y32338" s="63"/>
    </row>
    <row r="32339" spans="25:25" x14ac:dyDescent="0.25">
      <c r="Y32339" s="63"/>
    </row>
    <row r="32340" spans="25:25" x14ac:dyDescent="0.25">
      <c r="Y32340" s="63"/>
    </row>
    <row r="32341" spans="25:25" x14ac:dyDescent="0.25">
      <c r="Y32341" s="63"/>
    </row>
    <row r="32342" spans="25:25" x14ac:dyDescent="0.25">
      <c r="Y32342" s="63"/>
    </row>
    <row r="32343" spans="25:25" x14ac:dyDescent="0.25">
      <c r="Y32343" s="63"/>
    </row>
    <row r="32344" spans="25:25" x14ac:dyDescent="0.25">
      <c r="Y32344" s="63"/>
    </row>
    <row r="32345" spans="25:25" x14ac:dyDescent="0.25">
      <c r="Y32345" s="63"/>
    </row>
    <row r="32346" spans="25:25" x14ac:dyDescent="0.25">
      <c r="Y32346" s="63"/>
    </row>
    <row r="32347" spans="25:25" x14ac:dyDescent="0.25">
      <c r="Y32347" s="63"/>
    </row>
    <row r="32348" spans="25:25" x14ac:dyDescent="0.25">
      <c r="Y32348" s="63"/>
    </row>
    <row r="32349" spans="25:25" x14ac:dyDescent="0.25">
      <c r="Y32349" s="63"/>
    </row>
    <row r="32350" spans="25:25" x14ac:dyDescent="0.25">
      <c r="Y32350" s="63"/>
    </row>
    <row r="32351" spans="25:25" x14ac:dyDescent="0.25">
      <c r="Y32351" s="63"/>
    </row>
    <row r="32352" spans="25:25" x14ac:dyDescent="0.25">
      <c r="Y32352" s="63"/>
    </row>
    <row r="32353" spans="25:25" x14ac:dyDescent="0.25">
      <c r="Y32353" s="63"/>
    </row>
    <row r="32354" spans="25:25" x14ac:dyDescent="0.25">
      <c r="Y32354" s="63"/>
    </row>
    <row r="32355" spans="25:25" x14ac:dyDescent="0.25">
      <c r="Y32355" s="63"/>
    </row>
    <row r="32356" spans="25:25" x14ac:dyDescent="0.25">
      <c r="Y32356" s="63"/>
    </row>
    <row r="32357" spans="25:25" x14ac:dyDescent="0.25">
      <c r="Y32357" s="63"/>
    </row>
    <row r="32358" spans="25:25" x14ac:dyDescent="0.25">
      <c r="Y32358" s="63"/>
    </row>
    <row r="32359" spans="25:25" x14ac:dyDescent="0.25">
      <c r="Y32359" s="63"/>
    </row>
    <row r="32360" spans="25:25" x14ac:dyDescent="0.25">
      <c r="Y32360" s="63"/>
    </row>
    <row r="32361" spans="25:25" x14ac:dyDescent="0.25">
      <c r="Y32361" s="63"/>
    </row>
    <row r="32362" spans="25:25" x14ac:dyDescent="0.25">
      <c r="Y32362" s="63"/>
    </row>
    <row r="32363" spans="25:25" x14ac:dyDescent="0.25">
      <c r="Y32363" s="63"/>
    </row>
    <row r="32364" spans="25:25" x14ac:dyDescent="0.25">
      <c r="Y32364" s="63"/>
    </row>
    <row r="32365" spans="25:25" x14ac:dyDescent="0.25">
      <c r="Y32365" s="63"/>
    </row>
    <row r="32366" spans="25:25" x14ac:dyDescent="0.25">
      <c r="Y32366" s="63"/>
    </row>
    <row r="32367" spans="25:25" x14ac:dyDescent="0.25">
      <c r="Y32367" s="63"/>
    </row>
    <row r="32368" spans="25:25" x14ac:dyDescent="0.25">
      <c r="Y32368" s="63"/>
    </row>
    <row r="32369" spans="25:25" x14ac:dyDescent="0.25">
      <c r="Y32369" s="63"/>
    </row>
    <row r="32370" spans="25:25" x14ac:dyDescent="0.25">
      <c r="Y32370" s="63"/>
    </row>
    <row r="32371" spans="25:25" x14ac:dyDescent="0.25">
      <c r="Y32371" s="63"/>
    </row>
    <row r="32372" spans="25:25" x14ac:dyDescent="0.25">
      <c r="Y32372" s="63"/>
    </row>
    <row r="32373" spans="25:25" x14ac:dyDescent="0.25">
      <c r="Y32373" s="63"/>
    </row>
    <row r="32374" spans="25:25" x14ac:dyDescent="0.25">
      <c r="Y32374" s="63"/>
    </row>
    <row r="32375" spans="25:25" x14ac:dyDescent="0.25">
      <c r="Y32375" s="63"/>
    </row>
    <row r="32376" spans="25:25" x14ac:dyDescent="0.25">
      <c r="Y32376" s="63"/>
    </row>
    <row r="32377" spans="25:25" x14ac:dyDescent="0.25">
      <c r="Y32377" s="63"/>
    </row>
    <row r="32378" spans="25:25" x14ac:dyDescent="0.25">
      <c r="Y32378" s="63"/>
    </row>
    <row r="32379" spans="25:25" x14ac:dyDescent="0.25">
      <c r="Y32379" s="63"/>
    </row>
    <row r="32380" spans="25:25" x14ac:dyDescent="0.25">
      <c r="Y32380" s="63"/>
    </row>
    <row r="32381" spans="25:25" x14ac:dyDescent="0.25">
      <c r="Y32381" s="63"/>
    </row>
    <row r="32382" spans="25:25" x14ac:dyDescent="0.25">
      <c r="Y32382" s="63"/>
    </row>
    <row r="32383" spans="25:25" x14ac:dyDescent="0.25">
      <c r="Y32383" s="63"/>
    </row>
    <row r="32384" spans="25:25" x14ac:dyDescent="0.25">
      <c r="Y32384" s="63"/>
    </row>
    <row r="32385" spans="25:25" x14ac:dyDescent="0.25">
      <c r="Y32385" s="63"/>
    </row>
    <row r="32386" spans="25:25" x14ac:dyDescent="0.25">
      <c r="Y32386" s="63"/>
    </row>
    <row r="32387" spans="25:25" x14ac:dyDescent="0.25">
      <c r="Y32387" s="63"/>
    </row>
    <row r="32388" spans="25:25" x14ac:dyDescent="0.25">
      <c r="Y32388" s="63"/>
    </row>
    <row r="32389" spans="25:25" x14ac:dyDescent="0.25">
      <c r="Y32389" s="63"/>
    </row>
    <row r="32390" spans="25:25" x14ac:dyDescent="0.25">
      <c r="Y32390" s="63"/>
    </row>
    <row r="32391" spans="25:25" x14ac:dyDescent="0.25">
      <c r="Y32391" s="63"/>
    </row>
    <row r="32392" spans="25:25" x14ac:dyDescent="0.25">
      <c r="Y32392" s="63"/>
    </row>
    <row r="32393" spans="25:25" x14ac:dyDescent="0.25">
      <c r="Y32393" s="63"/>
    </row>
    <row r="32394" spans="25:25" x14ac:dyDescent="0.25">
      <c r="Y32394" s="63"/>
    </row>
    <row r="32395" spans="25:25" x14ac:dyDescent="0.25">
      <c r="Y32395" s="63"/>
    </row>
    <row r="32396" spans="25:25" x14ac:dyDescent="0.25">
      <c r="Y32396" s="63"/>
    </row>
    <row r="32397" spans="25:25" x14ac:dyDescent="0.25">
      <c r="Y32397" s="63"/>
    </row>
    <row r="32398" spans="25:25" x14ac:dyDescent="0.25">
      <c r="Y32398" s="63"/>
    </row>
    <row r="32399" spans="25:25" x14ac:dyDescent="0.25">
      <c r="Y32399" s="63"/>
    </row>
    <row r="32400" spans="25:25" x14ac:dyDescent="0.25">
      <c r="Y32400" s="63"/>
    </row>
    <row r="32401" spans="25:25" x14ac:dyDescent="0.25">
      <c r="Y32401" s="63"/>
    </row>
    <row r="32402" spans="25:25" x14ac:dyDescent="0.25">
      <c r="Y32402" s="63"/>
    </row>
    <row r="32403" spans="25:25" x14ac:dyDescent="0.25">
      <c r="Y32403" s="63"/>
    </row>
    <row r="32404" spans="25:25" x14ac:dyDescent="0.25">
      <c r="Y32404" s="63"/>
    </row>
    <row r="32405" spans="25:25" x14ac:dyDescent="0.25">
      <c r="Y32405" s="63"/>
    </row>
    <row r="32406" spans="25:25" x14ac:dyDescent="0.25">
      <c r="Y32406" s="63"/>
    </row>
    <row r="32407" spans="25:25" x14ac:dyDescent="0.25">
      <c r="Y32407" s="63"/>
    </row>
    <row r="32408" spans="25:25" x14ac:dyDescent="0.25">
      <c r="Y32408" s="63"/>
    </row>
    <row r="32409" spans="25:25" x14ac:dyDescent="0.25">
      <c r="Y32409" s="63"/>
    </row>
    <row r="32410" spans="25:25" x14ac:dyDescent="0.25">
      <c r="Y32410" s="63"/>
    </row>
    <row r="32411" spans="25:25" x14ac:dyDescent="0.25">
      <c r="Y32411" s="63"/>
    </row>
    <row r="32412" spans="25:25" x14ac:dyDescent="0.25">
      <c r="Y32412" s="63"/>
    </row>
    <row r="32413" spans="25:25" x14ac:dyDescent="0.25">
      <c r="Y32413" s="63"/>
    </row>
    <row r="32414" spans="25:25" x14ac:dyDescent="0.25">
      <c r="Y32414" s="63"/>
    </row>
    <row r="32415" spans="25:25" x14ac:dyDescent="0.25">
      <c r="Y32415" s="63"/>
    </row>
    <row r="32416" spans="25:25" x14ac:dyDescent="0.25">
      <c r="Y32416" s="63"/>
    </row>
    <row r="32417" spans="25:25" x14ac:dyDescent="0.25">
      <c r="Y32417" s="63"/>
    </row>
    <row r="32418" spans="25:25" x14ac:dyDescent="0.25">
      <c r="Y32418" s="63"/>
    </row>
    <row r="32419" spans="25:25" x14ac:dyDescent="0.25">
      <c r="Y32419" s="63"/>
    </row>
    <row r="32420" spans="25:25" x14ac:dyDescent="0.25">
      <c r="Y32420" s="63"/>
    </row>
    <row r="32421" spans="25:25" x14ac:dyDescent="0.25">
      <c r="Y32421" s="63"/>
    </row>
    <row r="32422" spans="25:25" x14ac:dyDescent="0.25">
      <c r="Y32422" s="63"/>
    </row>
    <row r="32423" spans="25:25" x14ac:dyDescent="0.25">
      <c r="Y32423" s="63"/>
    </row>
    <row r="32424" spans="25:25" x14ac:dyDescent="0.25">
      <c r="Y32424" s="63"/>
    </row>
    <row r="32425" spans="25:25" x14ac:dyDescent="0.25">
      <c r="Y32425" s="63"/>
    </row>
    <row r="32426" spans="25:25" x14ac:dyDescent="0.25">
      <c r="Y32426" s="63"/>
    </row>
    <row r="32427" spans="25:25" x14ac:dyDescent="0.25">
      <c r="Y32427" s="63"/>
    </row>
    <row r="32428" spans="25:25" x14ac:dyDescent="0.25">
      <c r="Y32428" s="63"/>
    </row>
    <row r="32429" spans="25:25" x14ac:dyDescent="0.25">
      <c r="Y32429" s="63"/>
    </row>
    <row r="32430" spans="25:25" x14ac:dyDescent="0.25">
      <c r="Y32430" s="63"/>
    </row>
    <row r="32431" spans="25:25" x14ac:dyDescent="0.25">
      <c r="Y32431" s="63"/>
    </row>
    <row r="32432" spans="25:25" x14ac:dyDescent="0.25">
      <c r="Y32432" s="63"/>
    </row>
    <row r="32433" spans="25:25" x14ac:dyDescent="0.25">
      <c r="Y32433" s="63"/>
    </row>
    <row r="32434" spans="25:25" x14ac:dyDescent="0.25">
      <c r="Y32434" s="63"/>
    </row>
    <row r="32435" spans="25:25" x14ac:dyDescent="0.25">
      <c r="Y32435" s="63"/>
    </row>
    <row r="32436" spans="25:25" x14ac:dyDescent="0.25">
      <c r="Y32436" s="63"/>
    </row>
    <row r="32437" spans="25:25" x14ac:dyDescent="0.25">
      <c r="Y32437" s="63"/>
    </row>
    <row r="32438" spans="25:25" x14ac:dyDescent="0.25">
      <c r="Y32438" s="63"/>
    </row>
    <row r="32439" spans="25:25" x14ac:dyDescent="0.25">
      <c r="Y32439" s="63"/>
    </row>
    <row r="32440" spans="25:25" x14ac:dyDescent="0.25">
      <c r="Y32440" s="63"/>
    </row>
    <row r="32441" spans="25:25" x14ac:dyDescent="0.25">
      <c r="Y32441" s="63"/>
    </row>
    <row r="32442" spans="25:25" x14ac:dyDescent="0.25">
      <c r="Y32442" s="63"/>
    </row>
    <row r="32443" spans="25:25" x14ac:dyDescent="0.25">
      <c r="Y32443" s="63"/>
    </row>
    <row r="32444" spans="25:25" x14ac:dyDescent="0.25">
      <c r="Y32444" s="63"/>
    </row>
    <row r="32445" spans="25:25" x14ac:dyDescent="0.25">
      <c r="Y32445" s="63"/>
    </row>
    <row r="32446" spans="25:25" x14ac:dyDescent="0.25">
      <c r="Y32446" s="63"/>
    </row>
    <row r="32447" spans="25:25" x14ac:dyDescent="0.25">
      <c r="Y32447" s="63"/>
    </row>
    <row r="32448" spans="25:25" x14ac:dyDescent="0.25">
      <c r="Y32448" s="63"/>
    </row>
    <row r="32449" spans="25:25" x14ac:dyDescent="0.25">
      <c r="Y32449" s="63"/>
    </row>
    <row r="32450" spans="25:25" x14ac:dyDescent="0.25">
      <c r="Y32450" s="63"/>
    </row>
    <row r="32451" spans="25:25" x14ac:dyDescent="0.25">
      <c r="Y32451" s="63"/>
    </row>
    <row r="32452" spans="25:25" x14ac:dyDescent="0.25">
      <c r="Y32452" s="63"/>
    </row>
    <row r="32453" spans="25:25" x14ac:dyDescent="0.25">
      <c r="Y32453" s="63"/>
    </row>
    <row r="32454" spans="25:25" x14ac:dyDescent="0.25">
      <c r="Y32454" s="63"/>
    </row>
    <row r="32455" spans="25:25" x14ac:dyDescent="0.25">
      <c r="Y32455" s="63"/>
    </row>
    <row r="32456" spans="25:25" x14ac:dyDescent="0.25">
      <c r="Y32456" s="63"/>
    </row>
    <row r="32457" spans="25:25" x14ac:dyDescent="0.25">
      <c r="Y32457" s="63"/>
    </row>
    <row r="32458" spans="25:25" x14ac:dyDescent="0.25">
      <c r="Y32458" s="63"/>
    </row>
    <row r="32459" spans="25:25" x14ac:dyDescent="0.25">
      <c r="Y32459" s="63"/>
    </row>
    <row r="32460" spans="25:25" x14ac:dyDescent="0.25">
      <c r="Y32460" s="63"/>
    </row>
    <row r="32461" spans="25:25" x14ac:dyDescent="0.25">
      <c r="Y32461" s="63"/>
    </row>
    <row r="32462" spans="25:25" x14ac:dyDescent="0.25">
      <c r="Y32462" s="63"/>
    </row>
    <row r="32463" spans="25:25" x14ac:dyDescent="0.25">
      <c r="Y32463" s="63"/>
    </row>
    <row r="32464" spans="25:25" x14ac:dyDescent="0.25">
      <c r="Y32464" s="63"/>
    </row>
    <row r="32465" spans="25:25" x14ac:dyDescent="0.25">
      <c r="Y32465" s="63"/>
    </row>
    <row r="32466" spans="25:25" x14ac:dyDescent="0.25">
      <c r="Y32466" s="63"/>
    </row>
    <row r="32467" spans="25:25" x14ac:dyDescent="0.25">
      <c r="Y32467" s="63"/>
    </row>
    <row r="32468" spans="25:25" x14ac:dyDescent="0.25">
      <c r="Y32468" s="63"/>
    </row>
    <row r="32469" spans="25:25" x14ac:dyDescent="0.25">
      <c r="Y32469" s="63"/>
    </row>
    <row r="32470" spans="25:25" x14ac:dyDescent="0.25">
      <c r="Y32470" s="63"/>
    </row>
    <row r="32471" spans="25:25" x14ac:dyDescent="0.25">
      <c r="Y32471" s="63"/>
    </row>
    <row r="32472" spans="25:25" x14ac:dyDescent="0.25">
      <c r="Y32472" s="63"/>
    </row>
    <row r="32473" spans="25:25" x14ac:dyDescent="0.25">
      <c r="Y32473" s="63"/>
    </row>
    <row r="32474" spans="25:25" x14ac:dyDescent="0.25">
      <c r="Y32474" s="63"/>
    </row>
    <row r="32475" spans="25:25" x14ac:dyDescent="0.25">
      <c r="Y32475" s="63"/>
    </row>
    <row r="32476" spans="25:25" x14ac:dyDescent="0.25">
      <c r="Y32476" s="63"/>
    </row>
    <row r="32477" spans="25:25" x14ac:dyDescent="0.25">
      <c r="Y32477" s="63"/>
    </row>
    <row r="32478" spans="25:25" x14ac:dyDescent="0.25">
      <c r="Y32478" s="63"/>
    </row>
    <row r="32479" spans="25:25" x14ac:dyDescent="0.25">
      <c r="Y32479" s="63"/>
    </row>
    <row r="32480" spans="25:25" x14ac:dyDescent="0.25">
      <c r="Y32480" s="63"/>
    </row>
    <row r="32481" spans="25:25" x14ac:dyDescent="0.25">
      <c r="Y32481" s="63"/>
    </row>
    <row r="32482" spans="25:25" x14ac:dyDescent="0.25">
      <c r="Y32482" s="63"/>
    </row>
    <row r="32483" spans="25:25" x14ac:dyDescent="0.25">
      <c r="Y32483" s="63"/>
    </row>
    <row r="32484" spans="25:25" x14ac:dyDescent="0.25">
      <c r="Y32484" s="63"/>
    </row>
    <row r="32485" spans="25:25" x14ac:dyDescent="0.25">
      <c r="Y32485" s="63"/>
    </row>
    <row r="32486" spans="25:25" x14ac:dyDescent="0.25">
      <c r="Y32486" s="63"/>
    </row>
    <row r="32487" spans="25:25" x14ac:dyDescent="0.25">
      <c r="Y32487" s="63"/>
    </row>
    <row r="32488" spans="25:25" x14ac:dyDescent="0.25">
      <c r="Y32488" s="63"/>
    </row>
    <row r="32489" spans="25:25" x14ac:dyDescent="0.25">
      <c r="Y32489" s="63"/>
    </row>
    <row r="32490" spans="25:25" x14ac:dyDescent="0.25">
      <c r="Y32490" s="63"/>
    </row>
    <row r="32491" spans="25:25" x14ac:dyDescent="0.25">
      <c r="Y32491" s="63"/>
    </row>
    <row r="32492" spans="25:25" x14ac:dyDescent="0.25">
      <c r="Y32492" s="63"/>
    </row>
    <row r="32493" spans="25:25" x14ac:dyDescent="0.25">
      <c r="Y32493" s="63"/>
    </row>
    <row r="32494" spans="25:25" x14ac:dyDescent="0.25">
      <c r="Y32494" s="63"/>
    </row>
    <row r="32495" spans="25:25" x14ac:dyDescent="0.25">
      <c r="Y32495" s="63"/>
    </row>
    <row r="32496" spans="25:25" x14ac:dyDescent="0.25">
      <c r="Y32496" s="63"/>
    </row>
    <row r="32497" spans="25:25" x14ac:dyDescent="0.25">
      <c r="Y32497" s="63"/>
    </row>
    <row r="32498" spans="25:25" x14ac:dyDescent="0.25">
      <c r="Y32498" s="63"/>
    </row>
    <row r="32499" spans="25:25" x14ac:dyDescent="0.25">
      <c r="Y32499" s="63"/>
    </row>
    <row r="32500" spans="25:25" x14ac:dyDescent="0.25">
      <c r="Y32500" s="63"/>
    </row>
    <row r="32501" spans="25:25" x14ac:dyDescent="0.25">
      <c r="Y32501" s="63"/>
    </row>
    <row r="32502" spans="25:25" x14ac:dyDescent="0.25">
      <c r="Y32502" s="63"/>
    </row>
    <row r="32503" spans="25:25" x14ac:dyDescent="0.25">
      <c r="Y32503" s="63"/>
    </row>
    <row r="32504" spans="25:25" x14ac:dyDescent="0.25">
      <c r="Y32504" s="63"/>
    </row>
    <row r="32505" spans="25:25" x14ac:dyDescent="0.25">
      <c r="Y32505" s="63"/>
    </row>
    <row r="32506" spans="25:25" x14ac:dyDescent="0.25">
      <c r="Y32506" s="63"/>
    </row>
    <row r="32507" spans="25:25" x14ac:dyDescent="0.25">
      <c r="Y32507" s="63"/>
    </row>
    <row r="32508" spans="25:25" x14ac:dyDescent="0.25">
      <c r="Y32508" s="63"/>
    </row>
    <row r="32509" spans="25:25" x14ac:dyDescent="0.25">
      <c r="Y32509" s="63"/>
    </row>
    <row r="32510" spans="25:25" x14ac:dyDescent="0.25">
      <c r="Y32510" s="63"/>
    </row>
    <row r="32511" spans="25:25" x14ac:dyDescent="0.25">
      <c r="Y32511" s="63"/>
    </row>
    <row r="32512" spans="25:25" x14ac:dyDescent="0.25">
      <c r="Y32512" s="63"/>
    </row>
    <row r="32513" spans="25:25" x14ac:dyDescent="0.25">
      <c r="Y32513" s="63"/>
    </row>
    <row r="32514" spans="25:25" x14ac:dyDescent="0.25">
      <c r="Y32514" s="63"/>
    </row>
    <row r="32515" spans="25:25" x14ac:dyDescent="0.25">
      <c r="Y32515" s="63"/>
    </row>
    <row r="32516" spans="25:25" x14ac:dyDescent="0.25">
      <c r="Y32516" s="63"/>
    </row>
    <row r="32517" spans="25:25" x14ac:dyDescent="0.25">
      <c r="Y32517" s="63"/>
    </row>
    <row r="32518" spans="25:25" x14ac:dyDescent="0.25">
      <c r="Y32518" s="63"/>
    </row>
    <row r="32519" spans="25:25" x14ac:dyDescent="0.25">
      <c r="Y32519" s="63"/>
    </row>
    <row r="32520" spans="25:25" x14ac:dyDescent="0.25">
      <c r="Y32520" s="63"/>
    </row>
    <row r="32521" spans="25:25" x14ac:dyDescent="0.25">
      <c r="Y32521" s="63"/>
    </row>
    <row r="32522" spans="25:25" x14ac:dyDescent="0.25">
      <c r="Y32522" s="63"/>
    </row>
    <row r="32523" spans="25:25" x14ac:dyDescent="0.25">
      <c r="Y32523" s="63"/>
    </row>
    <row r="32524" spans="25:25" x14ac:dyDescent="0.25">
      <c r="Y32524" s="63"/>
    </row>
    <row r="32525" spans="25:25" x14ac:dyDescent="0.25">
      <c r="Y32525" s="63"/>
    </row>
    <row r="32526" spans="25:25" x14ac:dyDescent="0.25">
      <c r="Y32526" s="63"/>
    </row>
    <row r="32527" spans="25:25" x14ac:dyDescent="0.25">
      <c r="Y32527" s="63"/>
    </row>
    <row r="32528" spans="25:25" x14ac:dyDescent="0.25">
      <c r="Y32528" s="63"/>
    </row>
    <row r="32529" spans="25:25" x14ac:dyDescent="0.25">
      <c r="Y32529" s="63"/>
    </row>
    <row r="32530" spans="25:25" x14ac:dyDescent="0.25">
      <c r="Y32530" s="63"/>
    </row>
    <row r="32531" spans="25:25" x14ac:dyDescent="0.25">
      <c r="Y32531" s="63"/>
    </row>
    <row r="32532" spans="25:25" x14ac:dyDescent="0.25">
      <c r="Y32532" s="63"/>
    </row>
    <row r="32533" spans="25:25" x14ac:dyDescent="0.25">
      <c r="Y32533" s="63"/>
    </row>
    <row r="32534" spans="25:25" x14ac:dyDescent="0.25">
      <c r="Y32534" s="63"/>
    </row>
    <row r="32535" spans="25:25" x14ac:dyDescent="0.25">
      <c r="Y32535" s="63"/>
    </row>
    <row r="32536" spans="25:25" x14ac:dyDescent="0.25">
      <c r="Y32536" s="63"/>
    </row>
    <row r="32537" spans="25:25" x14ac:dyDescent="0.25">
      <c r="Y32537" s="63"/>
    </row>
    <row r="32538" spans="25:25" x14ac:dyDescent="0.25">
      <c r="Y32538" s="63"/>
    </row>
    <row r="32539" spans="25:25" x14ac:dyDescent="0.25">
      <c r="Y32539" s="63"/>
    </row>
    <row r="32540" spans="25:25" x14ac:dyDescent="0.25">
      <c r="Y32540" s="63"/>
    </row>
    <row r="32541" spans="25:25" x14ac:dyDescent="0.25">
      <c r="Y32541" s="63"/>
    </row>
    <row r="32542" spans="25:25" x14ac:dyDescent="0.25">
      <c r="Y32542" s="63"/>
    </row>
    <row r="32543" spans="25:25" x14ac:dyDescent="0.25">
      <c r="Y32543" s="63"/>
    </row>
    <row r="32544" spans="25:25" x14ac:dyDescent="0.25">
      <c r="Y32544" s="63"/>
    </row>
    <row r="32545" spans="25:25" x14ac:dyDescent="0.25">
      <c r="Y32545" s="63"/>
    </row>
    <row r="32546" spans="25:25" x14ac:dyDescent="0.25">
      <c r="Y32546" s="63"/>
    </row>
    <row r="32547" spans="25:25" x14ac:dyDescent="0.25">
      <c r="Y32547" s="63"/>
    </row>
    <row r="32548" spans="25:25" x14ac:dyDescent="0.25">
      <c r="Y32548" s="63"/>
    </row>
    <row r="32549" spans="25:25" x14ac:dyDescent="0.25">
      <c r="Y32549" s="63"/>
    </row>
    <row r="32550" spans="25:25" x14ac:dyDescent="0.25">
      <c r="Y32550" s="63"/>
    </row>
    <row r="32551" spans="25:25" x14ac:dyDescent="0.25">
      <c r="Y32551" s="63"/>
    </row>
    <row r="32552" spans="25:25" x14ac:dyDescent="0.25">
      <c r="Y32552" s="63"/>
    </row>
    <row r="32553" spans="25:25" x14ac:dyDescent="0.25">
      <c r="Y32553" s="63"/>
    </row>
    <row r="32554" spans="25:25" x14ac:dyDescent="0.25">
      <c r="Y32554" s="63"/>
    </row>
    <row r="32555" spans="25:25" x14ac:dyDescent="0.25">
      <c r="Y32555" s="63"/>
    </row>
    <row r="32556" spans="25:25" x14ac:dyDescent="0.25">
      <c r="Y32556" s="63"/>
    </row>
    <row r="32557" spans="25:25" x14ac:dyDescent="0.25">
      <c r="Y32557" s="63"/>
    </row>
    <row r="32558" spans="25:25" x14ac:dyDescent="0.25">
      <c r="Y32558" s="63"/>
    </row>
    <row r="32559" spans="25:25" x14ac:dyDescent="0.25">
      <c r="Y32559" s="63"/>
    </row>
    <row r="32560" spans="25:25" x14ac:dyDescent="0.25">
      <c r="Y32560" s="63"/>
    </row>
    <row r="32561" spans="25:25" x14ac:dyDescent="0.25">
      <c r="Y32561" s="63"/>
    </row>
    <row r="32562" spans="25:25" x14ac:dyDescent="0.25">
      <c r="Y32562" s="63"/>
    </row>
    <row r="32563" spans="25:25" x14ac:dyDescent="0.25">
      <c r="Y32563" s="63"/>
    </row>
    <row r="32564" spans="25:25" x14ac:dyDescent="0.25">
      <c r="Y32564" s="63"/>
    </row>
    <row r="32565" spans="25:25" x14ac:dyDescent="0.25">
      <c r="Y32565" s="63"/>
    </row>
    <row r="32566" spans="25:25" x14ac:dyDescent="0.25">
      <c r="Y32566" s="63"/>
    </row>
    <row r="32567" spans="25:25" x14ac:dyDescent="0.25">
      <c r="Y32567" s="63"/>
    </row>
    <row r="32568" spans="25:25" x14ac:dyDescent="0.25">
      <c r="Y32568" s="63"/>
    </row>
    <row r="32569" spans="25:25" x14ac:dyDescent="0.25">
      <c r="Y32569" s="63"/>
    </row>
    <row r="32570" spans="25:25" x14ac:dyDescent="0.25">
      <c r="Y32570" s="63"/>
    </row>
    <row r="32571" spans="25:25" x14ac:dyDescent="0.25">
      <c r="Y32571" s="63"/>
    </row>
    <row r="32572" spans="25:25" x14ac:dyDescent="0.25">
      <c r="Y32572" s="63"/>
    </row>
    <row r="32573" spans="25:25" x14ac:dyDescent="0.25">
      <c r="Y32573" s="63"/>
    </row>
    <row r="32574" spans="25:25" x14ac:dyDescent="0.25">
      <c r="Y32574" s="63"/>
    </row>
    <row r="32575" spans="25:25" x14ac:dyDescent="0.25">
      <c r="Y32575" s="63"/>
    </row>
    <row r="32576" spans="25:25" x14ac:dyDescent="0.25">
      <c r="Y32576" s="63"/>
    </row>
    <row r="32577" spans="25:25" x14ac:dyDescent="0.25">
      <c r="Y32577" s="63"/>
    </row>
    <row r="32578" spans="25:25" x14ac:dyDescent="0.25">
      <c r="Y32578" s="63"/>
    </row>
    <row r="32579" spans="25:25" x14ac:dyDescent="0.25">
      <c r="Y32579" s="63"/>
    </row>
    <row r="32580" spans="25:25" x14ac:dyDescent="0.25">
      <c r="Y32580" s="63"/>
    </row>
    <row r="32581" spans="25:25" x14ac:dyDescent="0.25">
      <c r="Y32581" s="63"/>
    </row>
    <row r="32582" spans="25:25" x14ac:dyDescent="0.25">
      <c r="Y32582" s="63"/>
    </row>
    <row r="32583" spans="25:25" x14ac:dyDescent="0.25">
      <c r="Y32583" s="63"/>
    </row>
    <row r="32584" spans="25:25" x14ac:dyDescent="0.25">
      <c r="Y32584" s="63"/>
    </row>
    <row r="32585" spans="25:25" x14ac:dyDescent="0.25">
      <c r="Y32585" s="63"/>
    </row>
    <row r="32586" spans="25:25" x14ac:dyDescent="0.25">
      <c r="Y32586" s="63"/>
    </row>
    <row r="32587" spans="25:25" x14ac:dyDescent="0.25">
      <c r="Y32587" s="63"/>
    </row>
    <row r="32588" spans="25:25" x14ac:dyDescent="0.25">
      <c r="Y32588" s="63"/>
    </row>
    <row r="32589" spans="25:25" x14ac:dyDescent="0.25">
      <c r="Y32589" s="63"/>
    </row>
    <row r="32590" spans="25:25" x14ac:dyDescent="0.25">
      <c r="Y32590" s="63"/>
    </row>
    <row r="32591" spans="25:25" x14ac:dyDescent="0.25">
      <c r="Y32591" s="63"/>
    </row>
    <row r="32592" spans="25:25" x14ac:dyDescent="0.25">
      <c r="Y32592" s="63"/>
    </row>
    <row r="32593" spans="25:25" x14ac:dyDescent="0.25">
      <c r="Y32593" s="63"/>
    </row>
    <row r="32594" spans="25:25" x14ac:dyDescent="0.25">
      <c r="Y32594" s="63"/>
    </row>
    <row r="32595" spans="25:25" x14ac:dyDescent="0.25">
      <c r="Y32595" s="63"/>
    </row>
    <row r="32596" spans="25:25" x14ac:dyDescent="0.25">
      <c r="Y32596" s="63"/>
    </row>
    <row r="32597" spans="25:25" x14ac:dyDescent="0.25">
      <c r="Y32597" s="63"/>
    </row>
    <row r="32598" spans="25:25" x14ac:dyDescent="0.25">
      <c r="Y32598" s="63"/>
    </row>
    <row r="32599" spans="25:25" x14ac:dyDescent="0.25">
      <c r="Y32599" s="63"/>
    </row>
    <row r="32600" spans="25:25" x14ac:dyDescent="0.25">
      <c r="Y32600" s="63"/>
    </row>
    <row r="32601" spans="25:25" x14ac:dyDescent="0.25">
      <c r="Y32601" s="63"/>
    </row>
    <row r="32602" spans="25:25" x14ac:dyDescent="0.25">
      <c r="Y32602" s="63"/>
    </row>
    <row r="32603" spans="25:25" x14ac:dyDescent="0.25">
      <c r="Y32603" s="63"/>
    </row>
    <row r="32604" spans="25:25" x14ac:dyDescent="0.25">
      <c r="Y32604" s="63"/>
    </row>
    <row r="32605" spans="25:25" x14ac:dyDescent="0.25">
      <c r="Y32605" s="63"/>
    </row>
    <row r="32606" spans="25:25" x14ac:dyDescent="0.25">
      <c r="Y32606" s="63"/>
    </row>
    <row r="32607" spans="25:25" x14ac:dyDescent="0.25">
      <c r="Y32607" s="63"/>
    </row>
    <row r="32608" spans="25:25" x14ac:dyDescent="0.25">
      <c r="Y32608" s="63"/>
    </row>
    <row r="32609" spans="25:25" x14ac:dyDescent="0.25">
      <c r="Y32609" s="63"/>
    </row>
    <row r="32610" spans="25:25" x14ac:dyDescent="0.25">
      <c r="Y32610" s="63"/>
    </row>
    <row r="32611" spans="25:25" x14ac:dyDescent="0.25">
      <c r="Y32611" s="63"/>
    </row>
    <row r="32612" spans="25:25" x14ac:dyDescent="0.25">
      <c r="Y32612" s="63"/>
    </row>
    <row r="32613" spans="25:25" x14ac:dyDescent="0.25">
      <c r="Y32613" s="63"/>
    </row>
    <row r="32614" spans="25:25" x14ac:dyDescent="0.25">
      <c r="Y32614" s="63"/>
    </row>
    <row r="32615" spans="25:25" x14ac:dyDescent="0.25">
      <c r="Y32615" s="63"/>
    </row>
    <row r="32616" spans="25:25" x14ac:dyDescent="0.25">
      <c r="Y32616" s="63"/>
    </row>
    <row r="32617" spans="25:25" x14ac:dyDescent="0.25">
      <c r="Y32617" s="63"/>
    </row>
    <row r="32618" spans="25:25" x14ac:dyDescent="0.25">
      <c r="Y32618" s="63"/>
    </row>
    <row r="32619" spans="25:25" x14ac:dyDescent="0.25">
      <c r="Y32619" s="63"/>
    </row>
    <row r="32620" spans="25:25" x14ac:dyDescent="0.25">
      <c r="Y32620" s="63"/>
    </row>
    <row r="32621" spans="25:25" x14ac:dyDescent="0.25">
      <c r="Y32621" s="63"/>
    </row>
    <row r="32622" spans="25:25" x14ac:dyDescent="0.25">
      <c r="Y32622" s="63"/>
    </row>
    <row r="32623" spans="25:25" x14ac:dyDescent="0.25">
      <c r="Y32623" s="63"/>
    </row>
    <row r="32624" spans="25:25" x14ac:dyDescent="0.25">
      <c r="Y32624" s="63"/>
    </row>
    <row r="32625" spans="25:25" x14ac:dyDescent="0.25">
      <c r="Y32625" s="63"/>
    </row>
    <row r="32626" spans="25:25" x14ac:dyDescent="0.25">
      <c r="Y32626" s="63"/>
    </row>
    <row r="32627" spans="25:25" x14ac:dyDescent="0.25">
      <c r="Y32627" s="63"/>
    </row>
    <row r="32628" spans="25:25" x14ac:dyDescent="0.25">
      <c r="Y32628" s="63"/>
    </row>
    <row r="32629" spans="25:25" x14ac:dyDescent="0.25">
      <c r="Y32629" s="63"/>
    </row>
    <row r="32630" spans="25:25" x14ac:dyDescent="0.25">
      <c r="Y32630" s="63"/>
    </row>
    <row r="32631" spans="25:25" x14ac:dyDescent="0.25">
      <c r="Y32631" s="63"/>
    </row>
    <row r="32632" spans="25:25" x14ac:dyDescent="0.25">
      <c r="Y32632" s="63"/>
    </row>
    <row r="32633" spans="25:25" x14ac:dyDescent="0.25">
      <c r="Y32633" s="63"/>
    </row>
    <row r="32634" spans="25:25" x14ac:dyDescent="0.25">
      <c r="Y32634" s="63"/>
    </row>
    <row r="32635" spans="25:25" x14ac:dyDescent="0.25">
      <c r="Y32635" s="63"/>
    </row>
    <row r="32636" spans="25:25" x14ac:dyDescent="0.25">
      <c r="Y32636" s="63"/>
    </row>
    <row r="32637" spans="25:25" x14ac:dyDescent="0.25">
      <c r="Y32637" s="63"/>
    </row>
    <row r="32638" spans="25:25" x14ac:dyDescent="0.25">
      <c r="Y32638" s="63"/>
    </row>
    <row r="32639" spans="25:25" x14ac:dyDescent="0.25">
      <c r="Y32639" s="63"/>
    </row>
    <row r="32640" spans="25:25" x14ac:dyDescent="0.25">
      <c r="Y32640" s="63"/>
    </row>
    <row r="32641" spans="25:25" x14ac:dyDescent="0.25">
      <c r="Y32641" s="63"/>
    </row>
    <row r="32642" spans="25:25" x14ac:dyDescent="0.25">
      <c r="Y32642" s="63"/>
    </row>
    <row r="32643" spans="25:25" x14ac:dyDescent="0.25">
      <c r="Y32643" s="63"/>
    </row>
    <row r="32644" spans="25:25" x14ac:dyDescent="0.25">
      <c r="Y32644" s="63"/>
    </row>
    <row r="32645" spans="25:25" x14ac:dyDescent="0.25">
      <c r="Y32645" s="63"/>
    </row>
    <row r="32646" spans="25:25" x14ac:dyDescent="0.25">
      <c r="Y32646" s="63"/>
    </row>
    <row r="32647" spans="25:25" x14ac:dyDescent="0.25">
      <c r="Y32647" s="63"/>
    </row>
    <row r="32648" spans="25:25" x14ac:dyDescent="0.25">
      <c r="Y32648" s="63"/>
    </row>
    <row r="32649" spans="25:25" x14ac:dyDescent="0.25">
      <c r="Y32649" s="63"/>
    </row>
    <row r="32650" spans="25:25" x14ac:dyDescent="0.25">
      <c r="Y32650" s="63"/>
    </row>
    <row r="32651" spans="25:25" x14ac:dyDescent="0.25">
      <c r="Y32651" s="63"/>
    </row>
    <row r="32652" spans="25:25" x14ac:dyDescent="0.25">
      <c r="Y32652" s="63"/>
    </row>
    <row r="32653" spans="25:25" x14ac:dyDescent="0.25">
      <c r="Y32653" s="63"/>
    </row>
    <row r="32654" spans="25:25" x14ac:dyDescent="0.25">
      <c r="Y32654" s="63"/>
    </row>
    <row r="32655" spans="25:25" x14ac:dyDescent="0.25">
      <c r="Y32655" s="63"/>
    </row>
    <row r="32656" spans="25:25" x14ac:dyDescent="0.25">
      <c r="Y32656" s="63"/>
    </row>
    <row r="32657" spans="25:25" x14ac:dyDescent="0.25">
      <c r="Y32657" s="63"/>
    </row>
    <row r="32658" spans="25:25" x14ac:dyDescent="0.25">
      <c r="Y32658" s="63"/>
    </row>
    <row r="32659" spans="25:25" x14ac:dyDescent="0.25">
      <c r="Y32659" s="63"/>
    </row>
    <row r="32660" spans="25:25" x14ac:dyDescent="0.25">
      <c r="Y32660" s="63"/>
    </row>
    <row r="32661" spans="25:25" x14ac:dyDescent="0.25">
      <c r="Y32661" s="63"/>
    </row>
    <row r="32662" spans="25:25" x14ac:dyDescent="0.25">
      <c r="Y32662" s="63"/>
    </row>
    <row r="32663" spans="25:25" x14ac:dyDescent="0.25">
      <c r="Y32663" s="63"/>
    </row>
    <row r="32664" spans="25:25" x14ac:dyDescent="0.25">
      <c r="Y32664" s="63"/>
    </row>
    <row r="32665" spans="25:25" x14ac:dyDescent="0.25">
      <c r="Y32665" s="63"/>
    </row>
    <row r="32666" spans="25:25" x14ac:dyDescent="0.25">
      <c r="Y32666" s="63"/>
    </row>
    <row r="32667" spans="25:25" x14ac:dyDescent="0.25">
      <c r="Y32667" s="63"/>
    </row>
    <row r="32668" spans="25:25" x14ac:dyDescent="0.25">
      <c r="Y32668" s="63"/>
    </row>
    <row r="32669" spans="25:25" x14ac:dyDescent="0.25">
      <c r="Y32669" s="63"/>
    </row>
    <row r="32670" spans="25:25" x14ac:dyDescent="0.25">
      <c r="Y32670" s="63"/>
    </row>
    <row r="32671" spans="25:25" x14ac:dyDescent="0.25">
      <c r="Y32671" s="63"/>
    </row>
    <row r="32672" spans="25:25" x14ac:dyDescent="0.25">
      <c r="Y32672" s="63"/>
    </row>
    <row r="32673" spans="25:25" x14ac:dyDescent="0.25">
      <c r="Y32673" s="63"/>
    </row>
    <row r="32674" spans="25:25" x14ac:dyDescent="0.25">
      <c r="Y32674" s="63"/>
    </row>
    <row r="32675" spans="25:25" x14ac:dyDescent="0.25">
      <c r="Y32675" s="63"/>
    </row>
    <row r="32676" spans="25:25" x14ac:dyDescent="0.25">
      <c r="Y32676" s="63"/>
    </row>
    <row r="32677" spans="25:25" x14ac:dyDescent="0.25">
      <c r="Y32677" s="63"/>
    </row>
    <row r="32678" spans="25:25" x14ac:dyDescent="0.25">
      <c r="Y32678" s="63"/>
    </row>
    <row r="32679" spans="25:25" x14ac:dyDescent="0.25">
      <c r="Y32679" s="63"/>
    </row>
    <row r="32680" spans="25:25" x14ac:dyDescent="0.25">
      <c r="Y32680" s="63"/>
    </row>
    <row r="32681" spans="25:25" x14ac:dyDescent="0.25">
      <c r="Y32681" s="63"/>
    </row>
    <row r="32682" spans="25:25" x14ac:dyDescent="0.25">
      <c r="Y32682" s="63"/>
    </row>
    <row r="32683" spans="25:25" x14ac:dyDescent="0.25">
      <c r="Y32683" s="63"/>
    </row>
    <row r="32684" spans="25:25" x14ac:dyDescent="0.25">
      <c r="Y32684" s="63"/>
    </row>
    <row r="32685" spans="25:25" x14ac:dyDescent="0.25">
      <c r="Y32685" s="63"/>
    </row>
    <row r="32686" spans="25:25" x14ac:dyDescent="0.25">
      <c r="Y32686" s="63"/>
    </row>
    <row r="32687" spans="25:25" x14ac:dyDescent="0.25">
      <c r="Y32687" s="63"/>
    </row>
    <row r="32688" spans="25:25" x14ac:dyDescent="0.25">
      <c r="Y32688" s="63"/>
    </row>
    <row r="32689" spans="25:25" x14ac:dyDescent="0.25">
      <c r="Y32689" s="63"/>
    </row>
    <row r="32690" spans="25:25" x14ac:dyDescent="0.25">
      <c r="Y32690" s="63"/>
    </row>
    <row r="32691" spans="25:25" x14ac:dyDescent="0.25">
      <c r="Y32691" s="63"/>
    </row>
    <row r="32692" spans="25:25" x14ac:dyDescent="0.25">
      <c r="Y32692" s="63"/>
    </row>
    <row r="32693" spans="25:25" x14ac:dyDescent="0.25">
      <c r="Y32693" s="63"/>
    </row>
    <row r="32694" spans="25:25" x14ac:dyDescent="0.25">
      <c r="Y32694" s="63"/>
    </row>
    <row r="32695" spans="25:25" x14ac:dyDescent="0.25">
      <c r="Y32695" s="63"/>
    </row>
    <row r="32696" spans="25:25" x14ac:dyDescent="0.25">
      <c r="Y32696" s="63"/>
    </row>
    <row r="32697" spans="25:25" x14ac:dyDescent="0.25">
      <c r="Y32697" s="63"/>
    </row>
    <row r="32698" spans="25:25" x14ac:dyDescent="0.25">
      <c r="Y32698" s="63"/>
    </row>
    <row r="32699" spans="25:25" x14ac:dyDescent="0.25">
      <c r="Y32699" s="63"/>
    </row>
    <row r="32700" spans="25:25" x14ac:dyDescent="0.25">
      <c r="Y32700" s="63"/>
    </row>
    <row r="32701" spans="25:25" x14ac:dyDescent="0.25">
      <c r="Y32701" s="63"/>
    </row>
    <row r="32702" spans="25:25" x14ac:dyDescent="0.25">
      <c r="Y32702" s="63"/>
    </row>
    <row r="32703" spans="25:25" x14ac:dyDescent="0.25">
      <c r="Y32703" s="63"/>
    </row>
    <row r="32704" spans="25:25" x14ac:dyDescent="0.25">
      <c r="Y32704" s="63"/>
    </row>
    <row r="32705" spans="25:25" x14ac:dyDescent="0.25">
      <c r="Y32705" s="63"/>
    </row>
    <row r="32706" spans="25:25" x14ac:dyDescent="0.25">
      <c r="Y32706" s="63"/>
    </row>
    <row r="32707" spans="25:25" x14ac:dyDescent="0.25">
      <c r="Y32707" s="63"/>
    </row>
    <row r="32708" spans="25:25" x14ac:dyDescent="0.25">
      <c r="Y32708" s="63"/>
    </row>
    <row r="32709" spans="25:25" x14ac:dyDescent="0.25">
      <c r="Y32709" s="63"/>
    </row>
    <row r="32710" spans="25:25" x14ac:dyDescent="0.25">
      <c r="Y32710" s="63"/>
    </row>
    <row r="32711" spans="25:25" x14ac:dyDescent="0.25">
      <c r="Y32711" s="63"/>
    </row>
    <row r="32712" spans="25:25" x14ac:dyDescent="0.25">
      <c r="Y32712" s="63"/>
    </row>
    <row r="32713" spans="25:25" x14ac:dyDescent="0.25">
      <c r="Y32713" s="63"/>
    </row>
    <row r="32714" spans="25:25" x14ac:dyDescent="0.25">
      <c r="Y32714" s="63"/>
    </row>
    <row r="32715" spans="25:25" x14ac:dyDescent="0.25">
      <c r="Y32715" s="63"/>
    </row>
    <row r="32716" spans="25:25" x14ac:dyDescent="0.25">
      <c r="Y32716" s="63"/>
    </row>
    <row r="32717" spans="25:25" x14ac:dyDescent="0.25">
      <c r="Y32717" s="63"/>
    </row>
    <row r="32718" spans="25:25" x14ac:dyDescent="0.25">
      <c r="Y32718" s="63"/>
    </row>
    <row r="32719" spans="25:25" x14ac:dyDescent="0.25">
      <c r="Y32719" s="63"/>
    </row>
    <row r="32720" spans="25:25" x14ac:dyDescent="0.25">
      <c r="Y32720" s="63"/>
    </row>
    <row r="32721" spans="25:25" x14ac:dyDescent="0.25">
      <c r="Y32721" s="63"/>
    </row>
    <row r="32722" spans="25:25" x14ac:dyDescent="0.25">
      <c r="Y32722" s="63"/>
    </row>
    <row r="32723" spans="25:25" x14ac:dyDescent="0.25">
      <c r="Y32723" s="63"/>
    </row>
    <row r="32724" spans="25:25" x14ac:dyDescent="0.25">
      <c r="Y32724" s="63"/>
    </row>
    <row r="32725" spans="25:25" x14ac:dyDescent="0.25">
      <c r="Y32725" s="63"/>
    </row>
    <row r="32726" spans="25:25" x14ac:dyDescent="0.25">
      <c r="Y32726" s="63"/>
    </row>
    <row r="32727" spans="25:25" x14ac:dyDescent="0.25">
      <c r="Y32727" s="63"/>
    </row>
    <row r="32728" spans="25:25" x14ac:dyDescent="0.25">
      <c r="Y32728" s="63"/>
    </row>
    <row r="32729" spans="25:25" x14ac:dyDescent="0.25">
      <c r="Y32729" s="63"/>
    </row>
    <row r="32730" spans="25:25" x14ac:dyDescent="0.25">
      <c r="Y32730" s="63"/>
    </row>
    <row r="32731" spans="25:25" x14ac:dyDescent="0.25">
      <c r="Y32731" s="63"/>
    </row>
    <row r="32732" spans="25:25" x14ac:dyDescent="0.25">
      <c r="Y32732" s="63"/>
    </row>
    <row r="32733" spans="25:25" x14ac:dyDescent="0.25">
      <c r="Y32733" s="63"/>
    </row>
    <row r="32734" spans="25:25" x14ac:dyDescent="0.25">
      <c r="Y32734" s="63"/>
    </row>
    <row r="32735" spans="25:25" x14ac:dyDescent="0.25">
      <c r="Y32735" s="63"/>
    </row>
    <row r="32736" spans="25:25" x14ac:dyDescent="0.25">
      <c r="Y32736" s="63"/>
    </row>
    <row r="32737" spans="25:25" x14ac:dyDescent="0.25">
      <c r="Y32737" s="63"/>
    </row>
    <row r="32738" spans="25:25" x14ac:dyDescent="0.25">
      <c r="Y32738" s="63"/>
    </row>
    <row r="32739" spans="25:25" x14ac:dyDescent="0.25">
      <c r="Y32739" s="63"/>
    </row>
    <row r="32740" spans="25:25" x14ac:dyDescent="0.25">
      <c r="Y32740" s="63"/>
    </row>
    <row r="32741" spans="25:25" x14ac:dyDescent="0.25">
      <c r="Y32741" s="63"/>
    </row>
    <row r="32742" spans="25:25" x14ac:dyDescent="0.25">
      <c r="Y32742" s="63"/>
    </row>
    <row r="32743" spans="25:25" x14ac:dyDescent="0.25">
      <c r="Y32743" s="63"/>
    </row>
    <row r="32744" spans="25:25" x14ac:dyDescent="0.25">
      <c r="Y32744" s="63"/>
    </row>
    <row r="32745" spans="25:25" x14ac:dyDescent="0.25">
      <c r="Y32745" s="63"/>
    </row>
    <row r="32746" spans="25:25" x14ac:dyDescent="0.25">
      <c r="Y32746" s="63"/>
    </row>
    <row r="32747" spans="25:25" x14ac:dyDescent="0.25">
      <c r="Y32747" s="63"/>
    </row>
    <row r="32748" spans="25:25" x14ac:dyDescent="0.25">
      <c r="Y32748" s="63"/>
    </row>
    <row r="32749" spans="25:25" x14ac:dyDescent="0.25">
      <c r="Y32749" s="63"/>
    </row>
    <row r="32750" spans="25:25" x14ac:dyDescent="0.25">
      <c r="Y32750" s="63"/>
    </row>
    <row r="32751" spans="25:25" x14ac:dyDescent="0.25">
      <c r="Y32751" s="63"/>
    </row>
    <row r="32752" spans="25:25" x14ac:dyDescent="0.25">
      <c r="Y32752" s="63"/>
    </row>
    <row r="32753" spans="25:25" x14ac:dyDescent="0.25">
      <c r="Y32753" s="63"/>
    </row>
    <row r="32754" spans="25:25" x14ac:dyDescent="0.25">
      <c r="Y32754" s="63"/>
    </row>
    <row r="32755" spans="25:25" x14ac:dyDescent="0.25">
      <c r="Y32755" s="63"/>
    </row>
    <row r="32756" spans="25:25" x14ac:dyDescent="0.25">
      <c r="Y32756" s="63"/>
    </row>
    <row r="32757" spans="25:25" x14ac:dyDescent="0.25">
      <c r="Y32757" s="63"/>
    </row>
    <row r="32758" spans="25:25" x14ac:dyDescent="0.25">
      <c r="Y32758" s="63"/>
    </row>
    <row r="32759" spans="25:25" x14ac:dyDescent="0.25">
      <c r="Y32759" s="63"/>
    </row>
    <row r="32760" spans="25:25" x14ac:dyDescent="0.25">
      <c r="Y32760" s="63"/>
    </row>
    <row r="32761" spans="25:25" x14ac:dyDescent="0.25">
      <c r="Y32761" s="63"/>
    </row>
    <row r="32762" spans="25:25" x14ac:dyDescent="0.25">
      <c r="Y32762" s="63"/>
    </row>
    <row r="32763" spans="25:25" x14ac:dyDescent="0.25">
      <c r="Y32763" s="63"/>
    </row>
    <row r="32764" spans="25:25" x14ac:dyDescent="0.25">
      <c r="Y32764" s="63"/>
    </row>
    <row r="32765" spans="25:25" x14ac:dyDescent="0.25">
      <c r="Y32765" s="63"/>
    </row>
    <row r="32766" spans="25:25" x14ac:dyDescent="0.25">
      <c r="Y32766" s="63"/>
    </row>
    <row r="32767" spans="25:25" x14ac:dyDescent="0.25">
      <c r="Y32767" s="63"/>
    </row>
    <row r="32768" spans="25:25" x14ac:dyDescent="0.25">
      <c r="Y32768" s="63"/>
    </row>
    <row r="32769" spans="25:25" x14ac:dyDescent="0.25">
      <c r="Y32769" s="63"/>
    </row>
    <row r="32770" spans="25:25" x14ac:dyDescent="0.25">
      <c r="Y32770" s="63"/>
    </row>
    <row r="32771" spans="25:25" x14ac:dyDescent="0.25">
      <c r="Y32771" s="63"/>
    </row>
    <row r="32772" spans="25:25" x14ac:dyDescent="0.25">
      <c r="Y32772" s="63"/>
    </row>
    <row r="32773" spans="25:25" x14ac:dyDescent="0.25">
      <c r="Y32773" s="63"/>
    </row>
    <row r="32774" spans="25:25" x14ac:dyDescent="0.25">
      <c r="Y32774" s="63"/>
    </row>
    <row r="32775" spans="25:25" x14ac:dyDescent="0.25">
      <c r="Y32775" s="63"/>
    </row>
    <row r="32776" spans="25:25" x14ac:dyDescent="0.25">
      <c r="Y32776" s="63"/>
    </row>
    <row r="32777" spans="25:25" x14ac:dyDescent="0.25">
      <c r="Y32777" s="63"/>
    </row>
    <row r="32778" spans="25:25" x14ac:dyDescent="0.25">
      <c r="Y32778" s="63"/>
    </row>
    <row r="32779" spans="25:25" x14ac:dyDescent="0.25">
      <c r="Y32779" s="63"/>
    </row>
    <row r="32780" spans="25:25" x14ac:dyDescent="0.25">
      <c r="Y32780" s="63"/>
    </row>
    <row r="32781" spans="25:25" x14ac:dyDescent="0.25">
      <c r="Y32781" s="63"/>
    </row>
    <row r="32782" spans="25:25" x14ac:dyDescent="0.25">
      <c r="Y32782" s="63"/>
    </row>
    <row r="32783" spans="25:25" x14ac:dyDescent="0.25">
      <c r="Y32783" s="63"/>
    </row>
    <row r="32784" spans="25:25" x14ac:dyDescent="0.25">
      <c r="Y32784" s="63"/>
    </row>
    <row r="32785" spans="25:25" x14ac:dyDescent="0.25">
      <c r="Y32785" s="63"/>
    </row>
    <row r="32786" spans="25:25" x14ac:dyDescent="0.25">
      <c r="Y32786" s="63"/>
    </row>
    <row r="32787" spans="25:25" x14ac:dyDescent="0.25">
      <c r="Y32787" s="63"/>
    </row>
    <row r="32788" spans="25:25" x14ac:dyDescent="0.25">
      <c r="Y32788" s="63"/>
    </row>
    <row r="32789" spans="25:25" x14ac:dyDescent="0.25">
      <c r="Y32789" s="63"/>
    </row>
    <row r="32790" spans="25:25" x14ac:dyDescent="0.25">
      <c r="Y32790" s="63"/>
    </row>
    <row r="32791" spans="25:25" x14ac:dyDescent="0.25">
      <c r="Y32791" s="63"/>
    </row>
    <row r="32792" spans="25:25" x14ac:dyDescent="0.25">
      <c r="Y32792" s="63"/>
    </row>
    <row r="32793" spans="25:25" x14ac:dyDescent="0.25">
      <c r="Y32793" s="63"/>
    </row>
    <row r="32794" spans="25:25" x14ac:dyDescent="0.25">
      <c r="Y32794" s="63"/>
    </row>
    <row r="32795" spans="25:25" x14ac:dyDescent="0.25">
      <c r="Y32795" s="63"/>
    </row>
    <row r="32796" spans="25:25" x14ac:dyDescent="0.25">
      <c r="Y32796" s="63"/>
    </row>
    <row r="32797" spans="25:25" x14ac:dyDescent="0.25">
      <c r="Y32797" s="63"/>
    </row>
    <row r="32798" spans="25:25" x14ac:dyDescent="0.25">
      <c r="Y32798" s="63"/>
    </row>
    <row r="32799" spans="25:25" x14ac:dyDescent="0.25">
      <c r="Y32799" s="63"/>
    </row>
    <row r="32800" spans="25:25" x14ac:dyDescent="0.25">
      <c r="Y32800" s="63"/>
    </row>
    <row r="32801" spans="25:25" x14ac:dyDescent="0.25">
      <c r="Y32801" s="63"/>
    </row>
    <row r="32802" spans="25:25" x14ac:dyDescent="0.25">
      <c r="Y32802" s="63"/>
    </row>
    <row r="32803" spans="25:25" x14ac:dyDescent="0.25">
      <c r="Y32803" s="63"/>
    </row>
    <row r="32804" spans="25:25" x14ac:dyDescent="0.25">
      <c r="Y32804" s="63"/>
    </row>
    <row r="32805" spans="25:25" x14ac:dyDescent="0.25">
      <c r="Y32805" s="63"/>
    </row>
    <row r="32806" spans="25:25" x14ac:dyDescent="0.25">
      <c r="Y32806" s="63"/>
    </row>
    <row r="32807" spans="25:25" x14ac:dyDescent="0.25">
      <c r="Y32807" s="63"/>
    </row>
    <row r="32808" spans="25:25" x14ac:dyDescent="0.25">
      <c r="Y32808" s="63"/>
    </row>
    <row r="32809" spans="25:25" x14ac:dyDescent="0.25">
      <c r="Y32809" s="63"/>
    </row>
    <row r="32810" spans="25:25" x14ac:dyDescent="0.25">
      <c r="Y32810" s="63"/>
    </row>
    <row r="32811" spans="25:25" x14ac:dyDescent="0.25">
      <c r="Y32811" s="63"/>
    </row>
    <row r="32812" spans="25:25" x14ac:dyDescent="0.25">
      <c r="Y32812" s="63"/>
    </row>
    <row r="32813" spans="25:25" x14ac:dyDescent="0.25">
      <c r="Y32813" s="63"/>
    </row>
    <row r="32814" spans="25:25" x14ac:dyDescent="0.25">
      <c r="Y32814" s="63"/>
    </row>
    <row r="32815" spans="25:25" x14ac:dyDescent="0.25">
      <c r="Y32815" s="63"/>
    </row>
    <row r="32816" spans="25:25" x14ac:dyDescent="0.25">
      <c r="Y32816" s="63"/>
    </row>
    <row r="32817" spans="25:25" x14ac:dyDescent="0.25">
      <c r="Y32817" s="63"/>
    </row>
    <row r="32818" spans="25:25" x14ac:dyDescent="0.25">
      <c r="Y32818" s="63"/>
    </row>
    <row r="32819" spans="25:25" x14ac:dyDescent="0.25">
      <c r="Y32819" s="63"/>
    </row>
    <row r="32820" spans="25:25" x14ac:dyDescent="0.25">
      <c r="Y32820" s="63"/>
    </row>
    <row r="32821" spans="25:25" x14ac:dyDescent="0.25">
      <c r="Y32821" s="63"/>
    </row>
    <row r="32822" spans="25:25" x14ac:dyDescent="0.25">
      <c r="Y32822" s="63"/>
    </row>
    <row r="32823" spans="25:25" x14ac:dyDescent="0.25">
      <c r="Y32823" s="63"/>
    </row>
    <row r="32824" spans="25:25" x14ac:dyDescent="0.25">
      <c r="Y32824" s="63"/>
    </row>
    <row r="32825" spans="25:25" x14ac:dyDescent="0.25">
      <c r="Y32825" s="63"/>
    </row>
    <row r="32826" spans="25:25" x14ac:dyDescent="0.25">
      <c r="Y32826" s="63"/>
    </row>
    <row r="32827" spans="25:25" x14ac:dyDescent="0.25">
      <c r="Y32827" s="63"/>
    </row>
    <row r="32828" spans="25:25" x14ac:dyDescent="0.25">
      <c r="Y32828" s="63"/>
    </row>
    <row r="32829" spans="25:25" x14ac:dyDescent="0.25">
      <c r="Y32829" s="63"/>
    </row>
    <row r="32830" spans="25:25" x14ac:dyDescent="0.25">
      <c r="Y32830" s="63"/>
    </row>
    <row r="32831" spans="25:25" x14ac:dyDescent="0.25">
      <c r="Y32831" s="63"/>
    </row>
    <row r="32832" spans="25:25" x14ac:dyDescent="0.25">
      <c r="Y32832" s="63"/>
    </row>
    <row r="32833" spans="25:25" x14ac:dyDescent="0.25">
      <c r="Y32833" s="63"/>
    </row>
    <row r="32834" spans="25:25" x14ac:dyDescent="0.25">
      <c r="Y32834" s="63"/>
    </row>
    <row r="32835" spans="25:25" x14ac:dyDescent="0.25">
      <c r="Y32835" s="63"/>
    </row>
    <row r="32836" spans="25:25" x14ac:dyDescent="0.25">
      <c r="Y32836" s="63"/>
    </row>
    <row r="32837" spans="25:25" x14ac:dyDescent="0.25">
      <c r="Y32837" s="63"/>
    </row>
    <row r="32838" spans="25:25" x14ac:dyDescent="0.25">
      <c r="Y32838" s="63"/>
    </row>
    <row r="32839" spans="25:25" x14ac:dyDescent="0.25">
      <c r="Y32839" s="63"/>
    </row>
    <row r="32840" spans="25:25" x14ac:dyDescent="0.25">
      <c r="Y32840" s="63"/>
    </row>
    <row r="32841" spans="25:25" x14ac:dyDescent="0.25">
      <c r="Y32841" s="63"/>
    </row>
    <row r="32842" spans="25:25" x14ac:dyDescent="0.25">
      <c r="Y32842" s="63"/>
    </row>
    <row r="32843" spans="25:25" x14ac:dyDescent="0.25">
      <c r="Y32843" s="63"/>
    </row>
    <row r="32844" spans="25:25" x14ac:dyDescent="0.25">
      <c r="Y32844" s="63"/>
    </row>
    <row r="32845" spans="25:25" x14ac:dyDescent="0.25">
      <c r="Y32845" s="63"/>
    </row>
    <row r="32846" spans="25:25" x14ac:dyDescent="0.25">
      <c r="Y32846" s="63"/>
    </row>
    <row r="32847" spans="25:25" x14ac:dyDescent="0.25">
      <c r="Y32847" s="63"/>
    </row>
    <row r="32848" spans="25:25" x14ac:dyDescent="0.25">
      <c r="Y32848" s="63"/>
    </row>
    <row r="32849" spans="25:25" x14ac:dyDescent="0.25">
      <c r="Y32849" s="63"/>
    </row>
    <row r="32850" spans="25:25" x14ac:dyDescent="0.25">
      <c r="Y32850" s="63"/>
    </row>
    <row r="32851" spans="25:25" x14ac:dyDescent="0.25">
      <c r="Y32851" s="63"/>
    </row>
    <row r="32852" spans="25:25" x14ac:dyDescent="0.25">
      <c r="Y32852" s="63"/>
    </row>
    <row r="32853" spans="25:25" x14ac:dyDescent="0.25">
      <c r="Y32853" s="63"/>
    </row>
    <row r="32854" spans="25:25" x14ac:dyDescent="0.25">
      <c r="Y32854" s="63"/>
    </row>
    <row r="32855" spans="25:25" x14ac:dyDescent="0.25">
      <c r="Y32855" s="63"/>
    </row>
    <row r="32856" spans="25:25" x14ac:dyDescent="0.25">
      <c r="Y32856" s="63"/>
    </row>
    <row r="32857" spans="25:25" x14ac:dyDescent="0.25">
      <c r="Y32857" s="63"/>
    </row>
    <row r="32858" spans="25:25" x14ac:dyDescent="0.25">
      <c r="Y32858" s="63"/>
    </row>
    <row r="32859" spans="25:25" x14ac:dyDescent="0.25">
      <c r="Y32859" s="63"/>
    </row>
    <row r="32860" spans="25:25" x14ac:dyDescent="0.25">
      <c r="Y32860" s="63"/>
    </row>
    <row r="32861" spans="25:25" x14ac:dyDescent="0.25">
      <c r="Y32861" s="63"/>
    </row>
    <row r="32862" spans="25:25" x14ac:dyDescent="0.25">
      <c r="Y32862" s="63"/>
    </row>
    <row r="32863" spans="25:25" x14ac:dyDescent="0.25">
      <c r="Y32863" s="63"/>
    </row>
    <row r="32864" spans="25:25" x14ac:dyDescent="0.25">
      <c r="Y32864" s="63"/>
    </row>
    <row r="32865" spans="25:25" x14ac:dyDescent="0.25">
      <c r="Y32865" s="63"/>
    </row>
    <row r="32866" spans="25:25" x14ac:dyDescent="0.25">
      <c r="Y32866" s="63"/>
    </row>
    <row r="32867" spans="25:25" x14ac:dyDescent="0.25">
      <c r="Y32867" s="63"/>
    </row>
    <row r="32868" spans="25:25" x14ac:dyDescent="0.25">
      <c r="Y32868" s="63"/>
    </row>
    <row r="32869" spans="25:25" x14ac:dyDescent="0.25">
      <c r="Y32869" s="63"/>
    </row>
    <row r="32870" spans="25:25" x14ac:dyDescent="0.25">
      <c r="Y32870" s="63"/>
    </row>
    <row r="32871" spans="25:25" x14ac:dyDescent="0.25">
      <c r="Y32871" s="63"/>
    </row>
    <row r="32872" spans="25:25" x14ac:dyDescent="0.25">
      <c r="Y32872" s="63"/>
    </row>
    <row r="32873" spans="25:25" x14ac:dyDescent="0.25">
      <c r="Y32873" s="63"/>
    </row>
    <row r="32874" spans="25:25" x14ac:dyDescent="0.25">
      <c r="Y32874" s="63"/>
    </row>
    <row r="32875" spans="25:25" x14ac:dyDescent="0.25">
      <c r="Y32875" s="63"/>
    </row>
    <row r="32876" spans="25:25" x14ac:dyDescent="0.25">
      <c r="Y32876" s="63"/>
    </row>
    <row r="32877" spans="25:25" x14ac:dyDescent="0.25">
      <c r="Y32877" s="63"/>
    </row>
    <row r="32878" spans="25:25" x14ac:dyDescent="0.25">
      <c r="Y32878" s="63"/>
    </row>
    <row r="32879" spans="25:25" x14ac:dyDescent="0.25">
      <c r="Y32879" s="63"/>
    </row>
    <row r="32880" spans="25:25" x14ac:dyDescent="0.25">
      <c r="Y32880" s="63"/>
    </row>
    <row r="32881" spans="25:25" x14ac:dyDescent="0.25">
      <c r="Y32881" s="63"/>
    </row>
    <row r="32882" spans="25:25" x14ac:dyDescent="0.25">
      <c r="Y32882" s="63"/>
    </row>
    <row r="32883" spans="25:25" x14ac:dyDescent="0.25">
      <c r="Y32883" s="63"/>
    </row>
    <row r="32884" spans="25:25" x14ac:dyDescent="0.25">
      <c r="Y32884" s="63"/>
    </row>
    <row r="32885" spans="25:25" x14ac:dyDescent="0.25">
      <c r="Y32885" s="63"/>
    </row>
    <row r="32886" spans="25:25" x14ac:dyDescent="0.25">
      <c r="Y32886" s="63"/>
    </row>
    <row r="32887" spans="25:25" x14ac:dyDescent="0.25">
      <c r="Y32887" s="63"/>
    </row>
    <row r="32888" spans="25:25" x14ac:dyDescent="0.25">
      <c r="Y32888" s="63"/>
    </row>
    <row r="32889" spans="25:25" x14ac:dyDescent="0.25">
      <c r="Y32889" s="63"/>
    </row>
    <row r="32890" spans="25:25" x14ac:dyDescent="0.25">
      <c r="Y32890" s="63"/>
    </row>
    <row r="32891" spans="25:25" x14ac:dyDescent="0.25">
      <c r="Y32891" s="63"/>
    </row>
    <row r="32892" spans="25:25" x14ac:dyDescent="0.25">
      <c r="Y32892" s="63"/>
    </row>
    <row r="32893" spans="25:25" x14ac:dyDescent="0.25">
      <c r="Y32893" s="63"/>
    </row>
    <row r="32894" spans="25:25" x14ac:dyDescent="0.25">
      <c r="Y32894" s="63"/>
    </row>
    <row r="32895" spans="25:25" x14ac:dyDescent="0.25">
      <c r="Y32895" s="63"/>
    </row>
    <row r="32896" spans="25:25" x14ac:dyDescent="0.25">
      <c r="Y32896" s="63"/>
    </row>
    <row r="32897" spans="25:25" x14ac:dyDescent="0.25">
      <c r="Y32897" s="63"/>
    </row>
    <row r="32898" spans="25:25" x14ac:dyDescent="0.25">
      <c r="Y32898" s="63"/>
    </row>
    <row r="32899" spans="25:25" x14ac:dyDescent="0.25">
      <c r="Y32899" s="63"/>
    </row>
    <row r="32900" spans="25:25" x14ac:dyDescent="0.25">
      <c r="Y32900" s="63"/>
    </row>
    <row r="32901" spans="25:25" x14ac:dyDescent="0.25">
      <c r="Y32901" s="63"/>
    </row>
    <row r="32902" spans="25:25" x14ac:dyDescent="0.25">
      <c r="Y32902" s="63"/>
    </row>
    <row r="32903" spans="25:25" x14ac:dyDescent="0.25">
      <c r="Y32903" s="63"/>
    </row>
    <row r="32904" spans="25:25" x14ac:dyDescent="0.25">
      <c r="Y32904" s="63"/>
    </row>
    <row r="32905" spans="25:25" x14ac:dyDescent="0.25">
      <c r="Y32905" s="63"/>
    </row>
    <row r="32906" spans="25:25" x14ac:dyDescent="0.25">
      <c r="Y32906" s="63"/>
    </row>
    <row r="32907" spans="25:25" x14ac:dyDescent="0.25">
      <c r="Y32907" s="63"/>
    </row>
    <row r="32908" spans="25:25" x14ac:dyDescent="0.25">
      <c r="Y32908" s="63"/>
    </row>
    <row r="32909" spans="25:25" x14ac:dyDescent="0.25">
      <c r="Y32909" s="63"/>
    </row>
    <row r="32910" spans="25:25" x14ac:dyDescent="0.25">
      <c r="Y32910" s="63"/>
    </row>
    <row r="32911" spans="25:25" x14ac:dyDescent="0.25">
      <c r="Y32911" s="63"/>
    </row>
    <row r="32912" spans="25:25" x14ac:dyDescent="0.25">
      <c r="Y32912" s="63"/>
    </row>
    <row r="32913" spans="25:25" x14ac:dyDescent="0.25">
      <c r="Y32913" s="63"/>
    </row>
    <row r="32914" spans="25:25" x14ac:dyDescent="0.25">
      <c r="Y32914" s="63"/>
    </row>
    <row r="32915" spans="25:25" x14ac:dyDescent="0.25">
      <c r="Y32915" s="63"/>
    </row>
    <row r="32916" spans="25:25" x14ac:dyDescent="0.25">
      <c r="Y32916" s="63"/>
    </row>
    <row r="32917" spans="25:25" x14ac:dyDescent="0.25">
      <c r="Y32917" s="63"/>
    </row>
    <row r="32918" spans="25:25" x14ac:dyDescent="0.25">
      <c r="Y32918" s="63"/>
    </row>
    <row r="32919" spans="25:25" x14ac:dyDescent="0.25">
      <c r="Y32919" s="63"/>
    </row>
    <row r="32920" spans="25:25" x14ac:dyDescent="0.25">
      <c r="Y32920" s="63"/>
    </row>
    <row r="32921" spans="25:25" x14ac:dyDescent="0.25">
      <c r="Y32921" s="63"/>
    </row>
    <row r="32922" spans="25:25" x14ac:dyDescent="0.25">
      <c r="Y32922" s="63"/>
    </row>
    <row r="32923" spans="25:25" x14ac:dyDescent="0.25">
      <c r="Y32923" s="63"/>
    </row>
    <row r="32924" spans="25:25" x14ac:dyDescent="0.25">
      <c r="Y32924" s="63"/>
    </row>
    <row r="32925" spans="25:25" x14ac:dyDescent="0.25">
      <c r="Y32925" s="63"/>
    </row>
    <row r="32926" spans="25:25" x14ac:dyDescent="0.25">
      <c r="Y32926" s="63"/>
    </row>
    <row r="32927" spans="25:25" x14ac:dyDescent="0.25">
      <c r="Y32927" s="63"/>
    </row>
    <row r="32928" spans="25:25" x14ac:dyDescent="0.25">
      <c r="Y32928" s="63"/>
    </row>
    <row r="32929" spans="25:25" x14ac:dyDescent="0.25">
      <c r="Y32929" s="63"/>
    </row>
    <row r="32930" spans="25:25" x14ac:dyDescent="0.25">
      <c r="Y32930" s="63"/>
    </row>
    <row r="32931" spans="25:25" x14ac:dyDescent="0.25">
      <c r="Y32931" s="63"/>
    </row>
    <row r="32932" spans="25:25" x14ac:dyDescent="0.25">
      <c r="Y32932" s="63"/>
    </row>
    <row r="32933" spans="25:25" x14ac:dyDescent="0.25">
      <c r="Y32933" s="63"/>
    </row>
    <row r="32934" spans="25:25" x14ac:dyDescent="0.25">
      <c r="Y32934" s="63"/>
    </row>
    <row r="32935" spans="25:25" x14ac:dyDescent="0.25">
      <c r="Y32935" s="63"/>
    </row>
    <row r="32936" spans="25:25" x14ac:dyDescent="0.25">
      <c r="Y32936" s="63"/>
    </row>
    <row r="32937" spans="25:25" x14ac:dyDescent="0.25">
      <c r="Y32937" s="63"/>
    </row>
    <row r="32938" spans="25:25" x14ac:dyDescent="0.25">
      <c r="Y32938" s="63"/>
    </row>
    <row r="32939" spans="25:25" x14ac:dyDescent="0.25">
      <c r="Y32939" s="63"/>
    </row>
    <row r="32940" spans="25:25" x14ac:dyDescent="0.25">
      <c r="Y32940" s="63"/>
    </row>
    <row r="32941" spans="25:25" x14ac:dyDescent="0.25">
      <c r="Y32941" s="63"/>
    </row>
    <row r="32942" spans="25:25" x14ac:dyDescent="0.25">
      <c r="Y32942" s="63"/>
    </row>
    <row r="32943" spans="25:25" x14ac:dyDescent="0.25">
      <c r="Y32943" s="63"/>
    </row>
    <row r="32944" spans="25:25" x14ac:dyDescent="0.25">
      <c r="Y32944" s="63"/>
    </row>
    <row r="32945" spans="25:25" x14ac:dyDescent="0.25">
      <c r="Y32945" s="63"/>
    </row>
    <row r="32946" spans="25:25" x14ac:dyDescent="0.25">
      <c r="Y32946" s="63"/>
    </row>
    <row r="32947" spans="25:25" x14ac:dyDescent="0.25">
      <c r="Y32947" s="63"/>
    </row>
    <row r="32948" spans="25:25" x14ac:dyDescent="0.25">
      <c r="Y32948" s="63"/>
    </row>
    <row r="32949" spans="25:25" x14ac:dyDescent="0.25">
      <c r="Y32949" s="63"/>
    </row>
    <row r="32950" spans="25:25" x14ac:dyDescent="0.25">
      <c r="Y32950" s="63"/>
    </row>
    <row r="32951" spans="25:25" x14ac:dyDescent="0.25">
      <c r="Y32951" s="63"/>
    </row>
    <row r="32952" spans="25:25" x14ac:dyDescent="0.25">
      <c r="Y32952" s="63"/>
    </row>
    <row r="32953" spans="25:25" x14ac:dyDescent="0.25">
      <c r="Y32953" s="63"/>
    </row>
    <row r="32954" spans="25:25" x14ac:dyDescent="0.25">
      <c r="Y32954" s="63"/>
    </row>
    <row r="32955" spans="25:25" x14ac:dyDescent="0.25">
      <c r="Y32955" s="63"/>
    </row>
    <row r="32956" spans="25:25" x14ac:dyDescent="0.25">
      <c r="Y32956" s="63"/>
    </row>
    <row r="32957" spans="25:25" x14ac:dyDescent="0.25">
      <c r="Y32957" s="63"/>
    </row>
    <row r="32958" spans="25:25" x14ac:dyDescent="0.25">
      <c r="Y32958" s="63"/>
    </row>
    <row r="32959" spans="25:25" x14ac:dyDescent="0.25">
      <c r="Y32959" s="63"/>
    </row>
    <row r="32960" spans="25:25" x14ac:dyDescent="0.25">
      <c r="Y32960" s="63"/>
    </row>
    <row r="32961" spans="25:25" x14ac:dyDescent="0.25">
      <c r="Y32961" s="63"/>
    </row>
    <row r="32962" spans="25:25" x14ac:dyDescent="0.25">
      <c r="Y32962" s="63"/>
    </row>
    <row r="32963" spans="25:25" x14ac:dyDescent="0.25">
      <c r="Y32963" s="63"/>
    </row>
    <row r="32964" spans="25:25" x14ac:dyDescent="0.25">
      <c r="Y32964" s="63"/>
    </row>
    <row r="32965" spans="25:25" x14ac:dyDescent="0.25">
      <c r="Y32965" s="63"/>
    </row>
    <row r="32966" spans="25:25" x14ac:dyDescent="0.25">
      <c r="Y32966" s="63"/>
    </row>
    <row r="32967" spans="25:25" x14ac:dyDescent="0.25">
      <c r="Y32967" s="63"/>
    </row>
    <row r="32968" spans="25:25" x14ac:dyDescent="0.25">
      <c r="Y32968" s="63"/>
    </row>
    <row r="32969" spans="25:25" x14ac:dyDescent="0.25">
      <c r="Y32969" s="63"/>
    </row>
    <row r="32970" spans="25:25" x14ac:dyDescent="0.25">
      <c r="Y32970" s="63"/>
    </row>
    <row r="32971" spans="25:25" x14ac:dyDescent="0.25">
      <c r="Y32971" s="63"/>
    </row>
    <row r="32972" spans="25:25" x14ac:dyDescent="0.25">
      <c r="Y32972" s="63"/>
    </row>
    <row r="32973" spans="25:25" x14ac:dyDescent="0.25">
      <c r="Y32973" s="63"/>
    </row>
    <row r="32974" spans="25:25" x14ac:dyDescent="0.25">
      <c r="Y32974" s="63"/>
    </row>
    <row r="32975" spans="25:25" x14ac:dyDescent="0.25">
      <c r="Y32975" s="63"/>
    </row>
    <row r="32976" spans="25:25" x14ac:dyDescent="0.25">
      <c r="Y32976" s="63"/>
    </row>
    <row r="32977" spans="25:25" x14ac:dyDescent="0.25">
      <c r="Y32977" s="63"/>
    </row>
    <row r="32978" spans="25:25" x14ac:dyDescent="0.25">
      <c r="Y32978" s="63"/>
    </row>
    <row r="32979" spans="25:25" x14ac:dyDescent="0.25">
      <c r="Y32979" s="63"/>
    </row>
    <row r="32980" spans="25:25" x14ac:dyDescent="0.25">
      <c r="Y32980" s="63"/>
    </row>
    <row r="32981" spans="25:25" x14ac:dyDescent="0.25">
      <c r="Y32981" s="63"/>
    </row>
    <row r="32982" spans="25:25" x14ac:dyDescent="0.25">
      <c r="Y32982" s="63"/>
    </row>
    <row r="32983" spans="25:25" x14ac:dyDescent="0.25">
      <c r="Y32983" s="63"/>
    </row>
    <row r="32984" spans="25:25" x14ac:dyDescent="0.25">
      <c r="Y32984" s="63"/>
    </row>
    <row r="32985" spans="25:25" x14ac:dyDescent="0.25">
      <c r="Y32985" s="63"/>
    </row>
    <row r="32986" spans="25:25" x14ac:dyDescent="0.25">
      <c r="Y32986" s="63"/>
    </row>
    <row r="32987" spans="25:25" x14ac:dyDescent="0.25">
      <c r="Y32987" s="63"/>
    </row>
    <row r="32988" spans="25:25" x14ac:dyDescent="0.25">
      <c r="Y32988" s="63"/>
    </row>
    <row r="32989" spans="25:25" x14ac:dyDescent="0.25">
      <c r="Y32989" s="63"/>
    </row>
    <row r="32990" spans="25:25" x14ac:dyDescent="0.25">
      <c r="Y32990" s="63"/>
    </row>
    <row r="32991" spans="25:25" x14ac:dyDescent="0.25">
      <c r="Y32991" s="63"/>
    </row>
    <row r="32992" spans="25:25" x14ac:dyDescent="0.25">
      <c r="Y32992" s="63"/>
    </row>
    <row r="32993" spans="25:25" x14ac:dyDescent="0.25">
      <c r="Y32993" s="63"/>
    </row>
    <row r="32994" spans="25:25" x14ac:dyDescent="0.25">
      <c r="Y32994" s="63"/>
    </row>
    <row r="32995" spans="25:25" x14ac:dyDescent="0.25">
      <c r="Y32995" s="63"/>
    </row>
    <row r="32996" spans="25:25" x14ac:dyDescent="0.25">
      <c r="Y32996" s="63"/>
    </row>
    <row r="32997" spans="25:25" x14ac:dyDescent="0.25">
      <c r="Y32997" s="63"/>
    </row>
    <row r="32998" spans="25:25" x14ac:dyDescent="0.25">
      <c r="Y32998" s="63"/>
    </row>
    <row r="32999" spans="25:25" x14ac:dyDescent="0.25">
      <c r="Y32999" s="63"/>
    </row>
    <row r="33000" spans="25:25" x14ac:dyDescent="0.25">
      <c r="Y33000" s="63"/>
    </row>
    <row r="33001" spans="25:25" x14ac:dyDescent="0.25">
      <c r="Y33001" s="63"/>
    </row>
    <row r="33002" spans="25:25" x14ac:dyDescent="0.25">
      <c r="Y33002" s="63"/>
    </row>
    <row r="33003" spans="25:25" x14ac:dyDescent="0.25">
      <c r="Y33003" s="63"/>
    </row>
    <row r="33004" spans="25:25" x14ac:dyDescent="0.25">
      <c r="Y33004" s="63"/>
    </row>
    <row r="33005" spans="25:25" x14ac:dyDescent="0.25">
      <c r="Y33005" s="63"/>
    </row>
    <row r="33006" spans="25:25" x14ac:dyDescent="0.25">
      <c r="Y33006" s="63"/>
    </row>
    <row r="33007" spans="25:25" x14ac:dyDescent="0.25">
      <c r="Y33007" s="63"/>
    </row>
    <row r="33008" spans="25:25" x14ac:dyDescent="0.25">
      <c r="Y33008" s="63"/>
    </row>
    <row r="33009" spans="25:25" x14ac:dyDescent="0.25">
      <c r="Y33009" s="63"/>
    </row>
    <row r="33010" spans="25:25" x14ac:dyDescent="0.25">
      <c r="Y33010" s="63"/>
    </row>
    <row r="33011" spans="25:25" x14ac:dyDescent="0.25">
      <c r="Y33011" s="63"/>
    </row>
    <row r="33012" spans="25:25" x14ac:dyDescent="0.25">
      <c r="Y33012" s="63"/>
    </row>
    <row r="33013" spans="25:25" x14ac:dyDescent="0.25">
      <c r="Y33013" s="63"/>
    </row>
    <row r="33014" spans="25:25" x14ac:dyDescent="0.25">
      <c r="Y33014" s="63"/>
    </row>
    <row r="33015" spans="25:25" x14ac:dyDescent="0.25">
      <c r="Y33015" s="63"/>
    </row>
    <row r="33016" spans="25:25" x14ac:dyDescent="0.25">
      <c r="Y33016" s="63"/>
    </row>
    <row r="33017" spans="25:25" x14ac:dyDescent="0.25">
      <c r="Y33017" s="63"/>
    </row>
    <row r="33018" spans="25:25" x14ac:dyDescent="0.25">
      <c r="Y33018" s="63"/>
    </row>
    <row r="33019" spans="25:25" x14ac:dyDescent="0.25">
      <c r="Y33019" s="63"/>
    </row>
    <row r="33020" spans="25:25" x14ac:dyDescent="0.25">
      <c r="Y33020" s="63"/>
    </row>
    <row r="33021" spans="25:25" x14ac:dyDescent="0.25">
      <c r="Y33021" s="63"/>
    </row>
    <row r="33022" spans="25:25" x14ac:dyDescent="0.25">
      <c r="Y33022" s="63"/>
    </row>
    <row r="33023" spans="25:25" x14ac:dyDescent="0.25">
      <c r="Y33023" s="63"/>
    </row>
    <row r="33024" spans="25:25" x14ac:dyDescent="0.25">
      <c r="Y33024" s="63"/>
    </row>
    <row r="33025" spans="25:25" x14ac:dyDescent="0.25">
      <c r="Y33025" s="63"/>
    </row>
    <row r="33026" spans="25:25" x14ac:dyDescent="0.25">
      <c r="Y33026" s="63"/>
    </row>
    <row r="33027" spans="25:25" x14ac:dyDescent="0.25">
      <c r="Y33027" s="63"/>
    </row>
    <row r="33028" spans="25:25" x14ac:dyDescent="0.25">
      <c r="Y33028" s="63"/>
    </row>
    <row r="33029" spans="25:25" x14ac:dyDescent="0.25">
      <c r="Y33029" s="63"/>
    </row>
    <row r="33030" spans="25:25" x14ac:dyDescent="0.25">
      <c r="Y33030" s="63"/>
    </row>
    <row r="33031" spans="25:25" x14ac:dyDescent="0.25">
      <c r="Y33031" s="63"/>
    </row>
    <row r="33032" spans="25:25" x14ac:dyDescent="0.25">
      <c r="Y33032" s="63"/>
    </row>
    <row r="33033" spans="25:25" x14ac:dyDescent="0.25">
      <c r="Y33033" s="63"/>
    </row>
    <row r="33034" spans="25:25" x14ac:dyDescent="0.25">
      <c r="Y33034" s="63"/>
    </row>
    <row r="33035" spans="25:25" x14ac:dyDescent="0.25">
      <c r="Y33035" s="63"/>
    </row>
    <row r="33036" spans="25:25" x14ac:dyDescent="0.25">
      <c r="Y33036" s="63"/>
    </row>
    <row r="33037" spans="25:25" x14ac:dyDescent="0.25">
      <c r="Y33037" s="63"/>
    </row>
    <row r="33038" spans="25:25" x14ac:dyDescent="0.25">
      <c r="Y33038" s="63"/>
    </row>
    <row r="33039" spans="25:25" x14ac:dyDescent="0.25">
      <c r="Y33039" s="63"/>
    </row>
    <row r="33040" spans="25:25" x14ac:dyDescent="0.25">
      <c r="Y33040" s="63"/>
    </row>
    <row r="33041" spans="25:25" x14ac:dyDescent="0.25">
      <c r="Y33041" s="63"/>
    </row>
    <row r="33042" spans="25:25" x14ac:dyDescent="0.25">
      <c r="Y33042" s="63"/>
    </row>
    <row r="33043" spans="25:25" x14ac:dyDescent="0.25">
      <c r="Y33043" s="63"/>
    </row>
    <row r="33044" spans="25:25" x14ac:dyDescent="0.25">
      <c r="Y33044" s="63"/>
    </row>
    <row r="33045" spans="25:25" x14ac:dyDescent="0.25">
      <c r="Y33045" s="63"/>
    </row>
    <row r="33046" spans="25:25" x14ac:dyDescent="0.25">
      <c r="Y33046" s="63"/>
    </row>
    <row r="33047" spans="25:25" x14ac:dyDescent="0.25">
      <c r="Y33047" s="63"/>
    </row>
    <row r="33048" spans="25:25" x14ac:dyDescent="0.25">
      <c r="Y33048" s="63"/>
    </row>
    <row r="33049" spans="25:25" x14ac:dyDescent="0.25">
      <c r="Y33049" s="63"/>
    </row>
    <row r="33050" spans="25:25" x14ac:dyDescent="0.25">
      <c r="Y33050" s="63"/>
    </row>
    <row r="33051" spans="25:25" x14ac:dyDescent="0.25">
      <c r="Y33051" s="63"/>
    </row>
    <row r="33052" spans="25:25" x14ac:dyDescent="0.25">
      <c r="Y33052" s="63"/>
    </row>
    <row r="33053" spans="25:25" x14ac:dyDescent="0.25">
      <c r="Y33053" s="63"/>
    </row>
    <row r="33054" spans="25:25" x14ac:dyDescent="0.25">
      <c r="Y33054" s="63"/>
    </row>
    <row r="33055" spans="25:25" x14ac:dyDescent="0.25">
      <c r="Y33055" s="63"/>
    </row>
    <row r="33056" spans="25:25" x14ac:dyDescent="0.25">
      <c r="Y33056" s="63"/>
    </row>
    <row r="33057" spans="25:25" x14ac:dyDescent="0.25">
      <c r="Y33057" s="63"/>
    </row>
    <row r="33058" spans="25:25" x14ac:dyDescent="0.25">
      <c r="Y33058" s="63"/>
    </row>
    <row r="33059" spans="25:25" x14ac:dyDescent="0.25">
      <c r="Y33059" s="63"/>
    </row>
    <row r="33060" spans="25:25" x14ac:dyDescent="0.25">
      <c r="Y33060" s="63"/>
    </row>
    <row r="33061" spans="25:25" x14ac:dyDescent="0.25">
      <c r="Y33061" s="63"/>
    </row>
    <row r="33062" spans="25:25" x14ac:dyDescent="0.25">
      <c r="Y33062" s="63"/>
    </row>
    <row r="33063" spans="25:25" x14ac:dyDescent="0.25">
      <c r="Y33063" s="63"/>
    </row>
    <row r="33064" spans="25:25" x14ac:dyDescent="0.25">
      <c r="Y33064" s="63"/>
    </row>
    <row r="33065" spans="25:25" x14ac:dyDescent="0.25">
      <c r="Y33065" s="63"/>
    </row>
    <row r="33066" spans="25:25" x14ac:dyDescent="0.25">
      <c r="Y33066" s="63"/>
    </row>
    <row r="33067" spans="25:25" x14ac:dyDescent="0.25">
      <c r="Y33067" s="63"/>
    </row>
    <row r="33068" spans="25:25" x14ac:dyDescent="0.25">
      <c r="Y33068" s="63"/>
    </row>
    <row r="33069" spans="25:25" x14ac:dyDescent="0.25">
      <c r="Y33069" s="63"/>
    </row>
    <row r="33070" spans="25:25" x14ac:dyDescent="0.25">
      <c r="Y33070" s="63"/>
    </row>
    <row r="33071" spans="25:25" x14ac:dyDescent="0.25">
      <c r="Y33071" s="63"/>
    </row>
    <row r="33072" spans="25:25" x14ac:dyDescent="0.25">
      <c r="Y33072" s="63"/>
    </row>
    <row r="33073" spans="25:25" x14ac:dyDescent="0.25">
      <c r="Y33073" s="63"/>
    </row>
    <row r="33074" spans="25:25" x14ac:dyDescent="0.25">
      <c r="Y33074" s="63"/>
    </row>
    <row r="33075" spans="25:25" x14ac:dyDescent="0.25">
      <c r="Y33075" s="63"/>
    </row>
    <row r="33076" spans="25:25" x14ac:dyDescent="0.25">
      <c r="Y33076" s="63"/>
    </row>
    <row r="33077" spans="25:25" x14ac:dyDescent="0.25">
      <c r="Y33077" s="63"/>
    </row>
    <row r="33078" spans="25:25" x14ac:dyDescent="0.25">
      <c r="Y33078" s="63"/>
    </row>
    <row r="33079" spans="25:25" x14ac:dyDescent="0.25">
      <c r="Y33079" s="63"/>
    </row>
    <row r="33080" spans="25:25" x14ac:dyDescent="0.25">
      <c r="Y33080" s="63"/>
    </row>
    <row r="33081" spans="25:25" x14ac:dyDescent="0.25">
      <c r="Y33081" s="63"/>
    </row>
    <row r="33082" spans="25:25" x14ac:dyDescent="0.25">
      <c r="Y33082" s="63"/>
    </row>
    <row r="33083" spans="25:25" x14ac:dyDescent="0.25">
      <c r="Y33083" s="63"/>
    </row>
    <row r="33084" spans="25:25" x14ac:dyDescent="0.25">
      <c r="Y33084" s="63"/>
    </row>
    <row r="33085" spans="25:25" x14ac:dyDescent="0.25">
      <c r="Y33085" s="63"/>
    </row>
    <row r="33086" spans="25:25" x14ac:dyDescent="0.25">
      <c r="Y33086" s="63"/>
    </row>
    <row r="33087" spans="25:25" x14ac:dyDescent="0.25">
      <c r="Y33087" s="63"/>
    </row>
    <row r="33088" spans="25:25" x14ac:dyDescent="0.25">
      <c r="Y33088" s="63"/>
    </row>
    <row r="33089" spans="25:25" x14ac:dyDescent="0.25">
      <c r="Y33089" s="63"/>
    </row>
    <row r="33090" spans="25:25" x14ac:dyDescent="0.25">
      <c r="Y33090" s="63"/>
    </row>
    <row r="33091" spans="25:25" x14ac:dyDescent="0.25">
      <c r="Y33091" s="63"/>
    </row>
    <row r="33092" spans="25:25" x14ac:dyDescent="0.25">
      <c r="Y33092" s="63"/>
    </row>
    <row r="33093" spans="25:25" x14ac:dyDescent="0.25">
      <c r="Y33093" s="63"/>
    </row>
    <row r="33094" spans="25:25" x14ac:dyDescent="0.25">
      <c r="Y33094" s="63"/>
    </row>
    <row r="33095" spans="25:25" x14ac:dyDescent="0.25">
      <c r="Y33095" s="63"/>
    </row>
    <row r="33096" spans="25:25" x14ac:dyDescent="0.25">
      <c r="Y33096" s="63"/>
    </row>
    <row r="33097" spans="25:25" x14ac:dyDescent="0.25">
      <c r="Y33097" s="63"/>
    </row>
    <row r="33098" spans="25:25" x14ac:dyDescent="0.25">
      <c r="Y33098" s="63"/>
    </row>
    <row r="33099" spans="25:25" x14ac:dyDescent="0.25">
      <c r="Y33099" s="63"/>
    </row>
    <row r="33100" spans="25:25" x14ac:dyDescent="0.25">
      <c r="Y33100" s="63"/>
    </row>
    <row r="33101" spans="25:25" x14ac:dyDescent="0.25">
      <c r="Y33101" s="63"/>
    </row>
    <row r="33102" spans="25:25" x14ac:dyDescent="0.25">
      <c r="Y33102" s="63"/>
    </row>
    <row r="33103" spans="25:25" x14ac:dyDescent="0.25">
      <c r="Y33103" s="63"/>
    </row>
    <row r="33104" spans="25:25" x14ac:dyDescent="0.25">
      <c r="Y33104" s="63"/>
    </row>
    <row r="33105" spans="25:25" x14ac:dyDescent="0.25">
      <c r="Y33105" s="63"/>
    </row>
    <row r="33106" spans="25:25" x14ac:dyDescent="0.25">
      <c r="Y33106" s="63"/>
    </row>
    <row r="33107" spans="25:25" x14ac:dyDescent="0.25">
      <c r="Y33107" s="63"/>
    </row>
    <row r="33108" spans="25:25" x14ac:dyDescent="0.25">
      <c r="Y33108" s="63"/>
    </row>
    <row r="33109" spans="25:25" x14ac:dyDescent="0.25">
      <c r="Y33109" s="63"/>
    </row>
    <row r="33110" spans="25:25" x14ac:dyDescent="0.25">
      <c r="Y33110" s="63"/>
    </row>
    <row r="33111" spans="25:25" x14ac:dyDescent="0.25">
      <c r="Y33111" s="63"/>
    </row>
    <row r="33112" spans="25:25" x14ac:dyDescent="0.25">
      <c r="Y33112" s="63"/>
    </row>
    <row r="33113" spans="25:25" x14ac:dyDescent="0.25">
      <c r="Y33113" s="63"/>
    </row>
    <row r="33114" spans="25:25" x14ac:dyDescent="0.25">
      <c r="Y33114" s="63"/>
    </row>
    <row r="33115" spans="25:25" x14ac:dyDescent="0.25">
      <c r="Y33115" s="63"/>
    </row>
    <row r="33116" spans="25:25" x14ac:dyDescent="0.25">
      <c r="Y33116" s="63"/>
    </row>
    <row r="33117" spans="25:25" x14ac:dyDescent="0.25">
      <c r="Y33117" s="63"/>
    </row>
    <row r="33118" spans="25:25" x14ac:dyDescent="0.25">
      <c r="Y33118" s="63"/>
    </row>
    <row r="33119" spans="25:25" x14ac:dyDescent="0.25">
      <c r="Y33119" s="63"/>
    </row>
    <row r="33120" spans="25:25" x14ac:dyDescent="0.25">
      <c r="Y33120" s="63"/>
    </row>
    <row r="33121" spans="25:25" x14ac:dyDescent="0.25">
      <c r="Y33121" s="63"/>
    </row>
    <row r="33122" spans="25:25" x14ac:dyDescent="0.25">
      <c r="Y33122" s="63"/>
    </row>
    <row r="33123" spans="25:25" x14ac:dyDescent="0.25">
      <c r="Y33123" s="63"/>
    </row>
    <row r="33124" spans="25:25" x14ac:dyDescent="0.25">
      <c r="Y33124" s="63"/>
    </row>
    <row r="33125" spans="25:25" x14ac:dyDescent="0.25">
      <c r="Y33125" s="63"/>
    </row>
    <row r="33126" spans="25:25" x14ac:dyDescent="0.25">
      <c r="Y33126" s="63"/>
    </row>
    <row r="33127" spans="25:25" x14ac:dyDescent="0.25">
      <c r="Y33127" s="63"/>
    </row>
    <row r="33128" spans="25:25" x14ac:dyDescent="0.25">
      <c r="Y33128" s="63"/>
    </row>
    <row r="33129" spans="25:25" x14ac:dyDescent="0.25">
      <c r="Y33129" s="63"/>
    </row>
    <row r="33130" spans="25:25" x14ac:dyDescent="0.25">
      <c r="Y33130" s="63"/>
    </row>
    <row r="33131" spans="25:25" x14ac:dyDescent="0.25">
      <c r="Y33131" s="63"/>
    </row>
    <row r="33132" spans="25:25" x14ac:dyDescent="0.25">
      <c r="Y33132" s="63"/>
    </row>
    <row r="33133" spans="25:25" x14ac:dyDescent="0.25">
      <c r="Y33133" s="63"/>
    </row>
    <row r="33134" spans="25:25" x14ac:dyDescent="0.25">
      <c r="Y33134" s="63"/>
    </row>
    <row r="33135" spans="25:25" x14ac:dyDescent="0.25">
      <c r="Y33135" s="63"/>
    </row>
    <row r="33136" spans="25:25" x14ac:dyDescent="0.25">
      <c r="Y33136" s="63"/>
    </row>
    <row r="33137" spans="25:25" x14ac:dyDescent="0.25">
      <c r="Y33137" s="63"/>
    </row>
    <row r="33138" spans="25:25" x14ac:dyDescent="0.25">
      <c r="Y33138" s="63"/>
    </row>
    <row r="33139" spans="25:25" x14ac:dyDescent="0.25">
      <c r="Y33139" s="63"/>
    </row>
    <row r="33140" spans="25:25" x14ac:dyDescent="0.25">
      <c r="Y33140" s="63"/>
    </row>
    <row r="33141" spans="25:25" x14ac:dyDescent="0.25">
      <c r="Y33141" s="63"/>
    </row>
    <row r="33142" spans="25:25" x14ac:dyDescent="0.25">
      <c r="Y33142" s="63"/>
    </row>
    <row r="33143" spans="25:25" x14ac:dyDescent="0.25">
      <c r="Y33143" s="63"/>
    </row>
    <row r="33144" spans="25:25" x14ac:dyDescent="0.25">
      <c r="Y33144" s="63"/>
    </row>
    <row r="33145" spans="25:25" x14ac:dyDescent="0.25">
      <c r="Y33145" s="63"/>
    </row>
    <row r="33146" spans="25:25" x14ac:dyDescent="0.25">
      <c r="Y33146" s="63"/>
    </row>
    <row r="33147" spans="25:25" x14ac:dyDescent="0.25">
      <c r="Y33147" s="63"/>
    </row>
    <row r="33148" spans="25:25" x14ac:dyDescent="0.25">
      <c r="Y33148" s="63"/>
    </row>
    <row r="33149" spans="25:25" x14ac:dyDescent="0.25">
      <c r="Y33149" s="63"/>
    </row>
    <row r="33150" spans="25:25" x14ac:dyDescent="0.25">
      <c r="Y33150" s="63"/>
    </row>
    <row r="33151" spans="25:25" x14ac:dyDescent="0.25">
      <c r="Y33151" s="63"/>
    </row>
    <row r="33152" spans="25:25" x14ac:dyDescent="0.25">
      <c r="Y33152" s="63"/>
    </row>
    <row r="33153" spans="25:25" x14ac:dyDescent="0.25">
      <c r="Y33153" s="63"/>
    </row>
    <row r="33154" spans="25:25" x14ac:dyDescent="0.25">
      <c r="Y33154" s="63"/>
    </row>
    <row r="33155" spans="25:25" x14ac:dyDescent="0.25">
      <c r="Y33155" s="63"/>
    </row>
    <row r="33156" spans="25:25" x14ac:dyDescent="0.25">
      <c r="Y33156" s="63"/>
    </row>
    <row r="33157" spans="25:25" x14ac:dyDescent="0.25">
      <c r="Y33157" s="63"/>
    </row>
    <row r="33158" spans="25:25" x14ac:dyDescent="0.25">
      <c r="Y33158" s="63"/>
    </row>
    <row r="33159" spans="25:25" x14ac:dyDescent="0.25">
      <c r="Y33159" s="63"/>
    </row>
    <row r="33160" spans="25:25" x14ac:dyDescent="0.25">
      <c r="Y33160" s="63"/>
    </row>
    <row r="33161" spans="25:25" x14ac:dyDescent="0.25">
      <c r="Y33161" s="63"/>
    </row>
    <row r="33162" spans="25:25" x14ac:dyDescent="0.25">
      <c r="Y33162" s="63"/>
    </row>
    <row r="33163" spans="25:25" x14ac:dyDescent="0.25">
      <c r="Y33163" s="63"/>
    </row>
    <row r="33164" spans="25:25" x14ac:dyDescent="0.25">
      <c r="Y33164" s="63"/>
    </row>
    <row r="33165" spans="25:25" x14ac:dyDescent="0.25">
      <c r="Y33165" s="63"/>
    </row>
    <row r="33166" spans="25:25" x14ac:dyDescent="0.25">
      <c r="Y33166" s="63"/>
    </row>
    <row r="33167" spans="25:25" x14ac:dyDescent="0.25">
      <c r="Y33167" s="63"/>
    </row>
    <row r="33168" spans="25:25" x14ac:dyDescent="0.25">
      <c r="Y33168" s="63"/>
    </row>
    <row r="33169" spans="25:25" x14ac:dyDescent="0.25">
      <c r="Y33169" s="63"/>
    </row>
    <row r="33170" spans="25:25" x14ac:dyDescent="0.25">
      <c r="Y33170" s="63"/>
    </row>
    <row r="33171" spans="25:25" x14ac:dyDescent="0.25">
      <c r="Y33171" s="63"/>
    </row>
    <row r="33172" spans="25:25" x14ac:dyDescent="0.25">
      <c r="Y33172" s="63"/>
    </row>
    <row r="33173" spans="25:25" x14ac:dyDescent="0.25">
      <c r="Y33173" s="63"/>
    </row>
    <row r="33174" spans="25:25" x14ac:dyDescent="0.25">
      <c r="Y33174" s="63"/>
    </row>
    <row r="33175" spans="25:25" x14ac:dyDescent="0.25">
      <c r="Y33175" s="63"/>
    </row>
    <row r="33176" spans="25:25" x14ac:dyDescent="0.25">
      <c r="Y33176" s="63"/>
    </row>
    <row r="33177" spans="25:25" x14ac:dyDescent="0.25">
      <c r="Y33177" s="63"/>
    </row>
    <row r="33178" spans="25:25" x14ac:dyDescent="0.25">
      <c r="Y33178" s="63"/>
    </row>
    <row r="33179" spans="25:25" x14ac:dyDescent="0.25">
      <c r="Y33179" s="63"/>
    </row>
    <row r="33180" spans="25:25" x14ac:dyDescent="0.25">
      <c r="Y33180" s="63"/>
    </row>
    <row r="33181" spans="25:25" x14ac:dyDescent="0.25">
      <c r="Y33181" s="63"/>
    </row>
    <row r="33182" spans="25:25" x14ac:dyDescent="0.25">
      <c r="Y33182" s="63"/>
    </row>
    <row r="33183" spans="25:25" x14ac:dyDescent="0.25">
      <c r="Y33183" s="63"/>
    </row>
    <row r="33184" spans="25:25" x14ac:dyDescent="0.25">
      <c r="Y33184" s="63"/>
    </row>
    <row r="33185" spans="25:25" x14ac:dyDescent="0.25">
      <c r="Y33185" s="63"/>
    </row>
    <row r="33186" spans="25:25" x14ac:dyDescent="0.25">
      <c r="Y33186" s="63"/>
    </row>
    <row r="33187" spans="25:25" x14ac:dyDescent="0.25">
      <c r="Y33187" s="63"/>
    </row>
    <row r="33188" spans="25:25" x14ac:dyDescent="0.25">
      <c r="Y33188" s="63"/>
    </row>
    <row r="33189" spans="25:25" x14ac:dyDescent="0.25">
      <c r="Y33189" s="63"/>
    </row>
    <row r="33190" spans="25:25" x14ac:dyDescent="0.25">
      <c r="Y33190" s="63"/>
    </row>
    <row r="33191" spans="25:25" x14ac:dyDescent="0.25">
      <c r="Y33191" s="63"/>
    </row>
    <row r="33192" spans="25:25" x14ac:dyDescent="0.25">
      <c r="Y33192" s="63"/>
    </row>
    <row r="33193" spans="25:25" x14ac:dyDescent="0.25">
      <c r="Y33193" s="63"/>
    </row>
    <row r="33194" spans="25:25" x14ac:dyDescent="0.25">
      <c r="Y33194" s="63"/>
    </row>
    <row r="33195" spans="25:25" x14ac:dyDescent="0.25">
      <c r="Y33195" s="63"/>
    </row>
    <row r="33196" spans="25:25" x14ac:dyDescent="0.25">
      <c r="Y33196" s="63"/>
    </row>
    <row r="33197" spans="25:25" x14ac:dyDescent="0.25">
      <c r="Y33197" s="63"/>
    </row>
    <row r="33198" spans="25:25" x14ac:dyDescent="0.25">
      <c r="Y33198" s="63"/>
    </row>
    <row r="33199" spans="25:25" x14ac:dyDescent="0.25">
      <c r="Y33199" s="63"/>
    </row>
    <row r="33200" spans="25:25" x14ac:dyDescent="0.25">
      <c r="Y33200" s="63"/>
    </row>
    <row r="33201" spans="25:25" x14ac:dyDescent="0.25">
      <c r="Y33201" s="63"/>
    </row>
    <row r="33202" spans="25:25" x14ac:dyDescent="0.25">
      <c r="Y33202" s="63"/>
    </row>
    <row r="33203" spans="25:25" x14ac:dyDescent="0.25">
      <c r="Y33203" s="63"/>
    </row>
    <row r="33204" spans="25:25" x14ac:dyDescent="0.25">
      <c r="Y33204" s="63"/>
    </row>
    <row r="33205" spans="25:25" x14ac:dyDescent="0.25">
      <c r="Y33205" s="63"/>
    </row>
    <row r="33206" spans="25:25" x14ac:dyDescent="0.25">
      <c r="Y33206" s="63"/>
    </row>
    <row r="33207" spans="25:25" x14ac:dyDescent="0.25">
      <c r="Y33207" s="63"/>
    </row>
    <row r="33208" spans="25:25" x14ac:dyDescent="0.25">
      <c r="Y33208" s="63"/>
    </row>
    <row r="33209" spans="25:25" x14ac:dyDescent="0.25">
      <c r="Y33209" s="63"/>
    </row>
    <row r="33210" spans="25:25" x14ac:dyDescent="0.25">
      <c r="Y33210" s="63"/>
    </row>
    <row r="33211" spans="25:25" x14ac:dyDescent="0.25">
      <c r="Y33211" s="63"/>
    </row>
    <row r="33212" spans="25:25" x14ac:dyDescent="0.25">
      <c r="Y33212" s="63"/>
    </row>
    <row r="33213" spans="25:25" x14ac:dyDescent="0.25">
      <c r="Y33213" s="63"/>
    </row>
    <row r="33214" spans="25:25" x14ac:dyDescent="0.25">
      <c r="Y33214" s="63"/>
    </row>
    <row r="33215" spans="25:25" x14ac:dyDescent="0.25">
      <c r="Y33215" s="63"/>
    </row>
    <row r="33216" spans="25:25" x14ac:dyDescent="0.25">
      <c r="Y33216" s="63"/>
    </row>
    <row r="33217" spans="25:25" x14ac:dyDescent="0.25">
      <c r="Y33217" s="63"/>
    </row>
    <row r="33218" spans="25:25" x14ac:dyDescent="0.25">
      <c r="Y33218" s="63"/>
    </row>
    <row r="33219" spans="25:25" x14ac:dyDescent="0.25">
      <c r="Y33219" s="63"/>
    </row>
    <row r="33220" spans="25:25" x14ac:dyDescent="0.25">
      <c r="Y33220" s="63"/>
    </row>
    <row r="33221" spans="25:25" x14ac:dyDescent="0.25">
      <c r="Y33221" s="63"/>
    </row>
    <row r="33222" spans="25:25" x14ac:dyDescent="0.25">
      <c r="Y33222" s="63"/>
    </row>
    <row r="33223" spans="25:25" x14ac:dyDescent="0.25">
      <c r="Y33223" s="63"/>
    </row>
    <row r="33224" spans="25:25" x14ac:dyDescent="0.25">
      <c r="Y33224" s="63"/>
    </row>
    <row r="33225" spans="25:25" x14ac:dyDescent="0.25">
      <c r="Y33225" s="63"/>
    </row>
    <row r="33226" spans="25:25" x14ac:dyDescent="0.25">
      <c r="Y33226" s="63"/>
    </row>
    <row r="33227" spans="25:25" x14ac:dyDescent="0.25">
      <c r="Y33227" s="63"/>
    </row>
    <row r="33228" spans="25:25" x14ac:dyDescent="0.25">
      <c r="Y33228" s="63"/>
    </row>
    <row r="33229" spans="25:25" x14ac:dyDescent="0.25">
      <c r="Y33229" s="63"/>
    </row>
    <row r="33230" spans="25:25" x14ac:dyDescent="0.25">
      <c r="Y33230" s="63"/>
    </row>
    <row r="33231" spans="25:25" x14ac:dyDescent="0.25">
      <c r="Y33231" s="63"/>
    </row>
    <row r="33232" spans="25:25" x14ac:dyDescent="0.25">
      <c r="Y33232" s="63"/>
    </row>
    <row r="33233" spans="25:25" x14ac:dyDescent="0.25">
      <c r="Y33233" s="63"/>
    </row>
    <row r="33234" spans="25:25" x14ac:dyDescent="0.25">
      <c r="Y33234" s="63"/>
    </row>
    <row r="33235" spans="25:25" x14ac:dyDescent="0.25">
      <c r="Y33235" s="63"/>
    </row>
    <row r="33236" spans="25:25" x14ac:dyDescent="0.25">
      <c r="Y33236" s="63"/>
    </row>
    <row r="33237" spans="25:25" x14ac:dyDescent="0.25">
      <c r="Y33237" s="63"/>
    </row>
    <row r="33238" spans="25:25" x14ac:dyDescent="0.25">
      <c r="Y33238" s="63"/>
    </row>
    <row r="33239" spans="25:25" x14ac:dyDescent="0.25">
      <c r="Y33239" s="63"/>
    </row>
    <row r="33240" spans="25:25" x14ac:dyDescent="0.25">
      <c r="Y33240" s="63"/>
    </row>
    <row r="33241" spans="25:25" x14ac:dyDescent="0.25">
      <c r="Y33241" s="63"/>
    </row>
    <row r="33242" spans="25:25" x14ac:dyDescent="0.25">
      <c r="Y33242" s="63"/>
    </row>
    <row r="33243" spans="25:25" x14ac:dyDescent="0.25">
      <c r="Y33243" s="63"/>
    </row>
    <row r="33244" spans="25:25" x14ac:dyDescent="0.25">
      <c r="Y33244" s="63"/>
    </row>
    <row r="33245" spans="25:25" x14ac:dyDescent="0.25">
      <c r="Y33245" s="63"/>
    </row>
    <row r="33246" spans="25:25" x14ac:dyDescent="0.25">
      <c r="Y33246" s="63"/>
    </row>
    <row r="33247" spans="25:25" x14ac:dyDescent="0.25">
      <c r="Y33247" s="63"/>
    </row>
    <row r="33248" spans="25:25" x14ac:dyDescent="0.25">
      <c r="Y33248" s="63"/>
    </row>
    <row r="33249" spans="25:25" x14ac:dyDescent="0.25">
      <c r="Y33249" s="63"/>
    </row>
    <row r="33250" spans="25:25" x14ac:dyDescent="0.25">
      <c r="Y33250" s="63"/>
    </row>
    <row r="33251" spans="25:25" x14ac:dyDescent="0.25">
      <c r="Y33251" s="63"/>
    </row>
    <row r="33252" spans="25:25" x14ac:dyDescent="0.25">
      <c r="Y33252" s="63"/>
    </row>
    <row r="33253" spans="25:25" x14ac:dyDescent="0.25">
      <c r="Y33253" s="63"/>
    </row>
    <row r="33254" spans="25:25" x14ac:dyDescent="0.25">
      <c r="Y33254" s="63"/>
    </row>
    <row r="33255" spans="25:25" x14ac:dyDescent="0.25">
      <c r="Y33255" s="63"/>
    </row>
    <row r="33256" spans="25:25" x14ac:dyDescent="0.25">
      <c r="Y33256" s="63"/>
    </row>
    <row r="33257" spans="25:25" x14ac:dyDescent="0.25">
      <c r="Y33257" s="63"/>
    </row>
    <row r="33258" spans="25:25" x14ac:dyDescent="0.25">
      <c r="Y33258" s="63"/>
    </row>
    <row r="33259" spans="25:25" x14ac:dyDescent="0.25">
      <c r="Y33259" s="63"/>
    </row>
    <row r="33260" spans="25:25" x14ac:dyDescent="0.25">
      <c r="Y33260" s="63"/>
    </row>
    <row r="33261" spans="25:25" x14ac:dyDescent="0.25">
      <c r="Y33261" s="63"/>
    </row>
    <row r="33262" spans="25:25" x14ac:dyDescent="0.25">
      <c r="Y33262" s="63"/>
    </row>
    <row r="33263" spans="25:25" x14ac:dyDescent="0.25">
      <c r="Y33263" s="63"/>
    </row>
    <row r="33264" spans="25:25" x14ac:dyDescent="0.25">
      <c r="Y33264" s="63"/>
    </row>
    <row r="33265" spans="25:25" x14ac:dyDescent="0.25">
      <c r="Y33265" s="63"/>
    </row>
    <row r="33266" spans="25:25" x14ac:dyDescent="0.25">
      <c r="Y33266" s="63"/>
    </row>
    <row r="33267" spans="25:25" x14ac:dyDescent="0.25">
      <c r="Y33267" s="63"/>
    </row>
    <row r="33268" spans="25:25" x14ac:dyDescent="0.25">
      <c r="Y33268" s="63"/>
    </row>
    <row r="33269" spans="25:25" x14ac:dyDescent="0.25">
      <c r="Y33269" s="63"/>
    </row>
    <row r="33270" spans="25:25" x14ac:dyDescent="0.25">
      <c r="Y33270" s="63"/>
    </row>
    <row r="33271" spans="25:25" x14ac:dyDescent="0.25">
      <c r="Y33271" s="63"/>
    </row>
    <row r="33272" spans="25:25" x14ac:dyDescent="0.25">
      <c r="Y33272" s="63"/>
    </row>
    <row r="33273" spans="25:25" x14ac:dyDescent="0.25">
      <c r="Y33273" s="63"/>
    </row>
    <row r="33274" spans="25:25" x14ac:dyDescent="0.25">
      <c r="Y33274" s="63"/>
    </row>
    <row r="33275" spans="25:25" x14ac:dyDescent="0.25">
      <c r="Y33275" s="63"/>
    </row>
    <row r="33276" spans="25:25" x14ac:dyDescent="0.25">
      <c r="Y33276" s="63"/>
    </row>
    <row r="33277" spans="25:25" x14ac:dyDescent="0.25">
      <c r="Y33277" s="63"/>
    </row>
    <row r="33278" spans="25:25" x14ac:dyDescent="0.25">
      <c r="Y33278" s="63"/>
    </row>
    <row r="33279" spans="25:25" x14ac:dyDescent="0.25">
      <c r="Y33279" s="63"/>
    </row>
    <row r="33280" spans="25:25" x14ac:dyDescent="0.25">
      <c r="Y33280" s="63"/>
    </row>
    <row r="33281" spans="25:25" x14ac:dyDescent="0.25">
      <c r="Y33281" s="63"/>
    </row>
    <row r="33282" spans="25:25" x14ac:dyDescent="0.25">
      <c r="Y33282" s="63"/>
    </row>
    <row r="33283" spans="25:25" x14ac:dyDescent="0.25">
      <c r="Y33283" s="63"/>
    </row>
    <row r="33284" spans="25:25" x14ac:dyDescent="0.25">
      <c r="Y33284" s="63"/>
    </row>
    <row r="33285" spans="25:25" x14ac:dyDescent="0.25">
      <c r="Y33285" s="63"/>
    </row>
    <row r="33286" spans="25:25" x14ac:dyDescent="0.25">
      <c r="Y33286" s="63"/>
    </row>
    <row r="33287" spans="25:25" x14ac:dyDescent="0.25">
      <c r="Y33287" s="63"/>
    </row>
    <row r="33288" spans="25:25" x14ac:dyDescent="0.25">
      <c r="Y33288" s="63"/>
    </row>
    <row r="33289" spans="25:25" x14ac:dyDescent="0.25">
      <c r="Y33289" s="63"/>
    </row>
    <row r="33290" spans="25:25" x14ac:dyDescent="0.25">
      <c r="Y33290" s="63"/>
    </row>
    <row r="33291" spans="25:25" x14ac:dyDescent="0.25">
      <c r="Y33291" s="63"/>
    </row>
    <row r="33292" spans="25:25" x14ac:dyDescent="0.25">
      <c r="Y33292" s="63"/>
    </row>
    <row r="33293" spans="25:25" x14ac:dyDescent="0.25">
      <c r="Y33293" s="63"/>
    </row>
    <row r="33294" spans="25:25" x14ac:dyDescent="0.25">
      <c r="Y33294" s="63"/>
    </row>
    <row r="33295" spans="25:25" x14ac:dyDescent="0.25">
      <c r="Y33295" s="63"/>
    </row>
    <row r="33296" spans="25:25" x14ac:dyDescent="0.25">
      <c r="Y33296" s="63"/>
    </row>
    <row r="33297" spans="25:25" x14ac:dyDescent="0.25">
      <c r="Y33297" s="63"/>
    </row>
    <row r="33298" spans="25:25" x14ac:dyDescent="0.25">
      <c r="Y33298" s="63"/>
    </row>
    <row r="33299" spans="25:25" x14ac:dyDescent="0.25">
      <c r="Y33299" s="63"/>
    </row>
    <row r="33300" spans="25:25" x14ac:dyDescent="0.25">
      <c r="Y33300" s="63"/>
    </row>
    <row r="33301" spans="25:25" x14ac:dyDescent="0.25">
      <c r="Y33301" s="63"/>
    </row>
    <row r="33302" spans="25:25" x14ac:dyDescent="0.25">
      <c r="Y33302" s="63"/>
    </row>
    <row r="33303" spans="25:25" x14ac:dyDescent="0.25">
      <c r="Y33303" s="63"/>
    </row>
    <row r="33304" spans="25:25" x14ac:dyDescent="0.25">
      <c r="Y33304" s="63"/>
    </row>
    <row r="33305" spans="25:25" x14ac:dyDescent="0.25">
      <c r="Y33305" s="63"/>
    </row>
    <row r="33306" spans="25:25" x14ac:dyDescent="0.25">
      <c r="Y33306" s="63"/>
    </row>
    <row r="33307" spans="25:25" x14ac:dyDescent="0.25">
      <c r="Y33307" s="63"/>
    </row>
    <row r="33308" spans="25:25" x14ac:dyDescent="0.25">
      <c r="Y33308" s="63"/>
    </row>
    <row r="33309" spans="25:25" x14ac:dyDescent="0.25">
      <c r="Y33309" s="63"/>
    </row>
    <row r="33310" spans="25:25" x14ac:dyDescent="0.25">
      <c r="Y33310" s="63"/>
    </row>
    <row r="33311" spans="25:25" x14ac:dyDescent="0.25">
      <c r="Y33311" s="63"/>
    </row>
    <row r="33312" spans="25:25" x14ac:dyDescent="0.25">
      <c r="Y33312" s="63"/>
    </row>
    <row r="33313" spans="25:25" x14ac:dyDescent="0.25">
      <c r="Y33313" s="63"/>
    </row>
    <row r="33314" spans="25:25" x14ac:dyDescent="0.25">
      <c r="Y33314" s="63"/>
    </row>
    <row r="33315" spans="25:25" x14ac:dyDescent="0.25">
      <c r="Y33315" s="63"/>
    </row>
    <row r="33316" spans="25:25" x14ac:dyDescent="0.25">
      <c r="Y33316" s="63"/>
    </row>
    <row r="33317" spans="25:25" x14ac:dyDescent="0.25">
      <c r="Y33317" s="63"/>
    </row>
    <row r="33318" spans="25:25" x14ac:dyDescent="0.25">
      <c r="Y33318" s="63"/>
    </row>
    <row r="33319" spans="25:25" x14ac:dyDescent="0.25">
      <c r="Y33319" s="63"/>
    </row>
    <row r="33320" spans="25:25" x14ac:dyDescent="0.25">
      <c r="Y33320" s="63"/>
    </row>
    <row r="33321" spans="25:25" x14ac:dyDescent="0.25">
      <c r="Y33321" s="63"/>
    </row>
    <row r="33322" spans="25:25" x14ac:dyDescent="0.25">
      <c r="Y33322" s="63"/>
    </row>
    <row r="33323" spans="25:25" x14ac:dyDescent="0.25">
      <c r="Y33323" s="63"/>
    </row>
    <row r="33324" spans="25:25" x14ac:dyDescent="0.25">
      <c r="Y33324" s="63"/>
    </row>
    <row r="33325" spans="25:25" x14ac:dyDescent="0.25">
      <c r="Y33325" s="63"/>
    </row>
    <row r="33326" spans="25:25" x14ac:dyDescent="0.25">
      <c r="Y33326" s="63"/>
    </row>
    <row r="33327" spans="25:25" x14ac:dyDescent="0.25">
      <c r="Y33327" s="63"/>
    </row>
    <row r="33328" spans="25:25" x14ac:dyDescent="0.25">
      <c r="Y33328" s="63"/>
    </row>
    <row r="33329" spans="25:25" x14ac:dyDescent="0.25">
      <c r="Y33329" s="63"/>
    </row>
    <row r="33330" spans="25:25" x14ac:dyDescent="0.25">
      <c r="Y33330" s="63"/>
    </row>
    <row r="33331" spans="25:25" x14ac:dyDescent="0.25">
      <c r="Y33331" s="63"/>
    </row>
    <row r="33332" spans="25:25" x14ac:dyDescent="0.25">
      <c r="Y33332" s="63"/>
    </row>
    <row r="33333" spans="25:25" x14ac:dyDescent="0.25">
      <c r="Y33333" s="63"/>
    </row>
    <row r="33334" spans="25:25" x14ac:dyDescent="0.25">
      <c r="Y33334" s="63"/>
    </row>
    <row r="33335" spans="25:25" x14ac:dyDescent="0.25">
      <c r="Y33335" s="63"/>
    </row>
    <row r="33336" spans="25:25" x14ac:dyDescent="0.25">
      <c r="Y33336" s="63"/>
    </row>
    <row r="33337" spans="25:25" x14ac:dyDescent="0.25">
      <c r="Y33337" s="63"/>
    </row>
    <row r="33338" spans="25:25" x14ac:dyDescent="0.25">
      <c r="Y33338" s="63"/>
    </row>
    <row r="33339" spans="25:25" x14ac:dyDescent="0.25">
      <c r="Y33339" s="63"/>
    </row>
    <row r="33340" spans="25:25" x14ac:dyDescent="0.25">
      <c r="Y33340" s="63"/>
    </row>
    <row r="33341" spans="25:25" x14ac:dyDescent="0.25">
      <c r="Y33341" s="63"/>
    </row>
    <row r="33342" spans="25:25" x14ac:dyDescent="0.25">
      <c r="Y33342" s="63"/>
    </row>
    <row r="33343" spans="25:25" x14ac:dyDescent="0.25">
      <c r="Y33343" s="63"/>
    </row>
    <row r="33344" spans="25:25" x14ac:dyDescent="0.25">
      <c r="Y33344" s="63"/>
    </row>
    <row r="33345" spans="25:25" x14ac:dyDescent="0.25">
      <c r="Y33345" s="63"/>
    </row>
    <row r="33346" spans="25:25" x14ac:dyDescent="0.25">
      <c r="Y33346" s="63"/>
    </row>
    <row r="33347" spans="25:25" x14ac:dyDescent="0.25">
      <c r="Y33347" s="63"/>
    </row>
    <row r="33348" spans="25:25" x14ac:dyDescent="0.25">
      <c r="Y33348" s="63"/>
    </row>
    <row r="33349" spans="25:25" x14ac:dyDescent="0.25">
      <c r="Y33349" s="63"/>
    </row>
    <row r="33350" spans="25:25" x14ac:dyDescent="0.25">
      <c r="Y33350" s="63"/>
    </row>
    <row r="33351" spans="25:25" x14ac:dyDescent="0.25">
      <c r="Y33351" s="63"/>
    </row>
    <row r="33352" spans="25:25" x14ac:dyDescent="0.25">
      <c r="Y33352" s="63"/>
    </row>
    <row r="33353" spans="25:25" x14ac:dyDescent="0.25">
      <c r="Y33353" s="63"/>
    </row>
    <row r="33354" spans="25:25" x14ac:dyDescent="0.25">
      <c r="Y33354" s="63"/>
    </row>
    <row r="33355" spans="25:25" x14ac:dyDescent="0.25">
      <c r="Y33355" s="63"/>
    </row>
    <row r="33356" spans="25:25" x14ac:dyDescent="0.25">
      <c r="Y33356" s="63"/>
    </row>
    <row r="33357" spans="25:25" x14ac:dyDescent="0.25">
      <c r="Y33357" s="63"/>
    </row>
    <row r="33358" spans="25:25" x14ac:dyDescent="0.25">
      <c r="Y33358" s="63"/>
    </row>
    <row r="33359" spans="25:25" x14ac:dyDescent="0.25">
      <c r="Y33359" s="63"/>
    </row>
    <row r="33360" spans="25:25" x14ac:dyDescent="0.25">
      <c r="Y33360" s="63"/>
    </row>
    <row r="33361" spans="25:25" x14ac:dyDescent="0.25">
      <c r="Y33361" s="63"/>
    </row>
    <row r="33362" spans="25:25" x14ac:dyDescent="0.25">
      <c r="Y33362" s="63"/>
    </row>
    <row r="33363" spans="25:25" x14ac:dyDescent="0.25">
      <c r="Y33363" s="63"/>
    </row>
    <row r="33364" spans="25:25" x14ac:dyDescent="0.25">
      <c r="Y33364" s="63"/>
    </row>
    <row r="33365" spans="25:25" x14ac:dyDescent="0.25">
      <c r="Y33365" s="63"/>
    </row>
    <row r="33366" spans="25:25" x14ac:dyDescent="0.25">
      <c r="Y33366" s="63"/>
    </row>
    <row r="33367" spans="25:25" x14ac:dyDescent="0.25">
      <c r="Y33367" s="63"/>
    </row>
    <row r="33368" spans="25:25" x14ac:dyDescent="0.25">
      <c r="Y33368" s="63"/>
    </row>
    <row r="33369" spans="25:25" x14ac:dyDescent="0.25">
      <c r="Y33369" s="63"/>
    </row>
    <row r="33370" spans="25:25" x14ac:dyDescent="0.25">
      <c r="Y33370" s="63"/>
    </row>
    <row r="33371" spans="25:25" x14ac:dyDescent="0.25">
      <c r="Y33371" s="63"/>
    </row>
    <row r="33372" spans="25:25" x14ac:dyDescent="0.25">
      <c r="Y33372" s="63"/>
    </row>
    <row r="33373" spans="25:25" x14ac:dyDescent="0.25">
      <c r="Y33373" s="63"/>
    </row>
    <row r="33374" spans="25:25" x14ac:dyDescent="0.25">
      <c r="Y33374" s="63"/>
    </row>
    <row r="33375" spans="25:25" x14ac:dyDescent="0.25">
      <c r="Y33375" s="63"/>
    </row>
    <row r="33376" spans="25:25" x14ac:dyDescent="0.25">
      <c r="Y33376" s="63"/>
    </row>
    <row r="33377" spans="25:25" x14ac:dyDescent="0.25">
      <c r="Y33377" s="63"/>
    </row>
    <row r="33378" spans="25:25" x14ac:dyDescent="0.25">
      <c r="Y33378" s="63"/>
    </row>
    <row r="33379" spans="25:25" x14ac:dyDescent="0.25">
      <c r="Y33379" s="63"/>
    </row>
    <row r="33380" spans="25:25" x14ac:dyDescent="0.25">
      <c r="Y33380" s="63"/>
    </row>
    <row r="33381" spans="25:25" x14ac:dyDescent="0.25">
      <c r="Y33381" s="63"/>
    </row>
    <row r="33382" spans="25:25" x14ac:dyDescent="0.25">
      <c r="Y33382" s="63"/>
    </row>
    <row r="33383" spans="25:25" x14ac:dyDescent="0.25">
      <c r="Y33383" s="63"/>
    </row>
    <row r="33384" spans="25:25" x14ac:dyDescent="0.25">
      <c r="Y33384" s="63"/>
    </row>
    <row r="33385" spans="25:25" x14ac:dyDescent="0.25">
      <c r="Y33385" s="63"/>
    </row>
    <row r="33386" spans="25:25" x14ac:dyDescent="0.25">
      <c r="Y33386" s="63"/>
    </row>
    <row r="33387" spans="25:25" x14ac:dyDescent="0.25">
      <c r="Y33387" s="63"/>
    </row>
    <row r="33388" spans="25:25" x14ac:dyDescent="0.25">
      <c r="Y33388" s="63"/>
    </row>
    <row r="33389" spans="25:25" x14ac:dyDescent="0.25">
      <c r="Y33389" s="63"/>
    </row>
    <row r="33390" spans="25:25" x14ac:dyDescent="0.25">
      <c r="Y33390" s="63"/>
    </row>
    <row r="33391" spans="25:25" x14ac:dyDescent="0.25">
      <c r="Y33391" s="63"/>
    </row>
    <row r="33392" spans="25:25" x14ac:dyDescent="0.25">
      <c r="Y33392" s="63"/>
    </row>
    <row r="33393" spans="25:25" x14ac:dyDescent="0.25">
      <c r="Y33393" s="63"/>
    </row>
    <row r="33394" spans="25:25" x14ac:dyDescent="0.25">
      <c r="Y33394" s="63"/>
    </row>
    <row r="33395" spans="25:25" x14ac:dyDescent="0.25">
      <c r="Y33395" s="63"/>
    </row>
    <row r="33396" spans="25:25" x14ac:dyDescent="0.25">
      <c r="Y33396" s="63"/>
    </row>
    <row r="33397" spans="25:25" x14ac:dyDescent="0.25">
      <c r="Y33397" s="63"/>
    </row>
    <row r="33398" spans="25:25" x14ac:dyDescent="0.25">
      <c r="Y33398" s="63"/>
    </row>
    <row r="33399" spans="25:25" x14ac:dyDescent="0.25">
      <c r="Y33399" s="63"/>
    </row>
    <row r="33400" spans="25:25" x14ac:dyDescent="0.25">
      <c r="Y33400" s="63"/>
    </row>
    <row r="33401" spans="25:25" x14ac:dyDescent="0.25">
      <c r="Y33401" s="63"/>
    </row>
    <row r="33402" spans="25:25" x14ac:dyDescent="0.25">
      <c r="Y33402" s="63"/>
    </row>
    <row r="33403" spans="25:25" x14ac:dyDescent="0.25">
      <c r="Y33403" s="63"/>
    </row>
    <row r="33404" spans="25:25" x14ac:dyDescent="0.25">
      <c r="Y33404" s="63"/>
    </row>
    <row r="33405" spans="25:25" x14ac:dyDescent="0.25">
      <c r="Y33405" s="63"/>
    </row>
    <row r="33406" spans="25:25" x14ac:dyDescent="0.25">
      <c r="Y33406" s="63"/>
    </row>
    <row r="33407" spans="25:25" x14ac:dyDescent="0.25">
      <c r="Y33407" s="63"/>
    </row>
    <row r="33408" spans="25:25" x14ac:dyDescent="0.25">
      <c r="Y33408" s="63"/>
    </row>
    <row r="33409" spans="25:25" x14ac:dyDescent="0.25">
      <c r="Y33409" s="63"/>
    </row>
    <row r="33410" spans="25:25" x14ac:dyDescent="0.25">
      <c r="Y33410" s="63"/>
    </row>
    <row r="33411" spans="25:25" x14ac:dyDescent="0.25">
      <c r="Y33411" s="63"/>
    </row>
    <row r="33412" spans="25:25" x14ac:dyDescent="0.25">
      <c r="Y33412" s="63"/>
    </row>
    <row r="33413" spans="25:25" x14ac:dyDescent="0.25">
      <c r="Y33413" s="63"/>
    </row>
    <row r="33414" spans="25:25" x14ac:dyDescent="0.25">
      <c r="Y33414" s="63"/>
    </row>
    <row r="33415" spans="25:25" x14ac:dyDescent="0.25">
      <c r="Y33415" s="63"/>
    </row>
    <row r="33416" spans="25:25" x14ac:dyDescent="0.25">
      <c r="Y33416" s="63"/>
    </row>
    <row r="33417" spans="25:25" x14ac:dyDescent="0.25">
      <c r="Y33417" s="63"/>
    </row>
    <row r="33418" spans="25:25" x14ac:dyDescent="0.25">
      <c r="Y33418" s="63"/>
    </row>
    <row r="33419" spans="25:25" x14ac:dyDescent="0.25">
      <c r="Y33419" s="63"/>
    </row>
    <row r="33420" spans="25:25" x14ac:dyDescent="0.25">
      <c r="Y33420" s="63"/>
    </row>
    <row r="33421" spans="25:25" x14ac:dyDescent="0.25">
      <c r="Y33421" s="63"/>
    </row>
    <row r="33422" spans="25:25" x14ac:dyDescent="0.25">
      <c r="Y33422" s="63"/>
    </row>
    <row r="33423" spans="25:25" x14ac:dyDescent="0.25">
      <c r="Y33423" s="63"/>
    </row>
    <row r="33424" spans="25:25" x14ac:dyDescent="0.25">
      <c r="Y33424" s="63"/>
    </row>
    <row r="33425" spans="25:25" x14ac:dyDescent="0.25">
      <c r="Y33425" s="63"/>
    </row>
    <row r="33426" spans="25:25" x14ac:dyDescent="0.25">
      <c r="Y33426" s="63"/>
    </row>
    <row r="33427" spans="25:25" x14ac:dyDescent="0.25">
      <c r="Y33427" s="63"/>
    </row>
    <row r="33428" spans="25:25" x14ac:dyDescent="0.25">
      <c r="Y33428" s="63"/>
    </row>
    <row r="33429" spans="25:25" x14ac:dyDescent="0.25">
      <c r="Y33429" s="63"/>
    </row>
    <row r="33430" spans="25:25" x14ac:dyDescent="0.25">
      <c r="Y33430" s="63"/>
    </row>
    <row r="33431" spans="25:25" x14ac:dyDescent="0.25">
      <c r="Y33431" s="63"/>
    </row>
    <row r="33432" spans="25:25" x14ac:dyDescent="0.25">
      <c r="Y33432" s="63"/>
    </row>
    <row r="33433" spans="25:25" x14ac:dyDescent="0.25">
      <c r="Y33433" s="63"/>
    </row>
    <row r="33434" spans="25:25" x14ac:dyDescent="0.25">
      <c r="Y33434" s="63"/>
    </row>
    <row r="33435" spans="25:25" x14ac:dyDescent="0.25">
      <c r="Y33435" s="63"/>
    </row>
    <row r="33436" spans="25:25" x14ac:dyDescent="0.25">
      <c r="Y33436" s="63"/>
    </row>
    <row r="33437" spans="25:25" x14ac:dyDescent="0.25">
      <c r="Y33437" s="63"/>
    </row>
    <row r="33438" spans="25:25" x14ac:dyDescent="0.25">
      <c r="Y33438" s="63"/>
    </row>
    <row r="33439" spans="25:25" x14ac:dyDescent="0.25">
      <c r="Y33439" s="63"/>
    </row>
    <row r="33440" spans="25:25" x14ac:dyDescent="0.25">
      <c r="Y33440" s="63"/>
    </row>
    <row r="33441" spans="25:25" x14ac:dyDescent="0.25">
      <c r="Y33441" s="63"/>
    </row>
    <row r="33442" spans="25:25" x14ac:dyDescent="0.25">
      <c r="Y33442" s="63"/>
    </row>
    <row r="33443" spans="25:25" x14ac:dyDescent="0.25">
      <c r="Y33443" s="63"/>
    </row>
    <row r="33444" spans="25:25" x14ac:dyDescent="0.25">
      <c r="Y33444" s="63"/>
    </row>
    <row r="33445" spans="25:25" x14ac:dyDescent="0.25">
      <c r="Y33445" s="63"/>
    </row>
    <row r="33446" spans="25:25" x14ac:dyDescent="0.25">
      <c r="Y33446" s="63"/>
    </row>
    <row r="33447" spans="25:25" x14ac:dyDescent="0.25">
      <c r="Y33447" s="63"/>
    </row>
    <row r="33448" spans="25:25" x14ac:dyDescent="0.25">
      <c r="Y33448" s="63"/>
    </row>
    <row r="33449" spans="25:25" x14ac:dyDescent="0.25">
      <c r="Y33449" s="63"/>
    </row>
    <row r="33450" spans="25:25" x14ac:dyDescent="0.25">
      <c r="Y33450" s="63"/>
    </row>
    <row r="33451" spans="25:25" x14ac:dyDescent="0.25">
      <c r="Y33451" s="63"/>
    </row>
    <row r="33452" spans="25:25" x14ac:dyDescent="0.25">
      <c r="Y33452" s="63"/>
    </row>
    <row r="33453" spans="25:25" x14ac:dyDescent="0.25">
      <c r="Y33453" s="63"/>
    </row>
    <row r="33454" spans="25:25" x14ac:dyDescent="0.25">
      <c r="Y33454" s="63"/>
    </row>
    <row r="33455" spans="25:25" x14ac:dyDescent="0.25">
      <c r="Y33455" s="63"/>
    </row>
    <row r="33456" spans="25:25" x14ac:dyDescent="0.25">
      <c r="Y33456" s="63"/>
    </row>
    <row r="33457" spans="25:25" x14ac:dyDescent="0.25">
      <c r="Y33457" s="63"/>
    </row>
    <row r="33458" spans="25:25" x14ac:dyDescent="0.25">
      <c r="Y33458" s="63"/>
    </row>
    <row r="33459" spans="25:25" x14ac:dyDescent="0.25">
      <c r="Y33459" s="63"/>
    </row>
    <row r="33460" spans="25:25" x14ac:dyDescent="0.25">
      <c r="Y33460" s="63"/>
    </row>
    <row r="33461" spans="25:25" x14ac:dyDescent="0.25">
      <c r="Y33461" s="63"/>
    </row>
    <row r="33462" spans="25:25" x14ac:dyDescent="0.25">
      <c r="Y33462" s="63"/>
    </row>
    <row r="33463" spans="25:25" x14ac:dyDescent="0.25">
      <c r="Y33463" s="63"/>
    </row>
    <row r="33464" spans="25:25" x14ac:dyDescent="0.25">
      <c r="Y33464" s="63"/>
    </row>
    <row r="33465" spans="25:25" x14ac:dyDescent="0.25">
      <c r="Y33465" s="63"/>
    </row>
    <row r="33466" spans="25:25" x14ac:dyDescent="0.25">
      <c r="Y33466" s="63"/>
    </row>
    <row r="33467" spans="25:25" x14ac:dyDescent="0.25">
      <c r="Y33467" s="63"/>
    </row>
    <row r="33468" spans="25:25" x14ac:dyDescent="0.25">
      <c r="Y33468" s="63"/>
    </row>
    <row r="33469" spans="25:25" x14ac:dyDescent="0.25">
      <c r="Y33469" s="63"/>
    </row>
    <row r="33470" spans="25:25" x14ac:dyDescent="0.25">
      <c r="Y33470" s="63"/>
    </row>
    <row r="33471" spans="25:25" x14ac:dyDescent="0.25">
      <c r="Y33471" s="63"/>
    </row>
    <row r="33472" spans="25:25" x14ac:dyDescent="0.25">
      <c r="Y33472" s="63"/>
    </row>
    <row r="33473" spans="25:25" x14ac:dyDescent="0.25">
      <c r="Y33473" s="63"/>
    </row>
    <row r="33474" spans="25:25" x14ac:dyDescent="0.25">
      <c r="Y33474" s="63"/>
    </row>
    <row r="33475" spans="25:25" x14ac:dyDescent="0.25">
      <c r="Y33475" s="63"/>
    </row>
    <row r="33476" spans="25:25" x14ac:dyDescent="0.25">
      <c r="Y33476" s="63"/>
    </row>
    <row r="33477" spans="25:25" x14ac:dyDescent="0.25">
      <c r="Y33477" s="63"/>
    </row>
    <row r="33478" spans="25:25" x14ac:dyDescent="0.25">
      <c r="Y33478" s="63"/>
    </row>
    <row r="33479" spans="25:25" x14ac:dyDescent="0.25">
      <c r="Y33479" s="63"/>
    </row>
    <row r="33480" spans="25:25" x14ac:dyDescent="0.25">
      <c r="Y33480" s="63"/>
    </row>
    <row r="33481" spans="25:25" x14ac:dyDescent="0.25">
      <c r="Y33481" s="63"/>
    </row>
    <row r="33482" spans="25:25" x14ac:dyDescent="0.25">
      <c r="Y33482" s="63"/>
    </row>
    <row r="33483" spans="25:25" x14ac:dyDescent="0.25">
      <c r="Y33483" s="63"/>
    </row>
    <row r="33484" spans="25:25" x14ac:dyDescent="0.25">
      <c r="Y33484" s="63"/>
    </row>
    <row r="33485" spans="25:25" x14ac:dyDescent="0.25">
      <c r="Y33485" s="63"/>
    </row>
    <row r="33486" spans="25:25" x14ac:dyDescent="0.25">
      <c r="Y33486" s="63"/>
    </row>
    <row r="33487" spans="25:25" x14ac:dyDescent="0.25">
      <c r="Y33487" s="63"/>
    </row>
    <row r="33488" spans="25:25" x14ac:dyDescent="0.25">
      <c r="Y33488" s="63"/>
    </row>
    <row r="33489" spans="25:25" x14ac:dyDescent="0.25">
      <c r="Y33489" s="63"/>
    </row>
    <row r="33490" spans="25:25" x14ac:dyDescent="0.25">
      <c r="Y33490" s="63"/>
    </row>
    <row r="33491" spans="25:25" x14ac:dyDescent="0.25">
      <c r="Y33491" s="63"/>
    </row>
    <row r="33492" spans="25:25" x14ac:dyDescent="0.25">
      <c r="Y33492" s="63"/>
    </row>
    <row r="33493" spans="25:25" x14ac:dyDescent="0.25">
      <c r="Y33493" s="63"/>
    </row>
    <row r="33494" spans="25:25" x14ac:dyDescent="0.25">
      <c r="Y33494" s="63"/>
    </row>
    <row r="33495" spans="25:25" x14ac:dyDescent="0.25">
      <c r="Y33495" s="63"/>
    </row>
    <row r="33496" spans="25:25" x14ac:dyDescent="0.25">
      <c r="Y33496" s="63"/>
    </row>
    <row r="33497" spans="25:25" x14ac:dyDescent="0.25">
      <c r="Y33497" s="63"/>
    </row>
    <row r="33498" spans="25:25" x14ac:dyDescent="0.25">
      <c r="Y33498" s="63"/>
    </row>
    <row r="33499" spans="25:25" x14ac:dyDescent="0.25">
      <c r="Y33499" s="63"/>
    </row>
    <row r="33500" spans="25:25" x14ac:dyDescent="0.25">
      <c r="Y33500" s="63"/>
    </row>
    <row r="33501" spans="25:25" x14ac:dyDescent="0.25">
      <c r="Y33501" s="63"/>
    </row>
    <row r="33502" spans="25:25" x14ac:dyDescent="0.25">
      <c r="Y33502" s="63"/>
    </row>
    <row r="33503" spans="25:25" x14ac:dyDescent="0.25">
      <c r="Y33503" s="63"/>
    </row>
    <row r="33504" spans="25:25" x14ac:dyDescent="0.25">
      <c r="Y33504" s="63"/>
    </row>
    <row r="33505" spans="25:25" x14ac:dyDescent="0.25">
      <c r="Y33505" s="63"/>
    </row>
    <row r="33506" spans="25:25" x14ac:dyDescent="0.25">
      <c r="Y33506" s="63"/>
    </row>
    <row r="33507" spans="25:25" x14ac:dyDescent="0.25">
      <c r="Y33507" s="63"/>
    </row>
    <row r="33508" spans="25:25" x14ac:dyDescent="0.25">
      <c r="Y33508" s="63"/>
    </row>
    <row r="33509" spans="25:25" x14ac:dyDescent="0.25">
      <c r="Y33509" s="63"/>
    </row>
    <row r="33510" spans="25:25" x14ac:dyDescent="0.25">
      <c r="Y33510" s="63"/>
    </row>
    <row r="33511" spans="25:25" x14ac:dyDescent="0.25">
      <c r="Y33511" s="63"/>
    </row>
    <row r="33512" spans="25:25" x14ac:dyDescent="0.25">
      <c r="Y33512" s="63"/>
    </row>
    <row r="33513" spans="25:25" x14ac:dyDescent="0.25">
      <c r="Y33513" s="63"/>
    </row>
    <row r="33514" spans="25:25" x14ac:dyDescent="0.25">
      <c r="Y33514" s="63"/>
    </row>
    <row r="33515" spans="25:25" x14ac:dyDescent="0.25">
      <c r="Y33515" s="63"/>
    </row>
    <row r="33516" spans="25:25" x14ac:dyDescent="0.25">
      <c r="Y33516" s="63"/>
    </row>
    <row r="33517" spans="25:25" x14ac:dyDescent="0.25">
      <c r="Y33517" s="63"/>
    </row>
    <row r="33518" spans="25:25" x14ac:dyDescent="0.25">
      <c r="Y33518" s="63"/>
    </row>
    <row r="33519" spans="25:25" x14ac:dyDescent="0.25">
      <c r="Y33519" s="63"/>
    </row>
    <row r="33520" spans="25:25" x14ac:dyDescent="0.25">
      <c r="Y33520" s="63"/>
    </row>
    <row r="33521" spans="25:25" x14ac:dyDescent="0.25">
      <c r="Y33521" s="63"/>
    </row>
    <row r="33522" spans="25:25" x14ac:dyDescent="0.25">
      <c r="Y33522" s="63"/>
    </row>
    <row r="33523" spans="25:25" x14ac:dyDescent="0.25">
      <c r="Y33523" s="63"/>
    </row>
    <row r="33524" spans="25:25" x14ac:dyDescent="0.25">
      <c r="Y33524" s="63"/>
    </row>
    <row r="33525" spans="25:25" x14ac:dyDescent="0.25">
      <c r="Y33525" s="63"/>
    </row>
    <row r="33526" spans="25:25" x14ac:dyDescent="0.25">
      <c r="Y33526" s="63"/>
    </row>
    <row r="33527" spans="25:25" x14ac:dyDescent="0.25">
      <c r="Y33527" s="63"/>
    </row>
    <row r="33528" spans="25:25" x14ac:dyDescent="0.25">
      <c r="Y33528" s="63"/>
    </row>
    <row r="33529" spans="25:25" x14ac:dyDescent="0.25">
      <c r="Y33529" s="63"/>
    </row>
    <row r="33530" spans="25:25" x14ac:dyDescent="0.25">
      <c r="Y33530" s="63"/>
    </row>
    <row r="33531" spans="25:25" x14ac:dyDescent="0.25">
      <c r="Y33531" s="63"/>
    </row>
    <row r="33532" spans="25:25" x14ac:dyDescent="0.25">
      <c r="Y33532" s="63"/>
    </row>
    <row r="33533" spans="25:25" x14ac:dyDescent="0.25">
      <c r="Y33533" s="63"/>
    </row>
    <row r="33534" spans="25:25" x14ac:dyDescent="0.25">
      <c r="Y33534" s="63"/>
    </row>
    <row r="33535" spans="25:25" x14ac:dyDescent="0.25">
      <c r="Y33535" s="63"/>
    </row>
    <row r="33536" spans="25:25" x14ac:dyDescent="0.25">
      <c r="Y33536" s="63"/>
    </row>
    <row r="33537" spans="25:25" x14ac:dyDescent="0.25">
      <c r="Y33537" s="63"/>
    </row>
    <row r="33538" spans="25:25" x14ac:dyDescent="0.25">
      <c r="Y33538" s="63"/>
    </row>
    <row r="33539" spans="25:25" x14ac:dyDescent="0.25">
      <c r="Y33539" s="63"/>
    </row>
    <row r="33540" spans="25:25" x14ac:dyDescent="0.25">
      <c r="Y33540" s="63"/>
    </row>
    <row r="33541" spans="25:25" x14ac:dyDescent="0.25">
      <c r="Y33541" s="63"/>
    </row>
    <row r="33542" spans="25:25" x14ac:dyDescent="0.25">
      <c r="Y33542" s="63"/>
    </row>
    <row r="33543" spans="25:25" x14ac:dyDescent="0.25">
      <c r="Y33543" s="63"/>
    </row>
    <row r="33544" spans="25:25" x14ac:dyDescent="0.25">
      <c r="Y33544" s="63"/>
    </row>
    <row r="33545" spans="25:25" x14ac:dyDescent="0.25">
      <c r="Y33545" s="63"/>
    </row>
    <row r="33546" spans="25:25" x14ac:dyDescent="0.25">
      <c r="Y33546" s="63"/>
    </row>
    <row r="33547" spans="25:25" x14ac:dyDescent="0.25">
      <c r="Y33547" s="63"/>
    </row>
    <row r="33548" spans="25:25" x14ac:dyDescent="0.25">
      <c r="Y33548" s="63"/>
    </row>
    <row r="33549" spans="25:25" x14ac:dyDescent="0.25">
      <c r="Y33549" s="63"/>
    </row>
    <row r="33550" spans="25:25" x14ac:dyDescent="0.25">
      <c r="Y33550" s="63"/>
    </row>
    <row r="33551" spans="25:25" x14ac:dyDescent="0.25">
      <c r="Y33551" s="63"/>
    </row>
    <row r="33552" spans="25:25" x14ac:dyDescent="0.25">
      <c r="Y33552" s="63"/>
    </row>
    <row r="33553" spans="25:25" x14ac:dyDescent="0.25">
      <c r="Y33553" s="63"/>
    </row>
    <row r="33554" spans="25:25" x14ac:dyDescent="0.25">
      <c r="Y33554" s="63"/>
    </row>
    <row r="33555" spans="25:25" x14ac:dyDescent="0.25">
      <c r="Y33555" s="63"/>
    </row>
    <row r="33556" spans="25:25" x14ac:dyDescent="0.25">
      <c r="Y33556" s="63"/>
    </row>
    <row r="33557" spans="25:25" x14ac:dyDescent="0.25">
      <c r="Y33557" s="63"/>
    </row>
    <row r="33558" spans="25:25" x14ac:dyDescent="0.25">
      <c r="Y33558" s="63"/>
    </row>
    <row r="33559" spans="25:25" x14ac:dyDescent="0.25">
      <c r="Y33559" s="63"/>
    </row>
    <row r="33560" spans="25:25" x14ac:dyDescent="0.25">
      <c r="Y33560" s="63"/>
    </row>
    <row r="33561" spans="25:25" x14ac:dyDescent="0.25">
      <c r="Y33561" s="63"/>
    </row>
    <row r="33562" spans="25:25" x14ac:dyDescent="0.25">
      <c r="Y33562" s="63"/>
    </row>
    <row r="33563" spans="25:25" x14ac:dyDescent="0.25">
      <c r="Y33563" s="63"/>
    </row>
    <row r="33564" spans="25:25" x14ac:dyDescent="0.25">
      <c r="Y33564" s="63"/>
    </row>
    <row r="33565" spans="25:25" x14ac:dyDescent="0.25">
      <c r="Y33565" s="63"/>
    </row>
    <row r="33566" spans="25:25" x14ac:dyDescent="0.25">
      <c r="Y33566" s="63"/>
    </row>
    <row r="33567" spans="25:25" x14ac:dyDescent="0.25">
      <c r="Y33567" s="63"/>
    </row>
    <row r="33568" spans="25:25" x14ac:dyDescent="0.25">
      <c r="Y33568" s="63"/>
    </row>
    <row r="33569" spans="25:25" x14ac:dyDescent="0.25">
      <c r="Y33569" s="63"/>
    </row>
    <row r="33570" spans="25:25" x14ac:dyDescent="0.25">
      <c r="Y33570" s="63"/>
    </row>
    <row r="33571" spans="25:25" x14ac:dyDescent="0.25">
      <c r="Y33571" s="63"/>
    </row>
    <row r="33572" spans="25:25" x14ac:dyDescent="0.25">
      <c r="Y33572" s="63"/>
    </row>
    <row r="33573" spans="25:25" x14ac:dyDescent="0.25">
      <c r="Y33573" s="63"/>
    </row>
    <row r="33574" spans="25:25" x14ac:dyDescent="0.25">
      <c r="Y33574" s="63"/>
    </row>
    <row r="33575" spans="25:25" x14ac:dyDescent="0.25">
      <c r="Y33575" s="63"/>
    </row>
    <row r="33576" spans="25:25" x14ac:dyDescent="0.25">
      <c r="Y33576" s="63"/>
    </row>
    <row r="33577" spans="25:25" x14ac:dyDescent="0.25">
      <c r="Y33577" s="63"/>
    </row>
    <row r="33578" spans="25:25" x14ac:dyDescent="0.25">
      <c r="Y33578" s="63"/>
    </row>
    <row r="33579" spans="25:25" x14ac:dyDescent="0.25">
      <c r="Y33579" s="63"/>
    </row>
    <row r="33580" spans="25:25" x14ac:dyDescent="0.25">
      <c r="Y33580" s="63"/>
    </row>
    <row r="33581" spans="25:25" x14ac:dyDescent="0.25">
      <c r="Y33581" s="63"/>
    </row>
    <row r="33582" spans="25:25" x14ac:dyDescent="0.25">
      <c r="Y33582" s="63"/>
    </row>
    <row r="33583" spans="25:25" x14ac:dyDescent="0.25">
      <c r="Y33583" s="63"/>
    </row>
    <row r="33584" spans="25:25" x14ac:dyDescent="0.25">
      <c r="Y33584" s="63"/>
    </row>
    <row r="33585" spans="25:25" x14ac:dyDescent="0.25">
      <c r="Y33585" s="63"/>
    </row>
    <row r="33586" spans="25:25" x14ac:dyDescent="0.25">
      <c r="Y33586" s="63"/>
    </row>
    <row r="33587" spans="25:25" x14ac:dyDescent="0.25">
      <c r="Y33587" s="63"/>
    </row>
    <row r="33588" spans="25:25" x14ac:dyDescent="0.25">
      <c r="Y33588" s="63"/>
    </row>
    <row r="33589" spans="25:25" x14ac:dyDescent="0.25">
      <c r="Y33589" s="63"/>
    </row>
    <row r="33590" spans="25:25" x14ac:dyDescent="0.25">
      <c r="Y33590" s="63"/>
    </row>
    <row r="33591" spans="25:25" x14ac:dyDescent="0.25">
      <c r="Y33591" s="63"/>
    </row>
    <row r="33592" spans="25:25" x14ac:dyDescent="0.25">
      <c r="Y33592" s="63"/>
    </row>
    <row r="33593" spans="25:25" x14ac:dyDescent="0.25">
      <c r="Y33593" s="63"/>
    </row>
    <row r="33594" spans="25:25" x14ac:dyDescent="0.25">
      <c r="Y33594" s="63"/>
    </row>
    <row r="33595" spans="25:25" x14ac:dyDescent="0.25">
      <c r="Y33595" s="63"/>
    </row>
    <row r="33596" spans="25:25" x14ac:dyDescent="0.25">
      <c r="Y33596" s="63"/>
    </row>
    <row r="33597" spans="25:25" x14ac:dyDescent="0.25">
      <c r="Y33597" s="63"/>
    </row>
    <row r="33598" spans="25:25" x14ac:dyDescent="0.25">
      <c r="Y33598" s="63"/>
    </row>
    <row r="33599" spans="25:25" x14ac:dyDescent="0.25">
      <c r="Y33599" s="63"/>
    </row>
    <row r="33600" spans="25:25" x14ac:dyDescent="0.25">
      <c r="Y33600" s="63"/>
    </row>
    <row r="33601" spans="25:25" x14ac:dyDescent="0.25">
      <c r="Y33601" s="63"/>
    </row>
    <row r="33602" spans="25:25" x14ac:dyDescent="0.25">
      <c r="Y33602" s="63"/>
    </row>
    <row r="33603" spans="25:25" x14ac:dyDescent="0.25">
      <c r="Y33603" s="63"/>
    </row>
    <row r="33604" spans="25:25" x14ac:dyDescent="0.25">
      <c r="Y33604" s="63"/>
    </row>
    <row r="33605" spans="25:25" x14ac:dyDescent="0.25">
      <c r="Y33605" s="63"/>
    </row>
    <row r="33606" spans="25:25" x14ac:dyDescent="0.25">
      <c r="Y33606" s="63"/>
    </row>
    <row r="33607" spans="25:25" x14ac:dyDescent="0.25">
      <c r="Y33607" s="63"/>
    </row>
    <row r="33608" spans="25:25" x14ac:dyDescent="0.25">
      <c r="Y33608" s="63"/>
    </row>
    <row r="33609" spans="25:25" x14ac:dyDescent="0.25">
      <c r="Y33609" s="63"/>
    </row>
    <row r="33610" spans="25:25" x14ac:dyDescent="0.25">
      <c r="Y33610" s="63"/>
    </row>
    <row r="33611" spans="25:25" x14ac:dyDescent="0.25">
      <c r="Y33611" s="63"/>
    </row>
    <row r="33612" spans="25:25" x14ac:dyDescent="0.25">
      <c r="Y33612" s="63"/>
    </row>
    <row r="33613" spans="25:25" x14ac:dyDescent="0.25">
      <c r="Y33613" s="63"/>
    </row>
    <row r="33614" spans="25:25" x14ac:dyDescent="0.25">
      <c r="Y33614" s="63"/>
    </row>
    <row r="33615" spans="25:25" x14ac:dyDescent="0.25">
      <c r="Y33615" s="63"/>
    </row>
    <row r="33616" spans="25:25" x14ac:dyDescent="0.25">
      <c r="Y33616" s="63"/>
    </row>
    <row r="33617" spans="25:25" x14ac:dyDescent="0.25">
      <c r="Y33617" s="63"/>
    </row>
    <row r="33618" spans="25:25" x14ac:dyDescent="0.25">
      <c r="Y33618" s="63"/>
    </row>
    <row r="33619" spans="25:25" x14ac:dyDescent="0.25">
      <c r="Y33619" s="63"/>
    </row>
    <row r="33620" spans="25:25" x14ac:dyDescent="0.25">
      <c r="Y33620" s="63"/>
    </row>
    <row r="33621" spans="25:25" x14ac:dyDescent="0.25">
      <c r="Y33621" s="63"/>
    </row>
    <row r="33622" spans="25:25" x14ac:dyDescent="0.25">
      <c r="Y33622" s="63"/>
    </row>
    <row r="33623" spans="25:25" x14ac:dyDescent="0.25">
      <c r="Y33623" s="63"/>
    </row>
    <row r="33624" spans="25:25" x14ac:dyDescent="0.25">
      <c r="Y33624" s="63"/>
    </row>
    <row r="33625" spans="25:25" x14ac:dyDescent="0.25">
      <c r="Y33625" s="63"/>
    </row>
    <row r="33626" spans="25:25" x14ac:dyDescent="0.25">
      <c r="Y33626" s="63"/>
    </row>
    <row r="33627" spans="25:25" x14ac:dyDescent="0.25">
      <c r="Y33627" s="63"/>
    </row>
    <row r="33628" spans="25:25" x14ac:dyDescent="0.25">
      <c r="Y33628" s="63"/>
    </row>
    <row r="33629" spans="25:25" x14ac:dyDescent="0.25">
      <c r="Y33629" s="63"/>
    </row>
    <row r="33630" spans="25:25" x14ac:dyDescent="0.25">
      <c r="Y33630" s="63"/>
    </row>
    <row r="33631" spans="25:25" x14ac:dyDescent="0.25">
      <c r="Y33631" s="63"/>
    </row>
    <row r="33632" spans="25:25" x14ac:dyDescent="0.25">
      <c r="Y33632" s="63"/>
    </row>
    <row r="33633" spans="25:25" x14ac:dyDescent="0.25">
      <c r="Y33633" s="63"/>
    </row>
    <row r="33634" spans="25:25" x14ac:dyDescent="0.25">
      <c r="Y33634" s="63"/>
    </row>
    <row r="33635" spans="25:25" x14ac:dyDescent="0.25">
      <c r="Y33635" s="63"/>
    </row>
    <row r="33636" spans="25:25" x14ac:dyDescent="0.25">
      <c r="Y33636" s="63"/>
    </row>
    <row r="33637" spans="25:25" x14ac:dyDescent="0.25">
      <c r="Y33637" s="63"/>
    </row>
    <row r="33638" spans="25:25" x14ac:dyDescent="0.25">
      <c r="Y33638" s="63"/>
    </row>
    <row r="33639" spans="25:25" x14ac:dyDescent="0.25">
      <c r="Y33639" s="63"/>
    </row>
    <row r="33640" spans="25:25" x14ac:dyDescent="0.25">
      <c r="Y33640" s="63"/>
    </row>
    <row r="33641" spans="25:25" x14ac:dyDescent="0.25">
      <c r="Y33641" s="63"/>
    </row>
    <row r="33642" spans="25:25" x14ac:dyDescent="0.25">
      <c r="Y33642" s="63"/>
    </row>
    <row r="33643" spans="25:25" x14ac:dyDescent="0.25">
      <c r="Y33643" s="63"/>
    </row>
    <row r="33644" spans="25:25" x14ac:dyDescent="0.25">
      <c r="Y33644" s="63"/>
    </row>
    <row r="33645" spans="25:25" x14ac:dyDescent="0.25">
      <c r="Y33645" s="63"/>
    </row>
    <row r="33646" spans="25:25" x14ac:dyDescent="0.25">
      <c r="Y33646" s="63"/>
    </row>
    <row r="33647" spans="25:25" x14ac:dyDescent="0.25">
      <c r="Y33647" s="63"/>
    </row>
    <row r="33648" spans="25:25" x14ac:dyDescent="0.25">
      <c r="Y33648" s="63"/>
    </row>
    <row r="33649" spans="25:25" x14ac:dyDescent="0.25">
      <c r="Y33649" s="63"/>
    </row>
    <row r="33650" spans="25:25" x14ac:dyDescent="0.25">
      <c r="Y33650" s="63"/>
    </row>
    <row r="33651" spans="25:25" x14ac:dyDescent="0.25">
      <c r="Y33651" s="63"/>
    </row>
    <row r="33652" spans="25:25" x14ac:dyDescent="0.25">
      <c r="Y33652" s="63"/>
    </row>
    <row r="33653" spans="25:25" x14ac:dyDescent="0.25">
      <c r="Y33653" s="63"/>
    </row>
    <row r="33654" spans="25:25" x14ac:dyDescent="0.25">
      <c r="Y33654" s="63"/>
    </row>
    <row r="33655" spans="25:25" x14ac:dyDescent="0.25">
      <c r="Y33655" s="63"/>
    </row>
    <row r="33656" spans="25:25" x14ac:dyDescent="0.25">
      <c r="Y33656" s="63"/>
    </row>
    <row r="33657" spans="25:25" x14ac:dyDescent="0.25">
      <c r="Y33657" s="63"/>
    </row>
    <row r="33658" spans="25:25" x14ac:dyDescent="0.25">
      <c r="Y33658" s="63"/>
    </row>
    <row r="33659" spans="25:25" x14ac:dyDescent="0.25">
      <c r="Y33659" s="63"/>
    </row>
    <row r="33660" spans="25:25" x14ac:dyDescent="0.25">
      <c r="Y33660" s="63"/>
    </row>
    <row r="33661" spans="25:25" x14ac:dyDescent="0.25">
      <c r="Y33661" s="63"/>
    </row>
    <row r="33662" spans="25:25" x14ac:dyDescent="0.25">
      <c r="Y33662" s="63"/>
    </row>
    <row r="33663" spans="25:25" x14ac:dyDescent="0.25">
      <c r="Y33663" s="63"/>
    </row>
    <row r="33664" spans="25:25" x14ac:dyDescent="0.25">
      <c r="Y33664" s="63"/>
    </row>
    <row r="33665" spans="25:25" x14ac:dyDescent="0.25">
      <c r="Y33665" s="63"/>
    </row>
    <row r="33666" spans="25:25" x14ac:dyDescent="0.25">
      <c r="Y33666" s="63"/>
    </row>
    <row r="33667" spans="25:25" x14ac:dyDescent="0.25">
      <c r="Y33667" s="63"/>
    </row>
    <row r="33668" spans="25:25" x14ac:dyDescent="0.25">
      <c r="Y33668" s="63"/>
    </row>
    <row r="33669" spans="25:25" x14ac:dyDescent="0.25">
      <c r="Y33669" s="63"/>
    </row>
    <row r="33670" spans="25:25" x14ac:dyDescent="0.25">
      <c r="Y33670" s="63"/>
    </row>
    <row r="33671" spans="25:25" x14ac:dyDescent="0.25">
      <c r="Y33671" s="63"/>
    </row>
    <row r="33672" spans="25:25" x14ac:dyDescent="0.25">
      <c r="Y33672" s="63"/>
    </row>
    <row r="33673" spans="25:25" x14ac:dyDescent="0.25">
      <c r="Y33673" s="63"/>
    </row>
    <row r="33674" spans="25:25" x14ac:dyDescent="0.25">
      <c r="Y33674" s="63"/>
    </row>
    <row r="33675" spans="25:25" x14ac:dyDescent="0.25">
      <c r="Y33675" s="63"/>
    </row>
    <row r="33676" spans="25:25" x14ac:dyDescent="0.25">
      <c r="Y33676" s="63"/>
    </row>
    <row r="33677" spans="25:25" x14ac:dyDescent="0.25">
      <c r="Y33677" s="63"/>
    </row>
    <row r="33678" spans="25:25" x14ac:dyDescent="0.25">
      <c r="Y33678" s="63"/>
    </row>
    <row r="33679" spans="25:25" x14ac:dyDescent="0.25">
      <c r="Y33679" s="63"/>
    </row>
    <row r="33680" spans="25:25" x14ac:dyDescent="0.25">
      <c r="Y33680" s="63"/>
    </row>
    <row r="33681" spans="25:25" x14ac:dyDescent="0.25">
      <c r="Y33681" s="63"/>
    </row>
    <row r="33682" spans="25:25" x14ac:dyDescent="0.25">
      <c r="Y33682" s="63"/>
    </row>
    <row r="33683" spans="25:25" x14ac:dyDescent="0.25">
      <c r="Y33683" s="63"/>
    </row>
    <row r="33684" spans="25:25" x14ac:dyDescent="0.25">
      <c r="Y33684" s="63"/>
    </row>
    <row r="33685" spans="25:25" x14ac:dyDescent="0.25">
      <c r="Y33685" s="63"/>
    </row>
    <row r="33686" spans="25:25" x14ac:dyDescent="0.25">
      <c r="Y33686" s="63"/>
    </row>
    <row r="33687" spans="25:25" x14ac:dyDescent="0.25">
      <c r="Y33687" s="63"/>
    </row>
    <row r="33688" spans="25:25" x14ac:dyDescent="0.25">
      <c r="Y33688" s="63"/>
    </row>
    <row r="33689" spans="25:25" x14ac:dyDescent="0.25">
      <c r="Y33689" s="63"/>
    </row>
    <row r="33690" spans="25:25" x14ac:dyDescent="0.25">
      <c r="Y33690" s="63"/>
    </row>
    <row r="33691" spans="25:25" x14ac:dyDescent="0.25">
      <c r="Y33691" s="63"/>
    </row>
    <row r="33692" spans="25:25" x14ac:dyDescent="0.25">
      <c r="Y33692" s="63"/>
    </row>
    <row r="33693" spans="25:25" x14ac:dyDescent="0.25">
      <c r="Y33693" s="63"/>
    </row>
    <row r="33694" spans="25:25" x14ac:dyDescent="0.25">
      <c r="Y33694" s="63"/>
    </row>
    <row r="33695" spans="25:25" x14ac:dyDescent="0.25">
      <c r="Y33695" s="63"/>
    </row>
    <row r="33696" spans="25:25" x14ac:dyDescent="0.25">
      <c r="Y33696" s="63"/>
    </row>
    <row r="33697" spans="25:25" x14ac:dyDescent="0.25">
      <c r="Y33697" s="63"/>
    </row>
    <row r="33698" spans="25:25" x14ac:dyDescent="0.25">
      <c r="Y33698" s="63"/>
    </row>
    <row r="33699" spans="25:25" x14ac:dyDescent="0.25">
      <c r="Y33699" s="63"/>
    </row>
    <row r="33700" spans="25:25" x14ac:dyDescent="0.25">
      <c r="Y33700" s="63"/>
    </row>
    <row r="33701" spans="25:25" x14ac:dyDescent="0.25">
      <c r="Y33701" s="63"/>
    </row>
    <row r="33702" spans="25:25" x14ac:dyDescent="0.25">
      <c r="Y33702" s="63"/>
    </row>
    <row r="33703" spans="25:25" x14ac:dyDescent="0.25">
      <c r="Y33703" s="63"/>
    </row>
    <row r="33704" spans="25:25" x14ac:dyDescent="0.25">
      <c r="Y33704" s="63"/>
    </row>
    <row r="33705" spans="25:25" x14ac:dyDescent="0.25">
      <c r="Y33705" s="63"/>
    </row>
    <row r="33706" spans="25:25" x14ac:dyDescent="0.25">
      <c r="Y33706" s="63"/>
    </row>
    <row r="33707" spans="25:25" x14ac:dyDescent="0.25">
      <c r="Y33707" s="63"/>
    </row>
    <row r="33708" spans="25:25" x14ac:dyDescent="0.25">
      <c r="Y33708" s="63"/>
    </row>
    <row r="33709" spans="25:25" x14ac:dyDescent="0.25">
      <c r="Y33709" s="63"/>
    </row>
    <row r="33710" spans="25:25" x14ac:dyDescent="0.25">
      <c r="Y33710" s="63"/>
    </row>
    <row r="33711" spans="25:25" x14ac:dyDescent="0.25">
      <c r="Y33711" s="63"/>
    </row>
    <row r="33712" spans="25:25" x14ac:dyDescent="0.25">
      <c r="Y33712" s="63"/>
    </row>
    <row r="33713" spans="25:25" x14ac:dyDescent="0.25">
      <c r="Y33713" s="63"/>
    </row>
    <row r="33714" spans="25:25" x14ac:dyDescent="0.25">
      <c r="Y33714" s="63"/>
    </row>
    <row r="33715" spans="25:25" x14ac:dyDescent="0.25">
      <c r="Y33715" s="63"/>
    </row>
    <row r="33716" spans="25:25" x14ac:dyDescent="0.25">
      <c r="Y33716" s="63"/>
    </row>
    <row r="33717" spans="25:25" x14ac:dyDescent="0.25">
      <c r="Y33717" s="63"/>
    </row>
    <row r="33718" spans="25:25" x14ac:dyDescent="0.25">
      <c r="Y33718" s="63"/>
    </row>
    <row r="33719" spans="25:25" x14ac:dyDescent="0.25">
      <c r="Y33719" s="63"/>
    </row>
    <row r="33720" spans="25:25" x14ac:dyDescent="0.25">
      <c r="Y33720" s="63"/>
    </row>
    <row r="33721" spans="25:25" x14ac:dyDescent="0.25">
      <c r="Y33721" s="63"/>
    </row>
    <row r="33722" spans="25:25" x14ac:dyDescent="0.25">
      <c r="Y33722" s="63"/>
    </row>
    <row r="33723" spans="25:25" x14ac:dyDescent="0.25">
      <c r="Y33723" s="63"/>
    </row>
    <row r="33724" spans="25:25" x14ac:dyDescent="0.25">
      <c r="Y33724" s="63"/>
    </row>
    <row r="33725" spans="25:25" x14ac:dyDescent="0.25">
      <c r="Y33725" s="63"/>
    </row>
    <row r="33726" spans="25:25" x14ac:dyDescent="0.25">
      <c r="Y33726" s="63"/>
    </row>
    <row r="33727" spans="25:25" x14ac:dyDescent="0.25">
      <c r="Y33727" s="63"/>
    </row>
    <row r="33728" spans="25:25" x14ac:dyDescent="0.25">
      <c r="Y33728" s="63"/>
    </row>
    <row r="33729" spans="25:25" x14ac:dyDescent="0.25">
      <c r="Y33729" s="63"/>
    </row>
    <row r="33730" spans="25:25" x14ac:dyDescent="0.25">
      <c r="Y33730" s="63"/>
    </row>
    <row r="33731" spans="25:25" x14ac:dyDescent="0.25">
      <c r="Y33731" s="63"/>
    </row>
    <row r="33732" spans="25:25" x14ac:dyDescent="0.25">
      <c r="Y33732" s="63"/>
    </row>
    <row r="33733" spans="25:25" x14ac:dyDescent="0.25">
      <c r="Y33733" s="63"/>
    </row>
    <row r="33734" spans="25:25" x14ac:dyDescent="0.25">
      <c r="Y33734" s="63"/>
    </row>
    <row r="33735" spans="25:25" x14ac:dyDescent="0.25">
      <c r="Y33735" s="63"/>
    </row>
    <row r="33736" spans="25:25" x14ac:dyDescent="0.25">
      <c r="Y33736" s="63"/>
    </row>
    <row r="33737" spans="25:25" x14ac:dyDescent="0.25">
      <c r="Y33737" s="63"/>
    </row>
    <row r="33738" spans="25:25" x14ac:dyDescent="0.25">
      <c r="Y33738" s="63"/>
    </row>
    <row r="33739" spans="25:25" x14ac:dyDescent="0.25">
      <c r="Y33739" s="63"/>
    </row>
    <row r="33740" spans="25:25" x14ac:dyDescent="0.25">
      <c r="Y33740" s="63"/>
    </row>
    <row r="33741" spans="25:25" x14ac:dyDescent="0.25">
      <c r="Y33741" s="63"/>
    </row>
    <row r="33742" spans="25:25" x14ac:dyDescent="0.25">
      <c r="Y33742" s="63"/>
    </row>
    <row r="33743" spans="25:25" x14ac:dyDescent="0.25">
      <c r="Y33743" s="63"/>
    </row>
    <row r="33744" spans="25:25" x14ac:dyDescent="0.25">
      <c r="Y33744" s="63"/>
    </row>
    <row r="33745" spans="25:25" x14ac:dyDescent="0.25">
      <c r="Y33745" s="63"/>
    </row>
    <row r="33746" spans="25:25" x14ac:dyDescent="0.25">
      <c r="Y33746" s="63"/>
    </row>
    <row r="33747" spans="25:25" x14ac:dyDescent="0.25">
      <c r="Y33747" s="63"/>
    </row>
    <row r="33748" spans="25:25" x14ac:dyDescent="0.25">
      <c r="Y33748" s="63"/>
    </row>
    <row r="33749" spans="25:25" x14ac:dyDescent="0.25">
      <c r="Y33749" s="63"/>
    </row>
    <row r="33750" spans="25:25" x14ac:dyDescent="0.25">
      <c r="Y33750" s="63"/>
    </row>
    <row r="33751" spans="25:25" x14ac:dyDescent="0.25">
      <c r="Y33751" s="63"/>
    </row>
    <row r="33752" spans="25:25" x14ac:dyDescent="0.25">
      <c r="Y33752" s="63"/>
    </row>
    <row r="33753" spans="25:25" x14ac:dyDescent="0.25">
      <c r="Y33753" s="63"/>
    </row>
    <row r="33754" spans="25:25" x14ac:dyDescent="0.25">
      <c r="Y33754" s="63"/>
    </row>
    <row r="33755" spans="25:25" x14ac:dyDescent="0.25">
      <c r="Y33755" s="63"/>
    </row>
    <row r="33756" spans="25:25" x14ac:dyDescent="0.25">
      <c r="Y33756" s="63"/>
    </row>
    <row r="33757" spans="25:25" x14ac:dyDescent="0.25">
      <c r="Y33757" s="63"/>
    </row>
    <row r="33758" spans="25:25" x14ac:dyDescent="0.25">
      <c r="Y33758" s="63"/>
    </row>
    <row r="33759" spans="25:25" x14ac:dyDescent="0.25">
      <c r="Y33759" s="63"/>
    </row>
    <row r="33760" spans="25:25" x14ac:dyDescent="0.25">
      <c r="Y33760" s="63"/>
    </row>
    <row r="33761" spans="25:25" x14ac:dyDescent="0.25">
      <c r="Y33761" s="63"/>
    </row>
    <row r="33762" spans="25:25" x14ac:dyDescent="0.25">
      <c r="Y33762" s="63"/>
    </row>
    <row r="33763" spans="25:25" x14ac:dyDescent="0.25">
      <c r="Y33763" s="63"/>
    </row>
    <row r="33764" spans="25:25" x14ac:dyDescent="0.25">
      <c r="Y33764" s="63"/>
    </row>
    <row r="33765" spans="25:25" x14ac:dyDescent="0.25">
      <c r="Y33765" s="63"/>
    </row>
    <row r="33766" spans="25:25" x14ac:dyDescent="0.25">
      <c r="Y33766" s="63"/>
    </row>
    <row r="33767" spans="25:25" x14ac:dyDescent="0.25">
      <c r="Y33767" s="63"/>
    </row>
    <row r="33768" spans="25:25" x14ac:dyDescent="0.25">
      <c r="Y33768" s="63"/>
    </row>
    <row r="33769" spans="25:25" x14ac:dyDescent="0.25">
      <c r="Y33769" s="63"/>
    </row>
    <row r="33770" spans="25:25" x14ac:dyDescent="0.25">
      <c r="Y33770" s="63"/>
    </row>
    <row r="33771" spans="25:25" x14ac:dyDescent="0.25">
      <c r="Y33771" s="63"/>
    </row>
    <row r="33772" spans="25:25" x14ac:dyDescent="0.25">
      <c r="Y33772" s="63"/>
    </row>
    <row r="33773" spans="25:25" x14ac:dyDescent="0.25">
      <c r="Y33773" s="63"/>
    </row>
    <row r="33774" spans="25:25" x14ac:dyDescent="0.25">
      <c r="Y33774" s="63"/>
    </row>
    <row r="33775" spans="25:25" x14ac:dyDescent="0.25">
      <c r="Y33775" s="63"/>
    </row>
    <row r="33776" spans="25:25" x14ac:dyDescent="0.25">
      <c r="Y33776" s="63"/>
    </row>
    <row r="33777" spans="25:25" x14ac:dyDescent="0.25">
      <c r="Y33777" s="63"/>
    </row>
    <row r="33778" spans="25:25" x14ac:dyDescent="0.25">
      <c r="Y33778" s="63"/>
    </row>
    <row r="33779" spans="25:25" x14ac:dyDescent="0.25">
      <c r="Y33779" s="63"/>
    </row>
    <row r="33780" spans="25:25" x14ac:dyDescent="0.25">
      <c r="Y33780" s="63"/>
    </row>
    <row r="33781" spans="25:25" x14ac:dyDescent="0.25">
      <c r="Y33781" s="63"/>
    </row>
    <row r="33782" spans="25:25" x14ac:dyDescent="0.25">
      <c r="Y33782" s="63"/>
    </row>
    <row r="33783" spans="25:25" x14ac:dyDescent="0.25">
      <c r="Y33783" s="63"/>
    </row>
    <row r="33784" spans="25:25" x14ac:dyDescent="0.25">
      <c r="Y33784" s="63"/>
    </row>
    <row r="33785" spans="25:25" x14ac:dyDescent="0.25">
      <c r="Y33785" s="63"/>
    </row>
    <row r="33786" spans="25:25" x14ac:dyDescent="0.25">
      <c r="Y33786" s="63"/>
    </row>
    <row r="33787" spans="25:25" x14ac:dyDescent="0.25">
      <c r="Y33787" s="63"/>
    </row>
    <row r="33788" spans="25:25" x14ac:dyDescent="0.25">
      <c r="Y33788" s="63"/>
    </row>
    <row r="33789" spans="25:25" x14ac:dyDescent="0.25">
      <c r="Y33789" s="63"/>
    </row>
    <row r="33790" spans="25:25" x14ac:dyDescent="0.25">
      <c r="Y33790" s="63"/>
    </row>
    <row r="33791" spans="25:25" x14ac:dyDescent="0.25">
      <c r="Y33791" s="63"/>
    </row>
    <row r="33792" spans="25:25" x14ac:dyDescent="0.25">
      <c r="Y33792" s="63"/>
    </row>
    <row r="33793" spans="25:25" x14ac:dyDescent="0.25">
      <c r="Y33793" s="63"/>
    </row>
    <row r="33794" spans="25:25" x14ac:dyDescent="0.25">
      <c r="Y33794" s="63"/>
    </row>
    <row r="33795" spans="25:25" x14ac:dyDescent="0.25">
      <c r="Y33795" s="63"/>
    </row>
    <row r="33796" spans="25:25" x14ac:dyDescent="0.25">
      <c r="Y33796" s="63"/>
    </row>
    <row r="33797" spans="25:25" x14ac:dyDescent="0.25">
      <c r="Y33797" s="63"/>
    </row>
    <row r="33798" spans="25:25" x14ac:dyDescent="0.25">
      <c r="Y33798" s="63"/>
    </row>
    <row r="33799" spans="25:25" x14ac:dyDescent="0.25">
      <c r="Y33799" s="63"/>
    </row>
    <row r="33800" spans="25:25" x14ac:dyDescent="0.25">
      <c r="Y33800" s="63"/>
    </row>
    <row r="33801" spans="25:25" x14ac:dyDescent="0.25">
      <c r="Y33801" s="63"/>
    </row>
    <row r="33802" spans="25:25" x14ac:dyDescent="0.25">
      <c r="Y33802" s="63"/>
    </row>
    <row r="33803" spans="25:25" x14ac:dyDescent="0.25">
      <c r="Y33803" s="63"/>
    </row>
    <row r="33804" spans="25:25" x14ac:dyDescent="0.25">
      <c r="Y33804" s="63"/>
    </row>
    <row r="33805" spans="25:25" x14ac:dyDescent="0.25">
      <c r="Y33805" s="63"/>
    </row>
    <row r="33806" spans="25:25" x14ac:dyDescent="0.25">
      <c r="Y33806" s="63"/>
    </row>
    <row r="33807" spans="25:25" x14ac:dyDescent="0.25">
      <c r="Y33807" s="63"/>
    </row>
    <row r="33808" spans="25:25" x14ac:dyDescent="0.25">
      <c r="Y33808" s="63"/>
    </row>
    <row r="33809" spans="25:25" x14ac:dyDescent="0.25">
      <c r="Y33809" s="63"/>
    </row>
    <row r="33810" spans="25:25" x14ac:dyDescent="0.25">
      <c r="Y33810" s="63"/>
    </row>
    <row r="33811" spans="25:25" x14ac:dyDescent="0.25">
      <c r="Y33811" s="63"/>
    </row>
    <row r="33812" spans="25:25" x14ac:dyDescent="0.25">
      <c r="Y33812" s="63"/>
    </row>
    <row r="33813" spans="25:25" x14ac:dyDescent="0.25">
      <c r="Y33813" s="63"/>
    </row>
    <row r="33814" spans="25:25" x14ac:dyDescent="0.25">
      <c r="Y33814" s="63"/>
    </row>
    <row r="33815" spans="25:25" x14ac:dyDescent="0.25">
      <c r="Y33815" s="63"/>
    </row>
    <row r="33816" spans="25:25" x14ac:dyDescent="0.25">
      <c r="Y33816" s="63"/>
    </row>
    <row r="33817" spans="25:25" x14ac:dyDescent="0.25">
      <c r="Y33817" s="63"/>
    </row>
    <row r="33818" spans="25:25" x14ac:dyDescent="0.25">
      <c r="Y33818" s="63"/>
    </row>
    <row r="33819" spans="25:25" x14ac:dyDescent="0.25">
      <c r="Y33819" s="63"/>
    </row>
    <row r="33820" spans="25:25" x14ac:dyDescent="0.25">
      <c r="Y33820" s="63"/>
    </row>
    <row r="33821" spans="25:25" x14ac:dyDescent="0.25">
      <c r="Y33821" s="63"/>
    </row>
    <row r="33822" spans="25:25" x14ac:dyDescent="0.25">
      <c r="Y33822" s="63"/>
    </row>
    <row r="33823" spans="25:25" x14ac:dyDescent="0.25">
      <c r="Y33823" s="63"/>
    </row>
    <row r="33824" spans="25:25" x14ac:dyDescent="0.25">
      <c r="Y33824" s="63"/>
    </row>
    <row r="33825" spans="25:25" x14ac:dyDescent="0.25">
      <c r="Y33825" s="63"/>
    </row>
    <row r="33826" spans="25:25" x14ac:dyDescent="0.25">
      <c r="Y33826" s="63"/>
    </row>
    <row r="33827" spans="25:25" x14ac:dyDescent="0.25">
      <c r="Y33827" s="63"/>
    </row>
    <row r="33828" spans="25:25" x14ac:dyDescent="0.25">
      <c r="Y33828" s="63"/>
    </row>
    <row r="33829" spans="25:25" x14ac:dyDescent="0.25">
      <c r="Y33829" s="63"/>
    </row>
    <row r="33830" spans="25:25" x14ac:dyDescent="0.25">
      <c r="Y33830" s="63"/>
    </row>
    <row r="33831" spans="25:25" x14ac:dyDescent="0.25">
      <c r="Y33831" s="63"/>
    </row>
    <row r="33832" spans="25:25" x14ac:dyDescent="0.25">
      <c r="Y33832" s="63"/>
    </row>
    <row r="33833" spans="25:25" x14ac:dyDescent="0.25">
      <c r="Y33833" s="63"/>
    </row>
    <row r="33834" spans="25:25" x14ac:dyDescent="0.25">
      <c r="Y33834" s="63"/>
    </row>
    <row r="33835" spans="25:25" x14ac:dyDescent="0.25">
      <c r="Y33835" s="63"/>
    </row>
    <row r="33836" spans="25:25" x14ac:dyDescent="0.25">
      <c r="Y33836" s="63"/>
    </row>
    <row r="33837" spans="25:25" x14ac:dyDescent="0.25">
      <c r="Y33837" s="63"/>
    </row>
    <row r="33838" spans="25:25" x14ac:dyDescent="0.25">
      <c r="Y33838" s="63"/>
    </row>
    <row r="33839" spans="25:25" x14ac:dyDescent="0.25">
      <c r="Y33839" s="63"/>
    </row>
    <row r="33840" spans="25:25" x14ac:dyDescent="0.25">
      <c r="Y33840" s="63"/>
    </row>
    <row r="33841" spans="25:25" x14ac:dyDescent="0.25">
      <c r="Y33841" s="63"/>
    </row>
    <row r="33842" spans="25:25" x14ac:dyDescent="0.25">
      <c r="Y33842" s="63"/>
    </row>
    <row r="33843" spans="25:25" x14ac:dyDescent="0.25">
      <c r="Y33843" s="63"/>
    </row>
    <row r="33844" spans="25:25" x14ac:dyDescent="0.25">
      <c r="Y33844" s="63"/>
    </row>
    <row r="33845" spans="25:25" x14ac:dyDescent="0.25">
      <c r="Y33845" s="63"/>
    </row>
    <row r="33846" spans="25:25" x14ac:dyDescent="0.25">
      <c r="Y33846" s="63"/>
    </row>
    <row r="33847" spans="25:25" x14ac:dyDescent="0.25">
      <c r="Y33847" s="63"/>
    </row>
    <row r="33848" spans="25:25" x14ac:dyDescent="0.25">
      <c r="Y33848" s="63"/>
    </row>
    <row r="33849" spans="25:25" x14ac:dyDescent="0.25">
      <c r="Y33849" s="63"/>
    </row>
    <row r="33850" spans="25:25" x14ac:dyDescent="0.25">
      <c r="Y33850" s="63"/>
    </row>
    <row r="33851" spans="25:25" x14ac:dyDescent="0.25">
      <c r="Y33851" s="63"/>
    </row>
    <row r="33852" spans="25:25" x14ac:dyDescent="0.25">
      <c r="Y33852" s="63"/>
    </row>
    <row r="33853" spans="25:25" x14ac:dyDescent="0.25">
      <c r="Y33853" s="63"/>
    </row>
    <row r="33854" spans="25:25" x14ac:dyDescent="0.25">
      <c r="Y33854" s="63"/>
    </row>
    <row r="33855" spans="25:25" x14ac:dyDescent="0.25">
      <c r="Y33855" s="63"/>
    </row>
    <row r="33856" spans="25:25" x14ac:dyDescent="0.25">
      <c r="Y33856" s="63"/>
    </row>
    <row r="33857" spans="25:25" x14ac:dyDescent="0.25">
      <c r="Y33857" s="63"/>
    </row>
    <row r="33858" spans="25:25" x14ac:dyDescent="0.25">
      <c r="Y33858" s="63"/>
    </row>
    <row r="33859" spans="25:25" x14ac:dyDescent="0.25">
      <c r="Y33859" s="63"/>
    </row>
    <row r="33860" spans="25:25" x14ac:dyDescent="0.25">
      <c r="Y33860" s="63"/>
    </row>
    <row r="33861" spans="25:25" x14ac:dyDescent="0.25">
      <c r="Y33861" s="63"/>
    </row>
    <row r="33862" spans="25:25" x14ac:dyDescent="0.25">
      <c r="Y33862" s="63"/>
    </row>
    <row r="33863" spans="25:25" x14ac:dyDescent="0.25">
      <c r="Y33863" s="63"/>
    </row>
    <row r="33864" spans="25:25" x14ac:dyDescent="0.25">
      <c r="Y33864" s="63"/>
    </row>
    <row r="33865" spans="25:25" x14ac:dyDescent="0.25">
      <c r="Y33865" s="63"/>
    </row>
    <row r="33866" spans="25:25" x14ac:dyDescent="0.25">
      <c r="Y33866" s="63"/>
    </row>
    <row r="33867" spans="25:25" x14ac:dyDescent="0.25">
      <c r="Y33867" s="63"/>
    </row>
    <row r="33868" spans="25:25" x14ac:dyDescent="0.25">
      <c r="Y33868" s="63"/>
    </row>
    <row r="33869" spans="25:25" x14ac:dyDescent="0.25">
      <c r="Y33869" s="63"/>
    </row>
    <row r="33870" spans="25:25" x14ac:dyDescent="0.25">
      <c r="Y33870" s="63"/>
    </row>
    <row r="33871" spans="25:25" x14ac:dyDescent="0.25">
      <c r="Y33871" s="63"/>
    </row>
    <row r="33872" spans="25:25" x14ac:dyDescent="0.25">
      <c r="Y33872" s="63"/>
    </row>
    <row r="33873" spans="25:25" x14ac:dyDescent="0.25">
      <c r="Y33873" s="63"/>
    </row>
    <row r="33874" spans="25:25" x14ac:dyDescent="0.25">
      <c r="Y33874" s="63"/>
    </row>
    <row r="33875" spans="25:25" x14ac:dyDescent="0.25">
      <c r="Y33875" s="63"/>
    </row>
    <row r="33876" spans="25:25" x14ac:dyDescent="0.25">
      <c r="Y33876" s="63"/>
    </row>
    <row r="33877" spans="25:25" x14ac:dyDescent="0.25">
      <c r="Y33877" s="63"/>
    </row>
    <row r="33878" spans="25:25" x14ac:dyDescent="0.25">
      <c r="Y33878" s="63"/>
    </row>
    <row r="33879" spans="25:25" x14ac:dyDescent="0.25">
      <c r="Y33879" s="63"/>
    </row>
    <row r="33880" spans="25:25" x14ac:dyDescent="0.25">
      <c r="Y33880" s="63"/>
    </row>
    <row r="33881" spans="25:25" x14ac:dyDescent="0.25">
      <c r="Y33881" s="63"/>
    </row>
    <row r="33882" spans="25:25" x14ac:dyDescent="0.25">
      <c r="Y33882" s="63"/>
    </row>
    <row r="33883" spans="25:25" x14ac:dyDescent="0.25">
      <c r="Y33883" s="63"/>
    </row>
    <row r="33884" spans="25:25" x14ac:dyDescent="0.25">
      <c r="Y33884" s="63"/>
    </row>
    <row r="33885" spans="25:25" x14ac:dyDescent="0.25">
      <c r="Y33885" s="63"/>
    </row>
    <row r="33886" spans="25:25" x14ac:dyDescent="0.25">
      <c r="Y33886" s="63"/>
    </row>
    <row r="33887" spans="25:25" x14ac:dyDescent="0.25">
      <c r="Y33887" s="63"/>
    </row>
    <row r="33888" spans="25:25" x14ac:dyDescent="0.25">
      <c r="Y33888" s="63"/>
    </row>
    <row r="33889" spans="25:25" x14ac:dyDescent="0.25">
      <c r="Y33889" s="63"/>
    </row>
    <row r="33890" spans="25:25" x14ac:dyDescent="0.25">
      <c r="Y33890" s="63"/>
    </row>
    <row r="33891" spans="25:25" x14ac:dyDescent="0.25">
      <c r="Y33891" s="63"/>
    </row>
    <row r="33892" spans="25:25" x14ac:dyDescent="0.25">
      <c r="Y33892" s="63"/>
    </row>
    <row r="33893" spans="25:25" x14ac:dyDescent="0.25">
      <c r="Y33893" s="63"/>
    </row>
    <row r="33894" spans="25:25" x14ac:dyDescent="0.25">
      <c r="Y33894" s="63"/>
    </row>
    <row r="33895" spans="25:25" x14ac:dyDescent="0.25">
      <c r="Y33895" s="63"/>
    </row>
    <row r="33896" spans="25:25" x14ac:dyDescent="0.25">
      <c r="Y33896" s="63"/>
    </row>
    <row r="33897" spans="25:25" x14ac:dyDescent="0.25">
      <c r="Y33897" s="63"/>
    </row>
    <row r="33898" spans="25:25" x14ac:dyDescent="0.25">
      <c r="Y33898" s="63"/>
    </row>
    <row r="33899" spans="25:25" x14ac:dyDescent="0.25">
      <c r="Y33899" s="63"/>
    </row>
    <row r="33900" spans="25:25" x14ac:dyDescent="0.25">
      <c r="Y33900" s="63"/>
    </row>
    <row r="33901" spans="25:25" x14ac:dyDescent="0.25">
      <c r="Y33901" s="63"/>
    </row>
    <row r="33902" spans="25:25" x14ac:dyDescent="0.25">
      <c r="Y33902" s="63"/>
    </row>
    <row r="33903" spans="25:25" x14ac:dyDescent="0.25">
      <c r="Y33903" s="63"/>
    </row>
    <row r="33904" spans="25:25" x14ac:dyDescent="0.25">
      <c r="Y33904" s="63"/>
    </row>
    <row r="33905" spans="25:25" x14ac:dyDescent="0.25">
      <c r="Y33905" s="63"/>
    </row>
    <row r="33906" spans="25:25" x14ac:dyDescent="0.25">
      <c r="Y33906" s="63"/>
    </row>
    <row r="33907" spans="25:25" x14ac:dyDescent="0.25">
      <c r="Y33907" s="63"/>
    </row>
    <row r="33908" spans="25:25" x14ac:dyDescent="0.25">
      <c r="Y33908" s="63"/>
    </row>
    <row r="33909" spans="25:25" x14ac:dyDescent="0.25">
      <c r="Y33909" s="63"/>
    </row>
    <row r="33910" spans="25:25" x14ac:dyDescent="0.25">
      <c r="Y33910" s="63"/>
    </row>
    <row r="33911" spans="25:25" x14ac:dyDescent="0.25">
      <c r="Y33911" s="63"/>
    </row>
    <row r="33912" spans="25:25" x14ac:dyDescent="0.25">
      <c r="Y33912" s="63"/>
    </row>
    <row r="33913" spans="25:25" x14ac:dyDescent="0.25">
      <c r="Y33913" s="63"/>
    </row>
    <row r="33914" spans="25:25" x14ac:dyDescent="0.25">
      <c r="Y33914" s="63"/>
    </row>
    <row r="33915" spans="25:25" x14ac:dyDescent="0.25">
      <c r="Y33915" s="63"/>
    </row>
    <row r="33916" spans="25:25" x14ac:dyDescent="0.25">
      <c r="Y33916" s="63"/>
    </row>
    <row r="33917" spans="25:25" x14ac:dyDescent="0.25">
      <c r="Y33917" s="63"/>
    </row>
    <row r="33918" spans="25:25" x14ac:dyDescent="0.25">
      <c r="Y33918" s="63"/>
    </row>
    <row r="33919" spans="25:25" x14ac:dyDescent="0.25">
      <c r="Y33919" s="63"/>
    </row>
    <row r="33920" spans="25:25" x14ac:dyDescent="0.25">
      <c r="Y33920" s="63"/>
    </row>
    <row r="33921" spans="25:25" x14ac:dyDescent="0.25">
      <c r="Y33921" s="63"/>
    </row>
    <row r="33922" spans="25:25" x14ac:dyDescent="0.25">
      <c r="Y33922" s="63"/>
    </row>
    <row r="33923" spans="25:25" x14ac:dyDescent="0.25">
      <c r="Y33923" s="63"/>
    </row>
    <row r="33924" spans="25:25" x14ac:dyDescent="0.25">
      <c r="Y33924" s="63"/>
    </row>
    <row r="33925" spans="25:25" x14ac:dyDescent="0.25">
      <c r="Y33925" s="63"/>
    </row>
    <row r="33926" spans="25:25" x14ac:dyDescent="0.25">
      <c r="Y33926" s="63"/>
    </row>
    <row r="33927" spans="25:25" x14ac:dyDescent="0.25">
      <c r="Y33927" s="63"/>
    </row>
    <row r="33928" spans="25:25" x14ac:dyDescent="0.25">
      <c r="Y33928" s="63"/>
    </row>
    <row r="33929" spans="25:25" x14ac:dyDescent="0.25">
      <c r="Y33929" s="63"/>
    </row>
    <row r="33930" spans="25:25" x14ac:dyDescent="0.25">
      <c r="Y33930" s="63"/>
    </row>
    <row r="33931" spans="25:25" x14ac:dyDescent="0.25">
      <c r="Y33931" s="63"/>
    </row>
    <row r="33932" spans="25:25" x14ac:dyDescent="0.25">
      <c r="Y33932" s="63"/>
    </row>
    <row r="33933" spans="25:25" x14ac:dyDescent="0.25">
      <c r="Y33933" s="63"/>
    </row>
    <row r="33934" spans="25:25" x14ac:dyDescent="0.25">
      <c r="Y33934" s="63"/>
    </row>
    <row r="33935" spans="25:25" x14ac:dyDescent="0.25">
      <c r="Y33935" s="63"/>
    </row>
    <row r="33936" spans="25:25" x14ac:dyDescent="0.25">
      <c r="Y33936" s="63"/>
    </row>
    <row r="33937" spans="25:25" x14ac:dyDescent="0.25">
      <c r="Y33937" s="63"/>
    </row>
    <row r="33938" spans="25:25" x14ac:dyDescent="0.25">
      <c r="Y33938" s="63"/>
    </row>
    <row r="33939" spans="25:25" x14ac:dyDescent="0.25">
      <c r="Y33939" s="63"/>
    </row>
    <row r="33940" spans="25:25" x14ac:dyDescent="0.25">
      <c r="Y33940" s="63"/>
    </row>
    <row r="33941" spans="25:25" x14ac:dyDescent="0.25">
      <c r="Y33941" s="63"/>
    </row>
    <row r="33942" spans="25:25" x14ac:dyDescent="0.25">
      <c r="Y33942" s="63"/>
    </row>
    <row r="33943" spans="25:25" x14ac:dyDescent="0.25">
      <c r="Y33943" s="63"/>
    </row>
    <row r="33944" spans="25:25" x14ac:dyDescent="0.25">
      <c r="Y33944" s="63"/>
    </row>
    <row r="33945" spans="25:25" x14ac:dyDescent="0.25">
      <c r="Y33945" s="63"/>
    </row>
    <row r="33946" spans="25:25" x14ac:dyDescent="0.25">
      <c r="Y33946" s="63"/>
    </row>
    <row r="33947" spans="25:25" x14ac:dyDescent="0.25">
      <c r="Y33947" s="63"/>
    </row>
    <row r="33948" spans="25:25" x14ac:dyDescent="0.25">
      <c r="Y33948" s="63"/>
    </row>
    <row r="33949" spans="25:25" x14ac:dyDescent="0.25">
      <c r="Y33949" s="63"/>
    </row>
    <row r="33950" spans="25:25" x14ac:dyDescent="0.25">
      <c r="Y33950" s="63"/>
    </row>
    <row r="33951" spans="25:25" x14ac:dyDescent="0.25">
      <c r="Y33951" s="63"/>
    </row>
    <row r="33952" spans="25:25" x14ac:dyDescent="0.25">
      <c r="Y33952" s="63"/>
    </row>
    <row r="33953" spans="25:25" x14ac:dyDescent="0.25">
      <c r="Y33953" s="63"/>
    </row>
    <row r="33954" spans="25:25" x14ac:dyDescent="0.25">
      <c r="Y33954" s="63"/>
    </row>
    <row r="33955" spans="25:25" x14ac:dyDescent="0.25">
      <c r="Y33955" s="63"/>
    </row>
    <row r="33956" spans="25:25" x14ac:dyDescent="0.25">
      <c r="Y33956" s="63"/>
    </row>
    <row r="33957" spans="25:25" x14ac:dyDescent="0.25">
      <c r="Y33957" s="63"/>
    </row>
    <row r="33958" spans="25:25" x14ac:dyDescent="0.25">
      <c r="Y33958" s="63"/>
    </row>
    <row r="33959" spans="25:25" x14ac:dyDescent="0.25">
      <c r="Y33959" s="63"/>
    </row>
    <row r="33960" spans="25:25" x14ac:dyDescent="0.25">
      <c r="Y33960" s="63"/>
    </row>
    <row r="33961" spans="25:25" x14ac:dyDescent="0.25">
      <c r="Y33961" s="63"/>
    </row>
    <row r="33962" spans="25:25" x14ac:dyDescent="0.25">
      <c r="Y33962" s="63"/>
    </row>
    <row r="33963" spans="25:25" x14ac:dyDescent="0.25">
      <c r="Y33963" s="63"/>
    </row>
    <row r="33964" spans="25:25" x14ac:dyDescent="0.25">
      <c r="Y33964" s="63"/>
    </row>
    <row r="33965" spans="25:25" x14ac:dyDescent="0.25">
      <c r="Y33965" s="63"/>
    </row>
    <row r="33966" spans="25:25" x14ac:dyDescent="0.25">
      <c r="Y33966" s="63"/>
    </row>
    <row r="33967" spans="25:25" x14ac:dyDescent="0.25">
      <c r="Y33967" s="63"/>
    </row>
    <row r="33968" spans="25:25" x14ac:dyDescent="0.25">
      <c r="Y33968" s="63"/>
    </row>
    <row r="33969" spans="25:25" x14ac:dyDescent="0.25">
      <c r="Y33969" s="63"/>
    </row>
    <row r="33970" spans="25:25" x14ac:dyDescent="0.25">
      <c r="Y33970" s="63"/>
    </row>
    <row r="33971" spans="25:25" x14ac:dyDescent="0.25">
      <c r="Y33971" s="63"/>
    </row>
    <row r="33972" spans="25:25" x14ac:dyDescent="0.25">
      <c r="Y33972" s="63"/>
    </row>
    <row r="33973" spans="25:25" x14ac:dyDescent="0.25">
      <c r="Y33973" s="63"/>
    </row>
    <row r="33974" spans="25:25" x14ac:dyDescent="0.25">
      <c r="Y33974" s="63"/>
    </row>
    <row r="33975" spans="25:25" x14ac:dyDescent="0.25">
      <c r="Y33975" s="63"/>
    </row>
    <row r="33976" spans="25:25" x14ac:dyDescent="0.25">
      <c r="Y33976" s="63"/>
    </row>
    <row r="33977" spans="25:25" x14ac:dyDescent="0.25">
      <c r="Y33977" s="63"/>
    </row>
    <row r="33978" spans="25:25" x14ac:dyDescent="0.25">
      <c r="Y33978" s="63"/>
    </row>
    <row r="33979" spans="25:25" x14ac:dyDescent="0.25">
      <c r="Y33979" s="63"/>
    </row>
    <row r="33980" spans="25:25" x14ac:dyDescent="0.25">
      <c r="Y33980" s="63"/>
    </row>
    <row r="33981" spans="25:25" x14ac:dyDescent="0.25">
      <c r="Y33981" s="63"/>
    </row>
    <row r="33982" spans="25:25" x14ac:dyDescent="0.25">
      <c r="Y33982" s="63"/>
    </row>
    <row r="33983" spans="25:25" x14ac:dyDescent="0.25">
      <c r="Y33983" s="63"/>
    </row>
    <row r="33984" spans="25:25" x14ac:dyDescent="0.25">
      <c r="Y33984" s="63"/>
    </row>
    <row r="33985" spans="25:25" x14ac:dyDescent="0.25">
      <c r="Y33985" s="63"/>
    </row>
    <row r="33986" spans="25:25" x14ac:dyDescent="0.25">
      <c r="Y33986" s="63"/>
    </row>
    <row r="33987" spans="25:25" x14ac:dyDescent="0.25">
      <c r="Y33987" s="63"/>
    </row>
    <row r="33988" spans="25:25" x14ac:dyDescent="0.25">
      <c r="Y33988" s="63"/>
    </row>
    <row r="33989" spans="25:25" x14ac:dyDescent="0.25">
      <c r="Y33989" s="63"/>
    </row>
    <row r="33990" spans="25:25" x14ac:dyDescent="0.25">
      <c r="Y33990" s="63"/>
    </row>
    <row r="33991" spans="25:25" x14ac:dyDescent="0.25">
      <c r="Y33991" s="63"/>
    </row>
    <row r="33992" spans="25:25" x14ac:dyDescent="0.25">
      <c r="Y33992" s="63"/>
    </row>
    <row r="33993" spans="25:25" x14ac:dyDescent="0.25">
      <c r="Y33993" s="63"/>
    </row>
    <row r="33994" spans="25:25" x14ac:dyDescent="0.25">
      <c r="Y33994" s="63"/>
    </row>
    <row r="33995" spans="25:25" x14ac:dyDescent="0.25">
      <c r="Y33995" s="63"/>
    </row>
    <row r="33996" spans="25:25" x14ac:dyDescent="0.25">
      <c r="Y33996" s="63"/>
    </row>
    <row r="33997" spans="25:25" x14ac:dyDescent="0.25">
      <c r="Y33997" s="63"/>
    </row>
    <row r="33998" spans="25:25" x14ac:dyDescent="0.25">
      <c r="Y33998" s="63"/>
    </row>
    <row r="33999" spans="25:25" x14ac:dyDescent="0.25">
      <c r="Y33999" s="63"/>
    </row>
    <row r="34000" spans="25:25" x14ac:dyDescent="0.25">
      <c r="Y34000" s="63"/>
    </row>
    <row r="34001" spans="25:25" x14ac:dyDescent="0.25">
      <c r="Y34001" s="63"/>
    </row>
    <row r="34002" spans="25:25" x14ac:dyDescent="0.25">
      <c r="Y34002" s="63"/>
    </row>
    <row r="34003" spans="25:25" x14ac:dyDescent="0.25">
      <c r="Y34003" s="63"/>
    </row>
    <row r="34004" spans="25:25" x14ac:dyDescent="0.25">
      <c r="Y34004" s="63"/>
    </row>
    <row r="34005" spans="25:25" x14ac:dyDescent="0.25">
      <c r="Y34005" s="63"/>
    </row>
    <row r="34006" spans="25:25" x14ac:dyDescent="0.25">
      <c r="Y34006" s="63"/>
    </row>
    <row r="34007" spans="25:25" x14ac:dyDescent="0.25">
      <c r="Y34007" s="63"/>
    </row>
    <row r="34008" spans="25:25" x14ac:dyDescent="0.25">
      <c r="Y34008" s="63"/>
    </row>
    <row r="34009" spans="25:25" x14ac:dyDescent="0.25">
      <c r="Y34009" s="63"/>
    </row>
    <row r="34010" spans="25:25" x14ac:dyDescent="0.25">
      <c r="Y34010" s="63"/>
    </row>
    <row r="34011" spans="25:25" x14ac:dyDescent="0.25">
      <c r="Y34011" s="63"/>
    </row>
    <row r="34012" spans="25:25" x14ac:dyDescent="0.25">
      <c r="Y34012" s="63"/>
    </row>
    <row r="34013" spans="25:25" x14ac:dyDescent="0.25">
      <c r="Y34013" s="63"/>
    </row>
    <row r="34014" spans="25:25" x14ac:dyDescent="0.25">
      <c r="Y34014" s="63"/>
    </row>
    <row r="34015" spans="25:25" x14ac:dyDescent="0.25">
      <c r="Y34015" s="63"/>
    </row>
    <row r="34016" spans="25:25" x14ac:dyDescent="0.25">
      <c r="Y34016" s="63"/>
    </row>
    <row r="34017" spans="25:25" x14ac:dyDescent="0.25">
      <c r="Y34017" s="63"/>
    </row>
    <row r="34018" spans="25:25" x14ac:dyDescent="0.25">
      <c r="Y34018" s="63"/>
    </row>
    <row r="34019" spans="25:25" x14ac:dyDescent="0.25">
      <c r="Y34019" s="63"/>
    </row>
    <row r="34020" spans="25:25" x14ac:dyDescent="0.25">
      <c r="Y34020" s="63"/>
    </row>
    <row r="34021" spans="25:25" x14ac:dyDescent="0.25">
      <c r="Y34021" s="63"/>
    </row>
    <row r="34022" spans="25:25" x14ac:dyDescent="0.25">
      <c r="Y34022" s="63"/>
    </row>
    <row r="34023" spans="25:25" x14ac:dyDescent="0.25">
      <c r="Y34023" s="63"/>
    </row>
    <row r="34024" spans="25:25" x14ac:dyDescent="0.25">
      <c r="Y34024" s="63"/>
    </row>
    <row r="34025" spans="25:25" x14ac:dyDescent="0.25">
      <c r="Y34025" s="63"/>
    </row>
    <row r="34026" spans="25:25" x14ac:dyDescent="0.25">
      <c r="Y34026" s="63"/>
    </row>
    <row r="34027" spans="25:25" x14ac:dyDescent="0.25">
      <c r="Y34027" s="63"/>
    </row>
    <row r="34028" spans="25:25" x14ac:dyDescent="0.25">
      <c r="Y34028" s="63"/>
    </row>
    <row r="34029" spans="25:25" x14ac:dyDescent="0.25">
      <c r="Y34029" s="63"/>
    </row>
    <row r="34030" spans="25:25" x14ac:dyDescent="0.25">
      <c r="Y34030" s="63"/>
    </row>
    <row r="34031" spans="25:25" x14ac:dyDescent="0.25">
      <c r="Y34031" s="63"/>
    </row>
    <row r="34032" spans="25:25" x14ac:dyDescent="0.25">
      <c r="Y34032" s="63"/>
    </row>
    <row r="34033" spans="25:25" x14ac:dyDescent="0.25">
      <c r="Y34033" s="63"/>
    </row>
    <row r="34034" spans="25:25" x14ac:dyDescent="0.25">
      <c r="Y34034" s="63"/>
    </row>
    <row r="34035" spans="25:25" x14ac:dyDescent="0.25">
      <c r="Y34035" s="63"/>
    </row>
    <row r="34036" spans="25:25" x14ac:dyDescent="0.25">
      <c r="Y34036" s="63"/>
    </row>
    <row r="34037" spans="25:25" x14ac:dyDescent="0.25">
      <c r="Y34037" s="63"/>
    </row>
    <row r="34038" spans="25:25" x14ac:dyDescent="0.25">
      <c r="Y34038" s="63"/>
    </row>
    <row r="34039" spans="25:25" x14ac:dyDescent="0.25">
      <c r="Y34039" s="63"/>
    </row>
    <row r="34040" spans="25:25" x14ac:dyDescent="0.25">
      <c r="Y34040" s="63"/>
    </row>
    <row r="34041" spans="25:25" x14ac:dyDescent="0.25">
      <c r="Y34041" s="63"/>
    </row>
    <row r="34042" spans="25:25" x14ac:dyDescent="0.25">
      <c r="Y34042" s="63"/>
    </row>
    <row r="34043" spans="25:25" x14ac:dyDescent="0.25">
      <c r="Y34043" s="63"/>
    </row>
    <row r="34044" spans="25:25" x14ac:dyDescent="0.25">
      <c r="Y34044" s="63"/>
    </row>
    <row r="34045" spans="25:25" x14ac:dyDescent="0.25">
      <c r="Y34045" s="63"/>
    </row>
    <row r="34046" spans="25:25" x14ac:dyDescent="0.25">
      <c r="Y34046" s="63"/>
    </row>
    <row r="34047" spans="25:25" x14ac:dyDescent="0.25">
      <c r="Y34047" s="63"/>
    </row>
    <row r="34048" spans="25:25" x14ac:dyDescent="0.25">
      <c r="Y34048" s="63"/>
    </row>
    <row r="34049" spans="25:25" x14ac:dyDescent="0.25">
      <c r="Y34049" s="63"/>
    </row>
    <row r="34050" spans="25:25" x14ac:dyDescent="0.25">
      <c r="Y34050" s="63"/>
    </row>
    <row r="34051" spans="25:25" x14ac:dyDescent="0.25">
      <c r="Y34051" s="63"/>
    </row>
    <row r="34052" spans="25:25" x14ac:dyDescent="0.25">
      <c r="Y34052" s="63"/>
    </row>
    <row r="34053" spans="25:25" x14ac:dyDescent="0.25">
      <c r="Y34053" s="63"/>
    </row>
    <row r="34054" spans="25:25" x14ac:dyDescent="0.25">
      <c r="Y34054" s="63"/>
    </row>
    <row r="34055" spans="25:25" x14ac:dyDescent="0.25">
      <c r="Y34055" s="63"/>
    </row>
    <row r="34056" spans="25:25" x14ac:dyDescent="0.25">
      <c r="Y34056" s="63"/>
    </row>
    <row r="34057" spans="25:25" x14ac:dyDescent="0.25">
      <c r="Y34057" s="63"/>
    </row>
    <row r="34058" spans="25:25" x14ac:dyDescent="0.25">
      <c r="Y34058" s="63"/>
    </row>
    <row r="34059" spans="25:25" x14ac:dyDescent="0.25">
      <c r="Y34059" s="63"/>
    </row>
    <row r="34060" spans="25:25" x14ac:dyDescent="0.25">
      <c r="Y34060" s="63"/>
    </row>
    <row r="34061" spans="25:25" x14ac:dyDescent="0.25">
      <c r="Y34061" s="63"/>
    </row>
    <row r="34062" spans="25:25" x14ac:dyDescent="0.25">
      <c r="Y34062" s="63"/>
    </row>
    <row r="34063" spans="25:25" x14ac:dyDescent="0.25">
      <c r="Y34063" s="63"/>
    </row>
    <row r="34064" spans="25:25" x14ac:dyDescent="0.25">
      <c r="Y34064" s="63"/>
    </row>
    <row r="34065" spans="25:25" x14ac:dyDescent="0.25">
      <c r="Y34065" s="63"/>
    </row>
    <row r="34066" spans="25:25" x14ac:dyDescent="0.25">
      <c r="Y34066" s="63"/>
    </row>
    <row r="34067" spans="25:25" x14ac:dyDescent="0.25">
      <c r="Y34067" s="63"/>
    </row>
    <row r="34068" spans="25:25" x14ac:dyDescent="0.25">
      <c r="Y34068" s="63"/>
    </row>
    <row r="34069" spans="25:25" x14ac:dyDescent="0.25">
      <c r="Y34069" s="63"/>
    </row>
    <row r="34070" spans="25:25" x14ac:dyDescent="0.25">
      <c r="Y34070" s="63"/>
    </row>
    <row r="34071" spans="25:25" x14ac:dyDescent="0.25">
      <c r="Y34071" s="63"/>
    </row>
    <row r="34072" spans="25:25" x14ac:dyDescent="0.25">
      <c r="Y34072" s="63"/>
    </row>
    <row r="34073" spans="25:25" x14ac:dyDescent="0.25">
      <c r="Y34073" s="63"/>
    </row>
    <row r="34074" spans="25:25" x14ac:dyDescent="0.25">
      <c r="Y34074" s="63"/>
    </row>
    <row r="34075" spans="25:25" x14ac:dyDescent="0.25">
      <c r="Y34075" s="63"/>
    </row>
    <row r="34076" spans="25:25" x14ac:dyDescent="0.25">
      <c r="Y34076" s="63"/>
    </row>
    <row r="34077" spans="25:25" x14ac:dyDescent="0.25">
      <c r="Y34077" s="63"/>
    </row>
    <row r="34078" spans="25:25" x14ac:dyDescent="0.25">
      <c r="Y34078" s="63"/>
    </row>
    <row r="34079" spans="25:25" x14ac:dyDescent="0.25">
      <c r="Y34079" s="63"/>
    </row>
    <row r="34080" spans="25:25" x14ac:dyDescent="0.25">
      <c r="Y34080" s="63"/>
    </row>
    <row r="34081" spans="25:25" x14ac:dyDescent="0.25">
      <c r="Y34081" s="63"/>
    </row>
    <row r="34082" spans="25:25" x14ac:dyDescent="0.25">
      <c r="Y34082" s="63"/>
    </row>
    <row r="34083" spans="25:25" x14ac:dyDescent="0.25">
      <c r="Y34083" s="63"/>
    </row>
    <row r="34084" spans="25:25" x14ac:dyDescent="0.25">
      <c r="Y34084" s="63"/>
    </row>
    <row r="34085" spans="25:25" x14ac:dyDescent="0.25">
      <c r="Y34085" s="63"/>
    </row>
    <row r="34086" spans="25:25" x14ac:dyDescent="0.25">
      <c r="Y34086" s="63"/>
    </row>
    <row r="34087" spans="25:25" x14ac:dyDescent="0.25">
      <c r="Y34087" s="63"/>
    </row>
    <row r="34088" spans="25:25" x14ac:dyDescent="0.25">
      <c r="Y34088" s="63"/>
    </row>
    <row r="34089" spans="25:25" x14ac:dyDescent="0.25">
      <c r="Y34089" s="63"/>
    </row>
    <row r="34090" spans="25:25" x14ac:dyDescent="0.25">
      <c r="Y34090" s="63"/>
    </row>
    <row r="34091" spans="25:25" x14ac:dyDescent="0.25">
      <c r="Y34091" s="63"/>
    </row>
    <row r="34092" spans="25:25" x14ac:dyDescent="0.25">
      <c r="Y34092" s="63"/>
    </row>
    <row r="34093" spans="25:25" x14ac:dyDescent="0.25">
      <c r="Y34093" s="63"/>
    </row>
    <row r="34094" spans="25:25" x14ac:dyDescent="0.25">
      <c r="Y34094" s="63"/>
    </row>
    <row r="34095" spans="25:25" x14ac:dyDescent="0.25">
      <c r="Y34095" s="63"/>
    </row>
    <row r="34096" spans="25:25" x14ac:dyDescent="0.25">
      <c r="Y34096" s="63"/>
    </row>
    <row r="34097" spans="25:25" x14ac:dyDescent="0.25">
      <c r="Y34097" s="63"/>
    </row>
    <row r="34098" spans="25:25" x14ac:dyDescent="0.25">
      <c r="Y34098" s="63"/>
    </row>
    <row r="34099" spans="25:25" x14ac:dyDescent="0.25">
      <c r="Y34099" s="63"/>
    </row>
    <row r="34100" spans="25:25" x14ac:dyDescent="0.25">
      <c r="Y34100" s="63"/>
    </row>
    <row r="34101" spans="25:25" x14ac:dyDescent="0.25">
      <c r="Y34101" s="63"/>
    </row>
    <row r="34102" spans="25:25" x14ac:dyDescent="0.25">
      <c r="Y34102" s="63"/>
    </row>
  </sheetData>
  <dataValidations count="1">
    <dataValidation type="list" allowBlank="1" showInputMessage="1" showErrorMessage="1" sqref="N11:N27">
      <formula1>"TRUE, 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6:F18"/>
  <sheetViews>
    <sheetView showGridLines="0" zoomScale="110" zoomScaleNormal="110" workbookViewId="0">
      <selection activeCell="A37" sqref="A37"/>
    </sheetView>
  </sheetViews>
  <sheetFormatPr defaultRowHeight="15" x14ac:dyDescent="0.25"/>
  <cols>
    <col min="3" max="3" width="1.85546875" customWidth="1"/>
    <col min="4" max="4" width="26.5703125" bestFit="1" customWidth="1"/>
    <col min="5" max="5" width="11.42578125" bestFit="1" customWidth="1"/>
    <col min="6" max="6" width="1.5703125" customWidth="1"/>
  </cols>
  <sheetData>
    <row r="6" spans="3:6" ht="9.75" customHeight="1" x14ac:dyDescent="0.25">
      <c r="C6" s="18"/>
      <c r="D6" s="17"/>
      <c r="E6" s="17"/>
      <c r="F6" s="19"/>
    </row>
    <row r="7" spans="3:6" x14ac:dyDescent="0.25">
      <c r="C7" s="10"/>
      <c r="D7" s="15" t="s">
        <v>23</v>
      </c>
      <c r="E7" s="14"/>
      <c r="F7" s="20"/>
    </row>
    <row r="8" spans="3:6" x14ac:dyDescent="0.25">
      <c r="C8" s="10"/>
      <c r="D8" s="16" t="s">
        <v>24</v>
      </c>
      <c r="E8" s="12">
        <v>42562</v>
      </c>
      <c r="F8" s="20"/>
    </row>
    <row r="9" spans="3:6" x14ac:dyDescent="0.25">
      <c r="C9" s="10"/>
      <c r="D9" s="16" t="s">
        <v>25</v>
      </c>
      <c r="E9" s="11" t="b">
        <f>_xll.qlSettingsSetEvaluationDate(E8,Trigger)</f>
        <v>1</v>
      </c>
      <c r="F9" s="20"/>
    </row>
    <row r="10" spans="3:6" x14ac:dyDescent="0.25">
      <c r="C10" s="10"/>
      <c r="D10" s="16" t="s">
        <v>26</v>
      </c>
      <c r="E10" s="11" t="s">
        <v>27</v>
      </c>
      <c r="F10" s="20"/>
    </row>
    <row r="11" spans="3:6" x14ac:dyDescent="0.25">
      <c r="C11" s="10"/>
      <c r="D11" s="16" t="s">
        <v>28</v>
      </c>
      <c r="E11" s="11">
        <v>2</v>
      </c>
      <c r="F11" s="20"/>
    </row>
    <row r="12" spans="3:6" x14ac:dyDescent="0.25">
      <c r="C12" s="10"/>
      <c r="D12" s="16" t="s">
        <v>29</v>
      </c>
      <c r="E12" s="13">
        <f>_xll.qlCalendarAdvance(E10,E8,E11&amp;"D",,,Trigger)</f>
        <v>42564</v>
      </c>
      <c r="F12" s="20"/>
    </row>
    <row r="13" spans="3:6" x14ac:dyDescent="0.25">
      <c r="C13" s="10"/>
      <c r="D13" s="16" t="s">
        <v>30</v>
      </c>
      <c r="E13" s="11" t="s">
        <v>31</v>
      </c>
      <c r="F13" s="20"/>
    </row>
    <row r="14" spans="3:6" x14ac:dyDescent="0.25">
      <c r="C14" s="10"/>
      <c r="D14" s="16" t="s">
        <v>32</v>
      </c>
      <c r="E14" s="11" t="s">
        <v>33</v>
      </c>
      <c r="F14" s="20"/>
    </row>
    <row r="15" spans="3:6" x14ac:dyDescent="0.25">
      <c r="C15" s="10"/>
      <c r="D15" s="16" t="s">
        <v>34</v>
      </c>
      <c r="E15" s="11" t="s">
        <v>35</v>
      </c>
      <c r="F15" s="20"/>
    </row>
    <row r="16" spans="3:6" x14ac:dyDescent="0.25">
      <c r="C16" s="10"/>
      <c r="D16" s="16" t="s">
        <v>36</v>
      </c>
      <c r="E16" s="11" t="s">
        <v>37</v>
      </c>
      <c r="F16" s="20"/>
    </row>
    <row r="17" spans="3:6" x14ac:dyDescent="0.25">
      <c r="C17" s="10"/>
      <c r="D17" s="16" t="s">
        <v>38</v>
      </c>
      <c r="E17" s="11" t="s">
        <v>39</v>
      </c>
      <c r="F17" s="20"/>
    </row>
    <row r="18" spans="3:6" ht="9.75" customHeight="1" x14ac:dyDescent="0.25">
      <c r="C18" s="21"/>
      <c r="D18" s="22"/>
      <c r="E18" s="22"/>
      <c r="F18" s="2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Trigger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BERTOCCHI NICHOLAS</dc:creator>
  <cp:lastModifiedBy>BERTOCCHI NICHOLAS</cp:lastModifiedBy>
  <dcterms:created xsi:type="dcterms:W3CDTF">2016-07-11T09:58:34Z</dcterms:created>
  <dcterms:modified xsi:type="dcterms:W3CDTF">2016-07-11T14:53:12Z</dcterms:modified>
</cp:coreProperties>
</file>