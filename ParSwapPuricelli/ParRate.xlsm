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080" windowHeight="11910"/>
  </bookViews>
  <sheets>
    <sheet name="Sheet1" sheetId="16" r:id="rId1"/>
    <sheet name="QL Curves" sheetId="9" r:id="rId2"/>
    <sheet name="dvTables" sheetId="3" r:id="rId3"/>
  </sheets>
  <functionGroups builtInGroupCount="17"/>
  <definedNames>
    <definedName name="dvBizDayConv">dvTables!$M$3:$M$17</definedName>
    <definedName name="dvBool">dvTables!$E$3:$E$4</definedName>
    <definedName name="dvCompounding">dvTables!$B$30:$C$32</definedName>
    <definedName name="dvDayCount">dvTables!$B$3:$C$12</definedName>
    <definedName name="dvDayCounter">dvTables!$K$3:$K$44</definedName>
    <definedName name="dvInterpOn">dvTables!$E$22:$E$27</definedName>
    <definedName name="dvInterpType">dvTables!$E$15:$E$19</definedName>
    <definedName name="dvMatCons">dvTables!$E$11:$E$12</definedName>
    <definedName name="dvOutputType">dvTables!$B$20:$C$21</definedName>
    <definedName name="dvPayFreqType">dvTables!$B$24:$C$27</definedName>
    <definedName name="dvSwapMatType">dvTables!$B$15:$C$17</definedName>
    <definedName name="dvTrigger" localSheetId="2">dvTables!$A$1</definedName>
    <definedName name="dvYcInterp">dvTables!$I$3:$I$19</definedName>
    <definedName name="dvYcTrait">dvTables!$G$3:$G$6</definedName>
    <definedName name="dvYesNo">dvTables!$E$7:$E$8</definedName>
    <definedName name="ObjectsTrigger" localSheetId="1">'QL Curves'!$B$1</definedName>
    <definedName name="PdgCurvePrefix">'QL Curves'!$B$4</definedName>
    <definedName name="RtTrigger">'QL Curves'!$B$3</definedName>
    <definedName name="Trigger">'QL Curves'!$A$1</definedName>
  </definedNames>
  <calcPr calcId="145621"/>
</workbook>
</file>

<file path=xl/calcChain.xml><?xml version="1.0" encoding="utf-8"?>
<calcChain xmlns="http://schemas.openxmlformats.org/spreadsheetml/2006/main">
  <c r="I3" i="16" l="1"/>
  <c r="B1" i="9"/>
  <c r="C11" i="16"/>
  <c r="C8" i="16"/>
  <c r="M3" i="3" a="1"/>
  <c r="B3" i="9"/>
  <c r="M3" i="3" l="1"/>
  <c r="M15" i="3"/>
  <c r="M4" i="3"/>
  <c r="M16" i="3"/>
  <c r="M17" i="3"/>
  <c r="M6" i="3"/>
  <c r="M7" i="3"/>
  <c r="M8" i="3"/>
  <c r="M9" i="3"/>
  <c r="M10" i="3"/>
  <c r="M11" i="3"/>
  <c r="M12" i="3"/>
  <c r="M5" i="3"/>
  <c r="M13" i="3"/>
  <c r="M14" i="3"/>
  <c r="S2" i="3" l="1" a="1"/>
  <c r="S13" i="3" l="1"/>
  <c r="S25" i="3"/>
  <c r="S37" i="3"/>
  <c r="S49" i="3"/>
  <c r="S61" i="3"/>
  <c r="S73" i="3"/>
  <c r="S2" i="3"/>
  <c r="S14" i="3"/>
  <c r="S26" i="3"/>
  <c r="S38" i="3"/>
  <c r="S50" i="3"/>
  <c r="S62" i="3"/>
  <c r="S74" i="3"/>
  <c r="S75" i="3"/>
  <c r="S4" i="3"/>
  <c r="S16" i="3"/>
  <c r="S40" i="3"/>
  <c r="S64" i="3"/>
  <c r="S17" i="3"/>
  <c r="S41" i="3"/>
  <c r="S65" i="3"/>
  <c r="S6" i="3"/>
  <c r="S30" i="3"/>
  <c r="S54" i="3"/>
  <c r="S78" i="3"/>
  <c r="S31" i="3"/>
  <c r="S79" i="3"/>
  <c r="S32" i="3"/>
  <c r="S45" i="3"/>
  <c r="S81" i="3"/>
  <c r="S10" i="3"/>
  <c r="S58" i="3"/>
  <c r="S23" i="3"/>
  <c r="S36" i="3"/>
  <c r="S72" i="3"/>
  <c r="S3" i="3"/>
  <c r="S15" i="3"/>
  <c r="S27" i="3"/>
  <c r="S39" i="3"/>
  <c r="S51" i="3"/>
  <c r="S63" i="3"/>
  <c r="S28" i="3"/>
  <c r="S76" i="3"/>
  <c r="S29" i="3"/>
  <c r="S53" i="3"/>
  <c r="S77" i="3"/>
  <c r="S18" i="3"/>
  <c r="S42" i="3"/>
  <c r="S66" i="3"/>
  <c r="S7" i="3"/>
  <c r="S19" i="3"/>
  <c r="S55" i="3"/>
  <c r="S8" i="3"/>
  <c r="S56" i="3"/>
  <c r="S9" i="3"/>
  <c r="S57" i="3"/>
  <c r="S34" i="3"/>
  <c r="S47" i="3"/>
  <c r="S24" i="3"/>
  <c r="S52" i="3"/>
  <c r="S67" i="3"/>
  <c r="S20" i="3"/>
  <c r="S68" i="3"/>
  <c r="S21" i="3"/>
  <c r="S69" i="3"/>
  <c r="S46" i="3"/>
  <c r="S11" i="3"/>
  <c r="S59" i="3"/>
  <c r="S12" i="3"/>
  <c r="X1" i="3" s="1"/>
  <c r="S60" i="3"/>
  <c r="S5" i="3"/>
  <c r="S43" i="3"/>
  <c r="S44" i="3"/>
  <c r="S80" i="3"/>
  <c r="S33" i="3"/>
  <c r="S22" i="3"/>
  <c r="S70" i="3"/>
  <c r="S35" i="3"/>
  <c r="S71" i="3"/>
  <c r="S48" i="3"/>
  <c r="W2" i="3" a="1"/>
  <c r="W26" i="3" l="1"/>
  <c r="W17" i="3"/>
  <c r="W23" i="3"/>
  <c r="W30" i="3"/>
  <c r="W4" i="3"/>
  <c r="W5" i="3"/>
  <c r="W38" i="3"/>
  <c r="W41" i="3"/>
  <c r="W24" i="3"/>
  <c r="W54" i="3"/>
  <c r="W42" i="3"/>
  <c r="W53" i="3"/>
  <c r="W50" i="3"/>
  <c r="W77" i="3"/>
  <c r="W72" i="3"/>
  <c r="W78" i="3"/>
  <c r="W19" i="3"/>
  <c r="W7" i="3"/>
  <c r="W62" i="3"/>
  <c r="W18" i="3"/>
  <c r="W3" i="3"/>
  <c r="W31" i="3"/>
  <c r="W79" i="3"/>
  <c r="W55" i="3"/>
  <c r="W13" i="3"/>
  <c r="W74" i="3"/>
  <c r="W66" i="3"/>
  <c r="W15" i="3"/>
  <c r="W67" i="3"/>
  <c r="W32" i="3"/>
  <c r="W44" i="3"/>
  <c r="W25" i="3"/>
  <c r="W51" i="3"/>
  <c r="W43" i="3"/>
  <c r="W27" i="3"/>
  <c r="W20" i="3"/>
  <c r="W80" i="3"/>
  <c r="W9" i="3"/>
  <c r="W37" i="3"/>
  <c r="W63" i="3"/>
  <c r="W8" i="3"/>
  <c r="W39" i="3"/>
  <c r="W68" i="3"/>
  <c r="W21" i="3"/>
  <c r="W69" i="3"/>
  <c r="W49" i="3"/>
  <c r="W16" i="3"/>
  <c r="W56" i="3"/>
  <c r="W75" i="3"/>
  <c r="W45" i="3"/>
  <c r="W81" i="3"/>
  <c r="W34" i="3"/>
  <c r="W61" i="3"/>
  <c r="W28" i="3"/>
  <c r="W33" i="3"/>
  <c r="W76" i="3"/>
  <c r="W10" i="3"/>
  <c r="W46" i="3"/>
  <c r="W35" i="3"/>
  <c r="W64" i="3"/>
  <c r="W12" i="3"/>
  <c r="W73" i="3"/>
  <c r="W40" i="3"/>
  <c r="W57" i="3"/>
  <c r="W29" i="3"/>
  <c r="W58" i="3"/>
  <c r="W11" i="3"/>
  <c r="W71" i="3"/>
  <c r="W2" i="3"/>
  <c r="W52" i="3"/>
  <c r="W22" i="3"/>
  <c r="W65" i="3"/>
  <c r="W47" i="3"/>
  <c r="W59" i="3"/>
  <c r="W48" i="3"/>
  <c r="W14" i="3"/>
  <c r="W70" i="3"/>
  <c r="W6" i="3"/>
  <c r="W36" i="3"/>
  <c r="W60" i="3"/>
  <c r="E13" i="9"/>
  <c r="J13" i="9"/>
  <c r="O13" i="9"/>
  <c r="T13" i="9"/>
  <c r="O8" i="9"/>
  <c r="T8" i="9" l="1"/>
  <c r="J8" i="9"/>
  <c r="E8" i="9"/>
  <c r="O4" i="9"/>
  <c r="O5" i="9"/>
  <c r="O6" i="9" l="1"/>
  <c r="P3" i="9" a="1"/>
  <c r="P14" i="9" l="1"/>
  <c r="P66" i="9"/>
  <c r="P29" i="9"/>
  <c r="P86" i="9"/>
  <c r="P13" i="9"/>
  <c r="P10" i="9"/>
  <c r="P25" i="9"/>
  <c r="P22" i="9"/>
  <c r="P81" i="9"/>
  <c r="P96" i="9"/>
  <c r="P93" i="9"/>
  <c r="P62" i="9"/>
  <c r="P72" i="9"/>
  <c r="P30" i="9"/>
  <c r="P38" i="9"/>
  <c r="P48" i="9"/>
  <c r="P26" i="9"/>
  <c r="P21" i="9"/>
  <c r="P75" i="9"/>
  <c r="P95" i="9"/>
  <c r="P31" i="9"/>
  <c r="P59" i="9"/>
  <c r="P19" i="9"/>
  <c r="P32" i="9"/>
  <c r="P7" i="9"/>
  <c r="P11" i="9"/>
  <c r="P65" i="9"/>
  <c r="P97" i="9"/>
  <c r="P90" i="9"/>
  <c r="P73" i="9"/>
  <c r="P41" i="9"/>
  <c r="P46" i="9"/>
  <c r="P100" i="9"/>
  <c r="P91" i="9"/>
  <c r="P54" i="9"/>
  <c r="P17" i="9"/>
  <c r="P74" i="9"/>
  <c r="P84" i="9"/>
  <c r="P57" i="9"/>
  <c r="P69" i="9"/>
  <c r="P99" i="9"/>
  <c r="P45" i="9"/>
  <c r="P18" i="9"/>
  <c r="P12" i="9"/>
  <c r="P6" i="9"/>
  <c r="P80" i="9"/>
  <c r="P40" i="9"/>
  <c r="P68" i="9"/>
  <c r="P89" i="9"/>
  <c r="P77" i="9"/>
  <c r="P4" i="9"/>
  <c r="P94" i="9"/>
  <c r="P58" i="9"/>
  <c r="P50" i="9"/>
  <c r="P88" i="9"/>
  <c r="P79" i="9"/>
  <c r="P42" i="9"/>
  <c r="P5" i="9"/>
  <c r="P60" i="9"/>
  <c r="P33" i="9"/>
  <c r="P55" i="9"/>
  <c r="P87" i="9"/>
  <c r="P9" i="9"/>
  <c r="P52" i="9"/>
  <c r="P92" i="9"/>
  <c r="P101" i="9"/>
  <c r="P56" i="9"/>
  <c r="P28" i="9"/>
  <c r="P35" i="9"/>
  <c r="P39" i="9"/>
  <c r="P23" i="9"/>
  <c r="P27" i="9"/>
  <c r="P98" i="9"/>
  <c r="P61" i="9"/>
  <c r="P37" i="9"/>
  <c r="P76" i="9"/>
  <c r="P67" i="9"/>
  <c r="P36" i="9"/>
  <c r="P43" i="9"/>
  <c r="P83" i="9"/>
  <c r="P63" i="9"/>
  <c r="P44" i="9"/>
  <c r="P16" i="9"/>
  <c r="P8" i="9"/>
  <c r="P102" i="9"/>
  <c r="P82" i="9"/>
  <c r="P15" i="9"/>
  <c r="P70" i="9"/>
  <c r="P3" i="9"/>
  <c r="P34" i="9"/>
  <c r="P64" i="9"/>
  <c r="P24" i="9"/>
  <c r="P71" i="9"/>
  <c r="P51" i="9"/>
  <c r="P47" i="9"/>
  <c r="P20" i="9"/>
  <c r="P85" i="9"/>
  <c r="P53" i="9"/>
  <c r="P78" i="9"/>
  <c r="P49" i="9"/>
  <c r="O14" i="9" l="1"/>
  <c r="T4" i="9"/>
  <c r="E4" i="9"/>
  <c r="J4" i="9"/>
  <c r="J5" i="9" s="1"/>
  <c r="T5" i="9"/>
  <c r="T6" i="9" l="1"/>
  <c r="J6" i="9"/>
  <c r="U3" i="9" a="1"/>
  <c r="E5" i="9"/>
  <c r="K3" i="9" a="1"/>
  <c r="K65" i="9" l="1"/>
  <c r="K99" i="9"/>
  <c r="K46" i="9"/>
  <c r="K98" i="9"/>
  <c r="K83" i="9"/>
  <c r="K45" i="9"/>
  <c r="K95" i="9"/>
  <c r="K43" i="9"/>
  <c r="K6" i="9"/>
  <c r="K53" i="9"/>
  <c r="K75" i="9"/>
  <c r="K81" i="9"/>
  <c r="K74" i="9"/>
  <c r="K59" i="9"/>
  <c r="K92" i="9"/>
  <c r="K35" i="9"/>
  <c r="K31" i="9"/>
  <c r="K41" i="9"/>
  <c r="K63" i="9"/>
  <c r="K33" i="9"/>
  <c r="K50" i="9"/>
  <c r="K23" i="9"/>
  <c r="K56" i="9"/>
  <c r="K82" i="9"/>
  <c r="K19" i="9"/>
  <c r="K85" i="9"/>
  <c r="K9" i="9"/>
  <c r="K62" i="9"/>
  <c r="K73" i="9"/>
  <c r="K68" i="9"/>
  <c r="K88" i="9"/>
  <c r="K61" i="9"/>
  <c r="K60" i="9"/>
  <c r="K48" i="9"/>
  <c r="K51" i="9"/>
  <c r="K42" i="9"/>
  <c r="K10" i="9"/>
  <c r="K3" i="9"/>
  <c r="K36" i="9"/>
  <c r="K27" i="9"/>
  <c r="K16" i="9"/>
  <c r="K12" i="9"/>
  <c r="K54" i="9"/>
  <c r="K37" i="9"/>
  <c r="K40" i="9"/>
  <c r="K30" i="9"/>
  <c r="K77" i="9"/>
  <c r="K55" i="9"/>
  <c r="K29" i="9"/>
  <c r="K39" i="9"/>
  <c r="K80" i="9"/>
  <c r="K26" i="9"/>
  <c r="K70" i="9"/>
  <c r="K8" i="9"/>
  <c r="K34" i="9"/>
  <c r="K7" i="9"/>
  <c r="K5" i="9"/>
  <c r="K64" i="9"/>
  <c r="K84" i="9"/>
  <c r="K100" i="9"/>
  <c r="K21" i="9"/>
  <c r="K78" i="9"/>
  <c r="K4" i="9"/>
  <c r="K44" i="9"/>
  <c r="K76" i="9"/>
  <c r="K49" i="9"/>
  <c r="K91" i="9"/>
  <c r="K58" i="9"/>
  <c r="K25" i="9"/>
  <c r="K94" i="9"/>
  <c r="K18" i="9"/>
  <c r="K17" i="9"/>
  <c r="K15" i="9"/>
  <c r="K20" i="9"/>
  <c r="K97" i="9"/>
  <c r="K22" i="9"/>
  <c r="K96" i="9"/>
  <c r="K57" i="9"/>
  <c r="K102" i="9"/>
  <c r="K86" i="9"/>
  <c r="K69" i="9"/>
  <c r="K90" i="9"/>
  <c r="K28" i="9"/>
  <c r="K72" i="9"/>
  <c r="K38" i="9"/>
  <c r="K32" i="9"/>
  <c r="K66" i="9"/>
  <c r="K14" i="9"/>
  <c r="K47" i="9"/>
  <c r="K101" i="9"/>
  <c r="K71" i="9"/>
  <c r="K79" i="9"/>
  <c r="K11" i="9"/>
  <c r="K67" i="9"/>
  <c r="K93" i="9"/>
  <c r="K87" i="9"/>
  <c r="K52" i="9"/>
  <c r="K89" i="9"/>
  <c r="K24" i="9"/>
  <c r="K13" i="9"/>
  <c r="U17" i="9"/>
  <c r="U3" i="9"/>
  <c r="U76" i="9"/>
  <c r="U72" i="9"/>
  <c r="U62" i="9"/>
  <c r="U54" i="9"/>
  <c r="U58" i="9"/>
  <c r="U9" i="9"/>
  <c r="U5" i="9"/>
  <c r="U97" i="9"/>
  <c r="U40" i="9"/>
  <c r="U36" i="9"/>
  <c r="U50" i="9"/>
  <c r="U95" i="9"/>
  <c r="U46" i="9"/>
  <c r="U92" i="9"/>
  <c r="U100" i="9"/>
  <c r="U73" i="9"/>
  <c r="U4" i="9"/>
  <c r="U79" i="9"/>
  <c r="U38" i="9"/>
  <c r="U83" i="9"/>
  <c r="U34" i="9"/>
  <c r="U80" i="9"/>
  <c r="U102" i="9"/>
  <c r="U44" i="9"/>
  <c r="U28" i="9"/>
  <c r="U66" i="9"/>
  <c r="U81" i="9"/>
  <c r="U16" i="9"/>
  <c r="U85" i="9"/>
  <c r="U23" i="9"/>
  <c r="U65" i="9"/>
  <c r="U61" i="9"/>
  <c r="U8" i="9"/>
  <c r="U75" i="9"/>
  <c r="U94" i="9"/>
  <c r="U51" i="9"/>
  <c r="U33" i="9"/>
  <c r="U74" i="9"/>
  <c r="U57" i="9"/>
  <c r="U78" i="9"/>
  <c r="U86" i="9"/>
  <c r="U48" i="9"/>
  <c r="U6" i="9"/>
  <c r="U37" i="9"/>
  <c r="U13" i="9"/>
  <c r="U18" i="9"/>
  <c r="U88" i="9"/>
  <c r="U49" i="9"/>
  <c r="U87" i="9"/>
  <c r="U43" i="9"/>
  <c r="U26" i="9"/>
  <c r="U71" i="9"/>
  <c r="U22" i="9"/>
  <c r="U68" i="9"/>
  <c r="U101" i="9"/>
  <c r="U84" i="9"/>
  <c r="U24" i="9"/>
  <c r="U93" i="9"/>
  <c r="U89" i="9"/>
  <c r="U15" i="9"/>
  <c r="U35" i="9"/>
  <c r="U12" i="9"/>
  <c r="U55" i="9"/>
  <c r="U20" i="9"/>
  <c r="U99" i="9"/>
  <c r="U7" i="9"/>
  <c r="U31" i="9"/>
  <c r="U45" i="9"/>
  <c r="U41" i="9"/>
  <c r="U82" i="9"/>
  <c r="U96" i="9"/>
  <c r="U64" i="9"/>
  <c r="U25" i="9"/>
  <c r="U63" i="9"/>
  <c r="U19" i="9"/>
  <c r="U14" i="9"/>
  <c r="U59" i="9"/>
  <c r="U10" i="9"/>
  <c r="U56" i="9"/>
  <c r="U52" i="9"/>
  <c r="U39" i="9"/>
  <c r="U47" i="9"/>
  <c r="U60" i="9"/>
  <c r="U91" i="9"/>
  <c r="U32" i="9"/>
  <c r="U77" i="9"/>
  <c r="U30" i="9"/>
  <c r="U69" i="9"/>
  <c r="U67" i="9"/>
  <c r="U11" i="9"/>
  <c r="U53" i="9"/>
  <c r="U98" i="9"/>
  <c r="U42" i="9"/>
  <c r="U27" i="9"/>
  <c r="U21" i="9"/>
  <c r="U90" i="9"/>
  <c r="U29" i="9"/>
  <c r="U70" i="9"/>
  <c r="E6" i="9"/>
  <c r="F3" i="9" a="1"/>
  <c r="J14" i="9" l="1"/>
  <c r="T14" i="9"/>
  <c r="F42" i="9"/>
  <c r="F12" i="9"/>
  <c r="F32" i="9"/>
  <c r="F56" i="9"/>
  <c r="F14" i="9"/>
  <c r="F41" i="9"/>
  <c r="F18" i="9"/>
  <c r="F62" i="9"/>
  <c r="F46" i="9"/>
  <c r="F95" i="9"/>
  <c r="F52" i="9"/>
  <c r="F43" i="9"/>
  <c r="F69" i="9"/>
  <c r="F3" i="9"/>
  <c r="F57" i="9"/>
  <c r="F60" i="9"/>
  <c r="F53" i="9"/>
  <c r="F30" i="9"/>
  <c r="F96" i="9"/>
  <c r="F4" i="9"/>
  <c r="F94" i="9"/>
  <c r="F68" i="9"/>
  <c r="F8" i="9"/>
  <c r="F72" i="9"/>
  <c r="F40" i="9"/>
  <c r="F29" i="9"/>
  <c r="F50" i="9"/>
  <c r="F77" i="9"/>
  <c r="F101" i="9"/>
  <c r="F45" i="9"/>
  <c r="F85" i="9"/>
  <c r="F81" i="9"/>
  <c r="F65" i="9"/>
  <c r="F5" i="9"/>
  <c r="F84" i="9"/>
  <c r="F16" i="9"/>
  <c r="F74" i="9"/>
  <c r="F102" i="9"/>
  <c r="F9" i="9"/>
  <c r="F34" i="9"/>
  <c r="F71" i="9"/>
  <c r="F59" i="9"/>
  <c r="F24" i="9"/>
  <c r="F36" i="9"/>
  <c r="F99" i="9"/>
  <c r="F10" i="9"/>
  <c r="F61" i="9"/>
  <c r="F35" i="9"/>
  <c r="F47" i="9"/>
  <c r="F83" i="9"/>
  <c r="F73" i="9"/>
  <c r="F54" i="9"/>
  <c r="F63" i="9"/>
  <c r="F100" i="9"/>
  <c r="F90" i="9"/>
  <c r="F33" i="9"/>
  <c r="F20" i="9"/>
  <c r="F76" i="9"/>
  <c r="F79" i="9"/>
  <c r="F27" i="9"/>
  <c r="F86" i="9"/>
  <c r="F87" i="9"/>
  <c r="F6" i="9"/>
  <c r="F19" i="9"/>
  <c r="F28" i="9"/>
  <c r="F11" i="9"/>
  <c r="F37" i="9"/>
  <c r="F49" i="9"/>
  <c r="F22" i="9"/>
  <c r="F51" i="9"/>
  <c r="F88" i="9"/>
  <c r="F39" i="9"/>
  <c r="F13" i="9"/>
  <c r="F93" i="9"/>
  <c r="F78" i="9"/>
  <c r="F23" i="9"/>
  <c r="F44" i="9"/>
  <c r="F17" i="9"/>
  <c r="F91" i="9"/>
  <c r="F64" i="9"/>
  <c r="F70" i="9"/>
  <c r="F31" i="9"/>
  <c r="F7" i="9"/>
  <c r="F25" i="9"/>
  <c r="F82" i="9"/>
  <c r="F38" i="9"/>
  <c r="F75" i="9"/>
  <c r="F21" i="9"/>
  <c r="F67" i="9"/>
  <c r="F58" i="9"/>
  <c r="F66" i="9"/>
  <c r="F55" i="9"/>
  <c r="F48" i="9"/>
  <c r="F80" i="9"/>
  <c r="F98" i="9"/>
  <c r="F26" i="9"/>
  <c r="F89" i="9"/>
  <c r="F15" i="9"/>
  <c r="F92" i="9"/>
  <c r="F97" i="9"/>
  <c r="K3" i="3" a="1"/>
  <c r="G3" i="3" a="1"/>
  <c r="I3" i="3" a="1"/>
  <c r="E14" i="9" l="1"/>
  <c r="K3" i="3"/>
  <c r="K15" i="3"/>
  <c r="K27" i="3"/>
  <c r="K39" i="3"/>
  <c r="K17" i="3"/>
  <c r="K29" i="3"/>
  <c r="K41" i="3"/>
  <c r="K6" i="3"/>
  <c r="K18" i="3"/>
  <c r="K42" i="3"/>
  <c r="K7" i="3"/>
  <c r="K19" i="3"/>
  <c r="K31" i="3"/>
  <c r="K43" i="3"/>
  <c r="K8" i="3"/>
  <c r="K20" i="3"/>
  <c r="K32" i="3"/>
  <c r="K9" i="3"/>
  <c r="K21" i="3"/>
  <c r="K10" i="3"/>
  <c r="K34" i="3"/>
  <c r="K23" i="3"/>
  <c r="K24" i="3"/>
  <c r="K25" i="3"/>
  <c r="K26" i="3"/>
  <c r="K4" i="3"/>
  <c r="K16" i="3"/>
  <c r="K28" i="3"/>
  <c r="K40" i="3"/>
  <c r="K5" i="3"/>
  <c r="K44" i="3"/>
  <c r="K33" i="3"/>
  <c r="K22" i="3"/>
  <c r="K11" i="3"/>
  <c r="K35" i="3"/>
  <c r="K13" i="3"/>
  <c r="K38" i="3"/>
  <c r="K30" i="3"/>
  <c r="K12" i="3"/>
  <c r="K36" i="3"/>
  <c r="K14" i="3"/>
  <c r="K37" i="3"/>
  <c r="I3" i="3"/>
  <c r="I15" i="3"/>
  <c r="I17" i="3"/>
  <c r="I6" i="3"/>
  <c r="I18" i="3"/>
  <c r="I7" i="3"/>
  <c r="I19" i="3"/>
  <c r="I8" i="3"/>
  <c r="I9" i="3"/>
  <c r="I10" i="3"/>
  <c r="I11" i="3"/>
  <c r="I12" i="3"/>
  <c r="I13" i="3"/>
  <c r="I4" i="3"/>
  <c r="I16" i="3"/>
  <c r="I5" i="3"/>
  <c r="I14" i="3"/>
  <c r="G3" i="3"/>
  <c r="G5" i="3"/>
  <c r="G6" i="3"/>
  <c r="G4" i="3"/>
  <c r="G3" i="9" a="1"/>
  <c r="G48" i="9" l="1"/>
  <c r="G43" i="9"/>
  <c r="G36" i="9"/>
  <c r="G32" i="9"/>
  <c r="G95" i="9"/>
  <c r="G79" i="9"/>
  <c r="G3" i="9"/>
  <c r="G75" i="9"/>
  <c r="G99" i="9"/>
  <c r="G88" i="9"/>
  <c r="G85" i="9"/>
  <c r="G40" i="9"/>
  <c r="G76" i="9"/>
  <c r="G61" i="9"/>
  <c r="G13" i="9"/>
  <c r="G52" i="9"/>
  <c r="G91" i="9"/>
  <c r="G12" i="9"/>
  <c r="G51" i="9"/>
  <c r="G102" i="9"/>
  <c r="G23" i="9"/>
  <c r="G67" i="9"/>
  <c r="G60" i="9"/>
  <c r="G84" i="9"/>
  <c r="G5" i="9"/>
  <c r="G100" i="9"/>
  <c r="G9" i="9"/>
  <c r="G49" i="9"/>
  <c r="G17" i="9"/>
  <c r="G20" i="9"/>
  <c r="G72" i="9"/>
  <c r="G57" i="9"/>
  <c r="G14" i="9"/>
  <c r="G101" i="9"/>
  <c r="G45" i="9"/>
  <c r="G97" i="9"/>
  <c r="G29" i="9"/>
  <c r="G56" i="9"/>
  <c r="G96" i="9"/>
  <c r="G93" i="9"/>
  <c r="G38" i="9"/>
  <c r="G30" i="9"/>
  <c r="G81" i="9"/>
  <c r="G26" i="9"/>
  <c r="G41" i="9"/>
  <c r="G92" i="9"/>
  <c r="G37" i="9"/>
  <c r="G34" i="9"/>
  <c r="G74" i="9"/>
  <c r="G54" i="9"/>
  <c r="G22" i="9"/>
  <c r="G50" i="9"/>
  <c r="G53" i="9"/>
  <c r="G33" i="9"/>
  <c r="G73" i="9"/>
  <c r="G70" i="9"/>
  <c r="G15" i="9"/>
  <c r="G4" i="9"/>
  <c r="G90" i="9"/>
  <c r="G58" i="9"/>
  <c r="G62" i="9"/>
  <c r="G65" i="9"/>
  <c r="G69" i="9"/>
  <c r="G6" i="9"/>
  <c r="G11" i="9"/>
  <c r="G39" i="9"/>
  <c r="G16" i="9"/>
  <c r="G7" i="9"/>
  <c r="G94" i="9"/>
  <c r="G98" i="9"/>
  <c r="G77" i="9"/>
  <c r="G10" i="9"/>
  <c r="G18" i="9"/>
  <c r="G47" i="9"/>
  <c r="G63" i="9"/>
  <c r="G28" i="9"/>
  <c r="G31" i="9"/>
  <c r="G35" i="9"/>
  <c r="G89" i="9"/>
  <c r="G46" i="9"/>
  <c r="G42" i="9"/>
  <c r="G83" i="9"/>
  <c r="G87" i="9"/>
  <c r="G55" i="9"/>
  <c r="G71" i="9"/>
  <c r="G27" i="9"/>
  <c r="G66" i="9"/>
  <c r="G82" i="9"/>
  <c r="G78" i="9"/>
  <c r="G24" i="9"/>
  <c r="G86" i="9"/>
  <c r="G64" i="9"/>
  <c r="G19" i="9"/>
  <c r="G59" i="9"/>
  <c r="G8" i="9"/>
  <c r="G25" i="9"/>
  <c r="G44" i="9"/>
  <c r="G68" i="9"/>
  <c r="G80" i="9"/>
  <c r="G21" i="9"/>
  <c r="E15" i="9"/>
  <c r="E16" i="9" l="1"/>
  <c r="V3" i="9" a="1"/>
  <c r="L3" i="9" a="1"/>
  <c r="B11" i="16" l="1"/>
  <c r="C5" i="16"/>
  <c r="V86" i="9"/>
  <c r="V16" i="9"/>
  <c r="V53" i="9"/>
  <c r="V90" i="9"/>
  <c r="V69" i="9"/>
  <c r="V32" i="9"/>
  <c r="V31" i="9"/>
  <c r="V23" i="9"/>
  <c r="V96" i="9"/>
  <c r="V98" i="9"/>
  <c r="V65" i="9"/>
  <c r="V102" i="9"/>
  <c r="V81" i="9"/>
  <c r="V56" i="9"/>
  <c r="V55" i="9"/>
  <c r="V35" i="9"/>
  <c r="V41" i="9"/>
  <c r="V84" i="9"/>
  <c r="V28" i="9"/>
  <c r="V63" i="9"/>
  <c r="V19" i="9"/>
  <c r="V36" i="9"/>
  <c r="V75" i="9"/>
  <c r="V42" i="9"/>
  <c r="V43" i="9"/>
  <c r="V46" i="9"/>
  <c r="V45" i="9"/>
  <c r="V72" i="9"/>
  <c r="V4" i="9"/>
  <c r="V7" i="9"/>
  <c r="V3" i="9"/>
  <c r="V40" i="9"/>
  <c r="V77" i="9"/>
  <c r="V13" i="9"/>
  <c r="V93" i="9"/>
  <c r="V80" i="9"/>
  <c r="V79" i="9"/>
  <c r="V59" i="9"/>
  <c r="V39" i="9"/>
  <c r="V6" i="9"/>
  <c r="V61" i="9"/>
  <c r="V73" i="9"/>
  <c r="V68" i="9"/>
  <c r="V51" i="9"/>
  <c r="V11" i="9"/>
  <c r="V15" i="9"/>
  <c r="V52" i="9"/>
  <c r="V89" i="9"/>
  <c r="V97" i="9"/>
  <c r="V49" i="9"/>
  <c r="V10" i="9"/>
  <c r="V20" i="9"/>
  <c r="V71" i="9"/>
  <c r="V76" i="9"/>
  <c r="V82" i="9"/>
  <c r="V12" i="9"/>
  <c r="V88" i="9"/>
  <c r="V50" i="9"/>
  <c r="V92" i="9"/>
  <c r="V100" i="9"/>
  <c r="V9" i="9"/>
  <c r="V22" i="9"/>
  <c r="V5" i="9"/>
  <c r="V21" i="9"/>
  <c r="V83" i="9"/>
  <c r="V48" i="9"/>
  <c r="V26" i="9"/>
  <c r="V74" i="9"/>
  <c r="V78" i="9"/>
  <c r="V94" i="9"/>
  <c r="V27" i="9"/>
  <c r="V64" i="9"/>
  <c r="V101" i="9"/>
  <c r="V25" i="9"/>
  <c r="V37" i="9"/>
  <c r="V34" i="9"/>
  <c r="V44" i="9"/>
  <c r="V95" i="9"/>
  <c r="V18" i="9"/>
  <c r="V38" i="9"/>
  <c r="V24" i="9"/>
  <c r="V30" i="9"/>
  <c r="V47" i="9"/>
  <c r="V8" i="9"/>
  <c r="V14" i="9"/>
  <c r="V87" i="9"/>
  <c r="V17" i="9"/>
  <c r="V54" i="9"/>
  <c r="V33" i="9"/>
  <c r="V67" i="9"/>
  <c r="V85" i="9"/>
  <c r="V58" i="9"/>
  <c r="V60" i="9"/>
  <c r="V62" i="9"/>
  <c r="V99" i="9"/>
  <c r="V29" i="9"/>
  <c r="V66" i="9"/>
  <c r="V91" i="9"/>
  <c r="V70" i="9"/>
  <c r="V57" i="9"/>
  <c r="L14" i="9"/>
  <c r="L100" i="9"/>
  <c r="L79" i="9"/>
  <c r="L64" i="9"/>
  <c r="L44" i="9"/>
  <c r="L82" i="9"/>
  <c r="L45" i="9"/>
  <c r="L24" i="9"/>
  <c r="L26" i="9"/>
  <c r="L29" i="9"/>
  <c r="L91" i="9"/>
  <c r="L17" i="9"/>
  <c r="L56" i="9"/>
  <c r="L11" i="9"/>
  <c r="L10" i="9"/>
  <c r="L36" i="9"/>
  <c r="L16" i="9"/>
  <c r="L65" i="9"/>
  <c r="L31" i="9"/>
  <c r="L88" i="9"/>
  <c r="L67" i="9"/>
  <c r="L9" i="9"/>
  <c r="L38" i="9"/>
  <c r="L89" i="9"/>
  <c r="L51" i="9"/>
  <c r="L53" i="9"/>
  <c r="L68" i="9"/>
  <c r="L47" i="9"/>
  <c r="L34" i="9"/>
  <c r="L48" i="9"/>
  <c r="L25" i="9"/>
  <c r="L74" i="9"/>
  <c r="L90" i="9"/>
  <c r="L76" i="9"/>
  <c r="L30" i="9"/>
  <c r="L21" i="9"/>
  <c r="L39" i="9"/>
  <c r="L70" i="9"/>
  <c r="L84" i="9"/>
  <c r="L49" i="9"/>
  <c r="L66" i="9"/>
  <c r="L57" i="9"/>
  <c r="L15" i="9"/>
  <c r="L50" i="9"/>
  <c r="L18" i="9"/>
  <c r="L87" i="9"/>
  <c r="L101" i="9"/>
  <c r="L80" i="9"/>
  <c r="L71" i="9"/>
  <c r="L46" i="9"/>
  <c r="L60" i="9"/>
  <c r="L86" i="9"/>
  <c r="L7" i="9"/>
  <c r="L42" i="9"/>
  <c r="L99" i="9"/>
  <c r="L96" i="9"/>
  <c r="L98" i="9"/>
  <c r="L28" i="9"/>
  <c r="L27" i="9"/>
  <c r="L78" i="9"/>
  <c r="L69" i="9"/>
  <c r="L35" i="9"/>
  <c r="L97" i="9"/>
  <c r="L22" i="9"/>
  <c r="L13" i="9"/>
  <c r="L62" i="9"/>
  <c r="L54" i="9"/>
  <c r="L40" i="9"/>
  <c r="L6" i="9"/>
  <c r="L92" i="9"/>
  <c r="L95" i="9"/>
  <c r="L58" i="9"/>
  <c r="L72" i="9"/>
  <c r="L37" i="9"/>
  <c r="L5" i="9"/>
  <c r="L33" i="9"/>
  <c r="L94" i="9"/>
  <c r="L19" i="9"/>
  <c r="L23" i="9"/>
  <c r="L61" i="9"/>
  <c r="L102" i="9"/>
  <c r="L32" i="9"/>
  <c r="L73" i="9"/>
  <c r="L75" i="9"/>
  <c r="L43" i="9"/>
  <c r="L3" i="9"/>
  <c r="L8" i="9"/>
  <c r="L81" i="9"/>
  <c r="L41" i="9"/>
  <c r="L59" i="9"/>
  <c r="L85" i="9"/>
  <c r="L4" i="9"/>
  <c r="L55" i="9"/>
  <c r="L63" i="9"/>
  <c r="L20" i="9"/>
  <c r="L93" i="9"/>
  <c r="L77" i="9"/>
  <c r="L83" i="9"/>
  <c r="L52" i="9"/>
  <c r="L12" i="9"/>
  <c r="E11" i="16"/>
  <c r="J15" i="9"/>
  <c r="T15" i="9"/>
  <c r="T16" i="9" l="1"/>
  <c r="C4" i="16" s="1"/>
  <c r="J16" i="9"/>
  <c r="C3" i="16" s="1"/>
  <c r="F3" i="16" s="1"/>
  <c r="Q3" i="9" a="1"/>
  <c r="Q42" i="9" l="1"/>
  <c r="Q27" i="9"/>
  <c r="Q77" i="9"/>
  <c r="Q56" i="9"/>
  <c r="Q69" i="9"/>
  <c r="Q24" i="9"/>
  <c r="Q73" i="9"/>
  <c r="Q23" i="9"/>
  <c r="Q90" i="9"/>
  <c r="Q75" i="9"/>
  <c r="Q6" i="9"/>
  <c r="Q15" i="9"/>
  <c r="Q93" i="9"/>
  <c r="Q48" i="9"/>
  <c r="Q97" i="9"/>
  <c r="Q47" i="9"/>
  <c r="Q16" i="9"/>
  <c r="Q19" i="9"/>
  <c r="Q100" i="9"/>
  <c r="Q39" i="9"/>
  <c r="Q10" i="9"/>
  <c r="Q60" i="9"/>
  <c r="Q59" i="9"/>
  <c r="Q88" i="9"/>
  <c r="Q52" i="9"/>
  <c r="Q92" i="9"/>
  <c r="Q50" i="9"/>
  <c r="Q76" i="9"/>
  <c r="Q9" i="9"/>
  <c r="Q62" i="9"/>
  <c r="Q101" i="9"/>
  <c r="Q70" i="9"/>
  <c r="Q65" i="9"/>
  <c r="Q5" i="9"/>
  <c r="Q33" i="9"/>
  <c r="Q37" i="9"/>
  <c r="Q53" i="9"/>
  <c r="Q61" i="9"/>
  <c r="Q66" i="9"/>
  <c r="Q51" i="9"/>
  <c r="Q102" i="9"/>
  <c r="Q80" i="9"/>
  <c r="Q81" i="9"/>
  <c r="Q36" i="9"/>
  <c r="Q85" i="9"/>
  <c r="Q35" i="9"/>
  <c r="Q14" i="9"/>
  <c r="Q83" i="9"/>
  <c r="Q91" i="9"/>
  <c r="Q46" i="9"/>
  <c r="Q17" i="9"/>
  <c r="Q58" i="9"/>
  <c r="Q29" i="9"/>
  <c r="Q30" i="9"/>
  <c r="Q41" i="9"/>
  <c r="Q21" i="9"/>
  <c r="Q98" i="9"/>
  <c r="Q18" i="9"/>
  <c r="Q32" i="9"/>
  <c r="Q12" i="9"/>
  <c r="Q40" i="9"/>
  <c r="Q43" i="9"/>
  <c r="Q4" i="9"/>
  <c r="Q54" i="9"/>
  <c r="Q63" i="9"/>
  <c r="Q22" i="9"/>
  <c r="Q72" i="9"/>
  <c r="Q26" i="9"/>
  <c r="Q71" i="9"/>
  <c r="Q64" i="9"/>
  <c r="Q67" i="9"/>
  <c r="Q28" i="9"/>
  <c r="Q78" i="9"/>
  <c r="Q87" i="9"/>
  <c r="Q34" i="9"/>
  <c r="Q84" i="9"/>
  <c r="Q38" i="9"/>
  <c r="Q7" i="9"/>
  <c r="Q96" i="9"/>
  <c r="Q95" i="9"/>
  <c r="Q20" i="9"/>
  <c r="Q31" i="9"/>
  <c r="Q13" i="9"/>
  <c r="Q44" i="9"/>
  <c r="Q55" i="9"/>
  <c r="Q25" i="9"/>
  <c r="Q74" i="9"/>
  <c r="Q68" i="9"/>
  <c r="Q79" i="9"/>
  <c r="Q82" i="9"/>
  <c r="Q86" i="9"/>
  <c r="Q89" i="9"/>
  <c r="Q99" i="9"/>
  <c r="Q8" i="9"/>
  <c r="Q45" i="9"/>
  <c r="Q94" i="9"/>
  <c r="Q3" i="9"/>
  <c r="Q57" i="9"/>
  <c r="Q11" i="9"/>
  <c r="Q49" i="9"/>
  <c r="O15" i="9"/>
  <c r="O16" i="9" l="1"/>
  <c r="C2" i="16" s="1"/>
  <c r="E8" i="16" l="1"/>
</calcChain>
</file>

<file path=xl/sharedStrings.xml><?xml version="1.0" encoding="utf-8"?>
<sst xmlns="http://schemas.openxmlformats.org/spreadsheetml/2006/main" count="159" uniqueCount="86">
  <si>
    <t>Currency</t>
  </si>
  <si>
    <t>FwdCurve</t>
  </si>
  <si>
    <t>Annual</t>
  </si>
  <si>
    <t>3M</t>
  </si>
  <si>
    <t>6M</t>
  </si>
  <si>
    <t>RT Trigger Freq</t>
  </si>
  <si>
    <t>RealTime Trigger</t>
  </si>
  <si>
    <t>Maturity</t>
  </si>
  <si>
    <t>DayCount</t>
  </si>
  <si>
    <t>ShmPush</t>
  </si>
  <si>
    <t>Count</t>
  </si>
  <si>
    <t>cont</t>
  </si>
  <si>
    <t>Comp</t>
  </si>
  <si>
    <t>InterpOn</t>
  </si>
  <si>
    <t>InterpType</t>
  </si>
  <si>
    <t>LiborName</t>
  </si>
  <si>
    <t>DateChooser</t>
  </si>
  <si>
    <t>Discounts</t>
  </si>
  <si>
    <t>Dates</t>
  </si>
  <si>
    <t>QL Curve</t>
  </si>
  <si>
    <t>enum QuantLibAddin::InterpolatedYieldCurve::Interpolator</t>
  </si>
  <si>
    <t>enum QuantLibAddin::InterpolatedYieldCurve::Traits</t>
  </si>
  <si>
    <t>class QuantLib::DayCounter</t>
  </si>
  <si>
    <t>r</t>
  </si>
  <si>
    <t>linear</t>
  </si>
  <si>
    <t>Act/Act</t>
  </si>
  <si>
    <t>QL Curve Name</t>
  </si>
  <si>
    <t>Object Class</t>
  </si>
  <si>
    <t>EURSTD</t>
  </si>
  <si>
    <t>EUR</t>
  </si>
  <si>
    <t>EUR3M</t>
  </si>
  <si>
    <t>Act/Act AFB</t>
  </si>
  <si>
    <t>30E/360</t>
  </si>
  <si>
    <t>360/360</t>
  </si>
  <si>
    <t>30E+360</t>
  </si>
  <si>
    <t>Act/360</t>
  </si>
  <si>
    <t>Act/365</t>
  </si>
  <si>
    <t>365/365</t>
  </si>
  <si>
    <t>30/360</t>
  </si>
  <si>
    <t>One/One</t>
  </si>
  <si>
    <t>quadra</t>
  </si>
  <si>
    <t>kruger</t>
  </si>
  <si>
    <t>const</t>
  </si>
  <si>
    <t>spline</t>
  </si>
  <si>
    <t>rt</t>
  </si>
  <si>
    <t>d</t>
  </si>
  <si>
    <t>annual</t>
  </si>
  <si>
    <t>simple</t>
  </si>
  <si>
    <t>dvBool</t>
  </si>
  <si>
    <t>dvInterpType</t>
  </si>
  <si>
    <t>dvInterpOn</t>
  </si>
  <si>
    <t>dvCompounding</t>
  </si>
  <si>
    <t>dvDayCount</t>
  </si>
  <si>
    <t>dvMatCons</t>
  </si>
  <si>
    <t>on</t>
  </si>
  <si>
    <t>off</t>
  </si>
  <si>
    <t>dvSwapMatType</t>
  </si>
  <si>
    <t>dvOutputType</t>
  </si>
  <si>
    <t>Zero Rates</t>
  </si>
  <si>
    <t>dvPayFreqType</t>
  </si>
  <si>
    <t>Semiannual</t>
  </si>
  <si>
    <t>Quarterly</t>
  </si>
  <si>
    <t>Monthly</t>
  </si>
  <si>
    <t>Years</t>
  </si>
  <si>
    <t>Months</t>
  </si>
  <si>
    <t>rs</t>
  </si>
  <si>
    <t>rts</t>
  </si>
  <si>
    <t>ds</t>
  </si>
  <si>
    <t>DayCount Code</t>
  </si>
  <si>
    <t>dvYesNo</t>
  </si>
  <si>
    <t>yes</t>
  </si>
  <si>
    <t>no</t>
  </si>
  <si>
    <t>enum QuantLib::BusinessDayConvention</t>
  </si>
  <si>
    <t>Rate</t>
  </si>
  <si>
    <t>Triggered Curve</t>
  </si>
  <si>
    <t>EUR6M</t>
  </si>
  <si>
    <t>EURON</t>
  </si>
  <si>
    <t>SHM Prefix</t>
  </si>
  <si>
    <t>PRCBRK</t>
  </si>
  <si>
    <t>StartDate</t>
  </si>
  <si>
    <t>FixFreq</t>
  </si>
  <si>
    <t>FixDayCC</t>
  </si>
  <si>
    <t>FloatFreq</t>
  </si>
  <si>
    <t>FloatDayCC</t>
  </si>
  <si>
    <t>STD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</si>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</sst>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\ mmm\ yy"/>
    <numFmt numFmtId="165" formatCode="d\ mmm\ yyyy"/>
    <numFmt numFmtId="166" formatCode="0.000%"/>
    <numFmt numFmtId="167" formatCode="ddd\,\ dd/mmm/yyyy"/>
    <numFmt numFmtId="168" formatCode="0.000000000"/>
  </numFmts>
  <fonts count="6" x14ac:knownFonts="1">
    <font>
      <sz val="8"/>
      <color theme="1"/>
      <name val="Arial"/>
      <family val="2"/>
    </font>
    <font>
      <b/>
      <sz val="8"/>
      <color theme="0"/>
      <name val="Arial"/>
      <family val="2"/>
    </font>
    <font>
      <i/>
      <sz val="8"/>
      <color theme="1"/>
      <name val="Arial"/>
      <family val="2"/>
    </font>
    <font>
      <i/>
      <sz val="8"/>
      <color rgb="FF0070C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166" fontId="1" fillId="3" borderId="1" applyNumberFormat="0" applyBorder="0" applyAlignment="0" applyProtection="0">
      <alignment horizontal="center"/>
    </xf>
    <xf numFmtId="167" fontId="5" fillId="4" borderId="9" applyNumberFormat="0" applyFont="0" applyBorder="0">
      <alignment horizontal="center"/>
      <protection locked="0"/>
    </xf>
    <xf numFmtId="0" fontId="4" fillId="2" borderId="4" applyNumberFormat="0" applyFont="0" applyBorder="0" applyAlignment="0">
      <alignment horizontal="center"/>
      <protection locked="0"/>
    </xf>
    <xf numFmtId="0" fontId="3" fillId="0" borderId="3" applyNumberFormat="0" applyFill="0" applyBorder="0" applyProtection="0">
      <alignment horizontal="center"/>
    </xf>
    <xf numFmtId="0" fontId="4" fillId="7" borderId="4" applyNumberFormat="0" applyFont="0" applyBorder="0" applyAlignment="0">
      <alignment horizontal="center"/>
      <protection locked="0"/>
    </xf>
    <xf numFmtId="167" fontId="5" fillId="5" borderId="9" applyNumberFormat="0" applyFont="0" applyBorder="0" applyProtection="0">
      <alignment horizontal="center"/>
      <protection locked="0"/>
    </xf>
  </cellStyleXfs>
  <cellXfs count="52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0" fillId="2" borderId="5" xfId="3" applyFont="1" applyBorder="1" applyAlignment="1">
      <alignment horizontal="center"/>
      <protection locked="0"/>
    </xf>
    <xf numFmtId="0" fontId="0" fillId="2" borderId="6" xfId="3" applyFont="1" applyBorder="1" applyAlignment="1">
      <alignment horizontal="center"/>
      <protection locked="0"/>
    </xf>
    <xf numFmtId="0" fontId="0" fillId="2" borderId="1" xfId="3" applyFont="1" applyBorder="1" applyAlignment="1">
      <alignment horizontal="center"/>
      <protection locked="0"/>
    </xf>
    <xf numFmtId="0" fontId="2" fillId="0" borderId="10" xfId="0" applyFont="1" applyBorder="1" applyAlignment="1">
      <alignment horizontal="right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10" xfId="3" applyFont="1" applyBorder="1" applyAlignment="1">
      <alignment horizontal="center"/>
      <protection locked="0"/>
    </xf>
    <xf numFmtId="0" fontId="0" fillId="2" borderId="7" xfId="3" applyFont="1" applyBorder="1" applyAlignment="1">
      <alignment horizontal="center"/>
      <protection locked="0"/>
    </xf>
    <xf numFmtId="0" fontId="0" fillId="2" borderId="8" xfId="3" applyFont="1" applyBorder="1" applyAlignment="1">
      <alignment horizontal="center"/>
      <protection locked="0"/>
    </xf>
    <xf numFmtId="0" fontId="0" fillId="0" borderId="10" xfId="0" applyBorder="1" applyAlignment="1">
      <alignment horizontal="center"/>
    </xf>
    <xf numFmtId="0" fontId="0" fillId="4" borderId="0" xfId="2" applyNumberFormat="1" applyFont="1" applyBorder="1">
      <alignment horizontal="center"/>
      <protection locked="0"/>
    </xf>
    <xf numFmtId="0" fontId="1" fillId="3" borderId="1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8" fontId="0" fillId="0" borderId="10" xfId="0" applyNumberFormat="1" applyBorder="1"/>
    <xf numFmtId="168" fontId="0" fillId="0" borderId="7" xfId="0" applyNumberFormat="1" applyBorder="1"/>
    <xf numFmtId="168" fontId="0" fillId="0" borderId="8" xfId="0" applyNumberFormat="1" applyBorder="1"/>
    <xf numFmtId="0" fontId="0" fillId="0" borderId="10" xfId="0" applyBorder="1"/>
    <xf numFmtId="0" fontId="0" fillId="0" borderId="8" xfId="0" applyBorder="1"/>
    <xf numFmtId="21" fontId="0" fillId="4" borderId="8" xfId="2" applyNumberFormat="1" applyFont="1" applyBorder="1">
      <alignment horizontal="center"/>
      <protection locked="0"/>
    </xf>
    <xf numFmtId="0" fontId="0" fillId="0" borderId="7" xfId="0" applyBorder="1"/>
    <xf numFmtId="21" fontId="0" fillId="0" borderId="8" xfId="0" applyNumberFormat="1" applyBorder="1" applyAlignment="1">
      <alignment horizontal="center"/>
    </xf>
    <xf numFmtId="0" fontId="0" fillId="0" borderId="1" xfId="0" applyBorder="1"/>
    <xf numFmtId="0" fontId="0" fillId="2" borderId="4" xfId="3" applyFont="1" applyBorder="1" applyAlignment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10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0" fontId="0" fillId="0" borderId="1" xfId="0" applyFill="1" applyBorder="1" applyAlignment="1">
      <alignment horizontal="center"/>
    </xf>
    <xf numFmtId="0" fontId="1" fillId="3" borderId="10" xfId="1" applyNumberFormat="1" applyBorder="1" applyAlignment="1">
      <alignment horizontal="center"/>
    </xf>
    <xf numFmtId="21" fontId="0" fillId="0" borderId="6" xfId="0" applyNumberFormat="1" applyBorder="1" applyAlignment="1">
      <alignment horizontal="center"/>
    </xf>
    <xf numFmtId="0" fontId="0" fillId="6" borderId="1" xfId="0" applyFill="1" applyBorder="1"/>
    <xf numFmtId="166" fontId="0" fillId="0" borderId="0" xfId="0" applyNumberFormat="1"/>
    <xf numFmtId="0" fontId="0" fillId="5" borderId="6" xfId="6" applyNumberFormat="1" applyFont="1" applyBorder="1" applyProtection="1">
      <alignment horizontal="center"/>
    </xf>
    <xf numFmtId="164" fontId="0" fillId="0" borderId="0" xfId="0" applyNumberFormat="1"/>
    <xf numFmtId="0" fontId="0" fillId="2" borderId="0" xfId="0" applyFill="1"/>
    <xf numFmtId="0" fontId="0" fillId="8" borderId="0" xfId="0" applyFill="1"/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</cellXfs>
  <cellStyles count="7">
    <cellStyle name="Normal" xfId="0" builtinId="0"/>
    <cellStyle name="qlObject" xfId="4"/>
    <cellStyle name="TableHeader" xfId="1"/>
    <cellStyle name="Trigger" xfId="2"/>
    <cellStyle name="Trigger2" xfId="6"/>
    <cellStyle name="UserInput" xfId="3"/>
    <cellStyle name="UserInpu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nowrtdserver">
      <tp>
        <v>0.72344907407386927</v>
        <stp/>
        <stp>B3</stp>
        <stp>5</stp>
        <tr r="B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Composite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1"/>
  <sheetViews>
    <sheetView tabSelected="1" workbookViewId="0">
      <selection activeCell="H9" sqref="H9"/>
    </sheetView>
  </sheetViews>
  <sheetFormatPr defaultRowHeight="11.25" x14ac:dyDescent="0.2"/>
  <cols>
    <col min="1" max="1" width="3.83203125" customWidth="1"/>
    <col min="3" max="3" width="15.5" customWidth="1"/>
    <col min="6" max="6" width="14" customWidth="1"/>
  </cols>
  <sheetData>
    <row r="2" spans="2:10" x14ac:dyDescent="0.2">
      <c r="B2" s="1" t="s">
        <v>4</v>
      </c>
      <c r="C2" s="44" t="str">
        <f>'QL Curves'!O16</f>
        <v>PRCBRK.EUR6M</v>
      </c>
      <c r="D2">
        <v>2</v>
      </c>
      <c r="F2" s="1" t="s">
        <v>1</v>
      </c>
      <c r="G2" s="1" t="s">
        <v>80</v>
      </c>
      <c r="H2" s="1" t="s">
        <v>81</v>
      </c>
      <c r="I2" s="1" t="s">
        <v>82</v>
      </c>
      <c r="J2" s="1" t="s">
        <v>83</v>
      </c>
    </row>
    <row r="3" spans="2:10" x14ac:dyDescent="0.2">
      <c r="B3" s="1" t="s">
        <v>3</v>
      </c>
      <c r="C3" s="44" t="str">
        <f>'QL Curves'!J16</f>
        <v>PRCBRK.EUR3M</v>
      </c>
      <c r="D3">
        <v>4</v>
      </c>
      <c r="F3" s="45" t="str">
        <f>INDEX(C2:C5,MATCH(B7,B2:B5,0))</f>
        <v>PRCBRK.EURON</v>
      </c>
      <c r="G3" s="1">
        <v>1</v>
      </c>
      <c r="H3" s="1">
        <v>8</v>
      </c>
      <c r="I3" s="46">
        <f>INDEX(D2:D5,MATCH(B7,B2:B5,0))</f>
        <v>1</v>
      </c>
      <c r="J3" s="1">
        <v>4</v>
      </c>
    </row>
    <row r="4" spans="2:10" x14ac:dyDescent="0.2">
      <c r="B4" s="1" t="s">
        <v>84</v>
      </c>
      <c r="C4" s="44" t="str">
        <f>'QL Curves'!T16</f>
        <v>PRCBRK.EURSTD</v>
      </c>
      <c r="D4">
        <v>1</v>
      </c>
      <c r="F4" s="50"/>
      <c r="G4" s="51"/>
      <c r="H4" s="51"/>
      <c r="I4" s="51"/>
      <c r="J4" s="1"/>
    </row>
    <row r="5" spans="2:10" x14ac:dyDescent="0.2">
      <c r="B5" s="1" t="s">
        <v>85</v>
      </c>
      <c r="C5" s="44" t="str">
        <f>'QL Curves'!E16</f>
        <v>PRCBRK.EURON</v>
      </c>
      <c r="D5">
        <v>1</v>
      </c>
      <c r="F5" s="50"/>
      <c r="G5" s="51"/>
      <c r="H5" s="51"/>
      <c r="I5" s="51"/>
      <c r="J5" s="1"/>
    </row>
    <row r="7" spans="2:10" x14ac:dyDescent="0.2">
      <c r="B7" s="47" t="s">
        <v>85</v>
      </c>
      <c r="C7" s="1" t="s">
        <v>79</v>
      </c>
      <c r="D7" s="1" t="s">
        <v>7</v>
      </c>
      <c r="E7" s="1" t="s">
        <v>73</v>
      </c>
    </row>
    <row r="8" spans="2:10" x14ac:dyDescent="0.2">
      <c r="C8" s="43">
        <f ca="1">_xll.xlDateSettle("TARGET",TODAY(),2)</f>
        <v>42661</v>
      </c>
      <c r="D8" s="43">
        <v>43281</v>
      </c>
      <c r="E8" s="41">
        <f ca="1">_xll.xlShmImplSwap2('QL Curves'!E16,F3,C8,D8,,G3,H3,I3,J3,TRUE,TRUE)</f>
        <v>-3.9749404494158168E-3</v>
      </c>
    </row>
    <row r="10" spans="2:10" x14ac:dyDescent="0.2">
      <c r="C10" s="1" t="s">
        <v>79</v>
      </c>
      <c r="D10" s="1" t="s">
        <v>7</v>
      </c>
      <c r="E10" s="1" t="s">
        <v>73</v>
      </c>
    </row>
    <row r="11" spans="2:10" x14ac:dyDescent="0.2">
      <c r="B11" s="44" t="str">
        <f>'QL Curves'!E16</f>
        <v>PRCBRK.EURON</v>
      </c>
      <c r="C11" s="43">
        <f ca="1">_xll.xlDateSettle("TARGET",TODAY(),2)</f>
        <v>42661</v>
      </c>
      <c r="D11" s="43">
        <v>43281</v>
      </c>
      <c r="E11" s="41">
        <f ca="1">_xll.xlShmImplSwap(B11,C11,D11,,G3,TRUE,TRUE,H3)</f>
        <v>-3.9749404494158098E-3</v>
      </c>
    </row>
  </sheetData>
  <dataValidations count="1">
    <dataValidation type="list" allowBlank="1" showInputMessage="1" showErrorMessage="1" sqref="B7">
      <formula1>"6M,3M,STD,ON"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02"/>
  <sheetViews>
    <sheetView showGridLines="0" workbookViewId="0">
      <selection activeCell="D49" sqref="D49"/>
    </sheetView>
  </sheetViews>
  <sheetFormatPr defaultRowHeight="11.25" x14ac:dyDescent="0.2"/>
  <cols>
    <col min="1" max="1" width="16.83203125" customWidth="1"/>
    <col min="3" max="3" width="3.83203125" customWidth="1"/>
    <col min="4" max="5" width="15.83203125" customWidth="1"/>
    <col min="6" max="7" width="12.83203125" customWidth="1"/>
    <col min="8" max="8" width="3.83203125" customWidth="1"/>
    <col min="9" max="10" width="15.83203125" customWidth="1"/>
    <col min="11" max="12" width="12.83203125" customWidth="1"/>
    <col min="13" max="13" width="3.83203125" customWidth="1"/>
    <col min="14" max="15" width="15.83203125" customWidth="1"/>
    <col min="16" max="17" width="12.83203125" customWidth="1"/>
    <col min="18" max="18" width="3.83203125" customWidth="1"/>
    <col min="19" max="20" width="15.83203125" customWidth="1"/>
    <col min="21" max="22" width="12.83203125" customWidth="1"/>
  </cols>
  <sheetData>
    <row r="1" spans="1:22" x14ac:dyDescent="0.2">
      <c r="A1" s="40"/>
      <c r="B1" s="37">
        <f>_xll.ohTrigger(TYPE(A1))</f>
        <v>0</v>
      </c>
    </row>
    <row r="2" spans="1:22" x14ac:dyDescent="0.2">
      <c r="A2" s="9" t="s">
        <v>5</v>
      </c>
      <c r="B2" s="12">
        <v>5</v>
      </c>
      <c r="F2" s="38" t="s">
        <v>18</v>
      </c>
      <c r="G2" s="38" t="s">
        <v>17</v>
      </c>
      <c r="K2" s="17" t="s">
        <v>18</v>
      </c>
      <c r="L2" s="17" t="s">
        <v>17</v>
      </c>
      <c r="P2" s="17" t="s">
        <v>18</v>
      </c>
      <c r="Q2" s="17" t="s">
        <v>17</v>
      </c>
      <c r="U2" s="17" t="s">
        <v>18</v>
      </c>
      <c r="V2" s="17" t="s">
        <v>17</v>
      </c>
    </row>
    <row r="3" spans="1:22" x14ac:dyDescent="0.2">
      <c r="A3" s="4" t="s">
        <v>6</v>
      </c>
      <c r="B3" s="26">
        <f>_xll.RtNow("FRQ:"&amp;B2&amp;"S")</f>
        <v>0.72344907407386927</v>
      </c>
      <c r="D3" s="9" t="s">
        <v>26</v>
      </c>
      <c r="E3" s="30" t="s">
        <v>76</v>
      </c>
      <c r="F3" s="34">
        <f t="array" ref="F3:F102">CHOOSE(E6,_xll.qlPiecewiseYieldCurveDates(E4),_xll.qlInterpolatedYieldCurveDates(E4))</f>
        <v>42657</v>
      </c>
      <c r="G3" s="21">
        <f t="array" ref="G3:G102">_xll.qlYieldTSDiscount(E4,_xll.ohPack(F3:F102),,RtTrigger)</f>
        <v>1</v>
      </c>
      <c r="I3" s="9" t="s">
        <v>26</v>
      </c>
      <c r="J3" s="12" t="s">
        <v>30</v>
      </c>
      <c r="K3" s="34">
        <f t="array" ref="K3:K102">CHOOSE(J6,_xll.qlPiecewiseYieldCurveDates(J4),_xll.qlInterpolatedYieldCurveDates(J4))</f>
        <v>42661</v>
      </c>
      <c r="L3" s="21">
        <f t="array" ref="L3:L102">_xll.qlYieldTSDiscount(J4,_xll.ohPack(K3:K102),,RtTrigger)</f>
        <v>1</v>
      </c>
      <c r="N3" s="9" t="s">
        <v>26</v>
      </c>
      <c r="O3" s="12" t="s">
        <v>75</v>
      </c>
      <c r="P3" s="34">
        <f t="array" ref="P3:P102">CHOOSE(O6,_xll.qlPiecewiseYieldCurveDates(O4),_xll.qlInterpolatedYieldCurveDates(O4))</f>
        <v>42661</v>
      </c>
      <c r="Q3" s="21">
        <f t="array" ref="Q3:Q102">_xll.qlYieldTSDiscount(O4,_xll.ohPack(P3:P102),,RtTrigger)</f>
        <v>1</v>
      </c>
      <c r="S3" s="9" t="s">
        <v>26</v>
      </c>
      <c r="T3" s="12" t="s">
        <v>28</v>
      </c>
      <c r="U3" s="34">
        <f t="array" ref="U3:U102">CHOOSE(T6,_xll.qlPiecewiseYieldCurveDates(T4),_xll.qlInterpolatedYieldCurveDates(T4))</f>
        <v>42657</v>
      </c>
      <c r="V3" s="21">
        <f t="array" ref="V3:V102">_xll.qlYieldTSDiscount(T4,_xll.ohPack(U3:U102),,RtTrigger)</f>
        <v>1</v>
      </c>
    </row>
    <row r="4" spans="1:22" x14ac:dyDescent="0.2">
      <c r="A4" s="2" t="s">
        <v>77</v>
      </c>
      <c r="B4" s="8" t="s">
        <v>78</v>
      </c>
      <c r="D4" s="3" t="s">
        <v>19</v>
      </c>
      <c r="E4" s="19" t="str">
        <f>IF(_xll.ohObjectClassName(E3,ObjectsTrigger)="qlRelinkableHandleYieldTermStructure",_xll.qlHandleCurrentLink(E3),E3)</f>
        <v>_EURON</v>
      </c>
      <c r="F4" s="35">
        <v>42660</v>
      </c>
      <c r="G4" s="22">
        <v>1.0000300009000269</v>
      </c>
      <c r="I4" s="3" t="s">
        <v>19</v>
      </c>
      <c r="J4" s="11" t="str">
        <f>IF(_xll.ohObjectClassName(J3,ObjectsTrigger)="qlRelinkableHandleYieldTermStructure",_xll.qlHandleCurrentLink(J3),J3)</f>
        <v>_EUR3M</v>
      </c>
      <c r="K4" s="35">
        <v>42692</v>
      </c>
      <c r="L4" s="22">
        <v>1.0002738221802834</v>
      </c>
      <c r="N4" s="3" t="s">
        <v>19</v>
      </c>
      <c r="O4" s="11" t="str">
        <f>IF(_xll.ohObjectClassName(O3,ObjectsTrigger)="qlRelinkableHandleYieldTermStructure",_xll.qlHandleCurrentLink(O3),O3)</f>
        <v>_EUR6M</v>
      </c>
      <c r="P4" s="35">
        <v>42692</v>
      </c>
      <c r="Q4" s="22">
        <v>1.0001802630444641</v>
      </c>
      <c r="S4" s="3" t="s">
        <v>19</v>
      </c>
      <c r="T4" s="11" t="str">
        <f>IF(_xll.ohObjectClassName(T3,ObjectsTrigger)="qlRelinkableHandleYieldTermStructure",_xll.qlHandleCurrentLink(T3),T3)</f>
        <v>_EURSTD</v>
      </c>
      <c r="U4" s="35">
        <v>42660</v>
      </c>
      <c r="V4" s="22">
        <v>1.0000300008916931</v>
      </c>
    </row>
    <row r="5" spans="1:22" x14ac:dyDescent="0.2">
      <c r="D5" s="3" t="s">
        <v>27</v>
      </c>
      <c r="E5" s="19" t="str">
        <f>_xll.ohObjectClassName(E4)</f>
        <v>qlPiecewiseYieldCurve</v>
      </c>
      <c r="F5" s="35">
        <v>42661</v>
      </c>
      <c r="G5" s="22">
        <v>1.0000400013000399</v>
      </c>
      <c r="I5" s="3" t="s">
        <v>27</v>
      </c>
      <c r="J5" s="11" t="str">
        <f>_xll.ohObjectClassName(J4)</f>
        <v>qlPiecewiseYieldCurve</v>
      </c>
      <c r="K5" s="35">
        <v>42723</v>
      </c>
      <c r="L5" s="22">
        <v>1.0005403807425237</v>
      </c>
      <c r="N5" s="3" t="s">
        <v>27</v>
      </c>
      <c r="O5" s="11" t="str">
        <f>_xll.ohObjectClassName(O4)</f>
        <v>qlPiecewiseYieldCurve</v>
      </c>
      <c r="P5" s="35">
        <v>42723</v>
      </c>
      <c r="Q5" s="22">
        <v>1.0003540419680199</v>
      </c>
      <c r="S5" s="3" t="s">
        <v>27</v>
      </c>
      <c r="T5" s="11" t="str">
        <f>_xll.ohObjectClassName(T4)</f>
        <v>qlPiecewiseYieldCurve</v>
      </c>
      <c r="U5" s="35">
        <v>42661</v>
      </c>
      <c r="V5" s="22">
        <v>1.0000400012917059</v>
      </c>
    </row>
    <row r="6" spans="1:22" x14ac:dyDescent="0.2">
      <c r="D6" s="4" t="s">
        <v>16</v>
      </c>
      <c r="E6" s="20">
        <f>MATCH(E5,{"qlPiecewiseYieldCurve","qlInterpolatedYieldCurve"},0)</f>
        <v>1</v>
      </c>
      <c r="F6" s="35">
        <v>42668</v>
      </c>
      <c r="G6" s="22">
        <v>1.0001074807742287</v>
      </c>
      <c r="I6" s="4" t="s">
        <v>16</v>
      </c>
      <c r="J6" s="10">
        <f>MATCH(J5,{"qlPiecewiseYieldCurve","qlInterpolatedYieldCurve"},0)</f>
        <v>1</v>
      </c>
      <c r="K6" s="35">
        <v>42753</v>
      </c>
      <c r="L6" s="22">
        <v>1.00079848150854</v>
      </c>
      <c r="N6" s="4" t="s">
        <v>16</v>
      </c>
      <c r="O6" s="10">
        <f>MATCH(O5,{"qlPiecewiseYieldCurve","qlInterpolatedYieldCurve"},0)</f>
        <v>1</v>
      </c>
      <c r="P6" s="35">
        <v>42753</v>
      </c>
      <c r="Q6" s="22">
        <v>1.0005231401992389</v>
      </c>
      <c r="S6" s="4" t="s">
        <v>16</v>
      </c>
      <c r="T6" s="10">
        <f>MATCH(T5,{"qlPiecewiseYieldCurve","qlInterpolatedYieldCurve"},0)</f>
        <v>1</v>
      </c>
      <c r="U6" s="35">
        <v>42662</v>
      </c>
      <c r="V6" s="22">
        <v>1.0000500017917238</v>
      </c>
    </row>
    <row r="7" spans="1:22" x14ac:dyDescent="0.2">
      <c r="D7" s="9" t="s">
        <v>0</v>
      </c>
      <c r="E7" s="30" t="s">
        <v>29</v>
      </c>
      <c r="F7" s="35">
        <v>42675</v>
      </c>
      <c r="G7" s="22">
        <v>1.0001745803463509</v>
      </c>
      <c r="I7" s="9" t="s">
        <v>0</v>
      </c>
      <c r="J7" s="12" t="s">
        <v>29</v>
      </c>
      <c r="K7" s="35">
        <v>42786</v>
      </c>
      <c r="L7" s="22">
        <v>1.0010815281265601</v>
      </c>
      <c r="N7" s="9" t="s">
        <v>0</v>
      </c>
      <c r="O7" s="12" t="s">
        <v>29</v>
      </c>
      <c r="P7" s="35">
        <v>42786</v>
      </c>
      <c r="Q7" s="22">
        <v>1.0007088354250928</v>
      </c>
      <c r="S7" s="9" t="s">
        <v>0</v>
      </c>
      <c r="T7" s="12" t="s">
        <v>29</v>
      </c>
      <c r="U7" s="35">
        <v>42668</v>
      </c>
      <c r="V7" s="22">
        <v>1.0001100089923354</v>
      </c>
    </row>
    <row r="8" spans="1:22" x14ac:dyDescent="0.2">
      <c r="D8" s="3" t="s">
        <v>15</v>
      </c>
      <c r="E8" s="19" t="str">
        <f>UPPER(PdgCurvePrefix&amp;"."&amp;E3)</f>
        <v>PRCBRK.EURON</v>
      </c>
      <c r="F8" s="35">
        <v>42682</v>
      </c>
      <c r="G8" s="22">
        <v>1.0002418834535169</v>
      </c>
      <c r="I8" s="3" t="s">
        <v>15</v>
      </c>
      <c r="J8" s="11" t="str">
        <f>UPPER(PdgCurvePrefix&amp;"."&amp;J3)</f>
        <v>PRCBRK.EUR3M</v>
      </c>
      <c r="K8" s="35">
        <v>42814</v>
      </c>
      <c r="L8" s="22">
        <v>1.0013199639633601</v>
      </c>
      <c r="N8" s="3" t="s">
        <v>15</v>
      </c>
      <c r="O8" s="11" t="str">
        <f>UPPER(PdgCurvePrefix&amp;"."&amp;O3)</f>
        <v>PRCBRK.EUR6M</v>
      </c>
      <c r="P8" s="35">
        <v>42814</v>
      </c>
      <c r="Q8" s="22">
        <v>1.0008673266035513</v>
      </c>
      <c r="S8" s="3" t="s">
        <v>15</v>
      </c>
      <c r="T8" s="11" t="str">
        <f>UPPER(PdgCurvePrefix&amp;"."&amp;T3)</f>
        <v>PRCBRK.EURSTD</v>
      </c>
      <c r="U8" s="35">
        <v>42675</v>
      </c>
      <c r="V8" s="22">
        <v>1.0001800264954153</v>
      </c>
    </row>
    <row r="9" spans="1:22" x14ac:dyDescent="0.2">
      <c r="D9" s="3" t="s">
        <v>14</v>
      </c>
      <c r="E9" s="6" t="s">
        <v>41</v>
      </c>
      <c r="F9" s="35">
        <v>42692</v>
      </c>
      <c r="G9" s="22">
        <v>1.0003380464635501</v>
      </c>
      <c r="I9" s="3" t="s">
        <v>14</v>
      </c>
      <c r="J9" s="13" t="s">
        <v>41</v>
      </c>
      <c r="K9" s="35">
        <v>42843</v>
      </c>
      <c r="L9" s="22">
        <v>1.001572196029973</v>
      </c>
      <c r="N9" s="3" t="s">
        <v>14</v>
      </c>
      <c r="O9" s="13" t="s">
        <v>41</v>
      </c>
      <c r="P9" s="35">
        <v>42843</v>
      </c>
      <c r="Q9" s="22">
        <v>1.0010354376888975</v>
      </c>
      <c r="S9" s="3" t="s">
        <v>14</v>
      </c>
      <c r="T9" s="13" t="s">
        <v>24</v>
      </c>
      <c r="U9" s="35">
        <v>42682</v>
      </c>
      <c r="V9" s="22">
        <v>1.0002500538030044</v>
      </c>
    </row>
    <row r="10" spans="1:22" x14ac:dyDescent="0.2">
      <c r="D10" s="3" t="s">
        <v>13</v>
      </c>
      <c r="E10" s="6" t="s">
        <v>23</v>
      </c>
      <c r="F10" s="35">
        <v>42718</v>
      </c>
      <c r="G10" s="22">
        <v>1.0005882270949547</v>
      </c>
      <c r="I10" s="3" t="s">
        <v>13</v>
      </c>
      <c r="J10" s="13" t="s">
        <v>23</v>
      </c>
      <c r="K10" s="35">
        <v>42873</v>
      </c>
      <c r="L10" s="22">
        <v>1.0018317929206582</v>
      </c>
      <c r="N10" s="3" t="s">
        <v>13</v>
      </c>
      <c r="O10" s="13" t="s">
        <v>23</v>
      </c>
      <c r="P10" s="35">
        <v>42873</v>
      </c>
      <c r="Q10" s="22">
        <v>1.0011970899334124</v>
      </c>
      <c r="S10" s="3" t="s">
        <v>13</v>
      </c>
      <c r="T10" s="13" t="s">
        <v>23</v>
      </c>
      <c r="U10" s="35">
        <v>42692</v>
      </c>
      <c r="V10" s="22">
        <v>1.0003501098257519</v>
      </c>
    </row>
    <row r="11" spans="1:22" x14ac:dyDescent="0.2">
      <c r="D11" s="3" t="s">
        <v>12</v>
      </c>
      <c r="E11" s="6" t="s">
        <v>11</v>
      </c>
      <c r="F11" s="35">
        <v>42760</v>
      </c>
      <c r="G11" s="22">
        <v>1.0010039774135735</v>
      </c>
      <c r="I11" s="3" t="s">
        <v>12</v>
      </c>
      <c r="J11" s="13" t="s">
        <v>11</v>
      </c>
      <c r="K11" s="35">
        <v>42905</v>
      </c>
      <c r="L11" s="22">
        <v>1.002105171098598</v>
      </c>
      <c r="N11" s="3" t="s">
        <v>12</v>
      </c>
      <c r="O11" s="13" t="s">
        <v>11</v>
      </c>
      <c r="P11" s="35">
        <v>42905</v>
      </c>
      <c r="Q11" s="22">
        <v>1.0013716024113368</v>
      </c>
      <c r="S11" s="3" t="s">
        <v>12</v>
      </c>
      <c r="T11" s="13" t="s">
        <v>11</v>
      </c>
      <c r="U11" s="35">
        <v>42723</v>
      </c>
      <c r="V11" s="22">
        <v>1.0006086805584902</v>
      </c>
    </row>
    <row r="12" spans="1:22" x14ac:dyDescent="0.2">
      <c r="D12" s="4" t="s">
        <v>8</v>
      </c>
      <c r="E12" s="7" t="s">
        <v>36</v>
      </c>
      <c r="F12" s="35">
        <v>42809</v>
      </c>
      <c r="G12" s="22">
        <v>1.0015056204513137</v>
      </c>
      <c r="I12" s="4" t="s">
        <v>8</v>
      </c>
      <c r="J12" s="14" t="s">
        <v>36</v>
      </c>
      <c r="K12" s="35">
        <v>42934</v>
      </c>
      <c r="L12" s="22">
        <v>1.002362726099961</v>
      </c>
      <c r="N12" s="4" t="s">
        <v>8</v>
      </c>
      <c r="O12" s="14" t="s">
        <v>36</v>
      </c>
      <c r="P12" s="35">
        <v>42934</v>
      </c>
      <c r="Q12" s="22">
        <v>1.0015302344905983</v>
      </c>
      <c r="S12" s="4" t="s">
        <v>8</v>
      </c>
      <c r="T12" s="14" t="s">
        <v>36</v>
      </c>
      <c r="U12" s="35">
        <v>42753</v>
      </c>
      <c r="V12" s="22">
        <v>1.0007816917232386</v>
      </c>
    </row>
    <row r="13" spans="1:22" x14ac:dyDescent="0.2">
      <c r="D13" s="9" t="s">
        <v>68</v>
      </c>
      <c r="E13" s="18">
        <f>VLOOKUP(E12,dvDayCount,2,FALSE)</f>
        <v>5</v>
      </c>
      <c r="F13" s="35">
        <v>42858</v>
      </c>
      <c r="G13" s="22">
        <v>1.0020238894741482</v>
      </c>
      <c r="I13" s="9" t="s">
        <v>68</v>
      </c>
      <c r="J13" s="1">
        <f>VLOOKUP(J12,dvDayCount,2,FALSE)</f>
        <v>5</v>
      </c>
      <c r="K13" s="35">
        <v>42965</v>
      </c>
      <c r="L13" s="22">
        <v>1.0026337885477523</v>
      </c>
      <c r="N13" s="9" t="s">
        <v>68</v>
      </c>
      <c r="O13" s="1">
        <f>VLOOKUP(O12,dvDayCount,2,FALSE)</f>
        <v>5</v>
      </c>
      <c r="P13" s="35">
        <v>42965</v>
      </c>
      <c r="Q13" s="22">
        <v>1.0016910499756513</v>
      </c>
      <c r="S13" s="9" t="s">
        <v>68</v>
      </c>
      <c r="T13" s="1">
        <f>VLOOKUP(T12,dvDayCount,2,FALSE)</f>
        <v>5</v>
      </c>
      <c r="U13" s="35">
        <v>42786</v>
      </c>
      <c r="V13" s="22">
        <v>1.0009436309585436</v>
      </c>
    </row>
    <row r="14" spans="1:22" x14ac:dyDescent="0.2">
      <c r="D14" s="3" t="s">
        <v>10</v>
      </c>
      <c r="E14" s="19">
        <f>COUNT(F3:F102)</f>
        <v>35</v>
      </c>
      <c r="F14" s="35">
        <v>42900</v>
      </c>
      <c r="G14" s="22">
        <v>1.002477677702923</v>
      </c>
      <c r="I14" s="3" t="s">
        <v>10</v>
      </c>
      <c r="J14" s="11">
        <f>COUNT(K3:K102)</f>
        <v>38</v>
      </c>
      <c r="K14" s="35">
        <v>42996</v>
      </c>
      <c r="L14" s="22">
        <v>1.0029037841946895</v>
      </c>
      <c r="N14" s="3" t="s">
        <v>10</v>
      </c>
      <c r="O14" s="11">
        <f>COUNT(P3:P102)</f>
        <v>44</v>
      </c>
      <c r="P14" s="35">
        <v>42996</v>
      </c>
      <c r="Q14" s="22">
        <v>1.0018548015113622</v>
      </c>
      <c r="S14" s="3" t="s">
        <v>10</v>
      </c>
      <c r="T14" s="11">
        <f>COUNT(U3:U102)</f>
        <v>55</v>
      </c>
      <c r="U14" s="35">
        <v>42814</v>
      </c>
      <c r="V14" s="22">
        <v>1.0009759137710825</v>
      </c>
    </row>
    <row r="15" spans="1:22" x14ac:dyDescent="0.2">
      <c r="D15" s="4" t="s">
        <v>9</v>
      </c>
      <c r="E15" s="39">
        <f>NowNV(_xll.xlPushShmLiborCurveName(E7,E8,F3:INDEX(F3:F102,E14),G3:INDEX(G3:G102,E14),E9,E10,E11,E13))</f>
        <v>42657.723449074074</v>
      </c>
      <c r="F15" s="35">
        <v>42942</v>
      </c>
      <c r="G15" s="22">
        <v>1.0029375245579339</v>
      </c>
      <c r="I15" s="4" t="s">
        <v>9</v>
      </c>
      <c r="J15" s="28">
        <f>NowNV(_xll.xlPushShmLiborCurveName(J7,J8,K3:INDEX(K3:K102,J14),L3:INDEX(L3:L102,J14),J9,J10,J11,J13))</f>
        <v>42657.723449074074</v>
      </c>
      <c r="K15" s="35">
        <v>43026</v>
      </c>
      <c r="L15" s="22">
        <v>1.0031728439032428</v>
      </c>
      <c r="N15" s="4" t="s">
        <v>9</v>
      </c>
      <c r="O15" s="28">
        <f>NowNV(_xll.xlPushShmLiborCurveName(O7,O8,P3:INDEX(P3:P102,O14),Q3:INDEX(Q3:Q102,O14),O9,O10,O11,O13))</f>
        <v>42657.723449074074</v>
      </c>
      <c r="P15" s="35">
        <v>43026</v>
      </c>
      <c r="Q15" s="22">
        <v>1.0020235999624081</v>
      </c>
      <c r="S15" s="4" t="s">
        <v>9</v>
      </c>
      <c r="T15" s="28">
        <f>NowNV(_xll.xlPushShmLiborCurveName(T7,T8,U3:INDEX(U3:U102,T14),V3:INDEX(V3:V102,T14),T9,T10,T11,T13))</f>
        <v>42657.723449074074</v>
      </c>
      <c r="U15" s="35">
        <v>42843</v>
      </c>
      <c r="V15" s="22">
        <v>1.001001518861768</v>
      </c>
    </row>
    <row r="16" spans="1:22" x14ac:dyDescent="0.2">
      <c r="D16" s="4" t="s">
        <v>74</v>
      </c>
      <c r="E16" s="42" t="str">
        <f>E8&amp;T(TYPE(E15))</f>
        <v>PRCBRK.EURON</v>
      </c>
      <c r="F16" s="35">
        <v>42991</v>
      </c>
      <c r="G16" s="22">
        <v>1.0034852323726873</v>
      </c>
      <c r="I16" s="4" t="s">
        <v>74</v>
      </c>
      <c r="J16" s="42" t="str">
        <f>J8&amp;T(TYPE(J15))</f>
        <v>PRCBRK.EUR3M</v>
      </c>
      <c r="K16" s="35">
        <v>43059</v>
      </c>
      <c r="L16" s="22">
        <v>1.003467000647303</v>
      </c>
      <c r="N16" s="4" t="s">
        <v>74</v>
      </c>
      <c r="O16" s="42" t="str">
        <f>O8&amp;T(TYPE(O15))</f>
        <v>PRCBRK.EUR6M</v>
      </c>
      <c r="P16" s="35">
        <v>43059</v>
      </c>
      <c r="Q16" s="22">
        <v>1.0022016300339163</v>
      </c>
      <c r="S16" s="4" t="s">
        <v>74</v>
      </c>
      <c r="T16" s="42" t="str">
        <f>T8&amp;T(TYPE(T15))</f>
        <v>PRCBRK.EURSTD</v>
      </c>
      <c r="U16" s="35">
        <v>42873</v>
      </c>
      <c r="V16" s="22">
        <v>1.0009831498595736</v>
      </c>
    </row>
    <row r="17" spans="6:22" x14ac:dyDescent="0.2">
      <c r="F17" s="35">
        <v>43118</v>
      </c>
      <c r="G17" s="22">
        <v>1.0049347968987963</v>
      </c>
      <c r="K17" s="35">
        <v>43087</v>
      </c>
      <c r="L17" s="22">
        <v>1.0037131394371961</v>
      </c>
      <c r="P17" s="35">
        <v>43087</v>
      </c>
      <c r="Q17" s="22">
        <v>1.0023546946194468</v>
      </c>
      <c r="U17" s="35">
        <v>42905</v>
      </c>
      <c r="V17" s="22">
        <v>1.000989829418732</v>
      </c>
    </row>
    <row r="18" spans="6:22" x14ac:dyDescent="0.2">
      <c r="F18" s="35">
        <v>43208</v>
      </c>
      <c r="G18" s="22">
        <v>1.005977894344668</v>
      </c>
      <c r="K18" s="35">
        <v>43118</v>
      </c>
      <c r="L18" s="22">
        <v>1.0039913199381814</v>
      </c>
      <c r="P18" s="35">
        <v>43118</v>
      </c>
      <c r="Q18" s="22">
        <v>1.0025191639503439</v>
      </c>
      <c r="U18" s="35">
        <v>42906</v>
      </c>
      <c r="V18" s="22">
        <v>1.0009843206977478</v>
      </c>
    </row>
    <row r="19" spans="6:22" x14ac:dyDescent="0.2">
      <c r="F19" s="35">
        <v>43299</v>
      </c>
      <c r="G19" s="22">
        <v>1.0070413828855431</v>
      </c>
      <c r="K19" s="35">
        <v>43179</v>
      </c>
      <c r="L19" s="22">
        <v>1.0045345190424859</v>
      </c>
      <c r="P19" s="35">
        <v>43150</v>
      </c>
      <c r="Q19" s="22">
        <v>1.0026906768754185</v>
      </c>
      <c r="U19" s="35">
        <v>42934</v>
      </c>
      <c r="V19" s="22">
        <v>1.000950866580294</v>
      </c>
    </row>
    <row r="20" spans="6:22" x14ac:dyDescent="0.2">
      <c r="F20" s="35">
        <v>43391</v>
      </c>
      <c r="G20" s="22">
        <v>1.0080976978348353</v>
      </c>
      <c r="K20" s="35">
        <v>43272</v>
      </c>
      <c r="L20" s="22">
        <v>1.0053591224938756</v>
      </c>
      <c r="P20" s="35">
        <v>43178</v>
      </c>
      <c r="Q20" s="22">
        <v>1.0028383630925835</v>
      </c>
      <c r="U20" s="35">
        <v>42999</v>
      </c>
      <c r="V20" s="22">
        <v>1.0017836634237947</v>
      </c>
    </row>
    <row r="21" spans="6:22" x14ac:dyDescent="0.2">
      <c r="F21" s="35">
        <v>43756</v>
      </c>
      <c r="G21" s="22">
        <v>1.0119049660896038</v>
      </c>
      <c r="K21" s="35">
        <v>43363</v>
      </c>
      <c r="L21" s="22">
        <v>1.0061538365422327</v>
      </c>
      <c r="P21" s="35">
        <v>43208</v>
      </c>
      <c r="Q21" s="22">
        <v>1.0029971758878251</v>
      </c>
      <c r="U21" s="35">
        <v>43089</v>
      </c>
      <c r="V21" s="22">
        <v>1.0025737255900258</v>
      </c>
    </row>
    <row r="22" spans="6:22" x14ac:dyDescent="0.2">
      <c r="F22" s="35">
        <v>44123</v>
      </c>
      <c r="G22" s="22">
        <v>1.0146368852869405</v>
      </c>
      <c r="K22" s="35">
        <v>43453</v>
      </c>
      <c r="L22" s="22">
        <v>1.0069151621148147</v>
      </c>
      <c r="P22" s="35">
        <v>43238</v>
      </c>
      <c r="Q22" s="22">
        <v>1.0031544104320715</v>
      </c>
      <c r="U22" s="35">
        <v>43179</v>
      </c>
      <c r="V22" s="22">
        <v>1.0033764267314804</v>
      </c>
    </row>
    <row r="23" spans="6:22" x14ac:dyDescent="0.2">
      <c r="F23" s="35">
        <v>44487</v>
      </c>
      <c r="G23" s="22">
        <v>1.0153694311778141</v>
      </c>
      <c r="K23" s="35">
        <v>43543</v>
      </c>
      <c r="L23" s="22">
        <v>1.0076394029361417</v>
      </c>
      <c r="P23" s="35">
        <v>43269</v>
      </c>
      <c r="Q23" s="22">
        <v>1.0033184377187812</v>
      </c>
      <c r="U23" s="35">
        <v>43272</v>
      </c>
      <c r="V23" s="22">
        <v>1.0042036058415191</v>
      </c>
    </row>
    <row r="24" spans="6:22" x14ac:dyDescent="0.2">
      <c r="F24" s="35">
        <v>44852</v>
      </c>
      <c r="G24" s="22">
        <v>1.0136417108206015</v>
      </c>
      <c r="K24" s="35">
        <v>43636</v>
      </c>
      <c r="L24" s="22">
        <v>1.0083235399812596</v>
      </c>
      <c r="P24" s="35">
        <v>43299</v>
      </c>
      <c r="Q24" s="22">
        <v>1.0034676638856306</v>
      </c>
      <c r="U24" s="35">
        <v>43363</v>
      </c>
      <c r="V24" s="22">
        <v>1.005002089278936</v>
      </c>
    </row>
    <row r="25" spans="6:22" x14ac:dyDescent="0.2">
      <c r="F25" s="35">
        <v>45217</v>
      </c>
      <c r="G25" s="22">
        <v>1.0090120585594025</v>
      </c>
      <c r="K25" s="35">
        <v>43756</v>
      </c>
      <c r="L25" s="22">
        <v>1.0091233514809057</v>
      </c>
      <c r="P25" s="35">
        <v>43332</v>
      </c>
      <c r="Q25" s="22">
        <v>1.0036242704745215</v>
      </c>
      <c r="U25" s="35">
        <v>43453</v>
      </c>
      <c r="V25" s="22">
        <v>1.0057684856978646</v>
      </c>
    </row>
    <row r="26" spans="6:22" x14ac:dyDescent="0.2">
      <c r="F26" s="35">
        <v>45583</v>
      </c>
      <c r="G26" s="22">
        <v>1.0016792052332681</v>
      </c>
      <c r="K26" s="35">
        <v>44123</v>
      </c>
      <c r="L26" s="22">
        <v>1.0106551731690046</v>
      </c>
      <c r="P26" s="35">
        <v>43361</v>
      </c>
      <c r="Q26" s="22">
        <v>1.0037622518786204</v>
      </c>
      <c r="U26" s="35">
        <v>43756</v>
      </c>
      <c r="V26" s="22">
        <v>1.0050297725703481</v>
      </c>
    </row>
    <row r="27" spans="6:22" x14ac:dyDescent="0.2">
      <c r="F27" s="35">
        <v>45950</v>
      </c>
      <c r="G27" s="22">
        <v>0.99184563674070614</v>
      </c>
      <c r="K27" s="35">
        <v>44487</v>
      </c>
      <c r="L27" s="22">
        <v>1.0101469628573654</v>
      </c>
      <c r="P27" s="35">
        <v>43391</v>
      </c>
      <c r="Q27" s="22">
        <v>1.00390043530452</v>
      </c>
      <c r="U27" s="35">
        <v>44123</v>
      </c>
      <c r="V27" s="22">
        <v>1.0049137267107655</v>
      </c>
    </row>
    <row r="28" spans="6:22" x14ac:dyDescent="0.2">
      <c r="F28" s="35">
        <v>46314</v>
      </c>
      <c r="G28" s="22">
        <v>0.98035708711161806</v>
      </c>
      <c r="K28" s="35">
        <v>44852</v>
      </c>
      <c r="L28" s="22">
        <v>1.0072867633551998</v>
      </c>
      <c r="P28" s="35">
        <v>43756</v>
      </c>
      <c r="Q28" s="22">
        <v>1.0050668199789579</v>
      </c>
      <c r="U28" s="35">
        <v>44487</v>
      </c>
      <c r="V28" s="22">
        <v>1.0027301106514295</v>
      </c>
    </row>
    <row r="29" spans="6:22" x14ac:dyDescent="0.2">
      <c r="F29" s="35">
        <v>46678</v>
      </c>
      <c r="G29" s="22">
        <v>0.96785022617578875</v>
      </c>
      <c r="K29" s="35">
        <v>45217</v>
      </c>
      <c r="L29" s="22">
        <v>1.0016725604524848</v>
      </c>
      <c r="P29" s="35">
        <v>44123</v>
      </c>
      <c r="Q29" s="22">
        <v>1.0049588018766873</v>
      </c>
      <c r="U29" s="35">
        <v>44852</v>
      </c>
      <c r="V29" s="22">
        <v>0.99828405446361934</v>
      </c>
    </row>
    <row r="30" spans="6:22" x14ac:dyDescent="0.2">
      <c r="F30" s="35">
        <v>47044</v>
      </c>
      <c r="G30" s="22">
        <v>0.95460826284144151</v>
      </c>
      <c r="K30" s="35">
        <v>45583</v>
      </c>
      <c r="L30" s="22">
        <v>0.99332624023900828</v>
      </c>
      <c r="P30" s="35">
        <v>44487</v>
      </c>
      <c r="Q30" s="22">
        <v>1.0027935791502924</v>
      </c>
      <c r="U30" s="35">
        <v>45217</v>
      </c>
      <c r="V30" s="22">
        <v>0.99120738373367234</v>
      </c>
    </row>
    <row r="31" spans="6:22" x14ac:dyDescent="0.2">
      <c r="F31" s="35">
        <v>48141</v>
      </c>
      <c r="G31" s="22">
        <v>0.91468259564980614</v>
      </c>
      <c r="K31" s="35">
        <v>45950</v>
      </c>
      <c r="L31" s="22">
        <v>0.98260251751929284</v>
      </c>
      <c r="P31" s="35">
        <v>44852</v>
      </c>
      <c r="Q31" s="22">
        <v>0.99837994518716033</v>
      </c>
      <c r="U31" s="35">
        <v>45583</v>
      </c>
      <c r="V31" s="22">
        <v>0.98166956870072763</v>
      </c>
    </row>
    <row r="32" spans="6:22" x14ac:dyDescent="0.2">
      <c r="F32" s="35">
        <v>49968</v>
      </c>
      <c r="G32" s="22">
        <v>0.85680484117229994</v>
      </c>
      <c r="K32" s="35">
        <v>46314</v>
      </c>
      <c r="L32" s="22">
        <v>0.97047127922637078</v>
      </c>
      <c r="P32" s="35">
        <v>45217</v>
      </c>
      <c r="Q32" s="22">
        <v>0.99135436373328056</v>
      </c>
      <c r="U32" s="35">
        <v>45950</v>
      </c>
      <c r="V32" s="22">
        <v>0.97011042586764107</v>
      </c>
    </row>
    <row r="33" spans="6:22" x14ac:dyDescent="0.2">
      <c r="F33" s="35">
        <v>51792</v>
      </c>
      <c r="G33" s="22">
        <v>0.81236372755749275</v>
      </c>
      <c r="K33" s="35">
        <v>47044</v>
      </c>
      <c r="L33" s="22">
        <v>0.94340040930789792</v>
      </c>
      <c r="P33" s="35">
        <v>45583</v>
      </c>
      <c r="Q33" s="22">
        <v>0.98188669613836932</v>
      </c>
      <c r="U33" s="35">
        <v>46314</v>
      </c>
      <c r="V33" s="22">
        <v>0.95730784955047166</v>
      </c>
    </row>
    <row r="34" spans="6:22" x14ac:dyDescent="0.2">
      <c r="F34" s="35">
        <v>53618</v>
      </c>
      <c r="G34" s="22">
        <v>0.77368606358207137</v>
      </c>
      <c r="K34" s="35">
        <v>48141</v>
      </c>
      <c r="L34" s="22">
        <v>0.90197572488905753</v>
      </c>
      <c r="P34" s="35">
        <v>45950</v>
      </c>
      <c r="Q34" s="22">
        <v>0.97041255861138542</v>
      </c>
      <c r="U34" s="35">
        <v>46678</v>
      </c>
      <c r="V34" s="22">
        <v>0.94370236484791559</v>
      </c>
    </row>
    <row r="35" spans="6:22" x14ac:dyDescent="0.2">
      <c r="F35" s="35">
        <v>57271</v>
      </c>
      <c r="G35" s="22">
        <v>0.71201684068108884</v>
      </c>
      <c r="K35" s="35">
        <v>49968</v>
      </c>
      <c r="L35" s="22">
        <v>0.84344904463134818</v>
      </c>
      <c r="P35" s="35">
        <v>46314</v>
      </c>
      <c r="Q35" s="22">
        <v>0.95770142115903123</v>
      </c>
      <c r="U35" s="35">
        <v>47044</v>
      </c>
      <c r="V35" s="22">
        <v>0.92968881440422579</v>
      </c>
    </row>
    <row r="36" spans="6:22" x14ac:dyDescent="0.2">
      <c r="F36" s="35">
        <v>60923</v>
      </c>
      <c r="G36" s="22">
        <v>0.67196945390293117</v>
      </c>
      <c r="K36" s="35">
        <v>51792</v>
      </c>
      <c r="L36" s="22">
        <v>0.79826023839692617</v>
      </c>
      <c r="P36" s="35">
        <v>47044</v>
      </c>
      <c r="Q36" s="22">
        <v>0.93026571812441672</v>
      </c>
      <c r="U36" s="35">
        <v>47409</v>
      </c>
      <c r="V36" s="22">
        <v>0.9157169688520177</v>
      </c>
    </row>
    <row r="37" spans="6:22" x14ac:dyDescent="0.2">
      <c r="F37" s="35">
        <v>64577</v>
      </c>
      <c r="G37" s="22">
        <v>0.63223995322921345</v>
      </c>
      <c r="K37" s="35">
        <v>53618</v>
      </c>
      <c r="L37" s="22">
        <v>0.75943720247880608</v>
      </c>
      <c r="P37" s="35">
        <v>48141</v>
      </c>
      <c r="Q37" s="22">
        <v>0.88910168984542948</v>
      </c>
      <c r="U37" s="35">
        <v>47774</v>
      </c>
      <c r="V37" s="22">
        <v>0.90184419459354548</v>
      </c>
    </row>
    <row r="38" spans="6:22" x14ac:dyDescent="0.2">
      <c r="F38" s="35" t="e">
        <v>#N/A</v>
      </c>
      <c r="G38" s="22" t="e">
        <v>#N/A</v>
      </c>
      <c r="K38" s="35">
        <v>57271</v>
      </c>
      <c r="L38" s="22">
        <v>0.69765987700916676</v>
      </c>
      <c r="P38" s="35">
        <v>49968</v>
      </c>
      <c r="Q38" s="22">
        <v>0.83096744794113608</v>
      </c>
      <c r="U38" s="35">
        <v>48141</v>
      </c>
      <c r="V38" s="22">
        <v>0.88829761707559374</v>
      </c>
    </row>
    <row r="39" spans="6:22" x14ac:dyDescent="0.2">
      <c r="F39" s="35" t="e">
        <v>#N/A</v>
      </c>
      <c r="G39" s="22" t="e">
        <v>#N/A</v>
      </c>
      <c r="K39" s="35">
        <v>60923</v>
      </c>
      <c r="L39" s="22">
        <v>0.65733514702846185</v>
      </c>
      <c r="P39" s="35">
        <v>51792</v>
      </c>
      <c r="Q39" s="22">
        <v>0.78626058433754964</v>
      </c>
      <c r="U39" s="35">
        <v>48505</v>
      </c>
      <c r="V39" s="22">
        <v>0.87544479055762225</v>
      </c>
    </row>
    <row r="40" spans="6:22" x14ac:dyDescent="0.2">
      <c r="F40" s="35" t="e">
        <v>#N/A</v>
      </c>
      <c r="G40" s="22" t="e">
        <v>#N/A</v>
      </c>
      <c r="K40" s="35">
        <v>64577</v>
      </c>
      <c r="L40" s="22">
        <v>0.61805375147946462</v>
      </c>
      <c r="P40" s="35">
        <v>53618</v>
      </c>
      <c r="Q40" s="22">
        <v>0.74817614964687318</v>
      </c>
      <c r="U40" s="35">
        <v>48870</v>
      </c>
      <c r="V40" s="22">
        <v>0.86309567923066488</v>
      </c>
    </row>
    <row r="41" spans="6:22" x14ac:dyDescent="0.2">
      <c r="F41" s="35" t="e">
        <v>#N/A</v>
      </c>
      <c r="G41" s="22" t="e">
        <v>#N/A</v>
      </c>
      <c r="K41" s="35" t="e">
        <v>#N/A</v>
      </c>
      <c r="L41" s="22" t="e">
        <v>#N/A</v>
      </c>
      <c r="P41" s="35">
        <v>55444</v>
      </c>
      <c r="Q41" s="22">
        <v>0.71564705681922991</v>
      </c>
      <c r="U41" s="35">
        <v>49235</v>
      </c>
      <c r="V41" s="22">
        <v>0.85147487936369304</v>
      </c>
    </row>
    <row r="42" spans="6:22" x14ac:dyDescent="0.2">
      <c r="F42" s="35" t="e">
        <v>#N/A</v>
      </c>
      <c r="G42" s="22" t="e">
        <v>#N/A</v>
      </c>
      <c r="K42" s="35" t="e">
        <v>#N/A</v>
      </c>
      <c r="L42" s="22" t="e">
        <v>#N/A</v>
      </c>
      <c r="P42" s="35">
        <v>57271</v>
      </c>
      <c r="Q42" s="22">
        <v>0.68736651067420762</v>
      </c>
      <c r="U42" s="35">
        <v>49600</v>
      </c>
      <c r="V42" s="22">
        <v>0.84040678973075555</v>
      </c>
    </row>
    <row r="43" spans="6:22" x14ac:dyDescent="0.2">
      <c r="F43" s="35" t="e">
        <v>#N/A</v>
      </c>
      <c r="G43" s="22" t="e">
        <v>#N/A</v>
      </c>
      <c r="K43" s="35" t="e">
        <v>#N/A</v>
      </c>
      <c r="L43" s="22" t="e">
        <v>#N/A</v>
      </c>
      <c r="P43" s="35">
        <v>59099</v>
      </c>
      <c r="Q43" s="22">
        <v>0.66482655225364196</v>
      </c>
      <c r="U43" s="35">
        <v>49968</v>
      </c>
      <c r="V43" s="22">
        <v>0.82997688677221015</v>
      </c>
    </row>
    <row r="44" spans="6:22" x14ac:dyDescent="0.2">
      <c r="F44" s="35" t="e">
        <v>#N/A</v>
      </c>
      <c r="G44" s="22" t="e">
        <v>#N/A</v>
      </c>
      <c r="K44" s="35" t="e">
        <v>#N/A</v>
      </c>
      <c r="L44" s="22" t="e">
        <v>#N/A</v>
      </c>
      <c r="P44" s="35">
        <v>60923</v>
      </c>
      <c r="Q44" s="22">
        <v>0.64801582732506713</v>
      </c>
      <c r="U44" s="35">
        <v>50332</v>
      </c>
      <c r="V44" s="22">
        <v>0.82021666016656058</v>
      </c>
    </row>
    <row r="45" spans="6:22" x14ac:dyDescent="0.2">
      <c r="F45" s="35" t="e">
        <v>#N/A</v>
      </c>
      <c r="G45" s="22" t="e">
        <v>#N/A</v>
      </c>
      <c r="K45" s="35" t="e">
        <v>#N/A</v>
      </c>
      <c r="L45" s="22" t="e">
        <v>#N/A</v>
      </c>
      <c r="P45" s="35">
        <v>62750</v>
      </c>
      <c r="Q45" s="22">
        <v>0.6283344546671098</v>
      </c>
      <c r="U45" s="35">
        <v>50696</v>
      </c>
      <c r="V45" s="22">
        <v>0.81095768524684919</v>
      </c>
    </row>
    <row r="46" spans="6:22" x14ac:dyDescent="0.2">
      <c r="F46" s="35" t="e">
        <v>#N/A</v>
      </c>
      <c r="G46" s="22" t="e">
        <v>#N/A</v>
      </c>
      <c r="K46" s="35" t="e">
        <v>#N/A</v>
      </c>
      <c r="L46" s="22" t="e">
        <v>#N/A</v>
      </c>
      <c r="P46" s="35">
        <v>64577</v>
      </c>
      <c r="Q46" s="22">
        <v>0.60942708520353728</v>
      </c>
      <c r="U46" s="35">
        <v>51061</v>
      </c>
      <c r="V46" s="22">
        <v>0.8020393665047123</v>
      </c>
    </row>
    <row r="47" spans="6:22" x14ac:dyDescent="0.2">
      <c r="F47" s="35" t="e">
        <v>#N/A</v>
      </c>
      <c r="G47" s="22" t="e">
        <v>#N/A</v>
      </c>
      <c r="K47" s="35" t="e">
        <v>#N/A</v>
      </c>
      <c r="L47" s="22" t="e">
        <v>#N/A</v>
      </c>
      <c r="P47" s="35" t="e">
        <v>#N/A</v>
      </c>
      <c r="Q47" s="22" t="e">
        <v>#N/A</v>
      </c>
      <c r="U47" s="35">
        <v>51427</v>
      </c>
      <c r="V47" s="22">
        <v>0.7935285521042803</v>
      </c>
    </row>
    <row r="48" spans="6:22" x14ac:dyDescent="0.2">
      <c r="F48" s="35" t="e">
        <v>#N/A</v>
      </c>
      <c r="G48" s="22" t="e">
        <v>#N/A</v>
      </c>
      <c r="K48" s="35" t="e">
        <v>#N/A</v>
      </c>
      <c r="L48" s="22" t="e">
        <v>#N/A</v>
      </c>
      <c r="P48" s="35" t="e">
        <v>#N/A</v>
      </c>
      <c r="Q48" s="22" t="e">
        <v>#N/A</v>
      </c>
      <c r="U48" s="35">
        <v>51792</v>
      </c>
      <c r="V48" s="22">
        <v>0.78524429224934389</v>
      </c>
    </row>
    <row r="49" spans="6:22" x14ac:dyDescent="0.2">
      <c r="F49" s="35" t="e">
        <v>#N/A</v>
      </c>
      <c r="G49" s="22" t="e">
        <v>#N/A</v>
      </c>
      <c r="K49" s="35" t="e">
        <v>#N/A</v>
      </c>
      <c r="L49" s="22" t="e">
        <v>#N/A</v>
      </c>
      <c r="P49" s="35" t="e">
        <v>#N/A</v>
      </c>
      <c r="Q49" s="22" t="e">
        <v>#N/A</v>
      </c>
      <c r="U49" s="35">
        <v>52159</v>
      </c>
      <c r="V49" s="22">
        <v>0.7771683234336243</v>
      </c>
    </row>
    <row r="50" spans="6:22" x14ac:dyDescent="0.2">
      <c r="F50" s="35" t="e">
        <v>#N/A</v>
      </c>
      <c r="G50" s="22" t="e">
        <v>#N/A</v>
      </c>
      <c r="K50" s="35" t="e">
        <v>#N/A</v>
      </c>
      <c r="L50" s="22" t="e">
        <v>#N/A</v>
      </c>
      <c r="P50" s="35" t="e">
        <v>#N/A</v>
      </c>
      <c r="Q50" s="22" t="e">
        <v>#N/A</v>
      </c>
      <c r="U50" s="35">
        <v>52523</v>
      </c>
      <c r="V50" s="22">
        <v>0.76942341326521713</v>
      </c>
    </row>
    <row r="51" spans="6:22" x14ac:dyDescent="0.2">
      <c r="F51" s="35" t="e">
        <v>#N/A</v>
      </c>
      <c r="G51" s="22" t="e">
        <v>#N/A</v>
      </c>
      <c r="K51" s="35" t="e">
        <v>#N/A</v>
      </c>
      <c r="L51" s="22" t="e">
        <v>#N/A</v>
      </c>
      <c r="P51" s="35" t="e">
        <v>#N/A</v>
      </c>
      <c r="Q51" s="22" t="e">
        <v>#N/A</v>
      </c>
      <c r="U51" s="35">
        <v>52888</v>
      </c>
      <c r="V51" s="22">
        <v>0.76172078337191063</v>
      </c>
    </row>
    <row r="52" spans="6:22" x14ac:dyDescent="0.2">
      <c r="F52" s="35" t="e">
        <v>#N/A</v>
      </c>
      <c r="G52" s="22" t="e">
        <v>#N/A</v>
      </c>
      <c r="K52" s="35" t="e">
        <v>#N/A</v>
      </c>
      <c r="L52" s="22" t="e">
        <v>#N/A</v>
      </c>
      <c r="P52" s="35" t="e">
        <v>#N/A</v>
      </c>
      <c r="Q52" s="22" t="e">
        <v>#N/A</v>
      </c>
      <c r="U52" s="35">
        <v>53253</v>
      </c>
      <c r="V52" s="22">
        <v>0.75429663461955232</v>
      </c>
    </row>
    <row r="53" spans="6:22" x14ac:dyDescent="0.2">
      <c r="F53" s="35" t="e">
        <v>#N/A</v>
      </c>
      <c r="G53" s="22" t="e">
        <v>#N/A</v>
      </c>
      <c r="K53" s="35" t="e">
        <v>#N/A</v>
      </c>
      <c r="L53" s="22" t="e">
        <v>#N/A</v>
      </c>
      <c r="P53" s="35" t="e">
        <v>#N/A</v>
      </c>
      <c r="Q53" s="22" t="e">
        <v>#N/A</v>
      </c>
      <c r="U53" s="35">
        <v>53618</v>
      </c>
      <c r="V53" s="22">
        <v>0.74719084963946547</v>
      </c>
    </row>
    <row r="54" spans="6:22" x14ac:dyDescent="0.2">
      <c r="F54" s="35" t="e">
        <v>#N/A</v>
      </c>
      <c r="G54" s="22" t="e">
        <v>#N/A</v>
      </c>
      <c r="K54" s="35" t="e">
        <v>#N/A</v>
      </c>
      <c r="L54" s="22" t="e">
        <v>#N/A</v>
      </c>
      <c r="P54" s="35" t="e">
        <v>#N/A</v>
      </c>
      <c r="Q54" s="22" t="e">
        <v>#N/A</v>
      </c>
      <c r="U54" s="35">
        <v>55444</v>
      </c>
      <c r="V54" s="22">
        <v>0.7147126962993422</v>
      </c>
    </row>
    <row r="55" spans="6:22" x14ac:dyDescent="0.2">
      <c r="F55" s="35" t="e">
        <v>#N/A</v>
      </c>
      <c r="G55" s="22" t="e">
        <v>#N/A</v>
      </c>
      <c r="K55" s="35" t="e">
        <v>#N/A</v>
      </c>
      <c r="L55" s="22" t="e">
        <v>#N/A</v>
      </c>
      <c r="P55" s="35" t="e">
        <v>#N/A</v>
      </c>
      <c r="Q55" s="22" t="e">
        <v>#N/A</v>
      </c>
      <c r="U55" s="35">
        <v>57271</v>
      </c>
      <c r="V55" s="22">
        <v>0.6865053010846226</v>
      </c>
    </row>
    <row r="56" spans="6:22" x14ac:dyDescent="0.2">
      <c r="F56" s="35" t="e">
        <v>#N/A</v>
      </c>
      <c r="G56" s="22" t="e">
        <v>#N/A</v>
      </c>
      <c r="K56" s="35" t="e">
        <v>#N/A</v>
      </c>
      <c r="L56" s="22" t="e">
        <v>#N/A</v>
      </c>
      <c r="P56" s="35" t="e">
        <v>#N/A</v>
      </c>
      <c r="Q56" s="22" t="e">
        <v>#N/A</v>
      </c>
      <c r="U56" s="35">
        <v>60923</v>
      </c>
      <c r="V56" s="22">
        <v>0.64734655948371556</v>
      </c>
    </row>
    <row r="57" spans="6:22" x14ac:dyDescent="0.2">
      <c r="F57" s="35" t="e">
        <v>#N/A</v>
      </c>
      <c r="G57" s="22" t="e">
        <v>#N/A</v>
      </c>
      <c r="K57" s="35" t="e">
        <v>#N/A</v>
      </c>
      <c r="L57" s="22" t="e">
        <v>#N/A</v>
      </c>
      <c r="P57" s="35" t="e">
        <v>#N/A</v>
      </c>
      <c r="Q57" s="22" t="e">
        <v>#N/A</v>
      </c>
      <c r="U57" s="35">
        <v>64577</v>
      </c>
      <c r="V57" s="22">
        <v>0.60896533456490143</v>
      </c>
    </row>
    <row r="58" spans="6:22" x14ac:dyDescent="0.2">
      <c r="F58" s="35" t="e">
        <v>#N/A</v>
      </c>
      <c r="G58" s="22" t="e">
        <v>#N/A</v>
      </c>
      <c r="K58" s="35" t="e">
        <v>#N/A</v>
      </c>
      <c r="L58" s="22" t="e">
        <v>#N/A</v>
      </c>
      <c r="P58" s="35" t="e">
        <v>#N/A</v>
      </c>
      <c r="Q58" s="22" t="e">
        <v>#N/A</v>
      </c>
      <c r="U58" s="35" t="e">
        <v>#N/A</v>
      </c>
      <c r="V58" s="22" t="e">
        <v>#N/A</v>
      </c>
    </row>
    <row r="59" spans="6:22" x14ac:dyDescent="0.2">
      <c r="F59" s="35" t="e">
        <v>#N/A</v>
      </c>
      <c r="G59" s="22" t="e">
        <v>#N/A</v>
      </c>
      <c r="K59" s="35" t="e">
        <v>#N/A</v>
      </c>
      <c r="L59" s="22" t="e">
        <v>#N/A</v>
      </c>
      <c r="P59" s="35" t="e">
        <v>#N/A</v>
      </c>
      <c r="Q59" s="22" t="e">
        <v>#N/A</v>
      </c>
      <c r="U59" s="35" t="e">
        <v>#N/A</v>
      </c>
      <c r="V59" s="22" t="e">
        <v>#N/A</v>
      </c>
    </row>
    <row r="60" spans="6:22" x14ac:dyDescent="0.2">
      <c r="F60" s="35" t="e">
        <v>#N/A</v>
      </c>
      <c r="G60" s="22" t="e">
        <v>#N/A</v>
      </c>
      <c r="K60" s="35" t="e">
        <v>#N/A</v>
      </c>
      <c r="L60" s="22" t="e">
        <v>#N/A</v>
      </c>
      <c r="P60" s="35" t="e">
        <v>#N/A</v>
      </c>
      <c r="Q60" s="22" t="e">
        <v>#N/A</v>
      </c>
      <c r="U60" s="35" t="e">
        <v>#N/A</v>
      </c>
      <c r="V60" s="22" t="e">
        <v>#N/A</v>
      </c>
    </row>
    <row r="61" spans="6:22" x14ac:dyDescent="0.2">
      <c r="F61" s="35" t="e">
        <v>#N/A</v>
      </c>
      <c r="G61" s="22" t="e">
        <v>#N/A</v>
      </c>
      <c r="K61" s="35" t="e">
        <v>#N/A</v>
      </c>
      <c r="L61" s="22" t="e">
        <v>#N/A</v>
      </c>
      <c r="P61" s="35" t="e">
        <v>#N/A</v>
      </c>
      <c r="Q61" s="22" t="e">
        <v>#N/A</v>
      </c>
      <c r="U61" s="35" t="e">
        <v>#N/A</v>
      </c>
      <c r="V61" s="22" t="e">
        <v>#N/A</v>
      </c>
    </row>
    <row r="62" spans="6:22" x14ac:dyDescent="0.2">
      <c r="F62" s="35" t="e">
        <v>#N/A</v>
      </c>
      <c r="G62" s="22" t="e">
        <v>#N/A</v>
      </c>
      <c r="K62" s="35" t="e">
        <v>#N/A</v>
      </c>
      <c r="L62" s="22" t="e">
        <v>#N/A</v>
      </c>
      <c r="P62" s="35" t="e">
        <v>#N/A</v>
      </c>
      <c r="Q62" s="22" t="e">
        <v>#N/A</v>
      </c>
      <c r="U62" s="35" t="e">
        <v>#N/A</v>
      </c>
      <c r="V62" s="22" t="e">
        <v>#N/A</v>
      </c>
    </row>
    <row r="63" spans="6:22" x14ac:dyDescent="0.2">
      <c r="F63" s="35" t="e">
        <v>#N/A</v>
      </c>
      <c r="G63" s="22" t="e">
        <v>#N/A</v>
      </c>
      <c r="K63" s="35" t="e">
        <v>#N/A</v>
      </c>
      <c r="L63" s="22" t="e">
        <v>#N/A</v>
      </c>
      <c r="P63" s="35" t="e">
        <v>#N/A</v>
      </c>
      <c r="Q63" s="22" t="e">
        <v>#N/A</v>
      </c>
      <c r="U63" s="35" t="e">
        <v>#N/A</v>
      </c>
      <c r="V63" s="22" t="e">
        <v>#N/A</v>
      </c>
    </row>
    <row r="64" spans="6:22" x14ac:dyDescent="0.2">
      <c r="F64" s="35" t="e">
        <v>#N/A</v>
      </c>
      <c r="G64" s="22" t="e">
        <v>#N/A</v>
      </c>
      <c r="K64" s="35" t="e">
        <v>#N/A</v>
      </c>
      <c r="L64" s="22" t="e">
        <v>#N/A</v>
      </c>
      <c r="P64" s="35" t="e">
        <v>#N/A</v>
      </c>
      <c r="Q64" s="22" t="e">
        <v>#N/A</v>
      </c>
      <c r="U64" s="35" t="e">
        <v>#N/A</v>
      </c>
      <c r="V64" s="22" t="e">
        <v>#N/A</v>
      </c>
    </row>
    <row r="65" spans="6:22" x14ac:dyDescent="0.2">
      <c r="F65" s="35" t="e">
        <v>#N/A</v>
      </c>
      <c r="G65" s="22" t="e">
        <v>#N/A</v>
      </c>
      <c r="K65" s="35" t="e">
        <v>#N/A</v>
      </c>
      <c r="L65" s="22" t="e">
        <v>#N/A</v>
      </c>
      <c r="P65" s="35" t="e">
        <v>#N/A</v>
      </c>
      <c r="Q65" s="22" t="e">
        <v>#N/A</v>
      </c>
      <c r="U65" s="35" t="e">
        <v>#N/A</v>
      </c>
      <c r="V65" s="22" t="e">
        <v>#N/A</v>
      </c>
    </row>
    <row r="66" spans="6:22" x14ac:dyDescent="0.2">
      <c r="F66" s="35" t="e">
        <v>#N/A</v>
      </c>
      <c r="G66" s="22" t="e">
        <v>#N/A</v>
      </c>
      <c r="K66" s="35" t="e">
        <v>#N/A</v>
      </c>
      <c r="L66" s="22" t="e">
        <v>#N/A</v>
      </c>
      <c r="P66" s="35" t="e">
        <v>#N/A</v>
      </c>
      <c r="Q66" s="22" t="e">
        <v>#N/A</v>
      </c>
      <c r="U66" s="35" t="e">
        <v>#N/A</v>
      </c>
      <c r="V66" s="22" t="e">
        <v>#N/A</v>
      </c>
    </row>
    <row r="67" spans="6:22" x14ac:dyDescent="0.2">
      <c r="F67" s="35" t="e">
        <v>#N/A</v>
      </c>
      <c r="G67" s="22" t="e">
        <v>#N/A</v>
      </c>
      <c r="K67" s="35" t="e">
        <v>#N/A</v>
      </c>
      <c r="L67" s="22" t="e">
        <v>#N/A</v>
      </c>
      <c r="P67" s="35" t="e">
        <v>#N/A</v>
      </c>
      <c r="Q67" s="22" t="e">
        <v>#N/A</v>
      </c>
      <c r="U67" s="35" t="e">
        <v>#N/A</v>
      </c>
      <c r="V67" s="22" t="e">
        <v>#N/A</v>
      </c>
    </row>
    <row r="68" spans="6:22" x14ac:dyDescent="0.2">
      <c r="F68" s="35" t="e">
        <v>#N/A</v>
      </c>
      <c r="G68" s="22" t="e">
        <v>#N/A</v>
      </c>
      <c r="K68" s="35" t="e">
        <v>#N/A</v>
      </c>
      <c r="L68" s="22" t="e">
        <v>#N/A</v>
      </c>
      <c r="P68" s="35" t="e">
        <v>#N/A</v>
      </c>
      <c r="Q68" s="22" t="e">
        <v>#N/A</v>
      </c>
      <c r="U68" s="35" t="e">
        <v>#N/A</v>
      </c>
      <c r="V68" s="22" t="e">
        <v>#N/A</v>
      </c>
    </row>
    <row r="69" spans="6:22" x14ac:dyDescent="0.2">
      <c r="F69" s="35" t="e">
        <v>#N/A</v>
      </c>
      <c r="G69" s="22" t="e">
        <v>#N/A</v>
      </c>
      <c r="K69" s="35" t="e">
        <v>#N/A</v>
      </c>
      <c r="L69" s="22" t="e">
        <v>#N/A</v>
      </c>
      <c r="P69" s="35" t="e">
        <v>#N/A</v>
      </c>
      <c r="Q69" s="22" t="e">
        <v>#N/A</v>
      </c>
      <c r="U69" s="35" t="e">
        <v>#N/A</v>
      </c>
      <c r="V69" s="22" t="e">
        <v>#N/A</v>
      </c>
    </row>
    <row r="70" spans="6:22" x14ac:dyDescent="0.2">
      <c r="F70" s="35" t="e">
        <v>#N/A</v>
      </c>
      <c r="G70" s="22" t="e">
        <v>#N/A</v>
      </c>
      <c r="K70" s="35" t="e">
        <v>#N/A</v>
      </c>
      <c r="L70" s="22" t="e">
        <v>#N/A</v>
      </c>
      <c r="P70" s="35" t="e">
        <v>#N/A</v>
      </c>
      <c r="Q70" s="22" t="e">
        <v>#N/A</v>
      </c>
      <c r="U70" s="35" t="e">
        <v>#N/A</v>
      </c>
      <c r="V70" s="22" t="e">
        <v>#N/A</v>
      </c>
    </row>
    <row r="71" spans="6:22" x14ac:dyDescent="0.2">
      <c r="F71" s="35" t="e">
        <v>#N/A</v>
      </c>
      <c r="G71" s="22" t="e">
        <v>#N/A</v>
      </c>
      <c r="K71" s="35" t="e">
        <v>#N/A</v>
      </c>
      <c r="L71" s="22" t="e">
        <v>#N/A</v>
      </c>
      <c r="P71" s="35" t="e">
        <v>#N/A</v>
      </c>
      <c r="Q71" s="22" t="e">
        <v>#N/A</v>
      </c>
      <c r="U71" s="35" t="e">
        <v>#N/A</v>
      </c>
      <c r="V71" s="22" t="e">
        <v>#N/A</v>
      </c>
    </row>
    <row r="72" spans="6:22" x14ac:dyDescent="0.2">
      <c r="F72" s="35" t="e">
        <v>#N/A</v>
      </c>
      <c r="G72" s="22" t="e">
        <v>#N/A</v>
      </c>
      <c r="K72" s="35" t="e">
        <v>#N/A</v>
      </c>
      <c r="L72" s="22" t="e">
        <v>#N/A</v>
      </c>
      <c r="P72" s="35" t="e">
        <v>#N/A</v>
      </c>
      <c r="Q72" s="22" t="e">
        <v>#N/A</v>
      </c>
      <c r="U72" s="35" t="e">
        <v>#N/A</v>
      </c>
      <c r="V72" s="22" t="e">
        <v>#N/A</v>
      </c>
    </row>
    <row r="73" spans="6:22" x14ac:dyDescent="0.2">
      <c r="F73" s="35" t="e">
        <v>#N/A</v>
      </c>
      <c r="G73" s="22" t="e">
        <v>#N/A</v>
      </c>
      <c r="K73" s="35" t="e">
        <v>#N/A</v>
      </c>
      <c r="L73" s="22" t="e">
        <v>#N/A</v>
      </c>
      <c r="P73" s="35" t="e">
        <v>#N/A</v>
      </c>
      <c r="Q73" s="22" t="e">
        <v>#N/A</v>
      </c>
      <c r="U73" s="35" t="e">
        <v>#N/A</v>
      </c>
      <c r="V73" s="22" t="e">
        <v>#N/A</v>
      </c>
    </row>
    <row r="74" spans="6:22" x14ac:dyDescent="0.2">
      <c r="F74" s="35" t="e">
        <v>#N/A</v>
      </c>
      <c r="G74" s="22" t="e">
        <v>#N/A</v>
      </c>
      <c r="K74" s="35" t="e">
        <v>#N/A</v>
      </c>
      <c r="L74" s="22" t="e">
        <v>#N/A</v>
      </c>
      <c r="P74" s="35" t="e">
        <v>#N/A</v>
      </c>
      <c r="Q74" s="22" t="e">
        <v>#N/A</v>
      </c>
      <c r="U74" s="35" t="e">
        <v>#N/A</v>
      </c>
      <c r="V74" s="22" t="e">
        <v>#N/A</v>
      </c>
    </row>
    <row r="75" spans="6:22" x14ac:dyDescent="0.2">
      <c r="F75" s="35" t="e">
        <v>#N/A</v>
      </c>
      <c r="G75" s="22" t="e">
        <v>#N/A</v>
      </c>
      <c r="K75" s="35" t="e">
        <v>#N/A</v>
      </c>
      <c r="L75" s="22" t="e">
        <v>#N/A</v>
      </c>
      <c r="P75" s="35" t="e">
        <v>#N/A</v>
      </c>
      <c r="Q75" s="22" t="e">
        <v>#N/A</v>
      </c>
      <c r="U75" s="35" t="e">
        <v>#N/A</v>
      </c>
      <c r="V75" s="22" t="e">
        <v>#N/A</v>
      </c>
    </row>
    <row r="76" spans="6:22" x14ac:dyDescent="0.2">
      <c r="F76" s="35" t="e">
        <v>#N/A</v>
      </c>
      <c r="G76" s="22" t="e">
        <v>#N/A</v>
      </c>
      <c r="K76" s="35" t="e">
        <v>#N/A</v>
      </c>
      <c r="L76" s="22" t="e">
        <v>#N/A</v>
      </c>
      <c r="P76" s="35" t="e">
        <v>#N/A</v>
      </c>
      <c r="Q76" s="22" t="e">
        <v>#N/A</v>
      </c>
      <c r="U76" s="35" t="e">
        <v>#N/A</v>
      </c>
      <c r="V76" s="22" t="e">
        <v>#N/A</v>
      </c>
    </row>
    <row r="77" spans="6:22" x14ac:dyDescent="0.2">
      <c r="F77" s="35" t="e">
        <v>#N/A</v>
      </c>
      <c r="G77" s="22" t="e">
        <v>#N/A</v>
      </c>
      <c r="K77" s="35" t="e">
        <v>#N/A</v>
      </c>
      <c r="L77" s="22" t="e">
        <v>#N/A</v>
      </c>
      <c r="P77" s="35" t="e">
        <v>#N/A</v>
      </c>
      <c r="Q77" s="22" t="e">
        <v>#N/A</v>
      </c>
      <c r="U77" s="35" t="e">
        <v>#N/A</v>
      </c>
      <c r="V77" s="22" t="e">
        <v>#N/A</v>
      </c>
    </row>
    <row r="78" spans="6:22" x14ac:dyDescent="0.2">
      <c r="F78" s="35" t="e">
        <v>#N/A</v>
      </c>
      <c r="G78" s="22" t="e">
        <v>#N/A</v>
      </c>
      <c r="K78" s="35" t="e">
        <v>#N/A</v>
      </c>
      <c r="L78" s="22" t="e">
        <v>#N/A</v>
      </c>
      <c r="P78" s="35" t="e">
        <v>#N/A</v>
      </c>
      <c r="Q78" s="22" t="e">
        <v>#N/A</v>
      </c>
      <c r="U78" s="35" t="e">
        <v>#N/A</v>
      </c>
      <c r="V78" s="22" t="e">
        <v>#N/A</v>
      </c>
    </row>
    <row r="79" spans="6:22" x14ac:dyDescent="0.2">
      <c r="F79" s="35" t="e">
        <v>#N/A</v>
      </c>
      <c r="G79" s="22" t="e">
        <v>#N/A</v>
      </c>
      <c r="K79" s="35" t="e">
        <v>#N/A</v>
      </c>
      <c r="L79" s="22" t="e">
        <v>#N/A</v>
      </c>
      <c r="P79" s="35" t="e">
        <v>#N/A</v>
      </c>
      <c r="Q79" s="22" t="e">
        <v>#N/A</v>
      </c>
      <c r="U79" s="35" t="e">
        <v>#N/A</v>
      </c>
      <c r="V79" s="22" t="e">
        <v>#N/A</v>
      </c>
    </row>
    <row r="80" spans="6:22" x14ac:dyDescent="0.2">
      <c r="F80" s="35" t="e">
        <v>#N/A</v>
      </c>
      <c r="G80" s="22" t="e">
        <v>#N/A</v>
      </c>
      <c r="K80" s="35" t="e">
        <v>#N/A</v>
      </c>
      <c r="L80" s="22" t="e">
        <v>#N/A</v>
      </c>
      <c r="P80" s="35" t="e">
        <v>#N/A</v>
      </c>
      <c r="Q80" s="22" t="e">
        <v>#N/A</v>
      </c>
      <c r="U80" s="35" t="e">
        <v>#N/A</v>
      </c>
      <c r="V80" s="22" t="e">
        <v>#N/A</v>
      </c>
    </row>
    <row r="81" spans="6:22" x14ac:dyDescent="0.2">
      <c r="F81" s="35" t="e">
        <v>#N/A</v>
      </c>
      <c r="G81" s="22" t="e">
        <v>#N/A</v>
      </c>
      <c r="K81" s="35" t="e">
        <v>#N/A</v>
      </c>
      <c r="L81" s="22" t="e">
        <v>#N/A</v>
      </c>
      <c r="P81" s="35" t="e">
        <v>#N/A</v>
      </c>
      <c r="Q81" s="22" t="e">
        <v>#N/A</v>
      </c>
      <c r="U81" s="35" t="e">
        <v>#N/A</v>
      </c>
      <c r="V81" s="22" t="e">
        <v>#N/A</v>
      </c>
    </row>
    <row r="82" spans="6:22" x14ac:dyDescent="0.2">
      <c r="F82" s="35" t="e">
        <v>#N/A</v>
      </c>
      <c r="G82" s="22" t="e">
        <v>#N/A</v>
      </c>
      <c r="K82" s="35" t="e">
        <v>#N/A</v>
      </c>
      <c r="L82" s="22" t="e">
        <v>#N/A</v>
      </c>
      <c r="P82" s="35" t="e">
        <v>#N/A</v>
      </c>
      <c r="Q82" s="22" t="e">
        <v>#N/A</v>
      </c>
      <c r="U82" s="35" t="e">
        <v>#N/A</v>
      </c>
      <c r="V82" s="22" t="e">
        <v>#N/A</v>
      </c>
    </row>
    <row r="83" spans="6:22" x14ac:dyDescent="0.2">
      <c r="F83" s="35" t="e">
        <v>#N/A</v>
      </c>
      <c r="G83" s="22" t="e">
        <v>#N/A</v>
      </c>
      <c r="K83" s="35" t="e">
        <v>#N/A</v>
      </c>
      <c r="L83" s="22" t="e">
        <v>#N/A</v>
      </c>
      <c r="P83" s="35" t="e">
        <v>#N/A</v>
      </c>
      <c r="Q83" s="22" t="e">
        <v>#N/A</v>
      </c>
      <c r="U83" s="35" t="e">
        <v>#N/A</v>
      </c>
      <c r="V83" s="22" t="e">
        <v>#N/A</v>
      </c>
    </row>
    <row r="84" spans="6:22" x14ac:dyDescent="0.2">
      <c r="F84" s="35" t="e">
        <v>#N/A</v>
      </c>
      <c r="G84" s="22" t="e">
        <v>#N/A</v>
      </c>
      <c r="K84" s="35" t="e">
        <v>#N/A</v>
      </c>
      <c r="L84" s="22" t="e">
        <v>#N/A</v>
      </c>
      <c r="P84" s="35" t="e">
        <v>#N/A</v>
      </c>
      <c r="Q84" s="22" t="e">
        <v>#N/A</v>
      </c>
      <c r="U84" s="35" t="e">
        <v>#N/A</v>
      </c>
      <c r="V84" s="22" t="e">
        <v>#N/A</v>
      </c>
    </row>
    <row r="85" spans="6:22" x14ac:dyDescent="0.2">
      <c r="F85" s="35" t="e">
        <v>#N/A</v>
      </c>
      <c r="G85" s="22" t="e">
        <v>#N/A</v>
      </c>
      <c r="K85" s="35" t="e">
        <v>#N/A</v>
      </c>
      <c r="L85" s="22" t="e">
        <v>#N/A</v>
      </c>
      <c r="P85" s="35" t="e">
        <v>#N/A</v>
      </c>
      <c r="Q85" s="22" t="e">
        <v>#N/A</v>
      </c>
      <c r="U85" s="35" t="e">
        <v>#N/A</v>
      </c>
      <c r="V85" s="22" t="e">
        <v>#N/A</v>
      </c>
    </row>
    <row r="86" spans="6:22" x14ac:dyDescent="0.2">
      <c r="F86" s="35" t="e">
        <v>#N/A</v>
      </c>
      <c r="G86" s="22" t="e">
        <v>#N/A</v>
      </c>
      <c r="K86" s="35" t="e">
        <v>#N/A</v>
      </c>
      <c r="L86" s="22" t="e">
        <v>#N/A</v>
      </c>
      <c r="P86" s="35" t="e">
        <v>#N/A</v>
      </c>
      <c r="Q86" s="22" t="e">
        <v>#N/A</v>
      </c>
      <c r="U86" s="35" t="e">
        <v>#N/A</v>
      </c>
      <c r="V86" s="22" t="e">
        <v>#N/A</v>
      </c>
    </row>
    <row r="87" spans="6:22" x14ac:dyDescent="0.2">
      <c r="F87" s="35" t="e">
        <v>#N/A</v>
      </c>
      <c r="G87" s="22" t="e">
        <v>#N/A</v>
      </c>
      <c r="K87" s="35" t="e">
        <v>#N/A</v>
      </c>
      <c r="L87" s="22" t="e">
        <v>#N/A</v>
      </c>
      <c r="P87" s="35" t="e">
        <v>#N/A</v>
      </c>
      <c r="Q87" s="22" t="e">
        <v>#N/A</v>
      </c>
      <c r="U87" s="35" t="e">
        <v>#N/A</v>
      </c>
      <c r="V87" s="22" t="e">
        <v>#N/A</v>
      </c>
    </row>
    <row r="88" spans="6:22" x14ac:dyDescent="0.2">
      <c r="F88" s="35" t="e">
        <v>#N/A</v>
      </c>
      <c r="G88" s="22" t="e">
        <v>#N/A</v>
      </c>
      <c r="K88" s="35" t="e">
        <v>#N/A</v>
      </c>
      <c r="L88" s="22" t="e">
        <v>#N/A</v>
      </c>
      <c r="P88" s="35" t="e">
        <v>#N/A</v>
      </c>
      <c r="Q88" s="22" t="e">
        <v>#N/A</v>
      </c>
      <c r="U88" s="35" t="e">
        <v>#N/A</v>
      </c>
      <c r="V88" s="22" t="e">
        <v>#N/A</v>
      </c>
    </row>
    <row r="89" spans="6:22" x14ac:dyDescent="0.2">
      <c r="F89" s="35" t="e">
        <v>#N/A</v>
      </c>
      <c r="G89" s="22" t="e">
        <v>#N/A</v>
      </c>
      <c r="K89" s="35" t="e">
        <v>#N/A</v>
      </c>
      <c r="L89" s="22" t="e">
        <v>#N/A</v>
      </c>
      <c r="P89" s="35" t="e">
        <v>#N/A</v>
      </c>
      <c r="Q89" s="22" t="e">
        <v>#N/A</v>
      </c>
      <c r="U89" s="35" t="e">
        <v>#N/A</v>
      </c>
      <c r="V89" s="22" t="e">
        <v>#N/A</v>
      </c>
    </row>
    <row r="90" spans="6:22" x14ac:dyDescent="0.2">
      <c r="F90" s="35" t="e">
        <v>#N/A</v>
      </c>
      <c r="G90" s="22" t="e">
        <v>#N/A</v>
      </c>
      <c r="K90" s="35" t="e">
        <v>#N/A</v>
      </c>
      <c r="L90" s="22" t="e">
        <v>#N/A</v>
      </c>
      <c r="P90" s="35" t="e">
        <v>#N/A</v>
      </c>
      <c r="Q90" s="22" t="e">
        <v>#N/A</v>
      </c>
      <c r="U90" s="35" t="e">
        <v>#N/A</v>
      </c>
      <c r="V90" s="22" t="e">
        <v>#N/A</v>
      </c>
    </row>
    <row r="91" spans="6:22" x14ac:dyDescent="0.2">
      <c r="F91" s="35" t="e">
        <v>#N/A</v>
      </c>
      <c r="G91" s="22" t="e">
        <v>#N/A</v>
      </c>
      <c r="K91" s="35" t="e">
        <v>#N/A</v>
      </c>
      <c r="L91" s="22" t="e">
        <v>#N/A</v>
      </c>
      <c r="P91" s="35" t="e">
        <v>#N/A</v>
      </c>
      <c r="Q91" s="22" t="e">
        <v>#N/A</v>
      </c>
      <c r="U91" s="35" t="e">
        <v>#N/A</v>
      </c>
      <c r="V91" s="22" t="e">
        <v>#N/A</v>
      </c>
    </row>
    <row r="92" spans="6:22" x14ac:dyDescent="0.2">
      <c r="F92" s="35" t="e">
        <v>#N/A</v>
      </c>
      <c r="G92" s="22" t="e">
        <v>#N/A</v>
      </c>
      <c r="K92" s="35" t="e">
        <v>#N/A</v>
      </c>
      <c r="L92" s="22" t="e">
        <v>#N/A</v>
      </c>
      <c r="P92" s="35" t="e">
        <v>#N/A</v>
      </c>
      <c r="Q92" s="22" t="e">
        <v>#N/A</v>
      </c>
      <c r="U92" s="35" t="e">
        <v>#N/A</v>
      </c>
      <c r="V92" s="22" t="e">
        <v>#N/A</v>
      </c>
    </row>
    <row r="93" spans="6:22" x14ac:dyDescent="0.2">
      <c r="F93" s="35" t="e">
        <v>#N/A</v>
      </c>
      <c r="G93" s="22" t="e">
        <v>#N/A</v>
      </c>
      <c r="K93" s="35" t="e">
        <v>#N/A</v>
      </c>
      <c r="L93" s="22" t="e">
        <v>#N/A</v>
      </c>
      <c r="P93" s="35" t="e">
        <v>#N/A</v>
      </c>
      <c r="Q93" s="22" t="e">
        <v>#N/A</v>
      </c>
      <c r="U93" s="35" t="e">
        <v>#N/A</v>
      </c>
      <c r="V93" s="22" t="e">
        <v>#N/A</v>
      </c>
    </row>
    <row r="94" spans="6:22" x14ac:dyDescent="0.2">
      <c r="F94" s="35" t="e">
        <v>#N/A</v>
      </c>
      <c r="G94" s="22" t="e">
        <v>#N/A</v>
      </c>
      <c r="K94" s="35" t="e">
        <v>#N/A</v>
      </c>
      <c r="L94" s="22" t="e">
        <v>#N/A</v>
      </c>
      <c r="P94" s="35" t="e">
        <v>#N/A</v>
      </c>
      <c r="Q94" s="22" t="e">
        <v>#N/A</v>
      </c>
      <c r="U94" s="35" t="e">
        <v>#N/A</v>
      </c>
      <c r="V94" s="22" t="e">
        <v>#N/A</v>
      </c>
    </row>
    <row r="95" spans="6:22" x14ac:dyDescent="0.2">
      <c r="F95" s="35" t="e">
        <v>#N/A</v>
      </c>
      <c r="G95" s="22" t="e">
        <v>#N/A</v>
      </c>
      <c r="K95" s="35" t="e">
        <v>#N/A</v>
      </c>
      <c r="L95" s="22" t="e">
        <v>#N/A</v>
      </c>
      <c r="P95" s="35" t="e">
        <v>#N/A</v>
      </c>
      <c r="Q95" s="22" t="e">
        <v>#N/A</v>
      </c>
      <c r="U95" s="35" t="e">
        <v>#N/A</v>
      </c>
      <c r="V95" s="22" t="e">
        <v>#N/A</v>
      </c>
    </row>
    <row r="96" spans="6:22" x14ac:dyDescent="0.2">
      <c r="F96" s="35" t="e">
        <v>#N/A</v>
      </c>
      <c r="G96" s="22" t="e">
        <v>#N/A</v>
      </c>
      <c r="K96" s="35" t="e">
        <v>#N/A</v>
      </c>
      <c r="L96" s="22" t="e">
        <v>#N/A</v>
      </c>
      <c r="P96" s="35" t="e">
        <v>#N/A</v>
      </c>
      <c r="Q96" s="22" t="e">
        <v>#N/A</v>
      </c>
      <c r="U96" s="35" t="e">
        <v>#N/A</v>
      </c>
      <c r="V96" s="22" t="e">
        <v>#N/A</v>
      </c>
    </row>
    <row r="97" spans="6:22" x14ac:dyDescent="0.2">
      <c r="F97" s="35" t="e">
        <v>#N/A</v>
      </c>
      <c r="G97" s="22" t="e">
        <v>#N/A</v>
      </c>
      <c r="K97" s="35" t="e">
        <v>#N/A</v>
      </c>
      <c r="L97" s="22" t="e">
        <v>#N/A</v>
      </c>
      <c r="P97" s="35" t="e">
        <v>#N/A</v>
      </c>
      <c r="Q97" s="22" t="e">
        <v>#N/A</v>
      </c>
      <c r="U97" s="35" t="e">
        <v>#N/A</v>
      </c>
      <c r="V97" s="22" t="e">
        <v>#N/A</v>
      </c>
    </row>
    <row r="98" spans="6:22" x14ac:dyDescent="0.2">
      <c r="F98" s="35" t="e">
        <v>#N/A</v>
      </c>
      <c r="G98" s="22" t="e">
        <v>#N/A</v>
      </c>
      <c r="K98" s="35" t="e">
        <v>#N/A</v>
      </c>
      <c r="L98" s="22" t="e">
        <v>#N/A</v>
      </c>
      <c r="P98" s="35" t="e">
        <v>#N/A</v>
      </c>
      <c r="Q98" s="22" t="e">
        <v>#N/A</v>
      </c>
      <c r="U98" s="35" t="e">
        <v>#N/A</v>
      </c>
      <c r="V98" s="22" t="e">
        <v>#N/A</v>
      </c>
    </row>
    <row r="99" spans="6:22" x14ac:dyDescent="0.2">
      <c r="F99" s="35" t="e">
        <v>#N/A</v>
      </c>
      <c r="G99" s="22" t="e">
        <v>#N/A</v>
      </c>
      <c r="K99" s="35" t="e">
        <v>#N/A</v>
      </c>
      <c r="L99" s="22" t="e">
        <v>#N/A</v>
      </c>
      <c r="P99" s="35" t="e">
        <v>#N/A</v>
      </c>
      <c r="Q99" s="22" t="e">
        <v>#N/A</v>
      </c>
      <c r="U99" s="35" t="e">
        <v>#N/A</v>
      </c>
      <c r="V99" s="22" t="e">
        <v>#N/A</v>
      </c>
    </row>
    <row r="100" spans="6:22" x14ac:dyDescent="0.2">
      <c r="F100" s="35" t="e">
        <v>#N/A</v>
      </c>
      <c r="G100" s="22" t="e">
        <v>#N/A</v>
      </c>
      <c r="K100" s="35" t="e">
        <v>#N/A</v>
      </c>
      <c r="L100" s="22" t="e">
        <v>#N/A</v>
      </c>
      <c r="P100" s="35" t="e">
        <v>#N/A</v>
      </c>
      <c r="Q100" s="22" t="e">
        <v>#N/A</v>
      </c>
      <c r="U100" s="35" t="e">
        <v>#N/A</v>
      </c>
      <c r="V100" s="22" t="e">
        <v>#N/A</v>
      </c>
    </row>
    <row r="101" spans="6:22" x14ac:dyDescent="0.2">
      <c r="F101" s="35" t="e">
        <v>#N/A</v>
      </c>
      <c r="G101" s="22" t="e">
        <v>#N/A</v>
      </c>
      <c r="K101" s="35" t="e">
        <v>#N/A</v>
      </c>
      <c r="L101" s="22" t="e">
        <v>#N/A</v>
      </c>
      <c r="P101" s="35" t="e">
        <v>#N/A</v>
      </c>
      <c r="Q101" s="22" t="e">
        <v>#N/A</v>
      </c>
      <c r="U101" s="35" t="e">
        <v>#N/A</v>
      </c>
      <c r="V101" s="22" t="e">
        <v>#N/A</v>
      </c>
    </row>
    <row r="102" spans="6:22" x14ac:dyDescent="0.2">
      <c r="F102" s="36" t="e">
        <v>#N/A</v>
      </c>
      <c r="G102" s="23" t="e">
        <v>#N/A</v>
      </c>
      <c r="K102" s="36" t="e">
        <v>#N/A</v>
      </c>
      <c r="L102" s="23" t="e">
        <v>#N/A</v>
      </c>
      <c r="P102" s="36" t="e">
        <v>#N/A</v>
      </c>
      <c r="Q102" s="23" t="e">
        <v>#N/A</v>
      </c>
      <c r="U102" s="36" t="e">
        <v>#N/A</v>
      </c>
      <c r="V102" s="23" t="e">
        <v>#N/A</v>
      </c>
    </row>
  </sheetData>
  <dataValidations count="4">
    <dataValidation type="list" allowBlank="1" showInputMessage="1" showErrorMessage="1" sqref="E12 O12 T12 J12">
      <formula1>INDEX(dvDayCount,0,1)</formula1>
    </dataValidation>
    <dataValidation type="list" allowBlank="1" showInputMessage="1" showErrorMessage="1" sqref="T11 O11 J11 E11">
      <formula1>INDEX(dvCompounding,0,1)</formula1>
    </dataValidation>
    <dataValidation type="list" allowBlank="1" showInputMessage="1" showErrorMessage="1" sqref="T10 O10 J10 E10">
      <formula1>dvInterpOn</formula1>
    </dataValidation>
    <dataValidation type="list" allowBlank="1" showInputMessage="1" showErrorMessage="1" sqref="T9 O9 J9 E9">
      <formula1>dvInterpType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81"/>
  <sheetViews>
    <sheetView workbookViewId="0">
      <selection activeCell="B49" sqref="B49"/>
    </sheetView>
  </sheetViews>
  <sheetFormatPr defaultRowHeight="11.25" x14ac:dyDescent="0.2"/>
  <cols>
    <col min="1" max="1" width="3.83203125" customWidth="1"/>
    <col min="2" max="2" width="11.83203125" customWidth="1"/>
    <col min="4" max="4" width="3.83203125" customWidth="1"/>
    <col min="5" max="5" width="11.83203125" customWidth="1"/>
    <col min="6" max="6" width="3.83203125" customWidth="1"/>
    <col min="8" max="8" width="3.83203125" customWidth="1"/>
    <col min="10" max="10" width="3.83203125" customWidth="1"/>
    <col min="12" max="12" width="3.83203125" customWidth="1"/>
  </cols>
  <sheetData>
    <row r="1" spans="1:24" x14ac:dyDescent="0.2">
      <c r="A1" s="16"/>
      <c r="S1" s="16"/>
      <c r="W1" s="16"/>
      <c r="X1" t="str">
        <f>S12</f>
        <v>enum QuantLib::BusinessDayConvention</v>
      </c>
    </row>
    <row r="2" spans="1:24" x14ac:dyDescent="0.2">
      <c r="B2" s="48" t="s">
        <v>52</v>
      </c>
      <c r="C2" s="49"/>
      <c r="E2" s="5" t="s">
        <v>48</v>
      </c>
      <c r="G2" s="29" t="s">
        <v>21</v>
      </c>
      <c r="I2" s="29" t="s">
        <v>20</v>
      </c>
      <c r="K2" s="29" t="s">
        <v>22</v>
      </c>
      <c r="M2" s="29" t="s">
        <v>72</v>
      </c>
      <c r="S2" t="str">
        <f t="array" ref="S2:S81">_xll.ohListEnumeratedTypes(S1)</f>
        <v>class QuantLib::Calendar</v>
      </c>
      <c r="W2" t="str">
        <f t="array" ref="W2:W81">_xll.ohEnumeratedType(X1,W1)</f>
        <v>F</v>
      </c>
    </row>
    <row r="3" spans="1:24" x14ac:dyDescent="0.2">
      <c r="B3" s="15" t="s">
        <v>31</v>
      </c>
      <c r="C3" s="15">
        <v>0</v>
      </c>
      <c r="E3" s="24" t="b">
        <v>1</v>
      </c>
      <c r="G3" s="24" t="str">
        <f t="array" ref="G3:G6">_xll.ohEnumeratedType(G2,dvTrigger)</f>
        <v>Discount</v>
      </c>
      <c r="I3" s="24" t="str">
        <f t="array" ref="I3:I19">_xll.ohEnumeratedType(I2,dvTrigger)</f>
        <v>BackwardFlat</v>
      </c>
      <c r="K3" s="24" t="str">
        <f t="array" ref="K3:K44">_xll.ohEnumeratedType(K2,dvTrigger)</f>
        <v>1/1</v>
      </c>
      <c r="M3" s="24" t="str">
        <f t="array" ref="M3:M17">_xll.ohEnumeratedType(M2,dvTrigger)</f>
        <v>F</v>
      </c>
      <c r="S3" t="str">
        <v>class QuantLib::Currency</v>
      </c>
      <c r="W3" t="str">
        <v>Following</v>
      </c>
    </row>
    <row r="4" spans="1:24" x14ac:dyDescent="0.2">
      <c r="B4" s="11" t="s">
        <v>32</v>
      </c>
      <c r="C4" s="11">
        <v>1</v>
      </c>
      <c r="E4" s="25" t="b">
        <v>0</v>
      </c>
      <c r="G4" s="27" t="str">
        <v>ForwardRate</v>
      </c>
      <c r="I4" s="27" t="str">
        <v>CubicNaturalSpline</v>
      </c>
      <c r="K4" s="27" t="str">
        <v>30/360</v>
      </c>
      <c r="M4" s="27" t="str">
        <v>Following</v>
      </c>
      <c r="S4" t="str">
        <v>class QuantLib::DayCounter</v>
      </c>
      <c r="W4" t="str">
        <v>HMMF</v>
      </c>
    </row>
    <row r="5" spans="1:24" x14ac:dyDescent="0.2">
      <c r="B5" s="11" t="s">
        <v>33</v>
      </c>
      <c r="C5" s="11">
        <v>2</v>
      </c>
      <c r="G5" s="27" t="str">
        <v>ZeroYield</v>
      </c>
      <c r="I5" s="27" t="str">
        <v>ForwardFlat</v>
      </c>
      <c r="K5" s="27" t="str">
        <v>30/360 (Bond Basis)</v>
      </c>
      <c r="M5" s="27" t="str">
        <v>HMMF</v>
      </c>
      <c r="S5" t="str">
        <v>enum BuyerSellerFlag</v>
      </c>
      <c r="W5" t="str">
        <v>Half-Month Modified Following</v>
      </c>
    </row>
    <row r="6" spans="1:24" x14ac:dyDescent="0.2">
      <c r="B6" s="11" t="s">
        <v>34</v>
      </c>
      <c r="C6" s="11">
        <v>3</v>
      </c>
      <c r="E6" s="5" t="s">
        <v>69</v>
      </c>
      <c r="G6" s="25" t="e">
        <v>#N/A</v>
      </c>
      <c r="I6" s="27" t="str">
        <v>FritschButlandCubic</v>
      </c>
      <c r="K6" s="27" t="str">
        <v>30/360 (Eurobond Basis)</v>
      </c>
      <c r="M6" s="27" t="str">
        <v>Half-Month Modified Following</v>
      </c>
      <c r="S6" t="str">
        <v>enum CVA::RatioApprox</v>
      </c>
      <c r="W6" t="str">
        <v>Indifferent</v>
      </c>
    </row>
    <row r="7" spans="1:24" x14ac:dyDescent="0.2">
      <c r="B7" s="11" t="s">
        <v>35</v>
      </c>
      <c r="C7" s="11">
        <v>4</v>
      </c>
      <c r="E7" s="15" t="s">
        <v>70</v>
      </c>
      <c r="I7" s="27" t="str">
        <v>FritschButlandLogCubic</v>
      </c>
      <c r="K7" s="27" t="str">
        <v>30/360 (Italian)</v>
      </c>
      <c r="M7" s="27" t="str">
        <v>Indifferent</v>
      </c>
      <c r="S7" t="str">
        <v>enum FixedRateFlag</v>
      </c>
      <c r="W7" t="str">
        <v>MF</v>
      </c>
    </row>
    <row r="8" spans="1:24" x14ac:dyDescent="0.2">
      <c r="B8" s="11" t="s">
        <v>36</v>
      </c>
      <c r="C8" s="11">
        <v>5</v>
      </c>
      <c r="E8" s="10" t="s">
        <v>71</v>
      </c>
      <c r="I8" s="27" t="str">
        <v>KrugerCubic</v>
      </c>
      <c r="K8" s="27" t="str">
        <v>30E/360</v>
      </c>
      <c r="M8" s="27" t="str">
        <v>MF</v>
      </c>
      <c r="S8" t="str">
        <v>enum FloatingFlag</v>
      </c>
      <c r="W8" t="str">
        <v>MP</v>
      </c>
    </row>
    <row r="9" spans="1:24" x14ac:dyDescent="0.2">
      <c r="B9" s="11" t="s">
        <v>37</v>
      </c>
      <c r="C9" s="11">
        <v>6</v>
      </c>
      <c r="I9" s="27" t="str">
        <v>KrugerLogCubic</v>
      </c>
      <c r="K9" s="27" t="str">
        <v>30E/360 (Eurobond Basis)</v>
      </c>
      <c r="M9" s="27" t="str">
        <v>MP</v>
      </c>
      <c r="S9" t="str">
        <v>enum PdgLibAddin::MySqlSourceTable</v>
      </c>
      <c r="W9" t="str">
        <v>Modified Following</v>
      </c>
    </row>
    <row r="10" spans="1:24" x14ac:dyDescent="0.2">
      <c r="B10" s="11" t="s">
        <v>25</v>
      </c>
      <c r="C10" s="11">
        <v>7</v>
      </c>
      <c r="E10" s="5" t="s">
        <v>53</v>
      </c>
      <c r="I10" s="27" t="str">
        <v>Linear</v>
      </c>
      <c r="K10" s="27" t="str">
        <v>360/360</v>
      </c>
      <c r="M10" s="27" t="str">
        <v>Modified Following</v>
      </c>
      <c r="S10" t="str">
        <v>enum QuantLib::Average::Type</v>
      </c>
      <c r="W10" t="str">
        <v>Modified Preceding</v>
      </c>
    </row>
    <row r="11" spans="1:24" x14ac:dyDescent="0.2">
      <c r="B11" s="11" t="s">
        <v>38</v>
      </c>
      <c r="C11" s="11">
        <v>8</v>
      </c>
      <c r="E11" s="15" t="s">
        <v>54</v>
      </c>
      <c r="I11" s="27" t="str">
        <v>LogCubicNaturalSpline</v>
      </c>
      <c r="K11" s="27" t="str">
        <v>A/360</v>
      </c>
      <c r="M11" s="27" t="str">
        <v>Modified Preceding</v>
      </c>
      <c r="S11" t="str">
        <v>enum QuantLib::Barrier::Type</v>
      </c>
      <c r="W11" t="str">
        <v>N</v>
      </c>
    </row>
    <row r="12" spans="1:24" x14ac:dyDescent="0.2">
      <c r="B12" s="10" t="s">
        <v>39</v>
      </c>
      <c r="C12" s="10">
        <v>9</v>
      </c>
      <c r="E12" s="10" t="s">
        <v>55</v>
      </c>
      <c r="I12" s="27" t="str">
        <v>LogLinear</v>
      </c>
      <c r="K12" s="27" t="str">
        <v>A/365</v>
      </c>
      <c r="M12" s="27" t="str">
        <v>N</v>
      </c>
      <c r="S12" t="str">
        <v>enum QuantLib::BusinessDayConvention</v>
      </c>
      <c r="W12" t="str">
        <v>Nearest</v>
      </c>
    </row>
    <row r="13" spans="1:24" x14ac:dyDescent="0.2">
      <c r="I13" s="27" t="str">
        <v>LogParabolic</v>
      </c>
      <c r="K13" s="27" t="str">
        <v>A/365 (Fixed)</v>
      </c>
      <c r="M13" s="27" t="str">
        <v>Nearest</v>
      </c>
      <c r="S13" t="str">
        <v>enum QuantLib::CapFloor::Type</v>
      </c>
      <c r="W13" t="str">
        <v>P</v>
      </c>
    </row>
    <row r="14" spans="1:24" x14ac:dyDescent="0.2">
      <c r="B14" s="48" t="s">
        <v>56</v>
      </c>
      <c r="C14" s="49"/>
      <c r="E14" s="5" t="s">
        <v>49</v>
      </c>
      <c r="I14" s="27" t="str">
        <v>MonotonicCubicNaturalSpline</v>
      </c>
      <c r="K14" s="27" t="str">
        <v>A/365F</v>
      </c>
      <c r="M14" s="27" t="str">
        <v>P</v>
      </c>
      <c r="S14" t="str">
        <v>enum QuantLib::CmsMarketCalibration::CalibrationType</v>
      </c>
      <c r="W14" t="str">
        <v>Preceding</v>
      </c>
    </row>
    <row r="15" spans="1:24" x14ac:dyDescent="0.2">
      <c r="B15" s="15" t="s">
        <v>63</v>
      </c>
      <c r="C15" s="15">
        <v>0</v>
      </c>
      <c r="E15" s="15" t="s">
        <v>24</v>
      </c>
      <c r="I15" s="27" t="str">
        <v>MonotonicLogCubicNaturalSpline</v>
      </c>
      <c r="K15" s="27" t="str">
        <v>Act/360</v>
      </c>
      <c r="M15" s="27" t="str">
        <v>Preceding</v>
      </c>
      <c r="S15" t="str">
        <v>enum QuantLib::Compounding</v>
      </c>
      <c r="W15" t="str">
        <v>Unadjusted</v>
      </c>
    </row>
    <row r="16" spans="1:24" x14ac:dyDescent="0.2">
      <c r="B16" s="11" t="s">
        <v>64</v>
      </c>
      <c r="C16" s="11">
        <v>1</v>
      </c>
      <c r="E16" s="11" t="s">
        <v>40</v>
      </c>
      <c r="I16" s="27" t="str">
        <v>MonotonicLogParabolic</v>
      </c>
      <c r="K16" s="27" t="str">
        <v>Act/365</v>
      </c>
      <c r="M16" s="27" t="str">
        <v>Unadjusted</v>
      </c>
      <c r="S16" t="str">
        <v>enum QuantLib::CubicInterpolation::BoundaryCondition</v>
      </c>
      <c r="W16" t="e">
        <v>#N/A</v>
      </c>
    </row>
    <row r="17" spans="2:23" x14ac:dyDescent="0.2">
      <c r="B17" s="10" t="s">
        <v>18</v>
      </c>
      <c r="C17" s="10">
        <v>2</v>
      </c>
      <c r="E17" s="11" t="s">
        <v>41</v>
      </c>
      <c r="I17" s="27" t="str">
        <v>MonotonicParabolic</v>
      </c>
      <c r="K17" s="27" t="str">
        <v>Act/365 (Fixed)</v>
      </c>
      <c r="M17" s="25" t="e">
        <v>#N/A</v>
      </c>
      <c r="S17" t="str">
        <v>enum QuantLib::CubicInterpolation::DerivativeApprox</v>
      </c>
      <c r="W17" t="e">
        <v>#N/A</v>
      </c>
    </row>
    <row r="18" spans="2:23" x14ac:dyDescent="0.2">
      <c r="E18" s="11" t="s">
        <v>42</v>
      </c>
      <c r="I18" s="27" t="str">
        <v>Parabolic</v>
      </c>
      <c r="K18" s="27" t="str">
        <v>Act/365 (NL)</v>
      </c>
      <c r="S18" t="str">
        <v>enum QuantLib::DateGeneration::Rule</v>
      </c>
      <c r="W18" t="e">
        <v>#N/A</v>
      </c>
    </row>
    <row r="19" spans="2:23" x14ac:dyDescent="0.2">
      <c r="B19" s="48" t="s">
        <v>57</v>
      </c>
      <c r="C19" s="49"/>
      <c r="E19" s="10" t="s">
        <v>43</v>
      </c>
      <c r="I19" s="25" t="e">
        <v>#N/A</v>
      </c>
      <c r="K19" s="27" t="str">
        <v>Act/Act</v>
      </c>
      <c r="S19" t="str">
        <v>enum QuantLib::Duration::Type</v>
      </c>
      <c r="W19" t="e">
        <v>#N/A</v>
      </c>
    </row>
    <row r="20" spans="2:23" x14ac:dyDescent="0.2">
      <c r="B20" s="15" t="s">
        <v>17</v>
      </c>
      <c r="C20" s="15">
        <v>0</v>
      </c>
      <c r="K20" s="27" t="str">
        <v>Actual/360</v>
      </c>
      <c r="S20" t="str">
        <v>enum QuantLib::EndCriteria::Type</v>
      </c>
      <c r="W20" t="e">
        <v>#N/A</v>
      </c>
    </row>
    <row r="21" spans="2:23" x14ac:dyDescent="0.2">
      <c r="B21" s="10" t="s">
        <v>58</v>
      </c>
      <c r="C21" s="10">
        <v>1</v>
      </c>
      <c r="E21" s="5" t="s">
        <v>50</v>
      </c>
      <c r="K21" s="27" t="str">
        <v>Actual/365</v>
      </c>
      <c r="S21" t="str">
        <v>enum QuantLib::Frequency</v>
      </c>
      <c r="W21" t="e">
        <v>#N/A</v>
      </c>
    </row>
    <row r="22" spans="2:23" x14ac:dyDescent="0.2">
      <c r="E22" s="15" t="s">
        <v>23</v>
      </c>
      <c r="K22" s="27" t="str">
        <v>Actual/365 (Fixed)</v>
      </c>
      <c r="S22" t="str">
        <v>enum QuantLib::Futures::Type</v>
      </c>
      <c r="W22" t="e">
        <v>#N/A</v>
      </c>
    </row>
    <row r="23" spans="2:23" x14ac:dyDescent="0.2">
      <c r="B23" s="48" t="s">
        <v>59</v>
      </c>
      <c r="C23" s="49"/>
      <c r="E23" s="11" t="s">
        <v>44</v>
      </c>
      <c r="K23" s="27" t="str">
        <v>Actual/365 (JGB)</v>
      </c>
      <c r="S23" t="str">
        <v>enum QuantLib::GFunctionFactory::YieldCurveModel</v>
      </c>
      <c r="W23" t="e">
        <v>#N/A</v>
      </c>
    </row>
    <row r="24" spans="2:23" x14ac:dyDescent="0.2">
      <c r="B24" s="15" t="s">
        <v>2</v>
      </c>
      <c r="C24" s="15">
        <v>1</v>
      </c>
      <c r="E24" s="11" t="s">
        <v>45</v>
      </c>
      <c r="K24" s="27" t="str">
        <v>Actual/365 (No Leap)</v>
      </c>
      <c r="S24" t="str">
        <v>enum QuantLib::Month</v>
      </c>
      <c r="W24" t="e">
        <v>#N/A</v>
      </c>
    </row>
    <row r="25" spans="2:23" x14ac:dyDescent="0.2">
      <c r="B25" s="11" t="s">
        <v>60</v>
      </c>
      <c r="C25" s="11">
        <v>2</v>
      </c>
      <c r="E25" s="11" t="s">
        <v>65</v>
      </c>
      <c r="K25" s="27" t="str">
        <v>Actual/Actual</v>
      </c>
      <c r="S25" t="str">
        <v>enum QuantLib::Option::Type</v>
      </c>
      <c r="W25" t="e">
        <v>#N/A</v>
      </c>
    </row>
    <row r="26" spans="2:23" x14ac:dyDescent="0.2">
      <c r="B26" s="11" t="s">
        <v>61</v>
      </c>
      <c r="C26" s="11">
        <v>4</v>
      </c>
      <c r="E26" s="11" t="s">
        <v>66</v>
      </c>
      <c r="K26" s="27" t="str">
        <v>Actual/Actual (AFB)</v>
      </c>
      <c r="S26" t="str">
        <v>enum QuantLib::OvernightIndexedSwap::Type</v>
      </c>
      <c r="W26" t="e">
        <v>#N/A</v>
      </c>
    </row>
    <row r="27" spans="2:23" x14ac:dyDescent="0.2">
      <c r="B27" s="10" t="s">
        <v>62</v>
      </c>
      <c r="C27" s="10">
        <v>12</v>
      </c>
      <c r="E27" s="10" t="s">
        <v>67</v>
      </c>
      <c r="K27" s="27" t="str">
        <v>Actual/Actual (Bond)</v>
      </c>
      <c r="S27" t="str">
        <v>enum QuantLib::Pillar::Choice</v>
      </c>
      <c r="W27" t="e">
        <v>#N/A</v>
      </c>
    </row>
    <row r="28" spans="2:23" x14ac:dyDescent="0.2">
      <c r="K28" s="27" t="str">
        <v>Actual/Actual (Euro)</v>
      </c>
      <c r="S28" t="str">
        <v>enum QuantLib::Position::Type</v>
      </c>
      <c r="W28" t="e">
        <v>#N/A</v>
      </c>
    </row>
    <row r="29" spans="2:23" x14ac:dyDescent="0.2">
      <c r="B29" s="48" t="s">
        <v>51</v>
      </c>
      <c r="C29" s="49"/>
      <c r="K29" s="27" t="str">
        <v>Actual/Actual (ISDA)</v>
      </c>
      <c r="S29" t="str">
        <v>enum QuantLib::PriceType</v>
      </c>
      <c r="W29" t="e">
        <v>#N/A</v>
      </c>
    </row>
    <row r="30" spans="2:23" x14ac:dyDescent="0.2">
      <c r="B30" s="15" t="s">
        <v>47</v>
      </c>
      <c r="C30" s="31">
        <v>0</v>
      </c>
      <c r="K30" s="27" t="str">
        <v>Actual/Actual (ISMA)</v>
      </c>
      <c r="S30" t="str">
        <v>enum QuantLib::Protection::Side</v>
      </c>
      <c r="W30" t="e">
        <v>#N/A</v>
      </c>
    </row>
    <row r="31" spans="2:23" x14ac:dyDescent="0.2">
      <c r="B31" s="11" t="s">
        <v>46</v>
      </c>
      <c r="C31" s="32">
        <v>1</v>
      </c>
      <c r="K31" s="27" t="str">
        <v>Bond Basis</v>
      </c>
      <c r="S31" t="str">
        <v>enum QuantLib::Replication::Type</v>
      </c>
      <c r="W31" t="e">
        <v>#N/A</v>
      </c>
    </row>
    <row r="32" spans="2:23" x14ac:dyDescent="0.2">
      <c r="B32" s="10" t="s">
        <v>11</v>
      </c>
      <c r="C32" s="33">
        <v>2</v>
      </c>
      <c r="K32" s="27" t="str">
        <v>Business252</v>
      </c>
      <c r="S32" t="str">
        <v>enum QuantLib::SalvagingAlgorithm::Type</v>
      </c>
      <c r="W32" t="e">
        <v>#N/A</v>
      </c>
    </row>
    <row r="33" spans="11:23" x14ac:dyDescent="0.2">
      <c r="K33" s="27" t="str">
        <v>DayCounter</v>
      </c>
      <c r="S33" t="str">
        <v>enum QuantLib::Seniority</v>
      </c>
      <c r="W33" t="e">
        <v>#N/A</v>
      </c>
    </row>
    <row r="34" spans="11:23" x14ac:dyDescent="0.2">
      <c r="K34" s="27" t="str">
        <v>Eurobond Basis</v>
      </c>
      <c r="S34" t="str">
        <v>enum QuantLib::SensitivityAnalysis</v>
      </c>
      <c r="W34" t="e">
        <v>#N/A</v>
      </c>
    </row>
    <row r="35" spans="11:23" x14ac:dyDescent="0.2">
      <c r="K35" s="27" t="str">
        <v>LIN 30/360</v>
      </c>
      <c r="S35" t="str">
        <v>enum QuantLib::Settlement::Type</v>
      </c>
      <c r="W35" t="e">
        <v>#N/A</v>
      </c>
    </row>
    <row r="36" spans="11:23" x14ac:dyDescent="0.2">
      <c r="K36" s="27" t="str">
        <v>LIN ACT/360</v>
      </c>
      <c r="S36" t="str">
        <v>enum QuantLib::TimeUnit</v>
      </c>
      <c r="W36" t="e">
        <v>#N/A</v>
      </c>
    </row>
    <row r="37" spans="11:23" x14ac:dyDescent="0.2">
      <c r="K37" s="27" t="str">
        <v>LIN ACT/365</v>
      </c>
      <c r="S37" t="str">
        <v>enum QuantLib::VanillaSwap::Type</v>
      </c>
      <c r="W37" t="e">
        <v>#N/A</v>
      </c>
    </row>
    <row r="38" spans="11:23" x14ac:dyDescent="0.2">
      <c r="K38" s="27" t="str">
        <v>LIN ACT/ACT</v>
      </c>
      <c r="S38" t="str">
        <v>enum QuantLib::Weekday</v>
      </c>
      <c r="W38" t="e">
        <v>#N/A</v>
      </c>
    </row>
    <row r="39" spans="11:23" x14ac:dyDescent="0.2">
      <c r="K39" s="27" t="str">
        <v>LIN ACTACT ISDA</v>
      </c>
      <c r="S39" t="str">
        <v>enum QuantLibAddin::InterpolatedYieldCurve::Interpolator</v>
      </c>
      <c r="W39" t="e">
        <v>#N/A</v>
      </c>
    </row>
    <row r="40" spans="11:23" x14ac:dyDescent="0.2">
      <c r="K40" s="27" t="str">
        <v>LIN ACTACT ISMA</v>
      </c>
      <c r="S40" t="str">
        <v>enum QuantLibAddin::InterpolatedYieldCurve::Traits</v>
      </c>
      <c r="W40" t="e">
        <v>#N/A</v>
      </c>
    </row>
    <row r="41" spans="11:23" x14ac:dyDescent="0.2">
      <c r="K41" s="27" t="str">
        <v>NL/365</v>
      </c>
      <c r="S41" t="str">
        <v>enum QuantLibAddin::RateHelper::DepoInclusionCriteria</v>
      </c>
      <c r="W41" t="e">
        <v>#N/A</v>
      </c>
    </row>
    <row r="42" spans="11:23" x14ac:dyDescent="0.2">
      <c r="K42" s="27" t="str">
        <v>NoDayCounter</v>
      </c>
      <c r="S42" t="str">
        <v>enum QuantLibAddin::SwapIndex::FixingType</v>
      </c>
      <c r="W42" t="e">
        <v>#N/A</v>
      </c>
    </row>
    <row r="43" spans="11:23" x14ac:dyDescent="0.2">
      <c r="K43" s="27" t="str">
        <v>Simple</v>
      </c>
      <c r="S43" t="str">
        <v>enum adjustment_type</v>
      </c>
      <c r="W43" t="e">
        <v>#N/A</v>
      </c>
    </row>
    <row r="44" spans="11:23" x14ac:dyDescent="0.2">
      <c r="K44" s="25" t="e">
        <v>#N/A</v>
      </c>
      <c r="S44" t="str">
        <v>enum credit::AnalyticalCopula::IntegrationMethod</v>
      </c>
      <c r="W44" t="e">
        <v>#N/A</v>
      </c>
    </row>
    <row r="45" spans="11:23" x14ac:dyDescent="0.2">
      <c r="S45" t="str">
        <v>enum credit::Asset::Sector</v>
      </c>
      <c r="W45" t="e">
        <v>#N/A</v>
      </c>
    </row>
    <row r="46" spans="11:23" x14ac:dyDescent="0.2">
      <c r="S46" t="str">
        <v>enum credit::BaseCorrelationSkew::PricingModel</v>
      </c>
      <c r="W46" t="e">
        <v>#N/A</v>
      </c>
    </row>
    <row r="47" spans="11:23" x14ac:dyDescent="0.2">
      <c r="S47" t="str">
        <v>enum credit::CCSwaption::ParametricCorrelationType</v>
      </c>
      <c r="W47" t="e">
        <v>#N/A</v>
      </c>
    </row>
    <row r="48" spans="11:23" x14ac:dyDescent="0.2">
      <c r="S48" t="str">
        <v>enum credit::CalculationType</v>
      </c>
      <c r="W48" t="e">
        <v>#N/A</v>
      </c>
    </row>
    <row r="49" spans="19:23" x14ac:dyDescent="0.2">
      <c r="S49" t="str">
        <v>enum credit::CompoundingType</v>
      </c>
      <c r="W49" t="e">
        <v>#N/A</v>
      </c>
    </row>
    <row r="50" spans="19:23" x14ac:dyDescent="0.2">
      <c r="S50" t="str">
        <v>enum credit::FlagCallPut</v>
      </c>
      <c r="W50" t="e">
        <v>#N/A</v>
      </c>
    </row>
    <row r="51" spans="19:23" x14ac:dyDescent="0.2">
      <c r="S51" t="str">
        <v>enum credit::InterpUnderlyingFlag</v>
      </c>
      <c r="W51" t="e">
        <v>#N/A</v>
      </c>
    </row>
    <row r="52" spans="19:23" x14ac:dyDescent="0.2">
      <c r="S52" t="str">
        <v>enum credit::InterpolationType</v>
      </c>
      <c r="W52" t="e">
        <v>#N/A</v>
      </c>
    </row>
    <row r="53" spans="19:23" x14ac:dyDescent="0.2">
      <c r="S53" t="str">
        <v>enum credit::OpenType</v>
      </c>
      <c r="W53" t="e">
        <v>#N/A</v>
      </c>
    </row>
    <row r="54" spans="19:23" x14ac:dyDescent="0.2">
      <c r="S54" t="str">
        <v>enum credit::PayerReceiverFlag</v>
      </c>
      <c r="W54" t="e">
        <v>#N/A</v>
      </c>
    </row>
    <row r="55" spans="19:23" x14ac:dyDescent="0.2">
      <c r="S55" t="str">
        <v>enum credit::PricerType</v>
      </c>
      <c r="W55" t="e">
        <v>#N/A</v>
      </c>
    </row>
    <row r="56" spans="19:23" x14ac:dyDescent="0.2">
      <c r="S56" t="str">
        <v>enum credit::QuotationType</v>
      </c>
      <c r="W56" t="e">
        <v>#N/A</v>
      </c>
    </row>
    <row r="57" spans="19:23" x14ac:dyDescent="0.2">
      <c r="S57" t="str">
        <v>enum credit::SimplexMethod::BoundType</v>
      </c>
      <c r="W57" t="e">
        <v>#N/A</v>
      </c>
    </row>
    <row r="58" spans="19:23" x14ac:dyDescent="0.2">
      <c r="S58" t="str">
        <v>enum credit::SimulCopula::SimulationMethod</v>
      </c>
      <c r="W58" t="e">
        <v>#N/A</v>
      </c>
    </row>
    <row r="59" spans="19:23" x14ac:dyDescent="0.2">
      <c r="S59" t="str">
        <v>enum credit::SplineType</v>
      </c>
      <c r="W59" t="e">
        <v>#N/A</v>
      </c>
    </row>
    <row r="60" spans="19:23" x14ac:dyDescent="0.2">
      <c r="S60" t="str">
        <v>enum credit::StepFunction::ExtrapolationFlag</v>
      </c>
      <c r="W60" t="e">
        <v>#N/A</v>
      </c>
    </row>
    <row r="61" spans="19:23" x14ac:dyDescent="0.2">
      <c r="S61" t="str">
        <v>enum credit::aInterpolator&lt;double&gt;::ExtrapolationMethod</v>
      </c>
      <c r="W61" t="e">
        <v>#N/A</v>
      </c>
    </row>
    <row r="62" spans="19:23" x14ac:dyDescent="0.2">
      <c r="S62" t="str">
        <v>enum currency_code</v>
      </c>
      <c r="W62" t="e">
        <v>#N/A</v>
      </c>
    </row>
    <row r="63" spans="19:23" x14ac:dyDescent="0.2">
      <c r="S63" t="str">
        <v>enum daycount_type</v>
      </c>
      <c r="W63" t="e">
        <v>#N/A</v>
      </c>
    </row>
    <row r="64" spans="19:23" x14ac:dyDescent="0.2">
      <c r="S64" t="e">
        <v>#N/A</v>
      </c>
      <c r="W64" t="e">
        <v>#N/A</v>
      </c>
    </row>
    <row r="65" spans="19:23" x14ac:dyDescent="0.2">
      <c r="S65" t="e">
        <v>#N/A</v>
      </c>
      <c r="W65" t="e">
        <v>#N/A</v>
      </c>
    </row>
    <row r="66" spans="19:23" x14ac:dyDescent="0.2">
      <c r="S66" t="e">
        <v>#N/A</v>
      </c>
      <c r="W66" t="e">
        <v>#N/A</v>
      </c>
    </row>
    <row r="67" spans="19:23" x14ac:dyDescent="0.2">
      <c r="S67" t="e">
        <v>#N/A</v>
      </c>
      <c r="W67" t="e">
        <v>#N/A</v>
      </c>
    </row>
    <row r="68" spans="19:23" x14ac:dyDescent="0.2">
      <c r="S68" t="e">
        <v>#N/A</v>
      </c>
      <c r="W68" t="e">
        <v>#N/A</v>
      </c>
    </row>
    <row r="69" spans="19:23" x14ac:dyDescent="0.2">
      <c r="S69" t="e">
        <v>#N/A</v>
      </c>
      <c r="W69" t="e">
        <v>#N/A</v>
      </c>
    </row>
    <row r="70" spans="19:23" x14ac:dyDescent="0.2">
      <c r="S70" t="e">
        <v>#N/A</v>
      </c>
      <c r="W70" t="e">
        <v>#N/A</v>
      </c>
    </row>
    <row r="71" spans="19:23" x14ac:dyDescent="0.2">
      <c r="S71" t="e">
        <v>#N/A</v>
      </c>
      <c r="W71" t="e">
        <v>#N/A</v>
      </c>
    </row>
    <row r="72" spans="19:23" x14ac:dyDescent="0.2">
      <c r="S72" t="e">
        <v>#N/A</v>
      </c>
      <c r="W72" t="e">
        <v>#N/A</v>
      </c>
    </row>
    <row r="73" spans="19:23" x14ac:dyDescent="0.2">
      <c r="S73" t="e">
        <v>#N/A</v>
      </c>
      <c r="W73" t="e">
        <v>#N/A</v>
      </c>
    </row>
    <row r="74" spans="19:23" x14ac:dyDescent="0.2">
      <c r="S74" t="e">
        <v>#N/A</v>
      </c>
      <c r="W74" t="e">
        <v>#N/A</v>
      </c>
    </row>
    <row r="75" spans="19:23" x14ac:dyDescent="0.2">
      <c r="S75" t="e">
        <v>#N/A</v>
      </c>
      <c r="W75" t="e">
        <v>#N/A</v>
      </c>
    </row>
    <row r="76" spans="19:23" x14ac:dyDescent="0.2">
      <c r="S76" t="e">
        <v>#N/A</v>
      </c>
      <c r="W76" t="e">
        <v>#N/A</v>
      </c>
    </row>
    <row r="77" spans="19:23" x14ac:dyDescent="0.2">
      <c r="S77" t="e">
        <v>#N/A</v>
      </c>
      <c r="W77" t="e">
        <v>#N/A</v>
      </c>
    </row>
    <row r="78" spans="19:23" x14ac:dyDescent="0.2">
      <c r="S78" t="e">
        <v>#N/A</v>
      </c>
      <c r="W78" t="e">
        <v>#N/A</v>
      </c>
    </row>
    <row r="79" spans="19:23" x14ac:dyDescent="0.2">
      <c r="S79" t="e">
        <v>#N/A</v>
      </c>
      <c r="W79" t="e">
        <v>#N/A</v>
      </c>
    </row>
    <row r="80" spans="19:23" x14ac:dyDescent="0.2">
      <c r="S80" t="e">
        <v>#N/A</v>
      </c>
      <c r="W80" t="e">
        <v>#N/A</v>
      </c>
    </row>
    <row r="81" spans="19:23" x14ac:dyDescent="0.2">
      <c r="S81" t="e">
        <v>#N/A</v>
      </c>
      <c r="W81" t="e">
        <v>#N/A</v>
      </c>
    </row>
  </sheetData>
  <mergeCells count="5">
    <mergeCell ref="B2:C2"/>
    <mergeCell ref="B14:C14"/>
    <mergeCell ref="B19:C19"/>
    <mergeCell ref="B23:C23"/>
    <mergeCell ref="B29:C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Sheet1</vt:lpstr>
      <vt:lpstr>QL Curves</vt:lpstr>
      <vt:lpstr>dvTables</vt:lpstr>
      <vt:lpstr>dvBizDayConv</vt:lpstr>
      <vt:lpstr>dvBool</vt:lpstr>
      <vt:lpstr>dvCompounding</vt:lpstr>
      <vt:lpstr>dvDayCount</vt:lpstr>
      <vt:lpstr>dvDayCounter</vt:lpstr>
      <vt:lpstr>dvInterpOn</vt:lpstr>
      <vt:lpstr>dvInterpType</vt:lpstr>
      <vt:lpstr>dvMatCons</vt:lpstr>
      <vt:lpstr>dvOutputType</vt:lpstr>
      <vt:lpstr>dvPayFreqType</vt:lpstr>
      <vt:lpstr>dvSwapMatType</vt:lpstr>
      <vt:lpstr>dvTables!dvTrigger</vt:lpstr>
      <vt:lpstr>dvYcInterp</vt:lpstr>
      <vt:lpstr>dvYcTrait</vt:lpstr>
      <vt:lpstr>dvYesNo</vt:lpstr>
      <vt:lpstr>'QL Curves'!ObjectsTrigger</vt:lpstr>
      <vt:lpstr>PdgCurvePrefix</vt:lpstr>
      <vt:lpstr>RtTrigger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2015-10-23T12:19:25Z</dcterms:created>
  <dcterms:modified xsi:type="dcterms:W3CDTF">2016-10-14T15:21:49Z</dcterms:modified>
</cp:coreProperties>
</file>